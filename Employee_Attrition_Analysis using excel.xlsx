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Data" sheetId="2" state="visible" r:id="rId4"/>
    <sheet name="Clean_Data" sheetId="3" state="visible" r:id="rId5"/>
    <sheet name="Analysis" sheetId="4" state="visible" r:id="rId6"/>
    <sheet name="Pivots" sheetId="5" state="visible" r:id="rId7"/>
    <sheet name="Dashboard" sheetId="6" state="visible" r:id="rId8"/>
    <sheet name="Insights" sheetId="7" state="visible" r:id="rId9"/>
  </sheets>
  <definedNames>
    <definedName function="false" hidden="true" localSheetId="1" name="_xlnm._FilterDatabase" vbProcedure="false">Raw_Data!$A$1:$N$2001</definedName>
    <definedName function="false" hidden="false" name="Age" vbProcedure="false">Clean_Data!$D$2:$D$2001</definedName>
    <definedName function="false" hidden="false" name="AgeBand" vbProcedure="false">Clean_Data!$Q$2:$Q$2001</definedName>
    <definedName function="false" hidden="false" name="AsOfDate" vbProcedure="false">README!$B$8</definedName>
    <definedName function="false" hidden="false" name="AttrFlag" vbProcedure="false">Clean_Data!$M$2:$M$2001</definedName>
    <definedName function="false" hidden="false" name="AttrType" vbProcedure="false">Clean_Data!$N$2:$N$2001</definedName>
    <definedName function="false" hidden="false" name="DefaultPerf" vbProcedure="false">README!$B$9</definedName>
    <definedName function="false" hidden="false" name="DefaultSat" vbProcedure="false">README!$B$10</definedName>
    <definedName function="false" hidden="false" name="Dept" vbProcedure="false">Clean_Data!$G$2:$G$2001</definedName>
    <definedName function="false" hidden="false" name="Education" vbProcedure="false">Clean_Data!$F$2:$F$2001</definedName>
    <definedName function="false" hidden="false" name="EmpID" vbProcedure="false">Clean_Data!$A$2:$A$2001</definedName>
    <definedName function="false" hidden="false" name="ExitDate" vbProcedure="false">Clean_Data!$C$2:$C$2001</definedName>
    <definedName function="false" hidden="false" name="ExitMonth" vbProcedure="false">Clean_Data!$V$2:$V$2001</definedName>
    <definedName function="false" hidden="false" name="ExitQtr" vbProcedure="false">Clean_Data!$U$2:$U$2001</definedName>
    <definedName function="false" hidden="false" name="ExitReason" vbProcedure="false">Clean_Data!$O$2:$O$2001</definedName>
    <definedName function="false" hidden="false" name="ExitYear" vbProcedure="false">Clean_Data!$T$2:$T$2001</definedName>
    <definedName function="false" hidden="false" name="Gender" vbProcedure="false">Clean_Data!$E$2:$E$2001</definedName>
    <definedName function="false" hidden="false" name="HireDate" vbProcedure="false">Clean_Data!$B$2:$B$2001</definedName>
    <definedName function="false" hidden="false" name="Income" vbProcedure="false">Clean_Data!$K$2:$K$2001</definedName>
    <definedName function="false" hidden="false" name="JobRole" vbProcedure="false">Clean_Data!$H$2:$H$2001</definedName>
    <definedName function="false" hidden="false" name="JobSat" vbProcedure="false">Clean_Data!$J$2:$J$2001</definedName>
    <definedName function="false" hidden="false" name="OverTime" vbProcedure="false">Clean_Data!$L$2:$L$2001</definedName>
    <definedName function="false" hidden="false" name="PerfGroup" vbProcedure="false">Clean_Data!$S$2:$S$2001</definedName>
    <definedName function="false" hidden="false" name="PerfRating" vbProcedure="false">Clean_Data!$I$2:$I$2001</definedName>
    <definedName function="false" hidden="false" name="ReplCostPct" vbProcedure="false">README!$B$11</definedName>
    <definedName function="false" hidden="false" name="TargetReduction" vbProcedure="false">README!$B$12</definedName>
    <definedName function="false" hidden="false" name="TenureBand" vbProcedure="false">Clean_Data!$R$2:$R$2001</definedName>
    <definedName function="false" hidden="false" name="TenureYrs" vbProcedure="false">Clean_Data!$P$2:$P$2001</definedName>
    <definedName function="false" hidden="false" name="TotalEmp" vbProcedure="false">Analysis!$B$5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<sst xmlns="http://schemas.openxmlformats.org/spreadsheetml/2006/main" count="13987" uniqueCount="2433">
  <si>
    <t xml:space="preserve">Employee Attrition Analysis - Excel Workbook</t>
  </si>
  <si>
    <t xml:space="preserve">Which factors drive employee turnover, and how can the organization reduce attrition and improve retention?</t>
  </si>
  <si>
    <t xml:space="preserve">NOTE: Raw_Data is a synthetic, IBM-HR-style sample (2,000 employees, exits Jan-2022 to Dec-2025) so the workbook runs end-to-end. Paste your own data into Raw_Data (same 14 columns) and everything recalculates.</t>
  </si>
  <si>
    <t xml:space="preserve">Parameters &amp; assumptions (blue cells are editable inputs)</t>
  </si>
  <si>
    <t xml:space="preserve">Parameter</t>
  </si>
  <si>
    <t xml:space="preserve">Value</t>
  </si>
  <si>
    <t xml:space="preserve">Note</t>
  </si>
  <si>
    <t xml:space="preserve">As-of date (end of analysis window)</t>
  </si>
  <si>
    <t xml:space="preserve">Used to compute tenure for active employees.</t>
  </si>
  <si>
    <t xml:space="preserve">Default performance rating for blanks</t>
  </si>
  <si>
    <t xml:space="preserve">Assumption: blank ratings treated as "Meets expectations" (median).</t>
  </si>
  <si>
    <t xml:space="preserve">Default job satisfaction for blanks</t>
  </si>
  <si>
    <t xml:space="preserve">Assumption: blank scores treated as the median (3 on a 1-4 scale).</t>
  </si>
  <si>
    <t xml:space="preserve">Replacement cost as % of annual salary</t>
  </si>
  <si>
    <t xml:space="preserve">ASSUMPTION (illustrative): recruiting + onboarding + lost productivity. Replace with HR/finance figure.</t>
  </si>
  <si>
    <t xml:space="preserve">Target attrition reduction</t>
  </si>
  <si>
    <t xml:space="preserve">ASSUMPTION (illustrative): used for the savings estimate on the Analysis and Insights tabs.</t>
  </si>
  <si>
    <t xml:space="preserve">Workbook map</t>
  </si>
  <si>
    <t xml:space="preserve">Sheet</t>
  </si>
  <si>
    <t xml:space="preserve">Purpose</t>
  </si>
  <si>
    <t xml:space="preserve">Contents</t>
  </si>
  <si>
    <t xml:space="preserve">README</t>
  </si>
  <si>
    <t xml:space="preserve">Problem framing, assumptions, data-quality checks, column dictionary</t>
  </si>
  <si>
    <t xml:space="preserve">You are here</t>
  </si>
  <si>
    <t xml:space="preserve">Raw_Data</t>
  </si>
  <si>
    <t xml:space="preserve">Untouched source extract (never edited)</t>
  </si>
  <si>
    <t xml:space="preserve">14 columns with deliberate inconsistencies: mixed-case labels, stray spaces, M/F codes, blanks</t>
  </si>
  <si>
    <t xml:space="preserve">Clean_Data</t>
  </si>
  <si>
    <t xml:space="preserve">Standardized, typed, enriched data (all formulas off Raw_Data)</t>
  </si>
  <si>
    <t xml:space="preserve">Standard headers, imputed blanks, Attrition_Flag, tenure, age/tenure/performance bands, exit year/quarter/month</t>
  </si>
  <si>
    <t xml:space="preserve">Analysis</t>
  </si>
  <si>
    <t xml:space="preserve">Formula-driven analysis tables (COUNTIFS / AVERAGEIFS on named ranges)</t>
  </si>
  <si>
    <t xml:space="preserve">KPIs, 10 demographic cuts, voluntary vs involuntary, exit reasons, yearly / quarterly / seasonal trends, role x department heatmap</t>
  </si>
  <si>
    <t xml:space="preserve">Pivots</t>
  </si>
  <si>
    <t xml:space="preserve">Slicer-style cross-tabs + how to add native PivotTables &amp; slicers</t>
  </si>
  <si>
    <t xml:space="preserve">Dropdown filters drive role x age and role x gender attrition cross-tabs</t>
  </si>
  <si>
    <t xml:space="preserve">Dashboard</t>
  </si>
  <si>
    <t xml:space="preserve">One-page visual summary</t>
  </si>
  <si>
    <t xml:space="preserve">KPI cards, bar / pie / line charts, heatmap</t>
  </si>
  <si>
    <t xml:space="preserve">Insights</t>
  </si>
  <si>
    <t xml:space="preserve">Findings, recommendations, and demo script</t>
  </si>
  <si>
    <t xml:space="preserve">Findings are formula-built from the Analysis tab</t>
  </si>
  <si>
    <t xml:space="preserve">Metric definitions</t>
  </si>
  <si>
    <t xml:space="preserve">Segment attrition %</t>
  </si>
  <si>
    <t xml:space="preserve">Leavers in segment / employees ever in segment during the window (Jan-2022 to Dec-2025). Comparable across segments, but cumulative, so it is larger than an annual rate.</t>
  </si>
  <si>
    <t xml:space="preserve">Annual attrition rate</t>
  </si>
  <si>
    <t xml:space="preserve">Leavers in year / average headcount, where average headcount = (headcount at 1-Jan + headcount at 31-Dec) / 2. Used for all time-based views.</t>
  </si>
  <si>
    <t xml:space="preserve">Voluntary / Involuntary</t>
  </si>
  <si>
    <t xml:space="preserve">Taken from Attrition_Type. Leavers with a blank type are shown as "Unknown".</t>
  </si>
  <si>
    <t xml:space="preserve">Seasonality index</t>
  </si>
  <si>
    <t xml:space="preserve">Share of all exits that fall in a calendar month x 12. 1.0 = an average month; above 1.0 = a peak month.</t>
  </si>
  <si>
    <t xml:space="preserve">Data-quality checks (live)</t>
  </si>
  <si>
    <t xml:space="preserve">Check</t>
  </si>
  <si>
    <t xml:space="preserve">Result</t>
  </si>
  <si>
    <t xml:space="preserve">Treatment</t>
  </si>
  <si>
    <t xml:space="preserve">Total records</t>
  </si>
  <si>
    <t xml:space="preserve">Rows loaded from the source file.</t>
  </si>
  <si>
    <t xml:space="preserve">Duplicate Employee IDs</t>
  </si>
  <si>
    <t xml:space="preserve">Should be 0.</t>
  </si>
  <si>
    <t xml:space="preserve">Blank ages</t>
  </si>
  <si>
    <t xml:space="preserve">Kept blank; reported as "Unknown" age band.</t>
  </si>
  <si>
    <t xml:space="preserve">Blank performance ratings</t>
  </si>
  <si>
    <t xml:space="preserve">Imputed with the default rating above.</t>
  </si>
  <si>
    <t xml:space="preserve">Blank job-satisfaction scores</t>
  </si>
  <si>
    <t xml:space="preserve">Imputed with the default score above.</t>
  </si>
  <si>
    <t xml:space="preserve">Leavers with blank attrition type</t>
  </si>
  <si>
    <t xml:space="preserve">Shown as "Unknown"; excluded from voluntary / involuntary split.</t>
  </si>
  <si>
    <t xml:space="preserve">Leavers with no exit reason</t>
  </si>
  <si>
    <t xml:space="preserve">Shown as "Not Recorded" in reason tables.</t>
  </si>
  <si>
    <t xml:space="preserve">Exit date earlier than hire date</t>
  </si>
  <si>
    <t xml:space="preserve">Unrecognised gender codes</t>
  </si>
  <si>
    <t xml:space="preserve">Column dictionary (Clean_Data)</t>
  </si>
  <si>
    <t xml:space="preserve">Column</t>
  </si>
  <si>
    <t xml:space="preserve">Type</t>
  </si>
  <si>
    <t xml:space="preserve">Definition</t>
  </si>
  <si>
    <t xml:space="preserve">Employee_ID</t>
  </si>
  <si>
    <t xml:space="preserve">Text</t>
  </si>
  <si>
    <t xml:space="preserve">Unique employee identifier</t>
  </si>
  <si>
    <t xml:space="preserve">Hire_Date / Exit_Date</t>
  </si>
  <si>
    <t xml:space="preserve">Date</t>
  </si>
  <si>
    <t xml:space="preserve">Exit_Date blank = still active</t>
  </si>
  <si>
    <t xml:space="preserve">Age</t>
  </si>
  <si>
    <t xml:space="preserve">Number</t>
  </si>
  <si>
    <t xml:space="preserve">Age at exit (leavers) or at as-of date (active)</t>
  </si>
  <si>
    <t xml:space="preserve">Gender / Education / Department / Job_Role</t>
  </si>
  <si>
    <t xml:space="preserve">Trimmed and proper-cased; M/F codes mapped to Male/Female</t>
  </si>
  <si>
    <t xml:space="preserve">Performance_Rating</t>
  </si>
  <si>
    <t xml:space="preserve">1-5</t>
  </si>
  <si>
    <t xml:space="preserve">1 = low, 5 = outstanding; blanks imputed</t>
  </si>
  <si>
    <t xml:space="preserve">Job_Satisfaction</t>
  </si>
  <si>
    <t xml:space="preserve">1-4</t>
  </si>
  <si>
    <t xml:space="preserve">1 = low, 4 = high; blanks imputed</t>
  </si>
  <si>
    <t xml:space="preserve">Monthly_Income</t>
  </si>
  <si>
    <t xml:space="preserve">INR</t>
  </si>
  <si>
    <t xml:space="preserve">Gross monthly salary</t>
  </si>
  <si>
    <t xml:space="preserve">Overtime</t>
  </si>
  <si>
    <t xml:space="preserve">Yes/No</t>
  </si>
  <si>
    <t xml:space="preserve">Regularly works overtime</t>
  </si>
  <si>
    <t xml:space="preserve">Attrition_Flag</t>
  </si>
  <si>
    <t xml:space="preserve">0/1</t>
  </si>
  <si>
    <t xml:space="preserve">1 if an exit date exists</t>
  </si>
  <si>
    <t xml:space="preserve">Attrition_Type</t>
  </si>
  <si>
    <t xml:space="preserve">Active / Voluntary / Involuntary / Unknown</t>
  </si>
  <si>
    <t xml:space="preserve">Exit_Reason</t>
  </si>
  <si>
    <t xml:space="preserve">Recorded reason for leaving</t>
  </si>
  <si>
    <t xml:space="preserve">Tenure_Years</t>
  </si>
  <si>
    <t xml:space="preserve">(Exit or as-of date - hire date) / 365.25</t>
  </si>
  <si>
    <t xml:space="preserve">Age_Band</t>
  </si>
  <si>
    <t xml:space="preserve">Under 25, 25-34, 35-44, 45-54, 55+</t>
  </si>
  <si>
    <t xml:space="preserve">Tenure_Band</t>
  </si>
  <si>
    <t xml:space="preserve">0-1, 1-3, 3-5, 5-10, 10+ yrs</t>
  </si>
  <si>
    <t xml:space="preserve">Perf_Group</t>
  </si>
  <si>
    <t xml:space="preserve">High (4-5), Medium (3), Low (1-2)</t>
  </si>
  <si>
    <t xml:space="preserve">Exit_Year / Exit_Quarter / Exit_Month</t>
  </si>
  <si>
    <t xml:space="preserve">Mixed</t>
  </si>
  <si>
    <t xml:space="preserve">Time keys for trend and seasonality tables</t>
  </si>
  <si>
    <t xml:space="preserve">Emp ID</t>
  </si>
  <si>
    <t xml:space="preserve">Hire Date</t>
  </si>
  <si>
    <t xml:space="preserve">Exit Date</t>
  </si>
  <si>
    <t xml:space="preserve">gender</t>
  </si>
  <si>
    <t xml:space="preserve">Education Level</t>
  </si>
  <si>
    <t xml:space="preserve">department</t>
  </si>
  <si>
    <t xml:space="preserve">Job Role</t>
  </si>
  <si>
    <t xml:space="preserve">Perf Rating</t>
  </si>
  <si>
    <t xml:space="preserve">Job Satisfaction</t>
  </si>
  <si>
    <t xml:space="preserve">Monthly Income</t>
  </si>
  <si>
    <t xml:space="preserve">Attrition Type</t>
  </si>
  <si>
    <t xml:space="preserve">Exit Reason</t>
  </si>
  <si>
    <t xml:space="preserve">OverTime</t>
  </si>
  <si>
    <t xml:space="preserve">EMP0001</t>
  </si>
  <si>
    <t xml:space="preserve">M</t>
  </si>
  <si>
    <t xml:space="preserve">Diploma </t>
  </si>
  <si>
    <t xml:space="preserve">Operations</t>
  </si>
  <si>
    <t xml:space="preserve">Analyst </t>
  </si>
  <si>
    <t xml:space="preserve">Yes</t>
  </si>
  <si>
    <t xml:space="preserve">EMP0002</t>
  </si>
  <si>
    <t xml:space="preserve">Male</t>
  </si>
  <si>
    <t xml:space="preserve">Master's</t>
  </si>
  <si>
    <t xml:space="preserve">Sales</t>
  </si>
  <si>
    <t xml:space="preserve">Associate</t>
  </si>
  <si>
    <t xml:space="preserve">voluntary</t>
  </si>
  <si>
    <t xml:space="preserve">Relocation</t>
  </si>
  <si>
    <t xml:space="preserve">No</t>
  </si>
  <si>
    <t xml:space="preserve">EMP0003</t>
  </si>
  <si>
    <t xml:space="preserve">Female</t>
  </si>
  <si>
    <t xml:space="preserve">High School</t>
  </si>
  <si>
    <t xml:space="preserve">Analyst</t>
  </si>
  <si>
    <t xml:space="preserve">EMP0004</t>
  </si>
  <si>
    <t xml:space="preserve">Customer Support</t>
  </si>
  <si>
    <t xml:space="preserve">Specialist</t>
  </si>
  <si>
    <t xml:space="preserve">EMP0005</t>
  </si>
  <si>
    <t xml:space="preserve">Voluntary</t>
  </si>
  <si>
    <t xml:space="preserve">Job Dissatisfaction</t>
  </si>
  <si>
    <t xml:space="preserve">EMP0006</t>
  </si>
  <si>
    <t xml:space="preserve">bachelors</t>
  </si>
  <si>
    <t xml:space="preserve">Engineering</t>
  </si>
  <si>
    <t xml:space="preserve">Senior Analyst</t>
  </si>
  <si>
    <t xml:space="preserve">no</t>
  </si>
  <si>
    <t xml:space="preserve">EMP0007</t>
  </si>
  <si>
    <t xml:space="preserve">Work-Life Balance</t>
  </si>
  <si>
    <t xml:space="preserve">EMP0008</t>
  </si>
  <si>
    <t xml:space="preserve">Diploma</t>
  </si>
  <si>
    <t xml:space="preserve">EMP0009</t>
  </si>
  <si>
    <t xml:space="preserve">female</t>
  </si>
  <si>
    <t xml:space="preserve"> masters</t>
  </si>
  <si>
    <t xml:space="preserve">EMP0010</t>
  </si>
  <si>
    <t xml:space="preserve">senior analyst</t>
  </si>
  <si>
    <t xml:space="preserve">EMP0011</t>
  </si>
  <si>
    <t xml:space="preserve">Bachelor's</t>
  </si>
  <si>
    <t xml:space="preserve">EMP0012</t>
  </si>
  <si>
    <t xml:space="preserve">Bachelors </t>
  </si>
  <si>
    <t xml:space="preserve">CUSTOMER SUPPORT</t>
  </si>
  <si>
    <t xml:space="preserve">associate</t>
  </si>
  <si>
    <t xml:space="preserve">Involuntary</t>
  </si>
  <si>
    <t xml:space="preserve">Policy Violation</t>
  </si>
  <si>
    <t xml:space="preserve">EMP0013</t>
  </si>
  <si>
    <t xml:space="preserve">EMP0014</t>
  </si>
  <si>
    <t xml:space="preserve">EMP0015</t>
  </si>
  <si>
    <t xml:space="preserve">Team Lead</t>
  </si>
  <si>
    <t xml:space="preserve">EMP0016</t>
  </si>
  <si>
    <t xml:space="preserve">EMP0017</t>
  </si>
  <si>
    <t xml:space="preserve">EMP0018</t>
  </si>
  <si>
    <t xml:space="preserve">F</t>
  </si>
  <si>
    <t xml:space="preserve">EMP0019</t>
  </si>
  <si>
    <t xml:space="preserve">SALES</t>
  </si>
  <si>
    <t xml:space="preserve">EMP0020</t>
  </si>
  <si>
    <t xml:space="preserve">Male </t>
  </si>
  <si>
    <t xml:space="preserve">EMP0021</t>
  </si>
  <si>
    <t xml:space="preserve">OPERATIONS</t>
  </si>
  <si>
    <t xml:space="preserve">EMP0022</t>
  </si>
  <si>
    <t xml:space="preserve"> Female</t>
  </si>
  <si>
    <t xml:space="preserve">Finance</t>
  </si>
  <si>
    <t xml:space="preserve">Manager</t>
  </si>
  <si>
    <t xml:space="preserve">EMP0023</t>
  </si>
  <si>
    <t xml:space="preserve">EMP0024</t>
  </si>
  <si>
    <t xml:space="preserve">Sales </t>
  </si>
  <si>
    <t xml:space="preserve">EMP0025</t>
  </si>
  <si>
    <t xml:space="preserve">EMP0026</t>
  </si>
  <si>
    <t xml:space="preserve">EMP0027</t>
  </si>
  <si>
    <t xml:space="preserve">EMP0028</t>
  </si>
  <si>
    <t xml:space="preserve">VOLUNTARY</t>
  </si>
  <si>
    <t xml:space="preserve">Better Compensation</t>
  </si>
  <si>
    <t xml:space="preserve">EMP0029</t>
  </si>
  <si>
    <t xml:space="preserve">Manager Issues</t>
  </si>
  <si>
    <t xml:space="preserve">EMP0030</t>
  </si>
  <si>
    <t xml:space="preserve">EMP0031</t>
  </si>
  <si>
    <t xml:space="preserve">Personal Reasons</t>
  </si>
  <si>
    <t xml:space="preserve">EMP0032</t>
  </si>
  <si>
    <t xml:space="preserve">EMP0033</t>
  </si>
  <si>
    <t xml:space="preserve">EMP0034</t>
  </si>
  <si>
    <t xml:space="preserve">EMP0035</t>
  </si>
  <si>
    <t xml:space="preserve">EMP0036</t>
  </si>
  <si>
    <t xml:space="preserve">EMP0037</t>
  </si>
  <si>
    <t xml:space="preserve">Human Resources</t>
  </si>
  <si>
    <t xml:space="preserve">NO</t>
  </si>
  <si>
    <t xml:space="preserve">EMP0038</t>
  </si>
  <si>
    <t xml:space="preserve">Career Growth</t>
  </si>
  <si>
    <t xml:space="preserve">EMP0039</t>
  </si>
  <si>
    <t xml:space="preserve">EMP0040</t>
  </si>
  <si>
    <t xml:space="preserve">Associate </t>
  </si>
  <si>
    <t xml:space="preserve">EMP0041</t>
  </si>
  <si>
    <t xml:space="preserve">EMP0042</t>
  </si>
  <si>
    <t xml:space="preserve">EMP0043</t>
  </si>
  <si>
    <t xml:space="preserve">EMP0044</t>
  </si>
  <si>
    <t xml:space="preserve">sales</t>
  </si>
  <si>
    <t xml:space="preserve">EMP0045</t>
  </si>
  <si>
    <t xml:space="preserve">EMP0046</t>
  </si>
  <si>
    <t xml:space="preserve">EMP0047</t>
  </si>
  <si>
    <t xml:space="preserve">EMP0048</t>
  </si>
  <si>
    <t xml:space="preserve">High school</t>
  </si>
  <si>
    <t xml:space="preserve">EMP0049</t>
  </si>
  <si>
    <t xml:space="preserve">Doctorate</t>
  </si>
  <si>
    <t xml:space="preserve">EMP0050</t>
  </si>
  <si>
    <t xml:space="preserve">EMP0051</t>
  </si>
  <si>
    <t xml:space="preserve">EMP0052</t>
  </si>
  <si>
    <t xml:space="preserve">Customer Support </t>
  </si>
  <si>
    <t xml:space="preserve">EMP0053</t>
  </si>
  <si>
    <t xml:space="preserve">EMP0054</t>
  </si>
  <si>
    <t xml:space="preserve">EMP0055</t>
  </si>
  <si>
    <t xml:space="preserve">doctorate</t>
  </si>
  <si>
    <t xml:space="preserve">EMP0056</t>
  </si>
  <si>
    <t xml:space="preserve">Masters</t>
  </si>
  <si>
    <t xml:space="preserve">Senior Analyst </t>
  </si>
  <si>
    <t xml:space="preserve">EMP0057</t>
  </si>
  <si>
    <t xml:space="preserve">EMP0058</t>
  </si>
  <si>
    <t xml:space="preserve">EMP0059</t>
  </si>
  <si>
    <t xml:space="preserve">Team Lead </t>
  </si>
  <si>
    <t xml:space="preserve">EMP0060</t>
  </si>
  <si>
    <t xml:space="preserve">EMP0061</t>
  </si>
  <si>
    <t xml:space="preserve">EMP0062</t>
  </si>
  <si>
    <t xml:space="preserve">EMP0063</t>
  </si>
  <si>
    <t xml:space="preserve">EMP0064</t>
  </si>
  <si>
    <t xml:space="preserve">EMP0065</t>
  </si>
  <si>
    <t xml:space="preserve">involuntary</t>
  </si>
  <si>
    <t xml:space="preserve">Restructuring / Layoff</t>
  </si>
  <si>
    <t xml:space="preserve">YES</t>
  </si>
  <si>
    <t xml:space="preserve">EMP0066</t>
  </si>
  <si>
    <t xml:space="preserve">EMP0067</t>
  </si>
  <si>
    <t xml:space="preserve">EMP0068</t>
  </si>
  <si>
    <t xml:space="preserve">male</t>
  </si>
  <si>
    <t xml:space="preserve">EMP0069</t>
  </si>
  <si>
    <t xml:space="preserve">EMP0070</t>
  </si>
  <si>
    <t xml:space="preserve">EMP0071</t>
  </si>
  <si>
    <t xml:space="preserve">EMP0072</t>
  </si>
  <si>
    <t xml:space="preserve">EMP0073</t>
  </si>
  <si>
    <t xml:space="preserve">EMP0074</t>
  </si>
  <si>
    <t xml:space="preserve">EMP0075</t>
  </si>
  <si>
    <t xml:space="preserve">EMP0076</t>
  </si>
  <si>
    <t xml:space="preserve">EMP0077</t>
  </si>
  <si>
    <t xml:space="preserve">EMP0078</t>
  </si>
  <si>
    <t xml:space="preserve">EMP0079</t>
  </si>
  <si>
    <t xml:space="preserve">EMP0080</t>
  </si>
  <si>
    <t xml:space="preserve">INVOLUNTARY</t>
  </si>
  <si>
    <t xml:space="preserve">Poor Performance</t>
  </si>
  <si>
    <t xml:space="preserve">EMP0081</t>
  </si>
  <si>
    <t xml:space="preserve">EMP0082</t>
  </si>
  <si>
    <t xml:space="preserve">Manager </t>
  </si>
  <si>
    <t xml:space="preserve">EMP0083</t>
  </si>
  <si>
    <t xml:space="preserve">EMP0084</t>
  </si>
  <si>
    <t xml:space="preserve">finance</t>
  </si>
  <si>
    <t xml:space="preserve">Specialist </t>
  </si>
  <si>
    <t xml:space="preserve">EMP0085</t>
  </si>
  <si>
    <t xml:space="preserve">EMP0086</t>
  </si>
  <si>
    <t xml:space="preserve">EMP0087</t>
  </si>
  <si>
    <t xml:space="preserve">EMP0088</t>
  </si>
  <si>
    <t xml:space="preserve">EMP0089</t>
  </si>
  <si>
    <t xml:space="preserve">EMP0090</t>
  </si>
  <si>
    <t xml:space="preserve">EMP0091</t>
  </si>
  <si>
    <t xml:space="preserve">EMP0092</t>
  </si>
  <si>
    <t xml:space="preserve">EMP0093</t>
  </si>
  <si>
    <t xml:space="preserve">EMP0094</t>
  </si>
  <si>
    <t xml:space="preserve">manager</t>
  </si>
  <si>
    <t xml:space="preserve">EMP0095</t>
  </si>
  <si>
    <t xml:space="preserve">EMP0096</t>
  </si>
  <si>
    <t xml:space="preserve">EMP0097</t>
  </si>
  <si>
    <t xml:space="preserve">EMP0098</t>
  </si>
  <si>
    <t xml:space="preserve">EMP0099</t>
  </si>
  <si>
    <t xml:space="preserve">Engineering </t>
  </si>
  <si>
    <t xml:space="preserve">EMP0100</t>
  </si>
  <si>
    <t xml:space="preserve">EMP0101</t>
  </si>
  <si>
    <t xml:space="preserve">human resources</t>
  </si>
  <si>
    <t xml:space="preserve">EMP0102</t>
  </si>
  <si>
    <t xml:space="preserve">EMP0103</t>
  </si>
  <si>
    <t xml:space="preserve">EMP0104</t>
  </si>
  <si>
    <t xml:space="preserve">EMP0105</t>
  </si>
  <si>
    <t xml:space="preserve">EMP0106</t>
  </si>
  <si>
    <t xml:space="preserve">EMP0107</t>
  </si>
  <si>
    <t xml:space="preserve">customer support</t>
  </si>
  <si>
    <t xml:space="preserve">EMP0108</t>
  </si>
  <si>
    <t xml:space="preserve">EMP0109</t>
  </si>
  <si>
    <t xml:space="preserve">End of Contract</t>
  </si>
  <si>
    <t xml:space="preserve">EMP0110</t>
  </si>
  <si>
    <t xml:space="preserve">EMP0111</t>
  </si>
  <si>
    <t xml:space="preserve">EMP0112</t>
  </si>
  <si>
    <t xml:space="preserve">Further Studies</t>
  </si>
  <si>
    <t xml:space="preserve">EMP0113</t>
  </si>
  <si>
    <t xml:space="preserve">EMP0114</t>
  </si>
  <si>
    <t xml:space="preserve">EMP0115</t>
  </si>
  <si>
    <t xml:space="preserve">EMP0116</t>
  </si>
  <si>
    <t xml:space="preserve">EMP0117</t>
  </si>
  <si>
    <t xml:space="preserve">EMP0118</t>
  </si>
  <si>
    <t xml:space="preserve">EMP0119</t>
  </si>
  <si>
    <t xml:space="preserve">EMP0120</t>
  </si>
  <si>
    <t xml:space="preserve">EMP0121</t>
  </si>
  <si>
    <t xml:space="preserve">EMP0122</t>
  </si>
  <si>
    <t xml:space="preserve">EMP0123</t>
  </si>
  <si>
    <t xml:space="preserve">EMP0124</t>
  </si>
  <si>
    <t xml:space="preserve">EMP0125</t>
  </si>
  <si>
    <t xml:space="preserve">EMP0126</t>
  </si>
  <si>
    <t xml:space="preserve">EMP0127</t>
  </si>
  <si>
    <t xml:space="preserve">engineering</t>
  </si>
  <si>
    <t xml:space="preserve">EMP0128</t>
  </si>
  <si>
    <t xml:space="preserve">EMP0129</t>
  </si>
  <si>
    <t xml:space="preserve">EMP0130</t>
  </si>
  <si>
    <t xml:space="preserve">operations</t>
  </si>
  <si>
    <t xml:space="preserve">EMP0131</t>
  </si>
  <si>
    <t xml:space="preserve">EMP0132</t>
  </si>
  <si>
    <t xml:space="preserve">EMP0133</t>
  </si>
  <si>
    <t xml:space="preserve">EMP0134</t>
  </si>
  <si>
    <t xml:space="preserve">EMP0135</t>
  </si>
  <si>
    <t xml:space="preserve">EMP0136</t>
  </si>
  <si>
    <t xml:space="preserve">EMP0137</t>
  </si>
  <si>
    <t xml:space="preserve">EMP0138</t>
  </si>
  <si>
    <t xml:space="preserve">specialist</t>
  </si>
  <si>
    <t xml:space="preserve">EMP0139</t>
  </si>
  <si>
    <t xml:space="preserve">EMP0140</t>
  </si>
  <si>
    <t xml:space="preserve">EMP0141</t>
  </si>
  <si>
    <t xml:space="preserve">EMP0142</t>
  </si>
  <si>
    <t xml:space="preserve">EMP0143</t>
  </si>
  <si>
    <t xml:space="preserve">EMP0144</t>
  </si>
  <si>
    <t xml:space="preserve">EMP0145</t>
  </si>
  <si>
    <t xml:space="preserve">EMP0146</t>
  </si>
  <si>
    <t xml:space="preserve">EMP0147</t>
  </si>
  <si>
    <t xml:space="preserve">EMP0148</t>
  </si>
  <si>
    <t xml:space="preserve">FINANCE</t>
  </si>
  <si>
    <t xml:space="preserve">EMP0149</t>
  </si>
  <si>
    <t xml:space="preserve">EMP0150</t>
  </si>
  <si>
    <t xml:space="preserve">EMP0151</t>
  </si>
  <si>
    <t xml:space="preserve">EMP0152</t>
  </si>
  <si>
    <t xml:space="preserve">EMP0153</t>
  </si>
  <si>
    <t xml:space="preserve">EMP0154</t>
  </si>
  <si>
    <t xml:space="preserve">EMP0155</t>
  </si>
  <si>
    <t xml:space="preserve">EMP0156</t>
  </si>
  <si>
    <t xml:space="preserve">EMP0157</t>
  </si>
  <si>
    <t xml:space="preserve">EMP0158</t>
  </si>
  <si>
    <t xml:space="preserve">EMP0159</t>
  </si>
  <si>
    <t xml:space="preserve">EMP0160</t>
  </si>
  <si>
    <t xml:space="preserve">EMP0161</t>
  </si>
  <si>
    <t xml:space="preserve">EMP0162</t>
  </si>
  <si>
    <t xml:space="preserve">EMP0163</t>
  </si>
  <si>
    <t xml:space="preserve">EMP0164</t>
  </si>
  <si>
    <t xml:space="preserve">EMP0165</t>
  </si>
  <si>
    <t xml:space="preserve">EMP0166</t>
  </si>
  <si>
    <t xml:space="preserve">EMP0167</t>
  </si>
  <si>
    <t xml:space="preserve">ENGINEERING</t>
  </si>
  <si>
    <t xml:space="preserve">EMP0168</t>
  </si>
  <si>
    <t xml:space="preserve">EMP0169</t>
  </si>
  <si>
    <t xml:space="preserve">EMP0170</t>
  </si>
  <si>
    <t xml:space="preserve">EMP0171</t>
  </si>
  <si>
    <t xml:space="preserve">EMP0172</t>
  </si>
  <si>
    <t xml:space="preserve">EMP0173</t>
  </si>
  <si>
    <t xml:space="preserve">EMP0174</t>
  </si>
  <si>
    <t xml:space="preserve">EMP0175</t>
  </si>
  <si>
    <t xml:space="preserve">EMP0176</t>
  </si>
  <si>
    <t xml:space="preserve">EMP0177</t>
  </si>
  <si>
    <t xml:space="preserve">EMP0178</t>
  </si>
  <si>
    <t xml:space="preserve">HUMAN RESOURCES</t>
  </si>
  <si>
    <t xml:space="preserve">EMP0179</t>
  </si>
  <si>
    <t xml:space="preserve">EMP0180</t>
  </si>
  <si>
    <t xml:space="preserve">EMP0181</t>
  </si>
  <si>
    <t xml:space="preserve">EMP0182</t>
  </si>
  <si>
    <t xml:space="preserve">EMP0183</t>
  </si>
  <si>
    <t xml:space="preserve">EMP0184</t>
  </si>
  <si>
    <t xml:space="preserve">EMP0185</t>
  </si>
  <si>
    <t xml:space="preserve">EMP0186</t>
  </si>
  <si>
    <t xml:space="preserve">EMP0187</t>
  </si>
  <si>
    <t xml:space="preserve">EMP0188</t>
  </si>
  <si>
    <t xml:space="preserve">EMP0189</t>
  </si>
  <si>
    <t xml:space="preserve">EMP0190</t>
  </si>
  <si>
    <t xml:space="preserve">EMP0191</t>
  </si>
  <si>
    <t xml:space="preserve">EMP0192</t>
  </si>
  <si>
    <t xml:space="preserve">EMP0193</t>
  </si>
  <si>
    <t xml:space="preserve">EMP0194</t>
  </si>
  <si>
    <t xml:space="preserve">EMP0195</t>
  </si>
  <si>
    <t xml:space="preserve">EMP0196</t>
  </si>
  <si>
    <t xml:space="preserve">EMP0197</t>
  </si>
  <si>
    <t xml:space="preserve">EMP0198</t>
  </si>
  <si>
    <t xml:space="preserve">EMP0199</t>
  </si>
  <si>
    <t xml:space="preserve">EMP0200</t>
  </si>
  <si>
    <t xml:space="preserve">EMP0201</t>
  </si>
  <si>
    <t xml:space="preserve">EMP0202</t>
  </si>
  <si>
    <t xml:space="preserve">analyst</t>
  </si>
  <si>
    <t xml:space="preserve">EMP0203</t>
  </si>
  <si>
    <t xml:space="preserve">EMP0204</t>
  </si>
  <si>
    <t xml:space="preserve">EMP0205</t>
  </si>
  <si>
    <t xml:space="preserve">EMP0206</t>
  </si>
  <si>
    <t xml:space="preserve">EMP0207</t>
  </si>
  <si>
    <t xml:space="preserve">EMP0208</t>
  </si>
  <si>
    <t xml:space="preserve">EMP0209</t>
  </si>
  <si>
    <t xml:space="preserve">EMP0210</t>
  </si>
  <si>
    <t xml:space="preserve">EMP0211</t>
  </si>
  <si>
    <t xml:space="preserve">EMP0212</t>
  </si>
  <si>
    <t xml:space="preserve">EMP0213</t>
  </si>
  <si>
    <t xml:space="preserve">EMP0214</t>
  </si>
  <si>
    <t xml:space="preserve">EMP0215</t>
  </si>
  <si>
    <t xml:space="preserve">EMP0216</t>
  </si>
  <si>
    <t xml:space="preserve">EMP0217</t>
  </si>
  <si>
    <t xml:space="preserve">EMP0218</t>
  </si>
  <si>
    <t xml:space="preserve">EMP0219</t>
  </si>
  <si>
    <t xml:space="preserve">EMP0220</t>
  </si>
  <si>
    <t xml:space="preserve">EMP0221</t>
  </si>
  <si>
    <t xml:space="preserve">EMP0222</t>
  </si>
  <si>
    <t xml:space="preserve">EMP0223</t>
  </si>
  <si>
    <t xml:space="preserve">EMP0224</t>
  </si>
  <si>
    <t xml:space="preserve">EMP0225</t>
  </si>
  <si>
    <t xml:space="preserve">EMP0226</t>
  </si>
  <si>
    <t xml:space="preserve">EMP0227</t>
  </si>
  <si>
    <t xml:space="preserve">EMP0228</t>
  </si>
  <si>
    <t xml:space="preserve">Finance </t>
  </si>
  <si>
    <t xml:space="preserve">EMP0229</t>
  </si>
  <si>
    <t xml:space="preserve">EMP0230</t>
  </si>
  <si>
    <t xml:space="preserve">EMP0231</t>
  </si>
  <si>
    <t xml:space="preserve">EMP0232</t>
  </si>
  <si>
    <t xml:space="preserve">EMP0233</t>
  </si>
  <si>
    <t xml:space="preserve">EMP0234</t>
  </si>
  <si>
    <t xml:space="preserve">EMP0235</t>
  </si>
  <si>
    <t xml:space="preserve">EMP0236</t>
  </si>
  <si>
    <t xml:space="preserve">Operations </t>
  </si>
  <si>
    <t xml:space="preserve">EMP0237</t>
  </si>
  <si>
    <t xml:space="preserve">EMP0238</t>
  </si>
  <si>
    <t xml:space="preserve">EMP0239</t>
  </si>
  <si>
    <t xml:space="preserve">EMP0240</t>
  </si>
  <si>
    <t xml:space="preserve">EMP0241</t>
  </si>
  <si>
    <t xml:space="preserve">yes</t>
  </si>
  <si>
    <t xml:space="preserve">EMP0242</t>
  </si>
  <si>
    <t xml:space="preserve">EMP0243</t>
  </si>
  <si>
    <t xml:space="preserve">EMP0244</t>
  </si>
  <si>
    <t xml:space="preserve">EMP0245</t>
  </si>
  <si>
    <t xml:space="preserve">EMP0246</t>
  </si>
  <si>
    <t xml:space="preserve">EMP0247</t>
  </si>
  <si>
    <t xml:space="preserve">EMP0248</t>
  </si>
  <si>
    <t xml:space="preserve">EMP0249</t>
  </si>
  <si>
    <t xml:space="preserve">EMP0250</t>
  </si>
  <si>
    <t xml:space="preserve">EMP0251</t>
  </si>
  <si>
    <t xml:space="preserve">EMP0252</t>
  </si>
  <si>
    <t xml:space="preserve">EMP0253</t>
  </si>
  <si>
    <t xml:space="preserve">EMP0254</t>
  </si>
  <si>
    <t xml:space="preserve">EMP0255</t>
  </si>
  <si>
    <t xml:space="preserve">EMP0256</t>
  </si>
  <si>
    <t xml:space="preserve">EMP0257</t>
  </si>
  <si>
    <t xml:space="preserve">EMP0258</t>
  </si>
  <si>
    <t xml:space="preserve">EMP0259</t>
  </si>
  <si>
    <t xml:space="preserve">EMP0260</t>
  </si>
  <si>
    <t xml:space="preserve">EMP0261</t>
  </si>
  <si>
    <t xml:space="preserve">EMP0262</t>
  </si>
  <si>
    <t xml:space="preserve">EMP0263</t>
  </si>
  <si>
    <t xml:space="preserve">EMP0264</t>
  </si>
  <si>
    <t xml:space="preserve">EMP0265</t>
  </si>
  <si>
    <t xml:space="preserve">EMP0266</t>
  </si>
  <si>
    <t xml:space="preserve">EMP0267</t>
  </si>
  <si>
    <t xml:space="preserve">EMP0268</t>
  </si>
  <si>
    <t xml:space="preserve">EMP0269</t>
  </si>
  <si>
    <t xml:space="preserve">EMP0270</t>
  </si>
  <si>
    <t xml:space="preserve">EMP0271</t>
  </si>
  <si>
    <t xml:space="preserve">EMP0272</t>
  </si>
  <si>
    <t xml:space="preserve">EMP0273</t>
  </si>
  <si>
    <t xml:space="preserve">EMP0274</t>
  </si>
  <si>
    <t xml:space="preserve">EMP0275</t>
  </si>
  <si>
    <t xml:space="preserve">EMP0276</t>
  </si>
  <si>
    <t xml:space="preserve">EMP0277</t>
  </si>
  <si>
    <t xml:space="preserve">EMP0278</t>
  </si>
  <si>
    <t xml:space="preserve">EMP0279</t>
  </si>
  <si>
    <t xml:space="preserve">EMP0280</t>
  </si>
  <si>
    <t xml:space="preserve">EMP0281</t>
  </si>
  <si>
    <t xml:space="preserve">EMP0282</t>
  </si>
  <si>
    <t xml:space="preserve">EMP0283</t>
  </si>
  <si>
    <t xml:space="preserve">EMP0284</t>
  </si>
  <si>
    <t xml:space="preserve">EMP0285</t>
  </si>
  <si>
    <t xml:space="preserve">End of Contract </t>
  </si>
  <si>
    <t xml:space="preserve">EMP0286</t>
  </si>
  <si>
    <t xml:space="preserve">EMP0287</t>
  </si>
  <si>
    <t xml:space="preserve">EMP0288</t>
  </si>
  <si>
    <t xml:space="preserve">EMP0289</t>
  </si>
  <si>
    <t xml:space="preserve">EMP0290</t>
  </si>
  <si>
    <t xml:space="preserve">EMP0291</t>
  </si>
  <si>
    <t xml:space="preserve">EMP0292</t>
  </si>
  <si>
    <t xml:space="preserve">EMP0293</t>
  </si>
  <si>
    <t xml:space="preserve">EMP0294</t>
  </si>
  <si>
    <t xml:space="preserve">EMP0295</t>
  </si>
  <si>
    <t xml:space="preserve">EMP0296</t>
  </si>
  <si>
    <t xml:space="preserve">EMP0297</t>
  </si>
  <si>
    <t xml:space="preserve">EMP0298</t>
  </si>
  <si>
    <t xml:space="preserve">EMP0299</t>
  </si>
  <si>
    <t xml:space="preserve">EMP0300</t>
  </si>
  <si>
    <t xml:space="preserve">EMP0301</t>
  </si>
  <si>
    <t xml:space="preserve">EMP0302</t>
  </si>
  <si>
    <t xml:space="preserve">EMP0303</t>
  </si>
  <si>
    <t xml:space="preserve">EMP0304</t>
  </si>
  <si>
    <t xml:space="preserve">EMP0305</t>
  </si>
  <si>
    <t xml:space="preserve">EMP0306</t>
  </si>
  <si>
    <t xml:space="preserve">EMP0307</t>
  </si>
  <si>
    <t xml:space="preserve">EMP0308</t>
  </si>
  <si>
    <t xml:space="preserve">EMP0309</t>
  </si>
  <si>
    <t xml:space="preserve">EMP0310</t>
  </si>
  <si>
    <t xml:space="preserve">EMP0311</t>
  </si>
  <si>
    <t xml:space="preserve">EMP0312</t>
  </si>
  <si>
    <t xml:space="preserve">EMP0313</t>
  </si>
  <si>
    <t xml:space="preserve">EMP0314</t>
  </si>
  <si>
    <t xml:space="preserve">EMP0315</t>
  </si>
  <si>
    <t xml:space="preserve">EMP0316</t>
  </si>
  <si>
    <t xml:space="preserve">EMP0317</t>
  </si>
  <si>
    <t xml:space="preserve">EMP0318</t>
  </si>
  <si>
    <t xml:space="preserve">EMP0319</t>
  </si>
  <si>
    <t xml:space="preserve">EMP0320</t>
  </si>
  <si>
    <t xml:space="preserve">EMP0321</t>
  </si>
  <si>
    <t xml:space="preserve">EMP0322</t>
  </si>
  <si>
    <t xml:space="preserve">EMP0323</t>
  </si>
  <si>
    <t xml:space="preserve">EMP0324</t>
  </si>
  <si>
    <t xml:space="preserve">EMP0325</t>
  </si>
  <si>
    <t xml:space="preserve">EMP0326</t>
  </si>
  <si>
    <t xml:space="preserve">EMP0327</t>
  </si>
  <si>
    <t xml:space="preserve">EMP0328</t>
  </si>
  <si>
    <t xml:space="preserve">EMP0329</t>
  </si>
  <si>
    <t xml:space="preserve">team lead</t>
  </si>
  <si>
    <t xml:space="preserve">EMP0330</t>
  </si>
  <si>
    <t xml:space="preserve">EMP0331</t>
  </si>
  <si>
    <t xml:space="preserve">EMP0332</t>
  </si>
  <si>
    <t xml:space="preserve">EMP0333</t>
  </si>
  <si>
    <t xml:space="preserve">EMP0334</t>
  </si>
  <si>
    <t xml:space="preserve">EMP0335</t>
  </si>
  <si>
    <t xml:space="preserve">EMP0336</t>
  </si>
  <si>
    <t xml:space="preserve">EMP0337</t>
  </si>
  <si>
    <t xml:space="preserve">EMP0338</t>
  </si>
  <si>
    <t xml:space="preserve">EMP0339</t>
  </si>
  <si>
    <t xml:space="preserve">EMP0340</t>
  </si>
  <si>
    <t xml:space="preserve">EMP0341</t>
  </si>
  <si>
    <t xml:space="preserve">EMP0342</t>
  </si>
  <si>
    <t xml:space="preserve">EMP0343</t>
  </si>
  <si>
    <t xml:space="preserve">EMP0344</t>
  </si>
  <si>
    <t xml:space="preserve">EMP0345</t>
  </si>
  <si>
    <t xml:space="preserve">EMP0346</t>
  </si>
  <si>
    <t xml:space="preserve">EMP0347</t>
  </si>
  <si>
    <t xml:space="preserve">EMP0348</t>
  </si>
  <si>
    <t xml:space="preserve">EMP0349</t>
  </si>
  <si>
    <t xml:space="preserve">EMP0350</t>
  </si>
  <si>
    <t xml:space="preserve">EMP0351</t>
  </si>
  <si>
    <t xml:space="preserve">EMP0352</t>
  </si>
  <si>
    <t xml:space="preserve">EMP0353</t>
  </si>
  <si>
    <t xml:space="preserve">EMP0354</t>
  </si>
  <si>
    <t xml:space="preserve">EMP0355</t>
  </si>
  <si>
    <t xml:space="preserve">EMP0356</t>
  </si>
  <si>
    <t xml:space="preserve">EMP0357</t>
  </si>
  <si>
    <t xml:space="preserve">EMP0358</t>
  </si>
  <si>
    <t xml:space="preserve">EMP0359</t>
  </si>
  <si>
    <t xml:space="preserve">EMP0360</t>
  </si>
  <si>
    <t xml:space="preserve">EMP0361</t>
  </si>
  <si>
    <t xml:space="preserve">EMP0362</t>
  </si>
  <si>
    <t xml:space="preserve">EMP0363</t>
  </si>
  <si>
    <t xml:space="preserve">EMP0364</t>
  </si>
  <si>
    <t xml:space="preserve">EMP0365</t>
  </si>
  <si>
    <t xml:space="preserve">EMP0366</t>
  </si>
  <si>
    <t xml:space="preserve">EMP0367</t>
  </si>
  <si>
    <t xml:space="preserve">EMP0368</t>
  </si>
  <si>
    <t xml:space="preserve">EMP0369</t>
  </si>
  <si>
    <t xml:space="preserve">EMP0370</t>
  </si>
  <si>
    <t xml:space="preserve">EMP0371</t>
  </si>
  <si>
    <t xml:space="preserve">EMP0372</t>
  </si>
  <si>
    <t xml:space="preserve">EMP0373</t>
  </si>
  <si>
    <t xml:space="preserve">EMP0374</t>
  </si>
  <si>
    <t xml:space="preserve">EMP0375</t>
  </si>
  <si>
    <t xml:space="preserve">EMP0376</t>
  </si>
  <si>
    <t xml:space="preserve">EMP0377</t>
  </si>
  <si>
    <t xml:space="preserve">EMP0378</t>
  </si>
  <si>
    <t xml:space="preserve">EMP0379</t>
  </si>
  <si>
    <t xml:space="preserve">EMP0380</t>
  </si>
  <si>
    <t xml:space="preserve">EMP0381</t>
  </si>
  <si>
    <t xml:space="preserve">EMP0382</t>
  </si>
  <si>
    <t xml:space="preserve">EMP0383</t>
  </si>
  <si>
    <t xml:space="preserve">EMP0384</t>
  </si>
  <si>
    <t xml:space="preserve">EMP0385</t>
  </si>
  <si>
    <t xml:space="preserve">EMP0386</t>
  </si>
  <si>
    <t xml:space="preserve">EMP0387</t>
  </si>
  <si>
    <t xml:space="preserve">EMP0388</t>
  </si>
  <si>
    <t xml:space="preserve">EMP0389</t>
  </si>
  <si>
    <t xml:space="preserve">EMP0390</t>
  </si>
  <si>
    <t xml:space="preserve">EMP0391</t>
  </si>
  <si>
    <t xml:space="preserve">EMP0392</t>
  </si>
  <si>
    <t xml:space="preserve">EMP0393</t>
  </si>
  <si>
    <t xml:space="preserve">EMP0394</t>
  </si>
  <si>
    <t xml:space="preserve">EMP0395</t>
  </si>
  <si>
    <t xml:space="preserve">EMP0396</t>
  </si>
  <si>
    <t xml:space="preserve">EMP0397</t>
  </si>
  <si>
    <t xml:space="preserve">EMP0398</t>
  </si>
  <si>
    <t xml:space="preserve">EMP0399</t>
  </si>
  <si>
    <t xml:space="preserve">EMP0400</t>
  </si>
  <si>
    <t xml:space="preserve">EMP0401</t>
  </si>
  <si>
    <t xml:space="preserve">EMP0402</t>
  </si>
  <si>
    <t xml:space="preserve">EMP0403</t>
  </si>
  <si>
    <t xml:space="preserve">EMP0404</t>
  </si>
  <si>
    <t xml:space="preserve">EMP0405</t>
  </si>
  <si>
    <t xml:space="preserve">EMP0406</t>
  </si>
  <si>
    <t xml:space="preserve">EMP0407</t>
  </si>
  <si>
    <t xml:space="preserve">EMP0408</t>
  </si>
  <si>
    <t xml:space="preserve">EMP0409</t>
  </si>
  <si>
    <t xml:space="preserve">EMP0410</t>
  </si>
  <si>
    <t xml:space="preserve">EMP0411</t>
  </si>
  <si>
    <t xml:space="preserve">EMP0412</t>
  </si>
  <si>
    <t xml:space="preserve">EMP0413</t>
  </si>
  <si>
    <t xml:space="preserve">EMP0414</t>
  </si>
  <si>
    <t xml:space="preserve">EMP0415</t>
  </si>
  <si>
    <t xml:space="preserve">EMP0416</t>
  </si>
  <si>
    <t xml:space="preserve">EMP0417</t>
  </si>
  <si>
    <t xml:space="preserve">EMP0418</t>
  </si>
  <si>
    <t xml:space="preserve">EMP0419</t>
  </si>
  <si>
    <t xml:space="preserve">EMP0420</t>
  </si>
  <si>
    <t xml:space="preserve">EMP0421</t>
  </si>
  <si>
    <t xml:space="preserve">EMP0422</t>
  </si>
  <si>
    <t xml:space="preserve">EMP0423</t>
  </si>
  <si>
    <t xml:space="preserve">EMP0424</t>
  </si>
  <si>
    <t xml:space="preserve">EMP0425</t>
  </si>
  <si>
    <t xml:space="preserve">EMP0426</t>
  </si>
  <si>
    <t xml:space="preserve">EMP0427</t>
  </si>
  <si>
    <t xml:space="preserve">EMP0428</t>
  </si>
  <si>
    <t xml:space="preserve">EMP0429</t>
  </si>
  <si>
    <t xml:space="preserve">EMP0430</t>
  </si>
  <si>
    <t xml:space="preserve">EMP0431</t>
  </si>
  <si>
    <t xml:space="preserve">EMP0432</t>
  </si>
  <si>
    <t xml:space="preserve">EMP0433</t>
  </si>
  <si>
    <t xml:space="preserve">EMP0434</t>
  </si>
  <si>
    <t xml:space="preserve">EMP0435</t>
  </si>
  <si>
    <t xml:space="preserve">EMP0436</t>
  </si>
  <si>
    <t xml:space="preserve">EMP0437</t>
  </si>
  <si>
    <t xml:space="preserve">EMP0438</t>
  </si>
  <si>
    <t xml:space="preserve">EMP0439</t>
  </si>
  <si>
    <t xml:space="preserve">EMP0440</t>
  </si>
  <si>
    <t xml:space="preserve">EMP0441</t>
  </si>
  <si>
    <t xml:space="preserve">EMP0442</t>
  </si>
  <si>
    <t xml:space="preserve">EMP0443</t>
  </si>
  <si>
    <t xml:space="preserve">EMP0444</t>
  </si>
  <si>
    <t xml:space="preserve">EMP0445</t>
  </si>
  <si>
    <t xml:space="preserve">EMP0446</t>
  </si>
  <si>
    <t xml:space="preserve">EMP0447</t>
  </si>
  <si>
    <t xml:space="preserve">EMP0448</t>
  </si>
  <si>
    <t xml:space="preserve">EMP0449</t>
  </si>
  <si>
    <t xml:space="preserve">EMP0450</t>
  </si>
  <si>
    <t xml:space="preserve">EMP0451</t>
  </si>
  <si>
    <t xml:space="preserve">EMP0452</t>
  </si>
  <si>
    <t xml:space="preserve">EMP0453</t>
  </si>
  <si>
    <t xml:space="preserve">EMP0454</t>
  </si>
  <si>
    <t xml:space="preserve">EMP0455</t>
  </si>
  <si>
    <t xml:space="preserve">EMP0456</t>
  </si>
  <si>
    <t xml:space="preserve">EMP0457</t>
  </si>
  <si>
    <t xml:space="preserve">EMP0458</t>
  </si>
  <si>
    <t xml:space="preserve">EMP0459</t>
  </si>
  <si>
    <t xml:space="preserve">EMP0460</t>
  </si>
  <si>
    <t xml:space="preserve">EMP0461</t>
  </si>
  <si>
    <t xml:space="preserve">EMP0462</t>
  </si>
  <si>
    <t xml:space="preserve">EMP0463</t>
  </si>
  <si>
    <t xml:space="preserve">EMP0464</t>
  </si>
  <si>
    <t xml:space="preserve">EMP0465</t>
  </si>
  <si>
    <t xml:space="preserve">EMP0466</t>
  </si>
  <si>
    <t xml:space="preserve">EMP0467</t>
  </si>
  <si>
    <t xml:space="preserve">EMP0468</t>
  </si>
  <si>
    <t xml:space="preserve">EMP0469</t>
  </si>
  <si>
    <t xml:space="preserve">EMP0470</t>
  </si>
  <si>
    <t xml:space="preserve">EMP0471</t>
  </si>
  <si>
    <t xml:space="preserve">EMP0472</t>
  </si>
  <si>
    <t xml:space="preserve">EMP0473</t>
  </si>
  <si>
    <t xml:space="preserve">EMP0474</t>
  </si>
  <si>
    <t xml:space="preserve">EMP0475</t>
  </si>
  <si>
    <t xml:space="preserve">EMP0476</t>
  </si>
  <si>
    <t xml:space="preserve">EMP0477</t>
  </si>
  <si>
    <t xml:space="preserve">EMP0478</t>
  </si>
  <si>
    <t xml:space="preserve">EMP0479</t>
  </si>
  <si>
    <t xml:space="preserve">EMP0480</t>
  </si>
  <si>
    <t xml:space="preserve">EMP0481</t>
  </si>
  <si>
    <t xml:space="preserve">EMP0482</t>
  </si>
  <si>
    <t xml:space="preserve">EMP0483</t>
  </si>
  <si>
    <t xml:space="preserve">EMP0484</t>
  </si>
  <si>
    <t xml:space="preserve">EMP0485</t>
  </si>
  <si>
    <t xml:space="preserve">EMP0486</t>
  </si>
  <si>
    <t xml:space="preserve">EMP0487</t>
  </si>
  <si>
    <t xml:space="preserve">EMP0488</t>
  </si>
  <si>
    <t xml:space="preserve">EMP0489</t>
  </si>
  <si>
    <t xml:space="preserve">EMP0490</t>
  </si>
  <si>
    <t xml:space="preserve">EMP0491</t>
  </si>
  <si>
    <t xml:space="preserve">EMP0492</t>
  </si>
  <si>
    <t xml:space="preserve">EMP0493</t>
  </si>
  <si>
    <t xml:space="preserve">EMP0494</t>
  </si>
  <si>
    <t xml:space="preserve">EMP0495</t>
  </si>
  <si>
    <t xml:space="preserve">EMP0496</t>
  </si>
  <si>
    <t xml:space="preserve">EMP0497</t>
  </si>
  <si>
    <t xml:space="preserve">EMP0498</t>
  </si>
  <si>
    <t xml:space="preserve">EMP0499</t>
  </si>
  <si>
    <t xml:space="preserve">EMP0500</t>
  </si>
  <si>
    <t xml:space="preserve">EMP0501</t>
  </si>
  <si>
    <t xml:space="preserve">EMP0502</t>
  </si>
  <si>
    <t xml:space="preserve">EMP0503</t>
  </si>
  <si>
    <t xml:space="preserve">EMP0504</t>
  </si>
  <si>
    <t xml:space="preserve">EMP0505</t>
  </si>
  <si>
    <t xml:space="preserve">EMP0506</t>
  </si>
  <si>
    <t xml:space="preserve">EMP0507</t>
  </si>
  <si>
    <t xml:space="preserve">EMP0508</t>
  </si>
  <si>
    <t xml:space="preserve">EMP0509</t>
  </si>
  <si>
    <t xml:space="preserve">EMP0510</t>
  </si>
  <si>
    <t xml:space="preserve">EMP0511</t>
  </si>
  <si>
    <t xml:space="preserve">EMP0512</t>
  </si>
  <si>
    <t xml:space="preserve">EMP0513</t>
  </si>
  <si>
    <t xml:space="preserve">EMP0514</t>
  </si>
  <si>
    <t xml:space="preserve">EMP0515</t>
  </si>
  <si>
    <t xml:space="preserve">EMP0516</t>
  </si>
  <si>
    <t xml:space="preserve">EMP0517</t>
  </si>
  <si>
    <t xml:space="preserve">EMP0518</t>
  </si>
  <si>
    <t xml:space="preserve">EMP0519</t>
  </si>
  <si>
    <t xml:space="preserve">EMP0520</t>
  </si>
  <si>
    <t xml:space="preserve">EMP0521</t>
  </si>
  <si>
    <t xml:space="preserve">EMP0522</t>
  </si>
  <si>
    <t xml:space="preserve">EMP0523</t>
  </si>
  <si>
    <t xml:space="preserve">EMP0524</t>
  </si>
  <si>
    <t xml:space="preserve">EMP0525</t>
  </si>
  <si>
    <t xml:space="preserve">EMP0526</t>
  </si>
  <si>
    <t xml:space="preserve">EMP0527</t>
  </si>
  <si>
    <t xml:space="preserve">EMP0528</t>
  </si>
  <si>
    <t xml:space="preserve">EMP0529</t>
  </si>
  <si>
    <t xml:space="preserve">EMP0530</t>
  </si>
  <si>
    <t xml:space="preserve">EMP0531</t>
  </si>
  <si>
    <t xml:space="preserve">EMP0532</t>
  </si>
  <si>
    <t xml:space="preserve">EMP0533</t>
  </si>
  <si>
    <t xml:space="preserve">EMP0534</t>
  </si>
  <si>
    <t xml:space="preserve">EMP0535</t>
  </si>
  <si>
    <t xml:space="preserve">EMP0536</t>
  </si>
  <si>
    <t xml:space="preserve">EMP0537</t>
  </si>
  <si>
    <t xml:space="preserve">EMP0538</t>
  </si>
  <si>
    <t xml:space="preserve">EMP0539</t>
  </si>
  <si>
    <t xml:space="preserve">EMP0540</t>
  </si>
  <si>
    <t xml:space="preserve">EMP0541</t>
  </si>
  <si>
    <t xml:space="preserve">EMP0542</t>
  </si>
  <si>
    <t xml:space="preserve">EMP0543</t>
  </si>
  <si>
    <t xml:space="preserve">EMP0544</t>
  </si>
  <si>
    <t xml:space="preserve">EMP0545</t>
  </si>
  <si>
    <t xml:space="preserve">EMP0546</t>
  </si>
  <si>
    <t xml:space="preserve">EMP0547</t>
  </si>
  <si>
    <t xml:space="preserve">Work-Life Balance </t>
  </si>
  <si>
    <t xml:space="preserve">EMP0548</t>
  </si>
  <si>
    <t xml:space="preserve">EMP0549</t>
  </si>
  <si>
    <t xml:space="preserve">EMP0550</t>
  </si>
  <si>
    <t xml:space="preserve">EMP0551</t>
  </si>
  <si>
    <t xml:space="preserve">EMP0552</t>
  </si>
  <si>
    <t xml:space="preserve">EMP0553</t>
  </si>
  <si>
    <t xml:space="preserve">EMP0554</t>
  </si>
  <si>
    <t xml:space="preserve">EMP0555</t>
  </si>
  <si>
    <t xml:space="preserve">EMP0556</t>
  </si>
  <si>
    <t xml:space="preserve">EMP0557</t>
  </si>
  <si>
    <t xml:space="preserve">EMP0558</t>
  </si>
  <si>
    <t xml:space="preserve">EMP0559</t>
  </si>
  <si>
    <t xml:space="preserve">EMP0560</t>
  </si>
  <si>
    <t xml:space="preserve">EMP0561</t>
  </si>
  <si>
    <t xml:space="preserve">EMP0562</t>
  </si>
  <si>
    <t xml:space="preserve">EMP0563</t>
  </si>
  <si>
    <t xml:space="preserve">EMP0564</t>
  </si>
  <si>
    <t xml:space="preserve">EMP0565</t>
  </si>
  <si>
    <t xml:space="preserve">EMP0566</t>
  </si>
  <si>
    <t xml:space="preserve">EMP0567</t>
  </si>
  <si>
    <t xml:space="preserve">EMP0568</t>
  </si>
  <si>
    <t xml:space="preserve">EMP0569</t>
  </si>
  <si>
    <t xml:space="preserve">EMP0570</t>
  </si>
  <si>
    <t xml:space="preserve">EMP0571</t>
  </si>
  <si>
    <t xml:space="preserve">EMP0572</t>
  </si>
  <si>
    <t xml:space="preserve">EMP0573</t>
  </si>
  <si>
    <t xml:space="preserve">EMP0574</t>
  </si>
  <si>
    <t xml:space="preserve">EMP0575</t>
  </si>
  <si>
    <t xml:space="preserve">EMP0576</t>
  </si>
  <si>
    <t xml:space="preserve">EMP0577</t>
  </si>
  <si>
    <t xml:space="preserve">EMP0578</t>
  </si>
  <si>
    <t xml:space="preserve">EMP0579</t>
  </si>
  <si>
    <t xml:space="preserve">EMP0580</t>
  </si>
  <si>
    <t xml:space="preserve">EMP0581</t>
  </si>
  <si>
    <t xml:space="preserve">EMP0582</t>
  </si>
  <si>
    <t xml:space="preserve">EMP0583</t>
  </si>
  <si>
    <t xml:space="preserve">EMP0584</t>
  </si>
  <si>
    <t xml:space="preserve">EMP0585</t>
  </si>
  <si>
    <t xml:space="preserve">EMP0586</t>
  </si>
  <si>
    <t xml:space="preserve">EMP0587</t>
  </si>
  <si>
    <t xml:space="preserve">EMP0588</t>
  </si>
  <si>
    <t xml:space="preserve">EMP0589</t>
  </si>
  <si>
    <t xml:space="preserve">EMP0590</t>
  </si>
  <si>
    <t xml:space="preserve">EMP0591</t>
  </si>
  <si>
    <t xml:space="preserve">EMP0592</t>
  </si>
  <si>
    <t xml:space="preserve">EMP0593</t>
  </si>
  <si>
    <t xml:space="preserve">EMP0594</t>
  </si>
  <si>
    <t xml:space="preserve">EMP0595</t>
  </si>
  <si>
    <t xml:space="preserve">EMP0596</t>
  </si>
  <si>
    <t xml:space="preserve">EMP0597</t>
  </si>
  <si>
    <t xml:space="preserve">EMP0598</t>
  </si>
  <si>
    <t xml:space="preserve">EMP0599</t>
  </si>
  <si>
    <t xml:space="preserve">EMP0600</t>
  </si>
  <si>
    <t xml:space="preserve">EMP0601</t>
  </si>
  <si>
    <t xml:space="preserve">EMP0602</t>
  </si>
  <si>
    <t xml:space="preserve">Restructuring / Layoff </t>
  </si>
  <si>
    <t xml:space="preserve">EMP0603</t>
  </si>
  <si>
    <t xml:space="preserve">EMP0604</t>
  </si>
  <si>
    <t xml:space="preserve">EMP0605</t>
  </si>
  <si>
    <t xml:space="preserve">EMP0606</t>
  </si>
  <si>
    <t xml:space="preserve">EMP0607</t>
  </si>
  <si>
    <t xml:space="preserve">EMP0608</t>
  </si>
  <si>
    <t xml:space="preserve">EMP0609</t>
  </si>
  <si>
    <t xml:space="preserve">EMP0610</t>
  </si>
  <si>
    <t xml:space="preserve">EMP0611</t>
  </si>
  <si>
    <t xml:space="preserve">EMP0612</t>
  </si>
  <si>
    <t xml:space="preserve">EMP0613</t>
  </si>
  <si>
    <t xml:space="preserve">EMP0614</t>
  </si>
  <si>
    <t xml:space="preserve">EMP0615</t>
  </si>
  <si>
    <t xml:space="preserve">EMP0616</t>
  </si>
  <si>
    <t xml:space="preserve">EMP0617</t>
  </si>
  <si>
    <t xml:space="preserve">EMP0618</t>
  </si>
  <si>
    <t xml:space="preserve">EMP0619</t>
  </si>
  <si>
    <t xml:space="preserve">EMP0620</t>
  </si>
  <si>
    <t xml:space="preserve">EMP0621</t>
  </si>
  <si>
    <t xml:space="preserve">EMP0622</t>
  </si>
  <si>
    <t xml:space="preserve">EMP0623</t>
  </si>
  <si>
    <t xml:space="preserve">EMP0624</t>
  </si>
  <si>
    <t xml:space="preserve">EMP0625</t>
  </si>
  <si>
    <t xml:space="preserve">EMP0626</t>
  </si>
  <si>
    <t xml:space="preserve">EMP0627</t>
  </si>
  <si>
    <t xml:space="preserve">EMP0628</t>
  </si>
  <si>
    <t xml:space="preserve">EMP0629</t>
  </si>
  <si>
    <t xml:space="preserve">EMP0630</t>
  </si>
  <si>
    <t xml:space="preserve">EMP0631</t>
  </si>
  <si>
    <t xml:space="preserve">EMP0632</t>
  </si>
  <si>
    <t xml:space="preserve">EMP0633</t>
  </si>
  <si>
    <t xml:space="preserve">EMP0634</t>
  </si>
  <si>
    <t xml:space="preserve">EMP0635</t>
  </si>
  <si>
    <t xml:space="preserve">EMP0636</t>
  </si>
  <si>
    <t xml:space="preserve">EMP0637</t>
  </si>
  <si>
    <t xml:space="preserve">EMP0638</t>
  </si>
  <si>
    <t xml:space="preserve">EMP0639</t>
  </si>
  <si>
    <t xml:space="preserve">EMP0640</t>
  </si>
  <si>
    <t xml:space="preserve">EMP0641</t>
  </si>
  <si>
    <t xml:space="preserve">EMP0642</t>
  </si>
  <si>
    <t xml:space="preserve">EMP0643</t>
  </si>
  <si>
    <t xml:space="preserve">EMP0644</t>
  </si>
  <si>
    <t xml:space="preserve">EMP0645</t>
  </si>
  <si>
    <t xml:space="preserve">EMP0646</t>
  </si>
  <si>
    <t xml:space="preserve">EMP0647</t>
  </si>
  <si>
    <t xml:space="preserve">EMP0648</t>
  </si>
  <si>
    <t xml:space="preserve">EMP0649</t>
  </si>
  <si>
    <t xml:space="preserve">EMP0650</t>
  </si>
  <si>
    <t xml:space="preserve">EMP0651</t>
  </si>
  <si>
    <t xml:space="preserve">EMP0652</t>
  </si>
  <si>
    <t xml:space="preserve">EMP0653</t>
  </si>
  <si>
    <t xml:space="preserve">EMP0654</t>
  </si>
  <si>
    <t xml:space="preserve">EMP0655</t>
  </si>
  <si>
    <t xml:space="preserve">EMP0656</t>
  </si>
  <si>
    <t xml:space="preserve">EMP0657</t>
  </si>
  <si>
    <t xml:space="preserve">EMP0658</t>
  </si>
  <si>
    <t xml:space="preserve">EMP0659</t>
  </si>
  <si>
    <t xml:space="preserve">EMP0660</t>
  </si>
  <si>
    <t xml:space="preserve">EMP0661</t>
  </si>
  <si>
    <t xml:space="preserve">EMP0662</t>
  </si>
  <si>
    <t xml:space="preserve">EMP0663</t>
  </si>
  <si>
    <t xml:space="preserve">EMP0664</t>
  </si>
  <si>
    <t xml:space="preserve">EMP0665</t>
  </si>
  <si>
    <t xml:space="preserve">EMP0666</t>
  </si>
  <si>
    <t xml:space="preserve">EMP0667</t>
  </si>
  <si>
    <t xml:space="preserve">EMP0668</t>
  </si>
  <si>
    <t xml:space="preserve">EMP0669</t>
  </si>
  <si>
    <t xml:space="preserve">EMP0670</t>
  </si>
  <si>
    <t xml:space="preserve">EMP0671</t>
  </si>
  <si>
    <t xml:space="preserve">EMP0672</t>
  </si>
  <si>
    <t xml:space="preserve">EMP0673</t>
  </si>
  <si>
    <t xml:space="preserve">EMP0674</t>
  </si>
  <si>
    <t xml:space="preserve">EMP0675</t>
  </si>
  <si>
    <t xml:space="preserve">EMP0676</t>
  </si>
  <si>
    <t xml:space="preserve">EMP0677</t>
  </si>
  <si>
    <t xml:space="preserve">EMP0678</t>
  </si>
  <si>
    <t xml:space="preserve">EMP0679</t>
  </si>
  <si>
    <t xml:space="preserve">EMP0680</t>
  </si>
  <si>
    <t xml:space="preserve">EMP0681</t>
  </si>
  <si>
    <t xml:space="preserve">EMP0682</t>
  </si>
  <si>
    <t xml:space="preserve">EMP0683</t>
  </si>
  <si>
    <t xml:space="preserve">EMP0684</t>
  </si>
  <si>
    <t xml:space="preserve">EMP0685</t>
  </si>
  <si>
    <t xml:space="preserve">EMP0686</t>
  </si>
  <si>
    <t xml:space="preserve">EMP0687</t>
  </si>
  <si>
    <t xml:space="preserve">EMP0688</t>
  </si>
  <si>
    <t xml:space="preserve">EMP0689</t>
  </si>
  <si>
    <t xml:space="preserve">EMP0690</t>
  </si>
  <si>
    <t xml:space="preserve">EMP0691</t>
  </si>
  <si>
    <t xml:space="preserve">EMP0692</t>
  </si>
  <si>
    <t xml:space="preserve">EMP0693</t>
  </si>
  <si>
    <t xml:space="preserve">EMP0694</t>
  </si>
  <si>
    <t xml:space="preserve">EMP0695</t>
  </si>
  <si>
    <t xml:space="preserve">EMP0696</t>
  </si>
  <si>
    <t xml:space="preserve">EMP0697</t>
  </si>
  <si>
    <t xml:space="preserve">EMP0698</t>
  </si>
  <si>
    <t xml:space="preserve">EMP0699</t>
  </si>
  <si>
    <t xml:space="preserve">EMP0700</t>
  </si>
  <si>
    <t xml:space="preserve">EMP0701</t>
  </si>
  <si>
    <t xml:space="preserve">EMP0702</t>
  </si>
  <si>
    <t xml:space="preserve">EMP0703</t>
  </si>
  <si>
    <t xml:space="preserve">EMP0704</t>
  </si>
  <si>
    <t xml:space="preserve">EMP0705</t>
  </si>
  <si>
    <t xml:space="preserve">EMP0706</t>
  </si>
  <si>
    <t xml:space="preserve">EMP0707</t>
  </si>
  <si>
    <t xml:space="preserve">EMP0708</t>
  </si>
  <si>
    <t xml:space="preserve">EMP0709</t>
  </si>
  <si>
    <t xml:space="preserve">EMP0710</t>
  </si>
  <si>
    <t xml:space="preserve">EMP0711</t>
  </si>
  <si>
    <t xml:space="preserve">EMP0712</t>
  </si>
  <si>
    <t xml:space="preserve">EMP0713</t>
  </si>
  <si>
    <t xml:space="preserve">EMP0714</t>
  </si>
  <si>
    <t xml:space="preserve">EMP0715</t>
  </si>
  <si>
    <t xml:space="preserve">EMP0716</t>
  </si>
  <si>
    <t xml:space="preserve">EMP0717</t>
  </si>
  <si>
    <t xml:space="preserve">EMP0718</t>
  </si>
  <si>
    <t xml:space="preserve">EMP0719</t>
  </si>
  <si>
    <t xml:space="preserve">EMP0720</t>
  </si>
  <si>
    <t xml:space="preserve">EMP0721</t>
  </si>
  <si>
    <t xml:space="preserve">EMP0722</t>
  </si>
  <si>
    <t xml:space="preserve">EMP0723</t>
  </si>
  <si>
    <t xml:space="preserve">EMP0724</t>
  </si>
  <si>
    <t xml:space="preserve">EMP0725</t>
  </si>
  <si>
    <t xml:space="preserve">EMP0726</t>
  </si>
  <si>
    <t xml:space="preserve">EMP0727</t>
  </si>
  <si>
    <t xml:space="preserve">EMP0728</t>
  </si>
  <si>
    <t xml:space="preserve">EMP0729</t>
  </si>
  <si>
    <t xml:space="preserve">EMP0730</t>
  </si>
  <si>
    <t xml:space="preserve">EMP0731</t>
  </si>
  <si>
    <t xml:space="preserve">EMP0732</t>
  </si>
  <si>
    <t xml:space="preserve">EMP0733</t>
  </si>
  <si>
    <t xml:space="preserve">EMP0734</t>
  </si>
  <si>
    <t xml:space="preserve">EMP0735</t>
  </si>
  <si>
    <t xml:space="preserve">EMP0736</t>
  </si>
  <si>
    <t xml:space="preserve">EMP0737</t>
  </si>
  <si>
    <t xml:space="preserve">EMP0738</t>
  </si>
  <si>
    <t xml:space="preserve">EMP0739</t>
  </si>
  <si>
    <t xml:space="preserve">EMP0740</t>
  </si>
  <si>
    <t xml:space="preserve">EMP0741</t>
  </si>
  <si>
    <t xml:space="preserve">EMP0742</t>
  </si>
  <si>
    <t xml:space="preserve">EMP0743</t>
  </si>
  <si>
    <t xml:space="preserve">EMP0744</t>
  </si>
  <si>
    <t xml:space="preserve">EMP0745</t>
  </si>
  <si>
    <t xml:space="preserve">EMP0746</t>
  </si>
  <si>
    <t xml:space="preserve">EMP0747</t>
  </si>
  <si>
    <t xml:space="preserve">EMP0748</t>
  </si>
  <si>
    <t xml:space="preserve">EMP0749</t>
  </si>
  <si>
    <t xml:space="preserve">EMP0750</t>
  </si>
  <si>
    <t xml:space="preserve">EMP0751</t>
  </si>
  <si>
    <t xml:space="preserve">Poor Performance </t>
  </si>
  <si>
    <t xml:space="preserve">EMP0752</t>
  </si>
  <si>
    <t xml:space="preserve">EMP0753</t>
  </si>
  <si>
    <t xml:space="preserve">EMP0754</t>
  </si>
  <si>
    <t xml:space="preserve">EMP0755</t>
  </si>
  <si>
    <t xml:space="preserve">EMP0756</t>
  </si>
  <si>
    <t xml:space="preserve">EMP0757</t>
  </si>
  <si>
    <t xml:space="preserve">EMP0758</t>
  </si>
  <si>
    <t xml:space="preserve">EMP0759</t>
  </si>
  <si>
    <t xml:space="preserve">EMP0760</t>
  </si>
  <si>
    <t xml:space="preserve">EMP0761</t>
  </si>
  <si>
    <t xml:space="preserve">EMP0762</t>
  </si>
  <si>
    <t xml:space="preserve">EMP0763</t>
  </si>
  <si>
    <t xml:space="preserve">EMP0764</t>
  </si>
  <si>
    <t xml:space="preserve">EMP0765</t>
  </si>
  <si>
    <t xml:space="preserve">EMP0766</t>
  </si>
  <si>
    <t xml:space="preserve">EMP0767</t>
  </si>
  <si>
    <t xml:space="preserve">EMP0768</t>
  </si>
  <si>
    <t xml:space="preserve">EMP0769</t>
  </si>
  <si>
    <t xml:space="preserve">EMP0770</t>
  </si>
  <si>
    <t xml:space="preserve">EMP0771</t>
  </si>
  <si>
    <t xml:space="preserve">EMP0772</t>
  </si>
  <si>
    <t xml:space="preserve">EMP0773</t>
  </si>
  <si>
    <t xml:space="preserve">EMP0774</t>
  </si>
  <si>
    <t xml:space="preserve">EMP0775</t>
  </si>
  <si>
    <t xml:space="preserve">EMP0776</t>
  </si>
  <si>
    <t xml:space="preserve">EMP0777</t>
  </si>
  <si>
    <t xml:space="preserve">EMP0778</t>
  </si>
  <si>
    <t xml:space="preserve">EMP0779</t>
  </si>
  <si>
    <t xml:space="preserve">EMP0780</t>
  </si>
  <si>
    <t xml:space="preserve">EMP0781</t>
  </si>
  <si>
    <t xml:space="preserve">EMP0782</t>
  </si>
  <si>
    <t xml:space="preserve">EMP0783</t>
  </si>
  <si>
    <t xml:space="preserve">EMP0784</t>
  </si>
  <si>
    <t xml:space="preserve">EMP0785</t>
  </si>
  <si>
    <t xml:space="preserve">EMP0786</t>
  </si>
  <si>
    <t xml:space="preserve">EMP0787</t>
  </si>
  <si>
    <t xml:space="preserve">EMP0788</t>
  </si>
  <si>
    <t xml:space="preserve">EMP0789</t>
  </si>
  <si>
    <t xml:space="preserve">EMP0790</t>
  </si>
  <si>
    <t xml:space="preserve">EMP0791</t>
  </si>
  <si>
    <t xml:space="preserve">EMP0792</t>
  </si>
  <si>
    <t xml:space="preserve">EMP0793</t>
  </si>
  <si>
    <t xml:space="preserve">EMP0794</t>
  </si>
  <si>
    <t xml:space="preserve">EMP0795</t>
  </si>
  <si>
    <t xml:space="preserve">EMP0796</t>
  </si>
  <si>
    <t xml:space="preserve">EMP0797</t>
  </si>
  <si>
    <t xml:space="preserve">EMP0798</t>
  </si>
  <si>
    <t xml:space="preserve">EMP0799</t>
  </si>
  <si>
    <t xml:space="preserve">EMP0800</t>
  </si>
  <si>
    <t xml:space="preserve">EMP0801</t>
  </si>
  <si>
    <t xml:space="preserve">EMP0802</t>
  </si>
  <si>
    <t xml:space="preserve">EMP0803</t>
  </si>
  <si>
    <t xml:space="preserve">EMP0804</t>
  </si>
  <si>
    <t xml:space="preserve">EMP0805</t>
  </si>
  <si>
    <t xml:space="preserve">EMP0806</t>
  </si>
  <si>
    <t xml:space="preserve">EMP0807</t>
  </si>
  <si>
    <t xml:space="preserve">EMP0808</t>
  </si>
  <si>
    <t xml:space="preserve">EMP0809</t>
  </si>
  <si>
    <t xml:space="preserve">EMP0810</t>
  </si>
  <si>
    <t xml:space="preserve">EMP0811</t>
  </si>
  <si>
    <t xml:space="preserve">EMP0812</t>
  </si>
  <si>
    <t xml:space="preserve">EMP0813</t>
  </si>
  <si>
    <t xml:space="preserve">EMP0814</t>
  </si>
  <si>
    <t xml:space="preserve">EMP0815</t>
  </si>
  <si>
    <t xml:space="preserve">EMP0816</t>
  </si>
  <si>
    <t xml:space="preserve">EMP0817</t>
  </si>
  <si>
    <t xml:space="preserve">EMP0818</t>
  </si>
  <si>
    <t xml:space="preserve">EMP0819</t>
  </si>
  <si>
    <t xml:space="preserve">EMP0820</t>
  </si>
  <si>
    <t xml:space="preserve">EMP0821</t>
  </si>
  <si>
    <t xml:space="preserve">EMP0822</t>
  </si>
  <si>
    <t xml:space="preserve">EMP0823</t>
  </si>
  <si>
    <t xml:space="preserve">EMP0824</t>
  </si>
  <si>
    <t xml:space="preserve">EMP0825</t>
  </si>
  <si>
    <t xml:space="preserve">EMP0826</t>
  </si>
  <si>
    <t xml:space="preserve">EMP0827</t>
  </si>
  <si>
    <t xml:space="preserve">EMP0828</t>
  </si>
  <si>
    <t xml:space="preserve">EMP0829</t>
  </si>
  <si>
    <t xml:space="preserve">EMP0830</t>
  </si>
  <si>
    <t xml:space="preserve">EMP0831</t>
  </si>
  <si>
    <t xml:space="preserve">EMP0832</t>
  </si>
  <si>
    <t xml:space="preserve">EMP0833</t>
  </si>
  <si>
    <t xml:space="preserve">EMP0834</t>
  </si>
  <si>
    <t xml:space="preserve">EMP0835</t>
  </si>
  <si>
    <t xml:space="preserve">EMP0836</t>
  </si>
  <si>
    <t xml:space="preserve">EMP0837</t>
  </si>
  <si>
    <t xml:space="preserve">EMP0838</t>
  </si>
  <si>
    <t xml:space="preserve">EMP0839</t>
  </si>
  <si>
    <t xml:space="preserve">EMP0840</t>
  </si>
  <si>
    <t xml:space="preserve">EMP0841</t>
  </si>
  <si>
    <t xml:space="preserve">EMP0842</t>
  </si>
  <si>
    <t xml:space="preserve">EMP0843</t>
  </si>
  <si>
    <t xml:space="preserve">EMP0844</t>
  </si>
  <si>
    <t xml:space="preserve">EMP0845</t>
  </si>
  <si>
    <t xml:space="preserve">EMP0846</t>
  </si>
  <si>
    <t xml:space="preserve">EMP0847</t>
  </si>
  <si>
    <t xml:space="preserve">EMP0848</t>
  </si>
  <si>
    <t xml:space="preserve">EMP0849</t>
  </si>
  <si>
    <t xml:space="preserve">EMP0850</t>
  </si>
  <si>
    <t xml:space="preserve">EMP0851</t>
  </si>
  <si>
    <t xml:space="preserve">EMP0852</t>
  </si>
  <si>
    <t xml:space="preserve">EMP0853</t>
  </si>
  <si>
    <t xml:space="preserve">EMP0854</t>
  </si>
  <si>
    <t xml:space="preserve">EMP0855</t>
  </si>
  <si>
    <t xml:space="preserve">EMP0856</t>
  </si>
  <si>
    <t xml:space="preserve">EMP0857</t>
  </si>
  <si>
    <t xml:space="preserve">EMP0858</t>
  </si>
  <si>
    <t xml:space="preserve">EMP0859</t>
  </si>
  <si>
    <t xml:space="preserve">EMP0860</t>
  </si>
  <si>
    <t xml:space="preserve">EMP0861</t>
  </si>
  <si>
    <t xml:space="preserve">EMP0862</t>
  </si>
  <si>
    <t xml:space="preserve">EMP0863</t>
  </si>
  <si>
    <t xml:space="preserve">EMP0864</t>
  </si>
  <si>
    <t xml:space="preserve">EMP0865</t>
  </si>
  <si>
    <t xml:space="preserve">EMP0866</t>
  </si>
  <si>
    <t xml:space="preserve">EMP0867</t>
  </si>
  <si>
    <t xml:space="preserve">EMP0868</t>
  </si>
  <si>
    <t xml:space="preserve">EMP0869</t>
  </si>
  <si>
    <t xml:space="preserve">EMP0870</t>
  </si>
  <si>
    <t xml:space="preserve">EMP0871</t>
  </si>
  <si>
    <t xml:space="preserve">EMP0872</t>
  </si>
  <si>
    <t xml:space="preserve">EMP0873</t>
  </si>
  <si>
    <t xml:space="preserve">EMP0874</t>
  </si>
  <si>
    <t xml:space="preserve">EMP0875</t>
  </si>
  <si>
    <t xml:space="preserve">EMP0876</t>
  </si>
  <si>
    <t xml:space="preserve">EMP0877</t>
  </si>
  <si>
    <t xml:space="preserve">EMP0878</t>
  </si>
  <si>
    <t xml:space="preserve">EMP0879</t>
  </si>
  <si>
    <t xml:space="preserve">EMP0880</t>
  </si>
  <si>
    <t xml:space="preserve">EMP0881</t>
  </si>
  <si>
    <t xml:space="preserve">EMP0882</t>
  </si>
  <si>
    <t xml:space="preserve">EMP0883</t>
  </si>
  <si>
    <t xml:space="preserve">EMP0884</t>
  </si>
  <si>
    <t xml:space="preserve">EMP0885</t>
  </si>
  <si>
    <t xml:space="preserve">EMP0886</t>
  </si>
  <si>
    <t xml:space="preserve">EMP0887</t>
  </si>
  <si>
    <t xml:space="preserve">EMP0888</t>
  </si>
  <si>
    <t xml:space="preserve">EMP0889</t>
  </si>
  <si>
    <t xml:space="preserve">EMP0890</t>
  </si>
  <si>
    <t xml:space="preserve">EMP0891</t>
  </si>
  <si>
    <t xml:space="preserve">EMP0892</t>
  </si>
  <si>
    <t xml:space="preserve">EMP0893</t>
  </si>
  <si>
    <t xml:space="preserve">EMP0894</t>
  </si>
  <si>
    <t xml:space="preserve">EMP0895</t>
  </si>
  <si>
    <t xml:space="preserve">EMP0896</t>
  </si>
  <si>
    <t xml:space="preserve">EMP0897</t>
  </si>
  <si>
    <t xml:space="preserve">EMP0898</t>
  </si>
  <si>
    <t xml:space="preserve">EMP0899</t>
  </si>
  <si>
    <t xml:space="preserve">EMP0900</t>
  </si>
  <si>
    <t xml:space="preserve">EMP0901</t>
  </si>
  <si>
    <t xml:space="preserve">EMP0902</t>
  </si>
  <si>
    <t xml:space="preserve">EMP0903</t>
  </si>
  <si>
    <t xml:space="preserve">EMP0904</t>
  </si>
  <si>
    <t xml:space="preserve">EMP0905</t>
  </si>
  <si>
    <t xml:space="preserve">EMP0906</t>
  </si>
  <si>
    <t xml:space="preserve">EMP0907</t>
  </si>
  <si>
    <t xml:space="preserve">EMP0908</t>
  </si>
  <si>
    <t xml:space="preserve">EMP0909</t>
  </si>
  <si>
    <t xml:space="preserve">EMP0910</t>
  </si>
  <si>
    <t xml:space="preserve">EMP0911</t>
  </si>
  <si>
    <t xml:space="preserve">EMP0912</t>
  </si>
  <si>
    <t xml:space="preserve">EMP0913</t>
  </si>
  <si>
    <t xml:space="preserve">EMP0914</t>
  </si>
  <si>
    <t xml:space="preserve">EMP0915</t>
  </si>
  <si>
    <t xml:space="preserve">EMP0916</t>
  </si>
  <si>
    <t xml:space="preserve">EMP0917</t>
  </si>
  <si>
    <t xml:space="preserve">EMP0918</t>
  </si>
  <si>
    <t xml:space="preserve">EMP0919</t>
  </si>
  <si>
    <t xml:space="preserve">EMP0920</t>
  </si>
  <si>
    <t xml:space="preserve">EMP0921</t>
  </si>
  <si>
    <t xml:space="preserve">EMP0922</t>
  </si>
  <si>
    <t xml:space="preserve">EMP0923</t>
  </si>
  <si>
    <t xml:space="preserve">EMP0924</t>
  </si>
  <si>
    <t xml:space="preserve">EMP0925</t>
  </si>
  <si>
    <t xml:space="preserve">EMP0926</t>
  </si>
  <si>
    <t xml:space="preserve">EMP0927</t>
  </si>
  <si>
    <t xml:space="preserve">EMP0928</t>
  </si>
  <si>
    <t xml:space="preserve">EMP0929</t>
  </si>
  <si>
    <t xml:space="preserve">EMP0930</t>
  </si>
  <si>
    <t xml:space="preserve">EMP0931</t>
  </si>
  <si>
    <t xml:space="preserve">EMP0932</t>
  </si>
  <si>
    <t xml:space="preserve">EMP0933</t>
  </si>
  <si>
    <t xml:space="preserve">EMP0934</t>
  </si>
  <si>
    <t xml:space="preserve">EMP0935</t>
  </si>
  <si>
    <t xml:space="preserve">EMP0936</t>
  </si>
  <si>
    <t xml:space="preserve">EMP0937</t>
  </si>
  <si>
    <t xml:space="preserve">EMP0938</t>
  </si>
  <si>
    <t xml:space="preserve">EMP0939</t>
  </si>
  <si>
    <t xml:space="preserve">EMP0940</t>
  </si>
  <si>
    <t xml:space="preserve">EMP0941</t>
  </si>
  <si>
    <t xml:space="preserve">EMP0942</t>
  </si>
  <si>
    <t xml:space="preserve">EMP0943</t>
  </si>
  <si>
    <t xml:space="preserve">EMP0944</t>
  </si>
  <si>
    <t xml:space="preserve">EMP0945</t>
  </si>
  <si>
    <t xml:space="preserve">EMP0946</t>
  </si>
  <si>
    <t xml:space="preserve">EMP0947</t>
  </si>
  <si>
    <t xml:space="preserve">EMP0948</t>
  </si>
  <si>
    <t xml:space="preserve">EMP0949</t>
  </si>
  <si>
    <t xml:space="preserve">EMP0950</t>
  </si>
  <si>
    <t xml:space="preserve">EMP0951</t>
  </si>
  <si>
    <t xml:space="preserve">EMP0952</t>
  </si>
  <si>
    <t xml:space="preserve">EMP0953</t>
  </si>
  <si>
    <t xml:space="preserve">EMP0954</t>
  </si>
  <si>
    <t xml:space="preserve">EMP0955</t>
  </si>
  <si>
    <t xml:space="preserve">EMP0956</t>
  </si>
  <si>
    <t xml:space="preserve">EMP0957</t>
  </si>
  <si>
    <t xml:space="preserve">EMP0958</t>
  </si>
  <si>
    <t xml:space="preserve">EMP0959</t>
  </si>
  <si>
    <t xml:space="preserve">EMP0960</t>
  </si>
  <si>
    <t xml:space="preserve">EMP0961</t>
  </si>
  <si>
    <t xml:space="preserve">EMP0962</t>
  </si>
  <si>
    <t xml:space="preserve">EMP0963</t>
  </si>
  <si>
    <t xml:space="preserve">EMP0964</t>
  </si>
  <si>
    <t xml:space="preserve">EMP0965</t>
  </si>
  <si>
    <t xml:space="preserve">EMP0966</t>
  </si>
  <si>
    <t xml:space="preserve">EMP0967</t>
  </si>
  <si>
    <t xml:space="preserve">EMP0968</t>
  </si>
  <si>
    <t xml:space="preserve">EMP0969</t>
  </si>
  <si>
    <t xml:space="preserve">EMP0970</t>
  </si>
  <si>
    <t xml:space="preserve">EMP0971</t>
  </si>
  <si>
    <t xml:space="preserve">EMP0972</t>
  </si>
  <si>
    <t xml:space="preserve">EMP0973</t>
  </si>
  <si>
    <t xml:space="preserve">EMP0974</t>
  </si>
  <si>
    <t xml:space="preserve">EMP0975</t>
  </si>
  <si>
    <t xml:space="preserve">EMP0976</t>
  </si>
  <si>
    <t xml:space="preserve">EMP0977</t>
  </si>
  <si>
    <t xml:space="preserve">EMP0978</t>
  </si>
  <si>
    <t xml:space="preserve">EMP0979</t>
  </si>
  <si>
    <t xml:space="preserve">EMP0980</t>
  </si>
  <si>
    <t xml:space="preserve">EMP0981</t>
  </si>
  <si>
    <t xml:space="preserve">EMP0982</t>
  </si>
  <si>
    <t xml:space="preserve">EMP0983</t>
  </si>
  <si>
    <t xml:space="preserve">EMP0984</t>
  </si>
  <si>
    <t xml:space="preserve">EMP0985</t>
  </si>
  <si>
    <t xml:space="preserve">EMP0986</t>
  </si>
  <si>
    <t xml:space="preserve">EMP0987</t>
  </si>
  <si>
    <t xml:space="preserve">EMP0988</t>
  </si>
  <si>
    <t xml:space="preserve">EMP0989</t>
  </si>
  <si>
    <t xml:space="preserve">EMP0990</t>
  </si>
  <si>
    <t xml:space="preserve">EMP0991</t>
  </si>
  <si>
    <t xml:space="preserve">EMP0992</t>
  </si>
  <si>
    <t xml:space="preserve">EMP0993</t>
  </si>
  <si>
    <t xml:space="preserve">EMP0994</t>
  </si>
  <si>
    <t xml:space="preserve">EMP0995</t>
  </si>
  <si>
    <t xml:space="preserve">EMP0996</t>
  </si>
  <si>
    <t xml:space="preserve">EMP0997</t>
  </si>
  <si>
    <t xml:space="preserve">EMP0998</t>
  </si>
  <si>
    <t xml:space="preserve">EMP0999</t>
  </si>
  <si>
    <t xml:space="preserve">EMP1000</t>
  </si>
  <si>
    <t xml:space="preserve">EMP1001</t>
  </si>
  <si>
    <t xml:space="preserve">EMP1002</t>
  </si>
  <si>
    <t xml:space="preserve">EMP1003</t>
  </si>
  <si>
    <t xml:space="preserve">EMP1004</t>
  </si>
  <si>
    <t xml:space="preserve">EMP1005</t>
  </si>
  <si>
    <t xml:space="preserve">EMP1006</t>
  </si>
  <si>
    <t xml:space="preserve">EMP1007</t>
  </si>
  <si>
    <t xml:space="preserve">EMP1008</t>
  </si>
  <si>
    <t xml:space="preserve">EMP1009</t>
  </si>
  <si>
    <t xml:space="preserve">EMP1010</t>
  </si>
  <si>
    <t xml:space="preserve">EMP1011</t>
  </si>
  <si>
    <t xml:space="preserve">EMP1012</t>
  </si>
  <si>
    <t xml:space="preserve">EMP1013</t>
  </si>
  <si>
    <t xml:space="preserve">EMP1014</t>
  </si>
  <si>
    <t xml:space="preserve">Career Growth </t>
  </si>
  <si>
    <t xml:space="preserve">EMP1015</t>
  </si>
  <si>
    <t xml:space="preserve">EMP1016</t>
  </si>
  <si>
    <t xml:space="preserve">EMP1017</t>
  </si>
  <si>
    <t xml:space="preserve">EMP1018</t>
  </si>
  <si>
    <t xml:space="preserve">EMP1019</t>
  </si>
  <si>
    <t xml:space="preserve">EMP1020</t>
  </si>
  <si>
    <t xml:space="preserve">EMP1021</t>
  </si>
  <si>
    <t xml:space="preserve">EMP1022</t>
  </si>
  <si>
    <t xml:space="preserve">EMP1023</t>
  </si>
  <si>
    <t xml:space="preserve">EMP1024</t>
  </si>
  <si>
    <t xml:space="preserve">EMP1025</t>
  </si>
  <si>
    <t xml:space="preserve">EMP1026</t>
  </si>
  <si>
    <t xml:space="preserve">EMP1027</t>
  </si>
  <si>
    <t xml:space="preserve">EMP1028</t>
  </si>
  <si>
    <t xml:space="preserve">EMP1029</t>
  </si>
  <si>
    <t xml:space="preserve">EMP1030</t>
  </si>
  <si>
    <t xml:space="preserve">EMP1031</t>
  </si>
  <si>
    <t xml:space="preserve">EMP1032</t>
  </si>
  <si>
    <t xml:space="preserve">EMP1033</t>
  </si>
  <si>
    <t xml:space="preserve">EMP1034</t>
  </si>
  <si>
    <t xml:space="preserve">EMP1035</t>
  </si>
  <si>
    <t xml:space="preserve">EMP1036</t>
  </si>
  <si>
    <t xml:space="preserve">EMP1037</t>
  </si>
  <si>
    <t xml:space="preserve">EMP1038</t>
  </si>
  <si>
    <t xml:space="preserve">EMP1039</t>
  </si>
  <si>
    <t xml:space="preserve">EMP1040</t>
  </si>
  <si>
    <t xml:space="preserve">EMP1041</t>
  </si>
  <si>
    <t xml:space="preserve">EMP1042</t>
  </si>
  <si>
    <t xml:space="preserve">EMP1043</t>
  </si>
  <si>
    <t xml:space="preserve">EMP1044</t>
  </si>
  <si>
    <t xml:space="preserve">EMP1045</t>
  </si>
  <si>
    <t xml:space="preserve">EMP1046</t>
  </si>
  <si>
    <t xml:space="preserve">EMP1047</t>
  </si>
  <si>
    <t xml:space="preserve">EMP1048</t>
  </si>
  <si>
    <t xml:space="preserve">EMP1049</t>
  </si>
  <si>
    <t xml:space="preserve">EMP1050</t>
  </si>
  <si>
    <t xml:space="preserve">EMP1051</t>
  </si>
  <si>
    <t xml:space="preserve">EMP1052</t>
  </si>
  <si>
    <t xml:space="preserve">EMP1053</t>
  </si>
  <si>
    <t xml:space="preserve">EMP1054</t>
  </si>
  <si>
    <t xml:space="preserve">EMP1055</t>
  </si>
  <si>
    <t xml:space="preserve">EMP1056</t>
  </si>
  <si>
    <t xml:space="preserve">EMP1057</t>
  </si>
  <si>
    <t xml:space="preserve">EMP1058</t>
  </si>
  <si>
    <t xml:space="preserve">EMP1059</t>
  </si>
  <si>
    <t xml:space="preserve">EMP1060</t>
  </si>
  <si>
    <t xml:space="preserve">EMP1061</t>
  </si>
  <si>
    <t xml:space="preserve">EMP1062</t>
  </si>
  <si>
    <t xml:space="preserve">EMP1063</t>
  </si>
  <si>
    <t xml:space="preserve">EMP1064</t>
  </si>
  <si>
    <t xml:space="preserve">EMP1065</t>
  </si>
  <si>
    <t xml:space="preserve">EMP1066</t>
  </si>
  <si>
    <t xml:space="preserve">EMP1067</t>
  </si>
  <si>
    <t xml:space="preserve">EMP1068</t>
  </si>
  <si>
    <t xml:space="preserve">EMP1069</t>
  </si>
  <si>
    <t xml:space="preserve">EMP1070</t>
  </si>
  <si>
    <t xml:space="preserve">EMP1071</t>
  </si>
  <si>
    <t xml:space="preserve">EMP1072</t>
  </si>
  <si>
    <t xml:space="preserve">EMP1073</t>
  </si>
  <si>
    <t xml:space="preserve">EMP1074</t>
  </si>
  <si>
    <t xml:space="preserve">EMP1075</t>
  </si>
  <si>
    <t xml:space="preserve">EMP1076</t>
  </si>
  <si>
    <t xml:space="preserve">EMP1077</t>
  </si>
  <si>
    <t xml:space="preserve">EMP1078</t>
  </si>
  <si>
    <t xml:space="preserve">EMP1079</t>
  </si>
  <si>
    <t xml:space="preserve">EMP1080</t>
  </si>
  <si>
    <t xml:space="preserve">EMP1081</t>
  </si>
  <si>
    <t xml:space="preserve">EMP1082</t>
  </si>
  <si>
    <t xml:space="preserve">EMP1083</t>
  </si>
  <si>
    <t xml:space="preserve">EMP1084</t>
  </si>
  <si>
    <t xml:space="preserve">EMP1085</t>
  </si>
  <si>
    <t xml:space="preserve">EMP1086</t>
  </si>
  <si>
    <t xml:space="preserve">EMP1087</t>
  </si>
  <si>
    <t xml:space="preserve">EMP1088</t>
  </si>
  <si>
    <t xml:space="preserve">EMP1089</t>
  </si>
  <si>
    <t xml:space="preserve">EMP1090</t>
  </si>
  <si>
    <t xml:space="preserve">EMP1091</t>
  </si>
  <si>
    <t xml:space="preserve">EMP1092</t>
  </si>
  <si>
    <t xml:space="preserve">EMP1093</t>
  </si>
  <si>
    <t xml:space="preserve">EMP1094</t>
  </si>
  <si>
    <t xml:space="preserve">EMP1095</t>
  </si>
  <si>
    <t xml:space="preserve">EMP1096</t>
  </si>
  <si>
    <t xml:space="preserve">EMP1097</t>
  </si>
  <si>
    <t xml:space="preserve">EMP1098</t>
  </si>
  <si>
    <t xml:space="preserve">EMP1099</t>
  </si>
  <si>
    <t xml:space="preserve">EMP1100</t>
  </si>
  <si>
    <t xml:space="preserve">EMP1101</t>
  </si>
  <si>
    <t xml:space="preserve">EMP1102</t>
  </si>
  <si>
    <t xml:space="preserve">EMP1103</t>
  </si>
  <si>
    <t xml:space="preserve">EMP1104</t>
  </si>
  <si>
    <t xml:space="preserve">EMP1105</t>
  </si>
  <si>
    <t xml:space="preserve">EMP1106</t>
  </si>
  <si>
    <t xml:space="preserve">EMP1107</t>
  </si>
  <si>
    <t xml:space="preserve">EMP1108</t>
  </si>
  <si>
    <t xml:space="preserve">EMP1109</t>
  </si>
  <si>
    <t xml:space="preserve">EMP1110</t>
  </si>
  <si>
    <t xml:space="preserve">EMP1111</t>
  </si>
  <si>
    <t xml:space="preserve">EMP1112</t>
  </si>
  <si>
    <t xml:space="preserve">EMP1113</t>
  </si>
  <si>
    <t xml:space="preserve">EMP1114</t>
  </si>
  <si>
    <t xml:space="preserve">EMP1115</t>
  </si>
  <si>
    <t xml:space="preserve">EMP1116</t>
  </si>
  <si>
    <t xml:space="preserve">EMP1117</t>
  </si>
  <si>
    <t xml:space="preserve">EMP1118</t>
  </si>
  <si>
    <t xml:space="preserve">EMP1119</t>
  </si>
  <si>
    <t xml:space="preserve">EMP1120</t>
  </si>
  <si>
    <t xml:space="preserve">EMP1121</t>
  </si>
  <si>
    <t xml:space="preserve">EMP1122</t>
  </si>
  <si>
    <t xml:space="preserve">EMP1123</t>
  </si>
  <si>
    <t xml:space="preserve">EMP1124</t>
  </si>
  <si>
    <t xml:space="preserve">EMP1125</t>
  </si>
  <si>
    <t xml:space="preserve">EMP1126</t>
  </si>
  <si>
    <t xml:space="preserve">EMP1127</t>
  </si>
  <si>
    <t xml:space="preserve">EMP1128</t>
  </si>
  <si>
    <t xml:space="preserve">EMP1129</t>
  </si>
  <si>
    <t xml:space="preserve">EMP1130</t>
  </si>
  <si>
    <t xml:space="preserve">EMP1131</t>
  </si>
  <si>
    <t xml:space="preserve">EMP1132</t>
  </si>
  <si>
    <t xml:space="preserve">EMP1133</t>
  </si>
  <si>
    <t xml:space="preserve">EMP1134</t>
  </si>
  <si>
    <t xml:space="preserve">Human Resources </t>
  </si>
  <si>
    <t xml:space="preserve">EMP1135</t>
  </si>
  <si>
    <t xml:space="preserve">EMP1136</t>
  </si>
  <si>
    <t xml:space="preserve">EMP1137</t>
  </si>
  <si>
    <t xml:space="preserve">EMP1138</t>
  </si>
  <si>
    <t xml:space="preserve">EMP1139</t>
  </si>
  <si>
    <t xml:space="preserve">EMP1140</t>
  </si>
  <si>
    <t xml:space="preserve">EMP1141</t>
  </si>
  <si>
    <t xml:space="preserve">EMP1142</t>
  </si>
  <si>
    <t xml:space="preserve">EMP1143</t>
  </si>
  <si>
    <t xml:space="preserve">EMP1144</t>
  </si>
  <si>
    <t xml:space="preserve">EMP1145</t>
  </si>
  <si>
    <t xml:space="preserve">EMP1146</t>
  </si>
  <si>
    <t xml:space="preserve">EMP1147</t>
  </si>
  <si>
    <t xml:space="preserve">EMP1148</t>
  </si>
  <si>
    <t xml:space="preserve">EMP1149</t>
  </si>
  <si>
    <t xml:space="preserve">EMP1150</t>
  </si>
  <si>
    <t xml:space="preserve">EMP1151</t>
  </si>
  <si>
    <t xml:space="preserve">EMP1152</t>
  </si>
  <si>
    <t xml:space="preserve">EMP1153</t>
  </si>
  <si>
    <t xml:space="preserve">EMP1154</t>
  </si>
  <si>
    <t xml:space="preserve">EMP1155</t>
  </si>
  <si>
    <t xml:space="preserve">EMP1156</t>
  </si>
  <si>
    <t xml:space="preserve">EMP1157</t>
  </si>
  <si>
    <t xml:space="preserve">EMP1158</t>
  </si>
  <si>
    <t xml:space="preserve">EMP1159</t>
  </si>
  <si>
    <t xml:space="preserve">EMP1160</t>
  </si>
  <si>
    <t xml:space="preserve">EMP1161</t>
  </si>
  <si>
    <t xml:space="preserve">EMP1162</t>
  </si>
  <si>
    <t xml:space="preserve">EMP1163</t>
  </si>
  <si>
    <t xml:space="preserve">EMP1164</t>
  </si>
  <si>
    <t xml:space="preserve">EMP1165</t>
  </si>
  <si>
    <t xml:space="preserve">EMP1166</t>
  </si>
  <si>
    <t xml:space="preserve">EMP1167</t>
  </si>
  <si>
    <t xml:space="preserve">EMP1168</t>
  </si>
  <si>
    <t xml:space="preserve">EMP1169</t>
  </si>
  <si>
    <t xml:space="preserve">EMP1170</t>
  </si>
  <si>
    <t xml:space="preserve">EMP1171</t>
  </si>
  <si>
    <t xml:space="preserve">EMP1172</t>
  </si>
  <si>
    <t xml:space="preserve">EMP1173</t>
  </si>
  <si>
    <t xml:space="preserve">EMP1174</t>
  </si>
  <si>
    <t xml:space="preserve">EMP1175</t>
  </si>
  <si>
    <t xml:space="preserve">EMP1176</t>
  </si>
  <si>
    <t xml:space="preserve">EMP1177</t>
  </si>
  <si>
    <t xml:space="preserve">EMP1178</t>
  </si>
  <si>
    <t xml:space="preserve">EMP1179</t>
  </si>
  <si>
    <t xml:space="preserve">EMP1180</t>
  </si>
  <si>
    <t xml:space="preserve">EMP1181</t>
  </si>
  <si>
    <t xml:space="preserve">EMP1182</t>
  </si>
  <si>
    <t xml:space="preserve">EMP1183</t>
  </si>
  <si>
    <t xml:space="preserve">EMP1184</t>
  </si>
  <si>
    <t xml:space="preserve">EMP1185</t>
  </si>
  <si>
    <t xml:space="preserve">EMP1186</t>
  </si>
  <si>
    <t xml:space="preserve">EMP1187</t>
  </si>
  <si>
    <t xml:space="preserve">EMP1188</t>
  </si>
  <si>
    <t xml:space="preserve">EMP1189</t>
  </si>
  <si>
    <t xml:space="preserve">EMP1190</t>
  </si>
  <si>
    <t xml:space="preserve">EMP1191</t>
  </si>
  <si>
    <t xml:space="preserve">EMP1192</t>
  </si>
  <si>
    <t xml:space="preserve">EMP1193</t>
  </si>
  <si>
    <t xml:space="preserve">EMP1194</t>
  </si>
  <si>
    <t xml:space="preserve">EMP1195</t>
  </si>
  <si>
    <t xml:space="preserve">EMP1196</t>
  </si>
  <si>
    <t xml:space="preserve">EMP1197</t>
  </si>
  <si>
    <t xml:space="preserve">EMP1198</t>
  </si>
  <si>
    <t xml:space="preserve">EMP1199</t>
  </si>
  <si>
    <t xml:space="preserve">EMP1200</t>
  </si>
  <si>
    <t xml:space="preserve">EMP1201</t>
  </si>
  <si>
    <t xml:space="preserve">EMP1202</t>
  </si>
  <si>
    <t xml:space="preserve">EMP1203</t>
  </si>
  <si>
    <t xml:space="preserve">EMP1204</t>
  </si>
  <si>
    <t xml:space="preserve">EMP1205</t>
  </si>
  <si>
    <t xml:space="preserve">EMP1206</t>
  </si>
  <si>
    <t xml:space="preserve">EMP1207</t>
  </si>
  <si>
    <t xml:space="preserve">EMP1208</t>
  </si>
  <si>
    <t xml:space="preserve">EMP1209</t>
  </si>
  <si>
    <t xml:space="preserve">EMP1210</t>
  </si>
  <si>
    <t xml:space="preserve">EMP1211</t>
  </si>
  <si>
    <t xml:space="preserve">EMP1212</t>
  </si>
  <si>
    <t xml:space="preserve">EMP1213</t>
  </si>
  <si>
    <t xml:space="preserve">EMP1214</t>
  </si>
  <si>
    <t xml:space="preserve">EMP1215</t>
  </si>
  <si>
    <t xml:space="preserve">EMP1216</t>
  </si>
  <si>
    <t xml:space="preserve">EMP1217</t>
  </si>
  <si>
    <t xml:space="preserve">EMP1218</t>
  </si>
  <si>
    <t xml:space="preserve">EMP1219</t>
  </si>
  <si>
    <t xml:space="preserve">EMP1220</t>
  </si>
  <si>
    <t xml:space="preserve">EMP1221</t>
  </si>
  <si>
    <t xml:space="preserve">EMP1222</t>
  </si>
  <si>
    <t xml:space="preserve">EMP1223</t>
  </si>
  <si>
    <t xml:space="preserve">EMP1224</t>
  </si>
  <si>
    <t xml:space="preserve">EMP1225</t>
  </si>
  <si>
    <t xml:space="preserve">EMP1226</t>
  </si>
  <si>
    <t xml:space="preserve">EMP1227</t>
  </si>
  <si>
    <t xml:space="preserve">EMP1228</t>
  </si>
  <si>
    <t xml:space="preserve">EMP1229</t>
  </si>
  <si>
    <t xml:space="preserve">EMP1230</t>
  </si>
  <si>
    <t xml:space="preserve">EMP1231</t>
  </si>
  <si>
    <t xml:space="preserve">EMP1232</t>
  </si>
  <si>
    <t xml:space="preserve">EMP1233</t>
  </si>
  <si>
    <t xml:space="preserve">EMP1234</t>
  </si>
  <si>
    <t xml:space="preserve">EMP1235</t>
  </si>
  <si>
    <t xml:space="preserve">EMP1236</t>
  </si>
  <si>
    <t xml:space="preserve">EMP1237</t>
  </si>
  <si>
    <t xml:space="preserve">EMP1238</t>
  </si>
  <si>
    <t xml:space="preserve">EMP1239</t>
  </si>
  <si>
    <t xml:space="preserve">EMP1240</t>
  </si>
  <si>
    <t xml:space="preserve">EMP1241</t>
  </si>
  <si>
    <t xml:space="preserve">EMP1242</t>
  </si>
  <si>
    <t xml:space="preserve">EMP1243</t>
  </si>
  <si>
    <t xml:space="preserve">EMP1244</t>
  </si>
  <si>
    <t xml:space="preserve">EMP1245</t>
  </si>
  <si>
    <t xml:space="preserve">EMP1246</t>
  </si>
  <si>
    <t xml:space="preserve">EMP1247</t>
  </si>
  <si>
    <t xml:space="preserve">EMP1248</t>
  </si>
  <si>
    <t xml:space="preserve">EMP1249</t>
  </si>
  <si>
    <t xml:space="preserve">EMP1250</t>
  </si>
  <si>
    <t xml:space="preserve">EMP1251</t>
  </si>
  <si>
    <t xml:space="preserve">EMP1252</t>
  </si>
  <si>
    <t xml:space="preserve">EMP1253</t>
  </si>
  <si>
    <t xml:space="preserve">EMP1254</t>
  </si>
  <si>
    <t xml:space="preserve">EMP1255</t>
  </si>
  <si>
    <t xml:space="preserve">EMP1256</t>
  </si>
  <si>
    <t xml:space="preserve">EMP1257</t>
  </si>
  <si>
    <t xml:space="preserve">EMP1258</t>
  </si>
  <si>
    <t xml:space="preserve">EMP1259</t>
  </si>
  <si>
    <t xml:space="preserve">EMP1260</t>
  </si>
  <si>
    <t xml:space="preserve">EMP1261</t>
  </si>
  <si>
    <t xml:space="preserve">EMP1262</t>
  </si>
  <si>
    <t xml:space="preserve">EMP1263</t>
  </si>
  <si>
    <t xml:space="preserve">EMP1264</t>
  </si>
  <si>
    <t xml:space="preserve">EMP1265</t>
  </si>
  <si>
    <t xml:space="preserve">EMP1266</t>
  </si>
  <si>
    <t xml:space="preserve">EMP1267</t>
  </si>
  <si>
    <t xml:space="preserve">EMP1268</t>
  </si>
  <si>
    <t xml:space="preserve">EMP1269</t>
  </si>
  <si>
    <t xml:space="preserve">EMP1270</t>
  </si>
  <si>
    <t xml:space="preserve">EMP1271</t>
  </si>
  <si>
    <t xml:space="preserve">EMP1272</t>
  </si>
  <si>
    <t xml:space="preserve">EMP1273</t>
  </si>
  <si>
    <t xml:space="preserve">EMP1274</t>
  </si>
  <si>
    <t xml:space="preserve">EMP1275</t>
  </si>
  <si>
    <t xml:space="preserve">EMP1276</t>
  </si>
  <si>
    <t xml:space="preserve">EMP1277</t>
  </si>
  <si>
    <t xml:space="preserve">EMP1278</t>
  </si>
  <si>
    <t xml:space="preserve">EMP1279</t>
  </si>
  <si>
    <t xml:space="preserve">EMP1280</t>
  </si>
  <si>
    <t xml:space="preserve">EMP1281</t>
  </si>
  <si>
    <t xml:space="preserve">EMP1282</t>
  </si>
  <si>
    <t xml:space="preserve">EMP1283</t>
  </si>
  <si>
    <t xml:space="preserve">EMP1284</t>
  </si>
  <si>
    <t xml:space="preserve">EMP1285</t>
  </si>
  <si>
    <t xml:space="preserve">EMP1286</t>
  </si>
  <si>
    <t xml:space="preserve">EMP1287</t>
  </si>
  <si>
    <t xml:space="preserve">EMP1288</t>
  </si>
  <si>
    <t xml:space="preserve">EMP1289</t>
  </si>
  <si>
    <t xml:space="preserve">EMP1290</t>
  </si>
  <si>
    <t xml:space="preserve">EMP1291</t>
  </si>
  <si>
    <t xml:space="preserve">EMP1292</t>
  </si>
  <si>
    <t xml:space="preserve">EMP1293</t>
  </si>
  <si>
    <t xml:space="preserve">EMP1294</t>
  </si>
  <si>
    <t xml:space="preserve">EMP1295</t>
  </si>
  <si>
    <t xml:space="preserve">EMP1296</t>
  </si>
  <si>
    <t xml:space="preserve">EMP1297</t>
  </si>
  <si>
    <t xml:space="preserve">EMP1298</t>
  </si>
  <si>
    <t xml:space="preserve">EMP1299</t>
  </si>
  <si>
    <t xml:space="preserve">EMP1300</t>
  </si>
  <si>
    <t xml:space="preserve">EMP1301</t>
  </si>
  <si>
    <t xml:space="preserve">EMP1302</t>
  </si>
  <si>
    <t xml:space="preserve">EMP1303</t>
  </si>
  <si>
    <t xml:space="preserve">EMP1304</t>
  </si>
  <si>
    <t xml:space="preserve">EMP1305</t>
  </si>
  <si>
    <t xml:space="preserve">EMP1306</t>
  </si>
  <si>
    <t xml:space="preserve">EMP1307</t>
  </si>
  <si>
    <t xml:space="preserve">EMP1308</t>
  </si>
  <si>
    <t xml:space="preserve">EMP1309</t>
  </si>
  <si>
    <t xml:space="preserve">EMP1310</t>
  </si>
  <si>
    <t xml:space="preserve">EMP1311</t>
  </si>
  <si>
    <t xml:space="preserve">EMP1312</t>
  </si>
  <si>
    <t xml:space="preserve">EMP1313</t>
  </si>
  <si>
    <t xml:space="preserve">EMP1314</t>
  </si>
  <si>
    <t xml:space="preserve">EMP1315</t>
  </si>
  <si>
    <t xml:space="preserve">EMP1316</t>
  </si>
  <si>
    <t xml:space="preserve">EMP1317</t>
  </si>
  <si>
    <t xml:space="preserve">EMP1318</t>
  </si>
  <si>
    <t xml:space="preserve">EMP1319</t>
  </si>
  <si>
    <t xml:space="preserve">EMP1320</t>
  </si>
  <si>
    <t xml:space="preserve">EMP1321</t>
  </si>
  <si>
    <t xml:space="preserve">EMP1322</t>
  </si>
  <si>
    <t xml:space="preserve">EMP1323</t>
  </si>
  <si>
    <t xml:space="preserve">EMP1324</t>
  </si>
  <si>
    <t xml:space="preserve">EMP1325</t>
  </si>
  <si>
    <t xml:space="preserve">EMP1326</t>
  </si>
  <si>
    <t xml:space="preserve">EMP1327</t>
  </si>
  <si>
    <t xml:space="preserve">EMP1328</t>
  </si>
  <si>
    <t xml:space="preserve">EMP1329</t>
  </si>
  <si>
    <t xml:space="preserve">EMP1330</t>
  </si>
  <si>
    <t xml:space="preserve">EMP1331</t>
  </si>
  <si>
    <t xml:space="preserve">EMP1332</t>
  </si>
  <si>
    <t xml:space="preserve">EMP1333</t>
  </si>
  <si>
    <t xml:space="preserve">EMP1334</t>
  </si>
  <si>
    <t xml:space="preserve">EMP1335</t>
  </si>
  <si>
    <t xml:space="preserve">EMP1336</t>
  </si>
  <si>
    <t xml:space="preserve">EMP1337</t>
  </si>
  <si>
    <t xml:space="preserve">EMP1338</t>
  </si>
  <si>
    <t xml:space="preserve">EMP1339</t>
  </si>
  <si>
    <t xml:space="preserve">EMP1340</t>
  </si>
  <si>
    <t xml:space="preserve">EMP1341</t>
  </si>
  <si>
    <t xml:space="preserve">EMP1342</t>
  </si>
  <si>
    <t xml:space="preserve">EMP1343</t>
  </si>
  <si>
    <t xml:space="preserve">EMP1344</t>
  </si>
  <si>
    <t xml:space="preserve">EMP1345</t>
  </si>
  <si>
    <t xml:space="preserve">EMP1346</t>
  </si>
  <si>
    <t xml:space="preserve">EMP1347</t>
  </si>
  <si>
    <t xml:space="preserve">EMP1348</t>
  </si>
  <si>
    <t xml:space="preserve">EMP1349</t>
  </si>
  <si>
    <t xml:space="preserve">EMP1350</t>
  </si>
  <si>
    <t xml:space="preserve">EMP1351</t>
  </si>
  <si>
    <t xml:space="preserve">EMP1352</t>
  </si>
  <si>
    <t xml:space="preserve">EMP1353</t>
  </si>
  <si>
    <t xml:space="preserve">EMP1354</t>
  </si>
  <si>
    <t xml:space="preserve">EMP1355</t>
  </si>
  <si>
    <t xml:space="preserve">EMP1356</t>
  </si>
  <si>
    <t xml:space="preserve">EMP1357</t>
  </si>
  <si>
    <t xml:space="preserve">EMP1358</t>
  </si>
  <si>
    <t xml:space="preserve">EMP1359</t>
  </si>
  <si>
    <t xml:space="preserve">EMP1360</t>
  </si>
  <si>
    <t xml:space="preserve">EMP1361</t>
  </si>
  <si>
    <t xml:space="preserve">EMP1362</t>
  </si>
  <si>
    <t xml:space="preserve">EMP1363</t>
  </si>
  <si>
    <t xml:space="preserve">EMP1364</t>
  </si>
  <si>
    <t xml:space="preserve">EMP1365</t>
  </si>
  <si>
    <t xml:space="preserve">EMP1366</t>
  </si>
  <si>
    <t xml:space="preserve">EMP1367</t>
  </si>
  <si>
    <t xml:space="preserve">EMP1368</t>
  </si>
  <si>
    <t xml:space="preserve">EMP1369</t>
  </si>
  <si>
    <t xml:space="preserve">EMP1370</t>
  </si>
  <si>
    <t xml:space="preserve">EMP1371</t>
  </si>
  <si>
    <t xml:space="preserve">EMP1372</t>
  </si>
  <si>
    <t xml:space="preserve">EMP1373</t>
  </si>
  <si>
    <t xml:space="preserve">EMP1374</t>
  </si>
  <si>
    <t xml:space="preserve">EMP1375</t>
  </si>
  <si>
    <t xml:space="preserve">EMP1376</t>
  </si>
  <si>
    <t xml:space="preserve">EMP1377</t>
  </si>
  <si>
    <t xml:space="preserve">EMP1378</t>
  </si>
  <si>
    <t xml:space="preserve">EMP1379</t>
  </si>
  <si>
    <t xml:space="preserve">EMP1380</t>
  </si>
  <si>
    <t xml:space="preserve">EMP1381</t>
  </si>
  <si>
    <t xml:space="preserve">EMP1382</t>
  </si>
  <si>
    <t xml:space="preserve">EMP1383</t>
  </si>
  <si>
    <t xml:space="preserve">EMP1384</t>
  </si>
  <si>
    <t xml:space="preserve">EMP1385</t>
  </si>
  <si>
    <t xml:space="preserve">EMP1386</t>
  </si>
  <si>
    <t xml:space="preserve">EMP1387</t>
  </si>
  <si>
    <t xml:space="preserve">EMP1388</t>
  </si>
  <si>
    <t xml:space="preserve">EMP1389</t>
  </si>
  <si>
    <t xml:space="preserve">EMP1390</t>
  </si>
  <si>
    <t xml:space="preserve">EMP1391</t>
  </si>
  <si>
    <t xml:space="preserve">EMP1392</t>
  </si>
  <si>
    <t xml:space="preserve">EMP1393</t>
  </si>
  <si>
    <t xml:space="preserve">EMP1394</t>
  </si>
  <si>
    <t xml:space="preserve">EMP1395</t>
  </si>
  <si>
    <t xml:space="preserve">EMP1396</t>
  </si>
  <si>
    <t xml:space="preserve">EMP1397</t>
  </si>
  <si>
    <t xml:space="preserve">EMP1398</t>
  </si>
  <si>
    <t xml:space="preserve">EMP1399</t>
  </si>
  <si>
    <t xml:space="preserve">EMP1400</t>
  </si>
  <si>
    <t xml:space="preserve">EMP1401</t>
  </si>
  <si>
    <t xml:space="preserve">EMP1402</t>
  </si>
  <si>
    <t xml:space="preserve">EMP1403</t>
  </si>
  <si>
    <t xml:space="preserve">EMP1404</t>
  </si>
  <si>
    <t xml:space="preserve">EMP1405</t>
  </si>
  <si>
    <t xml:space="preserve">EMP1406</t>
  </si>
  <si>
    <t xml:space="preserve">EMP1407</t>
  </si>
  <si>
    <t xml:space="preserve">EMP1408</t>
  </si>
  <si>
    <t xml:space="preserve">EMP1409</t>
  </si>
  <si>
    <t xml:space="preserve">EMP1410</t>
  </si>
  <si>
    <t xml:space="preserve">EMP1411</t>
  </si>
  <si>
    <t xml:space="preserve">EMP1412</t>
  </si>
  <si>
    <t xml:space="preserve">EMP1413</t>
  </si>
  <si>
    <t xml:space="preserve">EMP1414</t>
  </si>
  <si>
    <t xml:space="preserve">EMP1415</t>
  </si>
  <si>
    <t xml:space="preserve">EMP1416</t>
  </si>
  <si>
    <t xml:space="preserve">EMP1417</t>
  </si>
  <si>
    <t xml:space="preserve">EMP1418</t>
  </si>
  <si>
    <t xml:space="preserve">EMP1419</t>
  </si>
  <si>
    <t xml:space="preserve">EMP1420</t>
  </si>
  <si>
    <t xml:space="preserve">EMP1421</t>
  </si>
  <si>
    <t xml:space="preserve">EMP1422</t>
  </si>
  <si>
    <t xml:space="preserve">Personal Reasons </t>
  </si>
  <si>
    <t xml:space="preserve">EMP1423</t>
  </si>
  <si>
    <t xml:space="preserve">EMP1424</t>
  </si>
  <si>
    <t xml:space="preserve">EMP1425</t>
  </si>
  <si>
    <t xml:space="preserve">EMP1426</t>
  </si>
  <si>
    <t xml:space="preserve">EMP1427</t>
  </si>
  <si>
    <t xml:space="preserve">EMP1428</t>
  </si>
  <si>
    <t xml:space="preserve">EMP1429</t>
  </si>
  <si>
    <t xml:space="preserve">EMP1430</t>
  </si>
  <si>
    <t xml:space="preserve">EMP1431</t>
  </si>
  <si>
    <t xml:space="preserve">EMP1432</t>
  </si>
  <si>
    <t xml:space="preserve">EMP1433</t>
  </si>
  <si>
    <t xml:space="preserve">EMP1434</t>
  </si>
  <si>
    <t xml:space="preserve">EMP1435</t>
  </si>
  <si>
    <t xml:space="preserve">EMP1436</t>
  </si>
  <si>
    <t xml:space="preserve">EMP1437</t>
  </si>
  <si>
    <t xml:space="preserve">EMP1438</t>
  </si>
  <si>
    <t xml:space="preserve">EMP1439</t>
  </si>
  <si>
    <t xml:space="preserve">EMP1440</t>
  </si>
  <si>
    <t xml:space="preserve">EMP1441</t>
  </si>
  <si>
    <t xml:space="preserve">EMP1442</t>
  </si>
  <si>
    <t xml:space="preserve">EMP1443</t>
  </si>
  <si>
    <t xml:space="preserve">EMP1444</t>
  </si>
  <si>
    <t xml:space="preserve">EMP1445</t>
  </si>
  <si>
    <t xml:space="preserve">EMP1446</t>
  </si>
  <si>
    <t xml:space="preserve">EMP1447</t>
  </si>
  <si>
    <t xml:space="preserve">EMP1448</t>
  </si>
  <si>
    <t xml:space="preserve">EMP1449</t>
  </si>
  <si>
    <t xml:space="preserve">EMP1450</t>
  </si>
  <si>
    <t xml:space="preserve">EMP1451</t>
  </si>
  <si>
    <t xml:space="preserve">EMP1452</t>
  </si>
  <si>
    <t xml:space="preserve">EMP1453</t>
  </si>
  <si>
    <t xml:space="preserve">EMP1454</t>
  </si>
  <si>
    <t xml:space="preserve">EMP1455</t>
  </si>
  <si>
    <t xml:space="preserve">EMP1456</t>
  </si>
  <si>
    <t xml:space="preserve">EMP1457</t>
  </si>
  <si>
    <t xml:space="preserve">EMP1458</t>
  </si>
  <si>
    <t xml:space="preserve">EMP1459</t>
  </si>
  <si>
    <t xml:space="preserve">EMP1460</t>
  </si>
  <si>
    <t xml:space="preserve">EMP1461</t>
  </si>
  <si>
    <t xml:space="preserve">EMP1462</t>
  </si>
  <si>
    <t xml:space="preserve">EMP1463</t>
  </si>
  <si>
    <t xml:space="preserve">EMP1464</t>
  </si>
  <si>
    <t xml:space="preserve">EMP1465</t>
  </si>
  <si>
    <t xml:space="preserve">EMP1466</t>
  </si>
  <si>
    <t xml:space="preserve">EMP1467</t>
  </si>
  <si>
    <t xml:space="preserve">EMP1468</t>
  </si>
  <si>
    <t xml:space="preserve">EMP1469</t>
  </si>
  <si>
    <t xml:space="preserve">EMP1470</t>
  </si>
  <si>
    <t xml:space="preserve">EMP1471</t>
  </si>
  <si>
    <t xml:space="preserve">EMP1472</t>
  </si>
  <si>
    <t xml:space="preserve">EMP1473</t>
  </si>
  <si>
    <t xml:space="preserve">EMP1474</t>
  </si>
  <si>
    <t xml:space="preserve">EMP1475</t>
  </si>
  <si>
    <t xml:space="preserve">EMP1476</t>
  </si>
  <si>
    <t xml:space="preserve">EMP1477</t>
  </si>
  <si>
    <t xml:space="preserve">EMP1478</t>
  </si>
  <si>
    <t xml:space="preserve">EMP1479</t>
  </si>
  <si>
    <t xml:space="preserve">EMP1480</t>
  </si>
  <si>
    <t xml:space="preserve">EMP1481</t>
  </si>
  <si>
    <t xml:space="preserve">EMP1482</t>
  </si>
  <si>
    <t xml:space="preserve">EMP1483</t>
  </si>
  <si>
    <t xml:space="preserve">EMP1484</t>
  </si>
  <si>
    <t xml:space="preserve">EMP1485</t>
  </si>
  <si>
    <t xml:space="preserve">EMP1486</t>
  </si>
  <si>
    <t xml:space="preserve">EMP1487</t>
  </si>
  <si>
    <t xml:space="preserve">EMP1488</t>
  </si>
  <si>
    <t xml:space="preserve">EMP1489</t>
  </si>
  <si>
    <t xml:space="preserve">EMP1490</t>
  </si>
  <si>
    <t xml:space="preserve">EMP1491</t>
  </si>
  <si>
    <t xml:space="preserve">EMP1492</t>
  </si>
  <si>
    <t xml:space="preserve">EMP1493</t>
  </si>
  <si>
    <t xml:space="preserve">EMP1494</t>
  </si>
  <si>
    <t xml:space="preserve">EMP1495</t>
  </si>
  <si>
    <t xml:space="preserve">EMP1496</t>
  </si>
  <si>
    <t xml:space="preserve">EMP1497</t>
  </si>
  <si>
    <t xml:space="preserve">EMP1498</t>
  </si>
  <si>
    <t xml:space="preserve">EMP1499</t>
  </si>
  <si>
    <t xml:space="preserve">EMP1500</t>
  </si>
  <si>
    <t xml:space="preserve">EMP1501</t>
  </si>
  <si>
    <t xml:space="preserve">EMP1502</t>
  </si>
  <si>
    <t xml:space="preserve">EMP1503</t>
  </si>
  <si>
    <t xml:space="preserve">EMP1504</t>
  </si>
  <si>
    <t xml:space="preserve">EMP1505</t>
  </si>
  <si>
    <t xml:space="preserve">EMP1506</t>
  </si>
  <si>
    <t xml:space="preserve">EMP1507</t>
  </si>
  <si>
    <t xml:space="preserve">EMP1508</t>
  </si>
  <si>
    <t xml:space="preserve">EMP1509</t>
  </si>
  <si>
    <t xml:space="preserve">EMP1510</t>
  </si>
  <si>
    <t xml:space="preserve">EMP1511</t>
  </si>
  <si>
    <t xml:space="preserve">EMP1512</t>
  </si>
  <si>
    <t xml:space="preserve">EMP1513</t>
  </si>
  <si>
    <t xml:space="preserve">EMP1514</t>
  </si>
  <si>
    <t xml:space="preserve">EMP1515</t>
  </si>
  <si>
    <t xml:space="preserve">EMP1516</t>
  </si>
  <si>
    <t xml:space="preserve">EMP1517</t>
  </si>
  <si>
    <t xml:space="preserve">EMP1518</t>
  </si>
  <si>
    <t xml:space="preserve">EMP1519</t>
  </si>
  <si>
    <t xml:space="preserve">EMP1520</t>
  </si>
  <si>
    <t xml:space="preserve">EMP1521</t>
  </si>
  <si>
    <t xml:space="preserve">EMP1522</t>
  </si>
  <si>
    <t xml:space="preserve">EMP1523</t>
  </si>
  <si>
    <t xml:space="preserve">EMP1524</t>
  </si>
  <si>
    <t xml:space="preserve">EMP1525</t>
  </si>
  <si>
    <t xml:space="preserve">EMP1526</t>
  </si>
  <si>
    <t xml:space="preserve">EMP1527</t>
  </si>
  <si>
    <t xml:space="preserve">EMP1528</t>
  </si>
  <si>
    <t xml:space="preserve">EMP1529</t>
  </si>
  <si>
    <t xml:space="preserve">EMP1530</t>
  </si>
  <si>
    <t xml:space="preserve">EMP1531</t>
  </si>
  <si>
    <t xml:space="preserve">EMP1532</t>
  </si>
  <si>
    <t xml:space="preserve">EMP1533</t>
  </si>
  <si>
    <t xml:space="preserve">EMP1534</t>
  </si>
  <si>
    <t xml:space="preserve">EMP1535</t>
  </si>
  <si>
    <t xml:space="preserve">EMP1536</t>
  </si>
  <si>
    <t xml:space="preserve">EMP1537</t>
  </si>
  <si>
    <t xml:space="preserve">EMP1538</t>
  </si>
  <si>
    <t xml:space="preserve">EMP1539</t>
  </si>
  <si>
    <t xml:space="preserve">EMP1540</t>
  </si>
  <si>
    <t xml:space="preserve">EMP1541</t>
  </si>
  <si>
    <t xml:space="preserve">EMP1542</t>
  </si>
  <si>
    <t xml:space="preserve">EMP1543</t>
  </si>
  <si>
    <t xml:space="preserve">EMP1544</t>
  </si>
  <si>
    <t xml:space="preserve">EMP1545</t>
  </si>
  <si>
    <t xml:space="preserve">EMP1546</t>
  </si>
  <si>
    <t xml:space="preserve">EMP1547</t>
  </si>
  <si>
    <t xml:space="preserve">EMP1548</t>
  </si>
  <si>
    <t xml:space="preserve">EMP1549</t>
  </si>
  <si>
    <t xml:space="preserve">EMP1550</t>
  </si>
  <si>
    <t xml:space="preserve">EMP1551</t>
  </si>
  <si>
    <t xml:space="preserve">EMP1552</t>
  </si>
  <si>
    <t xml:space="preserve">Job Dissatisfaction </t>
  </si>
  <si>
    <t xml:space="preserve">EMP1553</t>
  </si>
  <si>
    <t xml:space="preserve">EMP1554</t>
  </si>
  <si>
    <t xml:space="preserve">EMP1555</t>
  </si>
  <si>
    <t xml:space="preserve">EMP1556</t>
  </si>
  <si>
    <t xml:space="preserve">EMP1557</t>
  </si>
  <si>
    <t xml:space="preserve">EMP1558</t>
  </si>
  <si>
    <t xml:space="preserve">EMP1559</t>
  </si>
  <si>
    <t xml:space="preserve">EMP1560</t>
  </si>
  <si>
    <t xml:space="preserve">EMP1561</t>
  </si>
  <si>
    <t xml:space="preserve">EMP1562</t>
  </si>
  <si>
    <t xml:space="preserve">EMP1563</t>
  </si>
  <si>
    <t xml:space="preserve">EMP1564</t>
  </si>
  <si>
    <t xml:space="preserve">EMP1565</t>
  </si>
  <si>
    <t xml:space="preserve">EMP1566</t>
  </si>
  <si>
    <t xml:space="preserve">EMP1567</t>
  </si>
  <si>
    <t xml:space="preserve">EMP1568</t>
  </si>
  <si>
    <t xml:space="preserve">EMP1569</t>
  </si>
  <si>
    <t xml:space="preserve">EMP1570</t>
  </si>
  <si>
    <t xml:space="preserve">EMP1571</t>
  </si>
  <si>
    <t xml:space="preserve">EMP1572</t>
  </si>
  <si>
    <t xml:space="preserve">EMP1573</t>
  </si>
  <si>
    <t xml:space="preserve">EMP1574</t>
  </si>
  <si>
    <t xml:space="preserve">EMP1575</t>
  </si>
  <si>
    <t xml:space="preserve">EMP1576</t>
  </si>
  <si>
    <t xml:space="preserve">EMP1577</t>
  </si>
  <si>
    <t xml:space="preserve">EMP1578</t>
  </si>
  <si>
    <t xml:space="preserve">EMP1579</t>
  </si>
  <si>
    <t xml:space="preserve">EMP1580</t>
  </si>
  <si>
    <t xml:space="preserve">EMP1581</t>
  </si>
  <si>
    <t xml:space="preserve">EMP1582</t>
  </si>
  <si>
    <t xml:space="preserve">EMP1583</t>
  </si>
  <si>
    <t xml:space="preserve">EMP1584</t>
  </si>
  <si>
    <t xml:space="preserve">EMP1585</t>
  </si>
  <si>
    <t xml:space="preserve">EMP1586</t>
  </si>
  <si>
    <t xml:space="preserve">EMP1587</t>
  </si>
  <si>
    <t xml:space="preserve">EMP1588</t>
  </si>
  <si>
    <t xml:space="preserve">EMP1589</t>
  </si>
  <si>
    <t xml:space="preserve">EMP1590</t>
  </si>
  <si>
    <t xml:space="preserve">EMP1591</t>
  </si>
  <si>
    <t xml:space="preserve">EMP1592</t>
  </si>
  <si>
    <t xml:space="preserve">EMP1593</t>
  </si>
  <si>
    <t xml:space="preserve">EMP1594</t>
  </si>
  <si>
    <t xml:space="preserve">EMP1595</t>
  </si>
  <si>
    <t xml:space="preserve">EMP1596</t>
  </si>
  <si>
    <t xml:space="preserve">EMP1597</t>
  </si>
  <si>
    <t xml:space="preserve">EMP1598</t>
  </si>
  <si>
    <t xml:space="preserve">EMP1599</t>
  </si>
  <si>
    <t xml:space="preserve">EMP1600</t>
  </si>
  <si>
    <t xml:space="preserve">EMP1601</t>
  </si>
  <si>
    <t xml:space="preserve">EMP1602</t>
  </si>
  <si>
    <t xml:space="preserve">EMP1603</t>
  </si>
  <si>
    <t xml:space="preserve">EMP1604</t>
  </si>
  <si>
    <t xml:space="preserve">EMP1605</t>
  </si>
  <si>
    <t xml:space="preserve">EMP1606</t>
  </si>
  <si>
    <t xml:space="preserve">EMP1607</t>
  </si>
  <si>
    <t xml:space="preserve">EMP1608</t>
  </si>
  <si>
    <t xml:space="preserve">EMP1609</t>
  </si>
  <si>
    <t xml:space="preserve">EMP1610</t>
  </si>
  <si>
    <t xml:space="preserve">EMP1611</t>
  </si>
  <si>
    <t xml:space="preserve">EMP1612</t>
  </si>
  <si>
    <t xml:space="preserve">EMP1613</t>
  </si>
  <si>
    <t xml:space="preserve">EMP1614</t>
  </si>
  <si>
    <t xml:space="preserve">EMP1615</t>
  </si>
  <si>
    <t xml:space="preserve">EMP1616</t>
  </si>
  <si>
    <t xml:space="preserve">EMP1617</t>
  </si>
  <si>
    <t xml:space="preserve">EMP1618</t>
  </si>
  <si>
    <t xml:space="preserve">EMP1619</t>
  </si>
  <si>
    <t xml:space="preserve">EMP1620</t>
  </si>
  <si>
    <t xml:space="preserve">EMP1621</t>
  </si>
  <si>
    <t xml:space="preserve">EMP1622</t>
  </si>
  <si>
    <t xml:space="preserve">EMP1623</t>
  </si>
  <si>
    <t xml:space="preserve">EMP1624</t>
  </si>
  <si>
    <t xml:space="preserve">EMP1625</t>
  </si>
  <si>
    <t xml:space="preserve">EMP1626</t>
  </si>
  <si>
    <t xml:space="preserve">EMP1627</t>
  </si>
  <si>
    <t xml:space="preserve">EMP1628</t>
  </si>
  <si>
    <t xml:space="preserve">EMP1629</t>
  </si>
  <si>
    <t xml:space="preserve">EMP1630</t>
  </si>
  <si>
    <t xml:space="preserve">EMP1631</t>
  </si>
  <si>
    <t xml:space="preserve">EMP1632</t>
  </si>
  <si>
    <t xml:space="preserve">EMP1633</t>
  </si>
  <si>
    <t xml:space="preserve">EMP1634</t>
  </si>
  <si>
    <t xml:space="preserve">EMP1635</t>
  </si>
  <si>
    <t xml:space="preserve">Better Compensation </t>
  </si>
  <si>
    <t xml:space="preserve">EMP1636</t>
  </si>
  <si>
    <t xml:space="preserve">EMP1637</t>
  </si>
  <si>
    <t xml:space="preserve">EMP1638</t>
  </si>
  <si>
    <t xml:space="preserve">EMP1639</t>
  </si>
  <si>
    <t xml:space="preserve">EMP1640</t>
  </si>
  <si>
    <t xml:space="preserve">EMP1641</t>
  </si>
  <si>
    <t xml:space="preserve">EMP1642</t>
  </si>
  <si>
    <t xml:space="preserve">EMP1643</t>
  </si>
  <si>
    <t xml:space="preserve">EMP1644</t>
  </si>
  <si>
    <t xml:space="preserve">EMP1645</t>
  </si>
  <si>
    <t xml:space="preserve">EMP1646</t>
  </si>
  <si>
    <t xml:space="preserve">EMP1647</t>
  </si>
  <si>
    <t xml:space="preserve">EMP1648</t>
  </si>
  <si>
    <t xml:space="preserve">EMP1649</t>
  </si>
  <si>
    <t xml:space="preserve">Manager Issues </t>
  </si>
  <si>
    <t xml:space="preserve">EMP1650</t>
  </si>
  <si>
    <t xml:space="preserve">EMP1651</t>
  </si>
  <si>
    <t xml:space="preserve">EMP1652</t>
  </si>
  <si>
    <t xml:space="preserve">EMP1653</t>
  </si>
  <si>
    <t xml:space="preserve">EMP1654</t>
  </si>
  <si>
    <t xml:space="preserve">EMP1655</t>
  </si>
  <si>
    <t xml:space="preserve">EMP1656</t>
  </si>
  <si>
    <t xml:space="preserve">EMP1657</t>
  </si>
  <si>
    <t xml:space="preserve">EMP1658</t>
  </si>
  <si>
    <t xml:space="preserve">EMP1659</t>
  </si>
  <si>
    <t xml:space="preserve">EMP1660</t>
  </si>
  <si>
    <t xml:space="preserve">EMP1661</t>
  </si>
  <si>
    <t xml:space="preserve">EMP1662</t>
  </si>
  <si>
    <t xml:space="preserve">EMP1663</t>
  </si>
  <si>
    <t xml:space="preserve">EMP1664</t>
  </si>
  <si>
    <t xml:space="preserve">EMP1665</t>
  </si>
  <si>
    <t xml:space="preserve">EMP1666</t>
  </si>
  <si>
    <t xml:space="preserve">EMP1667</t>
  </si>
  <si>
    <t xml:space="preserve">EMP1668</t>
  </si>
  <si>
    <t xml:space="preserve">EMP1669</t>
  </si>
  <si>
    <t xml:space="preserve">EMP1670</t>
  </si>
  <si>
    <t xml:space="preserve">EMP1671</t>
  </si>
  <si>
    <t xml:space="preserve">EMP1672</t>
  </si>
  <si>
    <t xml:space="preserve">EMP1673</t>
  </si>
  <si>
    <t xml:space="preserve">EMP1674</t>
  </si>
  <si>
    <t xml:space="preserve">EMP1675</t>
  </si>
  <si>
    <t xml:space="preserve">EMP1676</t>
  </si>
  <si>
    <t xml:space="preserve">EMP1677</t>
  </si>
  <si>
    <t xml:space="preserve">EMP1678</t>
  </si>
  <si>
    <t xml:space="preserve">EMP1679</t>
  </si>
  <si>
    <t xml:space="preserve">EMP1680</t>
  </si>
  <si>
    <t xml:space="preserve">EMP1681</t>
  </si>
  <si>
    <t xml:space="preserve">EMP1682</t>
  </si>
  <si>
    <t xml:space="preserve">EMP1683</t>
  </si>
  <si>
    <t xml:space="preserve">EMP1684</t>
  </si>
  <si>
    <t xml:space="preserve">EMP1685</t>
  </si>
  <si>
    <t xml:space="preserve">EMP1686</t>
  </si>
  <si>
    <t xml:space="preserve">EMP1687</t>
  </si>
  <si>
    <t xml:space="preserve">EMP1688</t>
  </si>
  <si>
    <t xml:space="preserve">EMP1689</t>
  </si>
  <si>
    <t xml:space="preserve">EMP1690</t>
  </si>
  <si>
    <t xml:space="preserve">EMP1691</t>
  </si>
  <si>
    <t xml:space="preserve">EMP1692</t>
  </si>
  <si>
    <t xml:space="preserve">EMP1693</t>
  </si>
  <si>
    <t xml:space="preserve">EMP1694</t>
  </si>
  <si>
    <t xml:space="preserve">EMP1695</t>
  </si>
  <si>
    <t xml:space="preserve">EMP1696</t>
  </si>
  <si>
    <t xml:space="preserve">EMP1697</t>
  </si>
  <si>
    <t xml:space="preserve">EMP1698</t>
  </si>
  <si>
    <t xml:space="preserve">EMP1699</t>
  </si>
  <si>
    <t xml:space="preserve">EMP1700</t>
  </si>
  <si>
    <t xml:space="preserve">EMP1701</t>
  </si>
  <si>
    <t xml:space="preserve">EMP1702</t>
  </si>
  <si>
    <t xml:space="preserve">EMP1703</t>
  </si>
  <si>
    <t xml:space="preserve">EMP1704</t>
  </si>
  <si>
    <t xml:space="preserve">EMP1705</t>
  </si>
  <si>
    <t xml:space="preserve">EMP1706</t>
  </si>
  <si>
    <t xml:space="preserve">EMP1707</t>
  </si>
  <si>
    <t xml:space="preserve">EMP1708</t>
  </si>
  <si>
    <t xml:space="preserve">EMP1709</t>
  </si>
  <si>
    <t xml:space="preserve">EMP1710</t>
  </si>
  <si>
    <t xml:space="preserve">EMP1711</t>
  </si>
  <si>
    <t xml:space="preserve">EMP1712</t>
  </si>
  <si>
    <t xml:space="preserve">EMP1713</t>
  </si>
  <si>
    <t xml:space="preserve">EMP1714</t>
  </si>
  <si>
    <t xml:space="preserve">EMP1715</t>
  </si>
  <si>
    <t xml:space="preserve">EMP1716</t>
  </si>
  <si>
    <t xml:space="preserve">EMP1717</t>
  </si>
  <si>
    <t xml:space="preserve">EMP1718</t>
  </si>
  <si>
    <t xml:space="preserve">EMP1719</t>
  </si>
  <si>
    <t xml:space="preserve">EMP1720</t>
  </si>
  <si>
    <t xml:space="preserve">EMP1721</t>
  </si>
  <si>
    <t xml:space="preserve">EMP1722</t>
  </si>
  <si>
    <t xml:space="preserve">EMP1723</t>
  </si>
  <si>
    <t xml:space="preserve">EMP1724</t>
  </si>
  <si>
    <t xml:space="preserve">EMP1725</t>
  </si>
  <si>
    <t xml:space="preserve">EMP1726</t>
  </si>
  <si>
    <t xml:space="preserve">EMP1727</t>
  </si>
  <si>
    <t xml:space="preserve">EMP1728</t>
  </si>
  <si>
    <t xml:space="preserve">EMP1729</t>
  </si>
  <si>
    <t xml:space="preserve">EMP1730</t>
  </si>
  <si>
    <t xml:space="preserve">EMP1731</t>
  </si>
  <si>
    <t xml:space="preserve">EMP1732</t>
  </si>
  <si>
    <t xml:space="preserve">EMP1733</t>
  </si>
  <si>
    <t xml:space="preserve">EMP1734</t>
  </si>
  <si>
    <t xml:space="preserve">EMP1735</t>
  </si>
  <si>
    <t xml:space="preserve">EMP1736</t>
  </si>
  <si>
    <t xml:space="preserve">EMP1737</t>
  </si>
  <si>
    <t xml:space="preserve">EMP1738</t>
  </si>
  <si>
    <t xml:space="preserve">EMP1739</t>
  </si>
  <si>
    <t xml:space="preserve">EMP1740</t>
  </si>
  <si>
    <t xml:space="preserve">EMP1741</t>
  </si>
  <si>
    <t xml:space="preserve">EMP1742</t>
  </si>
  <si>
    <t xml:space="preserve">EMP1743</t>
  </si>
  <si>
    <t xml:space="preserve">EMP1744</t>
  </si>
  <si>
    <t xml:space="preserve">EMP1745</t>
  </si>
  <si>
    <t xml:space="preserve">EMP1746</t>
  </si>
  <si>
    <t xml:space="preserve">EMP1747</t>
  </si>
  <si>
    <t xml:space="preserve">EMP1748</t>
  </si>
  <si>
    <t xml:space="preserve">EMP1749</t>
  </si>
  <si>
    <t xml:space="preserve">EMP1750</t>
  </si>
  <si>
    <t xml:space="preserve">EMP1751</t>
  </si>
  <si>
    <t xml:space="preserve">EMP1752</t>
  </si>
  <si>
    <t xml:space="preserve">EMP1753</t>
  </si>
  <si>
    <t xml:space="preserve">EMP1754</t>
  </si>
  <si>
    <t xml:space="preserve">EMP1755</t>
  </si>
  <si>
    <t xml:space="preserve">EMP1756</t>
  </si>
  <si>
    <t xml:space="preserve">EMP1757</t>
  </si>
  <si>
    <t xml:space="preserve">EMP1758</t>
  </si>
  <si>
    <t xml:space="preserve">EMP1759</t>
  </si>
  <si>
    <t xml:space="preserve">EMP1760</t>
  </si>
  <si>
    <t xml:space="preserve">EMP1761</t>
  </si>
  <si>
    <t xml:space="preserve">EMP1762</t>
  </si>
  <si>
    <t xml:space="preserve">EMP1763</t>
  </si>
  <si>
    <t xml:space="preserve">EMP1764</t>
  </si>
  <si>
    <t xml:space="preserve">EMP1765</t>
  </si>
  <si>
    <t xml:space="preserve">EMP1766</t>
  </si>
  <si>
    <t xml:space="preserve">EMP1767</t>
  </si>
  <si>
    <t xml:space="preserve">EMP1768</t>
  </si>
  <si>
    <t xml:space="preserve">EMP1769</t>
  </si>
  <si>
    <t xml:space="preserve">EMP1770</t>
  </si>
  <si>
    <t xml:space="preserve">EMP1771</t>
  </si>
  <si>
    <t xml:space="preserve">EMP1772</t>
  </si>
  <si>
    <t xml:space="preserve">EMP1773</t>
  </si>
  <si>
    <t xml:space="preserve">EMP1774</t>
  </si>
  <si>
    <t xml:space="preserve">EMP1775</t>
  </si>
  <si>
    <t xml:space="preserve">EMP1776</t>
  </si>
  <si>
    <t xml:space="preserve">EMP1777</t>
  </si>
  <si>
    <t xml:space="preserve">EMP1778</t>
  </si>
  <si>
    <t xml:space="preserve">EMP1779</t>
  </si>
  <si>
    <t xml:space="preserve">EMP1780</t>
  </si>
  <si>
    <t xml:space="preserve">EMP1781</t>
  </si>
  <si>
    <t xml:space="preserve">EMP1782</t>
  </si>
  <si>
    <t xml:space="preserve">EMP1783</t>
  </si>
  <si>
    <t xml:space="preserve">EMP1784</t>
  </si>
  <si>
    <t xml:space="preserve">EMP1785</t>
  </si>
  <si>
    <t xml:space="preserve">EMP1786</t>
  </si>
  <si>
    <t xml:space="preserve">EMP1787</t>
  </si>
  <si>
    <t xml:space="preserve">EMP1788</t>
  </si>
  <si>
    <t xml:space="preserve">EMP1789</t>
  </si>
  <si>
    <t xml:space="preserve">EMP1790</t>
  </si>
  <si>
    <t xml:space="preserve">EMP1791</t>
  </si>
  <si>
    <t xml:space="preserve">EMP1792</t>
  </si>
  <si>
    <t xml:space="preserve">EMP1793</t>
  </si>
  <si>
    <t xml:space="preserve">EMP1794</t>
  </si>
  <si>
    <t xml:space="preserve">EMP1795</t>
  </si>
  <si>
    <t xml:space="preserve">EMP1796</t>
  </si>
  <si>
    <t xml:space="preserve">EMP1797</t>
  </si>
  <si>
    <t xml:space="preserve">EMP1798</t>
  </si>
  <si>
    <t xml:space="preserve">EMP1799</t>
  </si>
  <si>
    <t xml:space="preserve">EMP1800</t>
  </si>
  <si>
    <t xml:space="preserve">EMP1801</t>
  </si>
  <si>
    <t xml:space="preserve">EMP1802</t>
  </si>
  <si>
    <t xml:space="preserve">EMP1803</t>
  </si>
  <si>
    <t xml:space="preserve">EMP1804</t>
  </si>
  <si>
    <t xml:space="preserve">EMP1805</t>
  </si>
  <si>
    <t xml:space="preserve">EMP1806</t>
  </si>
  <si>
    <t xml:space="preserve">EMP1807</t>
  </si>
  <si>
    <t xml:space="preserve">EMP1808</t>
  </si>
  <si>
    <t xml:space="preserve">EMP1809</t>
  </si>
  <si>
    <t xml:space="preserve">EMP1810</t>
  </si>
  <si>
    <t xml:space="preserve">EMP1811</t>
  </si>
  <si>
    <t xml:space="preserve">EMP1812</t>
  </si>
  <si>
    <t xml:space="preserve">EMP1813</t>
  </si>
  <si>
    <t xml:space="preserve">EMP1814</t>
  </si>
  <si>
    <t xml:space="preserve">EMP1815</t>
  </si>
  <si>
    <t xml:space="preserve">EMP1816</t>
  </si>
  <si>
    <t xml:space="preserve">EMP1817</t>
  </si>
  <si>
    <t xml:space="preserve">EMP1818</t>
  </si>
  <si>
    <t xml:space="preserve">EMP1819</t>
  </si>
  <si>
    <t xml:space="preserve">EMP1820</t>
  </si>
  <si>
    <t xml:space="preserve">EMP1821</t>
  </si>
  <si>
    <t xml:space="preserve">EMP1822</t>
  </si>
  <si>
    <t xml:space="preserve">EMP1823</t>
  </si>
  <si>
    <t xml:space="preserve">EMP1824</t>
  </si>
  <si>
    <t xml:space="preserve">EMP1825</t>
  </si>
  <si>
    <t xml:space="preserve">EMP1826</t>
  </si>
  <si>
    <t xml:space="preserve">EMP1827</t>
  </si>
  <si>
    <t xml:space="preserve">EMP1828</t>
  </si>
  <si>
    <t xml:space="preserve">EMP1829</t>
  </si>
  <si>
    <t xml:space="preserve">EMP1830</t>
  </si>
  <si>
    <t xml:space="preserve">EMP1831</t>
  </si>
  <si>
    <t xml:space="preserve">EMP1832</t>
  </si>
  <si>
    <t xml:space="preserve">EMP1833</t>
  </si>
  <si>
    <t xml:space="preserve">EMP1834</t>
  </si>
  <si>
    <t xml:space="preserve">EMP1835</t>
  </si>
  <si>
    <t xml:space="preserve">EMP1836</t>
  </si>
  <si>
    <t xml:space="preserve">EMP1837</t>
  </si>
  <si>
    <t xml:space="preserve">EMP1838</t>
  </si>
  <si>
    <t xml:space="preserve">EMP1839</t>
  </si>
  <si>
    <t xml:space="preserve">EMP1840</t>
  </si>
  <si>
    <t xml:space="preserve">EMP1841</t>
  </si>
  <si>
    <t xml:space="preserve">EMP1842</t>
  </si>
  <si>
    <t xml:space="preserve">EMP1843</t>
  </si>
  <si>
    <t xml:space="preserve">EMP1844</t>
  </si>
  <si>
    <t xml:space="preserve">EMP1845</t>
  </si>
  <si>
    <t xml:space="preserve">EMP1846</t>
  </si>
  <si>
    <t xml:space="preserve">EMP1847</t>
  </si>
  <si>
    <t xml:space="preserve">EMP1848</t>
  </si>
  <si>
    <t xml:space="preserve">EMP1849</t>
  </si>
  <si>
    <t xml:space="preserve">EMP1850</t>
  </si>
  <si>
    <t xml:space="preserve">EMP1851</t>
  </si>
  <si>
    <t xml:space="preserve">EMP1852</t>
  </si>
  <si>
    <t xml:space="preserve">EMP1853</t>
  </si>
  <si>
    <t xml:space="preserve">EMP1854</t>
  </si>
  <si>
    <t xml:space="preserve">EMP1855</t>
  </si>
  <si>
    <t xml:space="preserve">EMP1856</t>
  </si>
  <si>
    <t xml:space="preserve">EMP1857</t>
  </si>
  <si>
    <t xml:space="preserve">EMP1858</t>
  </si>
  <si>
    <t xml:space="preserve">EMP1859</t>
  </si>
  <si>
    <t xml:space="preserve">EMP1860</t>
  </si>
  <si>
    <t xml:space="preserve">EMP1861</t>
  </si>
  <si>
    <t xml:space="preserve">EMP1862</t>
  </si>
  <si>
    <t xml:space="preserve">EMP1863</t>
  </si>
  <si>
    <t xml:space="preserve">EMP1864</t>
  </si>
  <si>
    <t xml:space="preserve">EMP1865</t>
  </si>
  <si>
    <t xml:space="preserve">EMP1866</t>
  </si>
  <si>
    <t xml:space="preserve">EMP1867</t>
  </si>
  <si>
    <t xml:space="preserve">EMP1868</t>
  </si>
  <si>
    <t xml:space="preserve">EMP1869</t>
  </si>
  <si>
    <t xml:space="preserve">EMP1870</t>
  </si>
  <si>
    <t xml:space="preserve">EMP1871</t>
  </si>
  <si>
    <t xml:space="preserve">EMP1872</t>
  </si>
  <si>
    <t xml:space="preserve">EMP1873</t>
  </si>
  <si>
    <t xml:space="preserve">EMP1874</t>
  </si>
  <si>
    <t xml:space="preserve">EMP1875</t>
  </si>
  <si>
    <t xml:space="preserve">EMP1876</t>
  </si>
  <si>
    <t xml:space="preserve">EMP1877</t>
  </si>
  <si>
    <t xml:space="preserve">EMP1878</t>
  </si>
  <si>
    <t xml:space="preserve">EMP1879</t>
  </si>
  <si>
    <t xml:space="preserve">EMP1880</t>
  </si>
  <si>
    <t xml:space="preserve">EMP1881</t>
  </si>
  <si>
    <t xml:space="preserve">EMP1882</t>
  </si>
  <si>
    <t xml:space="preserve">EMP1883</t>
  </si>
  <si>
    <t xml:space="preserve">EMP1884</t>
  </si>
  <si>
    <t xml:space="preserve">EMP1885</t>
  </si>
  <si>
    <t xml:space="preserve">EMP1886</t>
  </si>
  <si>
    <t xml:space="preserve">EMP1887</t>
  </si>
  <si>
    <t xml:space="preserve">EMP1888</t>
  </si>
  <si>
    <t xml:space="preserve">EMP1889</t>
  </si>
  <si>
    <t xml:space="preserve">EMP1890</t>
  </si>
  <si>
    <t xml:space="preserve">EMP1891</t>
  </si>
  <si>
    <t xml:space="preserve">EMP1892</t>
  </si>
  <si>
    <t xml:space="preserve">EMP1893</t>
  </si>
  <si>
    <t xml:space="preserve">EMP1894</t>
  </si>
  <si>
    <t xml:space="preserve">EMP1895</t>
  </si>
  <si>
    <t xml:space="preserve">EMP1896</t>
  </si>
  <si>
    <t xml:space="preserve">EMP1897</t>
  </si>
  <si>
    <t xml:space="preserve">EMP1898</t>
  </si>
  <si>
    <t xml:space="preserve">EMP1899</t>
  </si>
  <si>
    <t xml:space="preserve">EMP1900</t>
  </si>
  <si>
    <t xml:space="preserve">EMP1901</t>
  </si>
  <si>
    <t xml:space="preserve">EMP1902</t>
  </si>
  <si>
    <t xml:space="preserve">EMP1903</t>
  </si>
  <si>
    <t xml:space="preserve">EMP1904</t>
  </si>
  <si>
    <t xml:space="preserve">EMP1905</t>
  </si>
  <si>
    <t xml:space="preserve">EMP1906</t>
  </si>
  <si>
    <t xml:space="preserve">EMP1907</t>
  </si>
  <si>
    <t xml:space="preserve">EMP1908</t>
  </si>
  <si>
    <t xml:space="preserve">EMP1909</t>
  </si>
  <si>
    <t xml:space="preserve">EMP1910</t>
  </si>
  <si>
    <t xml:space="preserve">EMP1911</t>
  </si>
  <si>
    <t xml:space="preserve">EMP1912</t>
  </si>
  <si>
    <t xml:space="preserve">EMP1913</t>
  </si>
  <si>
    <t xml:space="preserve">EMP1914</t>
  </si>
  <si>
    <t xml:space="preserve">EMP1915</t>
  </si>
  <si>
    <t xml:space="preserve">EMP1916</t>
  </si>
  <si>
    <t xml:space="preserve">EMP1917</t>
  </si>
  <si>
    <t xml:space="preserve">EMP1918</t>
  </si>
  <si>
    <t xml:space="preserve">EMP1919</t>
  </si>
  <si>
    <t xml:space="preserve">EMP1920</t>
  </si>
  <si>
    <t xml:space="preserve">EMP1921</t>
  </si>
  <si>
    <t xml:space="preserve">EMP1922</t>
  </si>
  <si>
    <t xml:space="preserve">EMP1923</t>
  </si>
  <si>
    <t xml:space="preserve">EMP1924</t>
  </si>
  <si>
    <t xml:space="preserve">EMP1925</t>
  </si>
  <si>
    <t xml:space="preserve">EMP1926</t>
  </si>
  <si>
    <t xml:space="preserve">EMP1927</t>
  </si>
  <si>
    <t xml:space="preserve">EMP1928</t>
  </si>
  <si>
    <t xml:space="preserve">EMP1929</t>
  </si>
  <si>
    <t xml:space="preserve">EMP1930</t>
  </si>
  <si>
    <t xml:space="preserve">EMP1931</t>
  </si>
  <si>
    <t xml:space="preserve">EMP1932</t>
  </si>
  <si>
    <t xml:space="preserve">EMP1933</t>
  </si>
  <si>
    <t xml:space="preserve">EMP1934</t>
  </si>
  <si>
    <t xml:space="preserve">EMP1935</t>
  </si>
  <si>
    <t xml:space="preserve">EMP1936</t>
  </si>
  <si>
    <t xml:space="preserve">EMP1937</t>
  </si>
  <si>
    <t xml:space="preserve">EMP1938</t>
  </si>
  <si>
    <t xml:space="preserve">EMP1939</t>
  </si>
  <si>
    <t xml:space="preserve">EMP1940</t>
  </si>
  <si>
    <t xml:space="preserve">EMP1941</t>
  </si>
  <si>
    <t xml:space="preserve">EMP1942</t>
  </si>
  <si>
    <t xml:space="preserve">EMP1943</t>
  </si>
  <si>
    <t xml:space="preserve">EMP1944</t>
  </si>
  <si>
    <t xml:space="preserve">EMP1945</t>
  </si>
  <si>
    <t xml:space="preserve">EMP1946</t>
  </si>
  <si>
    <t xml:space="preserve">EMP1947</t>
  </si>
  <si>
    <t xml:space="preserve">EMP1948</t>
  </si>
  <si>
    <t xml:space="preserve">EMP1949</t>
  </si>
  <si>
    <t xml:space="preserve">EMP1950</t>
  </si>
  <si>
    <t xml:space="preserve">EMP1951</t>
  </si>
  <si>
    <t xml:space="preserve">EMP1952</t>
  </si>
  <si>
    <t xml:space="preserve">EMP1953</t>
  </si>
  <si>
    <t xml:space="preserve">EMP1954</t>
  </si>
  <si>
    <t xml:space="preserve">EMP1955</t>
  </si>
  <si>
    <t xml:space="preserve">EMP1956</t>
  </si>
  <si>
    <t xml:space="preserve">EMP1957</t>
  </si>
  <si>
    <t xml:space="preserve">EMP1958</t>
  </si>
  <si>
    <t xml:space="preserve">EMP1959</t>
  </si>
  <si>
    <t xml:space="preserve">EMP1960</t>
  </si>
  <si>
    <t xml:space="preserve">EMP1961</t>
  </si>
  <si>
    <t xml:space="preserve">EMP1962</t>
  </si>
  <si>
    <t xml:space="preserve">EMP1963</t>
  </si>
  <si>
    <t xml:space="preserve">EMP1964</t>
  </si>
  <si>
    <t xml:space="preserve">EMP1965</t>
  </si>
  <si>
    <t xml:space="preserve">EMP1966</t>
  </si>
  <si>
    <t xml:space="preserve">EMP1967</t>
  </si>
  <si>
    <t xml:space="preserve">EMP1968</t>
  </si>
  <si>
    <t xml:space="preserve">EMP1969</t>
  </si>
  <si>
    <t xml:space="preserve">EMP1970</t>
  </si>
  <si>
    <t xml:space="preserve">EMP1971</t>
  </si>
  <si>
    <t xml:space="preserve">EMP1972</t>
  </si>
  <si>
    <t xml:space="preserve">EMP1973</t>
  </si>
  <si>
    <t xml:space="preserve">EMP1974</t>
  </si>
  <si>
    <t xml:space="preserve">EMP1975</t>
  </si>
  <si>
    <t xml:space="preserve">EMP1976</t>
  </si>
  <si>
    <t xml:space="preserve">EMP1977</t>
  </si>
  <si>
    <t xml:space="preserve">EMP1978</t>
  </si>
  <si>
    <t xml:space="preserve">EMP1979</t>
  </si>
  <si>
    <t xml:space="preserve">EMP1980</t>
  </si>
  <si>
    <t xml:space="preserve">EMP1981</t>
  </si>
  <si>
    <t xml:space="preserve">EMP1982</t>
  </si>
  <si>
    <t xml:space="preserve">EMP1983</t>
  </si>
  <si>
    <t xml:space="preserve">EMP1984</t>
  </si>
  <si>
    <t xml:space="preserve">EMP1985</t>
  </si>
  <si>
    <t xml:space="preserve">EMP1986</t>
  </si>
  <si>
    <t xml:space="preserve">EMP1987</t>
  </si>
  <si>
    <t xml:space="preserve">EMP1988</t>
  </si>
  <si>
    <t xml:space="preserve">EMP1989</t>
  </si>
  <si>
    <t xml:space="preserve">EMP1990</t>
  </si>
  <si>
    <t xml:space="preserve">EMP1991</t>
  </si>
  <si>
    <t xml:space="preserve">EMP1992</t>
  </si>
  <si>
    <t xml:space="preserve">EMP1993</t>
  </si>
  <si>
    <t xml:space="preserve">EMP1994</t>
  </si>
  <si>
    <t xml:space="preserve">EMP1995</t>
  </si>
  <si>
    <t xml:space="preserve">EMP1996</t>
  </si>
  <si>
    <t xml:space="preserve">EMP1997</t>
  </si>
  <si>
    <t xml:space="preserve">EMP1998</t>
  </si>
  <si>
    <t xml:space="preserve">EMP1999</t>
  </si>
  <si>
    <t xml:space="preserve">EMP2000</t>
  </si>
  <si>
    <t xml:space="preserve">Hire_Date</t>
  </si>
  <si>
    <t xml:space="preserve">Exit_Date</t>
  </si>
  <si>
    <t xml:space="preserve">Gender</t>
  </si>
  <si>
    <t xml:space="preserve">Education</t>
  </si>
  <si>
    <t xml:space="preserve">Department</t>
  </si>
  <si>
    <t xml:space="preserve">Job_Role</t>
  </si>
  <si>
    <t xml:space="preserve">Exit_Year</t>
  </si>
  <si>
    <t xml:space="preserve">Exit_Quarter</t>
  </si>
  <si>
    <t xml:space="preserve">Exit_Month</t>
  </si>
  <si>
    <t xml:space="preserve">Attrition Analysis (all cells are formulas on Clean_Data named ranges)</t>
  </si>
  <si>
    <t xml:space="preserve">1. Headline KPIs</t>
  </si>
  <si>
    <t xml:space="preserve">Metric</t>
  </si>
  <si>
    <t xml:space="preserve">Total employees in dataset</t>
  </si>
  <si>
    <t xml:space="preserve">Active employees (31-Dec-2025)</t>
  </si>
  <si>
    <t xml:space="preserve">Leavers (2022-2025)</t>
  </si>
  <si>
    <t xml:space="preserve">Cumulative attrition % (leavers / employees)</t>
  </si>
  <si>
    <t xml:space="preserve">Voluntary leavers</t>
  </si>
  <si>
    <t xml:space="preserve">Involuntary leavers</t>
  </si>
  <si>
    <t xml:space="preserve">Voluntary share of leavers</t>
  </si>
  <si>
    <t xml:space="preserve">Average annual attrition rate</t>
  </si>
  <si>
    <t xml:space="preserve">Avg tenure of leavers (yrs)</t>
  </si>
  <si>
    <t xml:space="preserve">Avg tenure of active employees (yrs)</t>
  </si>
  <si>
    <t xml:space="preserve">Avg monthly income - leavers (INR)</t>
  </si>
  <si>
    <t xml:space="preserve">Avg monthly income - active (INR)</t>
  </si>
  <si>
    <t xml:space="preserve">Est. replacement cost, 2022-2025 (INR)</t>
  </si>
  <si>
    <t xml:space="preserve">Uses ReplCostPct assumption (README)</t>
  </si>
  <si>
    <t xml:space="preserve">Est. average annual replacement cost (INR)</t>
  </si>
  <si>
    <t xml:space="preserve">Est. annual saving at target reduction (INR)</t>
  </si>
  <si>
    <t xml:space="preserve">Uses TargetReduction assumption (README)</t>
  </si>
  <si>
    <t xml:space="preserve">2. Attrition by Department</t>
  </si>
  <si>
    <t xml:space="preserve">Segment</t>
  </si>
  <si>
    <t xml:space="preserve">Headcount</t>
  </si>
  <si>
    <t xml:space="preserve">Leavers</t>
  </si>
  <si>
    <t xml:space="preserve">Attrition %</t>
  </si>
  <si>
    <t xml:space="preserve">Total</t>
  </si>
  <si>
    <t xml:space="preserve">3. Attrition by Job Role</t>
  </si>
  <si>
    <t xml:space="preserve">4. Attrition by Gender</t>
  </si>
  <si>
    <t xml:space="preserve">5. Attrition by Education Level</t>
  </si>
  <si>
    <t xml:space="preserve">Bachelors</t>
  </si>
  <si>
    <t xml:space="preserve">6. Attrition by Age Group</t>
  </si>
  <si>
    <t xml:space="preserve">Under 25</t>
  </si>
  <si>
    <t xml:space="preserve">25-34</t>
  </si>
  <si>
    <t xml:space="preserve">35-44</t>
  </si>
  <si>
    <t xml:space="preserve">45-54</t>
  </si>
  <si>
    <t xml:space="preserve">55+</t>
  </si>
  <si>
    <t xml:space="preserve">Unknown</t>
  </si>
  <si>
    <t xml:space="preserve">7. Attrition by Tenure Band</t>
  </si>
  <si>
    <t xml:space="preserve">0-1 yrs</t>
  </si>
  <si>
    <t xml:space="preserve">1-3 yrs</t>
  </si>
  <si>
    <t xml:space="preserve">3-5 yrs</t>
  </si>
  <si>
    <t xml:space="preserve">5-10 yrs</t>
  </si>
  <si>
    <t xml:space="preserve">10+ yrs</t>
  </si>
  <si>
    <t xml:space="preserve">8. Attrition by Performance Group</t>
  </si>
  <si>
    <t xml:space="preserve">High</t>
  </si>
  <si>
    <t xml:space="preserve">Medium</t>
  </si>
  <si>
    <t xml:space="preserve">Low</t>
  </si>
  <si>
    <t xml:space="preserve">9. Attrition by Performance Rating (1-5)</t>
  </si>
  <si>
    <t xml:space="preserve">10. Attrition by Job Satisfaction (1-4)</t>
  </si>
  <si>
    <t xml:space="preserve">11. Attrition by Overtime</t>
  </si>
  <si>
    <t xml:space="preserve">12. Voluntary vs Involuntary Attrition</t>
  </si>
  <si>
    <t xml:space="preserve">% of leavers</t>
  </si>
  <si>
    <t xml:space="preserve">Avg tenure (yrs)</t>
  </si>
  <si>
    <t xml:space="preserve">Avg monthly income</t>
  </si>
  <si>
    <t xml:space="preserve">Avg job satisfaction</t>
  </si>
  <si>
    <t xml:space="preserve">13. Voluntary Exit Reasons</t>
  </si>
  <si>
    <t xml:space="preserve">Exit reason</t>
  </si>
  <si>
    <t xml:space="preserve">% of voluntary leavers</t>
  </si>
  <si>
    <t xml:space="preserve">Not Recorded</t>
  </si>
  <si>
    <t xml:space="preserve">14. Involuntary Exit Reasons</t>
  </si>
  <si>
    <t xml:space="preserve">% of involuntary leavers</t>
  </si>
  <si>
    <t xml:space="preserve">15. Yearly Attrition Trend</t>
  </si>
  <si>
    <t xml:space="preserve">Year</t>
  </si>
  <si>
    <t xml:space="preserve">Headcount 1-Jan</t>
  </si>
  <si>
    <t xml:space="preserve">Hires</t>
  </si>
  <si>
    <t xml:space="preserve">Headcount 31-Dec</t>
  </si>
  <si>
    <t xml:space="preserve">Average headcount</t>
  </si>
  <si>
    <t xml:space="preserve">Attrition rate</t>
  </si>
  <si>
    <t xml:space="preserve">Voluntary %</t>
  </si>
  <si>
    <t xml:space="preserve">Check: 31-Dec-2025 headcount = active employees</t>
  </si>
  <si>
    <t xml:space="preserve">16. Quarterly Attrition Trend (rate = leavers / average headcount in the quarter)</t>
  </si>
  <si>
    <t xml:space="preserve">Quarter</t>
  </si>
  <si>
    <t xml:space="preserve">Quarter start</t>
  </si>
  <si>
    <t xml:space="preserve">Next quarter start</t>
  </si>
  <si>
    <t xml:space="preserve">Headcount start</t>
  </si>
  <si>
    <t xml:space="preserve">Headcount end</t>
  </si>
  <si>
    <t xml:space="preserve">Quarterly rate</t>
  </si>
  <si>
    <t xml:space="preserve">Annualised rate</t>
  </si>
  <si>
    <t xml:space="preserve">2022-Q1</t>
  </si>
  <si>
    <t xml:space="preserve">2022-Q2</t>
  </si>
  <si>
    <t xml:space="preserve">2022-Q3</t>
  </si>
  <si>
    <t xml:space="preserve">2022-Q4</t>
  </si>
  <si>
    <t xml:space="preserve">2023-Q1</t>
  </si>
  <si>
    <t xml:space="preserve">2023-Q2</t>
  </si>
  <si>
    <t xml:space="preserve">2023-Q3</t>
  </si>
  <si>
    <t xml:space="preserve">2023-Q4</t>
  </si>
  <si>
    <t xml:space="preserve">2024-Q1</t>
  </si>
  <si>
    <t xml:space="preserve">2024-Q2</t>
  </si>
  <si>
    <t xml:space="preserve">2024-Q3</t>
  </si>
  <si>
    <t xml:space="preserve">2024-Q4</t>
  </si>
  <si>
    <t xml:space="preserve">2025-Q1</t>
  </si>
  <si>
    <t xml:space="preserve">2025-Q2</t>
  </si>
  <si>
    <t xml:space="preserve">2025-Q3</t>
  </si>
  <si>
    <t xml:space="preserve">2025-Q4</t>
  </si>
  <si>
    <t xml:space="preserve">17. Seasonality - exits by calendar month (all years combined)</t>
  </si>
  <si>
    <t xml:space="preserve">Month</t>
  </si>
  <si>
    <t xml:space="preserve">Month #</t>
  </si>
  <si>
    <t xml:space="preserve">% of exits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</si>
  <si>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</si>
  <si>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</si>
  <si>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</si>
  <si>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</si>
  <si>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</si>
  <si>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</si>
  <si>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</si>
  <si>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</si>
  <si>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</si>
  <si>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</si>
  <si>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</si>
  <si>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</si>
  <si>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18. Heatmap - attrition % by Job Role (rows) x Department (columns)</t>
  </si>
  <si>
    <t xml:space="preserve">Pivot-style Cross-tabs with Slicer-style Filters</t>
  </si>
  <si>
    <t xml:space="preserve">Pick values in the yellow dropdowns - every table below recalculates. (Native PivotTable + slicer steps are at the bottom of this sheet.)</t>
  </si>
  <si>
    <t xml:space="preserve">Filter</t>
  </si>
  <si>
    <t xml:space="preserve">Selection</t>
  </si>
  <si>
    <t xml:space="preserve">Criteria used</t>
  </si>
  <si>
    <t xml:space="preserve">Selected segment</t>
  </si>
  <si>
    <t xml:space="preserve">All</t>
  </si>
  <si>
    <t xml:space="preserve">Performance group</t>
  </si>
  <si>
    <t xml:space="preserve">A. Attrition % - Job Role x Age Group</t>
  </si>
  <si>
    <t xml:space="preserve">B. Leavers (count) - Job Role x Age Group</t>
  </si>
  <si>
    <t xml:space="preserve">C. Attrition % - Job Role x Gender</t>
  </si>
  <si>
    <t xml:space="preserve">D. Attrition % - Job Role x Tenure Band</t>
  </si>
  <si>
    <t xml:space="preserve">How to add a native PivotTable + slicers (2 minutes, in desktop Excel)</t>
  </si>
  <si>
    <t xml:space="preserve">1. Go to Clean_Data, click any cell in the table (tblClean) -&gt; Insert -&gt; PivotTable -&gt; New Worksheet. Name it "Pivot_Native".</t>
  </si>
  <si>
    <t xml:space="preserve">2. Rows: Job_Role. Columns: Gender (or Age_Band). Values: Attrition_Flag -&gt; Average (format as %) for the rate, and Employee_ID -&gt; Count for headcount.</t>
  </si>
  <si>
    <t xml:space="preserve">3. With the PivotTable selected: PivotTable Analyze -&gt; Insert Slicer -&gt; tick Department, Job_Role, Gender, Perf_Group, Overtime.</t>
  </si>
  <si>
    <t xml:space="preserve">4. Slicer Connections (right-click a slicer -&gt; Report Connections) lets one slicer drive several PivotTables; add Insert Timeline on Exit_Date for period filtering.</t>
  </si>
  <si>
    <t xml:space="preserve">Why average of Attrition_Flag? Because the flag is 1 for leavers and 0 for active staff, so its average is the attrition % for whatever the slicers select.</t>
  </si>
  <si>
    <t xml:space="preserve">Employee Attrition Dashboard</t>
  </si>
  <si>
    <t xml:space="preserve">Window: Jan-2022 to Dec-2025 | Source: Clean_Data via Analysis tab | Rates are leavers / employees unless labelled annual</t>
  </si>
  <si>
    <t xml:space="preserve">Total employees</t>
  </si>
  <si>
    <t xml:space="preserve">Active employees</t>
  </si>
  <si>
    <t xml:space="preserve">Cumulative attrition %</t>
  </si>
  <si>
    <t xml:space="preserve">Avg annual attrition</t>
  </si>
  <si>
    <t xml:space="preserve">Voluntary share</t>
  </si>
  <si>
    <t xml:space="preserve">Est. annual replacement cost (INR mn)</t>
  </si>
  <si>
    <t xml:space="preserve">Heatmap: attrition % by Job Role x Department (red = higher risk)</t>
  </si>
  <si>
    <t xml:space="preserve">Insights &amp; Recommendations</t>
  </si>
  <si>
    <t xml:space="preserve">Findings are built by formula from the Analysis tab, so they update with the data. Recommendations are written for the sample dataset - re-read them after loading real data.</t>
  </si>
  <si>
    <t xml:space="preserve">#</t>
  </si>
  <si>
    <t xml:space="preserve">Finding (auto-generated)</t>
  </si>
  <si>
    <t xml:space="preserve">Why it matters</t>
  </si>
  <si>
    <t xml:space="preserve">Recommended action</t>
  </si>
  <si>
    <t xml:space="preserve">KPI to track</t>
  </si>
  <si>
    <t xml:space="preserve">Workload is the clearest controllable driver; it also feeds the Work-Life Balance exit reason.</t>
  </si>
  <si>
    <t xml:space="preserve">Cap sustained overtime, backfill peak demand with contractors/shift planning, and have managers review overtime &gt;2 months in a row.</t>
  </si>
  <si>
    <t xml:space="preserve">Attrition % of overtime group; % employees on regular overtime</t>
  </si>
  <si>
    <t xml:space="preserve">Satisfaction is a leading indicator: low scorers can be identified before they resign.</t>
  </si>
  <si>
    <t xml:space="preserve">Run quarterly pulse surveys; hold a stay-interview within 30 days for anyone scoring 1-2; track manager-level scores.</t>
  </si>
  <si>
    <t xml:space="preserve">Attrition % of satisfaction 1-2; survey response rate</t>
  </si>
  <si>
    <t xml:space="preserve">Early-tenure exits waste recruiting and onboarding spend and signal onboarding / expectation gaps.</t>
  </si>
  <si>
    <t xml:space="preserve">Structured onboarding with 30/90/180-day check-ins, a buddy program, and career-path conversations at the 12-month mark.</t>
  </si>
  <si>
    <t xml:space="preserve">12-month retention of new hires; 0-3 yr attrition %</t>
  </si>
  <si>
    <t xml:space="preserve">Concentrated attrition can be fixed with targeted action rather than company-wide spend.</t>
  </si>
  <si>
    <t xml:space="preserve">Run a deep-dive on the hotspot (workload, pay vs market, manager quality); create a clear promotion ladder for entry-level roles.</t>
  </si>
  <si>
    <t xml:space="preserve">Hotspot attrition % vs company average</t>
  </si>
  <si>
    <t xml:space="preserve">Early-career staff are more mobile and more sensitive to growth and pay.</t>
  </si>
  <si>
    <t xml:space="preserve">Offer rotation programs, skill-based pay steps and mentoring for early-career employees.</t>
  </si>
  <si>
    <t xml:space="preserve">Attrition % under-35</t>
  </si>
  <si>
    <t xml:space="preserve">Voluntary exits are the preventable share of attrition.</t>
  </si>
  <si>
    <t xml:space="preserve">Benchmark pay for the hotspot roles annually; publish internal job postings first; fix manager issues through 360 feedback.</t>
  </si>
  <si>
    <t xml:space="preserve">Voluntary attrition %; internal fill rate</t>
  </si>
  <si>
    <t xml:space="preserve">Exits cluster after appraisal / increment cycles and around organisational change (e.g. restructuring).</t>
  </si>
  <si>
    <t xml:space="preserve">Run retention conversations before appraisal results; pair change announcements with a retention plan for critical talent.</t>
  </si>
  <si>
    <t xml:space="preserve">Quarterly attrition rate; peak vs average quarter</t>
  </si>
  <si>
    <t xml:space="preserve">Losing top performers costs more than losing average ones; low-performer exits are largely involuntary and managed.</t>
  </si>
  <si>
    <t xml:space="preserve">Recognition, stretch assignments and retention bonuses for high performers; fair, timely performance management for low performers.</t>
  </si>
  <si>
    <t xml:space="preserve">High-performer attrition %</t>
  </si>
  <si>
    <t xml:space="preserve">Turns the analysis into a business case for retention spending.</t>
  </si>
  <si>
    <t xml:space="preserve">Replace the illustrative cost assumption with HR/finance figures and fund retention actions up to the estimated saving.</t>
  </si>
  <si>
    <t xml:space="preserve">Annual replacement cost; ROI of retention programs</t>
  </si>
  <si>
    <t xml:space="preserve">Demo script (8-10 minutes)</t>
  </si>
  <si>
    <t xml:space="preserve">Step</t>
  </si>
  <si>
    <t xml:space="preserve">Tab</t>
  </si>
  <si>
    <t xml:space="preserve">What to say</t>
  </si>
  <si>
    <t xml:space="preserve">What to show</t>
  </si>
  <si>
    <t xml:space="preserve">Time</t>
  </si>
  <si>
    <t xml:space="preserve">Frame the question: how do we reduce attrition and improve retention? Cost of attrition is the business case.</t>
  </si>
  <si>
    <t xml:space="preserve">Problem statement, parameters</t>
  </si>
  <si>
    <t xml:space="preserve">1 min</t>
  </si>
  <si>
    <t xml:space="preserve">Raw_Data -&gt; Clean_Data</t>
  </si>
  <si>
    <t xml:space="preserve">Describe the 14 raw columns and the mess: casing, stray spaces, M/F codes, blanks. Explain each fix and why blanks were imputed vs left as Unknown.</t>
  </si>
  <si>
    <t xml:space="preserve">README data-quality checks; Clean_Data formulas</t>
  </si>
  <si>
    <t xml:space="preserve">2 min</t>
  </si>
  <si>
    <t xml:space="preserve">Analysis (sections 2-11)</t>
  </si>
  <si>
    <t xml:space="preserve">Walk the EDA: which departments, roles, ages, tenure bands, performance and satisfaction groups churn most.</t>
  </si>
  <si>
    <t xml:space="preserve">Colour-scaled attrition % columns</t>
  </si>
  <si>
    <t xml:space="preserve">Analysis (12-14)</t>
  </si>
  <si>
    <t xml:space="preserve">Split voluntary vs involuntary and show the main reasons - this is the preventable part.</t>
  </si>
  <si>
    <t xml:space="preserve">Reason tables, pie on Dashboard</t>
  </si>
  <si>
    <t xml:space="preserve">Analysis (15-17)</t>
  </si>
  <si>
    <t xml:space="preserve">Yearly, quarterly and seasonal patterns; point out the peak quarter and peak months.</t>
  </si>
  <si>
    <t xml:space="preserve">Line chart, seasonality index</t>
  </si>
  <si>
    <t xml:space="preserve">Use the dropdowns live: e.g. Overtime = Yes, Department = hotspot, to show drill-down.</t>
  </si>
  <si>
    <t xml:space="preserve">Role x Age cross-tab; mention native PivotTable + slicers</t>
  </si>
  <si>
    <t xml:space="preserve">Summarise on one page: KPIs, charts, heatmap of role x department.</t>
  </si>
  <si>
    <t xml:space="preserve">Heatmap hotspots</t>
  </si>
  <si>
    <t xml:space="preserve">Close with 3-4 findings, each tied to an action and a KPI, plus the savings estimate.</t>
  </si>
  <si>
    <t xml:space="preserve">Findings table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</si>
</sst>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yy"/>
    <numFmt numFmtId="166" formatCode="0"/>
    <numFmt numFmtId="167" formatCode="0%"/>
    <numFmt numFmtId="168" formatCode="#,##0"/>
    <numFmt numFmtId="169" formatCode="0.00"/>
    <numFmt numFmtId="170" formatCode="0.0%"/>
    <numFmt numFmtId="171" formatCode="0.0"/>
    <numFmt numFmtId="172" formatCode="#,##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9"/>
      <color rgb="FF548235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7030A0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BF8F00"/>
      <rgbColor rgb="FFED7D31"/>
      <rgbColor rgb="FF4F81BD"/>
      <rgbColor rgb="FF878787"/>
      <rgbColor rgb="FF1F3864"/>
      <rgbColor rgb="FF339966"/>
      <rgbColor rgb="FF003300"/>
      <rgbColor rgb="FF333300"/>
      <rgbColor rgb="FFC55A11"/>
      <rgbColor rgb="FFC0504D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% by Job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Analysis!D34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Analysis!$A$35:$A$40</c:f>
              <c:strCache>
                <c:ptCount val="6"/>
                <c:pt idx="0">
                  <c:v>Associate</c:v>
                </c:pt>
                <c:pt idx="1">
                  <c:v>Analyst</c:v>
                </c:pt>
                <c:pt idx="2">
                  <c:v>Senior Analyst</c:v>
                </c:pt>
                <c:pt idx="3">
                  <c:v>Specialist</c:v>
                </c:pt>
                <c:pt idx="4">
                  <c:v>Team Lead</c:v>
                </c:pt>
                <c:pt idx="5">
                  <c:v>Manager</c:v>
                </c:pt>
              </c:strCache>
            </c:strRef>
          </c:cat>
          <c:val>
            <c:numRef>
              <c:f>Analysis!$D$35:$D$40</c:f>
              <c:numCache>
                <c:formatCode>0.0%</c:formatCode>
                <c:ptCount val="6"/>
                <c:pt idx="0">
                  <c:v>0.428321678321678</c:v>
                </c:pt>
                <c:pt idx="1">
                  <c:v>0.355555555555556</c:v>
                </c:pt>
                <c:pt idx="2">
                  <c:v>0.33974358974359</c:v>
                </c:pt>
                <c:pt idx="3">
                  <c:v>0.397003745318352</c:v>
                </c:pt>
                <c:pt idx="4">
                  <c:v>0.326829268292683</c:v>
                </c:pt>
                <c:pt idx="5">
                  <c:v>0.23489932885906</c:v>
                </c:pt>
              </c:numCache>
            </c:numRef>
          </c:val>
        </c:ser>
        <c:gapWidth val="60"/>
        <c:overlap val="0"/>
        <c:axId val="73134699"/>
        <c:axId val="29271287"/>
      </c:barChart>
      <c:catAx>
        <c:axId val="731346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71287"/>
        <c:crosses val="autoZero"/>
        <c:auto val="1"/>
        <c:lblAlgn val="ctr"/>
        <c:lblOffset val="100"/>
        <c:noMultiLvlLbl val="0"/>
      </c:catAx>
      <c:valAx>
        <c:axId val="29271287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346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%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Analysis!D23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Analysis!$A$24:$A$29</c:f>
              <c:strCache>
                <c:ptCount val="6"/>
                <c:pt idx="0">
                  <c:v>Sales</c:v>
                </c:pt>
                <c:pt idx="1">
                  <c:v>Engineering</c:v>
                </c:pt>
                <c:pt idx="2">
                  <c:v>Customer Support</c:v>
                </c:pt>
                <c:pt idx="3">
                  <c:v>Finance</c:v>
                </c:pt>
                <c:pt idx="4">
                  <c:v>Human Resources</c:v>
                </c:pt>
                <c:pt idx="5">
                  <c:v>Operations</c:v>
                </c:pt>
              </c:strCache>
            </c:strRef>
          </c:cat>
          <c:val>
            <c:numRef>
              <c:f>Analysis!$D$24:$D$29</c:f>
              <c:numCache>
                <c:formatCode>0.0%</c:formatCode>
                <c:ptCount val="6"/>
                <c:pt idx="0">
                  <c:v>0.406741573033708</c:v>
                </c:pt>
                <c:pt idx="1">
                  <c:v>0.368515205724508</c:v>
                </c:pt>
                <c:pt idx="2">
                  <c:v>0.431754874651811</c:v>
                </c:pt>
                <c:pt idx="3">
                  <c:v>0.224242424242424</c:v>
                </c:pt>
                <c:pt idx="4">
                  <c:v>0.298850574712644</c:v>
                </c:pt>
                <c:pt idx="5">
                  <c:v>0.337662337662338</c:v>
                </c:pt>
              </c:numCache>
            </c:numRef>
          </c:val>
        </c:ser>
        <c:gapWidth val="60"/>
        <c:overlap val="0"/>
        <c:axId val="76352027"/>
        <c:axId val="63708247"/>
      </c:barChart>
      <c:catAx>
        <c:axId val="763520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08247"/>
        <c:crosses val="autoZero"/>
        <c:auto val="1"/>
        <c:lblAlgn val="ctr"/>
        <c:lblOffset val="100"/>
        <c:noMultiLvlLbl val="0"/>
      </c:catAx>
      <c:valAx>
        <c:axId val="63708247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520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%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Analysis!D62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Analysis!$A$63:$A$68</c:f>
              <c:strCache>
                <c:ptCount val="6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  <c:pt idx="5">
                  <c:v>Unknown</c:v>
                </c:pt>
              </c:strCache>
            </c:strRef>
          </c:cat>
          <c:val>
            <c:numRef>
              <c:f>Analysis!$D$63:$D$68</c:f>
              <c:numCache>
                <c:formatCode>0.0%</c:formatCode>
                <c:ptCount val="6"/>
                <c:pt idx="0">
                  <c:v>0.578947368421053</c:v>
                </c:pt>
                <c:pt idx="1">
                  <c:v>0.428421052631579</c:v>
                </c:pt>
                <c:pt idx="2">
                  <c:v>0.293978748524203</c:v>
                </c:pt>
                <c:pt idx="3">
                  <c:v>0.196078431372549</c:v>
                </c:pt>
                <c:pt idx="4">
                  <c:v>0</c:v>
                </c:pt>
                <c:pt idx="5">
                  <c:v>0.666666666666667</c:v>
                </c:pt>
              </c:numCache>
            </c:numRef>
          </c:val>
        </c:ser>
        <c:gapWidth val="60"/>
        <c:overlap val="0"/>
        <c:axId val="19837303"/>
        <c:axId val="95274537"/>
      </c:barChart>
      <c:catAx>
        <c:axId val="19837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74537"/>
        <c:crosses val="autoZero"/>
        <c:auto val="1"/>
        <c:lblAlgn val="ctr"/>
        <c:lblOffset val="100"/>
        <c:noMultiLvlLbl val="0"/>
      </c:catAx>
      <c:valAx>
        <c:axId val="95274537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373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% by Education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Analysis!D52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Analysis!$A$53:$A$57</c:f>
              <c:strCache>
                <c:ptCount val="5"/>
                <c:pt idx="0">
                  <c:v>High School</c:v>
                </c:pt>
                <c:pt idx="1">
                  <c:v>Diploma</c:v>
                </c:pt>
                <c:pt idx="2">
                  <c:v>Bachelors</c:v>
                </c:pt>
                <c:pt idx="3">
                  <c:v>Masters</c:v>
                </c:pt>
                <c:pt idx="4">
                  <c:v>Doctorate</c:v>
                </c:pt>
              </c:strCache>
            </c:strRef>
          </c:cat>
          <c:val>
            <c:numRef>
              <c:f>Analysis!$D$53:$D$57</c:f>
              <c:numCache>
                <c:formatCode>0.0%</c:formatCode>
                <c:ptCount val="5"/>
                <c:pt idx="0">
                  <c:v>0.475113122171946</c:v>
                </c:pt>
                <c:pt idx="1">
                  <c:v>0.359073359073359</c:v>
                </c:pt>
                <c:pt idx="2">
                  <c:v>0.360849056603774</c:v>
                </c:pt>
                <c:pt idx="3">
                  <c:v>0.35626102292769</c:v>
                </c:pt>
                <c:pt idx="4">
                  <c:v>0.276190476190476</c:v>
                </c:pt>
              </c:numCache>
            </c:numRef>
          </c:val>
        </c:ser>
        <c:gapWidth val="60"/>
        <c:overlap val="0"/>
        <c:axId val="19634353"/>
        <c:axId val="66976383"/>
      </c:barChart>
      <c:catAx>
        <c:axId val="196343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76383"/>
        <c:crosses val="autoZero"/>
        <c:auto val="1"/>
        <c:lblAlgn val="ctr"/>
        <c:lblOffset val="100"/>
        <c:noMultiLvlLbl val="0"/>
      </c:catAx>
      <c:valAx>
        <c:axId val="66976383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343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% by Tenure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Analysis!D73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Analysis!$A$74:$A$78</c:f>
              <c:strCache>
                <c:ptCount val="5"/>
                <c:pt idx="0">
                  <c:v>0-1 yrs</c:v>
                </c:pt>
                <c:pt idx="1">
                  <c:v>1-3 yrs</c:v>
                </c:pt>
                <c:pt idx="2">
                  <c:v>3-5 yrs</c:v>
                </c:pt>
                <c:pt idx="3">
                  <c:v>5-10 yrs</c:v>
                </c:pt>
                <c:pt idx="4">
                  <c:v>10+ yrs</c:v>
                </c:pt>
              </c:strCache>
            </c:strRef>
          </c:cat>
          <c:val>
            <c:numRef>
              <c:f>Analysis!$D$74:$D$78</c:f>
              <c:numCache>
                <c:formatCode>0.0%</c:formatCode>
                <c:ptCount val="5"/>
                <c:pt idx="0">
                  <c:v>0.527868852459016</c:v>
                </c:pt>
                <c:pt idx="1">
                  <c:v>0.468682505399568</c:v>
                </c:pt>
                <c:pt idx="2">
                  <c:v>0.393220338983051</c:v>
                </c:pt>
                <c:pt idx="3">
                  <c:v>0.321548821548822</c:v>
                </c:pt>
                <c:pt idx="4">
                  <c:v>0.145772594752187</c:v>
                </c:pt>
              </c:numCache>
            </c:numRef>
          </c:val>
        </c:ser>
        <c:gapWidth val="60"/>
        <c:overlap val="0"/>
        <c:axId val="80396590"/>
        <c:axId val="95202798"/>
      </c:barChart>
      <c:catAx>
        <c:axId val="803965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02798"/>
        <c:crosses val="autoZero"/>
        <c:auto val="1"/>
        <c:lblAlgn val="ctr"/>
        <c:lblOffset val="100"/>
        <c:noMultiLvlLbl val="0"/>
      </c:catAx>
      <c:valAx>
        <c:axId val="9520279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965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% by Job Satisfaction (1 = low, 4 = high)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Analysis!D101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Analysis!$A$102:$A$105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Analysis!$D$102:$D$105</c:f>
              <c:numCache>
                <c:formatCode>0.0%</c:formatCode>
                <c:ptCount val="4"/>
                <c:pt idx="0">
                  <c:v>0.513440860215054</c:v>
                </c:pt>
                <c:pt idx="1">
                  <c:v>0.436936936936937</c:v>
                </c:pt>
                <c:pt idx="2">
                  <c:v>0.35232383808096</c:v>
                </c:pt>
                <c:pt idx="3">
                  <c:v>0.222437137330754</c:v>
                </c:pt>
              </c:numCache>
            </c:numRef>
          </c:val>
        </c:ser>
        <c:gapWidth val="60"/>
        <c:overlap val="0"/>
        <c:axId val="30655150"/>
        <c:axId val="22866226"/>
      </c:barChart>
      <c:catAx>
        <c:axId val="306551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66226"/>
        <c:crosses val="autoZero"/>
        <c:auto val="1"/>
        <c:lblAlgn val="ctr"/>
        <c:lblOffset val="100"/>
        <c:noMultiLvlLbl val="0"/>
      </c:catAx>
      <c:valAx>
        <c:axId val="22866226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551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% by Performance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Analysis!D83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Analysis!$A$84:$A$86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Analysis!$D$84:$D$86</c:f>
              <c:numCache>
                <c:formatCode>0.0%</c:formatCode>
                <c:ptCount val="3"/>
                <c:pt idx="0">
                  <c:v>0.339598997493734</c:v>
                </c:pt>
                <c:pt idx="1">
                  <c:v>0.362162162162162</c:v>
                </c:pt>
                <c:pt idx="2">
                  <c:v>0.465703971119134</c:v>
                </c:pt>
              </c:numCache>
            </c:numRef>
          </c:val>
        </c:ser>
        <c:gapWidth val="60"/>
        <c:overlap val="0"/>
        <c:axId val="31247348"/>
        <c:axId val="14034556"/>
      </c:barChart>
      <c:catAx>
        <c:axId val="312473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34556"/>
        <c:crosses val="autoZero"/>
        <c:auto val="1"/>
        <c:lblAlgn val="ctr"/>
        <c:lblOffset val="100"/>
        <c:noMultiLvlLbl val="0"/>
      </c:catAx>
      <c:valAx>
        <c:axId val="14034556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473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% by Overtime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Analysis!D110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Analysis!$A$111:$A$112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Analysis!$D$111:$D$112</c:f>
              <c:numCache>
                <c:formatCode>0.0%</c:formatCode>
                <c:ptCount val="2"/>
                <c:pt idx="0">
                  <c:v>0.477430555555556</c:v>
                </c:pt>
                <c:pt idx="1">
                  <c:v>0.323033707865169</c:v>
                </c:pt>
              </c:numCache>
            </c:numRef>
          </c:val>
        </c:ser>
        <c:gapWidth val="60"/>
        <c:overlap val="0"/>
        <c:axId val="9960046"/>
        <c:axId val="47873626"/>
      </c:barChart>
      <c:catAx>
        <c:axId val="99600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73626"/>
        <c:crosses val="autoZero"/>
        <c:auto val="1"/>
        <c:lblAlgn val="ctr"/>
        <c:lblOffset val="100"/>
        <c:noMultiLvlLbl val="0"/>
      </c:catAx>
      <c:valAx>
        <c:axId val="47873626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00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Voluntary vs Involuntary Attrition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Analysis!B117</c:f>
              <c:strCache>
                <c:ptCount val="1"/>
                <c:pt idx="0">
                  <c:v>Leavers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Analysis!$A$118:$A$120</c:f>
              <c:strCache>
                <c:ptCount val="3"/>
                <c:pt idx="0">
                  <c:v>Voluntary</c:v>
                </c:pt>
                <c:pt idx="1">
                  <c:v>Involuntary</c:v>
                </c:pt>
                <c:pt idx="2">
                  <c:v>Unknown</c:v>
                </c:pt>
              </c:strCache>
            </c:strRef>
          </c:cat>
          <c:val>
            <c:numRef>
              <c:f>Analysis!$B$118:$B$120</c:f>
              <c:numCache>
                <c:formatCode>#,##0</c:formatCode>
                <c:ptCount val="3"/>
                <c:pt idx="0">
                  <c:v>557</c:v>
                </c:pt>
                <c:pt idx="1">
                  <c:v>161</c:v>
                </c:pt>
                <c:pt idx="2">
                  <c:v>17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Attrition Rate (leavers / avg headcount)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Analysis!H158</c:f>
              <c:strCache>
                <c:ptCount val="1"/>
                <c:pt idx="0">
                  <c:v>Quarterly rate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Analysis!$A$159:$A$174</c:f>
              <c:strCache>
                <c:ptCount val="16"/>
                <c:pt idx="0">
                  <c:v>2022-Q1</c:v>
                </c:pt>
                <c:pt idx="1">
                  <c:v>2022-Q2</c:v>
                </c:pt>
                <c:pt idx="2">
                  <c:v>2022-Q3</c:v>
                </c:pt>
                <c:pt idx="3">
                  <c:v>2022-Q4</c:v>
                </c:pt>
                <c:pt idx="4">
                  <c:v>2023-Q1</c:v>
                </c:pt>
                <c:pt idx="5">
                  <c:v>2023-Q2</c:v>
                </c:pt>
                <c:pt idx="6">
                  <c:v>2023-Q3</c:v>
                </c:pt>
                <c:pt idx="7">
                  <c:v>2023-Q4</c:v>
                </c:pt>
                <c:pt idx="8">
                  <c:v>2024-Q1</c:v>
                </c:pt>
                <c:pt idx="9">
                  <c:v>2024-Q2</c:v>
                </c:pt>
                <c:pt idx="10">
                  <c:v>2024-Q3</c:v>
                </c:pt>
                <c:pt idx="11">
                  <c:v>2024-Q4</c:v>
                </c:pt>
                <c:pt idx="12">
                  <c:v>2025-Q1</c:v>
                </c:pt>
                <c:pt idx="13">
                  <c:v>2025-Q2</c:v>
                </c:pt>
                <c:pt idx="14">
                  <c:v>2025-Q3</c:v>
                </c:pt>
                <c:pt idx="15">
                  <c:v>2025-Q4</c:v>
                </c:pt>
              </c:strCache>
            </c:strRef>
          </c:cat>
          <c:val>
            <c:numRef>
              <c:f>Analysis!$H$159:$H$174</c:f>
              <c:numCache>
                <c:formatCode>0.0%</c:formatCode>
                <c:ptCount val="16"/>
                <c:pt idx="0">
                  <c:v>0.044027721157766</c:v>
                </c:pt>
                <c:pt idx="1">
                  <c:v>0.049119934506754</c:v>
                </c:pt>
                <c:pt idx="2">
                  <c:v>0.0301794453507341</c:v>
                </c:pt>
                <c:pt idx="3">
                  <c:v>0.0329052969502408</c:v>
                </c:pt>
                <c:pt idx="4">
                  <c:v>0.0342084327764519</c:v>
                </c:pt>
                <c:pt idx="5">
                  <c:v>0.0381558028616852</c:v>
                </c:pt>
                <c:pt idx="6">
                  <c:v>0.0371394705649941</c:v>
                </c:pt>
                <c:pt idx="7">
                  <c:v>0.0513225424397947</c:v>
                </c:pt>
                <c:pt idx="8">
                  <c:v>0.0415003990422985</c:v>
                </c:pt>
                <c:pt idx="9">
                  <c:v>0.0319616460247703</c:v>
                </c:pt>
                <c:pt idx="10">
                  <c:v>0.0300157977883096</c:v>
                </c:pt>
                <c:pt idx="11">
                  <c:v>0.035377358490566</c:v>
                </c:pt>
                <c:pt idx="12">
                  <c:v>0.0354470263883419</c:v>
                </c:pt>
                <c:pt idx="13">
                  <c:v>0.0434439178515008</c:v>
                </c:pt>
                <c:pt idx="14">
                  <c:v>0.0251869342778434</c:v>
                </c:pt>
                <c:pt idx="15">
                  <c:v>0.0259433962264151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3349369"/>
        <c:axId val="62900890"/>
      </c:lineChart>
      <c:catAx>
        <c:axId val="433493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00890"/>
        <c:crosses val="autoZero"/>
        <c:auto val="1"/>
        <c:lblAlgn val="ctr"/>
        <c:lblOffset val="100"/>
        <c:noMultiLvlLbl val="0"/>
      </c:catAx>
      <c:valAx>
        <c:axId val="62900890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493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Seasonality Index by Month (1.0 = average)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Analysis!E178</c:f>
              <c:strCache>
                <c:ptCount val="1"/>
                <c:pt idx="0">
                  <c:v>Seasonality index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Analysis!$A$179:$A$190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Analysis!$E$179:$E$190</c:f>
              <c:numCache>
                <c:formatCode>0.00</c:formatCode>
                <c:ptCount val="12"/>
                <c:pt idx="0">
                  <c:v>0.979591836734694</c:v>
                </c:pt>
                <c:pt idx="1">
                  <c:v>0.914285714285714</c:v>
                </c:pt>
                <c:pt idx="2">
                  <c:v>1.2734693877551</c:v>
                </c:pt>
                <c:pt idx="3">
                  <c:v>1.53469387755102</c:v>
                </c:pt>
                <c:pt idx="4">
                  <c:v>0.914285714285714</c:v>
                </c:pt>
                <c:pt idx="5">
                  <c:v>0.86530612244898</c:v>
                </c:pt>
                <c:pt idx="6">
                  <c:v>0.914285714285714</c:v>
                </c:pt>
                <c:pt idx="7">
                  <c:v>0.8</c:v>
                </c:pt>
                <c:pt idx="8">
                  <c:v>0.8</c:v>
                </c:pt>
                <c:pt idx="9">
                  <c:v>0.963265306122449</c:v>
                </c:pt>
                <c:pt idx="10">
                  <c:v>0.848979591836735</c:v>
                </c:pt>
                <c:pt idx="11">
                  <c:v>1.19183673469388</c:v>
                </c:pt>
              </c:numCache>
            </c:numRef>
          </c:val>
        </c:ser>
        <c:gapWidth val="60"/>
        <c:overlap val="0"/>
        <c:axId val="84070047"/>
        <c:axId val="72306330"/>
      </c:barChart>
      <c:catAx>
        <c:axId val="8407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06330"/>
        <c:crosses val="autoZero"/>
        <c:auto val="1"/>
        <c:lblAlgn val="ctr"/>
        <c:lblOffset val="100"/>
        <c:noMultiLvlLbl val="0"/>
      </c:catAx>
      <c:valAx>
        <c:axId val="72306330"/>
        <c:scaling>
          <c:orientation val="minMax"/>
        </c:scaling>
        <c:delete val="0"/>
        <c:axPos val="l"/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700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Voluntary Exit Reasons (% of voluntary leavers)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Analysis!C125</c:f>
              <c:strCache>
                <c:ptCount val="1"/>
                <c:pt idx="0">
                  <c:v>% of voluntary leavers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Analysis!$A$126:$A$134</c:f>
              <c:strCache>
                <c:ptCount val="9"/>
                <c:pt idx="0">
                  <c:v>Better Compensation</c:v>
                </c:pt>
                <c:pt idx="1">
                  <c:v>Job Dissatisfaction</c:v>
                </c:pt>
                <c:pt idx="2">
                  <c:v>Career Growth</c:v>
                </c:pt>
                <c:pt idx="3">
                  <c:v>Work-Life Balance</c:v>
                </c:pt>
                <c:pt idx="4">
                  <c:v>Manager Issues</c:v>
                </c:pt>
                <c:pt idx="5">
                  <c:v>Personal Reasons</c:v>
                </c:pt>
                <c:pt idx="6">
                  <c:v>Relocation</c:v>
                </c:pt>
                <c:pt idx="7">
                  <c:v>Further Studies</c:v>
                </c:pt>
                <c:pt idx="8">
                  <c:v>Not Recorded</c:v>
                </c:pt>
              </c:strCache>
            </c:strRef>
          </c:cat>
          <c:val>
            <c:numRef>
              <c:f>Analysis!$C$126:$C$134</c:f>
              <c:numCache>
                <c:formatCode>0.0%</c:formatCode>
                <c:ptCount val="9"/>
                <c:pt idx="0">
                  <c:v>0.21903052064632</c:v>
                </c:pt>
                <c:pt idx="1">
                  <c:v>0.165170556552962</c:v>
                </c:pt>
                <c:pt idx="2">
                  <c:v>0.161579892280072</c:v>
                </c:pt>
                <c:pt idx="3">
                  <c:v>0.152603231597846</c:v>
                </c:pt>
                <c:pt idx="4">
                  <c:v>0.0861759425493716</c:v>
                </c:pt>
                <c:pt idx="5">
                  <c:v>0.0718132854578097</c:v>
                </c:pt>
                <c:pt idx="6">
                  <c:v>0.059245960502693</c:v>
                </c:pt>
                <c:pt idx="7">
                  <c:v>0.0502692998204668</c:v>
                </c:pt>
                <c:pt idx="8">
                  <c:v>0.0341113105924596</c:v>
                </c:pt>
              </c:numCache>
            </c:numRef>
          </c:val>
        </c:ser>
        <c:gapWidth val="60"/>
        <c:overlap val="0"/>
        <c:axId val="53012743"/>
        <c:axId val="57409796"/>
      </c:barChart>
      <c:catAx>
        <c:axId val="5301274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09796"/>
        <c:crosses val="autoZero"/>
        <c:auto val="1"/>
        <c:lblAlgn val="ctr"/>
        <c:lblOffset val="100"/>
        <c:noMultiLvlLbl val="0"/>
      </c:catAx>
      <c:valAx>
        <c:axId val="57409796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127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70560</xdr:rowOff>
    </xdr:from>
    <xdr:to>
      <xdr:col>8</xdr:col>
      <xdr:colOff>649080</xdr:colOff>
      <xdr:row>19</xdr:row>
      <xdr:rowOff>185760</xdr:rowOff>
    </xdr:to>
    <xdr:graphicFrame>
      <xdr:nvGraphicFramePr>
        <xdr:cNvPr id="0" name="Chart 1"/>
        <xdr:cNvGraphicFramePr/>
      </xdr:nvGraphicFramePr>
      <xdr:xfrm>
        <a:off x="141120" y="1495440"/>
        <a:ext cx="583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6</xdr:row>
      <xdr:rowOff>70560</xdr:rowOff>
    </xdr:from>
    <xdr:to>
      <xdr:col>17</xdr:col>
      <xdr:colOff>649080</xdr:colOff>
      <xdr:row>19</xdr:row>
      <xdr:rowOff>185760</xdr:rowOff>
    </xdr:to>
    <xdr:graphicFrame>
      <xdr:nvGraphicFramePr>
        <xdr:cNvPr id="1" name="Chart 2"/>
        <xdr:cNvGraphicFramePr/>
      </xdr:nvGraphicFramePr>
      <xdr:xfrm>
        <a:off x="6275880" y="1495440"/>
        <a:ext cx="583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22</xdr:row>
      <xdr:rowOff>70560</xdr:rowOff>
    </xdr:from>
    <xdr:to>
      <xdr:col>8</xdr:col>
      <xdr:colOff>649080</xdr:colOff>
      <xdr:row>35</xdr:row>
      <xdr:rowOff>185760</xdr:rowOff>
    </xdr:to>
    <xdr:graphicFrame>
      <xdr:nvGraphicFramePr>
        <xdr:cNvPr id="2" name="Chart 3"/>
        <xdr:cNvGraphicFramePr/>
      </xdr:nvGraphicFramePr>
      <xdr:xfrm>
        <a:off x="141120" y="4543560"/>
        <a:ext cx="583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22</xdr:row>
      <xdr:rowOff>70560</xdr:rowOff>
    </xdr:from>
    <xdr:to>
      <xdr:col>17</xdr:col>
      <xdr:colOff>649080</xdr:colOff>
      <xdr:row>35</xdr:row>
      <xdr:rowOff>185760</xdr:rowOff>
    </xdr:to>
    <xdr:graphicFrame>
      <xdr:nvGraphicFramePr>
        <xdr:cNvPr id="3" name="Chart 4"/>
        <xdr:cNvGraphicFramePr/>
      </xdr:nvGraphicFramePr>
      <xdr:xfrm>
        <a:off x="6275880" y="4543560"/>
        <a:ext cx="583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38</xdr:row>
      <xdr:rowOff>70200</xdr:rowOff>
    </xdr:from>
    <xdr:to>
      <xdr:col>8</xdr:col>
      <xdr:colOff>649080</xdr:colOff>
      <xdr:row>51</xdr:row>
      <xdr:rowOff>185400</xdr:rowOff>
    </xdr:to>
    <xdr:graphicFrame>
      <xdr:nvGraphicFramePr>
        <xdr:cNvPr id="4" name="Chart 5"/>
        <xdr:cNvGraphicFramePr/>
      </xdr:nvGraphicFramePr>
      <xdr:xfrm>
        <a:off x="141120" y="7591320"/>
        <a:ext cx="583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38</xdr:row>
      <xdr:rowOff>70200</xdr:rowOff>
    </xdr:from>
    <xdr:to>
      <xdr:col>17</xdr:col>
      <xdr:colOff>649080</xdr:colOff>
      <xdr:row>51</xdr:row>
      <xdr:rowOff>185400</xdr:rowOff>
    </xdr:to>
    <xdr:graphicFrame>
      <xdr:nvGraphicFramePr>
        <xdr:cNvPr id="5" name="Chart 6"/>
        <xdr:cNvGraphicFramePr/>
      </xdr:nvGraphicFramePr>
      <xdr:xfrm>
        <a:off x="6275880" y="7591320"/>
        <a:ext cx="583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54</xdr:row>
      <xdr:rowOff>70560</xdr:rowOff>
    </xdr:from>
    <xdr:to>
      <xdr:col>8</xdr:col>
      <xdr:colOff>649080</xdr:colOff>
      <xdr:row>67</xdr:row>
      <xdr:rowOff>185760</xdr:rowOff>
    </xdr:to>
    <xdr:graphicFrame>
      <xdr:nvGraphicFramePr>
        <xdr:cNvPr id="6" name="Chart 7"/>
        <xdr:cNvGraphicFramePr/>
      </xdr:nvGraphicFramePr>
      <xdr:xfrm>
        <a:off x="141120" y="10639440"/>
        <a:ext cx="583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54</xdr:row>
      <xdr:rowOff>70560</xdr:rowOff>
    </xdr:from>
    <xdr:to>
      <xdr:col>17</xdr:col>
      <xdr:colOff>649080</xdr:colOff>
      <xdr:row>67</xdr:row>
      <xdr:rowOff>185760</xdr:rowOff>
    </xdr:to>
    <xdr:graphicFrame>
      <xdr:nvGraphicFramePr>
        <xdr:cNvPr id="7" name="Chart 8"/>
        <xdr:cNvGraphicFramePr/>
      </xdr:nvGraphicFramePr>
      <xdr:xfrm>
        <a:off x="6275880" y="10639440"/>
        <a:ext cx="583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70</xdr:row>
      <xdr:rowOff>70560</xdr:rowOff>
    </xdr:from>
    <xdr:to>
      <xdr:col>8</xdr:col>
      <xdr:colOff>649080</xdr:colOff>
      <xdr:row>83</xdr:row>
      <xdr:rowOff>185760</xdr:rowOff>
    </xdr:to>
    <xdr:graphicFrame>
      <xdr:nvGraphicFramePr>
        <xdr:cNvPr id="8" name="Chart 9"/>
        <xdr:cNvGraphicFramePr/>
      </xdr:nvGraphicFramePr>
      <xdr:xfrm>
        <a:off x="141120" y="13687560"/>
        <a:ext cx="583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10</xdr:col>
      <xdr:colOff>0</xdr:colOff>
      <xdr:row>70</xdr:row>
      <xdr:rowOff>70560</xdr:rowOff>
    </xdr:from>
    <xdr:to>
      <xdr:col>17</xdr:col>
      <xdr:colOff>649080</xdr:colOff>
      <xdr:row>83</xdr:row>
      <xdr:rowOff>185760</xdr:rowOff>
    </xdr:to>
    <xdr:graphicFrame>
      <xdr:nvGraphicFramePr>
        <xdr:cNvPr id="9" name="Chart 10"/>
        <xdr:cNvGraphicFramePr/>
      </xdr:nvGraphicFramePr>
      <xdr:xfrm>
        <a:off x="6275880" y="13687560"/>
        <a:ext cx="583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</xdr:col>
      <xdr:colOff>0</xdr:colOff>
      <xdr:row>86</xdr:row>
      <xdr:rowOff>70200</xdr:rowOff>
    </xdr:from>
    <xdr:to>
      <xdr:col>8</xdr:col>
      <xdr:colOff>649080</xdr:colOff>
      <xdr:row>99</xdr:row>
      <xdr:rowOff>185400</xdr:rowOff>
    </xdr:to>
    <xdr:graphicFrame>
      <xdr:nvGraphicFramePr>
        <xdr:cNvPr id="10" name="Chart 11"/>
        <xdr:cNvGraphicFramePr/>
      </xdr:nvGraphicFramePr>
      <xdr:xfrm>
        <a:off x="141120" y="16735320"/>
        <a:ext cx="583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10</xdr:col>
      <xdr:colOff>0</xdr:colOff>
      <xdr:row>86</xdr:row>
      <xdr:rowOff>70200</xdr:rowOff>
    </xdr:from>
    <xdr:to>
      <xdr:col>17</xdr:col>
      <xdr:colOff>649080</xdr:colOff>
      <xdr:row>99</xdr:row>
      <xdr:rowOff>185400</xdr:rowOff>
    </xdr:to>
    <xdr:graphicFrame>
      <xdr:nvGraphicFramePr>
        <xdr:cNvPr id="11" name="Chart 12"/>
        <xdr:cNvGraphicFramePr/>
      </xdr:nvGraphicFramePr>
      <xdr:xfrm>
        <a:off x="6275880" y="16735320"/>
        <a:ext cx="583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lean" displayName="tblClean" ref="A1:V2001" headerRowCount="1" totalsRowCount="0" totalsRowShown="0">
  <autoFilter ref="A1:V2001"/>
  <tableColumns count="22">
    <tableColumn id="1" name="Employee_ID"/>
    <tableColumn id="2" name="Hire_Date"/>
    <tableColumn id="3" name="Exit_Date"/>
    <tableColumn id="4" name="Age"/>
    <tableColumn id="5" name="Gender"/>
    <tableColumn id="6" name="Education"/>
    <tableColumn id="7" name="Department"/>
    <tableColumn id="8" name="Job_Role"/>
    <tableColumn id="9" name="Performance_Rating"/>
    <tableColumn id="10" name="Job_Satisfaction"/>
    <tableColumn id="11" name="Monthly_Income"/>
    <tableColumn id="12" name="Overtime"/>
    <tableColumn id="13" name="Attrition_Flag"/>
    <tableColumn id="14" name="Attrition_Type"/>
    <tableColumn id="15" name="Exit_Reason"/>
    <tableColumn id="16" name="Tenure_Years"/>
    <tableColumn id="17" name="Age_Band"/>
    <tableColumn id="18" name="Tenure_Band"/>
    <tableColumn id="19" name="Perf_Group"/>
    <tableColumn id="20" name="Exit_Year"/>
    <tableColumn id="21" name="Exit_Quarter"/>
    <tableColumn id="22" name="Exit_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8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/>
      <c r="C4" s="3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  <c r="B7" s="5" t="s">
        <v>5</v>
      </c>
      <c r="C7" s="5" t="s">
        <v>6</v>
      </c>
    </row>
    <row r="8" customFormat="false" ht="27.75" hidden="false" customHeight="true" outlineLevel="0" collapsed="false">
      <c r="A8" s="6" t="s">
        <v>7</v>
      </c>
      <c r="B8" s="7" t="n">
        <v>46022</v>
      </c>
      <c r="C8" s="8" t="s">
        <v>8</v>
      </c>
    </row>
    <row r="9" customFormat="false" ht="27.75" hidden="false" customHeight="true" outlineLevel="0" collapsed="false">
      <c r="A9" s="6" t="s">
        <v>9</v>
      </c>
      <c r="B9" s="9" t="n">
        <v>3</v>
      </c>
      <c r="C9" s="8" t="s">
        <v>10</v>
      </c>
    </row>
    <row r="10" customFormat="false" ht="27.75" hidden="false" customHeight="true" outlineLevel="0" collapsed="false">
      <c r="A10" s="6" t="s">
        <v>11</v>
      </c>
      <c r="B10" s="9" t="n">
        <v>3</v>
      </c>
      <c r="C10" s="8" t="s">
        <v>12</v>
      </c>
    </row>
    <row r="11" customFormat="false" ht="27.75" hidden="false" customHeight="true" outlineLevel="0" collapsed="false">
      <c r="A11" s="6" t="s">
        <v>13</v>
      </c>
      <c r="B11" s="10" t="n">
        <v>0.5</v>
      </c>
      <c r="C11" s="8" t="s">
        <v>14</v>
      </c>
    </row>
    <row r="12" customFormat="false" ht="27.75" hidden="false" customHeight="true" outlineLevel="0" collapsed="false">
      <c r="A12" s="6" t="s">
        <v>15</v>
      </c>
      <c r="B12" s="10" t="n">
        <v>0.1</v>
      </c>
      <c r="C12" s="8" t="s">
        <v>16</v>
      </c>
    </row>
    <row r="15" customFormat="false" ht="15" hidden="false" customHeight="false" outlineLevel="0" collapsed="false">
      <c r="A15" s="4" t="s">
        <v>17</v>
      </c>
    </row>
    <row r="16" customFormat="false" ht="15" hidden="false" customHeight="false" outlineLevel="0" collapsed="false">
      <c r="A16" s="5" t="s">
        <v>18</v>
      </c>
      <c r="B16" s="5" t="s">
        <v>19</v>
      </c>
      <c r="C16" s="5" t="s">
        <v>20</v>
      </c>
    </row>
    <row r="17" customFormat="false" ht="15" hidden="false" customHeight="false" outlineLevel="0" collapsed="false">
      <c r="A17" s="11" t="s">
        <v>21</v>
      </c>
      <c r="B17" s="8" t="s">
        <v>22</v>
      </c>
      <c r="C17" s="8" t="s">
        <v>23</v>
      </c>
    </row>
    <row r="18" customFormat="false" ht="23.85" hidden="false" customHeight="false" outlineLevel="0" collapsed="false">
      <c r="A18" s="11" t="s">
        <v>24</v>
      </c>
      <c r="B18" s="8" t="s">
        <v>25</v>
      </c>
      <c r="C18" s="8" t="s">
        <v>26</v>
      </c>
    </row>
    <row r="19" customFormat="false" ht="23.85" hidden="false" customHeight="false" outlineLevel="0" collapsed="false">
      <c r="A19" s="11" t="s">
        <v>27</v>
      </c>
      <c r="B19" s="8" t="s">
        <v>28</v>
      </c>
      <c r="C19" s="8" t="s">
        <v>29</v>
      </c>
    </row>
    <row r="20" customFormat="false" ht="23.85" hidden="false" customHeight="false" outlineLevel="0" collapsed="false">
      <c r="A20" s="11" t="s">
        <v>30</v>
      </c>
      <c r="B20" s="8" t="s">
        <v>31</v>
      </c>
      <c r="C20" s="8" t="s">
        <v>32</v>
      </c>
    </row>
    <row r="21" customFormat="false" ht="15" hidden="false" customHeight="false" outlineLevel="0" collapsed="false">
      <c r="A21" s="11" t="s">
        <v>33</v>
      </c>
      <c r="B21" s="8" t="s">
        <v>34</v>
      </c>
      <c r="C21" s="8" t="s">
        <v>35</v>
      </c>
    </row>
    <row r="22" customFormat="false" ht="15" hidden="false" customHeight="false" outlineLevel="0" collapsed="false">
      <c r="A22" s="11" t="s">
        <v>36</v>
      </c>
      <c r="B22" s="8" t="s">
        <v>37</v>
      </c>
      <c r="C22" s="8" t="s">
        <v>38</v>
      </c>
    </row>
    <row r="23" customFormat="false" ht="15" hidden="false" customHeight="false" outlineLevel="0" collapsed="false">
      <c r="A23" s="11" t="s">
        <v>39</v>
      </c>
      <c r="B23" s="8" t="s">
        <v>40</v>
      </c>
      <c r="C23" s="8" t="s">
        <v>41</v>
      </c>
    </row>
    <row r="25" customFormat="false" ht="15" hidden="false" customHeight="false" outlineLevel="0" collapsed="false">
      <c r="A25" s="4" t="s">
        <v>42</v>
      </c>
    </row>
    <row r="26" customFormat="false" ht="42" hidden="false" customHeight="true" outlineLevel="0" collapsed="false">
      <c r="A26" s="11" t="s">
        <v>43</v>
      </c>
      <c r="B26" s="8" t="s">
        <v>44</v>
      </c>
      <c r="C26" s="8"/>
    </row>
    <row r="27" customFormat="false" ht="42" hidden="false" customHeight="true" outlineLevel="0" collapsed="false">
      <c r="A27" s="11" t="s">
        <v>45</v>
      </c>
      <c r="B27" s="8" t="s">
        <v>46</v>
      </c>
      <c r="C27" s="8"/>
    </row>
    <row r="28" customFormat="false" ht="42" hidden="false" customHeight="true" outlineLevel="0" collapsed="false">
      <c r="A28" s="11" t="s">
        <v>47</v>
      </c>
      <c r="B28" s="8" t="s">
        <v>48</v>
      </c>
      <c r="C28" s="8"/>
    </row>
    <row r="29" customFormat="false" ht="42" hidden="false" customHeight="true" outlineLevel="0" collapsed="false">
      <c r="A29" s="11" t="s">
        <v>49</v>
      </c>
      <c r="B29" s="8" t="s">
        <v>50</v>
      </c>
      <c r="C29" s="8"/>
    </row>
    <row r="31" customFormat="false" ht="15" hidden="false" customHeight="false" outlineLevel="0" collapsed="false">
      <c r="A31" s="4" t="s">
        <v>51</v>
      </c>
    </row>
    <row r="32" customFormat="false" ht="15" hidden="false" customHeight="false" outlineLevel="0" collapsed="false">
      <c r="A32" s="5" t="s">
        <v>52</v>
      </c>
      <c r="B32" s="5" t="s">
        <v>53</v>
      </c>
      <c r="C32" s="5" t="s">
        <v>54</v>
      </c>
    </row>
    <row r="33" customFormat="false" ht="15" hidden="false" customHeight="false" outlineLevel="0" collapsed="false">
      <c r="A33" s="6" t="s">
        <v>55</v>
      </c>
      <c r="B33" s="12" t="n">
        <f aca="false">COUNTA(Raw_Data!A2:A2001)</f>
        <v>2000</v>
      </c>
      <c r="C33" s="8" t="s">
        <v>56</v>
      </c>
    </row>
    <row r="34" customFormat="false" ht="15" hidden="false" customHeight="false" outlineLevel="0" collapsed="false">
      <c r="A34" s="6" t="s">
        <v>57</v>
      </c>
      <c r="B34" s="12" t="n">
        <f aca="false">SUMPRODUCT((COUNTIF(Raw_Data!A2:A2001,Raw_Data!A2:A2001)&gt;1)*1)</f>
        <v>0</v>
      </c>
      <c r="C34" s="8" t="s">
        <v>58</v>
      </c>
    </row>
    <row r="35" customFormat="false" ht="15" hidden="false" customHeight="false" outlineLevel="0" collapsed="false">
      <c r="A35" s="6" t="s">
        <v>59</v>
      </c>
      <c r="B35" s="12" t="n">
        <f aca="false">COUNTBLANK(Raw_Data!D2:D2001)</f>
        <v>6</v>
      </c>
      <c r="C35" s="8" t="s">
        <v>60</v>
      </c>
    </row>
    <row r="36" customFormat="false" ht="15" hidden="false" customHeight="false" outlineLevel="0" collapsed="false">
      <c r="A36" s="6" t="s">
        <v>61</v>
      </c>
      <c r="B36" s="12" t="n">
        <f aca="false">COUNTBLANK(Raw_Data!I2:I2001)</f>
        <v>30</v>
      </c>
      <c r="C36" s="8" t="s">
        <v>62</v>
      </c>
    </row>
    <row r="37" customFormat="false" ht="15" hidden="false" customHeight="false" outlineLevel="0" collapsed="false">
      <c r="A37" s="6" t="s">
        <v>63</v>
      </c>
      <c r="B37" s="12" t="n">
        <f aca="false">COUNTBLANK(Raw_Data!J2:J2001)</f>
        <v>40</v>
      </c>
      <c r="C37" s="8" t="s">
        <v>64</v>
      </c>
    </row>
    <row r="38" customFormat="false" ht="15" hidden="false" customHeight="false" outlineLevel="0" collapsed="false">
      <c r="A38" s="6" t="s">
        <v>65</v>
      </c>
      <c r="B38" s="12" t="n">
        <f aca="false">COUNTIFS(AttrFlag,1,AttrType,"Unknown")</f>
        <v>17</v>
      </c>
      <c r="C38" s="8" t="s">
        <v>66</v>
      </c>
    </row>
    <row r="39" customFormat="false" ht="15" hidden="false" customHeight="false" outlineLevel="0" collapsed="false">
      <c r="A39" s="6" t="s">
        <v>67</v>
      </c>
      <c r="B39" s="12" t="n">
        <f aca="false">COUNTIF(ExitReason,"Not Recorded")</f>
        <v>29</v>
      </c>
      <c r="C39" s="8" t="s">
        <v>68</v>
      </c>
    </row>
    <row r="40" customFormat="false" ht="15" hidden="false" customHeight="false" outlineLevel="0" collapsed="false">
      <c r="A40" s="6" t="s">
        <v>69</v>
      </c>
      <c r="B40" s="12" t="n">
        <f aca="false">SUMPRODUCT((AttrFlag=1)*(TenureYrs&lt;0))</f>
        <v>0</v>
      </c>
      <c r="C40" s="8" t="s">
        <v>58</v>
      </c>
    </row>
    <row r="41" customFormat="false" ht="15" hidden="false" customHeight="false" outlineLevel="0" collapsed="false">
      <c r="A41" s="6" t="s">
        <v>70</v>
      </c>
      <c r="B41" s="12" t="n">
        <f aca="false">COUNTIF(Gender,"Unknown")</f>
        <v>0</v>
      </c>
      <c r="C41" s="8" t="s">
        <v>58</v>
      </c>
    </row>
    <row r="43" customFormat="false" ht="15" hidden="false" customHeight="false" outlineLevel="0" collapsed="false">
      <c r="A43" s="4" t="s">
        <v>71</v>
      </c>
    </row>
    <row r="44" customFormat="false" ht="15" hidden="false" customHeight="false" outlineLevel="0" collapsed="false">
      <c r="A44" s="5" t="s">
        <v>72</v>
      </c>
      <c r="B44" s="5" t="s">
        <v>73</v>
      </c>
      <c r="C44" s="5" t="s">
        <v>74</v>
      </c>
    </row>
    <row r="45" customFormat="false" ht="15" hidden="false" customHeight="false" outlineLevel="0" collapsed="false">
      <c r="A45" s="8" t="s">
        <v>75</v>
      </c>
      <c r="B45" s="6" t="s">
        <v>76</v>
      </c>
      <c r="C45" s="8" t="s">
        <v>77</v>
      </c>
    </row>
    <row r="46" customFormat="false" ht="15" hidden="false" customHeight="false" outlineLevel="0" collapsed="false">
      <c r="A46" s="8" t="s">
        <v>78</v>
      </c>
      <c r="B46" s="6" t="s">
        <v>79</v>
      </c>
      <c r="C46" s="8" t="s">
        <v>80</v>
      </c>
    </row>
    <row r="47" customFormat="false" ht="15" hidden="false" customHeight="false" outlineLevel="0" collapsed="false">
      <c r="A47" s="8" t="s">
        <v>81</v>
      </c>
      <c r="B47" s="6" t="s">
        <v>82</v>
      </c>
      <c r="C47" s="8" t="s">
        <v>83</v>
      </c>
    </row>
    <row r="48" customFormat="false" ht="15" hidden="false" customHeight="false" outlineLevel="0" collapsed="false">
      <c r="A48" s="8" t="s">
        <v>84</v>
      </c>
      <c r="B48" s="6" t="s">
        <v>76</v>
      </c>
      <c r="C48" s="8" t="s">
        <v>85</v>
      </c>
    </row>
    <row r="49" customFormat="false" ht="15" hidden="false" customHeight="false" outlineLevel="0" collapsed="false">
      <c r="A49" s="8" t="s">
        <v>86</v>
      </c>
      <c r="B49" s="6" t="s">
        <v>87</v>
      </c>
      <c r="C49" s="8" t="s">
        <v>88</v>
      </c>
    </row>
    <row r="50" customFormat="false" ht="15" hidden="false" customHeight="false" outlineLevel="0" collapsed="false">
      <c r="A50" s="8" t="s">
        <v>89</v>
      </c>
      <c r="B50" s="6" t="s">
        <v>90</v>
      </c>
      <c r="C50" s="8" t="s">
        <v>91</v>
      </c>
    </row>
    <row r="51" customFormat="false" ht="15" hidden="false" customHeight="false" outlineLevel="0" collapsed="false">
      <c r="A51" s="8" t="s">
        <v>92</v>
      </c>
      <c r="B51" s="6" t="s">
        <v>93</v>
      </c>
      <c r="C51" s="8" t="s">
        <v>94</v>
      </c>
    </row>
    <row r="52" customFormat="false" ht="15" hidden="false" customHeight="false" outlineLevel="0" collapsed="false">
      <c r="A52" s="8" t="s">
        <v>95</v>
      </c>
      <c r="B52" s="6" t="s">
        <v>96</v>
      </c>
      <c r="C52" s="8" t="s">
        <v>97</v>
      </c>
    </row>
    <row r="53" customFormat="false" ht="15" hidden="false" customHeight="false" outlineLevel="0" collapsed="false">
      <c r="A53" s="8" t="s">
        <v>98</v>
      </c>
      <c r="B53" s="6" t="s">
        <v>99</v>
      </c>
      <c r="C53" s="8" t="s">
        <v>100</v>
      </c>
    </row>
    <row r="54" customFormat="false" ht="15" hidden="false" customHeight="false" outlineLevel="0" collapsed="false">
      <c r="A54" s="8" t="s">
        <v>101</v>
      </c>
      <c r="B54" s="6" t="s">
        <v>76</v>
      </c>
      <c r="C54" s="8" t="s">
        <v>102</v>
      </c>
    </row>
    <row r="55" customFormat="false" ht="15" hidden="false" customHeight="false" outlineLevel="0" collapsed="false">
      <c r="A55" s="8" t="s">
        <v>103</v>
      </c>
      <c r="B55" s="6" t="s">
        <v>76</v>
      </c>
      <c r="C55" s="8" t="s">
        <v>104</v>
      </c>
    </row>
    <row r="56" customFormat="false" ht="15" hidden="false" customHeight="false" outlineLevel="0" collapsed="false">
      <c r="A56" s="8" t="s">
        <v>105</v>
      </c>
      <c r="B56" s="6" t="s">
        <v>82</v>
      </c>
      <c r="C56" s="8" t="s">
        <v>106</v>
      </c>
    </row>
    <row r="57" customFormat="false" ht="15" hidden="false" customHeight="false" outlineLevel="0" collapsed="false">
      <c r="A57" s="8" t="s">
        <v>107</v>
      </c>
      <c r="B57" s="6" t="s">
        <v>76</v>
      </c>
      <c r="C57" s="8" t="s">
        <v>108</v>
      </c>
    </row>
    <row r="58" customFormat="false" ht="15" hidden="false" customHeight="false" outlineLevel="0" collapsed="false">
      <c r="A58" s="8" t="s">
        <v>109</v>
      </c>
      <c r="B58" s="6" t="s">
        <v>76</v>
      </c>
      <c r="C58" s="8" t="s">
        <v>110</v>
      </c>
    </row>
    <row r="59" customFormat="false" ht="15" hidden="false" customHeight="false" outlineLevel="0" collapsed="false">
      <c r="A59" s="8" t="s">
        <v>111</v>
      </c>
      <c r="B59" s="6" t="s">
        <v>76</v>
      </c>
      <c r="C59" s="8" t="s">
        <v>112</v>
      </c>
    </row>
    <row r="60" customFormat="false" ht="15" hidden="false" customHeight="false" outlineLevel="0" collapsed="false">
      <c r="A60" s="8" t="s">
        <v>113</v>
      </c>
      <c r="B60" s="6" t="s">
        <v>114</v>
      </c>
      <c r="C60" s="8" t="s">
        <v>115</v>
      </c>
    </row>
  </sheetData>
  <mergeCells count="5">
    <mergeCell ref="A4:C4"/>
    <mergeCell ref="B26:C26"/>
    <mergeCell ref="B27:C27"/>
    <mergeCell ref="B28:C28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24"/>
    <col collapsed="false" customWidth="true" hidden="false" outlineLevel="0" max="14" min="14" style="0" width="10"/>
  </cols>
  <sheetData>
    <row r="1" customFormat="false" ht="23.85" hidden="false" customHeight="false" outlineLevel="0" collapsed="false">
      <c r="A1" s="5" t="s">
        <v>116</v>
      </c>
      <c r="B1" s="5" t="s">
        <v>117</v>
      </c>
      <c r="C1" s="5" t="s">
        <v>118</v>
      </c>
      <c r="D1" s="5" t="s">
        <v>81</v>
      </c>
      <c r="E1" s="5" t="s">
        <v>119</v>
      </c>
      <c r="F1" s="5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127</v>
      </c>
      <c r="N1" s="5" t="s">
        <v>128</v>
      </c>
    </row>
    <row r="2" customFormat="false" ht="15" hidden="false" customHeight="false" outlineLevel="0" collapsed="false">
      <c r="A2" s="13" t="s">
        <v>129</v>
      </c>
      <c r="B2" s="14" t="n">
        <v>40911</v>
      </c>
      <c r="C2" s="14"/>
      <c r="D2" s="13" t="n">
        <v>43</v>
      </c>
      <c r="E2" s="13" t="s">
        <v>130</v>
      </c>
      <c r="F2" s="13" t="s">
        <v>131</v>
      </c>
      <c r="G2" s="13" t="s">
        <v>132</v>
      </c>
      <c r="H2" s="13" t="s">
        <v>133</v>
      </c>
      <c r="I2" s="13" t="n">
        <v>5</v>
      </c>
      <c r="J2" s="13" t="n">
        <v>3</v>
      </c>
      <c r="K2" s="13" t="n">
        <v>74500</v>
      </c>
      <c r="L2" s="13"/>
      <c r="M2" s="13"/>
      <c r="N2" s="13" t="s">
        <v>134</v>
      </c>
    </row>
    <row r="3" customFormat="false" ht="15" hidden="false" customHeight="false" outlineLevel="0" collapsed="false">
      <c r="A3" s="13" t="s">
        <v>135</v>
      </c>
      <c r="B3" s="14" t="n">
        <v>40917</v>
      </c>
      <c r="C3" s="14" t="n">
        <v>45913</v>
      </c>
      <c r="D3" s="13" t="n">
        <v>39</v>
      </c>
      <c r="E3" s="13" t="s">
        <v>136</v>
      </c>
      <c r="F3" s="13" t="s">
        <v>137</v>
      </c>
      <c r="G3" s="13" t="s">
        <v>138</v>
      </c>
      <c r="H3" s="13" t="s">
        <v>139</v>
      </c>
      <c r="I3" s="13" t="n">
        <v>2</v>
      </c>
      <c r="J3" s="13" t="n">
        <v>1</v>
      </c>
      <c r="K3" s="13" t="n">
        <v>42000</v>
      </c>
      <c r="L3" s="13" t="s">
        <v>140</v>
      </c>
      <c r="M3" s="13" t="s">
        <v>141</v>
      </c>
      <c r="N3" s="13" t="s">
        <v>142</v>
      </c>
    </row>
    <row r="4" customFormat="false" ht="15" hidden="false" customHeight="false" outlineLevel="0" collapsed="false">
      <c r="A4" s="13" t="s">
        <v>143</v>
      </c>
      <c r="B4" s="14" t="n">
        <v>40922</v>
      </c>
      <c r="C4" s="14"/>
      <c r="D4" s="13" t="n">
        <v>40</v>
      </c>
      <c r="E4" s="13" t="s">
        <v>144</v>
      </c>
      <c r="F4" s="13" t="s">
        <v>145</v>
      </c>
      <c r="G4" s="13" t="s">
        <v>132</v>
      </c>
      <c r="H4" s="13" t="s">
        <v>146</v>
      </c>
      <c r="I4" s="13" t="n">
        <v>3</v>
      </c>
      <c r="J4" s="13" t="n">
        <v>1</v>
      </c>
      <c r="K4" s="13" t="n">
        <v>81500</v>
      </c>
      <c r="L4" s="13"/>
      <c r="M4" s="13"/>
      <c r="N4" s="13" t="s">
        <v>142</v>
      </c>
    </row>
    <row r="5" customFormat="false" ht="15" hidden="false" customHeight="false" outlineLevel="0" collapsed="false">
      <c r="A5" s="13" t="s">
        <v>147</v>
      </c>
      <c r="B5" s="14" t="n">
        <v>40924</v>
      </c>
      <c r="C5" s="14"/>
      <c r="D5" s="13" t="n">
        <v>39</v>
      </c>
      <c r="E5" s="13" t="s">
        <v>136</v>
      </c>
      <c r="F5" s="13" t="s">
        <v>145</v>
      </c>
      <c r="G5" s="13" t="s">
        <v>148</v>
      </c>
      <c r="H5" s="13" t="s">
        <v>149</v>
      </c>
      <c r="I5" s="13" t="n">
        <v>4</v>
      </c>
      <c r="J5" s="13" t="n">
        <v>4</v>
      </c>
      <c r="K5" s="13" t="n">
        <v>129500</v>
      </c>
      <c r="L5" s="13"/>
      <c r="M5" s="13"/>
      <c r="N5" s="13" t="s">
        <v>142</v>
      </c>
    </row>
    <row r="6" customFormat="false" ht="15" hidden="false" customHeight="false" outlineLevel="0" collapsed="false">
      <c r="A6" s="13" t="s">
        <v>150</v>
      </c>
      <c r="B6" s="14" t="n">
        <v>40934</v>
      </c>
      <c r="C6" s="14" t="n">
        <v>44706</v>
      </c>
      <c r="D6" s="13" t="n">
        <v>35</v>
      </c>
      <c r="E6" s="13" t="s">
        <v>144</v>
      </c>
      <c r="F6" s="13" t="s">
        <v>145</v>
      </c>
      <c r="G6" s="13" t="s">
        <v>148</v>
      </c>
      <c r="H6" s="13" t="s">
        <v>139</v>
      </c>
      <c r="I6" s="13" t="n">
        <v>4</v>
      </c>
      <c r="J6" s="13" t="n">
        <v>1</v>
      </c>
      <c r="K6" s="13" t="n">
        <v>60000</v>
      </c>
      <c r="L6" s="13" t="s">
        <v>151</v>
      </c>
      <c r="M6" s="13" t="s">
        <v>152</v>
      </c>
      <c r="N6" s="13" t="s">
        <v>142</v>
      </c>
    </row>
    <row r="7" customFormat="false" ht="15" hidden="false" customHeight="false" outlineLevel="0" collapsed="false">
      <c r="A7" s="13" t="s">
        <v>153</v>
      </c>
      <c r="B7" s="14" t="n">
        <v>40939</v>
      </c>
      <c r="C7" s="14"/>
      <c r="D7" s="13" t="n">
        <v>48</v>
      </c>
      <c r="E7" s="13" t="s">
        <v>136</v>
      </c>
      <c r="F7" s="13" t="s">
        <v>154</v>
      </c>
      <c r="G7" s="13" t="s">
        <v>155</v>
      </c>
      <c r="H7" s="13" t="s">
        <v>156</v>
      </c>
      <c r="I7" s="13" t="n">
        <v>3</v>
      </c>
      <c r="J7" s="13" t="n">
        <v>4</v>
      </c>
      <c r="K7" s="13" t="n">
        <v>125500</v>
      </c>
      <c r="L7" s="13"/>
      <c r="M7" s="13"/>
      <c r="N7" s="13" t="s">
        <v>157</v>
      </c>
    </row>
    <row r="8" customFormat="false" ht="15" hidden="false" customHeight="false" outlineLevel="0" collapsed="false">
      <c r="A8" s="13" t="s">
        <v>158</v>
      </c>
      <c r="B8" s="14" t="n">
        <v>40939</v>
      </c>
      <c r="C8" s="14" t="n">
        <v>45777</v>
      </c>
      <c r="D8" s="13" t="n">
        <v>42</v>
      </c>
      <c r="E8" s="13" t="s">
        <v>136</v>
      </c>
      <c r="F8" s="13" t="s">
        <v>145</v>
      </c>
      <c r="G8" s="13" t="s">
        <v>138</v>
      </c>
      <c r="H8" s="13" t="s">
        <v>156</v>
      </c>
      <c r="I8" s="13" t="n">
        <v>4</v>
      </c>
      <c r="J8" s="13" t="n">
        <v>3</v>
      </c>
      <c r="K8" s="13" t="n">
        <v>123500</v>
      </c>
      <c r="L8" s="13" t="s">
        <v>151</v>
      </c>
      <c r="M8" s="13" t="s">
        <v>159</v>
      </c>
      <c r="N8" s="13" t="s">
        <v>134</v>
      </c>
    </row>
    <row r="9" customFormat="false" ht="15" hidden="false" customHeight="false" outlineLevel="0" collapsed="false">
      <c r="A9" s="13" t="s">
        <v>160</v>
      </c>
      <c r="B9" s="14" t="n">
        <v>40946</v>
      </c>
      <c r="C9" s="14"/>
      <c r="D9" s="13" t="n">
        <v>42</v>
      </c>
      <c r="E9" s="13" t="s">
        <v>136</v>
      </c>
      <c r="F9" s="13" t="s">
        <v>161</v>
      </c>
      <c r="G9" s="13" t="s">
        <v>148</v>
      </c>
      <c r="H9" s="13" t="s">
        <v>156</v>
      </c>
      <c r="I9" s="13" t="n">
        <v>1</v>
      </c>
      <c r="J9" s="13" t="n">
        <v>2</v>
      </c>
      <c r="K9" s="13" t="n">
        <v>124500</v>
      </c>
      <c r="L9" s="13"/>
      <c r="M9" s="13"/>
      <c r="N9" s="13" t="s">
        <v>134</v>
      </c>
    </row>
    <row r="10" customFormat="false" ht="15" hidden="false" customHeight="false" outlineLevel="0" collapsed="false">
      <c r="A10" s="13" t="s">
        <v>162</v>
      </c>
      <c r="B10" s="14" t="n">
        <v>40950</v>
      </c>
      <c r="C10" s="14"/>
      <c r="D10" s="13" t="n">
        <v>35</v>
      </c>
      <c r="E10" s="13" t="s">
        <v>163</v>
      </c>
      <c r="F10" s="13" t="s">
        <v>164</v>
      </c>
      <c r="G10" s="13" t="s">
        <v>132</v>
      </c>
      <c r="H10" s="13" t="s">
        <v>146</v>
      </c>
      <c r="I10" s="13" t="n">
        <v>5</v>
      </c>
      <c r="J10" s="13" t="n">
        <v>2</v>
      </c>
      <c r="K10" s="13" t="n">
        <v>84000</v>
      </c>
      <c r="L10" s="13"/>
      <c r="M10" s="13"/>
      <c r="N10" s="13" t="s">
        <v>134</v>
      </c>
    </row>
    <row r="11" customFormat="false" ht="15" hidden="false" customHeight="false" outlineLevel="0" collapsed="false">
      <c r="A11" s="13" t="s">
        <v>165</v>
      </c>
      <c r="B11" s="14" t="n">
        <v>40952</v>
      </c>
      <c r="C11" s="14"/>
      <c r="D11" s="13" t="n">
        <v>44</v>
      </c>
      <c r="E11" s="13" t="s">
        <v>144</v>
      </c>
      <c r="F11" s="13" t="s">
        <v>131</v>
      </c>
      <c r="G11" s="13" t="s">
        <v>138</v>
      </c>
      <c r="H11" s="13" t="s">
        <v>166</v>
      </c>
      <c r="I11" s="13" t="n">
        <v>4</v>
      </c>
      <c r="J11" s="13" t="n">
        <v>4</v>
      </c>
      <c r="K11" s="13" t="n">
        <v>121500</v>
      </c>
      <c r="L11" s="13"/>
      <c r="M11" s="13"/>
      <c r="N11" s="13" t="s">
        <v>157</v>
      </c>
    </row>
    <row r="12" customFormat="false" ht="15" hidden="false" customHeight="false" outlineLevel="0" collapsed="false">
      <c r="A12" s="13" t="s">
        <v>167</v>
      </c>
      <c r="B12" s="14" t="n">
        <v>40961</v>
      </c>
      <c r="C12" s="14"/>
      <c r="D12" s="13" t="n">
        <v>37</v>
      </c>
      <c r="E12" s="13" t="s">
        <v>144</v>
      </c>
      <c r="F12" s="13" t="s">
        <v>168</v>
      </c>
      <c r="G12" s="13" t="s">
        <v>148</v>
      </c>
      <c r="H12" s="13" t="s">
        <v>139</v>
      </c>
      <c r="I12" s="13" t="n">
        <v>2</v>
      </c>
      <c r="J12" s="13" t="n">
        <v>3</v>
      </c>
      <c r="K12" s="13" t="n">
        <v>43500</v>
      </c>
      <c r="L12" s="13"/>
      <c r="M12" s="13"/>
      <c r="N12" s="13" t="s">
        <v>142</v>
      </c>
    </row>
    <row r="13" customFormat="false" ht="15" hidden="false" customHeight="false" outlineLevel="0" collapsed="false">
      <c r="A13" s="13" t="s">
        <v>169</v>
      </c>
      <c r="B13" s="14" t="n">
        <v>40968</v>
      </c>
      <c r="C13" s="14" t="n">
        <v>44755</v>
      </c>
      <c r="D13" s="13" t="n">
        <v>44</v>
      </c>
      <c r="E13" s="13" t="s">
        <v>136</v>
      </c>
      <c r="F13" s="13" t="s">
        <v>170</v>
      </c>
      <c r="G13" s="13" t="s">
        <v>171</v>
      </c>
      <c r="H13" s="13" t="s">
        <v>172</v>
      </c>
      <c r="I13" s="13" t="n">
        <v>4</v>
      </c>
      <c r="J13" s="13" t="n">
        <v>4</v>
      </c>
      <c r="K13" s="13" t="n">
        <v>46000</v>
      </c>
      <c r="L13" s="13" t="s">
        <v>173</v>
      </c>
      <c r="M13" s="13" t="s">
        <v>174</v>
      </c>
      <c r="N13" s="13" t="s">
        <v>142</v>
      </c>
    </row>
    <row r="14" customFormat="false" ht="15" hidden="false" customHeight="false" outlineLevel="0" collapsed="false">
      <c r="A14" s="13" t="s">
        <v>175</v>
      </c>
      <c r="B14" s="14" t="n">
        <v>40970</v>
      </c>
      <c r="C14" s="14"/>
      <c r="D14" s="13" t="n">
        <v>41</v>
      </c>
      <c r="E14" s="13" t="s">
        <v>136</v>
      </c>
      <c r="F14" s="13" t="s">
        <v>164</v>
      </c>
      <c r="G14" s="13" t="s">
        <v>132</v>
      </c>
      <c r="H14" s="13" t="s">
        <v>149</v>
      </c>
      <c r="I14" s="13" t="n">
        <v>2</v>
      </c>
      <c r="J14" s="13" t="n">
        <v>4</v>
      </c>
      <c r="K14" s="13" t="n">
        <v>131500</v>
      </c>
      <c r="L14" s="13"/>
      <c r="M14" s="13"/>
      <c r="N14" s="13" t="s">
        <v>142</v>
      </c>
    </row>
    <row r="15" customFormat="false" ht="15" hidden="false" customHeight="false" outlineLevel="0" collapsed="false">
      <c r="A15" s="13" t="s">
        <v>176</v>
      </c>
      <c r="B15" s="14" t="n">
        <v>40982</v>
      </c>
      <c r="C15" s="14"/>
      <c r="D15" s="13" t="n">
        <v>45</v>
      </c>
      <c r="E15" s="13" t="s">
        <v>130</v>
      </c>
      <c r="F15" s="13" t="s">
        <v>170</v>
      </c>
      <c r="G15" s="13" t="s">
        <v>138</v>
      </c>
      <c r="H15" s="13" t="s">
        <v>139</v>
      </c>
      <c r="I15" s="13" t="n">
        <v>4</v>
      </c>
      <c r="J15" s="13" t="n">
        <v>3</v>
      </c>
      <c r="K15" s="13" t="n">
        <v>53500</v>
      </c>
      <c r="L15" s="13"/>
      <c r="M15" s="13"/>
      <c r="N15" s="13" t="s">
        <v>157</v>
      </c>
    </row>
    <row r="16" customFormat="false" ht="15" hidden="false" customHeight="false" outlineLevel="0" collapsed="false">
      <c r="A16" s="13" t="s">
        <v>177</v>
      </c>
      <c r="B16" s="14" t="n">
        <v>40987</v>
      </c>
      <c r="C16" s="14"/>
      <c r="D16" s="13" t="n">
        <v>41</v>
      </c>
      <c r="E16" s="13" t="s">
        <v>144</v>
      </c>
      <c r="F16" s="13" t="s">
        <v>161</v>
      </c>
      <c r="G16" s="13" t="s">
        <v>155</v>
      </c>
      <c r="H16" s="13" t="s">
        <v>178</v>
      </c>
      <c r="I16" s="13" t="n">
        <v>4</v>
      </c>
      <c r="J16" s="13" t="n">
        <v>1</v>
      </c>
      <c r="K16" s="13" t="n">
        <v>190000</v>
      </c>
      <c r="L16" s="13"/>
      <c r="M16" s="13"/>
      <c r="N16" s="13" t="s">
        <v>142</v>
      </c>
    </row>
    <row r="17" customFormat="false" ht="15" hidden="false" customHeight="false" outlineLevel="0" collapsed="false">
      <c r="A17" s="13" t="s">
        <v>179</v>
      </c>
      <c r="B17" s="14" t="n">
        <v>40994</v>
      </c>
      <c r="C17" s="14"/>
      <c r="D17" s="13" t="n">
        <v>38</v>
      </c>
      <c r="E17" s="13" t="s">
        <v>163</v>
      </c>
      <c r="F17" s="13" t="s">
        <v>164</v>
      </c>
      <c r="G17" s="13" t="s">
        <v>138</v>
      </c>
      <c r="H17" s="13" t="s">
        <v>178</v>
      </c>
      <c r="I17" s="13" t="n">
        <v>4</v>
      </c>
      <c r="J17" s="13" t="n">
        <v>4</v>
      </c>
      <c r="K17" s="13" t="n">
        <v>191500</v>
      </c>
      <c r="L17" s="13"/>
      <c r="M17" s="13"/>
      <c r="N17" s="13" t="s">
        <v>134</v>
      </c>
    </row>
    <row r="18" customFormat="false" ht="15" hidden="false" customHeight="false" outlineLevel="0" collapsed="false">
      <c r="A18" s="13" t="s">
        <v>180</v>
      </c>
      <c r="B18" s="14" t="n">
        <v>40995</v>
      </c>
      <c r="C18" s="14"/>
      <c r="D18" s="13" t="n">
        <v>36</v>
      </c>
      <c r="E18" s="13" t="s">
        <v>144</v>
      </c>
      <c r="F18" s="13" t="s">
        <v>161</v>
      </c>
      <c r="G18" s="13" t="s">
        <v>155</v>
      </c>
      <c r="H18" s="13" t="s">
        <v>156</v>
      </c>
      <c r="I18" s="13" t="n">
        <v>4</v>
      </c>
      <c r="J18" s="13" t="n">
        <v>2</v>
      </c>
      <c r="K18" s="13" t="n">
        <v>126000</v>
      </c>
      <c r="L18" s="13"/>
      <c r="M18" s="13"/>
      <c r="N18" s="13" t="s">
        <v>142</v>
      </c>
    </row>
    <row r="19" customFormat="false" ht="15" hidden="false" customHeight="false" outlineLevel="0" collapsed="false">
      <c r="A19" s="13" t="s">
        <v>181</v>
      </c>
      <c r="B19" s="14" t="n">
        <v>41016</v>
      </c>
      <c r="C19" s="14"/>
      <c r="D19" s="13" t="n">
        <v>47</v>
      </c>
      <c r="E19" s="13" t="s">
        <v>182</v>
      </c>
      <c r="F19" s="13" t="s">
        <v>164</v>
      </c>
      <c r="G19" s="13" t="s">
        <v>132</v>
      </c>
      <c r="H19" s="13" t="s">
        <v>146</v>
      </c>
      <c r="I19" s="13" t="n">
        <v>5</v>
      </c>
      <c r="J19" s="13" t="n">
        <v>3</v>
      </c>
      <c r="K19" s="13" t="n">
        <v>82000</v>
      </c>
      <c r="L19" s="13"/>
      <c r="M19" s="13"/>
      <c r="N19" s="13" t="s">
        <v>134</v>
      </c>
    </row>
    <row r="20" customFormat="false" ht="15" hidden="false" customHeight="false" outlineLevel="0" collapsed="false">
      <c r="A20" s="13" t="s">
        <v>183</v>
      </c>
      <c r="B20" s="14" t="n">
        <v>41018</v>
      </c>
      <c r="C20" s="14"/>
      <c r="D20" s="13" t="n">
        <v>43</v>
      </c>
      <c r="E20" s="13" t="s">
        <v>136</v>
      </c>
      <c r="F20" s="13" t="s">
        <v>131</v>
      </c>
      <c r="G20" s="13" t="s">
        <v>184</v>
      </c>
      <c r="H20" s="13" t="s">
        <v>146</v>
      </c>
      <c r="I20" s="13" t="n">
        <v>3</v>
      </c>
      <c r="J20" s="13" t="n">
        <v>2</v>
      </c>
      <c r="K20" s="13" t="n">
        <v>71500</v>
      </c>
      <c r="L20" s="13"/>
      <c r="M20" s="13"/>
      <c r="N20" s="13" t="s">
        <v>142</v>
      </c>
    </row>
    <row r="21" customFormat="false" ht="15" hidden="false" customHeight="false" outlineLevel="0" collapsed="false">
      <c r="A21" s="13" t="s">
        <v>185</v>
      </c>
      <c r="B21" s="14" t="n">
        <v>41021</v>
      </c>
      <c r="C21" s="14"/>
      <c r="D21" s="13" t="n">
        <v>37</v>
      </c>
      <c r="E21" s="13" t="s">
        <v>186</v>
      </c>
      <c r="F21" s="13" t="s">
        <v>145</v>
      </c>
      <c r="G21" s="13" t="s">
        <v>155</v>
      </c>
      <c r="H21" s="13" t="s">
        <v>146</v>
      </c>
      <c r="I21" s="13" t="n">
        <v>4</v>
      </c>
      <c r="J21" s="13" t="n">
        <v>4</v>
      </c>
      <c r="K21" s="13" t="n">
        <v>92500</v>
      </c>
      <c r="L21" s="13"/>
      <c r="M21" s="13"/>
      <c r="N21" s="13" t="s">
        <v>134</v>
      </c>
    </row>
    <row r="22" customFormat="false" ht="15" hidden="false" customHeight="false" outlineLevel="0" collapsed="false">
      <c r="A22" s="13" t="s">
        <v>187</v>
      </c>
      <c r="B22" s="14" t="n">
        <v>41030</v>
      </c>
      <c r="C22" s="14"/>
      <c r="D22" s="13" t="n">
        <v>44</v>
      </c>
      <c r="E22" s="13" t="s">
        <v>136</v>
      </c>
      <c r="F22" s="13" t="s">
        <v>137</v>
      </c>
      <c r="G22" s="13" t="s">
        <v>188</v>
      </c>
      <c r="H22" s="13" t="s">
        <v>149</v>
      </c>
      <c r="I22" s="13" t="n">
        <v>3</v>
      </c>
      <c r="J22" s="13" t="n">
        <v>1</v>
      </c>
      <c r="K22" s="13" t="n">
        <v>124000</v>
      </c>
      <c r="L22" s="13"/>
      <c r="M22" s="13"/>
      <c r="N22" s="13" t="s">
        <v>157</v>
      </c>
    </row>
    <row r="23" customFormat="false" ht="15" hidden="false" customHeight="false" outlineLevel="0" collapsed="false">
      <c r="A23" s="13" t="s">
        <v>189</v>
      </c>
      <c r="B23" s="14" t="n">
        <v>41033</v>
      </c>
      <c r="C23" s="14" t="n">
        <v>45675</v>
      </c>
      <c r="D23" s="13" t="n">
        <v>47</v>
      </c>
      <c r="E23" s="13" t="s">
        <v>190</v>
      </c>
      <c r="F23" s="13" t="s">
        <v>168</v>
      </c>
      <c r="G23" s="13" t="s">
        <v>191</v>
      </c>
      <c r="H23" s="13" t="s">
        <v>192</v>
      </c>
      <c r="I23" s="13" t="n">
        <v>3</v>
      </c>
      <c r="J23" s="13" t="n">
        <v>3</v>
      </c>
      <c r="K23" s="13" t="n">
        <v>225000</v>
      </c>
      <c r="L23" s="13" t="s">
        <v>151</v>
      </c>
      <c r="M23" s="13" t="s">
        <v>152</v>
      </c>
      <c r="N23" s="13" t="s">
        <v>134</v>
      </c>
    </row>
    <row r="24" customFormat="false" ht="15" hidden="false" customHeight="false" outlineLevel="0" collapsed="false">
      <c r="A24" s="13" t="s">
        <v>193</v>
      </c>
      <c r="B24" s="14" t="n">
        <v>41036</v>
      </c>
      <c r="C24" s="14" t="n">
        <v>44655</v>
      </c>
      <c r="D24" s="13" t="n">
        <v>39</v>
      </c>
      <c r="E24" s="13" t="s">
        <v>186</v>
      </c>
      <c r="F24" s="13" t="s">
        <v>145</v>
      </c>
      <c r="G24" s="13" t="s">
        <v>132</v>
      </c>
      <c r="H24" s="13" t="s">
        <v>146</v>
      </c>
      <c r="I24" s="13" t="n">
        <v>3</v>
      </c>
      <c r="J24" s="13" t="n">
        <v>2</v>
      </c>
      <c r="K24" s="13" t="n">
        <v>79500</v>
      </c>
      <c r="L24" s="13" t="s">
        <v>151</v>
      </c>
      <c r="M24" s="13" t="s">
        <v>152</v>
      </c>
      <c r="N24" s="13" t="s">
        <v>142</v>
      </c>
    </row>
    <row r="25" customFormat="false" ht="15" hidden="false" customHeight="false" outlineLevel="0" collapsed="false">
      <c r="A25" s="13" t="s">
        <v>194</v>
      </c>
      <c r="B25" s="14" t="n">
        <v>41038</v>
      </c>
      <c r="C25" s="14"/>
      <c r="D25" s="13" t="n">
        <v>46</v>
      </c>
      <c r="E25" s="13" t="s">
        <v>144</v>
      </c>
      <c r="F25" s="13" t="s">
        <v>154</v>
      </c>
      <c r="G25" s="13" t="s">
        <v>195</v>
      </c>
      <c r="H25" s="13" t="s">
        <v>139</v>
      </c>
      <c r="I25" s="13" t="n">
        <v>3</v>
      </c>
      <c r="J25" s="13" t="n">
        <v>4</v>
      </c>
      <c r="K25" s="13" t="n">
        <v>50000</v>
      </c>
      <c r="L25" s="13"/>
      <c r="M25" s="13"/>
      <c r="N25" s="13" t="s">
        <v>142</v>
      </c>
    </row>
    <row r="26" customFormat="false" ht="15" hidden="false" customHeight="false" outlineLevel="0" collapsed="false">
      <c r="A26" s="13" t="s">
        <v>196</v>
      </c>
      <c r="B26" s="14" t="n">
        <v>41039</v>
      </c>
      <c r="C26" s="14"/>
      <c r="D26" s="13" t="n">
        <v>40</v>
      </c>
      <c r="E26" s="13" t="s">
        <v>136</v>
      </c>
      <c r="F26" s="13" t="s">
        <v>164</v>
      </c>
      <c r="G26" s="13" t="s">
        <v>138</v>
      </c>
      <c r="H26" s="13" t="s">
        <v>146</v>
      </c>
      <c r="I26" s="13" t="n">
        <v>3</v>
      </c>
      <c r="J26" s="13" t="n">
        <v>2</v>
      </c>
      <c r="K26" s="13" t="n">
        <v>74000</v>
      </c>
      <c r="L26" s="13"/>
      <c r="M26" s="13"/>
      <c r="N26" s="13" t="s">
        <v>142</v>
      </c>
    </row>
    <row r="27" customFormat="false" ht="15" hidden="false" customHeight="false" outlineLevel="0" collapsed="false">
      <c r="A27" s="13" t="s">
        <v>197</v>
      </c>
      <c r="B27" s="14" t="n">
        <v>41041</v>
      </c>
      <c r="C27" s="14"/>
      <c r="D27" s="13" t="n">
        <v>35</v>
      </c>
      <c r="E27" s="13" t="s">
        <v>190</v>
      </c>
      <c r="F27" s="13" t="s">
        <v>131</v>
      </c>
      <c r="G27" s="13" t="s">
        <v>138</v>
      </c>
      <c r="H27" s="13" t="s">
        <v>192</v>
      </c>
      <c r="I27" s="13" t="n">
        <v>3</v>
      </c>
      <c r="J27" s="13" t="n">
        <v>4</v>
      </c>
      <c r="K27" s="13" t="n">
        <v>249000</v>
      </c>
      <c r="L27" s="13"/>
      <c r="M27" s="13"/>
      <c r="N27" s="13" t="s">
        <v>142</v>
      </c>
    </row>
    <row r="28" customFormat="false" ht="15" hidden="false" customHeight="false" outlineLevel="0" collapsed="false">
      <c r="A28" s="13" t="s">
        <v>198</v>
      </c>
      <c r="B28" s="14" t="n">
        <v>41042</v>
      </c>
      <c r="C28" s="14"/>
      <c r="D28" s="13" t="n">
        <v>36</v>
      </c>
      <c r="E28" s="13" t="s">
        <v>190</v>
      </c>
      <c r="F28" s="13" t="s">
        <v>137</v>
      </c>
      <c r="G28" s="13" t="s">
        <v>155</v>
      </c>
      <c r="H28" s="13" t="s">
        <v>139</v>
      </c>
      <c r="I28" s="13" t="n">
        <v>3</v>
      </c>
      <c r="J28" s="13" t="n">
        <v>4</v>
      </c>
      <c r="K28" s="13" t="n">
        <v>54000</v>
      </c>
      <c r="L28" s="13"/>
      <c r="M28" s="13"/>
      <c r="N28" s="13" t="s">
        <v>134</v>
      </c>
    </row>
    <row r="29" customFormat="false" ht="15" hidden="false" customHeight="false" outlineLevel="0" collapsed="false">
      <c r="A29" s="13" t="s">
        <v>199</v>
      </c>
      <c r="B29" s="14" t="n">
        <v>41044</v>
      </c>
      <c r="C29" s="14" t="n">
        <v>44662</v>
      </c>
      <c r="D29" s="13" t="n">
        <v>37</v>
      </c>
      <c r="E29" s="13" t="s">
        <v>136</v>
      </c>
      <c r="F29" s="13" t="s">
        <v>161</v>
      </c>
      <c r="G29" s="13" t="s">
        <v>148</v>
      </c>
      <c r="H29" s="13" t="s">
        <v>139</v>
      </c>
      <c r="I29" s="13" t="n">
        <v>5</v>
      </c>
      <c r="J29" s="13" t="n">
        <v>1</v>
      </c>
      <c r="K29" s="13" t="n">
        <v>53000</v>
      </c>
      <c r="L29" s="13" t="s">
        <v>200</v>
      </c>
      <c r="M29" s="13" t="s">
        <v>201</v>
      </c>
      <c r="N29" s="13" t="s">
        <v>142</v>
      </c>
    </row>
    <row r="30" customFormat="false" ht="15" hidden="false" customHeight="false" outlineLevel="0" collapsed="false">
      <c r="A30" s="13" t="s">
        <v>202</v>
      </c>
      <c r="B30" s="14" t="n">
        <v>41048</v>
      </c>
      <c r="C30" s="14" t="n">
        <v>45567</v>
      </c>
      <c r="D30" s="13" t="n">
        <v>42</v>
      </c>
      <c r="E30" s="13" t="s">
        <v>130</v>
      </c>
      <c r="F30" s="13" t="s">
        <v>154</v>
      </c>
      <c r="G30" s="13" t="s">
        <v>184</v>
      </c>
      <c r="H30" s="13" t="s">
        <v>139</v>
      </c>
      <c r="I30" s="13" t="n">
        <v>3</v>
      </c>
      <c r="J30" s="13" t="n">
        <v>1</v>
      </c>
      <c r="K30" s="13" t="n">
        <v>42500</v>
      </c>
      <c r="L30" s="13" t="s">
        <v>151</v>
      </c>
      <c r="M30" s="13" t="s">
        <v>203</v>
      </c>
      <c r="N30" s="13" t="s">
        <v>157</v>
      </c>
    </row>
    <row r="31" customFormat="false" ht="15" hidden="false" customHeight="false" outlineLevel="0" collapsed="false">
      <c r="A31" s="13" t="s">
        <v>204</v>
      </c>
      <c r="B31" s="14" t="n">
        <v>41058</v>
      </c>
      <c r="C31" s="14"/>
      <c r="D31" s="13" t="n">
        <v>47</v>
      </c>
      <c r="E31" s="13" t="s">
        <v>144</v>
      </c>
      <c r="F31" s="13" t="s">
        <v>161</v>
      </c>
      <c r="G31" s="13" t="s">
        <v>148</v>
      </c>
      <c r="H31" s="13" t="s">
        <v>156</v>
      </c>
      <c r="I31" s="13" t="n">
        <v>4</v>
      </c>
      <c r="J31" s="13"/>
      <c r="K31" s="13" t="n">
        <v>121000</v>
      </c>
      <c r="L31" s="13"/>
      <c r="M31" s="13"/>
      <c r="N31" s="13" t="s">
        <v>134</v>
      </c>
    </row>
    <row r="32" customFormat="false" ht="15" hidden="false" customHeight="false" outlineLevel="0" collapsed="false">
      <c r="A32" s="13" t="s">
        <v>205</v>
      </c>
      <c r="B32" s="14" t="n">
        <v>41058</v>
      </c>
      <c r="C32" s="14" t="n">
        <v>45730</v>
      </c>
      <c r="D32" s="13" t="n">
        <v>51</v>
      </c>
      <c r="E32" s="13" t="s">
        <v>136</v>
      </c>
      <c r="F32" s="13" t="s">
        <v>168</v>
      </c>
      <c r="G32" s="13" t="s">
        <v>138</v>
      </c>
      <c r="H32" s="13" t="s">
        <v>133</v>
      </c>
      <c r="I32" s="13" t="n">
        <v>3</v>
      </c>
      <c r="J32" s="13" t="n">
        <v>3</v>
      </c>
      <c r="K32" s="13" t="n">
        <v>69000</v>
      </c>
      <c r="L32" s="13" t="s">
        <v>151</v>
      </c>
      <c r="M32" s="13" t="s">
        <v>206</v>
      </c>
      <c r="N32" s="13" t="s">
        <v>134</v>
      </c>
    </row>
    <row r="33" customFormat="false" ht="15" hidden="false" customHeight="false" outlineLevel="0" collapsed="false">
      <c r="A33" s="13" t="s">
        <v>207</v>
      </c>
      <c r="B33" s="14" t="n">
        <v>41058</v>
      </c>
      <c r="C33" s="14"/>
      <c r="D33" s="13" t="n">
        <v>43</v>
      </c>
      <c r="E33" s="13" t="s">
        <v>136</v>
      </c>
      <c r="F33" s="13" t="s">
        <v>131</v>
      </c>
      <c r="G33" s="13" t="s">
        <v>132</v>
      </c>
      <c r="H33" s="13" t="s">
        <v>178</v>
      </c>
      <c r="I33" s="13" t="n">
        <v>3</v>
      </c>
      <c r="J33" s="13" t="n">
        <v>1</v>
      </c>
      <c r="K33" s="13" t="n">
        <v>164000</v>
      </c>
      <c r="L33" s="13"/>
      <c r="M33" s="13"/>
      <c r="N33" s="13" t="s">
        <v>142</v>
      </c>
    </row>
    <row r="34" customFormat="false" ht="15" hidden="false" customHeight="false" outlineLevel="0" collapsed="false">
      <c r="A34" s="13" t="s">
        <v>208</v>
      </c>
      <c r="B34" s="14" t="n">
        <v>41064</v>
      </c>
      <c r="C34" s="14"/>
      <c r="D34" s="13" t="n">
        <v>43</v>
      </c>
      <c r="E34" s="13" t="s">
        <v>163</v>
      </c>
      <c r="F34" s="13" t="s">
        <v>161</v>
      </c>
      <c r="G34" s="13" t="s">
        <v>148</v>
      </c>
      <c r="H34" s="13" t="s">
        <v>156</v>
      </c>
      <c r="I34" s="13" t="n">
        <v>3</v>
      </c>
      <c r="J34" s="13" t="n">
        <v>4</v>
      </c>
      <c r="K34" s="13" t="n">
        <v>135500</v>
      </c>
      <c r="L34" s="13"/>
      <c r="M34" s="13"/>
      <c r="N34" s="13" t="s">
        <v>134</v>
      </c>
    </row>
    <row r="35" customFormat="false" ht="15" hidden="false" customHeight="false" outlineLevel="0" collapsed="false">
      <c r="A35" s="13" t="s">
        <v>209</v>
      </c>
      <c r="B35" s="14" t="n">
        <v>41066</v>
      </c>
      <c r="C35" s="14" t="n">
        <v>44622</v>
      </c>
      <c r="D35" s="13" t="n">
        <v>43</v>
      </c>
      <c r="E35" s="13" t="s">
        <v>136</v>
      </c>
      <c r="F35" s="13" t="s">
        <v>154</v>
      </c>
      <c r="G35" s="13" t="s">
        <v>184</v>
      </c>
      <c r="H35" s="13" t="s">
        <v>156</v>
      </c>
      <c r="I35" s="13" t="n">
        <v>3</v>
      </c>
      <c r="J35" s="13" t="n">
        <v>4</v>
      </c>
      <c r="K35" s="13" t="n">
        <v>124500</v>
      </c>
      <c r="L35" s="13" t="s">
        <v>151</v>
      </c>
      <c r="M35" s="13" t="s">
        <v>159</v>
      </c>
      <c r="N35" s="13" t="s">
        <v>134</v>
      </c>
    </row>
    <row r="36" customFormat="false" ht="15" hidden="false" customHeight="false" outlineLevel="0" collapsed="false">
      <c r="A36" s="13" t="s">
        <v>210</v>
      </c>
      <c r="B36" s="14" t="n">
        <v>41081</v>
      </c>
      <c r="C36" s="14"/>
      <c r="D36" s="13" t="n">
        <v>44</v>
      </c>
      <c r="E36" s="13" t="s">
        <v>163</v>
      </c>
      <c r="F36" s="13" t="s">
        <v>137</v>
      </c>
      <c r="G36" s="13" t="s">
        <v>132</v>
      </c>
      <c r="H36" s="13" t="s">
        <v>149</v>
      </c>
      <c r="I36" s="13" t="n">
        <v>4</v>
      </c>
      <c r="J36" s="13" t="n">
        <v>1</v>
      </c>
      <c r="K36" s="13" t="n">
        <v>110000</v>
      </c>
      <c r="L36" s="13"/>
      <c r="M36" s="13"/>
      <c r="N36" s="13" t="s">
        <v>157</v>
      </c>
    </row>
    <row r="37" customFormat="false" ht="15" hidden="false" customHeight="false" outlineLevel="0" collapsed="false">
      <c r="A37" s="13" t="s">
        <v>211</v>
      </c>
      <c r="B37" s="14" t="n">
        <v>41088</v>
      </c>
      <c r="C37" s="14"/>
      <c r="D37" s="13" t="n">
        <v>41</v>
      </c>
      <c r="E37" s="13" t="s">
        <v>136</v>
      </c>
      <c r="F37" s="13" t="s">
        <v>168</v>
      </c>
      <c r="G37" s="13" t="s">
        <v>155</v>
      </c>
      <c r="H37" s="13" t="s">
        <v>146</v>
      </c>
      <c r="I37" s="13" t="n">
        <v>3</v>
      </c>
      <c r="J37" s="13" t="n">
        <v>1</v>
      </c>
      <c r="K37" s="13" t="n">
        <v>73500</v>
      </c>
      <c r="L37" s="13"/>
      <c r="M37" s="13"/>
      <c r="N37" s="13" t="s">
        <v>142</v>
      </c>
    </row>
    <row r="38" customFormat="false" ht="15" hidden="false" customHeight="false" outlineLevel="0" collapsed="false">
      <c r="A38" s="13" t="s">
        <v>212</v>
      </c>
      <c r="B38" s="14" t="n">
        <v>41095</v>
      </c>
      <c r="C38" s="14"/>
      <c r="D38" s="13" t="n">
        <v>43</v>
      </c>
      <c r="E38" s="13" t="s">
        <v>144</v>
      </c>
      <c r="F38" s="13" t="s">
        <v>170</v>
      </c>
      <c r="G38" s="13" t="s">
        <v>213</v>
      </c>
      <c r="H38" s="13" t="s">
        <v>146</v>
      </c>
      <c r="I38" s="13" t="n">
        <v>4</v>
      </c>
      <c r="J38" s="13" t="n">
        <v>1</v>
      </c>
      <c r="K38" s="13" t="n">
        <v>90500</v>
      </c>
      <c r="L38" s="13"/>
      <c r="M38" s="13"/>
      <c r="N38" s="13" t="s">
        <v>214</v>
      </c>
    </row>
    <row r="39" customFormat="false" ht="15" hidden="false" customHeight="false" outlineLevel="0" collapsed="false">
      <c r="A39" s="13" t="s">
        <v>215</v>
      </c>
      <c r="B39" s="14" t="n">
        <v>41099</v>
      </c>
      <c r="C39" s="14" t="n">
        <v>45541</v>
      </c>
      <c r="D39" s="13" t="n">
        <v>49</v>
      </c>
      <c r="E39" s="13" t="s">
        <v>130</v>
      </c>
      <c r="F39" s="13" t="s">
        <v>168</v>
      </c>
      <c r="G39" s="13" t="s">
        <v>148</v>
      </c>
      <c r="H39" s="13" t="s">
        <v>139</v>
      </c>
      <c r="I39" s="13" t="n">
        <v>2</v>
      </c>
      <c r="J39" s="13" t="n">
        <v>3</v>
      </c>
      <c r="K39" s="13" t="n">
        <v>50000</v>
      </c>
      <c r="L39" s="13" t="s">
        <v>151</v>
      </c>
      <c r="M39" s="13" t="s">
        <v>216</v>
      </c>
      <c r="N39" s="13" t="s">
        <v>142</v>
      </c>
    </row>
    <row r="40" customFormat="false" ht="15" hidden="false" customHeight="false" outlineLevel="0" collapsed="false">
      <c r="A40" s="13" t="s">
        <v>217</v>
      </c>
      <c r="B40" s="14" t="n">
        <v>41099</v>
      </c>
      <c r="C40" s="14" t="n">
        <v>45550</v>
      </c>
      <c r="D40" s="13" t="n">
        <v>41</v>
      </c>
      <c r="E40" s="13" t="s">
        <v>130</v>
      </c>
      <c r="F40" s="13" t="s">
        <v>154</v>
      </c>
      <c r="G40" s="13" t="s">
        <v>132</v>
      </c>
      <c r="H40" s="13" t="s">
        <v>146</v>
      </c>
      <c r="I40" s="13" t="n">
        <v>3</v>
      </c>
      <c r="J40" s="13" t="n">
        <v>2</v>
      </c>
      <c r="K40" s="13" t="n">
        <v>72000</v>
      </c>
      <c r="L40" s="13" t="s">
        <v>151</v>
      </c>
      <c r="M40" s="13" t="s">
        <v>159</v>
      </c>
      <c r="N40" s="13" t="s">
        <v>142</v>
      </c>
    </row>
    <row r="41" customFormat="false" ht="15" hidden="false" customHeight="false" outlineLevel="0" collapsed="false">
      <c r="A41" s="13" t="s">
        <v>218</v>
      </c>
      <c r="B41" s="14" t="n">
        <v>41100</v>
      </c>
      <c r="C41" s="14"/>
      <c r="D41" s="13" t="n">
        <v>34</v>
      </c>
      <c r="E41" s="13" t="s">
        <v>144</v>
      </c>
      <c r="F41" s="13" t="s">
        <v>131</v>
      </c>
      <c r="G41" s="13" t="s">
        <v>155</v>
      </c>
      <c r="H41" s="13" t="s">
        <v>219</v>
      </c>
      <c r="I41" s="13" t="n">
        <v>5</v>
      </c>
      <c r="J41" s="13" t="n">
        <v>4</v>
      </c>
      <c r="K41" s="13" t="n">
        <v>53500</v>
      </c>
      <c r="L41" s="13"/>
      <c r="M41" s="13"/>
      <c r="N41" s="13" t="s">
        <v>142</v>
      </c>
    </row>
    <row r="42" customFormat="false" ht="15" hidden="false" customHeight="false" outlineLevel="0" collapsed="false">
      <c r="A42" s="13" t="s">
        <v>220</v>
      </c>
      <c r="B42" s="14" t="n">
        <v>41101</v>
      </c>
      <c r="C42" s="14"/>
      <c r="D42" s="13" t="n">
        <v>50</v>
      </c>
      <c r="E42" s="13" t="s">
        <v>136</v>
      </c>
      <c r="F42" s="13" t="s">
        <v>154</v>
      </c>
      <c r="G42" s="13" t="s">
        <v>132</v>
      </c>
      <c r="H42" s="13" t="s">
        <v>139</v>
      </c>
      <c r="I42" s="13" t="n">
        <v>4</v>
      </c>
      <c r="J42" s="13" t="n">
        <v>1</v>
      </c>
      <c r="K42" s="13" t="n">
        <v>51000</v>
      </c>
      <c r="L42" s="13"/>
      <c r="M42" s="13"/>
      <c r="N42" s="13" t="s">
        <v>142</v>
      </c>
    </row>
    <row r="43" customFormat="false" ht="15" hidden="false" customHeight="false" outlineLevel="0" collapsed="false">
      <c r="A43" s="13" t="s">
        <v>221</v>
      </c>
      <c r="B43" s="14" t="n">
        <v>41103</v>
      </c>
      <c r="C43" s="14"/>
      <c r="D43" s="13" t="n">
        <v>42</v>
      </c>
      <c r="E43" s="13" t="s">
        <v>136</v>
      </c>
      <c r="F43" s="13" t="s">
        <v>145</v>
      </c>
      <c r="G43" s="13" t="s">
        <v>138</v>
      </c>
      <c r="H43" s="13" t="s">
        <v>146</v>
      </c>
      <c r="I43" s="13" t="n">
        <v>3</v>
      </c>
      <c r="J43" s="13" t="n">
        <v>3</v>
      </c>
      <c r="K43" s="13" t="n">
        <v>80000</v>
      </c>
      <c r="L43" s="13"/>
      <c r="M43" s="13"/>
      <c r="N43" s="13" t="s">
        <v>134</v>
      </c>
    </row>
    <row r="44" customFormat="false" ht="15" hidden="false" customHeight="false" outlineLevel="0" collapsed="false">
      <c r="A44" s="13" t="s">
        <v>222</v>
      </c>
      <c r="B44" s="14" t="n">
        <v>41115</v>
      </c>
      <c r="C44" s="14"/>
      <c r="D44" s="13" t="n">
        <v>49</v>
      </c>
      <c r="E44" s="13" t="s">
        <v>144</v>
      </c>
      <c r="F44" s="13" t="s">
        <v>161</v>
      </c>
      <c r="G44" s="13" t="s">
        <v>155</v>
      </c>
      <c r="H44" s="13" t="s">
        <v>156</v>
      </c>
      <c r="I44" s="13" t="n">
        <v>4</v>
      </c>
      <c r="J44" s="13" t="n">
        <v>3</v>
      </c>
      <c r="K44" s="13" t="n">
        <v>149500</v>
      </c>
      <c r="L44" s="13"/>
      <c r="M44" s="13"/>
      <c r="N44" s="13" t="s">
        <v>142</v>
      </c>
    </row>
    <row r="45" customFormat="false" ht="15" hidden="false" customHeight="false" outlineLevel="0" collapsed="false">
      <c r="A45" s="13" t="s">
        <v>223</v>
      </c>
      <c r="B45" s="14" t="n">
        <v>41120</v>
      </c>
      <c r="C45" s="14"/>
      <c r="D45" s="13" t="n">
        <v>39</v>
      </c>
      <c r="E45" s="13" t="s">
        <v>130</v>
      </c>
      <c r="F45" s="13" t="s">
        <v>168</v>
      </c>
      <c r="G45" s="13" t="s">
        <v>224</v>
      </c>
      <c r="H45" s="13" t="s">
        <v>146</v>
      </c>
      <c r="I45" s="13" t="n">
        <v>4</v>
      </c>
      <c r="J45" s="13" t="n">
        <v>4</v>
      </c>
      <c r="K45" s="13" t="n">
        <v>100500</v>
      </c>
      <c r="L45" s="13"/>
      <c r="M45" s="13"/>
      <c r="N45" s="13" t="s">
        <v>142</v>
      </c>
    </row>
    <row r="46" customFormat="false" ht="15" hidden="false" customHeight="false" outlineLevel="0" collapsed="false">
      <c r="A46" s="13" t="s">
        <v>225</v>
      </c>
      <c r="B46" s="14" t="n">
        <v>41134</v>
      </c>
      <c r="C46" s="14" t="n">
        <v>45311</v>
      </c>
      <c r="D46" s="13" t="n">
        <v>32</v>
      </c>
      <c r="E46" s="13" t="s">
        <v>136</v>
      </c>
      <c r="F46" s="13" t="s">
        <v>145</v>
      </c>
      <c r="G46" s="13" t="s">
        <v>132</v>
      </c>
      <c r="H46" s="13" t="s">
        <v>139</v>
      </c>
      <c r="I46" s="13" t="n">
        <v>5</v>
      </c>
      <c r="J46" s="13" t="n">
        <v>1</v>
      </c>
      <c r="K46" s="13" t="n">
        <v>48000</v>
      </c>
      <c r="L46" s="13" t="s">
        <v>151</v>
      </c>
      <c r="M46" s="13" t="s">
        <v>216</v>
      </c>
      <c r="N46" s="13" t="s">
        <v>142</v>
      </c>
    </row>
    <row r="47" customFormat="false" ht="15" hidden="false" customHeight="false" outlineLevel="0" collapsed="false">
      <c r="A47" s="13" t="s">
        <v>226</v>
      </c>
      <c r="B47" s="14" t="n">
        <v>41135</v>
      </c>
      <c r="C47" s="14"/>
      <c r="D47" s="13" t="n">
        <v>39</v>
      </c>
      <c r="E47" s="13" t="s">
        <v>130</v>
      </c>
      <c r="F47" s="13" t="s">
        <v>131</v>
      </c>
      <c r="G47" s="13" t="s">
        <v>138</v>
      </c>
      <c r="H47" s="13" t="s">
        <v>149</v>
      </c>
      <c r="I47" s="13" t="n">
        <v>3</v>
      </c>
      <c r="J47" s="13" t="n">
        <v>3</v>
      </c>
      <c r="K47" s="13" t="n">
        <v>130500</v>
      </c>
      <c r="L47" s="13"/>
      <c r="M47" s="13"/>
      <c r="N47" s="13" t="s">
        <v>142</v>
      </c>
    </row>
    <row r="48" customFormat="false" ht="15" hidden="false" customHeight="false" outlineLevel="0" collapsed="false">
      <c r="A48" s="13" t="s">
        <v>227</v>
      </c>
      <c r="B48" s="14" t="n">
        <v>41136</v>
      </c>
      <c r="C48" s="14"/>
      <c r="D48" s="13" t="n">
        <v>35</v>
      </c>
      <c r="E48" s="13" t="s">
        <v>130</v>
      </c>
      <c r="F48" s="13" t="s">
        <v>154</v>
      </c>
      <c r="G48" s="13" t="s">
        <v>155</v>
      </c>
      <c r="H48" s="13" t="s">
        <v>146</v>
      </c>
      <c r="I48" s="13" t="n">
        <v>4</v>
      </c>
      <c r="J48" s="13" t="n">
        <v>3</v>
      </c>
      <c r="K48" s="13" t="n">
        <v>80500</v>
      </c>
      <c r="L48" s="13"/>
      <c r="M48" s="13"/>
      <c r="N48" s="13" t="s">
        <v>157</v>
      </c>
    </row>
    <row r="49" customFormat="false" ht="15" hidden="false" customHeight="false" outlineLevel="0" collapsed="false">
      <c r="A49" s="13" t="s">
        <v>228</v>
      </c>
      <c r="B49" s="14" t="n">
        <v>41136</v>
      </c>
      <c r="C49" s="14"/>
      <c r="D49" s="13" t="n">
        <v>43</v>
      </c>
      <c r="E49" s="13" t="s">
        <v>144</v>
      </c>
      <c r="F49" s="13" t="s">
        <v>229</v>
      </c>
      <c r="G49" s="13" t="s">
        <v>155</v>
      </c>
      <c r="H49" s="13" t="s">
        <v>146</v>
      </c>
      <c r="I49" s="13" t="n">
        <v>2</v>
      </c>
      <c r="J49" s="13" t="n">
        <v>2</v>
      </c>
      <c r="K49" s="13" t="n">
        <v>69000</v>
      </c>
      <c r="L49" s="13"/>
      <c r="M49" s="13"/>
      <c r="N49" s="13" t="s">
        <v>142</v>
      </c>
    </row>
    <row r="50" customFormat="false" ht="15" hidden="false" customHeight="false" outlineLevel="0" collapsed="false">
      <c r="A50" s="13" t="s">
        <v>230</v>
      </c>
      <c r="B50" s="14" t="n">
        <v>41141</v>
      </c>
      <c r="C50" s="14"/>
      <c r="D50" s="13" t="n">
        <v>43</v>
      </c>
      <c r="E50" s="13" t="s">
        <v>136</v>
      </c>
      <c r="F50" s="13" t="s">
        <v>231</v>
      </c>
      <c r="G50" s="13" t="s">
        <v>138</v>
      </c>
      <c r="H50" s="13" t="s">
        <v>139</v>
      </c>
      <c r="I50" s="13" t="n">
        <v>3</v>
      </c>
      <c r="J50" s="13" t="n">
        <v>2</v>
      </c>
      <c r="K50" s="13" t="n">
        <v>50000</v>
      </c>
      <c r="L50" s="13"/>
      <c r="M50" s="13"/>
      <c r="N50" s="13" t="s">
        <v>142</v>
      </c>
    </row>
    <row r="51" customFormat="false" ht="15" hidden="false" customHeight="false" outlineLevel="0" collapsed="false">
      <c r="A51" s="13" t="s">
        <v>232</v>
      </c>
      <c r="B51" s="14" t="n">
        <v>41143</v>
      </c>
      <c r="C51" s="14"/>
      <c r="D51" s="13" t="n">
        <v>40</v>
      </c>
      <c r="E51" s="13" t="s">
        <v>144</v>
      </c>
      <c r="F51" s="13" t="s">
        <v>137</v>
      </c>
      <c r="G51" s="13" t="s">
        <v>132</v>
      </c>
      <c r="H51" s="13" t="s">
        <v>139</v>
      </c>
      <c r="I51" s="13" t="n">
        <v>4</v>
      </c>
      <c r="J51" s="13" t="n">
        <v>2</v>
      </c>
      <c r="K51" s="13" t="n">
        <v>45000</v>
      </c>
      <c r="L51" s="13"/>
      <c r="M51" s="13"/>
      <c r="N51" s="13" t="s">
        <v>142</v>
      </c>
    </row>
    <row r="52" customFormat="false" ht="15" hidden="false" customHeight="false" outlineLevel="0" collapsed="false">
      <c r="A52" s="13" t="s">
        <v>233</v>
      </c>
      <c r="B52" s="14" t="n">
        <v>41147</v>
      </c>
      <c r="C52" s="14"/>
      <c r="D52" s="13" t="n">
        <v>51</v>
      </c>
      <c r="E52" s="13" t="s">
        <v>136</v>
      </c>
      <c r="F52" s="13" t="s">
        <v>137</v>
      </c>
      <c r="G52" s="13" t="s">
        <v>213</v>
      </c>
      <c r="H52" s="13" t="s">
        <v>149</v>
      </c>
      <c r="I52" s="13" t="n">
        <v>4</v>
      </c>
      <c r="J52" s="13" t="n">
        <v>2</v>
      </c>
      <c r="K52" s="13" t="n">
        <v>126000</v>
      </c>
      <c r="L52" s="13"/>
      <c r="M52" s="13"/>
      <c r="N52" s="13" t="s">
        <v>142</v>
      </c>
    </row>
    <row r="53" customFormat="false" ht="15" hidden="false" customHeight="false" outlineLevel="0" collapsed="false">
      <c r="A53" s="13" t="s">
        <v>234</v>
      </c>
      <c r="B53" s="14" t="n">
        <v>41149</v>
      </c>
      <c r="C53" s="14"/>
      <c r="D53" s="13" t="n">
        <v>37</v>
      </c>
      <c r="E53" s="13" t="s">
        <v>136</v>
      </c>
      <c r="F53" s="13" t="s">
        <v>154</v>
      </c>
      <c r="G53" s="13" t="s">
        <v>235</v>
      </c>
      <c r="H53" s="13" t="s">
        <v>146</v>
      </c>
      <c r="I53" s="13" t="n">
        <v>2</v>
      </c>
      <c r="J53" s="13" t="n">
        <v>4</v>
      </c>
      <c r="K53" s="13" t="n">
        <v>66000</v>
      </c>
      <c r="L53" s="13"/>
      <c r="M53" s="13"/>
      <c r="N53" s="13" t="s">
        <v>142</v>
      </c>
    </row>
    <row r="54" customFormat="false" ht="15" hidden="false" customHeight="false" outlineLevel="0" collapsed="false">
      <c r="A54" s="13" t="s">
        <v>236</v>
      </c>
      <c r="B54" s="14" t="n">
        <v>41151</v>
      </c>
      <c r="C54" s="14"/>
      <c r="D54" s="13" t="n">
        <v>36</v>
      </c>
      <c r="E54" s="13" t="s">
        <v>136</v>
      </c>
      <c r="F54" s="13" t="s">
        <v>168</v>
      </c>
      <c r="G54" s="13" t="s">
        <v>155</v>
      </c>
      <c r="H54" s="13" t="s">
        <v>156</v>
      </c>
      <c r="I54" s="13" t="n">
        <v>1</v>
      </c>
      <c r="J54" s="13" t="n">
        <v>3</v>
      </c>
      <c r="K54" s="13" t="n">
        <v>140000</v>
      </c>
      <c r="L54" s="13"/>
      <c r="M54" s="13"/>
      <c r="N54" s="13" t="s">
        <v>134</v>
      </c>
    </row>
    <row r="55" customFormat="false" ht="15" hidden="false" customHeight="false" outlineLevel="0" collapsed="false">
      <c r="A55" s="13" t="s">
        <v>237</v>
      </c>
      <c r="B55" s="14" t="n">
        <v>41153</v>
      </c>
      <c r="C55" s="14"/>
      <c r="D55" s="13" t="n">
        <v>43</v>
      </c>
      <c r="E55" s="13" t="s">
        <v>136</v>
      </c>
      <c r="F55" s="13" t="s">
        <v>131</v>
      </c>
      <c r="G55" s="13" t="s">
        <v>138</v>
      </c>
      <c r="H55" s="13" t="s">
        <v>178</v>
      </c>
      <c r="I55" s="13" t="n">
        <v>3</v>
      </c>
      <c r="J55" s="13" t="n">
        <v>4</v>
      </c>
      <c r="K55" s="13" t="n">
        <v>145500</v>
      </c>
      <c r="L55" s="13"/>
      <c r="M55" s="13"/>
      <c r="N55" s="13" t="s">
        <v>142</v>
      </c>
    </row>
    <row r="56" customFormat="false" ht="15" hidden="false" customHeight="false" outlineLevel="0" collapsed="false">
      <c r="A56" s="13" t="s">
        <v>238</v>
      </c>
      <c r="B56" s="14" t="n">
        <v>41157</v>
      </c>
      <c r="C56" s="14"/>
      <c r="D56" s="13" t="n">
        <v>46</v>
      </c>
      <c r="E56" s="13" t="s">
        <v>136</v>
      </c>
      <c r="F56" s="13" t="s">
        <v>239</v>
      </c>
      <c r="G56" s="13" t="s">
        <v>138</v>
      </c>
      <c r="H56" s="13" t="s">
        <v>178</v>
      </c>
      <c r="I56" s="13" t="n">
        <v>3</v>
      </c>
      <c r="J56" s="13" t="n">
        <v>4</v>
      </c>
      <c r="K56" s="13" t="n">
        <v>146500</v>
      </c>
      <c r="L56" s="13"/>
      <c r="M56" s="13"/>
      <c r="N56" s="13" t="s">
        <v>134</v>
      </c>
    </row>
    <row r="57" customFormat="false" ht="15" hidden="false" customHeight="false" outlineLevel="0" collapsed="false">
      <c r="A57" s="13" t="s">
        <v>240</v>
      </c>
      <c r="B57" s="14" t="n">
        <v>41169</v>
      </c>
      <c r="C57" s="14" t="n">
        <v>44832</v>
      </c>
      <c r="D57" s="13" t="n">
        <v>39</v>
      </c>
      <c r="E57" s="13" t="s">
        <v>136</v>
      </c>
      <c r="F57" s="13" t="s">
        <v>241</v>
      </c>
      <c r="G57" s="13" t="s">
        <v>155</v>
      </c>
      <c r="H57" s="13" t="s">
        <v>242</v>
      </c>
      <c r="I57" s="13" t="n">
        <v>4</v>
      </c>
      <c r="J57" s="13" t="n">
        <v>1</v>
      </c>
      <c r="K57" s="13" t="n">
        <v>120000</v>
      </c>
      <c r="L57" s="13" t="s">
        <v>151</v>
      </c>
      <c r="M57" s="13" t="s">
        <v>152</v>
      </c>
      <c r="N57" s="13" t="s">
        <v>142</v>
      </c>
    </row>
    <row r="58" customFormat="false" ht="15" hidden="false" customHeight="false" outlineLevel="0" collapsed="false">
      <c r="A58" s="13" t="s">
        <v>243</v>
      </c>
      <c r="B58" s="14" t="n">
        <v>41172</v>
      </c>
      <c r="C58" s="14" t="n">
        <v>44835</v>
      </c>
      <c r="D58" s="13" t="n">
        <v>35</v>
      </c>
      <c r="E58" s="13" t="s">
        <v>136</v>
      </c>
      <c r="F58" s="13" t="s">
        <v>154</v>
      </c>
      <c r="G58" s="13" t="s">
        <v>148</v>
      </c>
      <c r="H58" s="13" t="s">
        <v>192</v>
      </c>
      <c r="I58" s="13" t="n">
        <v>2</v>
      </c>
      <c r="J58" s="13" t="n">
        <v>1</v>
      </c>
      <c r="K58" s="13" t="n">
        <v>209000</v>
      </c>
      <c r="L58" s="13"/>
      <c r="M58" s="13" t="s">
        <v>203</v>
      </c>
      <c r="N58" s="13" t="s">
        <v>157</v>
      </c>
    </row>
    <row r="59" customFormat="false" ht="15" hidden="false" customHeight="false" outlineLevel="0" collapsed="false">
      <c r="A59" s="13" t="s">
        <v>244</v>
      </c>
      <c r="B59" s="14" t="n">
        <v>41172</v>
      </c>
      <c r="C59" s="14" t="n">
        <v>44756</v>
      </c>
      <c r="D59" s="13" t="n">
        <v>43</v>
      </c>
      <c r="E59" s="13" t="s">
        <v>130</v>
      </c>
      <c r="F59" s="13" t="s">
        <v>170</v>
      </c>
      <c r="G59" s="13" t="s">
        <v>132</v>
      </c>
      <c r="H59" s="13" t="s">
        <v>156</v>
      </c>
      <c r="I59" s="13" t="n">
        <v>3</v>
      </c>
      <c r="J59" s="13" t="n">
        <v>3</v>
      </c>
      <c r="K59" s="13" t="n">
        <v>117500</v>
      </c>
      <c r="L59" s="13" t="s">
        <v>151</v>
      </c>
      <c r="M59" s="13" t="s">
        <v>203</v>
      </c>
      <c r="N59" s="13" t="s">
        <v>134</v>
      </c>
    </row>
    <row r="60" customFormat="false" ht="15" hidden="false" customHeight="false" outlineLevel="0" collapsed="false">
      <c r="A60" s="13" t="s">
        <v>245</v>
      </c>
      <c r="B60" s="14" t="n">
        <v>41176</v>
      </c>
      <c r="C60" s="14" t="n">
        <v>45472</v>
      </c>
      <c r="D60" s="13" t="n">
        <v>33</v>
      </c>
      <c r="E60" s="13" t="s">
        <v>130</v>
      </c>
      <c r="F60" s="13" t="s">
        <v>154</v>
      </c>
      <c r="G60" s="13" t="s">
        <v>155</v>
      </c>
      <c r="H60" s="13" t="s">
        <v>246</v>
      </c>
      <c r="I60" s="13" t="n">
        <v>3</v>
      </c>
      <c r="J60" s="13" t="n">
        <v>3</v>
      </c>
      <c r="K60" s="13" t="n">
        <v>157500</v>
      </c>
      <c r="L60" s="13" t="s">
        <v>151</v>
      </c>
      <c r="M60" s="13" t="s">
        <v>216</v>
      </c>
      <c r="N60" s="13" t="s">
        <v>142</v>
      </c>
    </row>
    <row r="61" customFormat="false" ht="15" hidden="false" customHeight="false" outlineLevel="0" collapsed="false">
      <c r="A61" s="13" t="s">
        <v>247</v>
      </c>
      <c r="B61" s="14" t="n">
        <v>41186</v>
      </c>
      <c r="C61" s="14"/>
      <c r="D61" s="13" t="n">
        <v>36</v>
      </c>
      <c r="E61" s="13" t="s">
        <v>136</v>
      </c>
      <c r="F61" s="13" t="s">
        <v>241</v>
      </c>
      <c r="G61" s="13" t="s">
        <v>132</v>
      </c>
      <c r="H61" s="13" t="s">
        <v>146</v>
      </c>
      <c r="I61" s="13" t="n">
        <v>3</v>
      </c>
      <c r="J61" s="13" t="n">
        <v>2</v>
      </c>
      <c r="K61" s="13" t="n">
        <v>73000</v>
      </c>
      <c r="L61" s="13"/>
      <c r="M61" s="13"/>
      <c r="N61" s="13" t="s">
        <v>142</v>
      </c>
    </row>
    <row r="62" customFormat="false" ht="15" hidden="false" customHeight="false" outlineLevel="0" collapsed="false">
      <c r="A62" s="13" t="s">
        <v>248</v>
      </c>
      <c r="B62" s="14" t="n">
        <v>41189</v>
      </c>
      <c r="C62" s="14"/>
      <c r="D62" s="13" t="n">
        <v>40</v>
      </c>
      <c r="E62" s="13" t="s">
        <v>144</v>
      </c>
      <c r="F62" s="13" t="s">
        <v>170</v>
      </c>
      <c r="G62" s="13" t="s">
        <v>148</v>
      </c>
      <c r="H62" s="13" t="s">
        <v>139</v>
      </c>
      <c r="I62" s="13" t="n">
        <v>4</v>
      </c>
      <c r="J62" s="13" t="n">
        <v>1</v>
      </c>
      <c r="K62" s="13" t="n">
        <v>53000</v>
      </c>
      <c r="L62" s="13"/>
      <c r="M62" s="13"/>
      <c r="N62" s="13" t="s">
        <v>142</v>
      </c>
    </row>
    <row r="63" customFormat="false" ht="15" hidden="false" customHeight="false" outlineLevel="0" collapsed="false">
      <c r="A63" s="13" t="s">
        <v>249</v>
      </c>
      <c r="B63" s="14" t="n">
        <v>41193</v>
      </c>
      <c r="C63" s="14"/>
      <c r="D63" s="13" t="n">
        <v>34</v>
      </c>
      <c r="E63" s="13" t="s">
        <v>144</v>
      </c>
      <c r="F63" s="13" t="s">
        <v>161</v>
      </c>
      <c r="G63" s="13" t="s">
        <v>138</v>
      </c>
      <c r="H63" s="13" t="s">
        <v>146</v>
      </c>
      <c r="I63" s="13" t="n">
        <v>4</v>
      </c>
      <c r="J63" s="13" t="n">
        <v>4</v>
      </c>
      <c r="K63" s="13" t="n">
        <v>90500</v>
      </c>
      <c r="L63" s="13"/>
      <c r="M63" s="13"/>
      <c r="N63" s="13" t="s">
        <v>142</v>
      </c>
    </row>
    <row r="64" customFormat="false" ht="15" hidden="false" customHeight="false" outlineLevel="0" collapsed="false">
      <c r="A64" s="13" t="s">
        <v>250</v>
      </c>
      <c r="B64" s="14" t="n">
        <v>41196</v>
      </c>
      <c r="C64" s="14"/>
      <c r="D64" s="13" t="n">
        <v>42</v>
      </c>
      <c r="E64" s="13" t="s">
        <v>136</v>
      </c>
      <c r="F64" s="13" t="s">
        <v>229</v>
      </c>
      <c r="G64" s="13" t="s">
        <v>138</v>
      </c>
      <c r="H64" s="13" t="s">
        <v>139</v>
      </c>
      <c r="I64" s="13" t="n">
        <v>2</v>
      </c>
      <c r="J64" s="13" t="n">
        <v>3</v>
      </c>
      <c r="K64" s="13" t="n">
        <v>49000</v>
      </c>
      <c r="L64" s="13"/>
      <c r="M64" s="13"/>
      <c r="N64" s="13" t="s">
        <v>214</v>
      </c>
    </row>
    <row r="65" customFormat="false" ht="15" hidden="false" customHeight="false" outlineLevel="0" collapsed="false">
      <c r="A65" s="13" t="s">
        <v>251</v>
      </c>
      <c r="B65" s="14" t="n">
        <v>41199</v>
      </c>
      <c r="C65" s="14"/>
      <c r="D65" s="13" t="n">
        <v>40</v>
      </c>
      <c r="E65" s="13" t="s">
        <v>130</v>
      </c>
      <c r="F65" s="13" t="s">
        <v>137</v>
      </c>
      <c r="G65" s="13" t="s">
        <v>195</v>
      </c>
      <c r="H65" s="13" t="s">
        <v>146</v>
      </c>
      <c r="I65" s="13" t="n">
        <v>1</v>
      </c>
      <c r="J65" s="13" t="n">
        <v>2</v>
      </c>
      <c r="K65" s="13" t="n">
        <v>73000</v>
      </c>
      <c r="L65" s="13"/>
      <c r="M65" s="13"/>
      <c r="N65" s="13" t="s">
        <v>142</v>
      </c>
    </row>
    <row r="66" customFormat="false" ht="15" hidden="false" customHeight="false" outlineLevel="0" collapsed="false">
      <c r="A66" s="13" t="s">
        <v>252</v>
      </c>
      <c r="B66" s="14" t="n">
        <v>41208</v>
      </c>
      <c r="C66" s="14" t="n">
        <v>45234</v>
      </c>
      <c r="D66" s="13" t="n">
        <v>39</v>
      </c>
      <c r="E66" s="13" t="s">
        <v>136</v>
      </c>
      <c r="F66" s="13" t="s">
        <v>168</v>
      </c>
      <c r="G66" s="13" t="s">
        <v>132</v>
      </c>
      <c r="H66" s="13" t="s">
        <v>172</v>
      </c>
      <c r="I66" s="13" t="n">
        <v>5</v>
      </c>
      <c r="J66" s="13" t="n">
        <v>2</v>
      </c>
      <c r="K66" s="13" t="n">
        <v>50000</v>
      </c>
      <c r="L66" s="13" t="s">
        <v>253</v>
      </c>
      <c r="M66" s="13" t="s">
        <v>254</v>
      </c>
      <c r="N66" s="13" t="s">
        <v>255</v>
      </c>
    </row>
    <row r="67" customFormat="false" ht="15" hidden="false" customHeight="false" outlineLevel="0" collapsed="false">
      <c r="A67" s="13" t="s">
        <v>256</v>
      </c>
      <c r="B67" s="14" t="n">
        <v>41215</v>
      </c>
      <c r="C67" s="14"/>
      <c r="D67" s="13" t="n">
        <v>42</v>
      </c>
      <c r="E67" s="13" t="s">
        <v>190</v>
      </c>
      <c r="F67" s="13" t="s">
        <v>170</v>
      </c>
      <c r="G67" s="13" t="s">
        <v>155</v>
      </c>
      <c r="H67" s="13" t="s">
        <v>146</v>
      </c>
      <c r="I67" s="13" t="n">
        <v>1</v>
      </c>
      <c r="J67" s="13" t="n">
        <v>1</v>
      </c>
      <c r="K67" s="13" t="n">
        <v>76000</v>
      </c>
      <c r="L67" s="13"/>
      <c r="M67" s="13"/>
      <c r="N67" s="13" t="s">
        <v>142</v>
      </c>
    </row>
    <row r="68" customFormat="false" ht="15" hidden="false" customHeight="false" outlineLevel="0" collapsed="false">
      <c r="A68" s="13" t="s">
        <v>257</v>
      </c>
      <c r="B68" s="14" t="n">
        <v>41216</v>
      </c>
      <c r="C68" s="14"/>
      <c r="D68" s="13" t="n">
        <v>45</v>
      </c>
      <c r="E68" s="13" t="s">
        <v>144</v>
      </c>
      <c r="F68" s="13" t="s">
        <v>168</v>
      </c>
      <c r="G68" s="13" t="s">
        <v>224</v>
      </c>
      <c r="H68" s="13" t="s">
        <v>139</v>
      </c>
      <c r="I68" s="13" t="n">
        <v>4</v>
      </c>
      <c r="J68" s="13" t="n">
        <v>2</v>
      </c>
      <c r="K68" s="13" t="n">
        <v>46500</v>
      </c>
      <c r="L68" s="13"/>
      <c r="M68" s="13"/>
      <c r="N68" s="13" t="s">
        <v>142</v>
      </c>
    </row>
    <row r="69" customFormat="false" ht="15" hidden="false" customHeight="false" outlineLevel="0" collapsed="false">
      <c r="A69" s="13" t="s">
        <v>258</v>
      </c>
      <c r="B69" s="14" t="n">
        <v>41218</v>
      </c>
      <c r="C69" s="14"/>
      <c r="D69" s="13" t="n">
        <v>43</v>
      </c>
      <c r="E69" s="13" t="s">
        <v>259</v>
      </c>
      <c r="F69" s="13" t="s">
        <v>170</v>
      </c>
      <c r="G69" s="13" t="s">
        <v>148</v>
      </c>
      <c r="H69" s="13" t="s">
        <v>146</v>
      </c>
      <c r="I69" s="13" t="n">
        <v>2</v>
      </c>
      <c r="J69" s="13" t="n">
        <v>3</v>
      </c>
      <c r="K69" s="13" t="n">
        <v>70500</v>
      </c>
      <c r="L69" s="13"/>
      <c r="M69" s="13"/>
      <c r="N69" s="13" t="s">
        <v>157</v>
      </c>
    </row>
    <row r="70" customFormat="false" ht="15" hidden="false" customHeight="false" outlineLevel="0" collapsed="false">
      <c r="A70" s="13" t="s">
        <v>260</v>
      </c>
      <c r="B70" s="14" t="n">
        <v>41226</v>
      </c>
      <c r="C70" s="14"/>
      <c r="D70" s="13" t="n">
        <v>42</v>
      </c>
      <c r="E70" s="13" t="s">
        <v>144</v>
      </c>
      <c r="F70" s="13" t="s">
        <v>164</v>
      </c>
      <c r="G70" s="13" t="s">
        <v>155</v>
      </c>
      <c r="H70" s="13" t="s">
        <v>156</v>
      </c>
      <c r="I70" s="13" t="n">
        <v>4</v>
      </c>
      <c r="J70" s="13" t="n">
        <v>1</v>
      </c>
      <c r="K70" s="13" t="n">
        <v>115500</v>
      </c>
      <c r="L70" s="13"/>
      <c r="M70" s="13"/>
      <c r="N70" s="13" t="s">
        <v>214</v>
      </c>
    </row>
    <row r="71" customFormat="false" ht="15" hidden="false" customHeight="false" outlineLevel="0" collapsed="false">
      <c r="A71" s="13" t="s">
        <v>261</v>
      </c>
      <c r="B71" s="14" t="n">
        <v>41226</v>
      </c>
      <c r="C71" s="14"/>
      <c r="D71" s="13" t="n">
        <v>34</v>
      </c>
      <c r="E71" s="13" t="s">
        <v>136</v>
      </c>
      <c r="F71" s="13" t="s">
        <v>137</v>
      </c>
      <c r="G71" s="13" t="s">
        <v>132</v>
      </c>
      <c r="H71" s="13" t="s">
        <v>192</v>
      </c>
      <c r="I71" s="13" t="n">
        <v>4</v>
      </c>
      <c r="J71" s="13" t="n">
        <v>4</v>
      </c>
      <c r="K71" s="13" t="n">
        <v>222000</v>
      </c>
      <c r="L71" s="13"/>
      <c r="M71" s="13"/>
      <c r="N71" s="13" t="s">
        <v>214</v>
      </c>
    </row>
    <row r="72" customFormat="false" ht="15" hidden="false" customHeight="false" outlineLevel="0" collapsed="false">
      <c r="A72" s="13" t="s">
        <v>262</v>
      </c>
      <c r="B72" s="14" t="n">
        <v>41228</v>
      </c>
      <c r="C72" s="14" t="n">
        <v>45115</v>
      </c>
      <c r="D72" s="13" t="n">
        <v>38</v>
      </c>
      <c r="E72" s="13" t="s">
        <v>136</v>
      </c>
      <c r="F72" s="13" t="s">
        <v>229</v>
      </c>
      <c r="G72" s="13" t="s">
        <v>171</v>
      </c>
      <c r="H72" s="13" t="s">
        <v>192</v>
      </c>
      <c r="I72" s="13" t="n">
        <v>4</v>
      </c>
      <c r="J72" s="13" t="n">
        <v>1</v>
      </c>
      <c r="K72" s="13" t="n">
        <v>234500</v>
      </c>
      <c r="L72" s="13" t="s">
        <v>253</v>
      </c>
      <c r="M72" s="13" t="s">
        <v>254</v>
      </c>
      <c r="N72" s="13" t="s">
        <v>134</v>
      </c>
    </row>
    <row r="73" customFormat="false" ht="15" hidden="false" customHeight="false" outlineLevel="0" collapsed="false">
      <c r="A73" s="13" t="s">
        <v>263</v>
      </c>
      <c r="B73" s="14" t="n">
        <v>41233</v>
      </c>
      <c r="C73" s="14" t="n">
        <v>45553</v>
      </c>
      <c r="D73" s="13" t="n">
        <v>36</v>
      </c>
      <c r="E73" s="13" t="s">
        <v>136</v>
      </c>
      <c r="F73" s="13" t="s">
        <v>170</v>
      </c>
      <c r="G73" s="13" t="s">
        <v>132</v>
      </c>
      <c r="H73" s="13" t="s">
        <v>156</v>
      </c>
      <c r="I73" s="13" t="n">
        <v>3</v>
      </c>
      <c r="J73" s="13" t="n">
        <v>3</v>
      </c>
      <c r="K73" s="13" t="n">
        <v>113000</v>
      </c>
      <c r="L73" s="13" t="s">
        <v>151</v>
      </c>
      <c r="M73" s="13" t="s">
        <v>201</v>
      </c>
      <c r="N73" s="13" t="s">
        <v>142</v>
      </c>
    </row>
    <row r="74" customFormat="false" ht="15" hidden="false" customHeight="false" outlineLevel="0" collapsed="false">
      <c r="A74" s="13" t="s">
        <v>264</v>
      </c>
      <c r="B74" s="14" t="n">
        <v>41236</v>
      </c>
      <c r="C74" s="14"/>
      <c r="D74" s="13" t="n">
        <v>38</v>
      </c>
      <c r="E74" s="13" t="s">
        <v>136</v>
      </c>
      <c r="F74" s="13" t="s">
        <v>241</v>
      </c>
      <c r="G74" s="13" t="s">
        <v>235</v>
      </c>
      <c r="H74" s="13" t="s">
        <v>146</v>
      </c>
      <c r="I74" s="13" t="n">
        <v>3</v>
      </c>
      <c r="J74" s="13" t="n">
        <v>1</v>
      </c>
      <c r="K74" s="13" t="n">
        <v>85500</v>
      </c>
      <c r="L74" s="13"/>
      <c r="M74" s="13"/>
      <c r="N74" s="13" t="s">
        <v>142</v>
      </c>
    </row>
    <row r="75" customFormat="false" ht="15" hidden="false" customHeight="false" outlineLevel="0" collapsed="false">
      <c r="A75" s="13" t="s">
        <v>265</v>
      </c>
      <c r="B75" s="14" t="n">
        <v>41239</v>
      </c>
      <c r="C75" s="14"/>
      <c r="D75" s="13" t="n">
        <v>34</v>
      </c>
      <c r="E75" s="13" t="s">
        <v>136</v>
      </c>
      <c r="F75" s="13" t="s">
        <v>154</v>
      </c>
      <c r="G75" s="13" t="s">
        <v>191</v>
      </c>
      <c r="H75" s="13" t="s">
        <v>149</v>
      </c>
      <c r="I75" s="13" t="n">
        <v>2</v>
      </c>
      <c r="J75" s="13" t="n">
        <v>3</v>
      </c>
      <c r="K75" s="13" t="n">
        <v>134000</v>
      </c>
      <c r="L75" s="13"/>
      <c r="M75" s="13"/>
      <c r="N75" s="13" t="s">
        <v>134</v>
      </c>
    </row>
    <row r="76" customFormat="false" ht="15" hidden="false" customHeight="false" outlineLevel="0" collapsed="false">
      <c r="A76" s="13" t="s">
        <v>266</v>
      </c>
      <c r="B76" s="14" t="n">
        <v>41242</v>
      </c>
      <c r="C76" s="14"/>
      <c r="D76" s="13" t="n">
        <v>36</v>
      </c>
      <c r="E76" s="13" t="s">
        <v>144</v>
      </c>
      <c r="F76" s="13" t="s">
        <v>168</v>
      </c>
      <c r="G76" s="13" t="s">
        <v>155</v>
      </c>
      <c r="H76" s="13" t="s">
        <v>192</v>
      </c>
      <c r="I76" s="13" t="n">
        <v>3</v>
      </c>
      <c r="J76" s="13" t="n">
        <v>2</v>
      </c>
      <c r="K76" s="13" t="n">
        <v>236000</v>
      </c>
      <c r="L76" s="13"/>
      <c r="M76" s="13"/>
      <c r="N76" s="13" t="s">
        <v>134</v>
      </c>
    </row>
    <row r="77" customFormat="false" ht="15" hidden="false" customHeight="false" outlineLevel="0" collapsed="false">
      <c r="A77" s="13" t="s">
        <v>267</v>
      </c>
      <c r="B77" s="14" t="n">
        <v>41251</v>
      </c>
      <c r="C77" s="14" t="n">
        <v>45408</v>
      </c>
      <c r="D77" s="13" t="n">
        <v>38</v>
      </c>
      <c r="E77" s="13" t="s">
        <v>190</v>
      </c>
      <c r="F77" s="13" t="s">
        <v>168</v>
      </c>
      <c r="G77" s="13" t="s">
        <v>155</v>
      </c>
      <c r="H77" s="13" t="s">
        <v>149</v>
      </c>
      <c r="I77" s="13" t="n">
        <v>5</v>
      </c>
      <c r="J77" s="13" t="n">
        <v>2</v>
      </c>
      <c r="K77" s="13" t="n">
        <v>162000</v>
      </c>
      <c r="L77" s="13" t="s">
        <v>151</v>
      </c>
      <c r="M77" s="13" t="s">
        <v>141</v>
      </c>
      <c r="N77" s="13" t="s">
        <v>134</v>
      </c>
    </row>
    <row r="78" customFormat="false" ht="15" hidden="false" customHeight="false" outlineLevel="0" collapsed="false">
      <c r="A78" s="13" t="s">
        <v>268</v>
      </c>
      <c r="B78" s="14" t="n">
        <v>41256</v>
      </c>
      <c r="C78" s="14"/>
      <c r="D78" s="13" t="n">
        <v>48</v>
      </c>
      <c r="E78" s="13" t="s">
        <v>182</v>
      </c>
      <c r="F78" s="13" t="s">
        <v>241</v>
      </c>
      <c r="G78" s="13" t="s">
        <v>213</v>
      </c>
      <c r="H78" s="13" t="s">
        <v>139</v>
      </c>
      <c r="I78" s="13" t="n">
        <v>3</v>
      </c>
      <c r="J78" s="13" t="n">
        <v>4</v>
      </c>
      <c r="K78" s="13" t="n">
        <v>60500</v>
      </c>
      <c r="L78" s="13"/>
      <c r="M78" s="13"/>
      <c r="N78" s="13" t="s">
        <v>142</v>
      </c>
    </row>
    <row r="79" customFormat="false" ht="15" hidden="false" customHeight="false" outlineLevel="0" collapsed="false">
      <c r="A79" s="13" t="s">
        <v>269</v>
      </c>
      <c r="B79" s="14" t="n">
        <v>41258</v>
      </c>
      <c r="C79" s="14" t="n">
        <v>45404</v>
      </c>
      <c r="D79" s="13" t="n">
        <v>34</v>
      </c>
      <c r="E79" s="13" t="s">
        <v>186</v>
      </c>
      <c r="F79" s="13" t="s">
        <v>164</v>
      </c>
      <c r="G79" s="13" t="s">
        <v>195</v>
      </c>
      <c r="H79" s="13" t="s">
        <v>156</v>
      </c>
      <c r="I79" s="13" t="n">
        <v>3</v>
      </c>
      <c r="J79" s="13" t="n">
        <v>4</v>
      </c>
      <c r="K79" s="13" t="n">
        <v>118500</v>
      </c>
      <c r="L79" s="13" t="s">
        <v>151</v>
      </c>
      <c r="M79" s="13" t="s">
        <v>201</v>
      </c>
      <c r="N79" s="13" t="s">
        <v>134</v>
      </c>
    </row>
    <row r="80" customFormat="false" ht="15" hidden="false" customHeight="false" outlineLevel="0" collapsed="false">
      <c r="A80" s="13" t="s">
        <v>270</v>
      </c>
      <c r="B80" s="14" t="n">
        <v>41259</v>
      </c>
      <c r="C80" s="14"/>
      <c r="D80" s="13" t="n">
        <v>34</v>
      </c>
      <c r="E80" s="13" t="s">
        <v>136</v>
      </c>
      <c r="F80" s="13" t="s">
        <v>168</v>
      </c>
      <c r="G80" s="13" t="s">
        <v>138</v>
      </c>
      <c r="H80" s="13" t="s">
        <v>133</v>
      </c>
      <c r="I80" s="13" t="n">
        <v>3</v>
      </c>
      <c r="J80" s="13" t="n">
        <v>4</v>
      </c>
      <c r="K80" s="13" t="n">
        <v>74500</v>
      </c>
      <c r="L80" s="13"/>
      <c r="M80" s="13"/>
      <c r="N80" s="13" t="s">
        <v>142</v>
      </c>
    </row>
    <row r="81" customFormat="false" ht="15" hidden="false" customHeight="false" outlineLevel="0" collapsed="false">
      <c r="A81" s="13" t="s">
        <v>271</v>
      </c>
      <c r="B81" s="14" t="n">
        <v>41262</v>
      </c>
      <c r="C81" s="14" t="n">
        <v>44720</v>
      </c>
      <c r="D81" s="13" t="n">
        <v>38</v>
      </c>
      <c r="E81" s="13" t="s">
        <v>136</v>
      </c>
      <c r="F81" s="13" t="s">
        <v>168</v>
      </c>
      <c r="G81" s="13" t="s">
        <v>132</v>
      </c>
      <c r="H81" s="13" t="s">
        <v>178</v>
      </c>
      <c r="I81" s="13" t="n">
        <v>2</v>
      </c>
      <c r="J81" s="13" t="n">
        <v>3</v>
      </c>
      <c r="K81" s="13" t="n">
        <v>151500</v>
      </c>
      <c r="L81" s="13" t="s">
        <v>272</v>
      </c>
      <c r="M81" s="13" t="s">
        <v>273</v>
      </c>
      <c r="N81" s="13" t="s">
        <v>142</v>
      </c>
    </row>
    <row r="82" customFormat="false" ht="15" hidden="false" customHeight="false" outlineLevel="0" collapsed="false">
      <c r="A82" s="13" t="s">
        <v>274</v>
      </c>
      <c r="B82" s="14" t="n">
        <v>41273</v>
      </c>
      <c r="C82" s="14"/>
      <c r="D82" s="13" t="n">
        <v>50</v>
      </c>
      <c r="E82" s="13" t="s">
        <v>144</v>
      </c>
      <c r="F82" s="13" t="s">
        <v>168</v>
      </c>
      <c r="G82" s="13" t="s">
        <v>155</v>
      </c>
      <c r="H82" s="13" t="s">
        <v>156</v>
      </c>
      <c r="I82" s="13" t="n">
        <v>3</v>
      </c>
      <c r="J82" s="13" t="n">
        <v>2</v>
      </c>
      <c r="K82" s="13" t="n">
        <v>123500</v>
      </c>
      <c r="L82" s="13"/>
      <c r="M82" s="13"/>
      <c r="N82" s="13" t="s">
        <v>142</v>
      </c>
    </row>
    <row r="83" customFormat="false" ht="15" hidden="false" customHeight="false" outlineLevel="0" collapsed="false">
      <c r="A83" s="13" t="s">
        <v>275</v>
      </c>
      <c r="B83" s="14" t="n">
        <v>41282</v>
      </c>
      <c r="C83" s="14"/>
      <c r="D83" s="13" t="n">
        <v>45</v>
      </c>
      <c r="E83" s="13" t="s">
        <v>144</v>
      </c>
      <c r="F83" s="13" t="s">
        <v>241</v>
      </c>
      <c r="G83" s="13" t="s">
        <v>148</v>
      </c>
      <c r="H83" s="13" t="s">
        <v>276</v>
      </c>
      <c r="I83" s="13" t="n">
        <v>3</v>
      </c>
      <c r="J83" s="13" t="n">
        <v>4</v>
      </c>
      <c r="K83" s="13" t="n">
        <v>226000</v>
      </c>
      <c r="L83" s="13"/>
      <c r="M83" s="13"/>
      <c r="N83" s="13" t="s">
        <v>134</v>
      </c>
    </row>
    <row r="84" customFormat="false" ht="15" hidden="false" customHeight="false" outlineLevel="0" collapsed="false">
      <c r="A84" s="13" t="s">
        <v>277</v>
      </c>
      <c r="B84" s="14" t="n">
        <v>41283</v>
      </c>
      <c r="C84" s="14"/>
      <c r="D84" s="13" t="n">
        <v>40</v>
      </c>
      <c r="E84" s="13" t="s">
        <v>259</v>
      </c>
      <c r="F84" s="13" t="s">
        <v>229</v>
      </c>
      <c r="G84" s="13" t="s">
        <v>155</v>
      </c>
      <c r="H84" s="13" t="s">
        <v>139</v>
      </c>
      <c r="I84" s="13" t="n">
        <v>4</v>
      </c>
      <c r="J84" s="13" t="n">
        <v>1</v>
      </c>
      <c r="K84" s="13" t="n">
        <v>52500</v>
      </c>
      <c r="L84" s="13"/>
      <c r="M84" s="13"/>
      <c r="N84" s="13" t="s">
        <v>142</v>
      </c>
    </row>
    <row r="85" customFormat="false" ht="15" hidden="false" customHeight="false" outlineLevel="0" collapsed="false">
      <c r="A85" s="13" t="s">
        <v>278</v>
      </c>
      <c r="B85" s="14" t="n">
        <v>41285</v>
      </c>
      <c r="C85" s="14"/>
      <c r="D85" s="13" t="n">
        <v>43</v>
      </c>
      <c r="E85" s="13" t="s">
        <v>259</v>
      </c>
      <c r="F85" s="13" t="s">
        <v>145</v>
      </c>
      <c r="G85" s="13" t="s">
        <v>279</v>
      </c>
      <c r="H85" s="13" t="s">
        <v>280</v>
      </c>
      <c r="I85" s="13" t="n">
        <v>3</v>
      </c>
      <c r="J85" s="13" t="n">
        <v>4</v>
      </c>
      <c r="K85" s="13" t="n">
        <v>148500</v>
      </c>
      <c r="L85" s="13"/>
      <c r="M85" s="13"/>
      <c r="N85" s="13" t="s">
        <v>142</v>
      </c>
    </row>
    <row r="86" customFormat="false" ht="15" hidden="false" customHeight="false" outlineLevel="0" collapsed="false">
      <c r="A86" s="13" t="s">
        <v>281</v>
      </c>
      <c r="B86" s="14" t="n">
        <v>41287</v>
      </c>
      <c r="C86" s="14"/>
      <c r="D86" s="13" t="n">
        <v>38</v>
      </c>
      <c r="E86" s="13" t="s">
        <v>144</v>
      </c>
      <c r="F86" s="13" t="s">
        <v>239</v>
      </c>
      <c r="G86" s="13" t="s">
        <v>213</v>
      </c>
      <c r="H86" s="13" t="s">
        <v>139</v>
      </c>
      <c r="I86" s="13" t="n">
        <v>4</v>
      </c>
      <c r="J86" s="13" t="n">
        <v>4</v>
      </c>
      <c r="K86" s="13" t="n">
        <v>45500</v>
      </c>
      <c r="L86" s="13"/>
      <c r="M86" s="13"/>
      <c r="N86" s="13" t="s">
        <v>142</v>
      </c>
    </row>
    <row r="87" customFormat="false" ht="15" hidden="false" customHeight="false" outlineLevel="0" collapsed="false">
      <c r="A87" s="13" t="s">
        <v>282</v>
      </c>
      <c r="B87" s="14" t="n">
        <v>41288</v>
      </c>
      <c r="C87" s="14"/>
      <c r="D87" s="13" t="n">
        <v>43</v>
      </c>
      <c r="E87" s="13" t="s">
        <v>136</v>
      </c>
      <c r="F87" s="13" t="s">
        <v>170</v>
      </c>
      <c r="G87" s="13" t="s">
        <v>138</v>
      </c>
      <c r="H87" s="13" t="s">
        <v>146</v>
      </c>
      <c r="I87" s="13" t="n">
        <v>4</v>
      </c>
      <c r="J87" s="13" t="n">
        <v>3</v>
      </c>
      <c r="K87" s="13" t="n">
        <v>82000</v>
      </c>
      <c r="L87" s="13"/>
      <c r="M87" s="13"/>
      <c r="N87" s="13" t="s">
        <v>142</v>
      </c>
    </row>
    <row r="88" customFormat="false" ht="15" hidden="false" customHeight="false" outlineLevel="0" collapsed="false">
      <c r="A88" s="13" t="s">
        <v>283</v>
      </c>
      <c r="B88" s="14" t="n">
        <v>41289</v>
      </c>
      <c r="C88" s="14"/>
      <c r="D88" s="13" t="n">
        <v>40</v>
      </c>
      <c r="E88" s="13" t="s">
        <v>144</v>
      </c>
      <c r="F88" s="13" t="s">
        <v>170</v>
      </c>
      <c r="G88" s="13" t="s">
        <v>213</v>
      </c>
      <c r="H88" s="13" t="s">
        <v>178</v>
      </c>
      <c r="I88" s="13" t="n">
        <v>3</v>
      </c>
      <c r="J88" s="13" t="n">
        <v>1</v>
      </c>
      <c r="K88" s="13" t="n">
        <v>173000</v>
      </c>
      <c r="L88" s="13"/>
      <c r="M88" s="13"/>
      <c r="N88" s="13" t="s">
        <v>142</v>
      </c>
    </row>
    <row r="89" customFormat="false" ht="15" hidden="false" customHeight="false" outlineLevel="0" collapsed="false">
      <c r="A89" s="13" t="s">
        <v>284</v>
      </c>
      <c r="B89" s="14" t="n">
        <v>41290</v>
      </c>
      <c r="C89" s="14"/>
      <c r="D89" s="13" t="n">
        <v>52</v>
      </c>
      <c r="E89" s="13" t="s">
        <v>163</v>
      </c>
      <c r="F89" s="13" t="s">
        <v>137</v>
      </c>
      <c r="G89" s="13" t="s">
        <v>155</v>
      </c>
      <c r="H89" s="13" t="s">
        <v>192</v>
      </c>
      <c r="I89" s="13"/>
      <c r="J89" s="13" t="n">
        <v>4</v>
      </c>
      <c r="K89" s="13" t="n">
        <v>175500</v>
      </c>
      <c r="L89" s="13"/>
      <c r="M89" s="13"/>
      <c r="N89" s="13" t="s">
        <v>157</v>
      </c>
    </row>
    <row r="90" customFormat="false" ht="15" hidden="false" customHeight="false" outlineLevel="0" collapsed="false">
      <c r="A90" s="13" t="s">
        <v>285</v>
      </c>
      <c r="B90" s="14" t="n">
        <v>41291</v>
      </c>
      <c r="C90" s="14"/>
      <c r="D90" s="13" t="n">
        <v>37</v>
      </c>
      <c r="E90" s="13" t="s">
        <v>144</v>
      </c>
      <c r="F90" s="13" t="s">
        <v>137</v>
      </c>
      <c r="G90" s="13" t="s">
        <v>148</v>
      </c>
      <c r="H90" s="13" t="s">
        <v>139</v>
      </c>
      <c r="I90" s="13" t="n">
        <v>3</v>
      </c>
      <c r="J90" s="13" t="n">
        <v>4</v>
      </c>
      <c r="K90" s="13" t="n">
        <v>44500</v>
      </c>
      <c r="L90" s="13"/>
      <c r="M90" s="13"/>
      <c r="N90" s="13" t="s">
        <v>134</v>
      </c>
    </row>
    <row r="91" customFormat="false" ht="15" hidden="false" customHeight="false" outlineLevel="0" collapsed="false">
      <c r="A91" s="13" t="s">
        <v>286</v>
      </c>
      <c r="B91" s="14" t="n">
        <v>41292</v>
      </c>
      <c r="C91" s="14"/>
      <c r="D91" s="13" t="n">
        <v>44</v>
      </c>
      <c r="E91" s="13" t="s">
        <v>136</v>
      </c>
      <c r="F91" s="13" t="s">
        <v>170</v>
      </c>
      <c r="G91" s="13" t="s">
        <v>155</v>
      </c>
      <c r="H91" s="13" t="s">
        <v>178</v>
      </c>
      <c r="I91" s="13" t="n">
        <v>2</v>
      </c>
      <c r="J91" s="13" t="n">
        <v>3</v>
      </c>
      <c r="K91" s="13" t="n">
        <v>170000</v>
      </c>
      <c r="L91" s="13"/>
      <c r="M91" s="13"/>
      <c r="N91" s="13" t="s">
        <v>214</v>
      </c>
    </row>
    <row r="92" customFormat="false" ht="15" hidden="false" customHeight="false" outlineLevel="0" collapsed="false">
      <c r="A92" s="13" t="s">
        <v>287</v>
      </c>
      <c r="B92" s="14" t="n">
        <v>41292</v>
      </c>
      <c r="C92" s="14" t="n">
        <v>45243</v>
      </c>
      <c r="D92" s="13" t="n">
        <v>42</v>
      </c>
      <c r="E92" s="13" t="s">
        <v>144</v>
      </c>
      <c r="F92" s="13" t="s">
        <v>161</v>
      </c>
      <c r="G92" s="13" t="s">
        <v>132</v>
      </c>
      <c r="H92" s="13" t="s">
        <v>172</v>
      </c>
      <c r="I92" s="13" t="n">
        <v>2</v>
      </c>
      <c r="J92" s="13" t="n">
        <v>1</v>
      </c>
      <c r="K92" s="13" t="n">
        <v>46500</v>
      </c>
      <c r="L92" s="13" t="s">
        <v>173</v>
      </c>
      <c r="M92" s="13" t="s">
        <v>174</v>
      </c>
      <c r="N92" s="13" t="s">
        <v>142</v>
      </c>
    </row>
    <row r="93" customFormat="false" ht="15" hidden="false" customHeight="false" outlineLevel="0" collapsed="false">
      <c r="A93" s="13" t="s">
        <v>288</v>
      </c>
      <c r="B93" s="14" t="n">
        <v>41292</v>
      </c>
      <c r="C93" s="14"/>
      <c r="D93" s="13" t="n">
        <v>41</v>
      </c>
      <c r="E93" s="13" t="s">
        <v>144</v>
      </c>
      <c r="F93" s="13" t="s">
        <v>170</v>
      </c>
      <c r="G93" s="13" t="s">
        <v>155</v>
      </c>
      <c r="H93" s="13" t="s">
        <v>146</v>
      </c>
      <c r="I93" s="13" t="n">
        <v>3</v>
      </c>
      <c r="J93" s="13" t="n">
        <v>2</v>
      </c>
      <c r="K93" s="13" t="n">
        <v>74000</v>
      </c>
      <c r="L93" s="13"/>
      <c r="M93" s="13"/>
      <c r="N93" s="13" t="s">
        <v>142</v>
      </c>
    </row>
    <row r="94" customFormat="false" ht="15" hidden="false" customHeight="false" outlineLevel="0" collapsed="false">
      <c r="A94" s="13" t="s">
        <v>289</v>
      </c>
      <c r="B94" s="14" t="n">
        <v>41295</v>
      </c>
      <c r="C94" s="14"/>
      <c r="D94" s="13" t="n">
        <v>43</v>
      </c>
      <c r="E94" s="13" t="s">
        <v>190</v>
      </c>
      <c r="F94" s="13" t="s">
        <v>161</v>
      </c>
      <c r="G94" s="13" t="s">
        <v>132</v>
      </c>
      <c r="H94" s="13" t="s">
        <v>139</v>
      </c>
      <c r="I94" s="13" t="n">
        <v>4</v>
      </c>
      <c r="J94" s="13" t="n">
        <v>3</v>
      </c>
      <c r="K94" s="13" t="n">
        <v>50000</v>
      </c>
      <c r="L94" s="13"/>
      <c r="M94" s="13"/>
      <c r="N94" s="13" t="s">
        <v>134</v>
      </c>
    </row>
    <row r="95" customFormat="false" ht="15" hidden="false" customHeight="false" outlineLevel="0" collapsed="false">
      <c r="A95" s="13" t="s">
        <v>290</v>
      </c>
      <c r="B95" s="14" t="n">
        <v>41297</v>
      </c>
      <c r="C95" s="14"/>
      <c r="D95" s="13" t="n">
        <v>53</v>
      </c>
      <c r="E95" s="13" t="s">
        <v>136</v>
      </c>
      <c r="F95" s="13" t="s">
        <v>145</v>
      </c>
      <c r="G95" s="13" t="s">
        <v>132</v>
      </c>
      <c r="H95" s="13" t="s">
        <v>291</v>
      </c>
      <c r="I95" s="13" t="n">
        <v>4</v>
      </c>
      <c r="J95" s="13" t="n">
        <v>4</v>
      </c>
      <c r="K95" s="13" t="n">
        <v>220000</v>
      </c>
      <c r="L95" s="13"/>
      <c r="M95" s="13"/>
      <c r="N95" s="13" t="s">
        <v>134</v>
      </c>
    </row>
    <row r="96" customFormat="false" ht="15" hidden="false" customHeight="false" outlineLevel="0" collapsed="false">
      <c r="A96" s="13" t="s">
        <v>292</v>
      </c>
      <c r="B96" s="14" t="n">
        <v>41299</v>
      </c>
      <c r="C96" s="14"/>
      <c r="D96" s="13" t="n">
        <v>35</v>
      </c>
      <c r="E96" s="13" t="s">
        <v>136</v>
      </c>
      <c r="F96" s="13" t="s">
        <v>229</v>
      </c>
      <c r="G96" s="13" t="s">
        <v>148</v>
      </c>
      <c r="H96" s="13" t="s">
        <v>139</v>
      </c>
      <c r="I96" s="13" t="n">
        <v>3</v>
      </c>
      <c r="J96" s="13" t="n">
        <v>2</v>
      </c>
      <c r="K96" s="13" t="n">
        <v>53500</v>
      </c>
      <c r="L96" s="13"/>
      <c r="M96" s="13"/>
      <c r="N96" s="13" t="s">
        <v>142</v>
      </c>
    </row>
    <row r="97" customFormat="false" ht="15" hidden="false" customHeight="false" outlineLevel="0" collapsed="false">
      <c r="A97" s="13" t="s">
        <v>293</v>
      </c>
      <c r="B97" s="14" t="n">
        <v>41308</v>
      </c>
      <c r="C97" s="14" t="n">
        <v>44562</v>
      </c>
      <c r="D97" s="13" t="n">
        <v>39</v>
      </c>
      <c r="E97" s="13" t="s">
        <v>136</v>
      </c>
      <c r="F97" s="13" t="s">
        <v>154</v>
      </c>
      <c r="G97" s="13" t="s">
        <v>132</v>
      </c>
      <c r="H97" s="13" t="s">
        <v>149</v>
      </c>
      <c r="I97" s="13" t="n">
        <v>3</v>
      </c>
      <c r="J97" s="13" t="n">
        <v>1</v>
      </c>
      <c r="K97" s="13" t="n">
        <v>134500</v>
      </c>
      <c r="L97" s="13" t="s">
        <v>151</v>
      </c>
      <c r="M97" s="13" t="s">
        <v>152</v>
      </c>
      <c r="N97" s="13" t="s">
        <v>134</v>
      </c>
    </row>
    <row r="98" customFormat="false" ht="15" hidden="false" customHeight="false" outlineLevel="0" collapsed="false">
      <c r="A98" s="13" t="s">
        <v>294</v>
      </c>
      <c r="B98" s="14" t="n">
        <v>41313</v>
      </c>
      <c r="C98" s="14" t="n">
        <v>44620</v>
      </c>
      <c r="D98" s="13" t="n">
        <v>43</v>
      </c>
      <c r="E98" s="13" t="s">
        <v>136</v>
      </c>
      <c r="F98" s="13" t="s">
        <v>168</v>
      </c>
      <c r="G98" s="13" t="s">
        <v>132</v>
      </c>
      <c r="H98" s="13" t="s">
        <v>156</v>
      </c>
      <c r="I98" s="13" t="n">
        <v>2</v>
      </c>
      <c r="J98" s="13" t="n">
        <v>2</v>
      </c>
      <c r="K98" s="13" t="n">
        <v>119000</v>
      </c>
      <c r="L98" s="13" t="s">
        <v>151</v>
      </c>
      <c r="M98" s="13"/>
      <c r="N98" s="13" t="s">
        <v>142</v>
      </c>
    </row>
    <row r="99" customFormat="false" ht="15" hidden="false" customHeight="false" outlineLevel="0" collapsed="false">
      <c r="A99" s="13" t="s">
        <v>295</v>
      </c>
      <c r="B99" s="14" t="n">
        <v>41316</v>
      </c>
      <c r="C99" s="14"/>
      <c r="D99" s="13" t="n">
        <v>37</v>
      </c>
      <c r="E99" s="13" t="s">
        <v>136</v>
      </c>
      <c r="F99" s="13" t="s">
        <v>131</v>
      </c>
      <c r="G99" s="13" t="s">
        <v>138</v>
      </c>
      <c r="H99" s="13" t="s">
        <v>149</v>
      </c>
      <c r="I99" s="13" t="n">
        <v>1</v>
      </c>
      <c r="J99" s="13" t="n">
        <v>3</v>
      </c>
      <c r="K99" s="13" t="n">
        <v>116500</v>
      </c>
      <c r="L99" s="13"/>
      <c r="M99" s="13"/>
      <c r="N99" s="13" t="s">
        <v>142</v>
      </c>
    </row>
    <row r="100" customFormat="false" ht="15" hidden="false" customHeight="false" outlineLevel="0" collapsed="false">
      <c r="A100" s="13" t="s">
        <v>296</v>
      </c>
      <c r="B100" s="14" t="n">
        <v>41320</v>
      </c>
      <c r="C100" s="14" t="n">
        <v>44639</v>
      </c>
      <c r="D100" s="13" t="n">
        <v>32</v>
      </c>
      <c r="E100" s="13" t="s">
        <v>182</v>
      </c>
      <c r="F100" s="13" t="s">
        <v>145</v>
      </c>
      <c r="G100" s="13" t="s">
        <v>297</v>
      </c>
      <c r="H100" s="13" t="s">
        <v>139</v>
      </c>
      <c r="I100" s="13" t="n">
        <v>3</v>
      </c>
      <c r="J100" s="13" t="n">
        <v>2</v>
      </c>
      <c r="K100" s="13" t="n">
        <v>53500</v>
      </c>
      <c r="L100" s="13" t="s">
        <v>151</v>
      </c>
      <c r="M100" s="13" t="s">
        <v>203</v>
      </c>
      <c r="N100" s="13" t="s">
        <v>134</v>
      </c>
    </row>
    <row r="101" customFormat="false" ht="15" hidden="false" customHeight="false" outlineLevel="0" collapsed="false">
      <c r="A101" s="13" t="s">
        <v>298</v>
      </c>
      <c r="B101" s="14" t="n">
        <v>41321</v>
      </c>
      <c r="C101" s="14" t="n">
        <v>44768</v>
      </c>
      <c r="D101" s="13" t="n">
        <v>30</v>
      </c>
      <c r="E101" s="13" t="s">
        <v>136</v>
      </c>
      <c r="F101" s="13" t="s">
        <v>161</v>
      </c>
      <c r="G101" s="13" t="s">
        <v>132</v>
      </c>
      <c r="H101" s="13" t="s">
        <v>146</v>
      </c>
      <c r="I101" s="13" t="n">
        <v>3</v>
      </c>
      <c r="J101" s="13" t="n">
        <v>3</v>
      </c>
      <c r="K101" s="13" t="n">
        <v>86000</v>
      </c>
      <c r="L101" s="13" t="s">
        <v>151</v>
      </c>
      <c r="M101" s="13" t="s">
        <v>159</v>
      </c>
      <c r="N101" s="13" t="s">
        <v>142</v>
      </c>
    </row>
    <row r="102" customFormat="false" ht="15" hidden="false" customHeight="false" outlineLevel="0" collapsed="false">
      <c r="A102" s="13" t="s">
        <v>299</v>
      </c>
      <c r="B102" s="14" t="n">
        <v>41324</v>
      </c>
      <c r="C102" s="14" t="n">
        <v>44905</v>
      </c>
      <c r="D102" s="13" t="n">
        <v>48</v>
      </c>
      <c r="E102" s="13" t="s">
        <v>136</v>
      </c>
      <c r="F102" s="13" t="s">
        <v>131</v>
      </c>
      <c r="G102" s="13" t="s">
        <v>300</v>
      </c>
      <c r="H102" s="13" t="s">
        <v>156</v>
      </c>
      <c r="I102" s="13" t="n">
        <v>3</v>
      </c>
      <c r="J102" s="13" t="n">
        <v>2</v>
      </c>
      <c r="K102" s="13" t="n">
        <v>115500</v>
      </c>
      <c r="L102" s="13" t="s">
        <v>151</v>
      </c>
      <c r="M102" s="13"/>
      <c r="N102" s="13" t="s">
        <v>142</v>
      </c>
    </row>
    <row r="103" customFormat="false" ht="15" hidden="false" customHeight="false" outlineLevel="0" collapsed="false">
      <c r="A103" s="13" t="s">
        <v>301</v>
      </c>
      <c r="B103" s="14" t="n">
        <v>41329</v>
      </c>
      <c r="C103" s="14"/>
      <c r="D103" s="13" t="n">
        <v>44</v>
      </c>
      <c r="E103" s="13" t="s">
        <v>144</v>
      </c>
      <c r="F103" s="13" t="s">
        <v>145</v>
      </c>
      <c r="G103" s="13" t="s">
        <v>132</v>
      </c>
      <c r="H103" s="13" t="s">
        <v>146</v>
      </c>
      <c r="I103" s="13" t="n">
        <v>4</v>
      </c>
      <c r="J103" s="13" t="n">
        <v>2</v>
      </c>
      <c r="K103" s="13" t="n">
        <v>79500</v>
      </c>
      <c r="L103" s="13"/>
      <c r="M103" s="13"/>
      <c r="N103" s="13" t="s">
        <v>142</v>
      </c>
    </row>
    <row r="104" customFormat="false" ht="15" hidden="false" customHeight="false" outlineLevel="0" collapsed="false">
      <c r="A104" s="13" t="s">
        <v>302</v>
      </c>
      <c r="B104" s="14" t="n">
        <v>41340</v>
      </c>
      <c r="C104" s="14" t="n">
        <v>44593</v>
      </c>
      <c r="D104" s="13" t="n">
        <v>34</v>
      </c>
      <c r="E104" s="13" t="s">
        <v>163</v>
      </c>
      <c r="F104" s="13" t="s">
        <v>154</v>
      </c>
      <c r="G104" s="13" t="s">
        <v>148</v>
      </c>
      <c r="H104" s="13" t="s">
        <v>156</v>
      </c>
      <c r="I104" s="13" t="n">
        <v>5</v>
      </c>
      <c r="J104" s="13" t="n">
        <v>1</v>
      </c>
      <c r="K104" s="13" t="n">
        <v>112000</v>
      </c>
      <c r="L104" s="13" t="s">
        <v>151</v>
      </c>
      <c r="M104" s="13" t="s">
        <v>216</v>
      </c>
      <c r="N104" s="13" t="s">
        <v>142</v>
      </c>
    </row>
    <row r="105" customFormat="false" ht="15" hidden="false" customHeight="false" outlineLevel="0" collapsed="false">
      <c r="A105" s="13" t="s">
        <v>303</v>
      </c>
      <c r="B105" s="14" t="n">
        <v>41341</v>
      </c>
      <c r="C105" s="14"/>
      <c r="D105" s="13" t="n">
        <v>39</v>
      </c>
      <c r="E105" s="13" t="s">
        <v>144</v>
      </c>
      <c r="F105" s="13" t="s">
        <v>168</v>
      </c>
      <c r="G105" s="13" t="s">
        <v>297</v>
      </c>
      <c r="H105" s="13" t="s">
        <v>139</v>
      </c>
      <c r="I105" s="13" t="n">
        <v>3</v>
      </c>
      <c r="J105" s="13" t="n">
        <v>4</v>
      </c>
      <c r="K105" s="13" t="n">
        <v>46500</v>
      </c>
      <c r="L105" s="13"/>
      <c r="M105" s="13"/>
      <c r="N105" s="13" t="s">
        <v>134</v>
      </c>
    </row>
    <row r="106" customFormat="false" ht="15" hidden="false" customHeight="false" outlineLevel="0" collapsed="false">
      <c r="A106" s="13" t="s">
        <v>304</v>
      </c>
      <c r="B106" s="14" t="n">
        <v>41347</v>
      </c>
      <c r="C106" s="14"/>
      <c r="D106" s="13" t="n">
        <v>40</v>
      </c>
      <c r="E106" s="13" t="s">
        <v>136</v>
      </c>
      <c r="F106" s="13" t="s">
        <v>161</v>
      </c>
      <c r="G106" s="13" t="s">
        <v>213</v>
      </c>
      <c r="H106" s="13" t="s">
        <v>139</v>
      </c>
      <c r="I106" s="13" t="n">
        <v>3</v>
      </c>
      <c r="J106" s="13" t="n">
        <v>3</v>
      </c>
      <c r="K106" s="13" t="n">
        <v>51500</v>
      </c>
      <c r="L106" s="13"/>
      <c r="M106" s="13"/>
      <c r="N106" s="13" t="s">
        <v>142</v>
      </c>
    </row>
    <row r="107" customFormat="false" ht="15" hidden="false" customHeight="false" outlineLevel="0" collapsed="false">
      <c r="A107" s="13" t="s">
        <v>305</v>
      </c>
      <c r="B107" s="14" t="n">
        <v>41351</v>
      </c>
      <c r="C107" s="14"/>
      <c r="D107" s="13" t="n">
        <v>43</v>
      </c>
      <c r="E107" s="13" t="s">
        <v>186</v>
      </c>
      <c r="F107" s="13" t="s">
        <v>131</v>
      </c>
      <c r="G107" s="13" t="s">
        <v>155</v>
      </c>
      <c r="H107" s="13" t="s">
        <v>156</v>
      </c>
      <c r="I107" s="13" t="n">
        <v>4</v>
      </c>
      <c r="J107" s="13"/>
      <c r="K107" s="13" t="n">
        <v>112500</v>
      </c>
      <c r="L107" s="13"/>
      <c r="M107" s="13"/>
      <c r="N107" s="13" t="s">
        <v>142</v>
      </c>
    </row>
    <row r="108" customFormat="false" ht="15" hidden="false" customHeight="false" outlineLevel="0" collapsed="false">
      <c r="A108" s="13" t="s">
        <v>306</v>
      </c>
      <c r="B108" s="14" t="n">
        <v>41353</v>
      </c>
      <c r="C108" s="14"/>
      <c r="D108" s="13" t="n">
        <v>37</v>
      </c>
      <c r="E108" s="13" t="s">
        <v>144</v>
      </c>
      <c r="F108" s="13" t="s">
        <v>229</v>
      </c>
      <c r="G108" s="13" t="s">
        <v>307</v>
      </c>
      <c r="H108" s="13" t="s">
        <v>139</v>
      </c>
      <c r="I108" s="13" t="n">
        <v>3</v>
      </c>
      <c r="J108" s="13" t="n">
        <v>1</v>
      </c>
      <c r="K108" s="13" t="n">
        <v>48500</v>
      </c>
      <c r="L108" s="13"/>
      <c r="M108" s="13"/>
      <c r="N108" s="13" t="s">
        <v>142</v>
      </c>
    </row>
    <row r="109" customFormat="false" ht="15" hidden="false" customHeight="false" outlineLevel="0" collapsed="false">
      <c r="A109" s="13" t="s">
        <v>308</v>
      </c>
      <c r="B109" s="14" t="n">
        <v>41355</v>
      </c>
      <c r="C109" s="14" t="n">
        <v>44658</v>
      </c>
      <c r="D109" s="13" t="n">
        <v>41</v>
      </c>
      <c r="E109" s="13" t="s">
        <v>259</v>
      </c>
      <c r="F109" s="13" t="s">
        <v>170</v>
      </c>
      <c r="G109" s="13" t="s">
        <v>184</v>
      </c>
      <c r="H109" s="13" t="s">
        <v>178</v>
      </c>
      <c r="I109" s="13" t="n">
        <v>3</v>
      </c>
      <c r="J109" s="13" t="n">
        <v>2</v>
      </c>
      <c r="K109" s="13" t="n">
        <v>175000</v>
      </c>
      <c r="L109" s="13" t="s">
        <v>140</v>
      </c>
      <c r="M109" s="13" t="s">
        <v>201</v>
      </c>
      <c r="N109" s="13" t="s">
        <v>134</v>
      </c>
    </row>
    <row r="110" customFormat="false" ht="15" hidden="false" customHeight="false" outlineLevel="0" collapsed="false">
      <c r="A110" s="13" t="s">
        <v>309</v>
      </c>
      <c r="B110" s="14" t="n">
        <v>41359</v>
      </c>
      <c r="C110" s="14" t="n">
        <v>44978</v>
      </c>
      <c r="D110" s="13" t="n">
        <v>42</v>
      </c>
      <c r="E110" s="13" t="s">
        <v>144</v>
      </c>
      <c r="F110" s="13" t="s">
        <v>145</v>
      </c>
      <c r="G110" s="13" t="s">
        <v>155</v>
      </c>
      <c r="H110" s="13" t="s">
        <v>156</v>
      </c>
      <c r="I110" s="13" t="n">
        <v>2</v>
      </c>
      <c r="J110" s="13" t="n">
        <v>3</v>
      </c>
      <c r="K110" s="13" t="n">
        <v>107000</v>
      </c>
      <c r="L110" s="13" t="s">
        <v>173</v>
      </c>
      <c r="M110" s="13" t="s">
        <v>310</v>
      </c>
      <c r="N110" s="13" t="s">
        <v>134</v>
      </c>
    </row>
    <row r="111" customFormat="false" ht="15" hidden="false" customHeight="false" outlineLevel="0" collapsed="false">
      <c r="A111" s="13" t="s">
        <v>311</v>
      </c>
      <c r="B111" s="14" t="n">
        <v>41360</v>
      </c>
      <c r="C111" s="14"/>
      <c r="D111" s="13" t="n">
        <v>49</v>
      </c>
      <c r="E111" s="13" t="s">
        <v>136</v>
      </c>
      <c r="F111" s="13" t="s">
        <v>170</v>
      </c>
      <c r="G111" s="13" t="s">
        <v>155</v>
      </c>
      <c r="H111" s="13" t="s">
        <v>178</v>
      </c>
      <c r="I111" s="13" t="n">
        <v>2</v>
      </c>
      <c r="J111" s="13" t="n">
        <v>2</v>
      </c>
      <c r="K111" s="13" t="n">
        <v>180500</v>
      </c>
      <c r="L111" s="13"/>
      <c r="M111" s="13"/>
      <c r="N111" s="13" t="s">
        <v>142</v>
      </c>
    </row>
    <row r="112" customFormat="false" ht="15" hidden="false" customHeight="false" outlineLevel="0" collapsed="false">
      <c r="A112" s="13" t="s">
        <v>312</v>
      </c>
      <c r="B112" s="14" t="n">
        <v>41362</v>
      </c>
      <c r="C112" s="14"/>
      <c r="D112" s="13" t="n">
        <v>44</v>
      </c>
      <c r="E112" s="13" t="s">
        <v>190</v>
      </c>
      <c r="F112" s="13" t="s">
        <v>137</v>
      </c>
      <c r="G112" s="13" t="s">
        <v>138</v>
      </c>
      <c r="H112" s="13" t="s">
        <v>178</v>
      </c>
      <c r="I112" s="13" t="n">
        <v>4</v>
      </c>
      <c r="J112" s="13" t="n">
        <v>3</v>
      </c>
      <c r="K112" s="13" t="n">
        <v>141500</v>
      </c>
      <c r="L112" s="13"/>
      <c r="M112" s="13"/>
      <c r="N112" s="13" t="s">
        <v>142</v>
      </c>
    </row>
    <row r="113" customFormat="false" ht="15" hidden="false" customHeight="false" outlineLevel="0" collapsed="false">
      <c r="A113" s="13" t="s">
        <v>313</v>
      </c>
      <c r="B113" s="14" t="n">
        <v>41363</v>
      </c>
      <c r="C113" s="14" t="n">
        <v>45516</v>
      </c>
      <c r="D113" s="13" t="n">
        <v>44</v>
      </c>
      <c r="E113" s="13" t="s">
        <v>136</v>
      </c>
      <c r="F113" s="13" t="s">
        <v>131</v>
      </c>
      <c r="G113" s="13" t="s">
        <v>138</v>
      </c>
      <c r="H113" s="13" t="s">
        <v>149</v>
      </c>
      <c r="I113" s="13" t="n">
        <v>4</v>
      </c>
      <c r="J113" s="13" t="n">
        <v>4</v>
      </c>
      <c r="K113" s="13" t="n">
        <v>122500</v>
      </c>
      <c r="L113" s="13" t="s">
        <v>151</v>
      </c>
      <c r="M113" s="13" t="s">
        <v>314</v>
      </c>
      <c r="N113" s="13" t="s">
        <v>142</v>
      </c>
    </row>
    <row r="114" customFormat="false" ht="15" hidden="false" customHeight="false" outlineLevel="0" collapsed="false">
      <c r="A114" s="13" t="s">
        <v>315</v>
      </c>
      <c r="B114" s="14" t="n">
        <v>41365</v>
      </c>
      <c r="C114" s="14"/>
      <c r="D114" s="13" t="n">
        <v>44</v>
      </c>
      <c r="E114" s="13" t="s">
        <v>190</v>
      </c>
      <c r="F114" s="13" t="s">
        <v>131</v>
      </c>
      <c r="G114" s="13" t="s">
        <v>132</v>
      </c>
      <c r="H114" s="13" t="s">
        <v>291</v>
      </c>
      <c r="I114" s="13" t="n">
        <v>4</v>
      </c>
      <c r="J114" s="13" t="n">
        <v>3</v>
      </c>
      <c r="K114" s="13" t="n">
        <v>265500</v>
      </c>
      <c r="L114" s="13"/>
      <c r="M114" s="13"/>
      <c r="N114" s="13" t="s">
        <v>134</v>
      </c>
    </row>
    <row r="115" customFormat="false" ht="15" hidden="false" customHeight="false" outlineLevel="0" collapsed="false">
      <c r="A115" s="13" t="s">
        <v>316</v>
      </c>
      <c r="B115" s="14" t="n">
        <v>41367</v>
      </c>
      <c r="C115" s="14"/>
      <c r="D115" s="13" t="n">
        <v>48</v>
      </c>
      <c r="E115" s="13" t="s">
        <v>144</v>
      </c>
      <c r="F115" s="13" t="s">
        <v>137</v>
      </c>
      <c r="G115" s="13" t="s">
        <v>132</v>
      </c>
      <c r="H115" s="13" t="s">
        <v>139</v>
      </c>
      <c r="I115" s="13" t="n">
        <v>3</v>
      </c>
      <c r="J115" s="13" t="n">
        <v>2</v>
      </c>
      <c r="K115" s="13" t="n">
        <v>53500</v>
      </c>
      <c r="L115" s="13"/>
      <c r="M115" s="13"/>
      <c r="N115" s="13" t="s">
        <v>134</v>
      </c>
    </row>
    <row r="116" customFormat="false" ht="15" hidden="false" customHeight="false" outlineLevel="0" collapsed="false">
      <c r="A116" s="13" t="s">
        <v>317</v>
      </c>
      <c r="B116" s="14" t="n">
        <v>41369</v>
      </c>
      <c r="C116" s="14"/>
      <c r="D116" s="13" t="n">
        <v>45</v>
      </c>
      <c r="E116" s="13" t="s">
        <v>186</v>
      </c>
      <c r="F116" s="13" t="s">
        <v>168</v>
      </c>
      <c r="G116" s="13" t="s">
        <v>138</v>
      </c>
      <c r="H116" s="13" t="s">
        <v>156</v>
      </c>
      <c r="I116" s="13" t="n">
        <v>4</v>
      </c>
      <c r="J116" s="13" t="n">
        <v>3</v>
      </c>
      <c r="K116" s="13" t="n">
        <v>118500</v>
      </c>
      <c r="L116" s="13"/>
      <c r="M116" s="13"/>
      <c r="N116" s="13" t="s">
        <v>214</v>
      </c>
    </row>
    <row r="117" customFormat="false" ht="15" hidden="false" customHeight="false" outlineLevel="0" collapsed="false">
      <c r="A117" s="13" t="s">
        <v>318</v>
      </c>
      <c r="B117" s="14" t="n">
        <v>41373</v>
      </c>
      <c r="C117" s="14"/>
      <c r="D117" s="13" t="n">
        <v>41</v>
      </c>
      <c r="E117" s="13" t="s">
        <v>136</v>
      </c>
      <c r="F117" s="13" t="s">
        <v>229</v>
      </c>
      <c r="G117" s="13" t="s">
        <v>155</v>
      </c>
      <c r="H117" s="13" t="s">
        <v>219</v>
      </c>
      <c r="I117" s="13" t="n">
        <v>3</v>
      </c>
      <c r="J117" s="13" t="n">
        <v>4</v>
      </c>
      <c r="K117" s="13" t="n">
        <v>48500</v>
      </c>
      <c r="L117" s="13"/>
      <c r="M117" s="13"/>
      <c r="N117" s="13" t="s">
        <v>142</v>
      </c>
    </row>
    <row r="118" customFormat="false" ht="15" hidden="false" customHeight="false" outlineLevel="0" collapsed="false">
      <c r="A118" s="13" t="s">
        <v>319</v>
      </c>
      <c r="B118" s="14" t="n">
        <v>41381</v>
      </c>
      <c r="C118" s="14" t="n">
        <v>45179</v>
      </c>
      <c r="D118" s="13" t="n">
        <v>36</v>
      </c>
      <c r="E118" s="13" t="s">
        <v>136</v>
      </c>
      <c r="F118" s="13" t="s">
        <v>137</v>
      </c>
      <c r="G118" s="13" t="s">
        <v>148</v>
      </c>
      <c r="H118" s="13" t="s">
        <v>149</v>
      </c>
      <c r="I118" s="13" t="n">
        <v>4</v>
      </c>
      <c r="J118" s="13" t="n">
        <v>1</v>
      </c>
      <c r="K118" s="13" t="n">
        <v>135500</v>
      </c>
      <c r="L118" s="13" t="s">
        <v>151</v>
      </c>
      <c r="M118" s="13" t="s">
        <v>159</v>
      </c>
      <c r="N118" s="13" t="s">
        <v>214</v>
      </c>
    </row>
    <row r="119" customFormat="false" ht="15" hidden="false" customHeight="false" outlineLevel="0" collapsed="false">
      <c r="A119" s="13" t="s">
        <v>320</v>
      </c>
      <c r="B119" s="14" t="n">
        <v>41381</v>
      </c>
      <c r="C119" s="14"/>
      <c r="D119" s="13" t="n">
        <v>39</v>
      </c>
      <c r="E119" s="13" t="s">
        <v>136</v>
      </c>
      <c r="F119" s="13" t="s">
        <v>145</v>
      </c>
      <c r="G119" s="13" t="s">
        <v>195</v>
      </c>
      <c r="H119" s="13" t="s">
        <v>178</v>
      </c>
      <c r="I119" s="13" t="n">
        <v>3</v>
      </c>
      <c r="J119" s="13" t="n">
        <v>1</v>
      </c>
      <c r="K119" s="13" t="n">
        <v>159000</v>
      </c>
      <c r="L119" s="13"/>
      <c r="M119" s="13"/>
      <c r="N119" s="13" t="s">
        <v>142</v>
      </c>
    </row>
    <row r="120" customFormat="false" ht="15" hidden="false" customHeight="false" outlineLevel="0" collapsed="false">
      <c r="A120" s="13" t="s">
        <v>321</v>
      </c>
      <c r="B120" s="14" t="n">
        <v>41385</v>
      </c>
      <c r="C120" s="14" t="n">
        <v>45569</v>
      </c>
      <c r="D120" s="13" t="n">
        <v>41</v>
      </c>
      <c r="E120" s="13" t="s">
        <v>136</v>
      </c>
      <c r="F120" s="13" t="s">
        <v>154</v>
      </c>
      <c r="G120" s="13" t="s">
        <v>138</v>
      </c>
      <c r="H120" s="13" t="s">
        <v>178</v>
      </c>
      <c r="I120" s="13" t="n">
        <v>5</v>
      </c>
      <c r="J120" s="13" t="n">
        <v>3</v>
      </c>
      <c r="K120" s="13" t="n">
        <v>168500</v>
      </c>
      <c r="L120" s="13" t="s">
        <v>151</v>
      </c>
      <c r="M120" s="13" t="s">
        <v>159</v>
      </c>
      <c r="N120" s="13" t="s">
        <v>134</v>
      </c>
    </row>
    <row r="121" customFormat="false" ht="15" hidden="false" customHeight="false" outlineLevel="0" collapsed="false">
      <c r="A121" s="13" t="s">
        <v>322</v>
      </c>
      <c r="B121" s="14" t="n">
        <v>41388</v>
      </c>
      <c r="C121" s="14"/>
      <c r="D121" s="13" t="n">
        <v>38</v>
      </c>
      <c r="E121" s="13" t="s">
        <v>130</v>
      </c>
      <c r="F121" s="13" t="s">
        <v>131</v>
      </c>
      <c r="G121" s="13" t="s">
        <v>132</v>
      </c>
      <c r="H121" s="13" t="s">
        <v>156</v>
      </c>
      <c r="I121" s="13" t="n">
        <v>3</v>
      </c>
      <c r="J121" s="13" t="n">
        <v>3</v>
      </c>
      <c r="K121" s="13" t="n">
        <v>130000</v>
      </c>
      <c r="L121" s="13"/>
      <c r="M121" s="13"/>
      <c r="N121" s="13" t="s">
        <v>142</v>
      </c>
    </row>
    <row r="122" customFormat="false" ht="15" hidden="false" customHeight="false" outlineLevel="0" collapsed="false">
      <c r="A122" s="13" t="s">
        <v>323</v>
      </c>
      <c r="B122" s="14" t="n">
        <v>41390</v>
      </c>
      <c r="C122" s="14"/>
      <c r="D122" s="13" t="n">
        <v>41</v>
      </c>
      <c r="E122" s="13" t="s">
        <v>182</v>
      </c>
      <c r="F122" s="13" t="s">
        <v>164</v>
      </c>
      <c r="G122" s="13" t="s">
        <v>155</v>
      </c>
      <c r="H122" s="13" t="s">
        <v>192</v>
      </c>
      <c r="I122" s="13" t="n">
        <v>2</v>
      </c>
      <c r="J122" s="13" t="n">
        <v>3</v>
      </c>
      <c r="K122" s="13" t="n">
        <v>246500</v>
      </c>
      <c r="L122" s="13"/>
      <c r="M122" s="13"/>
      <c r="N122" s="13" t="s">
        <v>142</v>
      </c>
    </row>
    <row r="123" customFormat="false" ht="15" hidden="false" customHeight="false" outlineLevel="0" collapsed="false">
      <c r="A123" s="13" t="s">
        <v>324</v>
      </c>
      <c r="B123" s="14" t="n">
        <v>41391</v>
      </c>
      <c r="C123" s="14" t="n">
        <v>45638</v>
      </c>
      <c r="D123" s="13"/>
      <c r="E123" s="13" t="s">
        <v>136</v>
      </c>
      <c r="F123" s="13" t="s">
        <v>161</v>
      </c>
      <c r="G123" s="13" t="s">
        <v>132</v>
      </c>
      <c r="H123" s="13" t="s">
        <v>133</v>
      </c>
      <c r="I123" s="13" t="n">
        <v>4</v>
      </c>
      <c r="J123" s="13" t="n">
        <v>3</v>
      </c>
      <c r="K123" s="13" t="n">
        <v>69500</v>
      </c>
      <c r="L123" s="13" t="s">
        <v>151</v>
      </c>
      <c r="M123" s="13" t="s">
        <v>201</v>
      </c>
      <c r="N123" s="13" t="s">
        <v>142</v>
      </c>
    </row>
    <row r="124" customFormat="false" ht="15" hidden="false" customHeight="false" outlineLevel="0" collapsed="false">
      <c r="A124" s="13" t="s">
        <v>325</v>
      </c>
      <c r="B124" s="14" t="n">
        <v>41405</v>
      </c>
      <c r="C124" s="14"/>
      <c r="D124" s="13" t="n">
        <v>42</v>
      </c>
      <c r="E124" s="13" t="s">
        <v>190</v>
      </c>
      <c r="F124" s="13" t="s">
        <v>154</v>
      </c>
      <c r="G124" s="13" t="s">
        <v>307</v>
      </c>
      <c r="H124" s="13" t="s">
        <v>146</v>
      </c>
      <c r="I124" s="13" t="n">
        <v>4</v>
      </c>
      <c r="J124" s="13" t="n">
        <v>1</v>
      </c>
      <c r="K124" s="13" t="n">
        <v>70000</v>
      </c>
      <c r="L124" s="13"/>
      <c r="M124" s="13"/>
      <c r="N124" s="13" t="s">
        <v>142</v>
      </c>
    </row>
    <row r="125" customFormat="false" ht="15" hidden="false" customHeight="false" outlineLevel="0" collapsed="false">
      <c r="A125" s="13" t="s">
        <v>326</v>
      </c>
      <c r="B125" s="14" t="n">
        <v>41405</v>
      </c>
      <c r="C125" s="14" t="n">
        <v>44707</v>
      </c>
      <c r="D125" s="13" t="n">
        <v>38</v>
      </c>
      <c r="E125" s="13" t="s">
        <v>144</v>
      </c>
      <c r="F125" s="13" t="s">
        <v>154</v>
      </c>
      <c r="G125" s="13" t="s">
        <v>148</v>
      </c>
      <c r="H125" s="13" t="s">
        <v>149</v>
      </c>
      <c r="I125" s="13" t="n">
        <v>3</v>
      </c>
      <c r="J125" s="13" t="n">
        <v>2</v>
      </c>
      <c r="K125" s="13" t="n">
        <v>111500</v>
      </c>
      <c r="L125" s="13" t="s">
        <v>140</v>
      </c>
      <c r="M125" s="13" t="s">
        <v>203</v>
      </c>
      <c r="N125" s="13" t="s">
        <v>142</v>
      </c>
    </row>
    <row r="126" customFormat="false" ht="15" hidden="false" customHeight="false" outlineLevel="0" collapsed="false">
      <c r="A126" s="13" t="s">
        <v>327</v>
      </c>
      <c r="B126" s="14" t="n">
        <v>41415</v>
      </c>
      <c r="C126" s="14"/>
      <c r="D126" s="13" t="n">
        <v>43</v>
      </c>
      <c r="E126" s="13" t="s">
        <v>136</v>
      </c>
      <c r="F126" s="13" t="s">
        <v>168</v>
      </c>
      <c r="G126" s="13" t="s">
        <v>148</v>
      </c>
      <c r="H126" s="13" t="s">
        <v>178</v>
      </c>
      <c r="I126" s="13" t="n">
        <v>4</v>
      </c>
      <c r="J126" s="13"/>
      <c r="K126" s="13" t="n">
        <v>187500</v>
      </c>
      <c r="L126" s="13"/>
      <c r="M126" s="13"/>
      <c r="N126" s="13" t="s">
        <v>142</v>
      </c>
    </row>
    <row r="127" customFormat="false" ht="15" hidden="false" customHeight="false" outlineLevel="0" collapsed="false">
      <c r="A127" s="13" t="s">
        <v>328</v>
      </c>
      <c r="B127" s="14" t="n">
        <v>41417</v>
      </c>
      <c r="C127" s="14"/>
      <c r="D127" s="13" t="n">
        <v>47</v>
      </c>
      <c r="E127" s="13" t="s">
        <v>186</v>
      </c>
      <c r="F127" s="13" t="s">
        <v>168</v>
      </c>
      <c r="G127" s="13" t="s">
        <v>148</v>
      </c>
      <c r="H127" s="13" t="s">
        <v>139</v>
      </c>
      <c r="I127" s="13" t="n">
        <v>3</v>
      </c>
      <c r="J127" s="13" t="n">
        <v>4</v>
      </c>
      <c r="K127" s="13" t="n">
        <v>53500</v>
      </c>
      <c r="L127" s="13"/>
      <c r="M127" s="13"/>
      <c r="N127" s="13" t="s">
        <v>142</v>
      </c>
    </row>
    <row r="128" customFormat="false" ht="15" hidden="false" customHeight="false" outlineLevel="0" collapsed="false">
      <c r="A128" s="13" t="s">
        <v>329</v>
      </c>
      <c r="B128" s="14" t="n">
        <v>41421</v>
      </c>
      <c r="C128" s="14" t="n">
        <v>45536</v>
      </c>
      <c r="D128" s="13" t="n">
        <v>41</v>
      </c>
      <c r="E128" s="13" t="s">
        <v>144</v>
      </c>
      <c r="F128" s="13" t="s">
        <v>168</v>
      </c>
      <c r="G128" s="13" t="s">
        <v>330</v>
      </c>
      <c r="H128" s="13" t="s">
        <v>146</v>
      </c>
      <c r="I128" s="13" t="n">
        <v>2</v>
      </c>
      <c r="J128" s="13" t="n">
        <v>3</v>
      </c>
      <c r="K128" s="13" t="n">
        <v>82500</v>
      </c>
      <c r="L128" s="13" t="s">
        <v>151</v>
      </c>
      <c r="M128" s="13" t="s">
        <v>203</v>
      </c>
      <c r="N128" s="13" t="s">
        <v>134</v>
      </c>
    </row>
    <row r="129" customFormat="false" ht="15" hidden="false" customHeight="false" outlineLevel="0" collapsed="false">
      <c r="A129" s="13" t="s">
        <v>331</v>
      </c>
      <c r="B129" s="14" t="n">
        <v>41422</v>
      </c>
      <c r="C129" s="14"/>
      <c r="D129" s="13" t="n">
        <v>34</v>
      </c>
      <c r="E129" s="13" t="s">
        <v>136</v>
      </c>
      <c r="F129" s="13" t="s">
        <v>170</v>
      </c>
      <c r="G129" s="13" t="s">
        <v>148</v>
      </c>
      <c r="H129" s="13" t="s">
        <v>146</v>
      </c>
      <c r="I129" s="13" t="n">
        <v>3</v>
      </c>
      <c r="J129" s="13" t="n">
        <v>3</v>
      </c>
      <c r="K129" s="13" t="n">
        <v>70500</v>
      </c>
      <c r="L129" s="13"/>
      <c r="M129" s="13"/>
      <c r="N129" s="13" t="s">
        <v>142</v>
      </c>
    </row>
    <row r="130" customFormat="false" ht="15" hidden="false" customHeight="false" outlineLevel="0" collapsed="false">
      <c r="A130" s="13" t="s">
        <v>332</v>
      </c>
      <c r="B130" s="14" t="n">
        <v>41426</v>
      </c>
      <c r="C130" s="14" t="n">
        <v>45770</v>
      </c>
      <c r="D130" s="13" t="n">
        <v>44</v>
      </c>
      <c r="E130" s="13" t="s">
        <v>144</v>
      </c>
      <c r="F130" s="13" t="s">
        <v>154</v>
      </c>
      <c r="G130" s="13" t="s">
        <v>155</v>
      </c>
      <c r="H130" s="13" t="s">
        <v>139</v>
      </c>
      <c r="I130" s="13" t="n">
        <v>4</v>
      </c>
      <c r="J130" s="13" t="n">
        <v>4</v>
      </c>
      <c r="K130" s="13" t="n">
        <v>57500</v>
      </c>
      <c r="L130" s="13" t="s">
        <v>151</v>
      </c>
      <c r="M130" s="13" t="s">
        <v>206</v>
      </c>
      <c r="N130" s="13" t="s">
        <v>157</v>
      </c>
    </row>
    <row r="131" customFormat="false" ht="15" hidden="false" customHeight="false" outlineLevel="0" collapsed="false">
      <c r="A131" s="13" t="s">
        <v>333</v>
      </c>
      <c r="B131" s="14" t="n">
        <v>41426</v>
      </c>
      <c r="C131" s="14" t="n">
        <v>45285</v>
      </c>
      <c r="D131" s="13" t="n">
        <v>40</v>
      </c>
      <c r="E131" s="13" t="s">
        <v>144</v>
      </c>
      <c r="F131" s="13" t="s">
        <v>161</v>
      </c>
      <c r="G131" s="13" t="s">
        <v>334</v>
      </c>
      <c r="H131" s="13" t="s">
        <v>139</v>
      </c>
      <c r="I131" s="13"/>
      <c r="J131" s="13" t="n">
        <v>1</v>
      </c>
      <c r="K131" s="13" t="n">
        <v>40000</v>
      </c>
      <c r="L131" s="13" t="s">
        <v>151</v>
      </c>
      <c r="M131" s="13" t="s">
        <v>203</v>
      </c>
      <c r="N131" s="13" t="s">
        <v>134</v>
      </c>
    </row>
    <row r="132" customFormat="false" ht="15" hidden="false" customHeight="false" outlineLevel="0" collapsed="false">
      <c r="A132" s="13" t="s">
        <v>335</v>
      </c>
      <c r="B132" s="14" t="n">
        <v>41427</v>
      </c>
      <c r="C132" s="14" t="n">
        <v>45095</v>
      </c>
      <c r="D132" s="13" t="n">
        <v>40</v>
      </c>
      <c r="E132" s="13" t="s">
        <v>136</v>
      </c>
      <c r="F132" s="13" t="s">
        <v>131</v>
      </c>
      <c r="G132" s="13" t="s">
        <v>297</v>
      </c>
      <c r="H132" s="13" t="s">
        <v>178</v>
      </c>
      <c r="I132" s="13" t="n">
        <v>3</v>
      </c>
      <c r="J132" s="13" t="n">
        <v>2</v>
      </c>
      <c r="K132" s="13" t="n">
        <v>184000</v>
      </c>
      <c r="L132" s="13" t="s">
        <v>272</v>
      </c>
      <c r="M132" s="13" t="s">
        <v>254</v>
      </c>
      <c r="N132" s="13" t="s">
        <v>142</v>
      </c>
    </row>
    <row r="133" customFormat="false" ht="15" hidden="false" customHeight="false" outlineLevel="0" collapsed="false">
      <c r="A133" s="13" t="s">
        <v>336</v>
      </c>
      <c r="B133" s="14" t="n">
        <v>41434</v>
      </c>
      <c r="C133" s="14"/>
      <c r="D133" s="13" t="n">
        <v>41</v>
      </c>
      <c r="E133" s="13" t="s">
        <v>136</v>
      </c>
      <c r="F133" s="13" t="s">
        <v>170</v>
      </c>
      <c r="G133" s="13" t="s">
        <v>138</v>
      </c>
      <c r="H133" s="13" t="s">
        <v>192</v>
      </c>
      <c r="I133" s="13" t="n">
        <v>5</v>
      </c>
      <c r="J133" s="13" t="n">
        <v>4</v>
      </c>
      <c r="K133" s="13" t="n">
        <v>257000</v>
      </c>
      <c r="L133" s="13"/>
      <c r="M133" s="13"/>
      <c r="N133" s="13" t="s">
        <v>142</v>
      </c>
    </row>
    <row r="134" customFormat="false" ht="15" hidden="false" customHeight="false" outlineLevel="0" collapsed="false">
      <c r="A134" s="13" t="s">
        <v>337</v>
      </c>
      <c r="B134" s="14" t="n">
        <v>41437</v>
      </c>
      <c r="C134" s="14"/>
      <c r="D134" s="13" t="n">
        <v>38</v>
      </c>
      <c r="E134" s="13" t="s">
        <v>136</v>
      </c>
      <c r="F134" s="13" t="s">
        <v>168</v>
      </c>
      <c r="G134" s="13" t="s">
        <v>132</v>
      </c>
      <c r="H134" s="13" t="s">
        <v>156</v>
      </c>
      <c r="I134" s="13" t="n">
        <v>3</v>
      </c>
      <c r="J134" s="13" t="n">
        <v>3</v>
      </c>
      <c r="K134" s="13" t="n">
        <v>107000</v>
      </c>
      <c r="L134" s="13"/>
      <c r="M134" s="13"/>
      <c r="N134" s="13" t="s">
        <v>134</v>
      </c>
    </row>
    <row r="135" customFormat="false" ht="15" hidden="false" customHeight="false" outlineLevel="0" collapsed="false">
      <c r="A135" s="13" t="s">
        <v>338</v>
      </c>
      <c r="B135" s="14" t="n">
        <v>41440</v>
      </c>
      <c r="C135" s="14"/>
      <c r="D135" s="13" t="n">
        <v>35</v>
      </c>
      <c r="E135" s="13" t="s">
        <v>259</v>
      </c>
      <c r="F135" s="13" t="s">
        <v>154</v>
      </c>
      <c r="G135" s="13" t="s">
        <v>171</v>
      </c>
      <c r="H135" s="13" t="s">
        <v>139</v>
      </c>
      <c r="I135" s="13" t="n">
        <v>2</v>
      </c>
      <c r="J135" s="13" t="n">
        <v>1</v>
      </c>
      <c r="K135" s="13" t="n">
        <v>49000</v>
      </c>
      <c r="L135" s="13"/>
      <c r="M135" s="13"/>
      <c r="N135" s="13" t="s">
        <v>142</v>
      </c>
    </row>
    <row r="136" customFormat="false" ht="15" hidden="false" customHeight="false" outlineLevel="0" collapsed="false">
      <c r="A136" s="13" t="s">
        <v>339</v>
      </c>
      <c r="B136" s="14" t="n">
        <v>41443</v>
      </c>
      <c r="C136" s="14"/>
      <c r="D136" s="13" t="n">
        <v>44</v>
      </c>
      <c r="E136" s="13" t="s">
        <v>144</v>
      </c>
      <c r="F136" s="13" t="s">
        <v>170</v>
      </c>
      <c r="G136" s="13" t="s">
        <v>138</v>
      </c>
      <c r="H136" s="13" t="s">
        <v>192</v>
      </c>
      <c r="I136" s="13" t="n">
        <v>4</v>
      </c>
      <c r="J136" s="13" t="n">
        <v>3</v>
      </c>
      <c r="K136" s="13" t="n">
        <v>208000</v>
      </c>
      <c r="L136" s="13"/>
      <c r="M136" s="13"/>
      <c r="N136" s="13" t="s">
        <v>142</v>
      </c>
    </row>
    <row r="137" customFormat="false" ht="15" hidden="false" customHeight="false" outlineLevel="0" collapsed="false">
      <c r="A137" s="13" t="s">
        <v>340</v>
      </c>
      <c r="B137" s="14" t="n">
        <v>41448</v>
      </c>
      <c r="C137" s="14"/>
      <c r="D137" s="13" t="n">
        <v>45</v>
      </c>
      <c r="E137" s="13" t="s">
        <v>130</v>
      </c>
      <c r="F137" s="13" t="s">
        <v>168</v>
      </c>
      <c r="G137" s="13" t="s">
        <v>213</v>
      </c>
      <c r="H137" s="13" t="s">
        <v>146</v>
      </c>
      <c r="I137" s="13" t="n">
        <v>3</v>
      </c>
      <c r="J137" s="13" t="n">
        <v>1</v>
      </c>
      <c r="K137" s="13" t="n">
        <v>72500</v>
      </c>
      <c r="L137" s="13"/>
      <c r="M137" s="13"/>
      <c r="N137" s="13" t="s">
        <v>142</v>
      </c>
    </row>
    <row r="138" customFormat="false" ht="15" hidden="false" customHeight="false" outlineLevel="0" collapsed="false">
      <c r="A138" s="13" t="s">
        <v>341</v>
      </c>
      <c r="B138" s="14" t="n">
        <v>41450</v>
      </c>
      <c r="C138" s="14"/>
      <c r="D138" s="13" t="n">
        <v>34</v>
      </c>
      <c r="E138" s="13" t="s">
        <v>163</v>
      </c>
      <c r="F138" s="13" t="s">
        <v>168</v>
      </c>
      <c r="G138" s="13" t="s">
        <v>155</v>
      </c>
      <c r="H138" s="13" t="s">
        <v>139</v>
      </c>
      <c r="I138" s="13" t="n">
        <v>4</v>
      </c>
      <c r="J138" s="13" t="n">
        <v>2</v>
      </c>
      <c r="K138" s="13" t="n">
        <v>44500</v>
      </c>
      <c r="L138" s="13"/>
      <c r="M138" s="13"/>
      <c r="N138" s="13" t="s">
        <v>142</v>
      </c>
    </row>
    <row r="139" customFormat="false" ht="15" hidden="false" customHeight="false" outlineLevel="0" collapsed="false">
      <c r="A139" s="13" t="s">
        <v>342</v>
      </c>
      <c r="B139" s="14" t="n">
        <v>41454</v>
      </c>
      <c r="C139" s="14"/>
      <c r="D139" s="13" t="n">
        <v>39</v>
      </c>
      <c r="E139" s="13" t="s">
        <v>136</v>
      </c>
      <c r="F139" s="13" t="s">
        <v>231</v>
      </c>
      <c r="G139" s="13" t="s">
        <v>191</v>
      </c>
      <c r="H139" s="13" t="s">
        <v>343</v>
      </c>
      <c r="I139" s="13" t="n">
        <v>3</v>
      </c>
      <c r="J139" s="13" t="n">
        <v>2</v>
      </c>
      <c r="K139" s="13" t="n">
        <v>139500</v>
      </c>
      <c r="L139" s="13"/>
      <c r="M139" s="13"/>
      <c r="N139" s="13" t="s">
        <v>142</v>
      </c>
    </row>
    <row r="140" customFormat="false" ht="15" hidden="false" customHeight="false" outlineLevel="0" collapsed="false">
      <c r="A140" s="13" t="s">
        <v>344</v>
      </c>
      <c r="B140" s="14" t="n">
        <v>41454</v>
      </c>
      <c r="C140" s="14"/>
      <c r="D140" s="13" t="n">
        <v>34</v>
      </c>
      <c r="E140" s="13" t="s">
        <v>144</v>
      </c>
      <c r="F140" s="13" t="s">
        <v>154</v>
      </c>
      <c r="G140" s="13" t="s">
        <v>235</v>
      </c>
      <c r="H140" s="13" t="s">
        <v>149</v>
      </c>
      <c r="I140" s="13"/>
      <c r="J140" s="13" t="n">
        <v>3</v>
      </c>
      <c r="K140" s="13" t="n">
        <v>151000</v>
      </c>
      <c r="L140" s="13"/>
      <c r="M140" s="13"/>
      <c r="N140" s="13" t="s">
        <v>142</v>
      </c>
    </row>
    <row r="141" customFormat="false" ht="15" hidden="false" customHeight="false" outlineLevel="0" collapsed="false">
      <c r="A141" s="13" t="s">
        <v>345</v>
      </c>
      <c r="B141" s="14" t="n">
        <v>41460</v>
      </c>
      <c r="C141" s="14" t="n">
        <v>45790</v>
      </c>
      <c r="D141" s="13" t="n">
        <v>33</v>
      </c>
      <c r="E141" s="13" t="s">
        <v>136</v>
      </c>
      <c r="F141" s="13" t="s">
        <v>170</v>
      </c>
      <c r="G141" s="13" t="s">
        <v>155</v>
      </c>
      <c r="H141" s="13" t="s">
        <v>149</v>
      </c>
      <c r="I141" s="13" t="n">
        <v>5</v>
      </c>
      <c r="J141" s="13" t="n">
        <v>4</v>
      </c>
      <c r="K141" s="13" t="n">
        <v>161000</v>
      </c>
      <c r="L141" s="13"/>
      <c r="M141" s="13" t="s">
        <v>201</v>
      </c>
      <c r="N141" s="13" t="s">
        <v>142</v>
      </c>
    </row>
    <row r="142" customFormat="false" ht="15" hidden="false" customHeight="false" outlineLevel="0" collapsed="false">
      <c r="A142" s="13" t="s">
        <v>346</v>
      </c>
      <c r="B142" s="14" t="n">
        <v>41469</v>
      </c>
      <c r="C142" s="14" t="n">
        <v>45074</v>
      </c>
      <c r="D142" s="13" t="n">
        <v>43</v>
      </c>
      <c r="E142" s="13" t="s">
        <v>144</v>
      </c>
      <c r="F142" s="13" t="s">
        <v>170</v>
      </c>
      <c r="G142" s="13" t="s">
        <v>148</v>
      </c>
      <c r="H142" s="13" t="s">
        <v>146</v>
      </c>
      <c r="I142" s="13" t="n">
        <v>2</v>
      </c>
      <c r="J142" s="13" t="n">
        <v>3</v>
      </c>
      <c r="K142" s="13" t="n">
        <v>65500</v>
      </c>
      <c r="L142" s="13" t="s">
        <v>151</v>
      </c>
      <c r="M142" s="13" t="s">
        <v>314</v>
      </c>
      <c r="N142" s="13" t="s">
        <v>134</v>
      </c>
    </row>
    <row r="143" customFormat="false" ht="15" hidden="false" customHeight="false" outlineLevel="0" collapsed="false">
      <c r="A143" s="13" t="s">
        <v>347</v>
      </c>
      <c r="B143" s="14" t="n">
        <v>41469</v>
      </c>
      <c r="C143" s="14" t="n">
        <v>45375</v>
      </c>
      <c r="D143" s="13" t="n">
        <v>39</v>
      </c>
      <c r="E143" s="13" t="s">
        <v>136</v>
      </c>
      <c r="F143" s="13" t="s">
        <v>229</v>
      </c>
      <c r="G143" s="13" t="s">
        <v>155</v>
      </c>
      <c r="H143" s="13" t="s">
        <v>146</v>
      </c>
      <c r="I143" s="13" t="n">
        <v>3</v>
      </c>
      <c r="J143" s="13" t="n">
        <v>3</v>
      </c>
      <c r="K143" s="13" t="n">
        <v>80000</v>
      </c>
      <c r="L143" s="13" t="s">
        <v>151</v>
      </c>
      <c r="M143" s="13" t="s">
        <v>206</v>
      </c>
      <c r="N143" s="13" t="s">
        <v>255</v>
      </c>
    </row>
    <row r="144" customFormat="false" ht="15" hidden="false" customHeight="false" outlineLevel="0" collapsed="false">
      <c r="A144" s="13" t="s">
        <v>348</v>
      </c>
      <c r="B144" s="14" t="n">
        <v>41470</v>
      </c>
      <c r="C144" s="14"/>
      <c r="D144" s="13" t="n">
        <v>49</v>
      </c>
      <c r="E144" s="13" t="s">
        <v>136</v>
      </c>
      <c r="F144" s="13" t="s">
        <v>231</v>
      </c>
      <c r="G144" s="13" t="s">
        <v>195</v>
      </c>
      <c r="H144" s="13" t="s">
        <v>139</v>
      </c>
      <c r="I144" s="13" t="n">
        <v>3</v>
      </c>
      <c r="J144" s="13" t="n">
        <v>4</v>
      </c>
      <c r="K144" s="13" t="n">
        <v>47000</v>
      </c>
      <c r="L144" s="13"/>
      <c r="M144" s="13"/>
      <c r="N144" s="13" t="s">
        <v>142</v>
      </c>
    </row>
    <row r="145" customFormat="false" ht="15" hidden="false" customHeight="false" outlineLevel="0" collapsed="false">
      <c r="A145" s="13" t="s">
        <v>349</v>
      </c>
      <c r="B145" s="14" t="n">
        <v>41473</v>
      </c>
      <c r="C145" s="14" t="n">
        <v>45048</v>
      </c>
      <c r="D145" s="13" t="n">
        <v>31</v>
      </c>
      <c r="E145" s="13" t="s">
        <v>144</v>
      </c>
      <c r="F145" s="13" t="s">
        <v>137</v>
      </c>
      <c r="G145" s="13" t="s">
        <v>132</v>
      </c>
      <c r="H145" s="13" t="s">
        <v>156</v>
      </c>
      <c r="I145" s="13" t="n">
        <v>1</v>
      </c>
      <c r="J145" s="13" t="n">
        <v>3</v>
      </c>
      <c r="K145" s="13" t="n">
        <v>121000</v>
      </c>
      <c r="L145" s="13" t="s">
        <v>173</v>
      </c>
      <c r="M145" s="13"/>
      <c r="N145" s="13" t="s">
        <v>142</v>
      </c>
    </row>
    <row r="146" customFormat="false" ht="15" hidden="false" customHeight="false" outlineLevel="0" collapsed="false">
      <c r="A146" s="13" t="s">
        <v>350</v>
      </c>
      <c r="B146" s="14" t="n">
        <v>41478</v>
      </c>
      <c r="C146" s="14" t="n">
        <v>45820</v>
      </c>
      <c r="D146" s="13" t="n">
        <v>41</v>
      </c>
      <c r="E146" s="13" t="s">
        <v>144</v>
      </c>
      <c r="F146" s="13" t="s">
        <v>231</v>
      </c>
      <c r="G146" s="13" t="s">
        <v>155</v>
      </c>
      <c r="H146" s="13" t="s">
        <v>146</v>
      </c>
      <c r="I146" s="13" t="n">
        <v>3</v>
      </c>
      <c r="J146" s="13" t="n">
        <v>2</v>
      </c>
      <c r="K146" s="13" t="n">
        <v>64500</v>
      </c>
      <c r="L146" s="13" t="s">
        <v>151</v>
      </c>
      <c r="M146" s="13" t="s">
        <v>201</v>
      </c>
      <c r="N146" s="13" t="s">
        <v>157</v>
      </c>
    </row>
    <row r="147" customFormat="false" ht="15" hidden="false" customHeight="false" outlineLevel="0" collapsed="false">
      <c r="A147" s="13" t="s">
        <v>351</v>
      </c>
      <c r="B147" s="14" t="n">
        <v>41483</v>
      </c>
      <c r="C147" s="14"/>
      <c r="D147" s="13" t="n">
        <v>46</v>
      </c>
      <c r="E147" s="13" t="s">
        <v>136</v>
      </c>
      <c r="F147" s="13" t="s">
        <v>168</v>
      </c>
      <c r="G147" s="13" t="s">
        <v>155</v>
      </c>
      <c r="H147" s="13" t="s">
        <v>149</v>
      </c>
      <c r="I147" s="13" t="n">
        <v>4</v>
      </c>
      <c r="J147" s="13" t="n">
        <v>4</v>
      </c>
      <c r="K147" s="13" t="n">
        <v>106000</v>
      </c>
      <c r="L147" s="13"/>
      <c r="M147" s="13"/>
      <c r="N147" s="13" t="s">
        <v>255</v>
      </c>
    </row>
    <row r="148" customFormat="false" ht="15" hidden="false" customHeight="false" outlineLevel="0" collapsed="false">
      <c r="A148" s="13" t="s">
        <v>352</v>
      </c>
      <c r="B148" s="14" t="n">
        <v>41487</v>
      </c>
      <c r="C148" s="14" t="n">
        <v>45864</v>
      </c>
      <c r="D148" s="13" t="n">
        <v>46</v>
      </c>
      <c r="E148" s="13" t="s">
        <v>136</v>
      </c>
      <c r="F148" s="13" t="s">
        <v>164</v>
      </c>
      <c r="G148" s="13" t="s">
        <v>132</v>
      </c>
      <c r="H148" s="13" t="s">
        <v>178</v>
      </c>
      <c r="I148" s="13" t="n">
        <v>5</v>
      </c>
      <c r="J148" s="13" t="n">
        <v>2</v>
      </c>
      <c r="K148" s="13" t="n">
        <v>143500</v>
      </c>
      <c r="L148" s="13" t="s">
        <v>151</v>
      </c>
      <c r="M148" s="13" t="s">
        <v>152</v>
      </c>
      <c r="N148" s="13" t="s">
        <v>142</v>
      </c>
    </row>
    <row r="149" customFormat="false" ht="15" hidden="false" customHeight="false" outlineLevel="0" collapsed="false">
      <c r="A149" s="13" t="s">
        <v>353</v>
      </c>
      <c r="B149" s="14" t="n">
        <v>41487</v>
      </c>
      <c r="C149" s="14"/>
      <c r="D149" s="13" t="n">
        <v>51</v>
      </c>
      <c r="E149" s="13" t="s">
        <v>186</v>
      </c>
      <c r="F149" s="13" t="s">
        <v>137</v>
      </c>
      <c r="G149" s="13" t="s">
        <v>354</v>
      </c>
      <c r="H149" s="13" t="s">
        <v>178</v>
      </c>
      <c r="I149" s="13" t="n">
        <v>5</v>
      </c>
      <c r="J149" s="13" t="n">
        <v>1</v>
      </c>
      <c r="K149" s="13" t="n">
        <v>187000</v>
      </c>
      <c r="L149" s="13"/>
      <c r="M149" s="13"/>
      <c r="N149" s="13" t="s">
        <v>142</v>
      </c>
    </row>
    <row r="150" customFormat="false" ht="15" hidden="false" customHeight="false" outlineLevel="0" collapsed="false">
      <c r="A150" s="13" t="s">
        <v>355</v>
      </c>
      <c r="B150" s="14" t="n">
        <v>41490</v>
      </c>
      <c r="C150" s="14"/>
      <c r="D150" s="13" t="n">
        <v>43</v>
      </c>
      <c r="E150" s="13" t="s">
        <v>186</v>
      </c>
      <c r="F150" s="13" t="s">
        <v>161</v>
      </c>
      <c r="G150" s="13" t="s">
        <v>138</v>
      </c>
      <c r="H150" s="13" t="s">
        <v>139</v>
      </c>
      <c r="I150" s="13" t="n">
        <v>3</v>
      </c>
      <c r="J150" s="13" t="n">
        <v>2</v>
      </c>
      <c r="K150" s="13" t="n">
        <v>42000</v>
      </c>
      <c r="L150" s="13"/>
      <c r="M150" s="13"/>
      <c r="N150" s="13" t="s">
        <v>142</v>
      </c>
    </row>
    <row r="151" customFormat="false" ht="15" hidden="false" customHeight="false" outlineLevel="0" collapsed="false">
      <c r="A151" s="13" t="s">
        <v>356</v>
      </c>
      <c r="B151" s="14" t="n">
        <v>41495</v>
      </c>
      <c r="C151" s="14"/>
      <c r="D151" s="13" t="n">
        <v>44</v>
      </c>
      <c r="E151" s="13" t="s">
        <v>136</v>
      </c>
      <c r="F151" s="13" t="s">
        <v>154</v>
      </c>
      <c r="G151" s="13" t="s">
        <v>148</v>
      </c>
      <c r="H151" s="13" t="s">
        <v>156</v>
      </c>
      <c r="I151" s="13" t="n">
        <v>4</v>
      </c>
      <c r="J151" s="13" t="n">
        <v>2</v>
      </c>
      <c r="K151" s="13" t="n">
        <v>127000</v>
      </c>
      <c r="L151" s="13"/>
      <c r="M151" s="13"/>
      <c r="N151" s="13" t="s">
        <v>142</v>
      </c>
    </row>
    <row r="152" customFormat="false" ht="15" hidden="false" customHeight="false" outlineLevel="0" collapsed="false">
      <c r="A152" s="13" t="s">
        <v>357</v>
      </c>
      <c r="B152" s="14" t="n">
        <v>41497</v>
      </c>
      <c r="C152" s="14" t="n">
        <v>45302</v>
      </c>
      <c r="D152" s="13" t="n">
        <v>42</v>
      </c>
      <c r="E152" s="13" t="s">
        <v>186</v>
      </c>
      <c r="F152" s="13" t="s">
        <v>229</v>
      </c>
      <c r="G152" s="13" t="s">
        <v>138</v>
      </c>
      <c r="H152" s="13" t="s">
        <v>172</v>
      </c>
      <c r="I152" s="13" t="n">
        <v>5</v>
      </c>
      <c r="J152" s="13" t="n">
        <v>4</v>
      </c>
      <c r="K152" s="13" t="n">
        <v>48000</v>
      </c>
      <c r="L152" s="13" t="s">
        <v>151</v>
      </c>
      <c r="M152" s="13" t="s">
        <v>216</v>
      </c>
      <c r="N152" s="13" t="s">
        <v>142</v>
      </c>
    </row>
    <row r="153" customFormat="false" ht="15" hidden="false" customHeight="false" outlineLevel="0" collapsed="false">
      <c r="A153" s="13" t="s">
        <v>358</v>
      </c>
      <c r="B153" s="14" t="n">
        <v>41502</v>
      </c>
      <c r="C153" s="14"/>
      <c r="D153" s="13" t="n">
        <v>45</v>
      </c>
      <c r="E153" s="13" t="s">
        <v>136</v>
      </c>
      <c r="F153" s="13" t="s">
        <v>241</v>
      </c>
      <c r="G153" s="13" t="s">
        <v>191</v>
      </c>
      <c r="H153" s="13" t="s">
        <v>133</v>
      </c>
      <c r="I153" s="13" t="n">
        <v>3</v>
      </c>
      <c r="J153" s="13" t="n">
        <v>2</v>
      </c>
      <c r="K153" s="13" t="n">
        <v>81000</v>
      </c>
      <c r="L153" s="13"/>
      <c r="M153" s="13"/>
      <c r="N153" s="13" t="s">
        <v>142</v>
      </c>
    </row>
    <row r="154" customFormat="false" ht="15" hidden="false" customHeight="false" outlineLevel="0" collapsed="false">
      <c r="A154" s="13" t="s">
        <v>359</v>
      </c>
      <c r="B154" s="14" t="n">
        <v>41503</v>
      </c>
      <c r="C154" s="14" t="n">
        <v>45811</v>
      </c>
      <c r="D154" s="13" t="n">
        <v>42</v>
      </c>
      <c r="E154" s="13" t="s">
        <v>136</v>
      </c>
      <c r="F154" s="13" t="s">
        <v>170</v>
      </c>
      <c r="G154" s="13" t="s">
        <v>171</v>
      </c>
      <c r="H154" s="13" t="s">
        <v>146</v>
      </c>
      <c r="I154" s="13" t="n">
        <v>4</v>
      </c>
      <c r="J154" s="13" t="n">
        <v>3</v>
      </c>
      <c r="K154" s="13" t="n">
        <v>72000</v>
      </c>
      <c r="L154" s="13" t="s">
        <v>151</v>
      </c>
      <c r="M154" s="13" t="s">
        <v>141</v>
      </c>
      <c r="N154" s="13" t="s">
        <v>134</v>
      </c>
    </row>
    <row r="155" customFormat="false" ht="15" hidden="false" customHeight="false" outlineLevel="0" collapsed="false">
      <c r="A155" s="13" t="s">
        <v>360</v>
      </c>
      <c r="B155" s="14" t="n">
        <v>41504</v>
      </c>
      <c r="C155" s="14" t="n">
        <v>45389</v>
      </c>
      <c r="D155" s="13" t="n">
        <v>40</v>
      </c>
      <c r="E155" s="13" t="s">
        <v>144</v>
      </c>
      <c r="F155" s="13" t="s">
        <v>241</v>
      </c>
      <c r="G155" s="13" t="s">
        <v>148</v>
      </c>
      <c r="H155" s="13" t="s">
        <v>156</v>
      </c>
      <c r="I155" s="13" t="n">
        <v>3</v>
      </c>
      <c r="J155" s="13"/>
      <c r="K155" s="13" t="n">
        <v>130500</v>
      </c>
      <c r="L155" s="13" t="s">
        <v>151</v>
      </c>
      <c r="M155" s="13" t="s">
        <v>152</v>
      </c>
      <c r="N155" s="13" t="s">
        <v>134</v>
      </c>
    </row>
    <row r="156" customFormat="false" ht="15" hidden="false" customHeight="false" outlineLevel="0" collapsed="false">
      <c r="A156" s="13" t="s">
        <v>361</v>
      </c>
      <c r="B156" s="14" t="n">
        <v>41510</v>
      </c>
      <c r="C156" s="14"/>
      <c r="D156" s="13" t="n">
        <v>40</v>
      </c>
      <c r="E156" s="13" t="s">
        <v>186</v>
      </c>
      <c r="F156" s="13" t="s">
        <v>168</v>
      </c>
      <c r="G156" s="13" t="s">
        <v>171</v>
      </c>
      <c r="H156" s="13" t="s">
        <v>139</v>
      </c>
      <c r="I156" s="13" t="n">
        <v>3</v>
      </c>
      <c r="J156" s="13" t="n">
        <v>3</v>
      </c>
      <c r="K156" s="13" t="n">
        <v>48500</v>
      </c>
      <c r="L156" s="13"/>
      <c r="M156" s="13"/>
      <c r="N156" s="13" t="s">
        <v>142</v>
      </c>
    </row>
    <row r="157" customFormat="false" ht="15" hidden="false" customHeight="false" outlineLevel="0" collapsed="false">
      <c r="A157" s="13" t="s">
        <v>362</v>
      </c>
      <c r="B157" s="14" t="n">
        <v>41513</v>
      </c>
      <c r="C157" s="14"/>
      <c r="D157" s="13" t="n">
        <v>45</v>
      </c>
      <c r="E157" s="13" t="s">
        <v>144</v>
      </c>
      <c r="F157" s="13" t="s">
        <v>170</v>
      </c>
      <c r="G157" s="13" t="s">
        <v>330</v>
      </c>
      <c r="H157" s="13" t="s">
        <v>139</v>
      </c>
      <c r="I157" s="13" t="n">
        <v>3</v>
      </c>
      <c r="J157" s="13" t="n">
        <v>1</v>
      </c>
      <c r="K157" s="13" t="n">
        <v>48000</v>
      </c>
      <c r="L157" s="13"/>
      <c r="M157" s="13"/>
      <c r="N157" s="13" t="s">
        <v>134</v>
      </c>
    </row>
    <row r="158" customFormat="false" ht="15" hidden="false" customHeight="false" outlineLevel="0" collapsed="false">
      <c r="A158" s="13" t="s">
        <v>363</v>
      </c>
      <c r="B158" s="14" t="n">
        <v>41514</v>
      </c>
      <c r="C158" s="14"/>
      <c r="D158" s="13" t="n">
        <v>39</v>
      </c>
      <c r="E158" s="13" t="s">
        <v>144</v>
      </c>
      <c r="F158" s="13" t="s">
        <v>154</v>
      </c>
      <c r="G158" s="13" t="s">
        <v>171</v>
      </c>
      <c r="H158" s="13" t="s">
        <v>192</v>
      </c>
      <c r="I158" s="13" t="n">
        <v>5</v>
      </c>
      <c r="J158" s="13" t="n">
        <v>2</v>
      </c>
      <c r="K158" s="13" t="n">
        <v>238500</v>
      </c>
      <c r="L158" s="13"/>
      <c r="M158" s="13"/>
      <c r="N158" s="13" t="s">
        <v>142</v>
      </c>
    </row>
    <row r="159" customFormat="false" ht="15" hidden="false" customHeight="false" outlineLevel="0" collapsed="false">
      <c r="A159" s="13" t="s">
        <v>364</v>
      </c>
      <c r="B159" s="14" t="n">
        <v>41516</v>
      </c>
      <c r="C159" s="14"/>
      <c r="D159" s="13" t="n">
        <v>37</v>
      </c>
      <c r="E159" s="13" t="s">
        <v>144</v>
      </c>
      <c r="F159" s="13" t="s">
        <v>137</v>
      </c>
      <c r="G159" s="13" t="s">
        <v>155</v>
      </c>
      <c r="H159" s="13" t="s">
        <v>139</v>
      </c>
      <c r="I159" s="13" t="n">
        <v>3</v>
      </c>
      <c r="J159" s="13" t="n">
        <v>3</v>
      </c>
      <c r="K159" s="13" t="n">
        <v>47500</v>
      </c>
      <c r="L159" s="13"/>
      <c r="M159" s="13"/>
      <c r="N159" s="13" t="s">
        <v>142</v>
      </c>
    </row>
    <row r="160" customFormat="false" ht="15" hidden="false" customHeight="false" outlineLevel="0" collapsed="false">
      <c r="A160" s="13" t="s">
        <v>365</v>
      </c>
      <c r="B160" s="14" t="n">
        <v>41519</v>
      </c>
      <c r="C160" s="14"/>
      <c r="D160" s="13" t="n">
        <v>46</v>
      </c>
      <c r="E160" s="13" t="s">
        <v>136</v>
      </c>
      <c r="F160" s="13" t="s">
        <v>161</v>
      </c>
      <c r="G160" s="13" t="s">
        <v>191</v>
      </c>
      <c r="H160" s="13" t="s">
        <v>146</v>
      </c>
      <c r="I160" s="13" t="n">
        <v>4</v>
      </c>
      <c r="J160" s="13" t="n">
        <v>4</v>
      </c>
      <c r="K160" s="13" t="n">
        <v>67000</v>
      </c>
      <c r="L160" s="13"/>
      <c r="M160" s="13"/>
      <c r="N160" s="13" t="s">
        <v>142</v>
      </c>
    </row>
    <row r="161" customFormat="false" ht="15" hidden="false" customHeight="false" outlineLevel="0" collapsed="false">
      <c r="A161" s="13" t="s">
        <v>366</v>
      </c>
      <c r="B161" s="14" t="n">
        <v>41525</v>
      </c>
      <c r="C161" s="14"/>
      <c r="D161" s="13" t="n">
        <v>40</v>
      </c>
      <c r="E161" s="13" t="s">
        <v>144</v>
      </c>
      <c r="F161" s="13" t="s">
        <v>161</v>
      </c>
      <c r="G161" s="13" t="s">
        <v>224</v>
      </c>
      <c r="H161" s="13" t="s">
        <v>146</v>
      </c>
      <c r="I161" s="13" t="n">
        <v>3</v>
      </c>
      <c r="J161" s="13" t="n">
        <v>2</v>
      </c>
      <c r="K161" s="13" t="n">
        <v>75000</v>
      </c>
      <c r="L161" s="13"/>
      <c r="M161" s="13"/>
      <c r="N161" s="13" t="s">
        <v>142</v>
      </c>
    </row>
    <row r="162" customFormat="false" ht="15" hidden="false" customHeight="false" outlineLevel="0" collapsed="false">
      <c r="A162" s="13" t="s">
        <v>367</v>
      </c>
      <c r="B162" s="14" t="n">
        <v>41526</v>
      </c>
      <c r="C162" s="14" t="n">
        <v>45411</v>
      </c>
      <c r="D162" s="13" t="n">
        <v>38</v>
      </c>
      <c r="E162" s="13" t="s">
        <v>136</v>
      </c>
      <c r="F162" s="13" t="s">
        <v>154</v>
      </c>
      <c r="G162" s="13" t="s">
        <v>155</v>
      </c>
      <c r="H162" s="13" t="s">
        <v>219</v>
      </c>
      <c r="I162" s="13" t="n">
        <v>2</v>
      </c>
      <c r="J162" s="13" t="n">
        <v>1</v>
      </c>
      <c r="K162" s="13" t="n">
        <v>50000</v>
      </c>
      <c r="L162" s="13" t="s">
        <v>151</v>
      </c>
      <c r="M162" s="13" t="s">
        <v>216</v>
      </c>
      <c r="N162" s="13" t="s">
        <v>142</v>
      </c>
    </row>
    <row r="163" customFormat="false" ht="15" hidden="false" customHeight="false" outlineLevel="0" collapsed="false">
      <c r="A163" s="13" t="s">
        <v>368</v>
      </c>
      <c r="B163" s="14" t="n">
        <v>41530</v>
      </c>
      <c r="C163" s="14"/>
      <c r="D163" s="13" t="n">
        <v>43</v>
      </c>
      <c r="E163" s="13" t="s">
        <v>136</v>
      </c>
      <c r="F163" s="13" t="s">
        <v>164</v>
      </c>
      <c r="G163" s="13" t="s">
        <v>184</v>
      </c>
      <c r="H163" s="13" t="s">
        <v>146</v>
      </c>
      <c r="I163" s="13" t="n">
        <v>3</v>
      </c>
      <c r="J163" s="13" t="n">
        <v>1</v>
      </c>
      <c r="K163" s="13" t="n">
        <v>76000</v>
      </c>
      <c r="L163" s="13"/>
      <c r="M163" s="13"/>
      <c r="N163" s="13" t="s">
        <v>142</v>
      </c>
    </row>
    <row r="164" customFormat="false" ht="15" hidden="false" customHeight="false" outlineLevel="0" collapsed="false">
      <c r="A164" s="13" t="s">
        <v>369</v>
      </c>
      <c r="B164" s="14" t="n">
        <v>41531</v>
      </c>
      <c r="C164" s="14" t="n">
        <v>45277</v>
      </c>
      <c r="D164" s="13" t="n">
        <v>37</v>
      </c>
      <c r="E164" s="13" t="s">
        <v>163</v>
      </c>
      <c r="F164" s="13" t="s">
        <v>137</v>
      </c>
      <c r="G164" s="13" t="s">
        <v>148</v>
      </c>
      <c r="H164" s="13" t="s">
        <v>156</v>
      </c>
      <c r="I164" s="13" t="n">
        <v>3</v>
      </c>
      <c r="J164" s="13" t="n">
        <v>4</v>
      </c>
      <c r="K164" s="13" t="n">
        <v>110000</v>
      </c>
      <c r="L164" s="13" t="s">
        <v>151</v>
      </c>
      <c r="M164" s="13" t="s">
        <v>216</v>
      </c>
      <c r="N164" s="13" t="s">
        <v>142</v>
      </c>
    </row>
    <row r="165" customFormat="false" ht="15" hidden="false" customHeight="false" outlineLevel="0" collapsed="false">
      <c r="A165" s="13" t="s">
        <v>370</v>
      </c>
      <c r="B165" s="14" t="n">
        <v>41539</v>
      </c>
      <c r="C165" s="14"/>
      <c r="D165" s="13" t="n">
        <v>37</v>
      </c>
      <c r="E165" s="13" t="s">
        <v>136</v>
      </c>
      <c r="F165" s="13" t="s">
        <v>145</v>
      </c>
      <c r="G165" s="13" t="s">
        <v>148</v>
      </c>
      <c r="H165" s="13" t="s">
        <v>146</v>
      </c>
      <c r="I165" s="13" t="n">
        <v>3</v>
      </c>
      <c r="J165" s="13" t="n">
        <v>2</v>
      </c>
      <c r="K165" s="13" t="n">
        <v>74000</v>
      </c>
      <c r="L165" s="13"/>
      <c r="M165" s="13"/>
      <c r="N165" s="13" t="s">
        <v>142</v>
      </c>
    </row>
    <row r="166" customFormat="false" ht="15" hidden="false" customHeight="false" outlineLevel="0" collapsed="false">
      <c r="A166" s="13" t="s">
        <v>371</v>
      </c>
      <c r="B166" s="14" t="n">
        <v>41542</v>
      </c>
      <c r="C166" s="14" t="n">
        <v>45283</v>
      </c>
      <c r="D166" s="13" t="n">
        <v>44</v>
      </c>
      <c r="E166" s="13" t="s">
        <v>144</v>
      </c>
      <c r="F166" s="13" t="s">
        <v>164</v>
      </c>
      <c r="G166" s="13" t="s">
        <v>138</v>
      </c>
      <c r="H166" s="13" t="s">
        <v>156</v>
      </c>
      <c r="I166" s="13" t="n">
        <v>4</v>
      </c>
      <c r="J166" s="13" t="n">
        <v>2</v>
      </c>
      <c r="K166" s="13" t="n">
        <v>105500</v>
      </c>
      <c r="L166" s="13" t="s">
        <v>173</v>
      </c>
      <c r="M166" s="13" t="s">
        <v>310</v>
      </c>
      <c r="N166" s="13" t="s">
        <v>142</v>
      </c>
    </row>
    <row r="167" customFormat="false" ht="15" hidden="false" customHeight="false" outlineLevel="0" collapsed="false">
      <c r="A167" s="13" t="s">
        <v>372</v>
      </c>
      <c r="B167" s="14" t="n">
        <v>41544</v>
      </c>
      <c r="C167" s="14"/>
      <c r="D167" s="13" t="n">
        <v>47</v>
      </c>
      <c r="E167" s="13" t="s">
        <v>144</v>
      </c>
      <c r="F167" s="13" t="s">
        <v>161</v>
      </c>
      <c r="G167" s="13" t="s">
        <v>132</v>
      </c>
      <c r="H167" s="13" t="s">
        <v>192</v>
      </c>
      <c r="I167" s="13" t="n">
        <v>3</v>
      </c>
      <c r="J167" s="13" t="n">
        <v>1</v>
      </c>
      <c r="K167" s="13" t="n">
        <v>241500</v>
      </c>
      <c r="L167" s="13"/>
      <c r="M167" s="13"/>
      <c r="N167" s="13" t="s">
        <v>142</v>
      </c>
    </row>
    <row r="168" customFormat="false" ht="15" hidden="false" customHeight="false" outlineLevel="0" collapsed="false">
      <c r="A168" s="13" t="s">
        <v>373</v>
      </c>
      <c r="B168" s="14" t="n">
        <v>41552</v>
      </c>
      <c r="C168" s="14"/>
      <c r="D168" s="13" t="n">
        <v>37</v>
      </c>
      <c r="E168" s="13" t="s">
        <v>136</v>
      </c>
      <c r="F168" s="13" t="s">
        <v>241</v>
      </c>
      <c r="G168" s="13" t="s">
        <v>374</v>
      </c>
      <c r="H168" s="13" t="s">
        <v>139</v>
      </c>
      <c r="I168" s="13" t="n">
        <v>4</v>
      </c>
      <c r="J168" s="13" t="n">
        <v>3</v>
      </c>
      <c r="K168" s="13" t="n">
        <v>45500</v>
      </c>
      <c r="L168" s="13"/>
      <c r="M168" s="13"/>
      <c r="N168" s="13" t="s">
        <v>142</v>
      </c>
    </row>
    <row r="169" customFormat="false" ht="15" hidden="false" customHeight="false" outlineLevel="0" collapsed="false">
      <c r="A169" s="13" t="s">
        <v>375</v>
      </c>
      <c r="B169" s="14" t="n">
        <v>41556</v>
      </c>
      <c r="C169" s="14"/>
      <c r="D169" s="13" t="n">
        <v>40</v>
      </c>
      <c r="E169" s="13" t="s">
        <v>130</v>
      </c>
      <c r="F169" s="13" t="s">
        <v>154</v>
      </c>
      <c r="G169" s="13" t="s">
        <v>184</v>
      </c>
      <c r="H169" s="13" t="s">
        <v>156</v>
      </c>
      <c r="I169" s="13" t="n">
        <v>5</v>
      </c>
      <c r="J169" s="13" t="n">
        <v>2</v>
      </c>
      <c r="K169" s="13" t="n">
        <v>121000</v>
      </c>
      <c r="L169" s="13"/>
      <c r="M169" s="13"/>
      <c r="N169" s="13" t="s">
        <v>134</v>
      </c>
    </row>
    <row r="170" customFormat="false" ht="15" hidden="false" customHeight="false" outlineLevel="0" collapsed="false">
      <c r="A170" s="13" t="s">
        <v>376</v>
      </c>
      <c r="B170" s="14" t="n">
        <v>41562</v>
      </c>
      <c r="C170" s="14"/>
      <c r="D170" s="13" t="n">
        <v>44</v>
      </c>
      <c r="E170" s="13" t="s">
        <v>144</v>
      </c>
      <c r="F170" s="13" t="s">
        <v>239</v>
      </c>
      <c r="G170" s="13" t="s">
        <v>191</v>
      </c>
      <c r="H170" s="13" t="s">
        <v>139</v>
      </c>
      <c r="I170" s="13" t="n">
        <v>4</v>
      </c>
      <c r="J170" s="13" t="n">
        <v>1</v>
      </c>
      <c r="K170" s="13" t="n">
        <v>50000</v>
      </c>
      <c r="L170" s="13"/>
      <c r="M170" s="13"/>
      <c r="N170" s="13" t="s">
        <v>142</v>
      </c>
    </row>
    <row r="171" customFormat="false" ht="15" hidden="false" customHeight="false" outlineLevel="0" collapsed="false">
      <c r="A171" s="13" t="s">
        <v>377</v>
      </c>
      <c r="B171" s="14" t="n">
        <v>41562</v>
      </c>
      <c r="C171" s="14"/>
      <c r="D171" s="13" t="n">
        <v>47</v>
      </c>
      <c r="E171" s="13" t="s">
        <v>259</v>
      </c>
      <c r="F171" s="13" t="s">
        <v>229</v>
      </c>
      <c r="G171" s="13" t="s">
        <v>138</v>
      </c>
      <c r="H171" s="13" t="s">
        <v>146</v>
      </c>
      <c r="I171" s="13" t="n">
        <v>2</v>
      </c>
      <c r="J171" s="13" t="n">
        <v>3</v>
      </c>
      <c r="K171" s="13" t="n">
        <v>80000</v>
      </c>
      <c r="L171" s="13"/>
      <c r="M171" s="13"/>
      <c r="N171" s="13" t="s">
        <v>142</v>
      </c>
    </row>
    <row r="172" customFormat="false" ht="15" hidden="false" customHeight="false" outlineLevel="0" collapsed="false">
      <c r="A172" s="13" t="s">
        <v>378</v>
      </c>
      <c r="B172" s="14" t="n">
        <v>41565</v>
      </c>
      <c r="C172" s="14"/>
      <c r="D172" s="13" t="n">
        <v>45</v>
      </c>
      <c r="E172" s="13" t="s">
        <v>136</v>
      </c>
      <c r="F172" s="13" t="s">
        <v>170</v>
      </c>
      <c r="G172" s="13" t="s">
        <v>138</v>
      </c>
      <c r="H172" s="13" t="s">
        <v>149</v>
      </c>
      <c r="I172" s="13" t="n">
        <v>5</v>
      </c>
      <c r="J172" s="13" t="n">
        <v>3</v>
      </c>
      <c r="K172" s="13" t="n">
        <v>133500</v>
      </c>
      <c r="L172" s="13"/>
      <c r="M172" s="13"/>
      <c r="N172" s="13" t="s">
        <v>142</v>
      </c>
    </row>
    <row r="173" customFormat="false" ht="15" hidden="false" customHeight="false" outlineLevel="0" collapsed="false">
      <c r="A173" s="13" t="s">
        <v>379</v>
      </c>
      <c r="B173" s="14" t="n">
        <v>41566</v>
      </c>
      <c r="C173" s="14"/>
      <c r="D173" s="13" t="n">
        <v>45</v>
      </c>
      <c r="E173" s="13" t="s">
        <v>136</v>
      </c>
      <c r="F173" s="13" t="s">
        <v>168</v>
      </c>
      <c r="G173" s="13" t="s">
        <v>374</v>
      </c>
      <c r="H173" s="13" t="s">
        <v>192</v>
      </c>
      <c r="I173" s="13" t="n">
        <v>3</v>
      </c>
      <c r="J173" s="13" t="n">
        <v>2</v>
      </c>
      <c r="K173" s="13" t="n">
        <v>242500</v>
      </c>
      <c r="L173" s="13"/>
      <c r="M173" s="13"/>
      <c r="N173" s="13" t="s">
        <v>157</v>
      </c>
    </row>
    <row r="174" customFormat="false" ht="15" hidden="false" customHeight="false" outlineLevel="0" collapsed="false">
      <c r="A174" s="13" t="s">
        <v>380</v>
      </c>
      <c r="B174" s="14" t="n">
        <v>41575</v>
      </c>
      <c r="C174" s="14" t="n">
        <v>45394</v>
      </c>
      <c r="D174" s="13" t="n">
        <v>37</v>
      </c>
      <c r="E174" s="13" t="s">
        <v>259</v>
      </c>
      <c r="F174" s="13" t="s">
        <v>161</v>
      </c>
      <c r="G174" s="13" t="s">
        <v>155</v>
      </c>
      <c r="H174" s="13" t="s">
        <v>146</v>
      </c>
      <c r="I174" s="13" t="n">
        <v>3</v>
      </c>
      <c r="J174" s="13" t="n">
        <v>1</v>
      </c>
      <c r="K174" s="13" t="n">
        <v>68500</v>
      </c>
      <c r="L174" s="13" t="s">
        <v>151</v>
      </c>
      <c r="M174" s="13" t="s">
        <v>159</v>
      </c>
      <c r="N174" s="13" t="s">
        <v>142</v>
      </c>
    </row>
    <row r="175" customFormat="false" ht="15" hidden="false" customHeight="false" outlineLevel="0" collapsed="false">
      <c r="A175" s="13" t="s">
        <v>381</v>
      </c>
      <c r="B175" s="14" t="n">
        <v>41591</v>
      </c>
      <c r="C175" s="14"/>
      <c r="D175" s="13" t="n">
        <v>42</v>
      </c>
      <c r="E175" s="13" t="s">
        <v>136</v>
      </c>
      <c r="F175" s="13" t="s">
        <v>241</v>
      </c>
      <c r="G175" s="13" t="s">
        <v>155</v>
      </c>
      <c r="H175" s="13" t="s">
        <v>156</v>
      </c>
      <c r="I175" s="13" t="n">
        <v>4</v>
      </c>
      <c r="J175" s="13" t="n">
        <v>3</v>
      </c>
      <c r="K175" s="13" t="n">
        <v>128500</v>
      </c>
      <c r="L175" s="13"/>
      <c r="M175" s="13"/>
      <c r="N175" s="13" t="s">
        <v>134</v>
      </c>
    </row>
    <row r="176" customFormat="false" ht="15" hidden="false" customHeight="false" outlineLevel="0" collapsed="false">
      <c r="A176" s="13" t="s">
        <v>382</v>
      </c>
      <c r="B176" s="14" t="n">
        <v>41592</v>
      </c>
      <c r="C176" s="14"/>
      <c r="D176" s="13" t="n">
        <v>46</v>
      </c>
      <c r="E176" s="13" t="s">
        <v>130</v>
      </c>
      <c r="F176" s="13" t="s">
        <v>168</v>
      </c>
      <c r="G176" s="13" t="s">
        <v>297</v>
      </c>
      <c r="H176" s="13" t="s">
        <v>146</v>
      </c>
      <c r="I176" s="13" t="n">
        <v>4</v>
      </c>
      <c r="J176" s="13" t="n">
        <v>1</v>
      </c>
      <c r="K176" s="13" t="n">
        <v>76500</v>
      </c>
      <c r="L176" s="13"/>
      <c r="M176" s="13"/>
      <c r="N176" s="13" t="s">
        <v>142</v>
      </c>
    </row>
    <row r="177" customFormat="false" ht="15" hidden="false" customHeight="false" outlineLevel="0" collapsed="false">
      <c r="A177" s="13" t="s">
        <v>383</v>
      </c>
      <c r="B177" s="14" t="n">
        <v>41592</v>
      </c>
      <c r="C177" s="14" t="n">
        <v>45960</v>
      </c>
      <c r="D177" s="13" t="n">
        <v>35</v>
      </c>
      <c r="E177" s="13" t="s">
        <v>144</v>
      </c>
      <c r="F177" s="13" t="s">
        <v>137</v>
      </c>
      <c r="G177" s="13" t="s">
        <v>138</v>
      </c>
      <c r="H177" s="13" t="s">
        <v>139</v>
      </c>
      <c r="I177" s="13" t="n">
        <v>3</v>
      </c>
      <c r="J177" s="13" t="n">
        <v>2</v>
      </c>
      <c r="K177" s="13" t="n">
        <v>49000</v>
      </c>
      <c r="L177" s="13" t="s">
        <v>151</v>
      </c>
      <c r="M177" s="13" t="s">
        <v>141</v>
      </c>
      <c r="N177" s="13" t="s">
        <v>142</v>
      </c>
    </row>
    <row r="178" customFormat="false" ht="15" hidden="false" customHeight="false" outlineLevel="0" collapsed="false">
      <c r="A178" s="13" t="s">
        <v>384</v>
      </c>
      <c r="B178" s="14" t="n">
        <v>41594</v>
      </c>
      <c r="C178" s="14" t="n">
        <v>45315</v>
      </c>
      <c r="D178" s="13" t="n">
        <v>44</v>
      </c>
      <c r="E178" s="13" t="s">
        <v>130</v>
      </c>
      <c r="F178" s="13" t="s">
        <v>241</v>
      </c>
      <c r="G178" s="13" t="s">
        <v>155</v>
      </c>
      <c r="H178" s="13" t="s">
        <v>139</v>
      </c>
      <c r="I178" s="13" t="n">
        <v>4</v>
      </c>
      <c r="J178" s="13" t="n">
        <v>2</v>
      </c>
      <c r="K178" s="13" t="n">
        <v>48500</v>
      </c>
      <c r="L178" s="13" t="s">
        <v>151</v>
      </c>
      <c r="M178" s="13" t="s">
        <v>159</v>
      </c>
      <c r="N178" s="13" t="s">
        <v>134</v>
      </c>
    </row>
    <row r="179" customFormat="false" ht="15" hidden="false" customHeight="false" outlineLevel="0" collapsed="false">
      <c r="A179" s="13" t="s">
        <v>385</v>
      </c>
      <c r="B179" s="14" t="n">
        <v>41594</v>
      </c>
      <c r="C179" s="14"/>
      <c r="D179" s="13" t="n">
        <v>42</v>
      </c>
      <c r="E179" s="13" t="s">
        <v>136</v>
      </c>
      <c r="F179" s="13" t="s">
        <v>170</v>
      </c>
      <c r="G179" s="13" t="s">
        <v>386</v>
      </c>
      <c r="H179" s="13" t="s">
        <v>156</v>
      </c>
      <c r="I179" s="13" t="n">
        <v>1</v>
      </c>
      <c r="J179" s="13" t="n">
        <v>1</v>
      </c>
      <c r="K179" s="13" t="n">
        <v>138000</v>
      </c>
      <c r="L179" s="13"/>
      <c r="M179" s="13"/>
      <c r="N179" s="13" t="s">
        <v>142</v>
      </c>
    </row>
    <row r="180" customFormat="false" ht="15" hidden="false" customHeight="false" outlineLevel="0" collapsed="false">
      <c r="A180" s="13" t="s">
        <v>387</v>
      </c>
      <c r="B180" s="14" t="n">
        <v>41602</v>
      </c>
      <c r="C180" s="14"/>
      <c r="D180" s="13" t="n">
        <v>38</v>
      </c>
      <c r="E180" s="13" t="s">
        <v>136</v>
      </c>
      <c r="F180" s="13" t="s">
        <v>154</v>
      </c>
      <c r="G180" s="13" t="s">
        <v>155</v>
      </c>
      <c r="H180" s="13" t="s">
        <v>178</v>
      </c>
      <c r="I180" s="13" t="n">
        <v>4</v>
      </c>
      <c r="J180" s="13" t="n">
        <v>3</v>
      </c>
      <c r="K180" s="13" t="n">
        <v>154500</v>
      </c>
      <c r="L180" s="13"/>
      <c r="M180" s="13"/>
      <c r="N180" s="13" t="s">
        <v>134</v>
      </c>
    </row>
    <row r="181" customFormat="false" ht="15" hidden="false" customHeight="false" outlineLevel="0" collapsed="false">
      <c r="A181" s="13" t="s">
        <v>388</v>
      </c>
      <c r="B181" s="14" t="n">
        <v>41605</v>
      </c>
      <c r="C181" s="14" t="n">
        <v>44569</v>
      </c>
      <c r="D181" s="13" t="n">
        <v>40</v>
      </c>
      <c r="E181" s="13" t="s">
        <v>136</v>
      </c>
      <c r="F181" s="13" t="s">
        <v>168</v>
      </c>
      <c r="G181" s="13" t="s">
        <v>148</v>
      </c>
      <c r="H181" s="13" t="s">
        <v>139</v>
      </c>
      <c r="I181" s="13" t="n">
        <v>3</v>
      </c>
      <c r="J181" s="13" t="n">
        <v>4</v>
      </c>
      <c r="K181" s="13" t="n">
        <v>56000</v>
      </c>
      <c r="L181" s="13" t="s">
        <v>151</v>
      </c>
      <c r="M181" s="13" t="s">
        <v>203</v>
      </c>
      <c r="N181" s="13" t="s">
        <v>142</v>
      </c>
    </row>
    <row r="182" customFormat="false" ht="15" hidden="false" customHeight="false" outlineLevel="0" collapsed="false">
      <c r="A182" s="13" t="s">
        <v>389</v>
      </c>
      <c r="B182" s="14" t="n">
        <v>41606</v>
      </c>
      <c r="C182" s="14"/>
      <c r="D182" s="13" t="n">
        <v>43</v>
      </c>
      <c r="E182" s="13" t="s">
        <v>144</v>
      </c>
      <c r="F182" s="13" t="s">
        <v>241</v>
      </c>
      <c r="G182" s="13" t="s">
        <v>138</v>
      </c>
      <c r="H182" s="13" t="s">
        <v>149</v>
      </c>
      <c r="I182" s="13" t="n">
        <v>3</v>
      </c>
      <c r="J182" s="13" t="n">
        <v>1</v>
      </c>
      <c r="K182" s="13" t="n">
        <v>170500</v>
      </c>
      <c r="L182" s="13"/>
      <c r="M182" s="13"/>
      <c r="N182" s="13" t="s">
        <v>142</v>
      </c>
    </row>
    <row r="183" customFormat="false" ht="15" hidden="false" customHeight="false" outlineLevel="0" collapsed="false">
      <c r="A183" s="13" t="s">
        <v>390</v>
      </c>
      <c r="B183" s="14" t="n">
        <v>41612</v>
      </c>
      <c r="C183" s="14"/>
      <c r="D183" s="13" t="n">
        <v>38</v>
      </c>
      <c r="E183" s="13" t="s">
        <v>144</v>
      </c>
      <c r="F183" s="13" t="s">
        <v>164</v>
      </c>
      <c r="G183" s="13" t="s">
        <v>138</v>
      </c>
      <c r="H183" s="13" t="s">
        <v>156</v>
      </c>
      <c r="I183" s="13" t="n">
        <v>2</v>
      </c>
      <c r="J183" s="13" t="n">
        <v>4</v>
      </c>
      <c r="K183" s="13" t="n">
        <v>117000</v>
      </c>
      <c r="L183" s="13"/>
      <c r="M183" s="13"/>
      <c r="N183" s="13" t="s">
        <v>142</v>
      </c>
    </row>
    <row r="184" customFormat="false" ht="15" hidden="false" customHeight="false" outlineLevel="0" collapsed="false">
      <c r="A184" s="13" t="s">
        <v>391</v>
      </c>
      <c r="B184" s="14" t="n">
        <v>41613</v>
      </c>
      <c r="C184" s="14"/>
      <c r="D184" s="13" t="n">
        <v>40</v>
      </c>
      <c r="E184" s="13" t="s">
        <v>259</v>
      </c>
      <c r="F184" s="13" t="s">
        <v>137</v>
      </c>
      <c r="G184" s="13" t="s">
        <v>155</v>
      </c>
      <c r="H184" s="13" t="s">
        <v>146</v>
      </c>
      <c r="I184" s="13" t="n">
        <v>3</v>
      </c>
      <c r="J184" s="13" t="n">
        <v>2</v>
      </c>
      <c r="K184" s="13" t="n">
        <v>71000</v>
      </c>
      <c r="L184" s="13"/>
      <c r="M184" s="13"/>
      <c r="N184" s="13" t="s">
        <v>142</v>
      </c>
    </row>
    <row r="185" customFormat="false" ht="15" hidden="false" customHeight="false" outlineLevel="0" collapsed="false">
      <c r="A185" s="13" t="s">
        <v>392</v>
      </c>
      <c r="B185" s="14" t="n">
        <v>41619</v>
      </c>
      <c r="C185" s="14"/>
      <c r="D185" s="13" t="n">
        <v>37</v>
      </c>
      <c r="E185" s="13" t="s">
        <v>136</v>
      </c>
      <c r="F185" s="13" t="s">
        <v>145</v>
      </c>
      <c r="G185" s="13" t="s">
        <v>138</v>
      </c>
      <c r="H185" s="13" t="s">
        <v>156</v>
      </c>
      <c r="I185" s="13" t="n">
        <v>3</v>
      </c>
      <c r="J185" s="13" t="n">
        <v>4</v>
      </c>
      <c r="K185" s="13" t="n">
        <v>98000</v>
      </c>
      <c r="L185" s="13"/>
      <c r="M185" s="13"/>
      <c r="N185" s="13" t="s">
        <v>134</v>
      </c>
    </row>
    <row r="186" customFormat="false" ht="15" hidden="false" customHeight="false" outlineLevel="0" collapsed="false">
      <c r="A186" s="13" t="s">
        <v>393</v>
      </c>
      <c r="B186" s="14" t="n">
        <v>41625</v>
      </c>
      <c r="C186" s="14" t="n">
        <v>45370</v>
      </c>
      <c r="D186" s="13" t="n">
        <v>38</v>
      </c>
      <c r="E186" s="13" t="s">
        <v>144</v>
      </c>
      <c r="F186" s="13" t="s">
        <v>168</v>
      </c>
      <c r="G186" s="13" t="s">
        <v>155</v>
      </c>
      <c r="H186" s="13" t="s">
        <v>139</v>
      </c>
      <c r="I186" s="13" t="n">
        <v>4</v>
      </c>
      <c r="J186" s="13" t="n">
        <v>3</v>
      </c>
      <c r="K186" s="13" t="n">
        <v>50000</v>
      </c>
      <c r="L186" s="13" t="s">
        <v>151</v>
      </c>
      <c r="M186" s="13" t="s">
        <v>201</v>
      </c>
      <c r="N186" s="13" t="s">
        <v>142</v>
      </c>
    </row>
    <row r="187" customFormat="false" ht="15" hidden="false" customHeight="false" outlineLevel="0" collapsed="false">
      <c r="A187" s="13" t="s">
        <v>394</v>
      </c>
      <c r="B187" s="14" t="n">
        <v>41626</v>
      </c>
      <c r="C187" s="14" t="n">
        <v>45360</v>
      </c>
      <c r="D187" s="13" t="n">
        <v>34</v>
      </c>
      <c r="E187" s="13" t="s">
        <v>136</v>
      </c>
      <c r="F187" s="13" t="s">
        <v>229</v>
      </c>
      <c r="G187" s="13" t="s">
        <v>191</v>
      </c>
      <c r="H187" s="13" t="s">
        <v>139</v>
      </c>
      <c r="I187" s="13" t="n">
        <v>4</v>
      </c>
      <c r="J187" s="13" t="n">
        <v>1</v>
      </c>
      <c r="K187" s="13" t="n">
        <v>48000</v>
      </c>
      <c r="L187" s="13" t="s">
        <v>151</v>
      </c>
      <c r="M187" s="13" t="s">
        <v>314</v>
      </c>
      <c r="N187" s="13" t="s">
        <v>142</v>
      </c>
    </row>
    <row r="188" customFormat="false" ht="15" hidden="false" customHeight="false" outlineLevel="0" collapsed="false">
      <c r="A188" s="13" t="s">
        <v>395</v>
      </c>
      <c r="B188" s="14" t="n">
        <v>41628</v>
      </c>
      <c r="C188" s="14"/>
      <c r="D188" s="13" t="n">
        <v>34</v>
      </c>
      <c r="E188" s="13" t="s">
        <v>136</v>
      </c>
      <c r="F188" s="13" t="s">
        <v>239</v>
      </c>
      <c r="G188" s="13" t="s">
        <v>330</v>
      </c>
      <c r="H188" s="13" t="s">
        <v>146</v>
      </c>
      <c r="I188" s="13" t="n">
        <v>5</v>
      </c>
      <c r="J188" s="13" t="n">
        <v>3</v>
      </c>
      <c r="K188" s="13" t="n">
        <v>67000</v>
      </c>
      <c r="L188" s="13"/>
      <c r="M188" s="13"/>
      <c r="N188" s="13" t="s">
        <v>142</v>
      </c>
    </row>
    <row r="189" customFormat="false" ht="15" hidden="false" customHeight="false" outlineLevel="0" collapsed="false">
      <c r="A189" s="13" t="s">
        <v>396</v>
      </c>
      <c r="B189" s="14" t="n">
        <v>41642</v>
      </c>
      <c r="C189" s="14"/>
      <c r="D189" s="13" t="n">
        <v>45</v>
      </c>
      <c r="E189" s="13" t="s">
        <v>144</v>
      </c>
      <c r="F189" s="13" t="s">
        <v>137</v>
      </c>
      <c r="G189" s="13" t="s">
        <v>138</v>
      </c>
      <c r="H189" s="13" t="s">
        <v>156</v>
      </c>
      <c r="I189" s="13" t="n">
        <v>4</v>
      </c>
      <c r="J189" s="13" t="n">
        <v>1</v>
      </c>
      <c r="K189" s="13" t="n">
        <v>107500</v>
      </c>
      <c r="L189" s="13"/>
      <c r="M189" s="13"/>
      <c r="N189" s="13" t="s">
        <v>142</v>
      </c>
    </row>
    <row r="190" customFormat="false" ht="15" hidden="false" customHeight="false" outlineLevel="0" collapsed="false">
      <c r="A190" s="13" t="s">
        <v>397</v>
      </c>
      <c r="B190" s="14" t="n">
        <v>41647</v>
      </c>
      <c r="C190" s="14" t="n">
        <v>45561</v>
      </c>
      <c r="D190" s="13" t="n">
        <v>32</v>
      </c>
      <c r="E190" s="13" t="s">
        <v>163</v>
      </c>
      <c r="F190" s="13" t="s">
        <v>154</v>
      </c>
      <c r="G190" s="13" t="s">
        <v>374</v>
      </c>
      <c r="H190" s="13" t="s">
        <v>139</v>
      </c>
      <c r="I190" s="13" t="n">
        <v>5</v>
      </c>
      <c r="J190" s="13" t="n">
        <v>3</v>
      </c>
      <c r="K190" s="13" t="n">
        <v>39000</v>
      </c>
      <c r="L190" s="13" t="s">
        <v>151</v>
      </c>
      <c r="M190" s="13" t="s">
        <v>152</v>
      </c>
      <c r="N190" s="13" t="s">
        <v>134</v>
      </c>
    </row>
    <row r="191" customFormat="false" ht="15" hidden="false" customHeight="false" outlineLevel="0" collapsed="false">
      <c r="A191" s="13" t="s">
        <v>398</v>
      </c>
      <c r="B191" s="14" t="n">
        <v>41649</v>
      </c>
      <c r="C191" s="14"/>
      <c r="D191" s="13" t="n">
        <v>34</v>
      </c>
      <c r="E191" s="13" t="s">
        <v>136</v>
      </c>
      <c r="F191" s="13" t="s">
        <v>168</v>
      </c>
      <c r="G191" s="13" t="s">
        <v>132</v>
      </c>
      <c r="H191" s="13" t="s">
        <v>139</v>
      </c>
      <c r="I191" s="13" t="n">
        <v>4</v>
      </c>
      <c r="J191" s="13" t="n">
        <v>1</v>
      </c>
      <c r="K191" s="13" t="n">
        <v>51000</v>
      </c>
      <c r="L191" s="13"/>
      <c r="M191" s="13"/>
      <c r="N191" s="13" t="s">
        <v>142</v>
      </c>
    </row>
    <row r="192" customFormat="false" ht="15" hidden="false" customHeight="false" outlineLevel="0" collapsed="false">
      <c r="A192" s="13" t="s">
        <v>399</v>
      </c>
      <c r="B192" s="14" t="n">
        <v>41654</v>
      </c>
      <c r="C192" s="14"/>
      <c r="D192" s="13" t="n">
        <v>36</v>
      </c>
      <c r="E192" s="13" t="s">
        <v>144</v>
      </c>
      <c r="F192" s="13" t="s">
        <v>161</v>
      </c>
      <c r="G192" s="13" t="s">
        <v>155</v>
      </c>
      <c r="H192" s="13" t="s">
        <v>192</v>
      </c>
      <c r="I192" s="13" t="n">
        <v>3</v>
      </c>
      <c r="J192" s="13" t="n">
        <v>4</v>
      </c>
      <c r="K192" s="13" t="n">
        <v>198500</v>
      </c>
      <c r="L192" s="13"/>
      <c r="M192" s="13"/>
      <c r="N192" s="13" t="s">
        <v>142</v>
      </c>
    </row>
    <row r="193" customFormat="false" ht="15" hidden="false" customHeight="false" outlineLevel="0" collapsed="false">
      <c r="A193" s="13" t="s">
        <v>400</v>
      </c>
      <c r="B193" s="14" t="n">
        <v>41656</v>
      </c>
      <c r="C193" s="14"/>
      <c r="D193" s="13" t="n">
        <v>52</v>
      </c>
      <c r="E193" s="13" t="s">
        <v>144</v>
      </c>
      <c r="F193" s="13" t="s">
        <v>168</v>
      </c>
      <c r="G193" s="13" t="s">
        <v>155</v>
      </c>
      <c r="H193" s="13" t="s">
        <v>156</v>
      </c>
      <c r="I193" s="13" t="n">
        <v>3</v>
      </c>
      <c r="J193" s="13" t="n">
        <v>3</v>
      </c>
      <c r="K193" s="13" t="n">
        <v>113000</v>
      </c>
      <c r="L193" s="13"/>
      <c r="M193" s="13"/>
      <c r="N193" s="13" t="s">
        <v>142</v>
      </c>
    </row>
    <row r="194" customFormat="false" ht="15" hidden="false" customHeight="false" outlineLevel="0" collapsed="false">
      <c r="A194" s="13" t="s">
        <v>401</v>
      </c>
      <c r="B194" s="14" t="n">
        <v>41658</v>
      </c>
      <c r="C194" s="14" t="n">
        <v>45936</v>
      </c>
      <c r="D194" s="13" t="n">
        <v>33</v>
      </c>
      <c r="E194" s="13" t="s">
        <v>144</v>
      </c>
      <c r="F194" s="13" t="s">
        <v>168</v>
      </c>
      <c r="G194" s="13" t="s">
        <v>191</v>
      </c>
      <c r="H194" s="13" t="s">
        <v>178</v>
      </c>
      <c r="I194" s="13" t="n">
        <v>4</v>
      </c>
      <c r="J194" s="13" t="n">
        <v>3</v>
      </c>
      <c r="K194" s="13" t="n">
        <v>169500</v>
      </c>
      <c r="L194" s="13" t="s">
        <v>151</v>
      </c>
      <c r="M194" s="13" t="s">
        <v>201</v>
      </c>
      <c r="N194" s="13" t="s">
        <v>134</v>
      </c>
    </row>
    <row r="195" customFormat="false" ht="15" hidden="false" customHeight="false" outlineLevel="0" collapsed="false">
      <c r="A195" s="13" t="s">
        <v>402</v>
      </c>
      <c r="B195" s="14" t="n">
        <v>41660</v>
      </c>
      <c r="C195" s="14"/>
      <c r="D195" s="13" t="n">
        <v>39</v>
      </c>
      <c r="E195" s="13" t="s">
        <v>136</v>
      </c>
      <c r="F195" s="13" t="s">
        <v>164</v>
      </c>
      <c r="G195" s="13" t="s">
        <v>155</v>
      </c>
      <c r="H195" s="13" t="s">
        <v>192</v>
      </c>
      <c r="I195" s="13" t="n">
        <v>2</v>
      </c>
      <c r="J195" s="13"/>
      <c r="K195" s="13" t="n">
        <v>252500</v>
      </c>
      <c r="L195" s="13"/>
      <c r="M195" s="13"/>
      <c r="N195" s="13" t="s">
        <v>142</v>
      </c>
    </row>
    <row r="196" customFormat="false" ht="15" hidden="false" customHeight="false" outlineLevel="0" collapsed="false">
      <c r="A196" s="13" t="s">
        <v>403</v>
      </c>
      <c r="B196" s="14" t="n">
        <v>41661</v>
      </c>
      <c r="C196" s="14"/>
      <c r="D196" s="13" t="n">
        <v>37</v>
      </c>
      <c r="E196" s="13" t="s">
        <v>136</v>
      </c>
      <c r="F196" s="13" t="s">
        <v>131</v>
      </c>
      <c r="G196" s="13" t="s">
        <v>132</v>
      </c>
      <c r="H196" s="13" t="s">
        <v>139</v>
      </c>
      <c r="I196" s="13" t="n">
        <v>4</v>
      </c>
      <c r="J196" s="13" t="n">
        <v>1</v>
      </c>
      <c r="K196" s="13" t="n">
        <v>48000</v>
      </c>
      <c r="L196" s="13"/>
      <c r="M196" s="13"/>
      <c r="N196" s="13" t="s">
        <v>142</v>
      </c>
    </row>
    <row r="197" customFormat="false" ht="15" hidden="false" customHeight="false" outlineLevel="0" collapsed="false">
      <c r="A197" s="13" t="s">
        <v>404</v>
      </c>
      <c r="B197" s="14" t="n">
        <v>41666</v>
      </c>
      <c r="C197" s="14"/>
      <c r="D197" s="13" t="n">
        <v>45</v>
      </c>
      <c r="E197" s="13" t="s">
        <v>144</v>
      </c>
      <c r="F197" s="13" t="s">
        <v>168</v>
      </c>
      <c r="G197" s="13" t="s">
        <v>138</v>
      </c>
      <c r="H197" s="13" t="s">
        <v>146</v>
      </c>
      <c r="I197" s="13" t="n">
        <v>3</v>
      </c>
      <c r="J197" s="13" t="n">
        <v>3</v>
      </c>
      <c r="K197" s="13" t="n">
        <v>71500</v>
      </c>
      <c r="L197" s="13"/>
      <c r="M197" s="13"/>
      <c r="N197" s="13" t="s">
        <v>142</v>
      </c>
    </row>
    <row r="198" customFormat="false" ht="15" hidden="false" customHeight="false" outlineLevel="0" collapsed="false">
      <c r="A198" s="13" t="s">
        <v>405</v>
      </c>
      <c r="B198" s="14" t="n">
        <v>41668</v>
      </c>
      <c r="C198" s="14"/>
      <c r="D198" s="13" t="n">
        <v>37</v>
      </c>
      <c r="E198" s="13" t="s">
        <v>163</v>
      </c>
      <c r="F198" s="13" t="s">
        <v>241</v>
      </c>
      <c r="G198" s="13" t="s">
        <v>195</v>
      </c>
      <c r="H198" s="13" t="s">
        <v>192</v>
      </c>
      <c r="I198" s="13" t="n">
        <v>4</v>
      </c>
      <c r="J198" s="13" t="n">
        <v>3</v>
      </c>
      <c r="K198" s="13" t="n">
        <v>240000</v>
      </c>
      <c r="L198" s="13"/>
      <c r="M198" s="13"/>
      <c r="N198" s="13" t="s">
        <v>134</v>
      </c>
    </row>
    <row r="199" customFormat="false" ht="15" hidden="false" customHeight="false" outlineLevel="0" collapsed="false">
      <c r="A199" s="13" t="s">
        <v>406</v>
      </c>
      <c r="B199" s="14" t="n">
        <v>41673</v>
      </c>
      <c r="C199" s="14" t="n">
        <v>44889</v>
      </c>
      <c r="D199" s="13" t="n">
        <v>44</v>
      </c>
      <c r="E199" s="13" t="s">
        <v>144</v>
      </c>
      <c r="F199" s="13" t="s">
        <v>241</v>
      </c>
      <c r="G199" s="13" t="s">
        <v>155</v>
      </c>
      <c r="H199" s="13" t="s">
        <v>139</v>
      </c>
      <c r="I199" s="13" t="n">
        <v>4</v>
      </c>
      <c r="J199" s="13" t="n">
        <v>1</v>
      </c>
      <c r="K199" s="13" t="n">
        <v>44500</v>
      </c>
      <c r="L199" s="13" t="s">
        <v>151</v>
      </c>
      <c r="M199" s="13" t="s">
        <v>159</v>
      </c>
      <c r="N199" s="13" t="s">
        <v>134</v>
      </c>
    </row>
    <row r="200" customFormat="false" ht="15" hidden="false" customHeight="false" outlineLevel="0" collapsed="false">
      <c r="A200" s="13" t="s">
        <v>407</v>
      </c>
      <c r="B200" s="14" t="n">
        <v>41673</v>
      </c>
      <c r="C200" s="14"/>
      <c r="D200" s="13" t="n">
        <v>41</v>
      </c>
      <c r="E200" s="13" t="s">
        <v>136</v>
      </c>
      <c r="F200" s="13" t="s">
        <v>145</v>
      </c>
      <c r="G200" s="13" t="s">
        <v>148</v>
      </c>
      <c r="H200" s="13" t="s">
        <v>291</v>
      </c>
      <c r="I200" s="13" t="n">
        <v>3</v>
      </c>
      <c r="J200" s="13" t="n">
        <v>3</v>
      </c>
      <c r="K200" s="13" t="n">
        <v>213000</v>
      </c>
      <c r="L200" s="13"/>
      <c r="M200" s="13"/>
      <c r="N200" s="13" t="s">
        <v>142</v>
      </c>
    </row>
    <row r="201" customFormat="false" ht="15" hidden="false" customHeight="false" outlineLevel="0" collapsed="false">
      <c r="A201" s="13" t="s">
        <v>408</v>
      </c>
      <c r="B201" s="14" t="n">
        <v>41689</v>
      </c>
      <c r="C201" s="14"/>
      <c r="D201" s="13" t="n">
        <v>48</v>
      </c>
      <c r="E201" s="13" t="s">
        <v>136</v>
      </c>
      <c r="F201" s="13" t="s">
        <v>170</v>
      </c>
      <c r="G201" s="13" t="s">
        <v>148</v>
      </c>
      <c r="H201" s="13" t="s">
        <v>192</v>
      </c>
      <c r="I201" s="13" t="n">
        <v>5</v>
      </c>
      <c r="J201" s="13" t="n">
        <v>1</v>
      </c>
      <c r="K201" s="13" t="n">
        <v>197000</v>
      </c>
      <c r="L201" s="13"/>
      <c r="M201" s="13"/>
      <c r="N201" s="13" t="s">
        <v>142</v>
      </c>
    </row>
    <row r="202" customFormat="false" ht="15" hidden="false" customHeight="false" outlineLevel="0" collapsed="false">
      <c r="A202" s="13" t="s">
        <v>409</v>
      </c>
      <c r="B202" s="14" t="n">
        <v>41689</v>
      </c>
      <c r="C202" s="14"/>
      <c r="D202" s="13" t="n">
        <v>43</v>
      </c>
      <c r="E202" s="13" t="s">
        <v>144</v>
      </c>
      <c r="F202" s="13" t="s">
        <v>168</v>
      </c>
      <c r="G202" s="13" t="s">
        <v>155</v>
      </c>
      <c r="H202" s="13" t="s">
        <v>149</v>
      </c>
      <c r="I202" s="13" t="n">
        <v>4</v>
      </c>
      <c r="J202" s="13" t="n">
        <v>3</v>
      </c>
      <c r="K202" s="13" t="n">
        <v>129000</v>
      </c>
      <c r="L202" s="13"/>
      <c r="M202" s="13"/>
      <c r="N202" s="13" t="s">
        <v>142</v>
      </c>
    </row>
    <row r="203" customFormat="false" ht="15" hidden="false" customHeight="false" outlineLevel="0" collapsed="false">
      <c r="A203" s="13" t="s">
        <v>410</v>
      </c>
      <c r="B203" s="14" t="n">
        <v>41691</v>
      </c>
      <c r="C203" s="14"/>
      <c r="D203" s="13" t="n">
        <v>41</v>
      </c>
      <c r="E203" s="13" t="s">
        <v>136</v>
      </c>
      <c r="F203" s="13" t="s">
        <v>154</v>
      </c>
      <c r="G203" s="13" t="s">
        <v>213</v>
      </c>
      <c r="H203" s="13" t="s">
        <v>411</v>
      </c>
      <c r="I203" s="13" t="n">
        <v>3</v>
      </c>
      <c r="J203" s="13" t="n">
        <v>2</v>
      </c>
      <c r="K203" s="13" t="n">
        <v>68000</v>
      </c>
      <c r="L203" s="13"/>
      <c r="M203" s="13"/>
      <c r="N203" s="13" t="s">
        <v>142</v>
      </c>
    </row>
    <row r="204" customFormat="false" ht="15" hidden="false" customHeight="false" outlineLevel="0" collapsed="false">
      <c r="A204" s="13" t="s">
        <v>412</v>
      </c>
      <c r="B204" s="14" t="n">
        <v>41697</v>
      </c>
      <c r="C204" s="14"/>
      <c r="D204" s="13" t="n">
        <v>35</v>
      </c>
      <c r="E204" s="13" t="s">
        <v>144</v>
      </c>
      <c r="F204" s="13" t="s">
        <v>168</v>
      </c>
      <c r="G204" s="13" t="s">
        <v>334</v>
      </c>
      <c r="H204" s="13" t="s">
        <v>156</v>
      </c>
      <c r="I204" s="13" t="n">
        <v>3</v>
      </c>
      <c r="J204" s="13" t="n">
        <v>4</v>
      </c>
      <c r="K204" s="13" t="n">
        <v>120500</v>
      </c>
      <c r="L204" s="13"/>
      <c r="M204" s="13"/>
      <c r="N204" s="13" t="s">
        <v>142</v>
      </c>
    </row>
    <row r="205" customFormat="false" ht="15" hidden="false" customHeight="false" outlineLevel="0" collapsed="false">
      <c r="A205" s="13" t="s">
        <v>413</v>
      </c>
      <c r="B205" s="14" t="n">
        <v>41698</v>
      </c>
      <c r="C205" s="14"/>
      <c r="D205" s="13" t="n">
        <v>38</v>
      </c>
      <c r="E205" s="13" t="s">
        <v>144</v>
      </c>
      <c r="F205" s="13" t="s">
        <v>168</v>
      </c>
      <c r="G205" s="13" t="s">
        <v>297</v>
      </c>
      <c r="H205" s="13" t="s">
        <v>139</v>
      </c>
      <c r="I205" s="13" t="n">
        <v>2</v>
      </c>
      <c r="J205" s="13" t="n">
        <v>4</v>
      </c>
      <c r="K205" s="13" t="n">
        <v>52500</v>
      </c>
      <c r="L205" s="13"/>
      <c r="M205" s="13"/>
      <c r="N205" s="13" t="s">
        <v>142</v>
      </c>
    </row>
    <row r="206" customFormat="false" ht="15" hidden="false" customHeight="false" outlineLevel="0" collapsed="false">
      <c r="A206" s="13" t="s">
        <v>414</v>
      </c>
      <c r="B206" s="14" t="n">
        <v>41701</v>
      </c>
      <c r="C206" s="14"/>
      <c r="D206" s="13" t="n">
        <v>40</v>
      </c>
      <c r="E206" s="13" t="s">
        <v>144</v>
      </c>
      <c r="F206" s="13" t="s">
        <v>239</v>
      </c>
      <c r="G206" s="13" t="s">
        <v>132</v>
      </c>
      <c r="H206" s="13" t="s">
        <v>146</v>
      </c>
      <c r="I206" s="13" t="n">
        <v>3</v>
      </c>
      <c r="J206" s="13" t="n">
        <v>3</v>
      </c>
      <c r="K206" s="13" t="n">
        <v>71000</v>
      </c>
      <c r="L206" s="13"/>
      <c r="M206" s="13"/>
      <c r="N206" s="13" t="s">
        <v>134</v>
      </c>
    </row>
    <row r="207" customFormat="false" ht="15" hidden="false" customHeight="false" outlineLevel="0" collapsed="false">
      <c r="A207" s="13" t="s">
        <v>415</v>
      </c>
      <c r="B207" s="14" t="n">
        <v>41701</v>
      </c>
      <c r="C207" s="14"/>
      <c r="D207" s="13" t="n">
        <v>39</v>
      </c>
      <c r="E207" s="13" t="s">
        <v>136</v>
      </c>
      <c r="F207" s="13" t="s">
        <v>168</v>
      </c>
      <c r="G207" s="13" t="s">
        <v>213</v>
      </c>
      <c r="H207" s="13" t="s">
        <v>139</v>
      </c>
      <c r="I207" s="13" t="n">
        <v>5</v>
      </c>
      <c r="J207" s="13" t="n">
        <v>4</v>
      </c>
      <c r="K207" s="13" t="n">
        <v>49000</v>
      </c>
      <c r="L207" s="13"/>
      <c r="M207" s="13"/>
      <c r="N207" s="13" t="s">
        <v>142</v>
      </c>
    </row>
    <row r="208" customFormat="false" ht="15" hidden="false" customHeight="false" outlineLevel="0" collapsed="false">
      <c r="A208" s="13" t="s">
        <v>416</v>
      </c>
      <c r="B208" s="14" t="n">
        <v>41714</v>
      </c>
      <c r="C208" s="14" t="n">
        <v>45023</v>
      </c>
      <c r="D208" s="13" t="n">
        <v>41</v>
      </c>
      <c r="E208" s="13" t="s">
        <v>190</v>
      </c>
      <c r="F208" s="13" t="s">
        <v>170</v>
      </c>
      <c r="G208" s="13" t="s">
        <v>138</v>
      </c>
      <c r="H208" s="13" t="s">
        <v>146</v>
      </c>
      <c r="I208" s="13" t="n">
        <v>5</v>
      </c>
      <c r="J208" s="13" t="n">
        <v>1</v>
      </c>
      <c r="K208" s="13" t="n">
        <v>76000</v>
      </c>
      <c r="L208" s="13" t="s">
        <v>151</v>
      </c>
      <c r="M208" s="13" t="s">
        <v>203</v>
      </c>
      <c r="N208" s="13" t="s">
        <v>134</v>
      </c>
    </row>
    <row r="209" customFormat="false" ht="15" hidden="false" customHeight="false" outlineLevel="0" collapsed="false">
      <c r="A209" s="13" t="s">
        <v>417</v>
      </c>
      <c r="B209" s="14" t="n">
        <v>41714</v>
      </c>
      <c r="C209" s="14"/>
      <c r="D209" s="13" t="n">
        <v>41</v>
      </c>
      <c r="E209" s="13" t="s">
        <v>182</v>
      </c>
      <c r="F209" s="13" t="s">
        <v>164</v>
      </c>
      <c r="G209" s="13" t="s">
        <v>138</v>
      </c>
      <c r="H209" s="13" t="s">
        <v>149</v>
      </c>
      <c r="I209" s="13" t="n">
        <v>4</v>
      </c>
      <c r="J209" s="13" t="n">
        <v>3</v>
      </c>
      <c r="K209" s="13" t="n">
        <v>126500</v>
      </c>
      <c r="L209" s="13"/>
      <c r="M209" s="13"/>
      <c r="N209" s="13" t="s">
        <v>134</v>
      </c>
    </row>
    <row r="210" customFormat="false" ht="15" hidden="false" customHeight="false" outlineLevel="0" collapsed="false">
      <c r="A210" s="13" t="s">
        <v>418</v>
      </c>
      <c r="B210" s="14" t="n">
        <v>41718</v>
      </c>
      <c r="C210" s="14" t="n">
        <v>44964</v>
      </c>
      <c r="D210" s="13" t="n">
        <v>42</v>
      </c>
      <c r="E210" s="13" t="s">
        <v>144</v>
      </c>
      <c r="F210" s="13" t="s">
        <v>154</v>
      </c>
      <c r="G210" s="13" t="s">
        <v>138</v>
      </c>
      <c r="H210" s="13" t="s">
        <v>139</v>
      </c>
      <c r="I210" s="13" t="n">
        <v>5</v>
      </c>
      <c r="J210" s="13" t="n">
        <v>1</v>
      </c>
      <c r="K210" s="13" t="n">
        <v>55000</v>
      </c>
      <c r="L210" s="13" t="s">
        <v>151</v>
      </c>
      <c r="M210" s="13" t="s">
        <v>201</v>
      </c>
      <c r="N210" s="13" t="s">
        <v>142</v>
      </c>
    </row>
    <row r="211" customFormat="false" ht="15" hidden="false" customHeight="false" outlineLevel="0" collapsed="false">
      <c r="A211" s="13" t="s">
        <v>419</v>
      </c>
      <c r="B211" s="14" t="n">
        <v>41718</v>
      </c>
      <c r="C211" s="14"/>
      <c r="D211" s="13" t="n">
        <v>40</v>
      </c>
      <c r="E211" s="13" t="s">
        <v>136</v>
      </c>
      <c r="F211" s="13" t="s">
        <v>137</v>
      </c>
      <c r="G211" s="13" t="s">
        <v>138</v>
      </c>
      <c r="H211" s="13" t="s">
        <v>246</v>
      </c>
      <c r="I211" s="13" t="n">
        <v>3</v>
      </c>
      <c r="J211" s="13"/>
      <c r="K211" s="13" t="n">
        <v>162500</v>
      </c>
      <c r="L211" s="13"/>
      <c r="M211" s="13"/>
      <c r="N211" s="13" t="s">
        <v>142</v>
      </c>
    </row>
    <row r="212" customFormat="false" ht="15" hidden="false" customHeight="false" outlineLevel="0" collapsed="false">
      <c r="A212" s="13" t="s">
        <v>420</v>
      </c>
      <c r="B212" s="14" t="n">
        <v>41726</v>
      </c>
      <c r="C212" s="14" t="n">
        <v>44908</v>
      </c>
      <c r="D212" s="13" t="n">
        <v>36</v>
      </c>
      <c r="E212" s="13" t="s">
        <v>186</v>
      </c>
      <c r="F212" s="13" t="s">
        <v>137</v>
      </c>
      <c r="G212" s="13" t="s">
        <v>213</v>
      </c>
      <c r="H212" s="13" t="s">
        <v>139</v>
      </c>
      <c r="I212" s="13" t="n">
        <v>4</v>
      </c>
      <c r="J212" s="13" t="n">
        <v>3</v>
      </c>
      <c r="K212" s="13" t="n">
        <v>52000</v>
      </c>
      <c r="L212" s="13" t="s">
        <v>151</v>
      </c>
      <c r="M212" s="13" t="s">
        <v>141</v>
      </c>
      <c r="N212" s="13" t="s">
        <v>134</v>
      </c>
    </row>
    <row r="213" customFormat="false" ht="15" hidden="false" customHeight="false" outlineLevel="0" collapsed="false">
      <c r="A213" s="13" t="s">
        <v>421</v>
      </c>
      <c r="B213" s="14" t="n">
        <v>41733</v>
      </c>
      <c r="C213" s="14"/>
      <c r="D213" s="13" t="n">
        <v>45</v>
      </c>
      <c r="E213" s="13" t="s">
        <v>136</v>
      </c>
      <c r="F213" s="13" t="s">
        <v>131</v>
      </c>
      <c r="G213" s="13" t="s">
        <v>155</v>
      </c>
      <c r="H213" s="13" t="s">
        <v>139</v>
      </c>
      <c r="I213" s="13" t="n">
        <v>3</v>
      </c>
      <c r="J213" s="13" t="n">
        <v>2</v>
      </c>
      <c r="K213" s="13" t="n">
        <v>46000</v>
      </c>
      <c r="L213" s="13"/>
      <c r="M213" s="13"/>
      <c r="N213" s="13" t="s">
        <v>134</v>
      </c>
    </row>
    <row r="214" customFormat="false" ht="15" hidden="false" customHeight="false" outlineLevel="0" collapsed="false">
      <c r="A214" s="13" t="s">
        <v>422</v>
      </c>
      <c r="B214" s="14" t="n">
        <v>41741</v>
      </c>
      <c r="C214" s="14" t="n">
        <v>45054</v>
      </c>
      <c r="D214" s="13" t="n">
        <v>40</v>
      </c>
      <c r="E214" s="13" t="s">
        <v>136</v>
      </c>
      <c r="F214" s="13" t="s">
        <v>170</v>
      </c>
      <c r="G214" s="13" t="s">
        <v>138</v>
      </c>
      <c r="H214" s="13" t="s">
        <v>146</v>
      </c>
      <c r="I214" s="13" t="n">
        <v>5</v>
      </c>
      <c r="J214" s="13" t="n">
        <v>3</v>
      </c>
      <c r="K214" s="13" t="n">
        <v>88500</v>
      </c>
      <c r="L214" s="13" t="s">
        <v>151</v>
      </c>
      <c r="M214" s="13" t="s">
        <v>206</v>
      </c>
      <c r="N214" s="13" t="s">
        <v>134</v>
      </c>
    </row>
    <row r="215" customFormat="false" ht="15" hidden="false" customHeight="false" outlineLevel="0" collapsed="false">
      <c r="A215" s="13" t="s">
        <v>423</v>
      </c>
      <c r="B215" s="14" t="n">
        <v>41742</v>
      </c>
      <c r="C215" s="14"/>
      <c r="D215" s="13" t="n">
        <v>45</v>
      </c>
      <c r="E215" s="13" t="s">
        <v>136</v>
      </c>
      <c r="F215" s="13" t="s">
        <v>168</v>
      </c>
      <c r="G215" s="13" t="s">
        <v>148</v>
      </c>
      <c r="H215" s="13" t="s">
        <v>139</v>
      </c>
      <c r="I215" s="13" t="n">
        <v>1</v>
      </c>
      <c r="J215" s="13" t="n">
        <v>4</v>
      </c>
      <c r="K215" s="13" t="n">
        <v>47000</v>
      </c>
      <c r="L215" s="13"/>
      <c r="M215" s="13"/>
      <c r="N215" s="13" t="s">
        <v>134</v>
      </c>
    </row>
    <row r="216" customFormat="false" ht="15" hidden="false" customHeight="false" outlineLevel="0" collapsed="false">
      <c r="A216" s="13" t="s">
        <v>424</v>
      </c>
      <c r="B216" s="14" t="n">
        <v>41742</v>
      </c>
      <c r="C216" s="14"/>
      <c r="D216" s="13" t="n">
        <v>43</v>
      </c>
      <c r="E216" s="13" t="s">
        <v>190</v>
      </c>
      <c r="F216" s="13" t="s">
        <v>239</v>
      </c>
      <c r="G216" s="13" t="s">
        <v>155</v>
      </c>
      <c r="H216" s="13" t="s">
        <v>149</v>
      </c>
      <c r="I216" s="13" t="n">
        <v>3</v>
      </c>
      <c r="J216" s="13" t="n">
        <v>1</v>
      </c>
      <c r="K216" s="13" t="n">
        <v>121500</v>
      </c>
      <c r="L216" s="13"/>
      <c r="M216" s="13"/>
      <c r="N216" s="13" t="s">
        <v>142</v>
      </c>
    </row>
    <row r="217" customFormat="false" ht="15" hidden="false" customHeight="false" outlineLevel="0" collapsed="false">
      <c r="A217" s="13" t="s">
        <v>425</v>
      </c>
      <c r="B217" s="14" t="n">
        <v>41749</v>
      </c>
      <c r="C217" s="14"/>
      <c r="D217" s="13" t="n">
        <v>38</v>
      </c>
      <c r="E217" s="13" t="s">
        <v>182</v>
      </c>
      <c r="F217" s="13" t="s">
        <v>154</v>
      </c>
      <c r="G217" s="13" t="s">
        <v>138</v>
      </c>
      <c r="H217" s="13" t="s">
        <v>156</v>
      </c>
      <c r="I217" s="13" t="n">
        <v>2</v>
      </c>
      <c r="J217" s="13" t="n">
        <v>3</v>
      </c>
      <c r="K217" s="13" t="n">
        <v>112500</v>
      </c>
      <c r="L217" s="13"/>
      <c r="M217" s="13"/>
      <c r="N217" s="13" t="s">
        <v>142</v>
      </c>
    </row>
    <row r="218" customFormat="false" ht="15" hidden="false" customHeight="false" outlineLevel="0" collapsed="false">
      <c r="A218" s="13" t="s">
        <v>426</v>
      </c>
      <c r="B218" s="14" t="n">
        <v>41750</v>
      </c>
      <c r="C218" s="14"/>
      <c r="D218" s="13" t="n">
        <v>42</v>
      </c>
      <c r="E218" s="13" t="s">
        <v>190</v>
      </c>
      <c r="F218" s="13" t="s">
        <v>137</v>
      </c>
      <c r="G218" s="13" t="s">
        <v>155</v>
      </c>
      <c r="H218" s="13" t="s">
        <v>156</v>
      </c>
      <c r="I218" s="13" t="n">
        <v>3</v>
      </c>
      <c r="J218" s="13" t="n">
        <v>1</v>
      </c>
      <c r="K218" s="13" t="n">
        <v>116000</v>
      </c>
      <c r="L218" s="13"/>
      <c r="M218" s="13"/>
      <c r="N218" s="13" t="s">
        <v>142</v>
      </c>
    </row>
    <row r="219" customFormat="false" ht="15" hidden="false" customHeight="false" outlineLevel="0" collapsed="false">
      <c r="A219" s="13" t="s">
        <v>427</v>
      </c>
      <c r="B219" s="14" t="n">
        <v>41750</v>
      </c>
      <c r="C219" s="14"/>
      <c r="D219" s="13" t="n">
        <v>43</v>
      </c>
      <c r="E219" s="13" t="s">
        <v>136</v>
      </c>
      <c r="F219" s="13" t="s">
        <v>154</v>
      </c>
      <c r="G219" s="13" t="s">
        <v>132</v>
      </c>
      <c r="H219" s="13" t="s">
        <v>146</v>
      </c>
      <c r="I219" s="13" t="n">
        <v>1</v>
      </c>
      <c r="J219" s="13" t="n">
        <v>4</v>
      </c>
      <c r="K219" s="13" t="n">
        <v>79000</v>
      </c>
      <c r="L219" s="13"/>
      <c r="M219" s="13"/>
      <c r="N219" s="13" t="s">
        <v>142</v>
      </c>
    </row>
    <row r="220" customFormat="false" ht="15" hidden="false" customHeight="false" outlineLevel="0" collapsed="false">
      <c r="A220" s="13" t="s">
        <v>428</v>
      </c>
      <c r="B220" s="14" t="n">
        <v>41750</v>
      </c>
      <c r="C220" s="14"/>
      <c r="D220" s="13" t="n">
        <v>41</v>
      </c>
      <c r="E220" s="13" t="s">
        <v>136</v>
      </c>
      <c r="F220" s="13" t="s">
        <v>241</v>
      </c>
      <c r="G220" s="13" t="s">
        <v>354</v>
      </c>
      <c r="H220" s="13" t="s">
        <v>156</v>
      </c>
      <c r="I220" s="13" t="n">
        <v>4</v>
      </c>
      <c r="J220" s="13" t="n">
        <v>1</v>
      </c>
      <c r="K220" s="13" t="n">
        <v>108000</v>
      </c>
      <c r="L220" s="13"/>
      <c r="M220" s="13"/>
      <c r="N220" s="13" t="s">
        <v>142</v>
      </c>
    </row>
    <row r="221" customFormat="false" ht="15" hidden="false" customHeight="false" outlineLevel="0" collapsed="false">
      <c r="A221" s="13" t="s">
        <v>429</v>
      </c>
      <c r="B221" s="14" t="n">
        <v>41760</v>
      </c>
      <c r="C221" s="14"/>
      <c r="D221" s="13" t="n">
        <v>48</v>
      </c>
      <c r="E221" s="13" t="s">
        <v>136</v>
      </c>
      <c r="F221" s="13" t="s">
        <v>168</v>
      </c>
      <c r="G221" s="13" t="s">
        <v>132</v>
      </c>
      <c r="H221" s="13" t="s">
        <v>146</v>
      </c>
      <c r="I221" s="13" t="n">
        <v>3</v>
      </c>
      <c r="J221" s="13" t="n">
        <v>4</v>
      </c>
      <c r="K221" s="13" t="n">
        <v>87500</v>
      </c>
      <c r="L221" s="13"/>
      <c r="M221" s="13"/>
      <c r="N221" s="13" t="s">
        <v>157</v>
      </c>
    </row>
    <row r="222" customFormat="false" ht="15" hidden="false" customHeight="false" outlineLevel="0" collapsed="false">
      <c r="A222" s="13" t="s">
        <v>430</v>
      </c>
      <c r="B222" s="14" t="n">
        <v>41772</v>
      </c>
      <c r="C222" s="14"/>
      <c r="D222" s="13" t="n">
        <v>33</v>
      </c>
      <c r="E222" s="13" t="s">
        <v>186</v>
      </c>
      <c r="F222" s="13" t="s">
        <v>170</v>
      </c>
      <c r="G222" s="13" t="s">
        <v>155</v>
      </c>
      <c r="H222" s="13" t="s">
        <v>156</v>
      </c>
      <c r="I222" s="13" t="n">
        <v>2</v>
      </c>
      <c r="J222" s="13" t="n">
        <v>3</v>
      </c>
      <c r="K222" s="13" t="n">
        <v>116000</v>
      </c>
      <c r="L222" s="13"/>
      <c r="M222" s="13"/>
      <c r="N222" s="13" t="s">
        <v>142</v>
      </c>
    </row>
    <row r="223" customFormat="false" ht="15" hidden="false" customHeight="false" outlineLevel="0" collapsed="false">
      <c r="A223" s="13" t="s">
        <v>431</v>
      </c>
      <c r="B223" s="14" t="n">
        <v>41772</v>
      </c>
      <c r="C223" s="14" t="n">
        <v>45051</v>
      </c>
      <c r="D223" s="13" t="n">
        <v>39</v>
      </c>
      <c r="E223" s="13" t="s">
        <v>144</v>
      </c>
      <c r="F223" s="13" t="s">
        <v>164</v>
      </c>
      <c r="G223" s="13" t="s">
        <v>334</v>
      </c>
      <c r="H223" s="13" t="s">
        <v>246</v>
      </c>
      <c r="I223" s="13" t="n">
        <v>3</v>
      </c>
      <c r="J223" s="13" t="n">
        <v>3</v>
      </c>
      <c r="K223" s="13" t="n">
        <v>178000</v>
      </c>
      <c r="L223" s="13" t="s">
        <v>151</v>
      </c>
      <c r="M223" s="13" t="s">
        <v>159</v>
      </c>
      <c r="N223" s="13" t="s">
        <v>134</v>
      </c>
    </row>
    <row r="224" customFormat="false" ht="15" hidden="false" customHeight="false" outlineLevel="0" collapsed="false">
      <c r="A224" s="13" t="s">
        <v>432</v>
      </c>
      <c r="B224" s="14" t="n">
        <v>41774</v>
      </c>
      <c r="C224" s="14"/>
      <c r="D224" s="13" t="n">
        <v>41</v>
      </c>
      <c r="E224" s="13" t="s">
        <v>136</v>
      </c>
      <c r="F224" s="13" t="s">
        <v>241</v>
      </c>
      <c r="G224" s="13" t="s">
        <v>374</v>
      </c>
      <c r="H224" s="13" t="s">
        <v>149</v>
      </c>
      <c r="I224" s="13" t="n">
        <v>4</v>
      </c>
      <c r="J224" s="13" t="n">
        <v>2</v>
      </c>
      <c r="K224" s="13" t="n">
        <v>118000</v>
      </c>
      <c r="L224" s="13"/>
      <c r="M224" s="13"/>
      <c r="N224" s="13" t="s">
        <v>142</v>
      </c>
    </row>
    <row r="225" customFormat="false" ht="15" hidden="false" customHeight="false" outlineLevel="0" collapsed="false">
      <c r="A225" s="13" t="s">
        <v>433</v>
      </c>
      <c r="B225" s="14" t="n">
        <v>41781</v>
      </c>
      <c r="C225" s="14"/>
      <c r="D225" s="13" t="n">
        <v>46</v>
      </c>
      <c r="E225" s="13" t="s">
        <v>136</v>
      </c>
      <c r="F225" s="13" t="s">
        <v>137</v>
      </c>
      <c r="G225" s="13" t="s">
        <v>155</v>
      </c>
      <c r="H225" s="13" t="s">
        <v>146</v>
      </c>
      <c r="I225" s="13" t="n">
        <v>3</v>
      </c>
      <c r="J225" s="13" t="n">
        <v>1</v>
      </c>
      <c r="K225" s="13" t="n">
        <v>77000</v>
      </c>
      <c r="L225" s="13"/>
      <c r="M225" s="13"/>
      <c r="N225" s="13" t="s">
        <v>142</v>
      </c>
    </row>
    <row r="226" customFormat="false" ht="15" hidden="false" customHeight="false" outlineLevel="0" collapsed="false">
      <c r="A226" s="13" t="s">
        <v>434</v>
      </c>
      <c r="B226" s="14" t="n">
        <v>41783</v>
      </c>
      <c r="C226" s="14"/>
      <c r="D226" s="13" t="n">
        <v>38</v>
      </c>
      <c r="E226" s="13" t="s">
        <v>144</v>
      </c>
      <c r="F226" s="13" t="s">
        <v>137</v>
      </c>
      <c r="G226" s="13" t="s">
        <v>354</v>
      </c>
      <c r="H226" s="13" t="s">
        <v>178</v>
      </c>
      <c r="I226" s="13" t="n">
        <v>3</v>
      </c>
      <c r="J226" s="13" t="n">
        <v>3</v>
      </c>
      <c r="K226" s="13" t="n">
        <v>155000</v>
      </c>
      <c r="L226" s="13"/>
      <c r="M226" s="13"/>
      <c r="N226" s="13" t="s">
        <v>134</v>
      </c>
    </row>
    <row r="227" customFormat="false" ht="15" hidden="false" customHeight="false" outlineLevel="0" collapsed="false">
      <c r="A227" s="13" t="s">
        <v>435</v>
      </c>
      <c r="B227" s="14" t="n">
        <v>41783</v>
      </c>
      <c r="C227" s="14"/>
      <c r="D227" s="13" t="n">
        <v>42</v>
      </c>
      <c r="E227" s="13" t="s">
        <v>182</v>
      </c>
      <c r="F227" s="13" t="s">
        <v>164</v>
      </c>
      <c r="G227" s="13" t="s">
        <v>155</v>
      </c>
      <c r="H227" s="13" t="s">
        <v>146</v>
      </c>
      <c r="I227" s="13" t="n">
        <v>3</v>
      </c>
      <c r="J227" s="13" t="n">
        <v>3</v>
      </c>
      <c r="K227" s="13" t="n">
        <v>82000</v>
      </c>
      <c r="L227" s="13"/>
      <c r="M227" s="13"/>
      <c r="N227" s="13" t="s">
        <v>142</v>
      </c>
    </row>
    <row r="228" customFormat="false" ht="15" hidden="false" customHeight="false" outlineLevel="0" collapsed="false">
      <c r="A228" s="13" t="s">
        <v>436</v>
      </c>
      <c r="B228" s="14" t="n">
        <v>41788</v>
      </c>
      <c r="C228" s="14"/>
      <c r="D228" s="13" t="n">
        <v>37</v>
      </c>
      <c r="E228" s="13" t="s">
        <v>130</v>
      </c>
      <c r="F228" s="13" t="s">
        <v>164</v>
      </c>
      <c r="G228" s="13" t="s">
        <v>195</v>
      </c>
      <c r="H228" s="13" t="s">
        <v>156</v>
      </c>
      <c r="I228" s="13" t="n">
        <v>1</v>
      </c>
      <c r="J228" s="13" t="n">
        <v>2</v>
      </c>
      <c r="K228" s="13" t="n">
        <v>110000</v>
      </c>
      <c r="L228" s="13"/>
      <c r="M228" s="13"/>
      <c r="N228" s="13" t="s">
        <v>134</v>
      </c>
    </row>
    <row r="229" customFormat="false" ht="15" hidden="false" customHeight="false" outlineLevel="0" collapsed="false">
      <c r="A229" s="13" t="s">
        <v>437</v>
      </c>
      <c r="B229" s="14" t="n">
        <v>41795</v>
      </c>
      <c r="C229" s="14"/>
      <c r="D229" s="13" t="n">
        <v>33</v>
      </c>
      <c r="E229" s="13" t="s">
        <v>136</v>
      </c>
      <c r="F229" s="13" t="s">
        <v>168</v>
      </c>
      <c r="G229" s="13" t="s">
        <v>438</v>
      </c>
      <c r="H229" s="13" t="s">
        <v>149</v>
      </c>
      <c r="I229" s="13" t="n">
        <v>4</v>
      </c>
      <c r="J229" s="13" t="n">
        <v>4</v>
      </c>
      <c r="K229" s="13" t="n">
        <v>121500</v>
      </c>
      <c r="L229" s="13"/>
      <c r="M229" s="13"/>
      <c r="N229" s="13" t="s">
        <v>142</v>
      </c>
    </row>
    <row r="230" customFormat="false" ht="15" hidden="false" customHeight="false" outlineLevel="0" collapsed="false">
      <c r="A230" s="13" t="s">
        <v>439</v>
      </c>
      <c r="B230" s="14" t="n">
        <v>41795</v>
      </c>
      <c r="C230" s="14"/>
      <c r="D230" s="13" t="n">
        <v>36</v>
      </c>
      <c r="E230" s="13" t="s">
        <v>144</v>
      </c>
      <c r="F230" s="13" t="s">
        <v>131</v>
      </c>
      <c r="G230" s="13" t="s">
        <v>132</v>
      </c>
      <c r="H230" s="13" t="s">
        <v>146</v>
      </c>
      <c r="I230" s="13" t="n">
        <v>4</v>
      </c>
      <c r="J230" s="13" t="n">
        <v>3</v>
      </c>
      <c r="K230" s="13" t="n">
        <v>74500</v>
      </c>
      <c r="L230" s="13"/>
      <c r="M230" s="13"/>
      <c r="N230" s="13" t="s">
        <v>142</v>
      </c>
    </row>
    <row r="231" customFormat="false" ht="15" hidden="false" customHeight="false" outlineLevel="0" collapsed="false">
      <c r="A231" s="13" t="s">
        <v>440</v>
      </c>
      <c r="B231" s="14" t="n">
        <v>41795</v>
      </c>
      <c r="C231" s="14"/>
      <c r="D231" s="13" t="n">
        <v>47</v>
      </c>
      <c r="E231" s="13" t="s">
        <v>136</v>
      </c>
      <c r="F231" s="13" t="s">
        <v>168</v>
      </c>
      <c r="G231" s="13" t="s">
        <v>155</v>
      </c>
      <c r="H231" s="13" t="s">
        <v>178</v>
      </c>
      <c r="I231" s="13" t="n">
        <v>3</v>
      </c>
      <c r="J231" s="13" t="n">
        <v>2</v>
      </c>
      <c r="K231" s="13" t="n">
        <v>162000</v>
      </c>
      <c r="L231" s="13"/>
      <c r="M231" s="13"/>
      <c r="N231" s="13" t="s">
        <v>134</v>
      </c>
    </row>
    <row r="232" customFormat="false" ht="15" hidden="false" customHeight="false" outlineLevel="0" collapsed="false">
      <c r="A232" s="13" t="s">
        <v>441</v>
      </c>
      <c r="B232" s="14" t="n">
        <v>41800</v>
      </c>
      <c r="C232" s="14"/>
      <c r="D232" s="13" t="n">
        <v>34</v>
      </c>
      <c r="E232" s="13" t="s">
        <v>182</v>
      </c>
      <c r="F232" s="13" t="s">
        <v>168</v>
      </c>
      <c r="G232" s="13" t="s">
        <v>155</v>
      </c>
      <c r="H232" s="13" t="s">
        <v>192</v>
      </c>
      <c r="I232" s="13" t="n">
        <v>4</v>
      </c>
      <c r="J232" s="13" t="n">
        <v>2</v>
      </c>
      <c r="K232" s="13" t="n">
        <v>228000</v>
      </c>
      <c r="L232" s="13"/>
      <c r="M232" s="13"/>
      <c r="N232" s="13" t="s">
        <v>142</v>
      </c>
    </row>
    <row r="233" customFormat="false" ht="15" hidden="false" customHeight="false" outlineLevel="0" collapsed="false">
      <c r="A233" s="13" t="s">
        <v>442</v>
      </c>
      <c r="B233" s="14" t="n">
        <v>41804</v>
      </c>
      <c r="C233" s="14" t="n">
        <v>45056</v>
      </c>
      <c r="D233" s="13" t="n">
        <v>40</v>
      </c>
      <c r="E233" s="13" t="s">
        <v>136</v>
      </c>
      <c r="F233" s="13" t="s">
        <v>137</v>
      </c>
      <c r="G233" s="13" t="s">
        <v>155</v>
      </c>
      <c r="H233" s="13" t="s">
        <v>139</v>
      </c>
      <c r="I233" s="13" t="n">
        <v>3</v>
      </c>
      <c r="J233" s="13" t="n">
        <v>3</v>
      </c>
      <c r="K233" s="13" t="n">
        <v>47500</v>
      </c>
      <c r="L233" s="13" t="s">
        <v>151</v>
      </c>
      <c r="M233" s="13" t="s">
        <v>141</v>
      </c>
      <c r="N233" s="13" t="s">
        <v>134</v>
      </c>
    </row>
    <row r="234" customFormat="false" ht="15" hidden="false" customHeight="false" outlineLevel="0" collapsed="false">
      <c r="A234" s="13" t="s">
        <v>443</v>
      </c>
      <c r="B234" s="14" t="n">
        <v>41811</v>
      </c>
      <c r="C234" s="14"/>
      <c r="D234" s="13" t="n">
        <v>33</v>
      </c>
      <c r="E234" s="13" t="s">
        <v>259</v>
      </c>
      <c r="F234" s="13" t="s">
        <v>168</v>
      </c>
      <c r="G234" s="13" t="s">
        <v>191</v>
      </c>
      <c r="H234" s="13" t="s">
        <v>139</v>
      </c>
      <c r="I234" s="13" t="n">
        <v>4</v>
      </c>
      <c r="J234" s="13" t="n">
        <v>4</v>
      </c>
      <c r="K234" s="13" t="n">
        <v>51000</v>
      </c>
      <c r="L234" s="13"/>
      <c r="M234" s="13"/>
      <c r="N234" s="13" t="s">
        <v>142</v>
      </c>
    </row>
    <row r="235" customFormat="false" ht="15" hidden="false" customHeight="false" outlineLevel="0" collapsed="false">
      <c r="A235" s="13" t="s">
        <v>444</v>
      </c>
      <c r="B235" s="14" t="n">
        <v>41811</v>
      </c>
      <c r="C235" s="14"/>
      <c r="D235" s="13" t="n">
        <v>44</v>
      </c>
      <c r="E235" s="13" t="s">
        <v>144</v>
      </c>
      <c r="F235" s="13" t="s">
        <v>168</v>
      </c>
      <c r="G235" s="13" t="s">
        <v>155</v>
      </c>
      <c r="H235" s="13" t="s">
        <v>411</v>
      </c>
      <c r="I235" s="13" t="n">
        <v>4</v>
      </c>
      <c r="J235" s="13" t="n">
        <v>3</v>
      </c>
      <c r="K235" s="13" t="n">
        <v>82500</v>
      </c>
      <c r="L235" s="13"/>
      <c r="M235" s="13"/>
      <c r="N235" s="13" t="s">
        <v>142</v>
      </c>
    </row>
    <row r="236" customFormat="false" ht="15" hidden="false" customHeight="false" outlineLevel="0" collapsed="false">
      <c r="A236" s="13" t="s">
        <v>445</v>
      </c>
      <c r="B236" s="14" t="n">
        <v>41811</v>
      </c>
      <c r="C236" s="14"/>
      <c r="D236" s="13" t="n">
        <v>44</v>
      </c>
      <c r="E236" s="13" t="s">
        <v>144</v>
      </c>
      <c r="F236" s="13" t="s">
        <v>164</v>
      </c>
      <c r="G236" s="13" t="s">
        <v>138</v>
      </c>
      <c r="H236" s="13" t="s">
        <v>172</v>
      </c>
      <c r="I236" s="13" t="n">
        <v>5</v>
      </c>
      <c r="J236" s="13" t="n">
        <v>2</v>
      </c>
      <c r="K236" s="13" t="n">
        <v>55500</v>
      </c>
      <c r="L236" s="13"/>
      <c r="M236" s="13"/>
      <c r="N236" s="13" t="s">
        <v>142</v>
      </c>
    </row>
    <row r="237" customFormat="false" ht="15" hidden="false" customHeight="false" outlineLevel="0" collapsed="false">
      <c r="A237" s="13" t="s">
        <v>446</v>
      </c>
      <c r="B237" s="14" t="n">
        <v>41817</v>
      </c>
      <c r="C237" s="14"/>
      <c r="D237" s="13" t="n">
        <v>41</v>
      </c>
      <c r="E237" s="13" t="s">
        <v>130</v>
      </c>
      <c r="F237" s="13" t="s">
        <v>168</v>
      </c>
      <c r="G237" s="13" t="s">
        <v>447</v>
      </c>
      <c r="H237" s="13" t="s">
        <v>192</v>
      </c>
      <c r="I237" s="13" t="n">
        <v>4</v>
      </c>
      <c r="J237" s="13" t="n">
        <v>3</v>
      </c>
      <c r="K237" s="13" t="n">
        <v>235000</v>
      </c>
      <c r="L237" s="13"/>
      <c r="M237" s="13"/>
      <c r="N237" s="13" t="s">
        <v>142</v>
      </c>
    </row>
    <row r="238" customFormat="false" ht="15" hidden="false" customHeight="false" outlineLevel="0" collapsed="false">
      <c r="A238" s="13" t="s">
        <v>448</v>
      </c>
      <c r="B238" s="14" t="n">
        <v>41821</v>
      </c>
      <c r="C238" s="14"/>
      <c r="D238" s="13" t="n">
        <v>38</v>
      </c>
      <c r="E238" s="13" t="s">
        <v>144</v>
      </c>
      <c r="F238" s="13" t="s">
        <v>168</v>
      </c>
      <c r="G238" s="13" t="s">
        <v>138</v>
      </c>
      <c r="H238" s="13" t="s">
        <v>139</v>
      </c>
      <c r="I238" s="13" t="n">
        <v>3</v>
      </c>
      <c r="J238" s="13" t="n">
        <v>2</v>
      </c>
      <c r="K238" s="13" t="n">
        <v>44500</v>
      </c>
      <c r="L238" s="13"/>
      <c r="M238" s="13"/>
      <c r="N238" s="13" t="s">
        <v>142</v>
      </c>
    </row>
    <row r="239" customFormat="false" ht="15" hidden="false" customHeight="false" outlineLevel="0" collapsed="false">
      <c r="A239" s="13" t="s">
        <v>449</v>
      </c>
      <c r="B239" s="14" t="n">
        <v>41825</v>
      </c>
      <c r="C239" s="14"/>
      <c r="D239" s="13" t="n">
        <v>40</v>
      </c>
      <c r="E239" s="13" t="s">
        <v>163</v>
      </c>
      <c r="F239" s="13" t="s">
        <v>168</v>
      </c>
      <c r="G239" s="13" t="s">
        <v>132</v>
      </c>
      <c r="H239" s="13" t="s">
        <v>139</v>
      </c>
      <c r="I239" s="13" t="n">
        <v>4</v>
      </c>
      <c r="J239" s="13" t="n">
        <v>4</v>
      </c>
      <c r="K239" s="13" t="n">
        <v>56500</v>
      </c>
      <c r="L239" s="13"/>
      <c r="M239" s="13"/>
      <c r="N239" s="13" t="s">
        <v>142</v>
      </c>
    </row>
    <row r="240" customFormat="false" ht="15" hidden="false" customHeight="false" outlineLevel="0" collapsed="false">
      <c r="A240" s="13" t="s">
        <v>450</v>
      </c>
      <c r="B240" s="14" t="n">
        <v>41829</v>
      </c>
      <c r="C240" s="14" t="n">
        <v>44731</v>
      </c>
      <c r="D240" s="13" t="n">
        <v>38</v>
      </c>
      <c r="E240" s="13" t="s">
        <v>144</v>
      </c>
      <c r="F240" s="13" t="s">
        <v>145</v>
      </c>
      <c r="G240" s="13" t="s">
        <v>132</v>
      </c>
      <c r="H240" s="13" t="s">
        <v>156</v>
      </c>
      <c r="I240" s="13" t="n">
        <v>3</v>
      </c>
      <c r="J240" s="13" t="n">
        <v>4</v>
      </c>
      <c r="K240" s="13" t="n">
        <v>114500</v>
      </c>
      <c r="L240" s="13" t="s">
        <v>151</v>
      </c>
      <c r="M240" s="13" t="s">
        <v>314</v>
      </c>
      <c r="N240" s="13" t="s">
        <v>142</v>
      </c>
    </row>
    <row r="241" customFormat="false" ht="15" hidden="false" customHeight="false" outlineLevel="0" collapsed="false">
      <c r="A241" s="13" t="s">
        <v>451</v>
      </c>
      <c r="B241" s="14" t="n">
        <v>41831</v>
      </c>
      <c r="C241" s="14"/>
      <c r="D241" s="13" t="n">
        <v>39</v>
      </c>
      <c r="E241" s="13" t="s">
        <v>136</v>
      </c>
      <c r="F241" s="13" t="s">
        <v>161</v>
      </c>
      <c r="G241" s="13" t="s">
        <v>138</v>
      </c>
      <c r="H241" s="13" t="s">
        <v>192</v>
      </c>
      <c r="I241" s="13" t="n">
        <v>3</v>
      </c>
      <c r="J241" s="13" t="n">
        <v>1</v>
      </c>
      <c r="K241" s="13" t="n">
        <v>252500</v>
      </c>
      <c r="L241" s="13"/>
      <c r="M241" s="13"/>
      <c r="N241" s="13" t="s">
        <v>142</v>
      </c>
    </row>
    <row r="242" customFormat="false" ht="15" hidden="false" customHeight="false" outlineLevel="0" collapsed="false">
      <c r="A242" s="13" t="s">
        <v>452</v>
      </c>
      <c r="B242" s="14" t="n">
        <v>41840</v>
      </c>
      <c r="C242" s="14" t="n">
        <v>44744</v>
      </c>
      <c r="D242" s="13" t="n">
        <v>29</v>
      </c>
      <c r="E242" s="13" t="s">
        <v>144</v>
      </c>
      <c r="F242" s="13" t="s">
        <v>241</v>
      </c>
      <c r="G242" s="13" t="s">
        <v>138</v>
      </c>
      <c r="H242" s="13" t="s">
        <v>178</v>
      </c>
      <c r="I242" s="13" t="n">
        <v>4</v>
      </c>
      <c r="J242" s="13" t="n">
        <v>1</v>
      </c>
      <c r="K242" s="13" t="n">
        <v>164000</v>
      </c>
      <c r="L242" s="13" t="s">
        <v>151</v>
      </c>
      <c r="M242" s="13" t="s">
        <v>152</v>
      </c>
      <c r="N242" s="13" t="s">
        <v>453</v>
      </c>
    </row>
    <row r="243" customFormat="false" ht="15" hidden="false" customHeight="false" outlineLevel="0" collapsed="false">
      <c r="A243" s="13" t="s">
        <v>454</v>
      </c>
      <c r="B243" s="14" t="n">
        <v>41841</v>
      </c>
      <c r="C243" s="14"/>
      <c r="D243" s="13" t="n">
        <v>44</v>
      </c>
      <c r="E243" s="13" t="s">
        <v>163</v>
      </c>
      <c r="F243" s="13" t="s">
        <v>161</v>
      </c>
      <c r="G243" s="13" t="s">
        <v>148</v>
      </c>
      <c r="H243" s="13" t="s">
        <v>178</v>
      </c>
      <c r="I243" s="13" t="n">
        <v>5</v>
      </c>
      <c r="J243" s="13" t="n">
        <v>4</v>
      </c>
      <c r="K243" s="13" t="n">
        <v>165000</v>
      </c>
      <c r="L243" s="13"/>
      <c r="M243" s="13"/>
      <c r="N243" s="13" t="s">
        <v>142</v>
      </c>
    </row>
    <row r="244" customFormat="false" ht="15" hidden="false" customHeight="false" outlineLevel="0" collapsed="false">
      <c r="A244" s="13" t="s">
        <v>455</v>
      </c>
      <c r="B244" s="14" t="n">
        <v>41844</v>
      </c>
      <c r="C244" s="14"/>
      <c r="D244" s="13" t="n">
        <v>41</v>
      </c>
      <c r="E244" s="13" t="s">
        <v>182</v>
      </c>
      <c r="F244" s="13" t="s">
        <v>164</v>
      </c>
      <c r="G244" s="13" t="s">
        <v>148</v>
      </c>
      <c r="H244" s="13" t="s">
        <v>172</v>
      </c>
      <c r="I244" s="13" t="n">
        <v>5</v>
      </c>
      <c r="J244" s="13" t="n">
        <v>1</v>
      </c>
      <c r="K244" s="13" t="n">
        <v>42000</v>
      </c>
      <c r="L244" s="13"/>
      <c r="M244" s="13"/>
      <c r="N244" s="13" t="s">
        <v>142</v>
      </c>
    </row>
    <row r="245" customFormat="false" ht="15" hidden="false" customHeight="false" outlineLevel="0" collapsed="false">
      <c r="A245" s="13" t="s">
        <v>456</v>
      </c>
      <c r="B245" s="14" t="n">
        <v>41847</v>
      </c>
      <c r="C245" s="14"/>
      <c r="D245" s="13" t="n">
        <v>40</v>
      </c>
      <c r="E245" s="13" t="s">
        <v>136</v>
      </c>
      <c r="F245" s="13" t="s">
        <v>137</v>
      </c>
      <c r="G245" s="13" t="s">
        <v>138</v>
      </c>
      <c r="H245" s="13" t="s">
        <v>139</v>
      </c>
      <c r="I245" s="13" t="n">
        <v>3</v>
      </c>
      <c r="J245" s="13" t="n">
        <v>4</v>
      </c>
      <c r="K245" s="13" t="n">
        <v>37500</v>
      </c>
      <c r="L245" s="13"/>
      <c r="M245" s="13"/>
      <c r="N245" s="13" t="s">
        <v>134</v>
      </c>
    </row>
    <row r="246" customFormat="false" ht="15" hidden="false" customHeight="false" outlineLevel="0" collapsed="false">
      <c r="A246" s="13" t="s">
        <v>457</v>
      </c>
      <c r="B246" s="14" t="n">
        <v>41847</v>
      </c>
      <c r="C246" s="14"/>
      <c r="D246" s="13" t="n">
        <v>38</v>
      </c>
      <c r="E246" s="13" t="s">
        <v>144</v>
      </c>
      <c r="F246" s="13" t="s">
        <v>229</v>
      </c>
      <c r="G246" s="13" t="s">
        <v>374</v>
      </c>
      <c r="H246" s="13" t="s">
        <v>139</v>
      </c>
      <c r="I246" s="13" t="n">
        <v>4</v>
      </c>
      <c r="J246" s="13" t="n">
        <v>4</v>
      </c>
      <c r="K246" s="13" t="n">
        <v>46000</v>
      </c>
      <c r="L246" s="13"/>
      <c r="M246" s="13"/>
      <c r="N246" s="13" t="s">
        <v>142</v>
      </c>
    </row>
    <row r="247" customFormat="false" ht="15" hidden="false" customHeight="false" outlineLevel="0" collapsed="false">
      <c r="A247" s="13" t="s">
        <v>458</v>
      </c>
      <c r="B247" s="14" t="n">
        <v>41848</v>
      </c>
      <c r="C247" s="14" t="n">
        <v>45207</v>
      </c>
      <c r="D247" s="13" t="n">
        <v>30</v>
      </c>
      <c r="E247" s="13" t="s">
        <v>182</v>
      </c>
      <c r="F247" s="13" t="s">
        <v>168</v>
      </c>
      <c r="G247" s="13" t="s">
        <v>195</v>
      </c>
      <c r="H247" s="13" t="s">
        <v>343</v>
      </c>
      <c r="I247" s="13" t="n">
        <v>4</v>
      </c>
      <c r="J247" s="13" t="n">
        <v>3</v>
      </c>
      <c r="K247" s="13" t="n">
        <v>127000</v>
      </c>
      <c r="L247" s="13" t="s">
        <v>151</v>
      </c>
      <c r="M247" s="13" t="s">
        <v>159</v>
      </c>
      <c r="N247" s="13" t="s">
        <v>142</v>
      </c>
    </row>
    <row r="248" customFormat="false" ht="15" hidden="false" customHeight="false" outlineLevel="0" collapsed="false">
      <c r="A248" s="13" t="s">
        <v>459</v>
      </c>
      <c r="B248" s="14" t="n">
        <v>41851</v>
      </c>
      <c r="C248" s="14"/>
      <c r="D248" s="13" t="n">
        <v>40</v>
      </c>
      <c r="E248" s="13" t="s">
        <v>136</v>
      </c>
      <c r="F248" s="13" t="s">
        <v>168</v>
      </c>
      <c r="G248" s="13" t="s">
        <v>155</v>
      </c>
      <c r="H248" s="13" t="s">
        <v>146</v>
      </c>
      <c r="I248" s="13" t="n">
        <v>4</v>
      </c>
      <c r="J248" s="13" t="n">
        <v>4</v>
      </c>
      <c r="K248" s="13" t="n">
        <v>70500</v>
      </c>
      <c r="L248" s="13"/>
      <c r="M248" s="13"/>
      <c r="N248" s="13" t="s">
        <v>142</v>
      </c>
    </row>
    <row r="249" customFormat="false" ht="15" hidden="false" customHeight="false" outlineLevel="0" collapsed="false">
      <c r="A249" s="13" t="s">
        <v>460</v>
      </c>
      <c r="B249" s="14" t="n">
        <v>41858</v>
      </c>
      <c r="C249" s="14" t="n">
        <v>45449</v>
      </c>
      <c r="D249" s="13" t="n">
        <v>37</v>
      </c>
      <c r="E249" s="13" t="s">
        <v>186</v>
      </c>
      <c r="F249" s="13" t="s">
        <v>168</v>
      </c>
      <c r="G249" s="13" t="s">
        <v>307</v>
      </c>
      <c r="H249" s="13" t="s">
        <v>166</v>
      </c>
      <c r="I249" s="13" t="n">
        <v>3</v>
      </c>
      <c r="J249" s="13" t="n">
        <v>4</v>
      </c>
      <c r="K249" s="13" t="n">
        <v>114500</v>
      </c>
      <c r="L249" s="13" t="s">
        <v>173</v>
      </c>
      <c r="M249" s="13" t="s">
        <v>273</v>
      </c>
      <c r="N249" s="13" t="s">
        <v>142</v>
      </c>
    </row>
    <row r="250" customFormat="false" ht="15" hidden="false" customHeight="false" outlineLevel="0" collapsed="false">
      <c r="A250" s="13" t="s">
        <v>461</v>
      </c>
      <c r="B250" s="14" t="n">
        <v>41859</v>
      </c>
      <c r="C250" s="14"/>
      <c r="D250" s="13" t="n">
        <v>43</v>
      </c>
      <c r="E250" s="13" t="s">
        <v>182</v>
      </c>
      <c r="F250" s="13" t="s">
        <v>164</v>
      </c>
      <c r="G250" s="13" t="s">
        <v>188</v>
      </c>
      <c r="H250" s="13" t="s">
        <v>139</v>
      </c>
      <c r="I250" s="13" t="n">
        <v>4</v>
      </c>
      <c r="J250" s="13" t="n">
        <v>1</v>
      </c>
      <c r="K250" s="13" t="n">
        <v>47000</v>
      </c>
      <c r="L250" s="13"/>
      <c r="M250" s="13"/>
      <c r="N250" s="13" t="s">
        <v>453</v>
      </c>
    </row>
    <row r="251" customFormat="false" ht="15" hidden="false" customHeight="false" outlineLevel="0" collapsed="false">
      <c r="A251" s="13" t="s">
        <v>462</v>
      </c>
      <c r="B251" s="14" t="n">
        <v>41866</v>
      </c>
      <c r="C251" s="14"/>
      <c r="D251" s="13" t="n">
        <v>42</v>
      </c>
      <c r="E251" s="13" t="s">
        <v>144</v>
      </c>
      <c r="F251" s="13" t="s">
        <v>168</v>
      </c>
      <c r="G251" s="13" t="s">
        <v>155</v>
      </c>
      <c r="H251" s="13" t="s">
        <v>149</v>
      </c>
      <c r="I251" s="13" t="n">
        <v>3</v>
      </c>
      <c r="J251" s="13" t="n">
        <v>3</v>
      </c>
      <c r="K251" s="13" t="n">
        <v>124500</v>
      </c>
      <c r="L251" s="13"/>
      <c r="M251" s="13"/>
      <c r="N251" s="13" t="s">
        <v>214</v>
      </c>
    </row>
    <row r="252" customFormat="false" ht="15" hidden="false" customHeight="false" outlineLevel="0" collapsed="false">
      <c r="A252" s="13" t="s">
        <v>463</v>
      </c>
      <c r="B252" s="14" t="n">
        <v>41866</v>
      </c>
      <c r="C252" s="14"/>
      <c r="D252" s="13" t="n">
        <v>37</v>
      </c>
      <c r="E252" s="13" t="s">
        <v>136</v>
      </c>
      <c r="F252" s="13" t="s">
        <v>161</v>
      </c>
      <c r="G252" s="13" t="s">
        <v>224</v>
      </c>
      <c r="H252" s="13" t="s">
        <v>139</v>
      </c>
      <c r="I252" s="13" t="n">
        <v>4</v>
      </c>
      <c r="J252" s="13" t="n">
        <v>3</v>
      </c>
      <c r="K252" s="13" t="n">
        <v>49000</v>
      </c>
      <c r="L252" s="13"/>
      <c r="M252" s="13"/>
      <c r="N252" s="13" t="s">
        <v>142</v>
      </c>
    </row>
    <row r="253" customFormat="false" ht="15" hidden="false" customHeight="false" outlineLevel="0" collapsed="false">
      <c r="A253" s="13" t="s">
        <v>464</v>
      </c>
      <c r="B253" s="14" t="n">
        <v>41867</v>
      </c>
      <c r="C253" s="14"/>
      <c r="D253" s="13" t="n">
        <v>43</v>
      </c>
      <c r="E253" s="13" t="s">
        <v>136</v>
      </c>
      <c r="F253" s="13" t="s">
        <v>137</v>
      </c>
      <c r="G253" s="13" t="s">
        <v>132</v>
      </c>
      <c r="H253" s="13" t="s">
        <v>192</v>
      </c>
      <c r="I253" s="13" t="n">
        <v>5</v>
      </c>
      <c r="J253" s="13" t="n">
        <v>2</v>
      </c>
      <c r="K253" s="13" t="n">
        <v>224500</v>
      </c>
      <c r="L253" s="13"/>
      <c r="M253" s="13"/>
      <c r="N253" s="13" t="s">
        <v>142</v>
      </c>
    </row>
    <row r="254" customFormat="false" ht="15" hidden="false" customHeight="false" outlineLevel="0" collapsed="false">
      <c r="A254" s="13" t="s">
        <v>465</v>
      </c>
      <c r="B254" s="14" t="n">
        <v>41878</v>
      </c>
      <c r="C254" s="14"/>
      <c r="D254" s="13" t="n">
        <v>39</v>
      </c>
      <c r="E254" s="13" t="s">
        <v>144</v>
      </c>
      <c r="F254" s="13" t="s">
        <v>137</v>
      </c>
      <c r="G254" s="13" t="s">
        <v>148</v>
      </c>
      <c r="H254" s="13" t="s">
        <v>139</v>
      </c>
      <c r="I254" s="13" t="n">
        <v>3</v>
      </c>
      <c r="J254" s="13" t="n">
        <v>4</v>
      </c>
      <c r="K254" s="13" t="n">
        <v>42500</v>
      </c>
      <c r="L254" s="13"/>
      <c r="M254" s="13"/>
      <c r="N254" s="13" t="s">
        <v>142</v>
      </c>
    </row>
    <row r="255" customFormat="false" ht="15" hidden="false" customHeight="false" outlineLevel="0" collapsed="false">
      <c r="A255" s="13" t="s">
        <v>466</v>
      </c>
      <c r="B255" s="14" t="n">
        <v>41885</v>
      </c>
      <c r="C255" s="14"/>
      <c r="D255" s="13" t="n">
        <v>41</v>
      </c>
      <c r="E255" s="13" t="s">
        <v>144</v>
      </c>
      <c r="F255" s="13" t="s">
        <v>154</v>
      </c>
      <c r="G255" s="13" t="s">
        <v>138</v>
      </c>
      <c r="H255" s="13" t="s">
        <v>146</v>
      </c>
      <c r="I255" s="13" t="n">
        <v>2</v>
      </c>
      <c r="J255" s="13" t="n">
        <v>3</v>
      </c>
      <c r="K255" s="13" t="n">
        <v>75500</v>
      </c>
      <c r="L255" s="13"/>
      <c r="M255" s="13"/>
      <c r="N255" s="13" t="s">
        <v>142</v>
      </c>
    </row>
    <row r="256" customFormat="false" ht="15" hidden="false" customHeight="false" outlineLevel="0" collapsed="false">
      <c r="A256" s="13" t="s">
        <v>467</v>
      </c>
      <c r="B256" s="14" t="n">
        <v>41885</v>
      </c>
      <c r="C256" s="14" t="n">
        <v>44782</v>
      </c>
      <c r="D256" s="13" t="n">
        <v>36</v>
      </c>
      <c r="E256" s="13" t="s">
        <v>144</v>
      </c>
      <c r="F256" s="13" t="s">
        <v>137</v>
      </c>
      <c r="G256" s="13" t="s">
        <v>138</v>
      </c>
      <c r="H256" s="13" t="s">
        <v>178</v>
      </c>
      <c r="I256" s="13" t="n">
        <v>4</v>
      </c>
      <c r="J256" s="13" t="n">
        <v>2</v>
      </c>
      <c r="K256" s="13" t="n">
        <v>163000</v>
      </c>
      <c r="L256" s="13" t="s">
        <v>151</v>
      </c>
      <c r="M256" s="13" t="s">
        <v>201</v>
      </c>
      <c r="N256" s="13" t="s">
        <v>134</v>
      </c>
    </row>
    <row r="257" customFormat="false" ht="15" hidden="false" customHeight="false" outlineLevel="0" collapsed="false">
      <c r="A257" s="13" t="s">
        <v>468</v>
      </c>
      <c r="B257" s="14" t="n">
        <v>41892</v>
      </c>
      <c r="C257" s="14"/>
      <c r="D257" s="13" t="n">
        <v>43</v>
      </c>
      <c r="E257" s="13" t="s">
        <v>136</v>
      </c>
      <c r="F257" s="13" t="s">
        <v>168</v>
      </c>
      <c r="G257" s="13" t="s">
        <v>155</v>
      </c>
      <c r="H257" s="13" t="s">
        <v>156</v>
      </c>
      <c r="I257" s="13" t="n">
        <v>2</v>
      </c>
      <c r="J257" s="13" t="n">
        <v>1</v>
      </c>
      <c r="K257" s="13" t="n">
        <v>106000</v>
      </c>
      <c r="L257" s="13"/>
      <c r="M257" s="13"/>
      <c r="N257" s="13" t="s">
        <v>134</v>
      </c>
    </row>
    <row r="258" customFormat="false" ht="15" hidden="false" customHeight="false" outlineLevel="0" collapsed="false">
      <c r="A258" s="13" t="s">
        <v>469</v>
      </c>
      <c r="B258" s="14" t="n">
        <v>41896</v>
      </c>
      <c r="C258" s="14"/>
      <c r="D258" s="13" t="n">
        <v>43</v>
      </c>
      <c r="E258" s="13" t="s">
        <v>130</v>
      </c>
      <c r="F258" s="13" t="s">
        <v>131</v>
      </c>
      <c r="G258" s="13" t="s">
        <v>155</v>
      </c>
      <c r="H258" s="13" t="s">
        <v>139</v>
      </c>
      <c r="I258" s="13" t="n">
        <v>3</v>
      </c>
      <c r="J258" s="13" t="n">
        <v>3</v>
      </c>
      <c r="K258" s="13" t="n">
        <v>40000</v>
      </c>
      <c r="L258" s="13"/>
      <c r="M258" s="13"/>
      <c r="N258" s="13" t="s">
        <v>134</v>
      </c>
    </row>
    <row r="259" customFormat="false" ht="15" hidden="false" customHeight="false" outlineLevel="0" collapsed="false">
      <c r="A259" s="13" t="s">
        <v>470</v>
      </c>
      <c r="B259" s="14" t="n">
        <v>41897</v>
      </c>
      <c r="C259" s="14"/>
      <c r="D259" s="13" t="n">
        <v>43</v>
      </c>
      <c r="E259" s="13" t="s">
        <v>136</v>
      </c>
      <c r="F259" s="13" t="s">
        <v>154</v>
      </c>
      <c r="G259" s="13" t="s">
        <v>155</v>
      </c>
      <c r="H259" s="13" t="s">
        <v>192</v>
      </c>
      <c r="I259" s="13" t="n">
        <v>4</v>
      </c>
      <c r="J259" s="13" t="n">
        <v>1</v>
      </c>
      <c r="K259" s="13" t="n">
        <v>230000</v>
      </c>
      <c r="L259" s="13"/>
      <c r="M259" s="13"/>
      <c r="N259" s="13" t="s">
        <v>134</v>
      </c>
    </row>
    <row r="260" customFormat="false" ht="15" hidden="false" customHeight="false" outlineLevel="0" collapsed="false">
      <c r="A260" s="13" t="s">
        <v>471</v>
      </c>
      <c r="B260" s="14" t="n">
        <v>41898</v>
      </c>
      <c r="C260" s="14" t="n">
        <v>45951</v>
      </c>
      <c r="D260" s="13" t="n">
        <v>48</v>
      </c>
      <c r="E260" s="13" t="s">
        <v>136</v>
      </c>
      <c r="F260" s="13" t="s">
        <v>137</v>
      </c>
      <c r="G260" s="13" t="s">
        <v>297</v>
      </c>
      <c r="H260" s="13" t="s">
        <v>149</v>
      </c>
      <c r="I260" s="13" t="n">
        <v>4</v>
      </c>
      <c r="J260" s="13" t="n">
        <v>2</v>
      </c>
      <c r="K260" s="13" t="n">
        <v>132000</v>
      </c>
      <c r="L260" s="13" t="s">
        <v>151</v>
      </c>
      <c r="M260" s="13" t="s">
        <v>203</v>
      </c>
      <c r="N260" s="13" t="s">
        <v>142</v>
      </c>
    </row>
    <row r="261" customFormat="false" ht="15" hidden="false" customHeight="false" outlineLevel="0" collapsed="false">
      <c r="A261" s="13" t="s">
        <v>472</v>
      </c>
      <c r="B261" s="14" t="n">
        <v>41901</v>
      </c>
      <c r="C261" s="14"/>
      <c r="D261" s="13" t="n">
        <v>46</v>
      </c>
      <c r="E261" s="13" t="s">
        <v>136</v>
      </c>
      <c r="F261" s="13" t="s">
        <v>168</v>
      </c>
      <c r="G261" s="13" t="s">
        <v>132</v>
      </c>
      <c r="H261" s="13" t="s">
        <v>343</v>
      </c>
      <c r="I261" s="13" t="n">
        <v>5</v>
      </c>
      <c r="J261" s="13" t="n">
        <v>2</v>
      </c>
      <c r="K261" s="13" t="n">
        <v>143500</v>
      </c>
      <c r="L261" s="13"/>
      <c r="M261" s="13"/>
      <c r="N261" s="13" t="s">
        <v>142</v>
      </c>
    </row>
    <row r="262" customFormat="false" ht="15" hidden="false" customHeight="false" outlineLevel="0" collapsed="false">
      <c r="A262" s="13" t="s">
        <v>473</v>
      </c>
      <c r="B262" s="14" t="n">
        <v>41907</v>
      </c>
      <c r="C262" s="14" t="n">
        <v>45704</v>
      </c>
      <c r="D262" s="13" t="n">
        <v>42</v>
      </c>
      <c r="E262" s="13" t="s">
        <v>190</v>
      </c>
      <c r="F262" s="13" t="s">
        <v>168</v>
      </c>
      <c r="G262" s="13" t="s">
        <v>334</v>
      </c>
      <c r="H262" s="13" t="s">
        <v>146</v>
      </c>
      <c r="I262" s="13" t="n">
        <v>2</v>
      </c>
      <c r="J262" s="13" t="n">
        <v>2</v>
      </c>
      <c r="K262" s="13" t="n">
        <v>70000</v>
      </c>
      <c r="L262" s="13" t="s">
        <v>173</v>
      </c>
      <c r="M262" s="13" t="s">
        <v>273</v>
      </c>
      <c r="N262" s="13" t="s">
        <v>142</v>
      </c>
    </row>
    <row r="263" customFormat="false" ht="15" hidden="false" customHeight="false" outlineLevel="0" collapsed="false">
      <c r="A263" s="13" t="s">
        <v>474</v>
      </c>
      <c r="B263" s="14" t="n">
        <v>41910</v>
      </c>
      <c r="C263" s="14"/>
      <c r="D263" s="13" t="n">
        <v>38</v>
      </c>
      <c r="E263" s="13" t="s">
        <v>144</v>
      </c>
      <c r="F263" s="13" t="s">
        <v>161</v>
      </c>
      <c r="G263" s="13" t="s">
        <v>148</v>
      </c>
      <c r="H263" s="13" t="s">
        <v>219</v>
      </c>
      <c r="I263" s="13" t="n">
        <v>3</v>
      </c>
      <c r="J263" s="13" t="n">
        <v>3</v>
      </c>
      <c r="K263" s="13" t="n">
        <v>50500</v>
      </c>
      <c r="L263" s="13"/>
      <c r="M263" s="13"/>
      <c r="N263" s="13" t="s">
        <v>142</v>
      </c>
    </row>
    <row r="264" customFormat="false" ht="15" hidden="false" customHeight="false" outlineLevel="0" collapsed="false">
      <c r="A264" s="13" t="s">
        <v>475</v>
      </c>
      <c r="B264" s="14" t="n">
        <v>41917</v>
      </c>
      <c r="C264" s="14"/>
      <c r="D264" s="13" t="n">
        <v>39</v>
      </c>
      <c r="E264" s="13" t="s">
        <v>144</v>
      </c>
      <c r="F264" s="13" t="s">
        <v>241</v>
      </c>
      <c r="G264" s="13" t="s">
        <v>138</v>
      </c>
      <c r="H264" s="13" t="s">
        <v>156</v>
      </c>
      <c r="I264" s="13" t="n">
        <v>4</v>
      </c>
      <c r="J264" s="13" t="n">
        <v>4</v>
      </c>
      <c r="K264" s="13" t="n">
        <v>125500</v>
      </c>
      <c r="L264" s="13"/>
      <c r="M264" s="13"/>
      <c r="N264" s="13" t="s">
        <v>142</v>
      </c>
    </row>
    <row r="265" customFormat="false" ht="15" hidden="false" customHeight="false" outlineLevel="0" collapsed="false">
      <c r="A265" s="13" t="s">
        <v>476</v>
      </c>
      <c r="B265" s="14" t="n">
        <v>41920</v>
      </c>
      <c r="C265" s="14" t="n">
        <v>45264</v>
      </c>
      <c r="D265" s="13" t="n">
        <v>39</v>
      </c>
      <c r="E265" s="13" t="s">
        <v>190</v>
      </c>
      <c r="F265" s="13" t="s">
        <v>131</v>
      </c>
      <c r="G265" s="13" t="s">
        <v>213</v>
      </c>
      <c r="H265" s="13" t="s">
        <v>146</v>
      </c>
      <c r="I265" s="13" t="n">
        <v>2</v>
      </c>
      <c r="J265" s="13" t="n">
        <v>1</v>
      </c>
      <c r="K265" s="13" t="n">
        <v>69500</v>
      </c>
      <c r="L265" s="13" t="s">
        <v>151</v>
      </c>
      <c r="M265" s="13" t="s">
        <v>201</v>
      </c>
      <c r="N265" s="13" t="s">
        <v>134</v>
      </c>
    </row>
    <row r="266" customFormat="false" ht="15" hidden="false" customHeight="false" outlineLevel="0" collapsed="false">
      <c r="A266" s="13" t="s">
        <v>477</v>
      </c>
      <c r="B266" s="14" t="n">
        <v>41920</v>
      </c>
      <c r="C266" s="14"/>
      <c r="D266" s="13" t="n">
        <v>41</v>
      </c>
      <c r="E266" s="13" t="s">
        <v>144</v>
      </c>
      <c r="F266" s="13" t="s">
        <v>154</v>
      </c>
      <c r="G266" s="13" t="s">
        <v>155</v>
      </c>
      <c r="H266" s="13" t="s">
        <v>246</v>
      </c>
      <c r="I266" s="13" t="n">
        <v>3</v>
      </c>
      <c r="J266" s="13" t="n">
        <v>4</v>
      </c>
      <c r="K266" s="13" t="n">
        <v>181000</v>
      </c>
      <c r="L266" s="13"/>
      <c r="M266" s="13"/>
      <c r="N266" s="13" t="s">
        <v>214</v>
      </c>
    </row>
    <row r="267" customFormat="false" ht="15" hidden="false" customHeight="false" outlineLevel="0" collapsed="false">
      <c r="A267" s="13" t="s">
        <v>478</v>
      </c>
      <c r="B267" s="14" t="n">
        <v>41922</v>
      </c>
      <c r="C267" s="14"/>
      <c r="D267" s="13" t="n">
        <v>36</v>
      </c>
      <c r="E267" s="13" t="s">
        <v>136</v>
      </c>
      <c r="F267" s="13" t="s">
        <v>164</v>
      </c>
      <c r="G267" s="13" t="s">
        <v>188</v>
      </c>
      <c r="H267" s="13" t="s">
        <v>146</v>
      </c>
      <c r="I267" s="13" t="n">
        <v>4</v>
      </c>
      <c r="J267" s="13" t="n">
        <v>4</v>
      </c>
      <c r="K267" s="13" t="n">
        <v>88500</v>
      </c>
      <c r="L267" s="13"/>
      <c r="M267" s="13"/>
      <c r="N267" s="13" t="s">
        <v>157</v>
      </c>
    </row>
    <row r="268" customFormat="false" ht="15" hidden="false" customHeight="false" outlineLevel="0" collapsed="false">
      <c r="A268" s="13" t="s">
        <v>479</v>
      </c>
      <c r="B268" s="14" t="n">
        <v>41924</v>
      </c>
      <c r="C268" s="14"/>
      <c r="D268" s="13" t="n">
        <v>35</v>
      </c>
      <c r="E268" s="13" t="s">
        <v>136</v>
      </c>
      <c r="F268" s="13" t="s">
        <v>131</v>
      </c>
      <c r="G268" s="13" t="s">
        <v>138</v>
      </c>
      <c r="H268" s="13" t="s">
        <v>156</v>
      </c>
      <c r="I268" s="13" t="n">
        <v>3</v>
      </c>
      <c r="J268" s="13" t="n">
        <v>3</v>
      </c>
      <c r="K268" s="13" t="n">
        <v>109500</v>
      </c>
      <c r="L268" s="13"/>
      <c r="M268" s="13"/>
      <c r="N268" s="13" t="s">
        <v>134</v>
      </c>
    </row>
    <row r="269" customFormat="false" ht="15" hidden="false" customHeight="false" outlineLevel="0" collapsed="false">
      <c r="A269" s="13" t="s">
        <v>480</v>
      </c>
      <c r="B269" s="14" t="n">
        <v>41930</v>
      </c>
      <c r="C269" s="14"/>
      <c r="D269" s="13" t="n">
        <v>43</v>
      </c>
      <c r="E269" s="13" t="s">
        <v>144</v>
      </c>
      <c r="F269" s="13" t="s">
        <v>168</v>
      </c>
      <c r="G269" s="13" t="s">
        <v>138</v>
      </c>
      <c r="H269" s="13" t="s">
        <v>156</v>
      </c>
      <c r="I269" s="13" t="n">
        <v>3</v>
      </c>
      <c r="J269" s="13" t="n">
        <v>2</v>
      </c>
      <c r="K269" s="13" t="n">
        <v>124500</v>
      </c>
      <c r="L269" s="13"/>
      <c r="M269" s="13"/>
      <c r="N269" s="13" t="s">
        <v>142</v>
      </c>
    </row>
    <row r="270" customFormat="false" ht="15" hidden="false" customHeight="false" outlineLevel="0" collapsed="false">
      <c r="A270" s="13" t="s">
        <v>481</v>
      </c>
      <c r="B270" s="14" t="n">
        <v>41931</v>
      </c>
      <c r="C270" s="14"/>
      <c r="D270" s="13" t="n">
        <v>41</v>
      </c>
      <c r="E270" s="13" t="s">
        <v>130</v>
      </c>
      <c r="F270" s="13" t="s">
        <v>137</v>
      </c>
      <c r="G270" s="13" t="s">
        <v>138</v>
      </c>
      <c r="H270" s="13" t="s">
        <v>139</v>
      </c>
      <c r="I270" s="13" t="n">
        <v>4</v>
      </c>
      <c r="J270" s="13" t="n">
        <v>3</v>
      </c>
      <c r="K270" s="13" t="n">
        <v>44500</v>
      </c>
      <c r="L270" s="13"/>
      <c r="M270" s="13"/>
      <c r="N270" s="13" t="s">
        <v>142</v>
      </c>
    </row>
    <row r="271" customFormat="false" ht="15" hidden="false" customHeight="false" outlineLevel="0" collapsed="false">
      <c r="A271" s="13" t="s">
        <v>482</v>
      </c>
      <c r="B271" s="14" t="n">
        <v>41932</v>
      </c>
      <c r="C271" s="14"/>
      <c r="D271" s="13" t="n">
        <v>41</v>
      </c>
      <c r="E271" s="13" t="s">
        <v>130</v>
      </c>
      <c r="F271" s="13" t="s">
        <v>170</v>
      </c>
      <c r="G271" s="13" t="s">
        <v>334</v>
      </c>
      <c r="H271" s="13" t="s">
        <v>149</v>
      </c>
      <c r="I271" s="13" t="n">
        <v>2</v>
      </c>
      <c r="J271" s="13" t="n">
        <v>4</v>
      </c>
      <c r="K271" s="13" t="n">
        <v>133000</v>
      </c>
      <c r="L271" s="13"/>
      <c r="M271" s="13"/>
      <c r="N271" s="13" t="s">
        <v>255</v>
      </c>
    </row>
    <row r="272" customFormat="false" ht="15" hidden="false" customHeight="false" outlineLevel="0" collapsed="false">
      <c r="A272" s="13" t="s">
        <v>483</v>
      </c>
      <c r="B272" s="14" t="n">
        <v>41933</v>
      </c>
      <c r="C272" s="14"/>
      <c r="D272" s="13" t="n">
        <v>32</v>
      </c>
      <c r="E272" s="13" t="s">
        <v>136</v>
      </c>
      <c r="F272" s="13" t="s">
        <v>229</v>
      </c>
      <c r="G272" s="13" t="s">
        <v>132</v>
      </c>
      <c r="H272" s="13" t="s">
        <v>291</v>
      </c>
      <c r="I272" s="13" t="n">
        <v>3</v>
      </c>
      <c r="J272" s="13" t="n">
        <v>4</v>
      </c>
      <c r="K272" s="13" t="n">
        <v>160500</v>
      </c>
      <c r="L272" s="13"/>
      <c r="M272" s="13"/>
      <c r="N272" s="13" t="s">
        <v>142</v>
      </c>
    </row>
    <row r="273" customFormat="false" ht="15" hidden="false" customHeight="false" outlineLevel="0" collapsed="false">
      <c r="A273" s="13" t="s">
        <v>484</v>
      </c>
      <c r="B273" s="14" t="n">
        <v>41935</v>
      </c>
      <c r="C273" s="14"/>
      <c r="D273" s="13" t="n">
        <v>32</v>
      </c>
      <c r="E273" s="13" t="s">
        <v>136</v>
      </c>
      <c r="F273" s="13" t="s">
        <v>131</v>
      </c>
      <c r="G273" s="13" t="s">
        <v>191</v>
      </c>
      <c r="H273" s="13" t="s">
        <v>139</v>
      </c>
      <c r="I273" s="13" t="n">
        <v>1</v>
      </c>
      <c r="J273" s="13" t="n">
        <v>1</v>
      </c>
      <c r="K273" s="13" t="n">
        <v>44000</v>
      </c>
      <c r="L273" s="13"/>
      <c r="M273" s="13"/>
      <c r="N273" s="13" t="s">
        <v>142</v>
      </c>
    </row>
    <row r="274" customFormat="false" ht="15" hidden="false" customHeight="false" outlineLevel="0" collapsed="false">
      <c r="A274" s="13" t="s">
        <v>485</v>
      </c>
      <c r="B274" s="14" t="n">
        <v>41937</v>
      </c>
      <c r="C274" s="14"/>
      <c r="D274" s="13" t="n">
        <v>42</v>
      </c>
      <c r="E274" s="13" t="s">
        <v>144</v>
      </c>
      <c r="F274" s="13" t="s">
        <v>241</v>
      </c>
      <c r="G274" s="13" t="s">
        <v>155</v>
      </c>
      <c r="H274" s="13" t="s">
        <v>156</v>
      </c>
      <c r="I274" s="13" t="n">
        <v>5</v>
      </c>
      <c r="J274" s="13" t="n">
        <v>4</v>
      </c>
      <c r="K274" s="13" t="n">
        <v>134000</v>
      </c>
      <c r="L274" s="13"/>
      <c r="M274" s="13"/>
      <c r="N274" s="13" t="s">
        <v>142</v>
      </c>
    </row>
    <row r="275" customFormat="false" ht="15" hidden="false" customHeight="false" outlineLevel="0" collapsed="false">
      <c r="A275" s="13" t="s">
        <v>486</v>
      </c>
      <c r="B275" s="14" t="n">
        <v>41944</v>
      </c>
      <c r="C275" s="14" t="n">
        <v>45589</v>
      </c>
      <c r="D275" s="13" t="n">
        <v>44</v>
      </c>
      <c r="E275" s="13" t="s">
        <v>136</v>
      </c>
      <c r="F275" s="13" t="s">
        <v>145</v>
      </c>
      <c r="G275" s="13" t="s">
        <v>138</v>
      </c>
      <c r="H275" s="13" t="s">
        <v>156</v>
      </c>
      <c r="I275" s="13" t="n">
        <v>3</v>
      </c>
      <c r="J275" s="13" t="n">
        <v>4</v>
      </c>
      <c r="K275" s="13" t="n">
        <v>126000</v>
      </c>
      <c r="L275" s="13" t="s">
        <v>151</v>
      </c>
      <c r="M275" s="13" t="s">
        <v>314</v>
      </c>
      <c r="N275" s="13" t="s">
        <v>142</v>
      </c>
    </row>
    <row r="276" customFormat="false" ht="15" hidden="false" customHeight="false" outlineLevel="0" collapsed="false">
      <c r="A276" s="13" t="s">
        <v>487</v>
      </c>
      <c r="B276" s="14" t="n">
        <v>41946</v>
      </c>
      <c r="C276" s="14"/>
      <c r="D276" s="13" t="n">
        <v>45</v>
      </c>
      <c r="E276" s="13" t="s">
        <v>144</v>
      </c>
      <c r="F276" s="13" t="s">
        <v>161</v>
      </c>
      <c r="G276" s="13" t="s">
        <v>132</v>
      </c>
      <c r="H276" s="13" t="s">
        <v>178</v>
      </c>
      <c r="I276" s="13" t="n">
        <v>3</v>
      </c>
      <c r="J276" s="13" t="n">
        <v>2</v>
      </c>
      <c r="K276" s="13" t="n">
        <v>177000</v>
      </c>
      <c r="L276" s="13"/>
      <c r="M276" s="13"/>
      <c r="N276" s="13" t="s">
        <v>142</v>
      </c>
    </row>
    <row r="277" customFormat="false" ht="15" hidden="false" customHeight="false" outlineLevel="0" collapsed="false">
      <c r="A277" s="13" t="s">
        <v>488</v>
      </c>
      <c r="B277" s="14" t="n">
        <v>41948</v>
      </c>
      <c r="C277" s="14"/>
      <c r="D277" s="13" t="n">
        <v>43</v>
      </c>
      <c r="E277" s="13" t="s">
        <v>182</v>
      </c>
      <c r="F277" s="13" t="s">
        <v>145</v>
      </c>
      <c r="G277" s="13" t="s">
        <v>138</v>
      </c>
      <c r="H277" s="13" t="s">
        <v>146</v>
      </c>
      <c r="I277" s="13" t="n">
        <v>4</v>
      </c>
      <c r="J277" s="13" t="n">
        <v>2</v>
      </c>
      <c r="K277" s="13" t="n">
        <v>104000</v>
      </c>
      <c r="L277" s="13"/>
      <c r="M277" s="13"/>
      <c r="N277" s="13" t="s">
        <v>157</v>
      </c>
    </row>
    <row r="278" customFormat="false" ht="15" hidden="false" customHeight="false" outlineLevel="0" collapsed="false">
      <c r="A278" s="13" t="s">
        <v>489</v>
      </c>
      <c r="B278" s="14" t="n">
        <v>41950</v>
      </c>
      <c r="C278" s="14"/>
      <c r="D278" s="13" t="n">
        <v>44</v>
      </c>
      <c r="E278" s="13" t="s">
        <v>136</v>
      </c>
      <c r="F278" s="13" t="s">
        <v>131</v>
      </c>
      <c r="G278" s="13" t="s">
        <v>132</v>
      </c>
      <c r="H278" s="13" t="s">
        <v>178</v>
      </c>
      <c r="I278" s="13" t="n">
        <v>4</v>
      </c>
      <c r="J278" s="13" t="n">
        <v>2</v>
      </c>
      <c r="K278" s="13" t="n">
        <v>157500</v>
      </c>
      <c r="L278" s="13"/>
      <c r="M278" s="13"/>
      <c r="N278" s="13" t="s">
        <v>142</v>
      </c>
    </row>
    <row r="279" customFormat="false" ht="15" hidden="false" customHeight="false" outlineLevel="0" collapsed="false">
      <c r="A279" s="13" t="s">
        <v>490</v>
      </c>
      <c r="B279" s="14" t="n">
        <v>41957</v>
      </c>
      <c r="C279" s="14" t="n">
        <v>44967</v>
      </c>
      <c r="D279" s="13" t="n">
        <v>30</v>
      </c>
      <c r="E279" s="13" t="s">
        <v>144</v>
      </c>
      <c r="F279" s="13" t="s">
        <v>168</v>
      </c>
      <c r="G279" s="13" t="s">
        <v>155</v>
      </c>
      <c r="H279" s="13" t="s">
        <v>149</v>
      </c>
      <c r="I279" s="13" t="n">
        <v>1</v>
      </c>
      <c r="J279" s="13" t="n">
        <v>2</v>
      </c>
      <c r="K279" s="13" t="n">
        <v>116500</v>
      </c>
      <c r="L279" s="13" t="s">
        <v>173</v>
      </c>
      <c r="M279" s="13" t="s">
        <v>273</v>
      </c>
      <c r="N279" s="13" t="s">
        <v>142</v>
      </c>
    </row>
    <row r="280" customFormat="false" ht="15" hidden="false" customHeight="false" outlineLevel="0" collapsed="false">
      <c r="A280" s="13" t="s">
        <v>491</v>
      </c>
      <c r="B280" s="14" t="n">
        <v>41958</v>
      </c>
      <c r="C280" s="14" t="n">
        <v>45281</v>
      </c>
      <c r="D280" s="13" t="n">
        <v>43</v>
      </c>
      <c r="E280" s="13" t="s">
        <v>144</v>
      </c>
      <c r="F280" s="13" t="s">
        <v>168</v>
      </c>
      <c r="G280" s="13" t="s">
        <v>155</v>
      </c>
      <c r="H280" s="13" t="s">
        <v>139</v>
      </c>
      <c r="I280" s="13" t="n">
        <v>2</v>
      </c>
      <c r="J280" s="13" t="n">
        <v>2</v>
      </c>
      <c r="K280" s="13" t="n">
        <v>32000</v>
      </c>
      <c r="L280" s="13" t="s">
        <v>173</v>
      </c>
      <c r="M280" s="13" t="s">
        <v>310</v>
      </c>
      <c r="N280" s="13" t="s">
        <v>134</v>
      </c>
    </row>
    <row r="281" customFormat="false" ht="15" hidden="false" customHeight="false" outlineLevel="0" collapsed="false">
      <c r="A281" s="13" t="s">
        <v>492</v>
      </c>
      <c r="B281" s="14" t="n">
        <v>41960</v>
      </c>
      <c r="C281" s="14"/>
      <c r="D281" s="13" t="n">
        <v>43</v>
      </c>
      <c r="E281" s="13" t="s">
        <v>144</v>
      </c>
      <c r="F281" s="13" t="s">
        <v>145</v>
      </c>
      <c r="G281" s="13" t="s">
        <v>374</v>
      </c>
      <c r="H281" s="13" t="s">
        <v>149</v>
      </c>
      <c r="I281" s="13" t="n">
        <v>4</v>
      </c>
      <c r="J281" s="13" t="n">
        <v>1</v>
      </c>
      <c r="K281" s="13" t="n">
        <v>115000</v>
      </c>
      <c r="L281" s="13"/>
      <c r="M281" s="13"/>
      <c r="N281" s="13" t="s">
        <v>142</v>
      </c>
    </row>
    <row r="282" customFormat="false" ht="15" hidden="false" customHeight="false" outlineLevel="0" collapsed="false">
      <c r="A282" s="13" t="s">
        <v>493</v>
      </c>
      <c r="B282" s="14" t="n">
        <v>41960</v>
      </c>
      <c r="C282" s="14" t="n">
        <v>45139</v>
      </c>
      <c r="D282" s="13" t="n">
        <v>30</v>
      </c>
      <c r="E282" s="13" t="s">
        <v>136</v>
      </c>
      <c r="F282" s="13" t="s">
        <v>168</v>
      </c>
      <c r="G282" s="13" t="s">
        <v>138</v>
      </c>
      <c r="H282" s="13" t="s">
        <v>146</v>
      </c>
      <c r="I282" s="13" t="n">
        <v>1</v>
      </c>
      <c r="J282" s="13" t="n">
        <v>3</v>
      </c>
      <c r="K282" s="13" t="n">
        <v>64000</v>
      </c>
      <c r="L282" s="13" t="s">
        <v>173</v>
      </c>
      <c r="M282" s="13" t="s">
        <v>254</v>
      </c>
      <c r="N282" s="13" t="s">
        <v>134</v>
      </c>
    </row>
    <row r="283" customFormat="false" ht="15" hidden="false" customHeight="false" outlineLevel="0" collapsed="false">
      <c r="A283" s="13" t="s">
        <v>494</v>
      </c>
      <c r="B283" s="14" t="n">
        <v>41963</v>
      </c>
      <c r="C283" s="14"/>
      <c r="D283" s="13" t="n">
        <v>47</v>
      </c>
      <c r="E283" s="13" t="s">
        <v>136</v>
      </c>
      <c r="F283" s="13" t="s">
        <v>170</v>
      </c>
      <c r="G283" s="13" t="s">
        <v>138</v>
      </c>
      <c r="H283" s="13" t="s">
        <v>139</v>
      </c>
      <c r="I283" s="13" t="n">
        <v>5</v>
      </c>
      <c r="J283" s="13" t="n">
        <v>2</v>
      </c>
      <c r="K283" s="13" t="n">
        <v>55500</v>
      </c>
      <c r="L283" s="13"/>
      <c r="M283" s="13"/>
      <c r="N283" s="13" t="s">
        <v>142</v>
      </c>
    </row>
    <row r="284" customFormat="false" ht="15" hidden="false" customHeight="false" outlineLevel="0" collapsed="false">
      <c r="A284" s="13" t="s">
        <v>495</v>
      </c>
      <c r="B284" s="14" t="n">
        <v>41966</v>
      </c>
      <c r="C284" s="14"/>
      <c r="D284" s="13" t="n">
        <v>46</v>
      </c>
      <c r="E284" s="13" t="s">
        <v>190</v>
      </c>
      <c r="F284" s="13" t="s">
        <v>170</v>
      </c>
      <c r="G284" s="13" t="s">
        <v>132</v>
      </c>
      <c r="H284" s="13" t="s">
        <v>139</v>
      </c>
      <c r="I284" s="13" t="n">
        <v>4</v>
      </c>
      <c r="J284" s="13" t="n">
        <v>3</v>
      </c>
      <c r="K284" s="13" t="n">
        <v>46000</v>
      </c>
      <c r="L284" s="13"/>
      <c r="M284" s="13"/>
      <c r="N284" s="13" t="s">
        <v>142</v>
      </c>
    </row>
    <row r="285" customFormat="false" ht="15" hidden="false" customHeight="false" outlineLevel="0" collapsed="false">
      <c r="A285" s="13" t="s">
        <v>496</v>
      </c>
      <c r="B285" s="14" t="n">
        <v>41971</v>
      </c>
      <c r="C285" s="14" t="n">
        <v>45667</v>
      </c>
      <c r="D285" s="13" t="n">
        <v>37</v>
      </c>
      <c r="E285" s="13" t="s">
        <v>136</v>
      </c>
      <c r="F285" s="13" t="s">
        <v>168</v>
      </c>
      <c r="G285" s="13" t="s">
        <v>155</v>
      </c>
      <c r="H285" s="13" t="s">
        <v>146</v>
      </c>
      <c r="I285" s="13" t="n">
        <v>3</v>
      </c>
      <c r="J285" s="13" t="n">
        <v>3</v>
      </c>
      <c r="K285" s="13" t="n">
        <v>65000</v>
      </c>
      <c r="L285" s="13" t="s">
        <v>151</v>
      </c>
      <c r="M285" s="13" t="s">
        <v>314</v>
      </c>
      <c r="N285" s="13" t="s">
        <v>142</v>
      </c>
    </row>
    <row r="286" customFormat="false" ht="15" hidden="false" customHeight="false" outlineLevel="0" collapsed="false">
      <c r="A286" s="13" t="s">
        <v>497</v>
      </c>
      <c r="B286" s="14" t="n">
        <v>41973</v>
      </c>
      <c r="C286" s="14" t="n">
        <v>45693</v>
      </c>
      <c r="D286" s="13" t="n">
        <v>33</v>
      </c>
      <c r="E286" s="13" t="s">
        <v>136</v>
      </c>
      <c r="F286" s="13" t="s">
        <v>154</v>
      </c>
      <c r="G286" s="13" t="s">
        <v>148</v>
      </c>
      <c r="H286" s="13" t="s">
        <v>149</v>
      </c>
      <c r="I286" s="13" t="n">
        <v>2</v>
      </c>
      <c r="J286" s="13" t="n">
        <v>1</v>
      </c>
      <c r="K286" s="13" t="n">
        <v>128500</v>
      </c>
      <c r="L286" s="13" t="s">
        <v>173</v>
      </c>
      <c r="M286" s="13" t="s">
        <v>498</v>
      </c>
      <c r="N286" s="13" t="s">
        <v>214</v>
      </c>
    </row>
    <row r="287" customFormat="false" ht="15" hidden="false" customHeight="false" outlineLevel="0" collapsed="false">
      <c r="A287" s="13" t="s">
        <v>499</v>
      </c>
      <c r="B287" s="14" t="n">
        <v>41980</v>
      </c>
      <c r="C287" s="14"/>
      <c r="D287" s="13" t="n">
        <v>47</v>
      </c>
      <c r="E287" s="13" t="s">
        <v>144</v>
      </c>
      <c r="F287" s="13" t="s">
        <v>131</v>
      </c>
      <c r="G287" s="13" t="s">
        <v>155</v>
      </c>
      <c r="H287" s="13" t="s">
        <v>139</v>
      </c>
      <c r="I287" s="13" t="n">
        <v>3</v>
      </c>
      <c r="J287" s="13" t="n">
        <v>4</v>
      </c>
      <c r="K287" s="13" t="n">
        <v>49000</v>
      </c>
      <c r="L287" s="13"/>
      <c r="M287" s="13"/>
      <c r="N287" s="13" t="s">
        <v>134</v>
      </c>
    </row>
    <row r="288" customFormat="false" ht="15" hidden="false" customHeight="false" outlineLevel="0" collapsed="false">
      <c r="A288" s="13" t="s">
        <v>500</v>
      </c>
      <c r="B288" s="14" t="n">
        <v>41981</v>
      </c>
      <c r="C288" s="14"/>
      <c r="D288" s="13" t="n">
        <v>41</v>
      </c>
      <c r="E288" s="13" t="s">
        <v>136</v>
      </c>
      <c r="F288" s="13" t="s">
        <v>145</v>
      </c>
      <c r="G288" s="13" t="s">
        <v>155</v>
      </c>
      <c r="H288" s="13" t="s">
        <v>156</v>
      </c>
      <c r="I288" s="13" t="n">
        <v>4</v>
      </c>
      <c r="J288" s="13" t="n">
        <v>1</v>
      </c>
      <c r="K288" s="13" t="n">
        <v>114500</v>
      </c>
      <c r="L288" s="13"/>
      <c r="M288" s="13"/>
      <c r="N288" s="13" t="s">
        <v>142</v>
      </c>
    </row>
    <row r="289" customFormat="false" ht="15" hidden="false" customHeight="false" outlineLevel="0" collapsed="false">
      <c r="A289" s="13" t="s">
        <v>501</v>
      </c>
      <c r="B289" s="14" t="n">
        <v>41987</v>
      </c>
      <c r="C289" s="14"/>
      <c r="D289" s="13" t="n">
        <v>34</v>
      </c>
      <c r="E289" s="13" t="s">
        <v>136</v>
      </c>
      <c r="F289" s="13" t="s">
        <v>168</v>
      </c>
      <c r="G289" s="13" t="s">
        <v>213</v>
      </c>
      <c r="H289" s="13" t="s">
        <v>149</v>
      </c>
      <c r="I289" s="13" t="n">
        <v>4</v>
      </c>
      <c r="J289" s="13" t="n">
        <v>3</v>
      </c>
      <c r="K289" s="13" t="n">
        <v>146500</v>
      </c>
      <c r="L289" s="13"/>
      <c r="M289" s="13"/>
      <c r="N289" s="13" t="s">
        <v>142</v>
      </c>
    </row>
    <row r="290" customFormat="false" ht="15" hidden="false" customHeight="false" outlineLevel="0" collapsed="false">
      <c r="A290" s="13" t="s">
        <v>502</v>
      </c>
      <c r="B290" s="14" t="n">
        <v>41993</v>
      </c>
      <c r="C290" s="14" t="n">
        <v>44887</v>
      </c>
      <c r="D290" s="13" t="n">
        <v>33</v>
      </c>
      <c r="E290" s="13" t="s">
        <v>136</v>
      </c>
      <c r="F290" s="13" t="s">
        <v>145</v>
      </c>
      <c r="G290" s="13" t="s">
        <v>148</v>
      </c>
      <c r="H290" s="13" t="s">
        <v>146</v>
      </c>
      <c r="I290" s="13" t="n">
        <v>3</v>
      </c>
      <c r="J290" s="13" t="n">
        <v>3</v>
      </c>
      <c r="K290" s="13" t="n">
        <v>73500</v>
      </c>
      <c r="L290" s="13" t="s">
        <v>151</v>
      </c>
      <c r="M290" s="13" t="s">
        <v>152</v>
      </c>
      <c r="N290" s="13" t="s">
        <v>214</v>
      </c>
    </row>
    <row r="291" customFormat="false" ht="15" hidden="false" customHeight="false" outlineLevel="0" collapsed="false">
      <c r="A291" s="13" t="s">
        <v>503</v>
      </c>
      <c r="B291" s="14" t="n">
        <v>41999</v>
      </c>
      <c r="C291" s="14"/>
      <c r="D291" s="13" t="n">
        <v>43</v>
      </c>
      <c r="E291" s="13" t="s">
        <v>136</v>
      </c>
      <c r="F291" s="13" t="s">
        <v>170</v>
      </c>
      <c r="G291" s="13" t="s">
        <v>155</v>
      </c>
      <c r="H291" s="13" t="s">
        <v>178</v>
      </c>
      <c r="I291" s="13" t="n">
        <v>4</v>
      </c>
      <c r="J291" s="13" t="n">
        <v>4</v>
      </c>
      <c r="K291" s="13" t="n">
        <v>162500</v>
      </c>
      <c r="L291" s="13"/>
      <c r="M291" s="13"/>
      <c r="N291" s="13" t="s">
        <v>142</v>
      </c>
    </row>
    <row r="292" customFormat="false" ht="15" hidden="false" customHeight="false" outlineLevel="0" collapsed="false">
      <c r="A292" s="13" t="s">
        <v>504</v>
      </c>
      <c r="B292" s="14" t="n">
        <v>42001</v>
      </c>
      <c r="C292" s="14"/>
      <c r="D292" s="13" t="n">
        <v>38</v>
      </c>
      <c r="E292" s="13" t="s">
        <v>259</v>
      </c>
      <c r="F292" s="13" t="s">
        <v>137</v>
      </c>
      <c r="G292" s="13" t="s">
        <v>155</v>
      </c>
      <c r="H292" s="13" t="s">
        <v>149</v>
      </c>
      <c r="I292" s="13" t="n">
        <v>5</v>
      </c>
      <c r="J292" s="13" t="n">
        <v>2</v>
      </c>
      <c r="K292" s="13" t="n">
        <v>136000</v>
      </c>
      <c r="L292" s="13"/>
      <c r="M292" s="13"/>
      <c r="N292" s="13" t="s">
        <v>142</v>
      </c>
    </row>
    <row r="293" customFormat="false" ht="15" hidden="false" customHeight="false" outlineLevel="0" collapsed="false">
      <c r="A293" s="13" t="s">
        <v>505</v>
      </c>
      <c r="B293" s="14" t="n">
        <v>42004</v>
      </c>
      <c r="C293" s="14"/>
      <c r="D293" s="13" t="n">
        <v>48</v>
      </c>
      <c r="E293" s="13" t="s">
        <v>136</v>
      </c>
      <c r="F293" s="13" t="s">
        <v>131</v>
      </c>
      <c r="G293" s="13" t="s">
        <v>132</v>
      </c>
      <c r="H293" s="13" t="s">
        <v>146</v>
      </c>
      <c r="I293" s="13" t="n">
        <v>4</v>
      </c>
      <c r="J293" s="13" t="n">
        <v>2</v>
      </c>
      <c r="K293" s="13" t="n">
        <v>67500</v>
      </c>
      <c r="L293" s="13"/>
      <c r="M293" s="13"/>
      <c r="N293" s="13" t="s">
        <v>142</v>
      </c>
    </row>
    <row r="294" customFormat="false" ht="15" hidden="false" customHeight="false" outlineLevel="0" collapsed="false">
      <c r="A294" s="13" t="s">
        <v>506</v>
      </c>
      <c r="B294" s="14" t="n">
        <v>42005</v>
      </c>
      <c r="C294" s="14"/>
      <c r="D294" s="13" t="n">
        <v>36</v>
      </c>
      <c r="E294" s="13" t="s">
        <v>136</v>
      </c>
      <c r="F294" s="13" t="s">
        <v>137</v>
      </c>
      <c r="G294" s="13" t="s">
        <v>195</v>
      </c>
      <c r="H294" s="13" t="s">
        <v>192</v>
      </c>
      <c r="I294" s="13" t="n">
        <v>3</v>
      </c>
      <c r="J294" s="13" t="n">
        <v>4</v>
      </c>
      <c r="K294" s="13" t="n">
        <v>233500</v>
      </c>
      <c r="L294" s="13"/>
      <c r="M294" s="13"/>
      <c r="N294" s="13" t="s">
        <v>134</v>
      </c>
    </row>
    <row r="295" customFormat="false" ht="15" hidden="false" customHeight="false" outlineLevel="0" collapsed="false">
      <c r="A295" s="13" t="s">
        <v>507</v>
      </c>
      <c r="B295" s="14" t="n">
        <v>42011</v>
      </c>
      <c r="C295" s="14"/>
      <c r="D295" s="13" t="n">
        <v>44</v>
      </c>
      <c r="E295" s="13" t="s">
        <v>144</v>
      </c>
      <c r="F295" s="13" t="s">
        <v>168</v>
      </c>
      <c r="G295" s="13" t="s">
        <v>155</v>
      </c>
      <c r="H295" s="13" t="s">
        <v>156</v>
      </c>
      <c r="I295" s="13" t="n">
        <v>3</v>
      </c>
      <c r="J295" s="13" t="n">
        <v>1</v>
      </c>
      <c r="K295" s="13" t="n">
        <v>110500</v>
      </c>
      <c r="L295" s="13"/>
      <c r="M295" s="13"/>
      <c r="N295" s="13" t="s">
        <v>142</v>
      </c>
    </row>
    <row r="296" customFormat="false" ht="15" hidden="false" customHeight="false" outlineLevel="0" collapsed="false">
      <c r="A296" s="13" t="s">
        <v>508</v>
      </c>
      <c r="B296" s="14" t="n">
        <v>42015</v>
      </c>
      <c r="C296" s="14"/>
      <c r="D296" s="13" t="n">
        <v>46</v>
      </c>
      <c r="E296" s="13" t="s">
        <v>144</v>
      </c>
      <c r="F296" s="13" t="s">
        <v>164</v>
      </c>
      <c r="G296" s="13" t="s">
        <v>138</v>
      </c>
      <c r="H296" s="13" t="s">
        <v>139</v>
      </c>
      <c r="I296" s="13" t="n">
        <v>4</v>
      </c>
      <c r="J296" s="13" t="n">
        <v>1</v>
      </c>
      <c r="K296" s="13" t="n">
        <v>52500</v>
      </c>
      <c r="L296" s="13"/>
      <c r="M296" s="13"/>
      <c r="N296" s="13" t="s">
        <v>214</v>
      </c>
    </row>
    <row r="297" customFormat="false" ht="15" hidden="false" customHeight="false" outlineLevel="0" collapsed="false">
      <c r="A297" s="13" t="s">
        <v>509</v>
      </c>
      <c r="B297" s="14" t="n">
        <v>42020</v>
      </c>
      <c r="C297" s="14" t="n">
        <v>44622</v>
      </c>
      <c r="D297" s="13" t="n">
        <v>37</v>
      </c>
      <c r="E297" s="13" t="s">
        <v>136</v>
      </c>
      <c r="F297" s="13" t="s">
        <v>168</v>
      </c>
      <c r="G297" s="13" t="s">
        <v>138</v>
      </c>
      <c r="H297" s="13" t="s">
        <v>139</v>
      </c>
      <c r="I297" s="13" t="n">
        <v>4</v>
      </c>
      <c r="J297" s="13" t="n">
        <v>2</v>
      </c>
      <c r="K297" s="13" t="n">
        <v>50500</v>
      </c>
      <c r="L297" s="13" t="s">
        <v>253</v>
      </c>
      <c r="M297" s="13" t="s">
        <v>174</v>
      </c>
      <c r="N297" s="13" t="s">
        <v>134</v>
      </c>
    </row>
    <row r="298" customFormat="false" ht="15" hidden="false" customHeight="false" outlineLevel="0" collapsed="false">
      <c r="A298" s="13" t="s">
        <v>510</v>
      </c>
      <c r="B298" s="14" t="n">
        <v>42020</v>
      </c>
      <c r="C298" s="14"/>
      <c r="D298" s="13" t="n">
        <v>43</v>
      </c>
      <c r="E298" s="13" t="s">
        <v>144</v>
      </c>
      <c r="F298" s="13" t="s">
        <v>137</v>
      </c>
      <c r="G298" s="13" t="s">
        <v>184</v>
      </c>
      <c r="H298" s="13" t="s">
        <v>178</v>
      </c>
      <c r="I298" s="13"/>
      <c r="J298" s="13" t="n">
        <v>4</v>
      </c>
      <c r="K298" s="13" t="n">
        <v>130000</v>
      </c>
      <c r="L298" s="13"/>
      <c r="M298" s="13"/>
      <c r="N298" s="13" t="s">
        <v>142</v>
      </c>
    </row>
    <row r="299" customFormat="false" ht="15" hidden="false" customHeight="false" outlineLevel="0" collapsed="false">
      <c r="A299" s="13" t="s">
        <v>511</v>
      </c>
      <c r="B299" s="14" t="n">
        <v>42023</v>
      </c>
      <c r="C299" s="14"/>
      <c r="D299" s="13" t="n">
        <v>37</v>
      </c>
      <c r="E299" s="13" t="s">
        <v>144</v>
      </c>
      <c r="F299" s="13" t="s">
        <v>241</v>
      </c>
      <c r="G299" s="13" t="s">
        <v>213</v>
      </c>
      <c r="H299" s="13" t="s">
        <v>178</v>
      </c>
      <c r="I299" s="13" t="n">
        <v>3</v>
      </c>
      <c r="J299" s="13" t="n">
        <v>2</v>
      </c>
      <c r="K299" s="13" t="n">
        <v>175500</v>
      </c>
      <c r="L299" s="13"/>
      <c r="M299" s="13"/>
      <c r="N299" s="13" t="s">
        <v>142</v>
      </c>
    </row>
    <row r="300" customFormat="false" ht="15" hidden="false" customHeight="false" outlineLevel="0" collapsed="false">
      <c r="A300" s="13" t="s">
        <v>512</v>
      </c>
      <c r="B300" s="14" t="n">
        <v>42030</v>
      </c>
      <c r="C300" s="14"/>
      <c r="D300" s="13" t="n">
        <v>47</v>
      </c>
      <c r="E300" s="13" t="s">
        <v>136</v>
      </c>
      <c r="F300" s="13" t="s">
        <v>168</v>
      </c>
      <c r="G300" s="13" t="s">
        <v>155</v>
      </c>
      <c r="H300" s="13" t="s">
        <v>146</v>
      </c>
      <c r="I300" s="13" t="n">
        <v>2</v>
      </c>
      <c r="J300" s="13" t="n">
        <v>4</v>
      </c>
      <c r="K300" s="13" t="n">
        <v>76000</v>
      </c>
      <c r="L300" s="13"/>
      <c r="M300" s="13"/>
      <c r="N300" s="13" t="s">
        <v>134</v>
      </c>
    </row>
    <row r="301" customFormat="false" ht="15" hidden="false" customHeight="false" outlineLevel="0" collapsed="false">
      <c r="A301" s="13" t="s">
        <v>513</v>
      </c>
      <c r="B301" s="14" t="n">
        <v>42032</v>
      </c>
      <c r="C301" s="14"/>
      <c r="D301" s="13" t="n">
        <v>41</v>
      </c>
      <c r="E301" s="13" t="s">
        <v>144</v>
      </c>
      <c r="F301" s="13" t="s">
        <v>161</v>
      </c>
      <c r="G301" s="13" t="s">
        <v>148</v>
      </c>
      <c r="H301" s="13" t="s">
        <v>146</v>
      </c>
      <c r="I301" s="13" t="n">
        <v>3</v>
      </c>
      <c r="J301" s="13" t="n">
        <v>3</v>
      </c>
      <c r="K301" s="13" t="n">
        <v>73500</v>
      </c>
      <c r="L301" s="13"/>
      <c r="M301" s="13"/>
      <c r="N301" s="13" t="s">
        <v>142</v>
      </c>
    </row>
    <row r="302" customFormat="false" ht="15" hidden="false" customHeight="false" outlineLevel="0" collapsed="false">
      <c r="A302" s="13" t="s">
        <v>514</v>
      </c>
      <c r="B302" s="14" t="n">
        <v>42034</v>
      </c>
      <c r="C302" s="14" t="n">
        <v>44691</v>
      </c>
      <c r="D302" s="13" t="n">
        <v>33</v>
      </c>
      <c r="E302" s="13" t="s">
        <v>136</v>
      </c>
      <c r="F302" s="13" t="s">
        <v>137</v>
      </c>
      <c r="G302" s="13" t="s">
        <v>155</v>
      </c>
      <c r="H302" s="13" t="s">
        <v>219</v>
      </c>
      <c r="I302" s="13" t="n">
        <v>3</v>
      </c>
      <c r="J302" s="13" t="n">
        <v>2</v>
      </c>
      <c r="K302" s="13" t="n">
        <v>41000</v>
      </c>
      <c r="L302" s="13" t="s">
        <v>140</v>
      </c>
      <c r="M302" s="13" t="s">
        <v>152</v>
      </c>
      <c r="N302" s="13" t="s">
        <v>134</v>
      </c>
    </row>
    <row r="303" customFormat="false" ht="15" hidden="false" customHeight="false" outlineLevel="0" collapsed="false">
      <c r="A303" s="13" t="s">
        <v>515</v>
      </c>
      <c r="B303" s="14" t="n">
        <v>42038</v>
      </c>
      <c r="C303" s="14"/>
      <c r="D303" s="13" t="n">
        <v>40</v>
      </c>
      <c r="E303" s="13" t="s">
        <v>130</v>
      </c>
      <c r="F303" s="13" t="s">
        <v>170</v>
      </c>
      <c r="G303" s="13" t="s">
        <v>155</v>
      </c>
      <c r="H303" s="13" t="s">
        <v>178</v>
      </c>
      <c r="I303" s="13" t="n">
        <v>4</v>
      </c>
      <c r="J303" s="13" t="n">
        <v>3</v>
      </c>
      <c r="K303" s="13" t="n">
        <v>190500</v>
      </c>
      <c r="L303" s="13"/>
      <c r="M303" s="13"/>
      <c r="N303" s="13" t="s">
        <v>134</v>
      </c>
    </row>
    <row r="304" customFormat="false" ht="15" hidden="false" customHeight="false" outlineLevel="0" collapsed="false">
      <c r="A304" s="13" t="s">
        <v>516</v>
      </c>
      <c r="B304" s="14" t="n">
        <v>42040</v>
      </c>
      <c r="C304" s="14"/>
      <c r="D304" s="13" t="n">
        <v>46</v>
      </c>
      <c r="E304" s="13" t="s">
        <v>136</v>
      </c>
      <c r="F304" s="13" t="s">
        <v>161</v>
      </c>
      <c r="G304" s="13" t="s">
        <v>155</v>
      </c>
      <c r="H304" s="13" t="s">
        <v>192</v>
      </c>
      <c r="I304" s="13" t="n">
        <v>3</v>
      </c>
      <c r="J304" s="13" t="n">
        <v>3</v>
      </c>
      <c r="K304" s="13" t="n">
        <v>213000</v>
      </c>
      <c r="L304" s="13"/>
      <c r="M304" s="13"/>
      <c r="N304" s="13" t="s">
        <v>142</v>
      </c>
    </row>
    <row r="305" customFormat="false" ht="15" hidden="false" customHeight="false" outlineLevel="0" collapsed="false">
      <c r="A305" s="13" t="s">
        <v>517</v>
      </c>
      <c r="B305" s="14" t="n">
        <v>42044</v>
      </c>
      <c r="C305" s="14"/>
      <c r="D305" s="13" t="n">
        <v>39</v>
      </c>
      <c r="E305" s="13" t="s">
        <v>144</v>
      </c>
      <c r="F305" s="13" t="s">
        <v>137</v>
      </c>
      <c r="G305" s="13" t="s">
        <v>132</v>
      </c>
      <c r="H305" s="13" t="s">
        <v>192</v>
      </c>
      <c r="I305" s="13" t="n">
        <v>4</v>
      </c>
      <c r="J305" s="13" t="n">
        <v>1</v>
      </c>
      <c r="K305" s="13" t="n">
        <v>234000</v>
      </c>
      <c r="L305" s="13"/>
      <c r="M305" s="13"/>
      <c r="N305" s="13" t="s">
        <v>142</v>
      </c>
    </row>
    <row r="306" customFormat="false" ht="15" hidden="false" customHeight="false" outlineLevel="0" collapsed="false">
      <c r="A306" s="13" t="s">
        <v>518</v>
      </c>
      <c r="B306" s="14" t="n">
        <v>42045</v>
      </c>
      <c r="C306" s="14" t="n">
        <v>44934</v>
      </c>
      <c r="D306" s="13" t="n">
        <v>29</v>
      </c>
      <c r="E306" s="13" t="s">
        <v>190</v>
      </c>
      <c r="F306" s="13" t="s">
        <v>168</v>
      </c>
      <c r="G306" s="13" t="s">
        <v>195</v>
      </c>
      <c r="H306" s="13" t="s">
        <v>146</v>
      </c>
      <c r="I306" s="13" t="n">
        <v>3</v>
      </c>
      <c r="J306" s="13" t="n">
        <v>3</v>
      </c>
      <c r="K306" s="13" t="n">
        <v>68000</v>
      </c>
      <c r="L306" s="13" t="s">
        <v>151</v>
      </c>
      <c r="M306" s="13" t="s">
        <v>206</v>
      </c>
      <c r="N306" s="13" t="s">
        <v>134</v>
      </c>
    </row>
    <row r="307" customFormat="false" ht="15" hidden="false" customHeight="false" outlineLevel="0" collapsed="false">
      <c r="A307" s="13" t="s">
        <v>519</v>
      </c>
      <c r="B307" s="14" t="n">
        <v>42053</v>
      </c>
      <c r="C307" s="14"/>
      <c r="D307" s="13" t="n">
        <v>35</v>
      </c>
      <c r="E307" s="13" t="s">
        <v>136</v>
      </c>
      <c r="F307" s="13" t="s">
        <v>170</v>
      </c>
      <c r="G307" s="13" t="s">
        <v>138</v>
      </c>
      <c r="H307" s="13" t="s">
        <v>178</v>
      </c>
      <c r="I307" s="13" t="n">
        <v>5</v>
      </c>
      <c r="J307" s="13" t="n">
        <v>1</v>
      </c>
      <c r="K307" s="13" t="n">
        <v>172000</v>
      </c>
      <c r="L307" s="13"/>
      <c r="M307" s="13"/>
      <c r="N307" s="13" t="s">
        <v>142</v>
      </c>
    </row>
    <row r="308" customFormat="false" ht="15" hidden="false" customHeight="false" outlineLevel="0" collapsed="false">
      <c r="A308" s="13" t="s">
        <v>520</v>
      </c>
      <c r="B308" s="14" t="n">
        <v>42054</v>
      </c>
      <c r="C308" s="14"/>
      <c r="D308" s="13" t="n">
        <v>46</v>
      </c>
      <c r="E308" s="13" t="s">
        <v>136</v>
      </c>
      <c r="F308" s="13" t="s">
        <v>137</v>
      </c>
      <c r="G308" s="13" t="s">
        <v>138</v>
      </c>
      <c r="H308" s="13" t="s">
        <v>139</v>
      </c>
      <c r="I308" s="13" t="n">
        <v>3</v>
      </c>
      <c r="J308" s="13" t="n">
        <v>3</v>
      </c>
      <c r="K308" s="13" t="n">
        <v>44000</v>
      </c>
      <c r="L308" s="13"/>
      <c r="M308" s="13"/>
      <c r="N308" s="13" t="s">
        <v>134</v>
      </c>
    </row>
    <row r="309" customFormat="false" ht="15" hidden="false" customHeight="false" outlineLevel="0" collapsed="false">
      <c r="A309" s="13" t="s">
        <v>521</v>
      </c>
      <c r="B309" s="14" t="n">
        <v>42056</v>
      </c>
      <c r="C309" s="14"/>
      <c r="D309" s="13" t="n">
        <v>39</v>
      </c>
      <c r="E309" s="13" t="s">
        <v>130</v>
      </c>
      <c r="F309" s="13" t="s">
        <v>154</v>
      </c>
      <c r="G309" s="13" t="s">
        <v>155</v>
      </c>
      <c r="H309" s="13" t="s">
        <v>139</v>
      </c>
      <c r="I309" s="13" t="n">
        <v>4</v>
      </c>
      <c r="J309" s="13" t="n">
        <v>3</v>
      </c>
      <c r="K309" s="13" t="n">
        <v>45500</v>
      </c>
      <c r="L309" s="13"/>
      <c r="M309" s="13"/>
      <c r="N309" s="13" t="s">
        <v>142</v>
      </c>
    </row>
    <row r="310" customFormat="false" ht="15" hidden="false" customHeight="false" outlineLevel="0" collapsed="false">
      <c r="A310" s="13" t="s">
        <v>522</v>
      </c>
      <c r="B310" s="14" t="n">
        <v>42058</v>
      </c>
      <c r="C310" s="14"/>
      <c r="D310" s="13" t="n">
        <v>35</v>
      </c>
      <c r="E310" s="13" t="s">
        <v>144</v>
      </c>
      <c r="F310" s="13" t="s">
        <v>170</v>
      </c>
      <c r="G310" s="13" t="s">
        <v>330</v>
      </c>
      <c r="H310" s="13" t="s">
        <v>156</v>
      </c>
      <c r="I310" s="13" t="n">
        <v>4</v>
      </c>
      <c r="J310" s="13" t="n">
        <v>1</v>
      </c>
      <c r="K310" s="13" t="n">
        <v>125000</v>
      </c>
      <c r="L310" s="13"/>
      <c r="M310" s="13"/>
      <c r="N310" s="13" t="s">
        <v>134</v>
      </c>
    </row>
    <row r="311" customFormat="false" ht="15" hidden="false" customHeight="false" outlineLevel="0" collapsed="false">
      <c r="A311" s="13" t="s">
        <v>523</v>
      </c>
      <c r="B311" s="14" t="n">
        <v>42059</v>
      </c>
      <c r="C311" s="14"/>
      <c r="D311" s="13" t="n">
        <v>41</v>
      </c>
      <c r="E311" s="13" t="s">
        <v>136</v>
      </c>
      <c r="F311" s="13" t="s">
        <v>137</v>
      </c>
      <c r="G311" s="13" t="s">
        <v>191</v>
      </c>
      <c r="H311" s="13" t="s">
        <v>146</v>
      </c>
      <c r="I311" s="13" t="n">
        <v>4</v>
      </c>
      <c r="J311" s="13" t="n">
        <v>3</v>
      </c>
      <c r="K311" s="13" t="n">
        <v>72500</v>
      </c>
      <c r="L311" s="13"/>
      <c r="M311" s="13"/>
      <c r="N311" s="13" t="s">
        <v>142</v>
      </c>
    </row>
    <row r="312" customFormat="false" ht="15" hidden="false" customHeight="false" outlineLevel="0" collapsed="false">
      <c r="A312" s="13" t="s">
        <v>524</v>
      </c>
      <c r="B312" s="14" t="n">
        <v>42060</v>
      </c>
      <c r="C312" s="14" t="n">
        <v>45013</v>
      </c>
      <c r="D312" s="13" t="n">
        <v>39</v>
      </c>
      <c r="E312" s="13" t="s">
        <v>136</v>
      </c>
      <c r="F312" s="13" t="s">
        <v>229</v>
      </c>
      <c r="G312" s="13" t="s">
        <v>132</v>
      </c>
      <c r="H312" s="13" t="s">
        <v>146</v>
      </c>
      <c r="I312" s="13" t="n">
        <v>3</v>
      </c>
      <c r="J312" s="13" t="n">
        <v>2</v>
      </c>
      <c r="K312" s="13" t="n">
        <v>71500</v>
      </c>
      <c r="L312" s="13" t="s">
        <v>151</v>
      </c>
      <c r="M312" s="13" t="s">
        <v>203</v>
      </c>
      <c r="N312" s="13" t="s">
        <v>214</v>
      </c>
    </row>
    <row r="313" customFormat="false" ht="15" hidden="false" customHeight="false" outlineLevel="0" collapsed="false">
      <c r="A313" s="13" t="s">
        <v>525</v>
      </c>
      <c r="B313" s="14" t="n">
        <v>42060</v>
      </c>
      <c r="C313" s="14" t="n">
        <v>45119</v>
      </c>
      <c r="D313" s="13" t="n">
        <v>40</v>
      </c>
      <c r="E313" s="13" t="s">
        <v>136</v>
      </c>
      <c r="F313" s="13" t="s">
        <v>164</v>
      </c>
      <c r="G313" s="13" t="s">
        <v>132</v>
      </c>
      <c r="H313" s="13" t="s">
        <v>139</v>
      </c>
      <c r="I313" s="13" t="n">
        <v>3</v>
      </c>
      <c r="J313" s="13" t="n">
        <v>3</v>
      </c>
      <c r="K313" s="13" t="n">
        <v>53500</v>
      </c>
      <c r="L313" s="13" t="s">
        <v>151</v>
      </c>
      <c r="M313" s="13" t="s">
        <v>201</v>
      </c>
      <c r="N313" s="13" t="s">
        <v>142</v>
      </c>
    </row>
    <row r="314" customFormat="false" ht="15" hidden="false" customHeight="false" outlineLevel="0" collapsed="false">
      <c r="A314" s="13" t="s">
        <v>526</v>
      </c>
      <c r="B314" s="14" t="n">
        <v>42061</v>
      </c>
      <c r="C314" s="14"/>
      <c r="D314" s="13" t="n">
        <v>37</v>
      </c>
      <c r="E314" s="13" t="s">
        <v>182</v>
      </c>
      <c r="F314" s="13" t="s">
        <v>241</v>
      </c>
      <c r="G314" s="13" t="s">
        <v>155</v>
      </c>
      <c r="H314" s="13" t="s">
        <v>139</v>
      </c>
      <c r="I314" s="13" t="n">
        <v>2</v>
      </c>
      <c r="J314" s="13" t="n">
        <v>3</v>
      </c>
      <c r="K314" s="13" t="n">
        <v>39500</v>
      </c>
      <c r="L314" s="13"/>
      <c r="M314" s="13"/>
      <c r="N314" s="13" t="s">
        <v>142</v>
      </c>
    </row>
    <row r="315" customFormat="false" ht="15" hidden="false" customHeight="false" outlineLevel="0" collapsed="false">
      <c r="A315" s="13" t="s">
        <v>527</v>
      </c>
      <c r="B315" s="14" t="n">
        <v>42065</v>
      </c>
      <c r="C315" s="14" t="n">
        <v>45780</v>
      </c>
      <c r="D315" s="13" t="n">
        <v>40</v>
      </c>
      <c r="E315" s="13" t="s">
        <v>144</v>
      </c>
      <c r="F315" s="13" t="s">
        <v>164</v>
      </c>
      <c r="G315" s="13" t="s">
        <v>155</v>
      </c>
      <c r="H315" s="13" t="s">
        <v>411</v>
      </c>
      <c r="I315" s="13" t="n">
        <v>3</v>
      </c>
      <c r="J315" s="13" t="n">
        <v>1</v>
      </c>
      <c r="K315" s="13" t="n">
        <v>80000</v>
      </c>
      <c r="L315" s="13" t="s">
        <v>140</v>
      </c>
      <c r="M315" s="13" t="s">
        <v>152</v>
      </c>
      <c r="N315" s="13" t="s">
        <v>142</v>
      </c>
    </row>
    <row r="316" customFormat="false" ht="15" hidden="false" customHeight="false" outlineLevel="0" collapsed="false">
      <c r="A316" s="13" t="s">
        <v>528</v>
      </c>
      <c r="B316" s="14" t="n">
        <v>42068</v>
      </c>
      <c r="C316" s="14"/>
      <c r="D316" s="13" t="n">
        <v>41</v>
      </c>
      <c r="E316" s="13" t="s">
        <v>144</v>
      </c>
      <c r="F316" s="13" t="s">
        <v>239</v>
      </c>
      <c r="G316" s="13" t="s">
        <v>235</v>
      </c>
      <c r="H316" s="13" t="s">
        <v>146</v>
      </c>
      <c r="I316" s="13" t="n">
        <v>2</v>
      </c>
      <c r="J316" s="13" t="n">
        <v>3</v>
      </c>
      <c r="K316" s="13" t="n">
        <v>86000</v>
      </c>
      <c r="L316" s="13"/>
      <c r="M316" s="13"/>
      <c r="N316" s="13" t="s">
        <v>142</v>
      </c>
    </row>
    <row r="317" customFormat="false" ht="15" hidden="false" customHeight="false" outlineLevel="0" collapsed="false">
      <c r="A317" s="13" t="s">
        <v>529</v>
      </c>
      <c r="B317" s="14" t="n">
        <v>42069</v>
      </c>
      <c r="C317" s="14"/>
      <c r="D317" s="13" t="n">
        <v>41</v>
      </c>
      <c r="E317" s="13" t="s">
        <v>136</v>
      </c>
      <c r="F317" s="13" t="s">
        <v>168</v>
      </c>
      <c r="G317" s="13" t="s">
        <v>213</v>
      </c>
      <c r="H317" s="13" t="s">
        <v>149</v>
      </c>
      <c r="I317" s="13" t="n">
        <v>3</v>
      </c>
      <c r="J317" s="13" t="n">
        <v>2</v>
      </c>
      <c r="K317" s="13" t="n">
        <v>125000</v>
      </c>
      <c r="L317" s="13"/>
      <c r="M317" s="13"/>
      <c r="N317" s="13" t="s">
        <v>142</v>
      </c>
    </row>
    <row r="318" customFormat="false" ht="15" hidden="false" customHeight="false" outlineLevel="0" collapsed="false">
      <c r="A318" s="13" t="s">
        <v>530</v>
      </c>
      <c r="B318" s="14" t="n">
        <v>42069</v>
      </c>
      <c r="C318" s="14"/>
      <c r="D318" s="13" t="n">
        <v>41</v>
      </c>
      <c r="E318" s="13" t="s">
        <v>136</v>
      </c>
      <c r="F318" s="13" t="s">
        <v>168</v>
      </c>
      <c r="G318" s="13" t="s">
        <v>148</v>
      </c>
      <c r="H318" s="13" t="s">
        <v>343</v>
      </c>
      <c r="I318" s="13" t="n">
        <v>2</v>
      </c>
      <c r="J318" s="13" t="n">
        <v>2</v>
      </c>
      <c r="K318" s="13" t="n">
        <v>141500</v>
      </c>
      <c r="L318" s="13"/>
      <c r="M318" s="13"/>
      <c r="N318" s="13" t="s">
        <v>142</v>
      </c>
    </row>
    <row r="319" customFormat="false" ht="15" hidden="false" customHeight="false" outlineLevel="0" collapsed="false">
      <c r="A319" s="13" t="s">
        <v>531</v>
      </c>
      <c r="B319" s="14" t="n">
        <v>42071</v>
      </c>
      <c r="C319" s="14"/>
      <c r="D319" s="13" t="n">
        <v>40</v>
      </c>
      <c r="E319" s="13" t="s">
        <v>136</v>
      </c>
      <c r="F319" s="13" t="s">
        <v>168</v>
      </c>
      <c r="G319" s="13" t="s">
        <v>138</v>
      </c>
      <c r="H319" s="13" t="s">
        <v>146</v>
      </c>
      <c r="I319" s="13" t="n">
        <v>4</v>
      </c>
      <c r="J319" s="13" t="n">
        <v>3</v>
      </c>
      <c r="K319" s="13" t="n">
        <v>66500</v>
      </c>
      <c r="L319" s="13"/>
      <c r="M319" s="13"/>
      <c r="N319" s="13" t="s">
        <v>134</v>
      </c>
    </row>
    <row r="320" customFormat="false" ht="15" hidden="false" customHeight="false" outlineLevel="0" collapsed="false">
      <c r="A320" s="13" t="s">
        <v>532</v>
      </c>
      <c r="B320" s="14" t="n">
        <v>42072</v>
      </c>
      <c r="C320" s="14" t="n">
        <v>44766</v>
      </c>
      <c r="D320" s="13" t="n">
        <v>37</v>
      </c>
      <c r="E320" s="13" t="s">
        <v>144</v>
      </c>
      <c r="F320" s="13" t="s">
        <v>145</v>
      </c>
      <c r="G320" s="13" t="s">
        <v>138</v>
      </c>
      <c r="H320" s="13" t="s">
        <v>146</v>
      </c>
      <c r="I320" s="13" t="n">
        <v>2</v>
      </c>
      <c r="J320" s="13" t="n">
        <v>1</v>
      </c>
      <c r="K320" s="13" t="n">
        <v>73500</v>
      </c>
      <c r="L320" s="13" t="s">
        <v>151</v>
      </c>
      <c r="M320" s="13" t="s">
        <v>159</v>
      </c>
      <c r="N320" s="13" t="s">
        <v>134</v>
      </c>
    </row>
    <row r="321" customFormat="false" ht="15" hidden="false" customHeight="false" outlineLevel="0" collapsed="false">
      <c r="A321" s="13" t="s">
        <v>533</v>
      </c>
      <c r="B321" s="14" t="n">
        <v>42072</v>
      </c>
      <c r="C321" s="14"/>
      <c r="D321" s="13" t="n">
        <v>33</v>
      </c>
      <c r="E321" s="13" t="s">
        <v>186</v>
      </c>
      <c r="F321" s="13" t="s">
        <v>154</v>
      </c>
      <c r="G321" s="13" t="s">
        <v>297</v>
      </c>
      <c r="H321" s="13" t="s">
        <v>146</v>
      </c>
      <c r="I321" s="13" t="n">
        <v>5</v>
      </c>
      <c r="J321" s="13" t="n">
        <v>3</v>
      </c>
      <c r="K321" s="13" t="n">
        <v>75500</v>
      </c>
      <c r="L321" s="13"/>
      <c r="M321" s="13"/>
      <c r="N321" s="13" t="s">
        <v>255</v>
      </c>
    </row>
    <row r="322" customFormat="false" ht="15" hidden="false" customHeight="false" outlineLevel="0" collapsed="false">
      <c r="A322" s="13" t="s">
        <v>534</v>
      </c>
      <c r="B322" s="14" t="n">
        <v>42072</v>
      </c>
      <c r="C322" s="14"/>
      <c r="D322" s="13" t="n">
        <v>35</v>
      </c>
      <c r="E322" s="13" t="s">
        <v>136</v>
      </c>
      <c r="F322" s="13" t="s">
        <v>131</v>
      </c>
      <c r="G322" s="13" t="s">
        <v>235</v>
      </c>
      <c r="H322" s="13" t="s">
        <v>139</v>
      </c>
      <c r="I322" s="13" t="n">
        <v>3</v>
      </c>
      <c r="J322" s="13" t="n">
        <v>2</v>
      </c>
      <c r="K322" s="13" t="n">
        <v>41000</v>
      </c>
      <c r="L322" s="13"/>
      <c r="M322" s="13"/>
      <c r="N322" s="13" t="s">
        <v>142</v>
      </c>
    </row>
    <row r="323" customFormat="false" ht="15" hidden="false" customHeight="false" outlineLevel="0" collapsed="false">
      <c r="A323" s="13" t="s">
        <v>535</v>
      </c>
      <c r="B323" s="14" t="n">
        <v>42074</v>
      </c>
      <c r="C323" s="14"/>
      <c r="D323" s="13" t="n">
        <v>46</v>
      </c>
      <c r="E323" s="13" t="s">
        <v>136</v>
      </c>
      <c r="F323" s="13" t="s">
        <v>164</v>
      </c>
      <c r="G323" s="13" t="s">
        <v>138</v>
      </c>
      <c r="H323" s="13" t="s">
        <v>146</v>
      </c>
      <c r="I323" s="13" t="n">
        <v>4</v>
      </c>
      <c r="J323" s="13" t="n">
        <v>3</v>
      </c>
      <c r="K323" s="13" t="n">
        <v>59500</v>
      </c>
      <c r="L323" s="13"/>
      <c r="M323" s="13"/>
      <c r="N323" s="13" t="s">
        <v>157</v>
      </c>
    </row>
    <row r="324" customFormat="false" ht="15" hidden="false" customHeight="false" outlineLevel="0" collapsed="false">
      <c r="A324" s="13" t="s">
        <v>536</v>
      </c>
      <c r="B324" s="14" t="n">
        <v>42075</v>
      </c>
      <c r="C324" s="14" t="n">
        <v>45370</v>
      </c>
      <c r="D324" s="13" t="n">
        <v>38</v>
      </c>
      <c r="E324" s="13" t="s">
        <v>190</v>
      </c>
      <c r="F324" s="13" t="s">
        <v>239</v>
      </c>
      <c r="G324" s="13" t="s">
        <v>155</v>
      </c>
      <c r="H324" s="13" t="s">
        <v>156</v>
      </c>
      <c r="I324" s="13" t="n">
        <v>3</v>
      </c>
      <c r="J324" s="13" t="n">
        <v>3</v>
      </c>
      <c r="K324" s="13" t="n">
        <v>127500</v>
      </c>
      <c r="L324" s="13" t="s">
        <v>151</v>
      </c>
      <c r="M324" s="13" t="s">
        <v>201</v>
      </c>
      <c r="N324" s="13" t="s">
        <v>134</v>
      </c>
    </row>
    <row r="325" customFormat="false" ht="15" hidden="false" customHeight="false" outlineLevel="0" collapsed="false">
      <c r="A325" s="13" t="s">
        <v>537</v>
      </c>
      <c r="B325" s="14" t="n">
        <v>42077</v>
      </c>
      <c r="C325" s="14"/>
      <c r="D325" s="13" t="n">
        <v>37</v>
      </c>
      <c r="E325" s="13" t="s">
        <v>136</v>
      </c>
      <c r="F325" s="13" t="s">
        <v>154</v>
      </c>
      <c r="G325" s="13" t="s">
        <v>155</v>
      </c>
      <c r="H325" s="13" t="s">
        <v>192</v>
      </c>
      <c r="I325" s="13" t="n">
        <v>4</v>
      </c>
      <c r="J325" s="13" t="n">
        <v>4</v>
      </c>
      <c r="K325" s="13" t="n">
        <v>180500</v>
      </c>
      <c r="L325" s="13"/>
      <c r="M325" s="13"/>
      <c r="N325" s="13" t="s">
        <v>142</v>
      </c>
    </row>
    <row r="326" customFormat="false" ht="15" hidden="false" customHeight="false" outlineLevel="0" collapsed="false">
      <c r="A326" s="13" t="s">
        <v>538</v>
      </c>
      <c r="B326" s="14" t="n">
        <v>42077</v>
      </c>
      <c r="C326" s="14"/>
      <c r="D326" s="13" t="n">
        <v>44</v>
      </c>
      <c r="E326" s="13" t="s">
        <v>144</v>
      </c>
      <c r="F326" s="13" t="s">
        <v>164</v>
      </c>
      <c r="G326" s="13" t="s">
        <v>132</v>
      </c>
      <c r="H326" s="13" t="s">
        <v>149</v>
      </c>
      <c r="I326" s="13" t="n">
        <v>3</v>
      </c>
      <c r="J326" s="13" t="n">
        <v>3</v>
      </c>
      <c r="K326" s="13" t="n">
        <v>133500</v>
      </c>
      <c r="L326" s="13"/>
      <c r="M326" s="13"/>
      <c r="N326" s="13" t="s">
        <v>142</v>
      </c>
    </row>
    <row r="327" customFormat="false" ht="15" hidden="false" customHeight="false" outlineLevel="0" collapsed="false">
      <c r="A327" s="13" t="s">
        <v>539</v>
      </c>
      <c r="B327" s="14" t="n">
        <v>42087</v>
      </c>
      <c r="C327" s="14"/>
      <c r="D327" s="13" t="n">
        <v>52</v>
      </c>
      <c r="E327" s="13" t="s">
        <v>136</v>
      </c>
      <c r="F327" s="13" t="s">
        <v>168</v>
      </c>
      <c r="G327" s="13" t="s">
        <v>354</v>
      </c>
      <c r="H327" s="13" t="s">
        <v>149</v>
      </c>
      <c r="I327" s="13" t="n">
        <v>1</v>
      </c>
      <c r="J327" s="13" t="n">
        <v>3</v>
      </c>
      <c r="K327" s="13" t="n">
        <v>124000</v>
      </c>
      <c r="L327" s="13"/>
      <c r="M327" s="13"/>
      <c r="N327" s="13" t="s">
        <v>134</v>
      </c>
    </row>
    <row r="328" customFormat="false" ht="15" hidden="false" customHeight="false" outlineLevel="0" collapsed="false">
      <c r="A328" s="13" t="s">
        <v>540</v>
      </c>
      <c r="B328" s="14" t="n">
        <v>42087</v>
      </c>
      <c r="C328" s="14"/>
      <c r="D328" s="13" t="n">
        <v>52</v>
      </c>
      <c r="E328" s="13" t="s">
        <v>163</v>
      </c>
      <c r="F328" s="13" t="s">
        <v>231</v>
      </c>
      <c r="G328" s="13" t="s">
        <v>132</v>
      </c>
      <c r="H328" s="13" t="s">
        <v>178</v>
      </c>
      <c r="I328" s="13" t="n">
        <v>4</v>
      </c>
      <c r="J328" s="13" t="n">
        <v>4</v>
      </c>
      <c r="K328" s="13" t="n">
        <v>157500</v>
      </c>
      <c r="L328" s="13"/>
      <c r="M328" s="13"/>
      <c r="N328" s="13" t="s">
        <v>142</v>
      </c>
    </row>
    <row r="329" customFormat="false" ht="15" hidden="false" customHeight="false" outlineLevel="0" collapsed="false">
      <c r="A329" s="13" t="s">
        <v>541</v>
      </c>
      <c r="B329" s="14" t="n">
        <v>42098</v>
      </c>
      <c r="C329" s="14"/>
      <c r="D329" s="13" t="n">
        <v>40</v>
      </c>
      <c r="E329" s="13" t="s">
        <v>136</v>
      </c>
      <c r="F329" s="13" t="s">
        <v>137</v>
      </c>
      <c r="G329" s="13" t="s">
        <v>148</v>
      </c>
      <c r="H329" s="13" t="s">
        <v>192</v>
      </c>
      <c r="I329" s="13" t="n">
        <v>4</v>
      </c>
      <c r="J329" s="13" t="n">
        <v>1</v>
      </c>
      <c r="K329" s="13" t="n">
        <v>257000</v>
      </c>
      <c r="L329" s="13"/>
      <c r="M329" s="13"/>
      <c r="N329" s="13" t="s">
        <v>142</v>
      </c>
    </row>
    <row r="330" customFormat="false" ht="15" hidden="false" customHeight="false" outlineLevel="0" collapsed="false">
      <c r="A330" s="13" t="s">
        <v>542</v>
      </c>
      <c r="B330" s="14" t="n">
        <v>42098</v>
      </c>
      <c r="C330" s="14"/>
      <c r="D330" s="13" t="n">
        <v>41</v>
      </c>
      <c r="E330" s="13" t="s">
        <v>136</v>
      </c>
      <c r="F330" s="13" t="s">
        <v>168</v>
      </c>
      <c r="G330" s="13" t="s">
        <v>155</v>
      </c>
      <c r="H330" s="13" t="s">
        <v>543</v>
      </c>
      <c r="I330" s="13" t="n">
        <v>4</v>
      </c>
      <c r="J330" s="13" t="n">
        <v>1</v>
      </c>
      <c r="K330" s="13" t="n">
        <v>159500</v>
      </c>
      <c r="L330" s="13"/>
      <c r="M330" s="13"/>
      <c r="N330" s="13" t="s">
        <v>134</v>
      </c>
    </row>
    <row r="331" customFormat="false" ht="15" hidden="false" customHeight="false" outlineLevel="0" collapsed="false">
      <c r="A331" s="13" t="s">
        <v>544</v>
      </c>
      <c r="B331" s="14" t="n">
        <v>42099</v>
      </c>
      <c r="C331" s="14" t="n">
        <v>44824</v>
      </c>
      <c r="D331" s="13" t="n">
        <v>32</v>
      </c>
      <c r="E331" s="13" t="s">
        <v>136</v>
      </c>
      <c r="F331" s="13" t="s">
        <v>154</v>
      </c>
      <c r="G331" s="13" t="s">
        <v>334</v>
      </c>
      <c r="H331" s="13" t="s">
        <v>139</v>
      </c>
      <c r="I331" s="13" t="n">
        <v>3</v>
      </c>
      <c r="J331" s="13" t="n">
        <v>3</v>
      </c>
      <c r="K331" s="13" t="n">
        <v>47000</v>
      </c>
      <c r="L331" s="13" t="s">
        <v>151</v>
      </c>
      <c r="M331" s="13" t="s">
        <v>216</v>
      </c>
      <c r="N331" s="13" t="s">
        <v>142</v>
      </c>
    </row>
    <row r="332" customFormat="false" ht="15" hidden="false" customHeight="false" outlineLevel="0" collapsed="false">
      <c r="A332" s="13" t="s">
        <v>545</v>
      </c>
      <c r="B332" s="14" t="n">
        <v>42104</v>
      </c>
      <c r="C332" s="14" t="n">
        <v>45205</v>
      </c>
      <c r="D332" s="13" t="n">
        <v>42</v>
      </c>
      <c r="E332" s="13" t="s">
        <v>163</v>
      </c>
      <c r="F332" s="13" t="s">
        <v>229</v>
      </c>
      <c r="G332" s="13" t="s">
        <v>155</v>
      </c>
      <c r="H332" s="13" t="s">
        <v>146</v>
      </c>
      <c r="I332" s="13" t="n">
        <v>4</v>
      </c>
      <c r="J332" s="13" t="n">
        <v>1</v>
      </c>
      <c r="K332" s="13" t="n">
        <v>79500</v>
      </c>
      <c r="L332" s="13" t="s">
        <v>140</v>
      </c>
      <c r="M332" s="13" t="s">
        <v>201</v>
      </c>
      <c r="N332" s="13" t="s">
        <v>142</v>
      </c>
    </row>
    <row r="333" customFormat="false" ht="15" hidden="false" customHeight="false" outlineLevel="0" collapsed="false">
      <c r="A333" s="13" t="s">
        <v>546</v>
      </c>
      <c r="B333" s="14" t="n">
        <v>42112</v>
      </c>
      <c r="C333" s="14"/>
      <c r="D333" s="13" t="n">
        <v>45</v>
      </c>
      <c r="E333" s="13" t="s">
        <v>136</v>
      </c>
      <c r="F333" s="13" t="s">
        <v>239</v>
      </c>
      <c r="G333" s="13" t="s">
        <v>171</v>
      </c>
      <c r="H333" s="13" t="s">
        <v>139</v>
      </c>
      <c r="I333" s="13" t="n">
        <v>4</v>
      </c>
      <c r="J333" s="13" t="n">
        <v>4</v>
      </c>
      <c r="K333" s="13" t="n">
        <v>48000</v>
      </c>
      <c r="L333" s="13"/>
      <c r="M333" s="13"/>
      <c r="N333" s="13" t="s">
        <v>142</v>
      </c>
    </row>
    <row r="334" customFormat="false" ht="15" hidden="false" customHeight="false" outlineLevel="0" collapsed="false">
      <c r="A334" s="13" t="s">
        <v>547</v>
      </c>
      <c r="B334" s="14" t="n">
        <v>42114</v>
      </c>
      <c r="C334" s="14"/>
      <c r="D334" s="13" t="n">
        <v>38</v>
      </c>
      <c r="E334" s="13" t="s">
        <v>144</v>
      </c>
      <c r="F334" s="13" t="s">
        <v>145</v>
      </c>
      <c r="G334" s="13" t="s">
        <v>138</v>
      </c>
      <c r="H334" s="13" t="s">
        <v>149</v>
      </c>
      <c r="I334" s="13" t="n">
        <v>4</v>
      </c>
      <c r="J334" s="13" t="n">
        <v>4</v>
      </c>
      <c r="K334" s="13" t="n">
        <v>110000</v>
      </c>
      <c r="L334" s="13"/>
      <c r="M334" s="13"/>
      <c r="N334" s="13" t="s">
        <v>142</v>
      </c>
    </row>
    <row r="335" customFormat="false" ht="15" hidden="false" customHeight="false" outlineLevel="0" collapsed="false">
      <c r="A335" s="13" t="s">
        <v>548</v>
      </c>
      <c r="B335" s="14" t="n">
        <v>42117</v>
      </c>
      <c r="C335" s="14"/>
      <c r="D335" s="13" t="n">
        <v>33</v>
      </c>
      <c r="E335" s="13" t="s">
        <v>136</v>
      </c>
      <c r="F335" s="13" t="s">
        <v>164</v>
      </c>
      <c r="G335" s="13" t="s">
        <v>138</v>
      </c>
      <c r="H335" s="13" t="s">
        <v>146</v>
      </c>
      <c r="I335" s="13" t="n">
        <v>3</v>
      </c>
      <c r="J335" s="13" t="n">
        <v>2</v>
      </c>
      <c r="K335" s="13" t="n">
        <v>76000</v>
      </c>
      <c r="L335" s="13"/>
      <c r="M335" s="13"/>
      <c r="N335" s="13" t="s">
        <v>142</v>
      </c>
    </row>
    <row r="336" customFormat="false" ht="15" hidden="false" customHeight="false" outlineLevel="0" collapsed="false">
      <c r="A336" s="13" t="s">
        <v>549</v>
      </c>
      <c r="B336" s="14" t="n">
        <v>42117</v>
      </c>
      <c r="C336" s="14"/>
      <c r="D336" s="13" t="n">
        <v>36</v>
      </c>
      <c r="E336" s="13" t="s">
        <v>136</v>
      </c>
      <c r="F336" s="13" t="s">
        <v>170</v>
      </c>
      <c r="G336" s="13" t="s">
        <v>155</v>
      </c>
      <c r="H336" s="13" t="s">
        <v>192</v>
      </c>
      <c r="I336" s="13" t="n">
        <v>4</v>
      </c>
      <c r="J336" s="13" t="n">
        <v>3</v>
      </c>
      <c r="K336" s="13" t="n">
        <v>276000</v>
      </c>
      <c r="L336" s="13"/>
      <c r="M336" s="13"/>
      <c r="N336" s="13" t="s">
        <v>255</v>
      </c>
    </row>
    <row r="337" customFormat="false" ht="15" hidden="false" customHeight="false" outlineLevel="0" collapsed="false">
      <c r="A337" s="13" t="s">
        <v>550</v>
      </c>
      <c r="B337" s="14" t="n">
        <v>42119</v>
      </c>
      <c r="C337" s="14"/>
      <c r="D337" s="13" t="n">
        <v>41</v>
      </c>
      <c r="E337" s="13" t="s">
        <v>144</v>
      </c>
      <c r="F337" s="13" t="s">
        <v>239</v>
      </c>
      <c r="G337" s="13" t="s">
        <v>155</v>
      </c>
      <c r="H337" s="13" t="s">
        <v>156</v>
      </c>
      <c r="I337" s="13" t="n">
        <v>3</v>
      </c>
      <c r="J337" s="13"/>
      <c r="K337" s="13" t="n">
        <v>102500</v>
      </c>
      <c r="L337" s="13"/>
      <c r="M337" s="13"/>
      <c r="N337" s="13" t="s">
        <v>157</v>
      </c>
    </row>
    <row r="338" customFormat="false" ht="15" hidden="false" customHeight="false" outlineLevel="0" collapsed="false">
      <c r="A338" s="13" t="s">
        <v>551</v>
      </c>
      <c r="B338" s="14" t="n">
        <v>42124</v>
      </c>
      <c r="C338" s="14"/>
      <c r="D338" s="13" t="n">
        <v>32</v>
      </c>
      <c r="E338" s="13" t="s">
        <v>136</v>
      </c>
      <c r="F338" s="13" t="s">
        <v>154</v>
      </c>
      <c r="G338" s="13" t="s">
        <v>155</v>
      </c>
      <c r="H338" s="13" t="s">
        <v>139</v>
      </c>
      <c r="I338" s="13" t="n">
        <v>2</v>
      </c>
      <c r="J338" s="13" t="n">
        <v>4</v>
      </c>
      <c r="K338" s="13" t="n">
        <v>47000</v>
      </c>
      <c r="L338" s="13"/>
      <c r="M338" s="13"/>
      <c r="N338" s="13" t="s">
        <v>142</v>
      </c>
    </row>
    <row r="339" customFormat="false" ht="15" hidden="false" customHeight="false" outlineLevel="0" collapsed="false">
      <c r="A339" s="13" t="s">
        <v>552</v>
      </c>
      <c r="B339" s="14" t="n">
        <v>42125</v>
      </c>
      <c r="C339" s="14"/>
      <c r="D339" s="13" t="n">
        <v>45</v>
      </c>
      <c r="E339" s="13" t="s">
        <v>136</v>
      </c>
      <c r="F339" s="13" t="s">
        <v>168</v>
      </c>
      <c r="G339" s="13" t="s">
        <v>132</v>
      </c>
      <c r="H339" s="13" t="s">
        <v>139</v>
      </c>
      <c r="I339" s="13" t="n">
        <v>3</v>
      </c>
      <c r="J339" s="13" t="n">
        <v>1</v>
      </c>
      <c r="K339" s="13" t="n">
        <v>41500</v>
      </c>
      <c r="L339" s="13"/>
      <c r="M339" s="13"/>
      <c r="N339" s="13" t="s">
        <v>142</v>
      </c>
    </row>
    <row r="340" customFormat="false" ht="15" hidden="false" customHeight="false" outlineLevel="0" collapsed="false">
      <c r="A340" s="13" t="s">
        <v>553</v>
      </c>
      <c r="B340" s="14" t="n">
        <v>42128</v>
      </c>
      <c r="C340" s="14" t="n">
        <v>45152</v>
      </c>
      <c r="D340" s="13" t="n">
        <v>37</v>
      </c>
      <c r="E340" s="13" t="s">
        <v>190</v>
      </c>
      <c r="F340" s="13" t="s">
        <v>168</v>
      </c>
      <c r="G340" s="13" t="s">
        <v>138</v>
      </c>
      <c r="H340" s="13" t="s">
        <v>146</v>
      </c>
      <c r="I340" s="13" t="n">
        <v>2</v>
      </c>
      <c r="J340" s="13" t="n">
        <v>3</v>
      </c>
      <c r="K340" s="13" t="n">
        <v>61000</v>
      </c>
      <c r="L340" s="13" t="s">
        <v>173</v>
      </c>
      <c r="M340" s="13" t="s">
        <v>254</v>
      </c>
      <c r="N340" s="13" t="s">
        <v>142</v>
      </c>
    </row>
    <row r="341" customFormat="false" ht="15" hidden="false" customHeight="false" outlineLevel="0" collapsed="false">
      <c r="A341" s="13" t="s">
        <v>554</v>
      </c>
      <c r="B341" s="14" t="n">
        <v>42133</v>
      </c>
      <c r="C341" s="14"/>
      <c r="D341" s="13" t="n">
        <v>37</v>
      </c>
      <c r="E341" s="13" t="s">
        <v>144</v>
      </c>
      <c r="F341" s="13" t="s">
        <v>137</v>
      </c>
      <c r="G341" s="13" t="s">
        <v>138</v>
      </c>
      <c r="H341" s="13" t="s">
        <v>139</v>
      </c>
      <c r="I341" s="13" t="n">
        <v>4</v>
      </c>
      <c r="J341" s="13" t="n">
        <v>3</v>
      </c>
      <c r="K341" s="13" t="n">
        <v>51000</v>
      </c>
      <c r="L341" s="13"/>
      <c r="M341" s="13"/>
      <c r="N341" s="13" t="s">
        <v>255</v>
      </c>
    </row>
    <row r="342" customFormat="false" ht="15" hidden="false" customHeight="false" outlineLevel="0" collapsed="false">
      <c r="A342" s="13" t="s">
        <v>555</v>
      </c>
      <c r="B342" s="14" t="n">
        <v>42140</v>
      </c>
      <c r="C342" s="14" t="n">
        <v>44596</v>
      </c>
      <c r="D342" s="13" t="n">
        <v>36</v>
      </c>
      <c r="E342" s="13" t="s">
        <v>144</v>
      </c>
      <c r="F342" s="13" t="s">
        <v>168</v>
      </c>
      <c r="G342" s="13" t="s">
        <v>148</v>
      </c>
      <c r="H342" s="13" t="s">
        <v>156</v>
      </c>
      <c r="I342" s="13" t="n">
        <v>3</v>
      </c>
      <c r="J342" s="13" t="n">
        <v>3</v>
      </c>
      <c r="K342" s="13" t="n">
        <v>111500</v>
      </c>
      <c r="L342" s="13" t="s">
        <v>151</v>
      </c>
      <c r="M342" s="13" t="s">
        <v>141</v>
      </c>
      <c r="N342" s="13" t="s">
        <v>142</v>
      </c>
    </row>
    <row r="343" customFormat="false" ht="15" hidden="false" customHeight="false" outlineLevel="0" collapsed="false">
      <c r="A343" s="13" t="s">
        <v>556</v>
      </c>
      <c r="B343" s="14" t="n">
        <v>42143</v>
      </c>
      <c r="C343" s="14" t="n">
        <v>45634</v>
      </c>
      <c r="D343" s="13" t="n">
        <v>34</v>
      </c>
      <c r="E343" s="13" t="s">
        <v>186</v>
      </c>
      <c r="F343" s="13" t="s">
        <v>229</v>
      </c>
      <c r="G343" s="13" t="s">
        <v>155</v>
      </c>
      <c r="H343" s="13" t="s">
        <v>139</v>
      </c>
      <c r="I343" s="13" t="n">
        <v>4</v>
      </c>
      <c r="J343" s="13" t="n">
        <v>2</v>
      </c>
      <c r="K343" s="13" t="n">
        <v>47000</v>
      </c>
      <c r="L343" s="13" t="s">
        <v>151</v>
      </c>
      <c r="M343" s="13" t="s">
        <v>206</v>
      </c>
      <c r="N343" s="13" t="s">
        <v>142</v>
      </c>
    </row>
    <row r="344" customFormat="false" ht="15" hidden="false" customHeight="false" outlineLevel="0" collapsed="false">
      <c r="A344" s="13" t="s">
        <v>557</v>
      </c>
      <c r="B344" s="14" t="n">
        <v>42147</v>
      </c>
      <c r="C344" s="14"/>
      <c r="D344" s="13" t="n">
        <v>44</v>
      </c>
      <c r="E344" s="13" t="s">
        <v>144</v>
      </c>
      <c r="F344" s="13" t="s">
        <v>131</v>
      </c>
      <c r="G344" s="13" t="s">
        <v>138</v>
      </c>
      <c r="H344" s="13" t="s">
        <v>139</v>
      </c>
      <c r="I344" s="13" t="n">
        <v>3</v>
      </c>
      <c r="J344" s="13" t="n">
        <v>2</v>
      </c>
      <c r="K344" s="13" t="n">
        <v>47000</v>
      </c>
      <c r="L344" s="13"/>
      <c r="M344" s="13"/>
      <c r="N344" s="13" t="s">
        <v>142</v>
      </c>
    </row>
    <row r="345" customFormat="false" ht="15" hidden="false" customHeight="false" outlineLevel="0" collapsed="false">
      <c r="A345" s="13" t="s">
        <v>558</v>
      </c>
      <c r="B345" s="14" t="n">
        <v>42148</v>
      </c>
      <c r="C345" s="14"/>
      <c r="D345" s="13" t="n">
        <v>39</v>
      </c>
      <c r="E345" s="13" t="s">
        <v>136</v>
      </c>
      <c r="F345" s="13" t="s">
        <v>170</v>
      </c>
      <c r="G345" s="13" t="s">
        <v>213</v>
      </c>
      <c r="H345" s="13" t="s">
        <v>139</v>
      </c>
      <c r="I345" s="13" t="n">
        <v>3</v>
      </c>
      <c r="J345" s="13" t="n">
        <v>4</v>
      </c>
      <c r="K345" s="13" t="n">
        <v>49500</v>
      </c>
      <c r="L345" s="13"/>
      <c r="M345" s="13"/>
      <c r="N345" s="13" t="s">
        <v>134</v>
      </c>
    </row>
    <row r="346" customFormat="false" ht="15" hidden="false" customHeight="false" outlineLevel="0" collapsed="false">
      <c r="A346" s="13" t="s">
        <v>559</v>
      </c>
      <c r="B346" s="14" t="n">
        <v>42150</v>
      </c>
      <c r="C346" s="14"/>
      <c r="D346" s="13" t="n">
        <v>43</v>
      </c>
      <c r="E346" s="13" t="s">
        <v>144</v>
      </c>
      <c r="F346" s="13" t="s">
        <v>154</v>
      </c>
      <c r="G346" s="13" t="s">
        <v>132</v>
      </c>
      <c r="H346" s="13" t="s">
        <v>139</v>
      </c>
      <c r="I346" s="13" t="n">
        <v>5</v>
      </c>
      <c r="J346" s="13" t="n">
        <v>3</v>
      </c>
      <c r="K346" s="13" t="n">
        <v>51000</v>
      </c>
      <c r="L346" s="13"/>
      <c r="M346" s="13"/>
      <c r="N346" s="13" t="s">
        <v>134</v>
      </c>
    </row>
    <row r="347" customFormat="false" ht="15" hidden="false" customHeight="false" outlineLevel="0" collapsed="false">
      <c r="A347" s="13" t="s">
        <v>560</v>
      </c>
      <c r="B347" s="14" t="n">
        <v>42153</v>
      </c>
      <c r="C347" s="14" t="n">
        <v>45146</v>
      </c>
      <c r="D347" s="13" t="n">
        <v>45</v>
      </c>
      <c r="E347" s="13" t="s">
        <v>190</v>
      </c>
      <c r="F347" s="13" t="s">
        <v>170</v>
      </c>
      <c r="G347" s="13" t="s">
        <v>191</v>
      </c>
      <c r="H347" s="13" t="s">
        <v>149</v>
      </c>
      <c r="I347" s="13" t="n">
        <v>5</v>
      </c>
      <c r="J347" s="13" t="n">
        <v>2</v>
      </c>
      <c r="K347" s="13" t="n">
        <v>131000</v>
      </c>
      <c r="L347" s="13" t="s">
        <v>173</v>
      </c>
      <c r="M347" s="13" t="s">
        <v>273</v>
      </c>
      <c r="N347" s="13" t="s">
        <v>134</v>
      </c>
    </row>
    <row r="348" customFormat="false" ht="15" hidden="false" customHeight="false" outlineLevel="0" collapsed="false">
      <c r="A348" s="13" t="s">
        <v>561</v>
      </c>
      <c r="B348" s="14" t="n">
        <v>42155</v>
      </c>
      <c r="C348" s="14"/>
      <c r="D348" s="13" t="n">
        <v>38</v>
      </c>
      <c r="E348" s="13" t="s">
        <v>136</v>
      </c>
      <c r="F348" s="13" t="s">
        <v>239</v>
      </c>
      <c r="G348" s="13" t="s">
        <v>300</v>
      </c>
      <c r="H348" s="13" t="s">
        <v>146</v>
      </c>
      <c r="I348" s="13" t="n">
        <v>4</v>
      </c>
      <c r="J348" s="13" t="n">
        <v>4</v>
      </c>
      <c r="K348" s="13" t="n">
        <v>74000</v>
      </c>
      <c r="L348" s="13"/>
      <c r="M348" s="13"/>
      <c r="N348" s="13" t="s">
        <v>214</v>
      </c>
    </row>
    <row r="349" customFormat="false" ht="15" hidden="false" customHeight="false" outlineLevel="0" collapsed="false">
      <c r="A349" s="13" t="s">
        <v>562</v>
      </c>
      <c r="B349" s="14" t="n">
        <v>42158</v>
      </c>
      <c r="C349" s="14" t="n">
        <v>44991</v>
      </c>
      <c r="D349" s="13" t="n">
        <v>38</v>
      </c>
      <c r="E349" s="13" t="s">
        <v>186</v>
      </c>
      <c r="F349" s="13" t="s">
        <v>168</v>
      </c>
      <c r="G349" s="13" t="s">
        <v>354</v>
      </c>
      <c r="H349" s="13" t="s">
        <v>192</v>
      </c>
      <c r="I349" s="13" t="n">
        <v>4</v>
      </c>
      <c r="J349" s="13" t="n">
        <v>3</v>
      </c>
      <c r="K349" s="13" t="n">
        <v>177000</v>
      </c>
      <c r="L349" s="13" t="s">
        <v>173</v>
      </c>
      <c r="M349" s="13"/>
      <c r="N349" s="13" t="s">
        <v>142</v>
      </c>
    </row>
    <row r="350" customFormat="false" ht="15" hidden="false" customHeight="false" outlineLevel="0" collapsed="false">
      <c r="A350" s="13" t="s">
        <v>563</v>
      </c>
      <c r="B350" s="14" t="n">
        <v>42159</v>
      </c>
      <c r="C350" s="14"/>
      <c r="D350" s="13" t="n">
        <v>32</v>
      </c>
      <c r="E350" s="13" t="s">
        <v>190</v>
      </c>
      <c r="F350" s="13" t="s">
        <v>170</v>
      </c>
      <c r="G350" s="13" t="s">
        <v>132</v>
      </c>
      <c r="H350" s="13" t="s">
        <v>139</v>
      </c>
      <c r="I350" s="13" t="n">
        <v>3</v>
      </c>
      <c r="J350" s="13" t="n">
        <v>2</v>
      </c>
      <c r="K350" s="13" t="n">
        <v>41000</v>
      </c>
      <c r="L350" s="13"/>
      <c r="M350" s="13"/>
      <c r="N350" s="13" t="s">
        <v>142</v>
      </c>
    </row>
    <row r="351" customFormat="false" ht="15" hidden="false" customHeight="false" outlineLevel="0" collapsed="false">
      <c r="A351" s="13" t="s">
        <v>564</v>
      </c>
      <c r="B351" s="14" t="n">
        <v>42160</v>
      </c>
      <c r="C351" s="14" t="n">
        <v>44669</v>
      </c>
      <c r="D351" s="13" t="n">
        <v>40</v>
      </c>
      <c r="E351" s="13" t="s">
        <v>163</v>
      </c>
      <c r="F351" s="13" t="s">
        <v>145</v>
      </c>
      <c r="G351" s="13" t="s">
        <v>138</v>
      </c>
      <c r="H351" s="13" t="s">
        <v>139</v>
      </c>
      <c r="I351" s="13" t="n">
        <v>3</v>
      </c>
      <c r="J351" s="13" t="n">
        <v>1</v>
      </c>
      <c r="K351" s="13" t="n">
        <v>45000</v>
      </c>
      <c r="L351" s="13" t="s">
        <v>200</v>
      </c>
      <c r="M351" s="13"/>
      <c r="N351" s="13" t="s">
        <v>134</v>
      </c>
    </row>
    <row r="352" customFormat="false" ht="15" hidden="false" customHeight="false" outlineLevel="0" collapsed="false">
      <c r="A352" s="13" t="s">
        <v>565</v>
      </c>
      <c r="B352" s="14" t="n">
        <v>42160</v>
      </c>
      <c r="C352" s="14"/>
      <c r="D352" s="13" t="n">
        <v>42</v>
      </c>
      <c r="E352" s="13" t="s">
        <v>163</v>
      </c>
      <c r="F352" s="13" t="s">
        <v>170</v>
      </c>
      <c r="G352" s="13" t="s">
        <v>132</v>
      </c>
      <c r="H352" s="13" t="s">
        <v>219</v>
      </c>
      <c r="I352" s="13" t="n">
        <v>4</v>
      </c>
      <c r="J352" s="13" t="n">
        <v>4</v>
      </c>
      <c r="K352" s="13" t="n">
        <v>43500</v>
      </c>
      <c r="L352" s="13"/>
      <c r="M352" s="13"/>
      <c r="N352" s="13" t="s">
        <v>142</v>
      </c>
    </row>
    <row r="353" customFormat="false" ht="15" hidden="false" customHeight="false" outlineLevel="0" collapsed="false">
      <c r="A353" s="13" t="s">
        <v>566</v>
      </c>
      <c r="B353" s="14" t="n">
        <v>42162</v>
      </c>
      <c r="C353" s="14"/>
      <c r="D353" s="13" t="n">
        <v>42</v>
      </c>
      <c r="E353" s="13" t="s">
        <v>144</v>
      </c>
      <c r="F353" s="13" t="s">
        <v>137</v>
      </c>
      <c r="G353" s="13" t="s">
        <v>279</v>
      </c>
      <c r="H353" s="13" t="s">
        <v>139</v>
      </c>
      <c r="I353" s="13" t="n">
        <v>4</v>
      </c>
      <c r="J353" s="13" t="n">
        <v>3</v>
      </c>
      <c r="K353" s="13" t="n">
        <v>40500</v>
      </c>
      <c r="L353" s="13"/>
      <c r="M353" s="13"/>
      <c r="N353" s="13" t="s">
        <v>134</v>
      </c>
    </row>
    <row r="354" customFormat="false" ht="15" hidden="false" customHeight="false" outlineLevel="0" collapsed="false">
      <c r="A354" s="13" t="s">
        <v>567</v>
      </c>
      <c r="B354" s="14" t="n">
        <v>42163</v>
      </c>
      <c r="C354" s="14" t="n">
        <v>44881</v>
      </c>
      <c r="D354" s="13" t="n">
        <v>34</v>
      </c>
      <c r="E354" s="13" t="s">
        <v>163</v>
      </c>
      <c r="F354" s="13" t="s">
        <v>137</v>
      </c>
      <c r="G354" s="13" t="s">
        <v>132</v>
      </c>
      <c r="H354" s="13" t="s">
        <v>146</v>
      </c>
      <c r="I354" s="13" t="n">
        <v>3</v>
      </c>
      <c r="J354" s="13" t="n">
        <v>1</v>
      </c>
      <c r="K354" s="13" t="n">
        <v>73500</v>
      </c>
      <c r="L354" s="13" t="s">
        <v>151</v>
      </c>
      <c r="M354" s="13" t="s">
        <v>152</v>
      </c>
      <c r="N354" s="13" t="s">
        <v>142</v>
      </c>
    </row>
    <row r="355" customFormat="false" ht="15" hidden="false" customHeight="false" outlineLevel="0" collapsed="false">
      <c r="A355" s="13" t="s">
        <v>568</v>
      </c>
      <c r="B355" s="14" t="n">
        <v>42164</v>
      </c>
      <c r="C355" s="14"/>
      <c r="D355" s="13" t="n">
        <v>37</v>
      </c>
      <c r="E355" s="13" t="s">
        <v>144</v>
      </c>
      <c r="F355" s="13" t="s">
        <v>161</v>
      </c>
      <c r="G355" s="13" t="s">
        <v>132</v>
      </c>
      <c r="H355" s="13" t="s">
        <v>146</v>
      </c>
      <c r="I355" s="13" t="n">
        <v>3</v>
      </c>
      <c r="J355" s="13" t="n">
        <v>4</v>
      </c>
      <c r="K355" s="13" t="n">
        <v>74000</v>
      </c>
      <c r="L355" s="13"/>
      <c r="M355" s="13"/>
      <c r="N355" s="13" t="s">
        <v>134</v>
      </c>
    </row>
    <row r="356" customFormat="false" ht="15" hidden="false" customHeight="false" outlineLevel="0" collapsed="false">
      <c r="A356" s="13" t="s">
        <v>569</v>
      </c>
      <c r="B356" s="14" t="n">
        <v>42170</v>
      </c>
      <c r="C356" s="14"/>
      <c r="D356" s="13" t="n">
        <v>32</v>
      </c>
      <c r="E356" s="13" t="s">
        <v>144</v>
      </c>
      <c r="F356" s="13" t="s">
        <v>137</v>
      </c>
      <c r="G356" s="13" t="s">
        <v>235</v>
      </c>
      <c r="H356" s="13" t="s">
        <v>139</v>
      </c>
      <c r="I356" s="13" t="n">
        <v>3</v>
      </c>
      <c r="J356" s="13" t="n">
        <v>4</v>
      </c>
      <c r="K356" s="13" t="n">
        <v>53000</v>
      </c>
      <c r="L356" s="13"/>
      <c r="M356" s="13"/>
      <c r="N356" s="13" t="s">
        <v>214</v>
      </c>
    </row>
    <row r="357" customFormat="false" ht="15" hidden="false" customHeight="false" outlineLevel="0" collapsed="false">
      <c r="A357" s="13" t="s">
        <v>570</v>
      </c>
      <c r="B357" s="14" t="n">
        <v>42174</v>
      </c>
      <c r="C357" s="14" t="n">
        <v>45654</v>
      </c>
      <c r="D357" s="13" t="n">
        <v>39</v>
      </c>
      <c r="E357" s="13" t="s">
        <v>130</v>
      </c>
      <c r="F357" s="13" t="s">
        <v>164</v>
      </c>
      <c r="G357" s="13" t="s">
        <v>148</v>
      </c>
      <c r="H357" s="13" t="s">
        <v>172</v>
      </c>
      <c r="I357" s="13" t="n">
        <v>5</v>
      </c>
      <c r="J357" s="13" t="n">
        <v>4</v>
      </c>
      <c r="K357" s="13" t="n">
        <v>43500</v>
      </c>
      <c r="L357" s="13" t="s">
        <v>173</v>
      </c>
      <c r="M357" s="13" t="s">
        <v>273</v>
      </c>
      <c r="N357" s="13" t="s">
        <v>157</v>
      </c>
    </row>
    <row r="358" customFormat="false" ht="15" hidden="false" customHeight="false" outlineLevel="0" collapsed="false">
      <c r="A358" s="13" t="s">
        <v>571</v>
      </c>
      <c r="B358" s="14" t="n">
        <v>42190</v>
      </c>
      <c r="C358" s="14"/>
      <c r="D358" s="13" t="n">
        <v>36</v>
      </c>
      <c r="E358" s="13" t="s">
        <v>182</v>
      </c>
      <c r="F358" s="13" t="s">
        <v>137</v>
      </c>
      <c r="G358" s="13" t="s">
        <v>330</v>
      </c>
      <c r="H358" s="13" t="s">
        <v>146</v>
      </c>
      <c r="I358" s="13" t="n">
        <v>4</v>
      </c>
      <c r="J358" s="13" t="n">
        <v>4</v>
      </c>
      <c r="K358" s="13" t="n">
        <v>77000</v>
      </c>
      <c r="L358" s="13"/>
      <c r="M358" s="13"/>
      <c r="N358" s="13" t="s">
        <v>142</v>
      </c>
    </row>
    <row r="359" customFormat="false" ht="15" hidden="false" customHeight="false" outlineLevel="0" collapsed="false">
      <c r="A359" s="13" t="s">
        <v>572</v>
      </c>
      <c r="B359" s="14" t="n">
        <v>42200</v>
      </c>
      <c r="C359" s="14" t="n">
        <v>44916</v>
      </c>
      <c r="D359" s="13" t="n">
        <v>37</v>
      </c>
      <c r="E359" s="13" t="s">
        <v>144</v>
      </c>
      <c r="F359" s="13" t="s">
        <v>168</v>
      </c>
      <c r="G359" s="13" t="s">
        <v>155</v>
      </c>
      <c r="H359" s="13" t="s">
        <v>139</v>
      </c>
      <c r="I359" s="13" t="n">
        <v>2</v>
      </c>
      <c r="J359" s="13" t="n">
        <v>1</v>
      </c>
      <c r="K359" s="13" t="n">
        <v>42500</v>
      </c>
      <c r="L359" s="13" t="s">
        <v>151</v>
      </c>
      <c r="M359" s="13" t="s">
        <v>203</v>
      </c>
      <c r="N359" s="13" t="s">
        <v>255</v>
      </c>
    </row>
    <row r="360" customFormat="false" ht="15" hidden="false" customHeight="false" outlineLevel="0" collapsed="false">
      <c r="A360" s="13" t="s">
        <v>573</v>
      </c>
      <c r="B360" s="14" t="n">
        <v>42203</v>
      </c>
      <c r="C360" s="14"/>
      <c r="D360" s="13" t="n">
        <v>40</v>
      </c>
      <c r="E360" s="13" t="s">
        <v>144</v>
      </c>
      <c r="F360" s="13" t="s">
        <v>168</v>
      </c>
      <c r="G360" s="13" t="s">
        <v>224</v>
      </c>
      <c r="H360" s="13" t="s">
        <v>178</v>
      </c>
      <c r="I360" s="13" t="n">
        <v>3</v>
      </c>
      <c r="J360" s="13" t="n">
        <v>2</v>
      </c>
      <c r="K360" s="13" t="n">
        <v>156500</v>
      </c>
      <c r="L360" s="13"/>
      <c r="M360" s="13"/>
      <c r="N360" s="13" t="s">
        <v>134</v>
      </c>
    </row>
    <row r="361" customFormat="false" ht="15" hidden="false" customHeight="false" outlineLevel="0" collapsed="false">
      <c r="A361" s="13" t="s">
        <v>574</v>
      </c>
      <c r="B361" s="14" t="n">
        <v>42203</v>
      </c>
      <c r="C361" s="14" t="n">
        <v>45190</v>
      </c>
      <c r="D361" s="13" t="n">
        <v>38</v>
      </c>
      <c r="E361" s="13" t="s">
        <v>136</v>
      </c>
      <c r="F361" s="13" t="s">
        <v>229</v>
      </c>
      <c r="G361" s="13" t="s">
        <v>155</v>
      </c>
      <c r="H361" s="13" t="s">
        <v>156</v>
      </c>
      <c r="I361" s="13" t="n">
        <v>2</v>
      </c>
      <c r="J361" s="13" t="n">
        <v>4</v>
      </c>
      <c r="K361" s="13" t="n">
        <v>93000</v>
      </c>
      <c r="L361" s="13" t="s">
        <v>140</v>
      </c>
      <c r="M361" s="13" t="s">
        <v>201</v>
      </c>
      <c r="N361" s="13" t="s">
        <v>142</v>
      </c>
    </row>
    <row r="362" customFormat="false" ht="15" hidden="false" customHeight="false" outlineLevel="0" collapsed="false">
      <c r="A362" s="13" t="s">
        <v>575</v>
      </c>
      <c r="B362" s="14" t="n">
        <v>42205</v>
      </c>
      <c r="C362" s="14"/>
      <c r="D362" s="13" t="n">
        <v>34</v>
      </c>
      <c r="E362" s="13" t="s">
        <v>182</v>
      </c>
      <c r="F362" s="13" t="s">
        <v>154</v>
      </c>
      <c r="G362" s="13" t="s">
        <v>132</v>
      </c>
      <c r="H362" s="13" t="s">
        <v>146</v>
      </c>
      <c r="I362" s="13" t="n">
        <v>4</v>
      </c>
      <c r="J362" s="13" t="n">
        <v>3</v>
      </c>
      <c r="K362" s="13" t="n">
        <v>60500</v>
      </c>
      <c r="L362" s="13"/>
      <c r="M362" s="13"/>
      <c r="N362" s="13" t="s">
        <v>142</v>
      </c>
    </row>
    <row r="363" customFormat="false" ht="15" hidden="false" customHeight="false" outlineLevel="0" collapsed="false">
      <c r="A363" s="13" t="s">
        <v>576</v>
      </c>
      <c r="B363" s="14" t="n">
        <v>42205</v>
      </c>
      <c r="C363" s="14"/>
      <c r="D363" s="13" t="n">
        <v>43</v>
      </c>
      <c r="E363" s="13" t="s">
        <v>163</v>
      </c>
      <c r="F363" s="13" t="s">
        <v>145</v>
      </c>
      <c r="G363" s="13" t="s">
        <v>330</v>
      </c>
      <c r="H363" s="13" t="s">
        <v>146</v>
      </c>
      <c r="I363" s="13" t="n">
        <v>5</v>
      </c>
      <c r="J363" s="13" t="n">
        <v>4</v>
      </c>
      <c r="K363" s="13" t="n">
        <v>80000</v>
      </c>
      <c r="L363" s="13"/>
      <c r="M363" s="13"/>
      <c r="N363" s="13" t="s">
        <v>134</v>
      </c>
    </row>
    <row r="364" customFormat="false" ht="15" hidden="false" customHeight="false" outlineLevel="0" collapsed="false">
      <c r="A364" s="13" t="s">
        <v>577</v>
      </c>
      <c r="B364" s="14" t="n">
        <v>42210</v>
      </c>
      <c r="C364" s="14"/>
      <c r="D364" s="13" t="n">
        <v>42</v>
      </c>
      <c r="E364" s="13" t="s">
        <v>186</v>
      </c>
      <c r="F364" s="13" t="s">
        <v>168</v>
      </c>
      <c r="G364" s="13" t="s">
        <v>132</v>
      </c>
      <c r="H364" s="13" t="s">
        <v>156</v>
      </c>
      <c r="I364" s="13"/>
      <c r="J364" s="13" t="n">
        <v>3</v>
      </c>
      <c r="K364" s="13" t="n">
        <v>89000</v>
      </c>
      <c r="L364" s="13"/>
      <c r="M364" s="13"/>
      <c r="N364" s="13" t="s">
        <v>142</v>
      </c>
    </row>
    <row r="365" customFormat="false" ht="15" hidden="false" customHeight="false" outlineLevel="0" collapsed="false">
      <c r="A365" s="13" t="s">
        <v>578</v>
      </c>
      <c r="B365" s="14" t="n">
        <v>42221</v>
      </c>
      <c r="C365" s="14" t="n">
        <v>45757</v>
      </c>
      <c r="D365" s="13" t="n">
        <v>36</v>
      </c>
      <c r="E365" s="13" t="s">
        <v>182</v>
      </c>
      <c r="F365" s="13" t="s">
        <v>161</v>
      </c>
      <c r="G365" s="13" t="s">
        <v>138</v>
      </c>
      <c r="H365" s="13" t="s">
        <v>192</v>
      </c>
      <c r="I365" s="13" t="n">
        <v>3</v>
      </c>
      <c r="J365" s="13" t="n">
        <v>2</v>
      </c>
      <c r="K365" s="13" t="n">
        <v>224500</v>
      </c>
      <c r="L365" s="13" t="s">
        <v>151</v>
      </c>
      <c r="M365" s="13"/>
      <c r="N365" s="13" t="s">
        <v>134</v>
      </c>
    </row>
    <row r="366" customFormat="false" ht="15" hidden="false" customHeight="false" outlineLevel="0" collapsed="false">
      <c r="A366" s="13" t="s">
        <v>579</v>
      </c>
      <c r="B366" s="14" t="n">
        <v>42225</v>
      </c>
      <c r="C366" s="14" t="n">
        <v>45887</v>
      </c>
      <c r="D366" s="13" t="n">
        <v>32</v>
      </c>
      <c r="E366" s="13" t="s">
        <v>144</v>
      </c>
      <c r="F366" s="13" t="s">
        <v>137</v>
      </c>
      <c r="G366" s="13" t="s">
        <v>148</v>
      </c>
      <c r="H366" s="13" t="s">
        <v>146</v>
      </c>
      <c r="I366" s="13" t="n">
        <v>3</v>
      </c>
      <c r="J366" s="13" t="n">
        <v>3</v>
      </c>
      <c r="K366" s="13" t="n">
        <v>68500</v>
      </c>
      <c r="L366" s="13" t="s">
        <v>151</v>
      </c>
      <c r="M366" s="13" t="s">
        <v>152</v>
      </c>
      <c r="N366" s="13" t="s">
        <v>134</v>
      </c>
    </row>
    <row r="367" customFormat="false" ht="15" hidden="false" customHeight="false" outlineLevel="0" collapsed="false">
      <c r="A367" s="13" t="s">
        <v>580</v>
      </c>
      <c r="B367" s="14" t="n">
        <v>42235</v>
      </c>
      <c r="C367" s="14"/>
      <c r="D367" s="13" t="n">
        <v>37</v>
      </c>
      <c r="E367" s="13" t="s">
        <v>144</v>
      </c>
      <c r="F367" s="13" t="s">
        <v>161</v>
      </c>
      <c r="G367" s="13" t="s">
        <v>138</v>
      </c>
      <c r="H367" s="13" t="s">
        <v>156</v>
      </c>
      <c r="I367" s="13" t="n">
        <v>3</v>
      </c>
      <c r="J367" s="13" t="n">
        <v>2</v>
      </c>
      <c r="K367" s="13" t="n">
        <v>106000</v>
      </c>
      <c r="L367" s="13"/>
      <c r="M367" s="13"/>
      <c r="N367" s="13" t="s">
        <v>142</v>
      </c>
    </row>
    <row r="368" customFormat="false" ht="15" hidden="false" customHeight="false" outlineLevel="0" collapsed="false">
      <c r="A368" s="13" t="s">
        <v>581</v>
      </c>
      <c r="B368" s="14" t="n">
        <v>42238</v>
      </c>
      <c r="C368" s="14"/>
      <c r="D368" s="13" t="n">
        <v>32</v>
      </c>
      <c r="E368" s="13" t="s">
        <v>144</v>
      </c>
      <c r="F368" s="13" t="s">
        <v>145</v>
      </c>
      <c r="G368" s="13" t="s">
        <v>148</v>
      </c>
      <c r="H368" s="13" t="s">
        <v>139</v>
      </c>
      <c r="I368" s="13" t="n">
        <v>1</v>
      </c>
      <c r="J368" s="13"/>
      <c r="K368" s="13" t="n">
        <v>45000</v>
      </c>
      <c r="L368" s="13"/>
      <c r="M368" s="13"/>
      <c r="N368" s="13" t="s">
        <v>134</v>
      </c>
    </row>
    <row r="369" customFormat="false" ht="15" hidden="false" customHeight="false" outlineLevel="0" collapsed="false">
      <c r="A369" s="13" t="s">
        <v>582</v>
      </c>
      <c r="B369" s="14" t="n">
        <v>42252</v>
      </c>
      <c r="C369" s="14"/>
      <c r="D369" s="13" t="n">
        <v>40</v>
      </c>
      <c r="E369" s="13" t="s">
        <v>259</v>
      </c>
      <c r="F369" s="13" t="s">
        <v>241</v>
      </c>
      <c r="G369" s="13" t="s">
        <v>213</v>
      </c>
      <c r="H369" s="13" t="s">
        <v>146</v>
      </c>
      <c r="I369" s="13" t="n">
        <v>3</v>
      </c>
      <c r="J369" s="13" t="n">
        <v>3</v>
      </c>
      <c r="K369" s="13" t="n">
        <v>73500</v>
      </c>
      <c r="L369" s="13"/>
      <c r="M369" s="13"/>
      <c r="N369" s="13" t="s">
        <v>157</v>
      </c>
    </row>
    <row r="370" customFormat="false" ht="15" hidden="false" customHeight="false" outlineLevel="0" collapsed="false">
      <c r="A370" s="13" t="s">
        <v>583</v>
      </c>
      <c r="B370" s="14" t="n">
        <v>42255</v>
      </c>
      <c r="C370" s="14"/>
      <c r="D370" s="13" t="n">
        <v>37</v>
      </c>
      <c r="E370" s="13" t="s">
        <v>136</v>
      </c>
      <c r="F370" s="13" t="s">
        <v>154</v>
      </c>
      <c r="G370" s="13" t="s">
        <v>132</v>
      </c>
      <c r="H370" s="13" t="s">
        <v>139</v>
      </c>
      <c r="I370" s="13" t="n">
        <v>4</v>
      </c>
      <c r="J370" s="13" t="n">
        <v>2</v>
      </c>
      <c r="K370" s="13" t="n">
        <v>47500</v>
      </c>
      <c r="L370" s="13"/>
      <c r="M370" s="13"/>
      <c r="N370" s="13" t="s">
        <v>142</v>
      </c>
    </row>
    <row r="371" customFormat="false" ht="15" hidden="false" customHeight="false" outlineLevel="0" collapsed="false">
      <c r="A371" s="13" t="s">
        <v>584</v>
      </c>
      <c r="B371" s="14" t="n">
        <v>42257</v>
      </c>
      <c r="C371" s="14"/>
      <c r="D371" s="13" t="n">
        <v>48</v>
      </c>
      <c r="E371" s="13" t="s">
        <v>144</v>
      </c>
      <c r="F371" s="13" t="s">
        <v>154</v>
      </c>
      <c r="G371" s="13" t="s">
        <v>213</v>
      </c>
      <c r="H371" s="13" t="s">
        <v>178</v>
      </c>
      <c r="I371" s="13" t="n">
        <v>3</v>
      </c>
      <c r="J371" s="13" t="n">
        <v>1</v>
      </c>
      <c r="K371" s="13" t="n">
        <v>149000</v>
      </c>
      <c r="L371" s="13"/>
      <c r="M371" s="13"/>
      <c r="N371" s="13" t="s">
        <v>142</v>
      </c>
    </row>
    <row r="372" customFormat="false" ht="15" hidden="false" customHeight="false" outlineLevel="0" collapsed="false">
      <c r="A372" s="13" t="s">
        <v>585</v>
      </c>
      <c r="B372" s="14" t="n">
        <v>42259</v>
      </c>
      <c r="C372" s="14" t="n">
        <v>45337</v>
      </c>
      <c r="D372" s="13" t="n">
        <v>42</v>
      </c>
      <c r="E372" s="13" t="s">
        <v>144</v>
      </c>
      <c r="F372" s="13" t="s">
        <v>168</v>
      </c>
      <c r="G372" s="13" t="s">
        <v>138</v>
      </c>
      <c r="H372" s="13" t="s">
        <v>149</v>
      </c>
      <c r="I372" s="13" t="n">
        <v>2</v>
      </c>
      <c r="J372" s="13" t="n">
        <v>4</v>
      </c>
      <c r="K372" s="13" t="n">
        <v>123000</v>
      </c>
      <c r="L372" s="13" t="s">
        <v>151</v>
      </c>
      <c r="M372" s="13" t="s">
        <v>141</v>
      </c>
      <c r="N372" s="13" t="s">
        <v>214</v>
      </c>
    </row>
    <row r="373" customFormat="false" ht="15" hidden="false" customHeight="false" outlineLevel="0" collapsed="false">
      <c r="A373" s="13" t="s">
        <v>586</v>
      </c>
      <c r="B373" s="14" t="n">
        <v>42261</v>
      </c>
      <c r="C373" s="14" t="n">
        <v>45327</v>
      </c>
      <c r="D373" s="13" t="n">
        <v>34</v>
      </c>
      <c r="E373" s="13" t="s">
        <v>144</v>
      </c>
      <c r="F373" s="13" t="s">
        <v>145</v>
      </c>
      <c r="G373" s="13" t="s">
        <v>279</v>
      </c>
      <c r="H373" s="13" t="s">
        <v>149</v>
      </c>
      <c r="I373" s="13" t="n">
        <v>3</v>
      </c>
      <c r="J373" s="13" t="n">
        <v>3</v>
      </c>
      <c r="K373" s="13" t="n">
        <v>114500</v>
      </c>
      <c r="L373" s="13" t="s">
        <v>151</v>
      </c>
      <c r="M373" s="13" t="s">
        <v>201</v>
      </c>
      <c r="N373" s="13" t="s">
        <v>157</v>
      </c>
    </row>
    <row r="374" customFormat="false" ht="15" hidden="false" customHeight="false" outlineLevel="0" collapsed="false">
      <c r="A374" s="13" t="s">
        <v>587</v>
      </c>
      <c r="B374" s="14" t="n">
        <v>42263</v>
      </c>
      <c r="C374" s="14"/>
      <c r="D374" s="13" t="n">
        <v>37</v>
      </c>
      <c r="E374" s="13" t="s">
        <v>130</v>
      </c>
      <c r="F374" s="13" t="s">
        <v>229</v>
      </c>
      <c r="G374" s="13" t="s">
        <v>155</v>
      </c>
      <c r="H374" s="13" t="s">
        <v>149</v>
      </c>
      <c r="I374" s="13" t="n">
        <v>2</v>
      </c>
      <c r="J374" s="13" t="n">
        <v>3</v>
      </c>
      <c r="K374" s="13" t="n">
        <v>118000</v>
      </c>
      <c r="L374" s="13"/>
      <c r="M374" s="13"/>
      <c r="N374" s="13" t="s">
        <v>142</v>
      </c>
    </row>
    <row r="375" customFormat="false" ht="15" hidden="false" customHeight="false" outlineLevel="0" collapsed="false">
      <c r="A375" s="13" t="s">
        <v>588</v>
      </c>
      <c r="B375" s="14" t="n">
        <v>42270</v>
      </c>
      <c r="C375" s="14"/>
      <c r="D375" s="13" t="n">
        <v>37</v>
      </c>
      <c r="E375" s="13" t="s">
        <v>136</v>
      </c>
      <c r="F375" s="13" t="s">
        <v>168</v>
      </c>
      <c r="G375" s="13" t="s">
        <v>148</v>
      </c>
      <c r="H375" s="13" t="s">
        <v>219</v>
      </c>
      <c r="I375" s="13" t="n">
        <v>3</v>
      </c>
      <c r="J375" s="13" t="n">
        <v>3</v>
      </c>
      <c r="K375" s="13" t="n">
        <v>39500</v>
      </c>
      <c r="L375" s="13"/>
      <c r="M375" s="13"/>
      <c r="N375" s="13" t="s">
        <v>134</v>
      </c>
    </row>
    <row r="376" customFormat="false" ht="15" hidden="false" customHeight="false" outlineLevel="0" collapsed="false">
      <c r="A376" s="13" t="s">
        <v>589</v>
      </c>
      <c r="B376" s="14" t="n">
        <v>42281</v>
      </c>
      <c r="C376" s="14"/>
      <c r="D376" s="13" t="n">
        <v>35</v>
      </c>
      <c r="E376" s="13" t="s">
        <v>144</v>
      </c>
      <c r="F376" s="13" t="s">
        <v>168</v>
      </c>
      <c r="G376" s="13" t="s">
        <v>138</v>
      </c>
      <c r="H376" s="13" t="s">
        <v>156</v>
      </c>
      <c r="I376" s="13"/>
      <c r="J376" s="13" t="n">
        <v>3</v>
      </c>
      <c r="K376" s="13" t="n">
        <v>100000</v>
      </c>
      <c r="L376" s="13"/>
      <c r="M376" s="13"/>
      <c r="N376" s="13" t="s">
        <v>142</v>
      </c>
    </row>
    <row r="377" customFormat="false" ht="15" hidden="false" customHeight="false" outlineLevel="0" collapsed="false">
      <c r="A377" s="13" t="s">
        <v>590</v>
      </c>
      <c r="B377" s="14" t="n">
        <v>42283</v>
      </c>
      <c r="C377" s="14" t="n">
        <v>44602</v>
      </c>
      <c r="D377" s="13" t="n">
        <v>40</v>
      </c>
      <c r="E377" s="13" t="s">
        <v>136</v>
      </c>
      <c r="F377" s="13" t="s">
        <v>170</v>
      </c>
      <c r="G377" s="13" t="s">
        <v>330</v>
      </c>
      <c r="H377" s="13" t="s">
        <v>139</v>
      </c>
      <c r="I377" s="13" t="n">
        <v>4</v>
      </c>
      <c r="J377" s="13" t="n">
        <v>1</v>
      </c>
      <c r="K377" s="13" t="n">
        <v>40500</v>
      </c>
      <c r="L377" s="13" t="s">
        <v>151</v>
      </c>
      <c r="M377" s="13" t="s">
        <v>201</v>
      </c>
      <c r="N377" s="13" t="s">
        <v>134</v>
      </c>
    </row>
    <row r="378" customFormat="false" ht="15" hidden="false" customHeight="false" outlineLevel="0" collapsed="false">
      <c r="A378" s="13" t="s">
        <v>591</v>
      </c>
      <c r="B378" s="14" t="n">
        <v>42285</v>
      </c>
      <c r="C378" s="14" t="n">
        <v>44659</v>
      </c>
      <c r="D378" s="13" t="n">
        <v>33</v>
      </c>
      <c r="E378" s="13" t="s">
        <v>136</v>
      </c>
      <c r="F378" s="13" t="s">
        <v>164</v>
      </c>
      <c r="G378" s="13" t="s">
        <v>171</v>
      </c>
      <c r="H378" s="13" t="s">
        <v>242</v>
      </c>
      <c r="I378" s="13" t="n">
        <v>3</v>
      </c>
      <c r="J378" s="13" t="n">
        <v>1</v>
      </c>
      <c r="K378" s="13" t="n">
        <v>107000</v>
      </c>
      <c r="L378" s="13" t="s">
        <v>151</v>
      </c>
      <c r="M378" s="13" t="s">
        <v>203</v>
      </c>
      <c r="N378" s="13" t="s">
        <v>134</v>
      </c>
    </row>
    <row r="379" customFormat="false" ht="15" hidden="false" customHeight="false" outlineLevel="0" collapsed="false">
      <c r="A379" s="13" t="s">
        <v>592</v>
      </c>
      <c r="B379" s="14" t="n">
        <v>42286</v>
      </c>
      <c r="C379" s="14" t="n">
        <v>45408</v>
      </c>
      <c r="D379" s="13" t="n">
        <v>30</v>
      </c>
      <c r="E379" s="13" t="s">
        <v>136</v>
      </c>
      <c r="F379" s="13" t="s">
        <v>168</v>
      </c>
      <c r="G379" s="13" t="s">
        <v>138</v>
      </c>
      <c r="H379" s="13" t="s">
        <v>139</v>
      </c>
      <c r="I379" s="13" t="n">
        <v>2</v>
      </c>
      <c r="J379" s="13" t="n">
        <v>3</v>
      </c>
      <c r="K379" s="13" t="n">
        <v>52500</v>
      </c>
      <c r="L379" s="13" t="s">
        <v>151</v>
      </c>
      <c r="M379" s="13" t="s">
        <v>203</v>
      </c>
      <c r="N379" s="13" t="s">
        <v>134</v>
      </c>
    </row>
    <row r="380" customFormat="false" ht="15" hidden="false" customHeight="false" outlineLevel="0" collapsed="false">
      <c r="A380" s="13" t="s">
        <v>593</v>
      </c>
      <c r="B380" s="14" t="n">
        <v>42287</v>
      </c>
      <c r="C380" s="14"/>
      <c r="D380" s="13" t="n">
        <v>37</v>
      </c>
      <c r="E380" s="13" t="s">
        <v>144</v>
      </c>
      <c r="F380" s="13" t="s">
        <v>170</v>
      </c>
      <c r="G380" s="13" t="s">
        <v>148</v>
      </c>
      <c r="H380" s="13" t="s">
        <v>139</v>
      </c>
      <c r="I380" s="13" t="n">
        <v>4</v>
      </c>
      <c r="J380" s="13" t="n">
        <v>2</v>
      </c>
      <c r="K380" s="13" t="n">
        <v>49500</v>
      </c>
      <c r="L380" s="13"/>
      <c r="M380" s="13"/>
      <c r="N380" s="13" t="s">
        <v>142</v>
      </c>
    </row>
    <row r="381" customFormat="false" ht="15" hidden="false" customHeight="false" outlineLevel="0" collapsed="false">
      <c r="A381" s="13" t="s">
        <v>594</v>
      </c>
      <c r="B381" s="14" t="n">
        <v>42288</v>
      </c>
      <c r="C381" s="14"/>
      <c r="D381" s="13" t="n">
        <v>31</v>
      </c>
      <c r="E381" s="13" t="s">
        <v>136</v>
      </c>
      <c r="F381" s="13" t="s">
        <v>137</v>
      </c>
      <c r="G381" s="13" t="s">
        <v>132</v>
      </c>
      <c r="H381" s="13" t="s">
        <v>139</v>
      </c>
      <c r="I381" s="13" t="n">
        <v>4</v>
      </c>
      <c r="J381" s="13" t="n">
        <v>4</v>
      </c>
      <c r="K381" s="13" t="n">
        <v>42500</v>
      </c>
      <c r="L381" s="13"/>
      <c r="M381" s="13"/>
      <c r="N381" s="13" t="s">
        <v>142</v>
      </c>
    </row>
    <row r="382" customFormat="false" ht="15" hidden="false" customHeight="false" outlineLevel="0" collapsed="false">
      <c r="A382" s="13" t="s">
        <v>595</v>
      </c>
      <c r="B382" s="14" t="n">
        <v>42289</v>
      </c>
      <c r="C382" s="14"/>
      <c r="D382" s="13" t="n">
        <v>39</v>
      </c>
      <c r="E382" s="13" t="s">
        <v>136</v>
      </c>
      <c r="F382" s="13" t="s">
        <v>170</v>
      </c>
      <c r="G382" s="13" t="s">
        <v>148</v>
      </c>
      <c r="H382" s="13" t="s">
        <v>156</v>
      </c>
      <c r="I382" s="13" t="n">
        <v>4</v>
      </c>
      <c r="J382" s="13" t="n">
        <v>2</v>
      </c>
      <c r="K382" s="13" t="n">
        <v>95000</v>
      </c>
      <c r="L382" s="13"/>
      <c r="M382" s="13"/>
      <c r="N382" s="13" t="s">
        <v>134</v>
      </c>
    </row>
    <row r="383" customFormat="false" ht="15" hidden="false" customHeight="false" outlineLevel="0" collapsed="false">
      <c r="A383" s="13" t="s">
        <v>596</v>
      </c>
      <c r="B383" s="14" t="n">
        <v>42295</v>
      </c>
      <c r="C383" s="14"/>
      <c r="D383" s="13" t="n">
        <v>42</v>
      </c>
      <c r="E383" s="13" t="s">
        <v>136</v>
      </c>
      <c r="F383" s="13" t="s">
        <v>229</v>
      </c>
      <c r="G383" s="13" t="s">
        <v>155</v>
      </c>
      <c r="H383" s="13" t="s">
        <v>139</v>
      </c>
      <c r="I383" s="13"/>
      <c r="J383" s="13" t="n">
        <v>3</v>
      </c>
      <c r="K383" s="13" t="n">
        <v>39500</v>
      </c>
      <c r="L383" s="13"/>
      <c r="M383" s="13"/>
      <c r="N383" s="13" t="s">
        <v>142</v>
      </c>
    </row>
    <row r="384" customFormat="false" ht="15" hidden="false" customHeight="false" outlineLevel="0" collapsed="false">
      <c r="A384" s="13" t="s">
        <v>597</v>
      </c>
      <c r="B384" s="14" t="n">
        <v>42299</v>
      </c>
      <c r="C384" s="14" t="n">
        <v>45274</v>
      </c>
      <c r="D384" s="13" t="n">
        <v>35</v>
      </c>
      <c r="E384" s="13" t="s">
        <v>136</v>
      </c>
      <c r="F384" s="13" t="s">
        <v>170</v>
      </c>
      <c r="G384" s="13" t="s">
        <v>138</v>
      </c>
      <c r="H384" s="13" t="s">
        <v>146</v>
      </c>
      <c r="I384" s="13" t="n">
        <v>3</v>
      </c>
      <c r="J384" s="13" t="n">
        <v>1</v>
      </c>
      <c r="K384" s="13" t="n">
        <v>64500</v>
      </c>
      <c r="L384" s="13" t="s">
        <v>173</v>
      </c>
      <c r="M384" s="13" t="s">
        <v>254</v>
      </c>
      <c r="N384" s="13" t="s">
        <v>134</v>
      </c>
    </row>
    <row r="385" customFormat="false" ht="15" hidden="false" customHeight="false" outlineLevel="0" collapsed="false">
      <c r="A385" s="13" t="s">
        <v>598</v>
      </c>
      <c r="B385" s="14" t="n">
        <v>42300</v>
      </c>
      <c r="C385" s="14"/>
      <c r="D385" s="13" t="n">
        <v>31</v>
      </c>
      <c r="E385" s="13" t="s">
        <v>130</v>
      </c>
      <c r="F385" s="13" t="s">
        <v>170</v>
      </c>
      <c r="G385" s="13" t="s">
        <v>155</v>
      </c>
      <c r="H385" s="13" t="s">
        <v>146</v>
      </c>
      <c r="I385" s="13" t="n">
        <v>4</v>
      </c>
      <c r="J385" s="13" t="n">
        <v>2</v>
      </c>
      <c r="K385" s="13" t="n">
        <v>88000</v>
      </c>
      <c r="L385" s="13"/>
      <c r="M385" s="13"/>
      <c r="N385" s="13" t="s">
        <v>214</v>
      </c>
    </row>
    <row r="386" customFormat="false" ht="15" hidden="false" customHeight="false" outlineLevel="0" collapsed="false">
      <c r="A386" s="13" t="s">
        <v>599</v>
      </c>
      <c r="B386" s="14" t="n">
        <v>42303</v>
      </c>
      <c r="C386" s="14"/>
      <c r="D386" s="13" t="n">
        <v>37</v>
      </c>
      <c r="E386" s="13" t="s">
        <v>144</v>
      </c>
      <c r="F386" s="13" t="s">
        <v>170</v>
      </c>
      <c r="G386" s="13" t="s">
        <v>155</v>
      </c>
      <c r="H386" s="13" t="s">
        <v>192</v>
      </c>
      <c r="I386" s="13" t="n">
        <v>3</v>
      </c>
      <c r="J386" s="13" t="n">
        <v>1</v>
      </c>
      <c r="K386" s="13" t="n">
        <v>216000</v>
      </c>
      <c r="L386" s="13"/>
      <c r="M386" s="13"/>
      <c r="N386" s="13" t="s">
        <v>142</v>
      </c>
    </row>
    <row r="387" customFormat="false" ht="15" hidden="false" customHeight="false" outlineLevel="0" collapsed="false">
      <c r="A387" s="13" t="s">
        <v>600</v>
      </c>
      <c r="B387" s="14" t="n">
        <v>42311</v>
      </c>
      <c r="C387" s="14"/>
      <c r="D387" s="13" t="n">
        <v>43</v>
      </c>
      <c r="E387" s="13" t="s">
        <v>144</v>
      </c>
      <c r="F387" s="13" t="s">
        <v>131</v>
      </c>
      <c r="G387" s="13" t="s">
        <v>191</v>
      </c>
      <c r="H387" s="13" t="s">
        <v>149</v>
      </c>
      <c r="I387" s="13" t="n">
        <v>3</v>
      </c>
      <c r="J387" s="13" t="n">
        <v>4</v>
      </c>
      <c r="K387" s="13" t="n">
        <v>105000</v>
      </c>
      <c r="L387" s="13"/>
      <c r="M387" s="13"/>
      <c r="N387" s="13" t="s">
        <v>142</v>
      </c>
    </row>
    <row r="388" customFormat="false" ht="15" hidden="false" customHeight="false" outlineLevel="0" collapsed="false">
      <c r="A388" s="13" t="s">
        <v>601</v>
      </c>
      <c r="B388" s="14" t="n">
        <v>42312</v>
      </c>
      <c r="C388" s="14" t="n">
        <v>45673</v>
      </c>
      <c r="D388" s="13" t="n">
        <v>38</v>
      </c>
      <c r="E388" s="13" t="s">
        <v>144</v>
      </c>
      <c r="F388" s="13" t="s">
        <v>137</v>
      </c>
      <c r="G388" s="13" t="s">
        <v>191</v>
      </c>
      <c r="H388" s="13" t="s">
        <v>156</v>
      </c>
      <c r="I388" s="13" t="n">
        <v>2</v>
      </c>
      <c r="J388" s="13" t="n">
        <v>1</v>
      </c>
      <c r="K388" s="13" t="n">
        <v>117000</v>
      </c>
      <c r="L388" s="13" t="s">
        <v>173</v>
      </c>
      <c r="M388" s="13" t="s">
        <v>310</v>
      </c>
      <c r="N388" s="13" t="s">
        <v>142</v>
      </c>
    </row>
    <row r="389" customFormat="false" ht="15" hidden="false" customHeight="false" outlineLevel="0" collapsed="false">
      <c r="A389" s="13" t="s">
        <v>602</v>
      </c>
      <c r="B389" s="14" t="n">
        <v>42313</v>
      </c>
      <c r="C389" s="14"/>
      <c r="D389" s="13" t="n">
        <v>31</v>
      </c>
      <c r="E389" s="13" t="s">
        <v>136</v>
      </c>
      <c r="F389" s="13" t="s">
        <v>131</v>
      </c>
      <c r="G389" s="13" t="s">
        <v>191</v>
      </c>
      <c r="H389" s="13" t="s">
        <v>149</v>
      </c>
      <c r="I389" s="13" t="n">
        <v>3</v>
      </c>
      <c r="J389" s="13" t="n">
        <v>4</v>
      </c>
      <c r="K389" s="13" t="n">
        <v>117500</v>
      </c>
      <c r="L389" s="13"/>
      <c r="M389" s="13"/>
      <c r="N389" s="13" t="s">
        <v>142</v>
      </c>
    </row>
    <row r="390" customFormat="false" ht="15" hidden="false" customHeight="false" outlineLevel="0" collapsed="false">
      <c r="A390" s="13" t="s">
        <v>603</v>
      </c>
      <c r="B390" s="14" t="n">
        <v>42314</v>
      </c>
      <c r="C390" s="14" t="n">
        <v>45260</v>
      </c>
      <c r="D390" s="13" t="n">
        <v>31</v>
      </c>
      <c r="E390" s="13" t="s">
        <v>190</v>
      </c>
      <c r="F390" s="13" t="s">
        <v>161</v>
      </c>
      <c r="G390" s="13" t="s">
        <v>191</v>
      </c>
      <c r="H390" s="13" t="s">
        <v>139</v>
      </c>
      <c r="I390" s="13" t="n">
        <v>2</v>
      </c>
      <c r="J390" s="13" t="n">
        <v>4</v>
      </c>
      <c r="K390" s="13" t="n">
        <v>55500</v>
      </c>
      <c r="L390" s="13" t="s">
        <v>173</v>
      </c>
      <c r="M390" s="13" t="s">
        <v>254</v>
      </c>
      <c r="N390" s="13" t="s">
        <v>142</v>
      </c>
    </row>
    <row r="391" customFormat="false" ht="15" hidden="false" customHeight="false" outlineLevel="0" collapsed="false">
      <c r="A391" s="13" t="s">
        <v>604</v>
      </c>
      <c r="B391" s="14" t="n">
        <v>42315</v>
      </c>
      <c r="C391" s="14"/>
      <c r="D391" s="13" t="n">
        <v>39</v>
      </c>
      <c r="E391" s="13" t="s">
        <v>136</v>
      </c>
      <c r="F391" s="13" t="s">
        <v>168</v>
      </c>
      <c r="G391" s="13" t="s">
        <v>213</v>
      </c>
      <c r="H391" s="13" t="s">
        <v>133</v>
      </c>
      <c r="I391" s="13" t="n">
        <v>3</v>
      </c>
      <c r="J391" s="13" t="n">
        <v>3</v>
      </c>
      <c r="K391" s="13" t="n">
        <v>79500</v>
      </c>
      <c r="L391" s="13"/>
      <c r="M391" s="13"/>
      <c r="N391" s="13" t="s">
        <v>142</v>
      </c>
    </row>
    <row r="392" customFormat="false" ht="15" hidden="false" customHeight="false" outlineLevel="0" collapsed="false">
      <c r="A392" s="13" t="s">
        <v>605</v>
      </c>
      <c r="B392" s="14" t="n">
        <v>42320</v>
      </c>
      <c r="C392" s="14"/>
      <c r="D392" s="13" t="n">
        <v>39</v>
      </c>
      <c r="E392" s="13" t="s">
        <v>136</v>
      </c>
      <c r="F392" s="13" t="s">
        <v>137</v>
      </c>
      <c r="G392" s="13" t="s">
        <v>191</v>
      </c>
      <c r="H392" s="13" t="s">
        <v>146</v>
      </c>
      <c r="I392" s="13" t="n">
        <v>4</v>
      </c>
      <c r="J392" s="13" t="n">
        <v>2</v>
      </c>
      <c r="K392" s="13" t="n">
        <v>79000</v>
      </c>
      <c r="L392" s="13"/>
      <c r="M392" s="13"/>
      <c r="N392" s="13" t="s">
        <v>134</v>
      </c>
    </row>
    <row r="393" customFormat="false" ht="15" hidden="false" customHeight="false" outlineLevel="0" collapsed="false">
      <c r="A393" s="13" t="s">
        <v>606</v>
      </c>
      <c r="B393" s="14" t="n">
        <v>42323</v>
      </c>
      <c r="C393" s="14"/>
      <c r="D393" s="13" t="n">
        <v>40</v>
      </c>
      <c r="E393" s="13" t="s">
        <v>136</v>
      </c>
      <c r="F393" s="13" t="s">
        <v>164</v>
      </c>
      <c r="G393" s="13" t="s">
        <v>155</v>
      </c>
      <c r="H393" s="13" t="s">
        <v>156</v>
      </c>
      <c r="I393" s="13" t="n">
        <v>4</v>
      </c>
      <c r="J393" s="13" t="n">
        <v>3</v>
      </c>
      <c r="K393" s="13" t="n">
        <v>118000</v>
      </c>
      <c r="L393" s="13"/>
      <c r="M393" s="13"/>
      <c r="N393" s="13" t="s">
        <v>142</v>
      </c>
    </row>
    <row r="394" customFormat="false" ht="15" hidden="false" customHeight="false" outlineLevel="0" collapsed="false">
      <c r="A394" s="13" t="s">
        <v>607</v>
      </c>
      <c r="B394" s="14" t="n">
        <v>42326</v>
      </c>
      <c r="C394" s="14" t="n">
        <v>44699</v>
      </c>
      <c r="D394" s="13" t="n">
        <v>31</v>
      </c>
      <c r="E394" s="13" t="s">
        <v>136</v>
      </c>
      <c r="F394" s="13" t="s">
        <v>154</v>
      </c>
      <c r="G394" s="13" t="s">
        <v>148</v>
      </c>
      <c r="H394" s="13" t="s">
        <v>139</v>
      </c>
      <c r="I394" s="13" t="n">
        <v>2</v>
      </c>
      <c r="J394" s="13" t="n">
        <v>1</v>
      </c>
      <c r="K394" s="13" t="n">
        <v>47000</v>
      </c>
      <c r="L394" s="13" t="s">
        <v>200</v>
      </c>
      <c r="M394" s="13" t="s">
        <v>216</v>
      </c>
      <c r="N394" s="13" t="s">
        <v>134</v>
      </c>
    </row>
    <row r="395" customFormat="false" ht="15" hidden="false" customHeight="false" outlineLevel="0" collapsed="false">
      <c r="A395" s="13" t="s">
        <v>608</v>
      </c>
      <c r="B395" s="14" t="n">
        <v>42330</v>
      </c>
      <c r="C395" s="14"/>
      <c r="D395" s="13" t="n">
        <v>31</v>
      </c>
      <c r="E395" s="13" t="s">
        <v>136</v>
      </c>
      <c r="F395" s="13" t="s">
        <v>229</v>
      </c>
      <c r="G395" s="13" t="s">
        <v>297</v>
      </c>
      <c r="H395" s="13" t="s">
        <v>192</v>
      </c>
      <c r="I395" s="13" t="n">
        <v>3</v>
      </c>
      <c r="J395" s="13" t="n">
        <v>1</v>
      </c>
      <c r="K395" s="13" t="n">
        <v>209000</v>
      </c>
      <c r="L395" s="13"/>
      <c r="M395" s="13"/>
      <c r="N395" s="13" t="s">
        <v>134</v>
      </c>
    </row>
    <row r="396" customFormat="false" ht="15" hidden="false" customHeight="false" outlineLevel="0" collapsed="false">
      <c r="A396" s="13" t="s">
        <v>609</v>
      </c>
      <c r="B396" s="14" t="n">
        <v>42332</v>
      </c>
      <c r="C396" s="14"/>
      <c r="D396" s="13" t="n">
        <v>37</v>
      </c>
      <c r="E396" s="13" t="s">
        <v>144</v>
      </c>
      <c r="F396" s="13" t="s">
        <v>168</v>
      </c>
      <c r="G396" s="13" t="s">
        <v>138</v>
      </c>
      <c r="H396" s="13" t="s">
        <v>146</v>
      </c>
      <c r="I396" s="13" t="n">
        <v>4</v>
      </c>
      <c r="J396" s="13" t="n">
        <v>1</v>
      </c>
      <c r="K396" s="13" t="n">
        <v>72500</v>
      </c>
      <c r="L396" s="13"/>
      <c r="M396" s="13"/>
      <c r="N396" s="13" t="s">
        <v>142</v>
      </c>
    </row>
    <row r="397" customFormat="false" ht="15" hidden="false" customHeight="false" outlineLevel="0" collapsed="false">
      <c r="A397" s="13" t="s">
        <v>610</v>
      </c>
      <c r="B397" s="14" t="n">
        <v>42334</v>
      </c>
      <c r="C397" s="14"/>
      <c r="D397" s="13" t="n">
        <v>46</v>
      </c>
      <c r="E397" s="13" t="s">
        <v>136</v>
      </c>
      <c r="F397" s="13" t="s">
        <v>231</v>
      </c>
      <c r="G397" s="13" t="s">
        <v>171</v>
      </c>
      <c r="H397" s="13" t="s">
        <v>178</v>
      </c>
      <c r="I397" s="13" t="n">
        <v>5</v>
      </c>
      <c r="J397" s="13"/>
      <c r="K397" s="13" t="n">
        <v>189500</v>
      </c>
      <c r="L397" s="13"/>
      <c r="M397" s="13"/>
      <c r="N397" s="13" t="s">
        <v>142</v>
      </c>
    </row>
    <row r="398" customFormat="false" ht="15" hidden="false" customHeight="false" outlineLevel="0" collapsed="false">
      <c r="A398" s="13" t="s">
        <v>611</v>
      </c>
      <c r="B398" s="14" t="n">
        <v>42335</v>
      </c>
      <c r="C398" s="14"/>
      <c r="D398" s="13" t="n">
        <v>43</v>
      </c>
      <c r="E398" s="13" t="s">
        <v>136</v>
      </c>
      <c r="F398" s="13" t="s">
        <v>154</v>
      </c>
      <c r="G398" s="13" t="s">
        <v>138</v>
      </c>
      <c r="H398" s="13" t="s">
        <v>178</v>
      </c>
      <c r="I398" s="13" t="n">
        <v>4</v>
      </c>
      <c r="J398" s="13" t="n">
        <v>1</v>
      </c>
      <c r="K398" s="13" t="n">
        <v>179000</v>
      </c>
      <c r="L398" s="13"/>
      <c r="M398" s="13"/>
      <c r="N398" s="13" t="s">
        <v>142</v>
      </c>
    </row>
    <row r="399" customFormat="false" ht="15" hidden="false" customHeight="false" outlineLevel="0" collapsed="false">
      <c r="A399" s="13" t="s">
        <v>612</v>
      </c>
      <c r="B399" s="14" t="n">
        <v>42344</v>
      </c>
      <c r="C399" s="14"/>
      <c r="D399" s="13" t="n">
        <v>31</v>
      </c>
      <c r="E399" s="13" t="s">
        <v>136</v>
      </c>
      <c r="F399" s="13" t="s">
        <v>168</v>
      </c>
      <c r="G399" s="13" t="s">
        <v>191</v>
      </c>
      <c r="H399" s="13" t="s">
        <v>146</v>
      </c>
      <c r="I399" s="13" t="n">
        <v>3</v>
      </c>
      <c r="J399" s="13" t="n">
        <v>4</v>
      </c>
      <c r="K399" s="13" t="n">
        <v>73000</v>
      </c>
      <c r="L399" s="13"/>
      <c r="M399" s="13"/>
      <c r="N399" s="13" t="s">
        <v>142</v>
      </c>
    </row>
    <row r="400" customFormat="false" ht="15" hidden="false" customHeight="false" outlineLevel="0" collapsed="false">
      <c r="A400" s="13" t="s">
        <v>613</v>
      </c>
      <c r="B400" s="14" t="n">
        <v>42346</v>
      </c>
      <c r="C400" s="14"/>
      <c r="D400" s="13" t="n">
        <v>35</v>
      </c>
      <c r="E400" s="13" t="s">
        <v>136</v>
      </c>
      <c r="F400" s="13" t="s">
        <v>137</v>
      </c>
      <c r="G400" s="13" t="s">
        <v>148</v>
      </c>
      <c r="H400" s="13" t="s">
        <v>139</v>
      </c>
      <c r="I400" s="13" t="n">
        <v>3</v>
      </c>
      <c r="J400" s="13" t="n">
        <v>1</v>
      </c>
      <c r="K400" s="13" t="n">
        <v>47500</v>
      </c>
      <c r="L400" s="13"/>
      <c r="M400" s="13"/>
      <c r="N400" s="13" t="s">
        <v>142</v>
      </c>
    </row>
    <row r="401" customFormat="false" ht="15" hidden="false" customHeight="false" outlineLevel="0" collapsed="false">
      <c r="A401" s="13" t="s">
        <v>614</v>
      </c>
      <c r="B401" s="14" t="n">
        <v>42347</v>
      </c>
      <c r="C401" s="14"/>
      <c r="D401" s="13" t="n">
        <v>35</v>
      </c>
      <c r="E401" s="13" t="s">
        <v>136</v>
      </c>
      <c r="F401" s="13" t="s">
        <v>170</v>
      </c>
      <c r="G401" s="13" t="s">
        <v>224</v>
      </c>
      <c r="H401" s="13" t="s">
        <v>139</v>
      </c>
      <c r="I401" s="13" t="n">
        <v>3</v>
      </c>
      <c r="J401" s="13" t="n">
        <v>3</v>
      </c>
      <c r="K401" s="13" t="n">
        <v>46000</v>
      </c>
      <c r="L401" s="13"/>
      <c r="M401" s="13"/>
      <c r="N401" s="13" t="s">
        <v>142</v>
      </c>
    </row>
    <row r="402" customFormat="false" ht="15" hidden="false" customHeight="false" outlineLevel="0" collapsed="false">
      <c r="A402" s="13" t="s">
        <v>615</v>
      </c>
      <c r="B402" s="14" t="n">
        <v>42348</v>
      </c>
      <c r="C402" s="14"/>
      <c r="D402" s="13" t="n">
        <v>47</v>
      </c>
      <c r="E402" s="13" t="s">
        <v>136</v>
      </c>
      <c r="F402" s="13" t="s">
        <v>154</v>
      </c>
      <c r="G402" s="13" t="s">
        <v>155</v>
      </c>
      <c r="H402" s="13" t="s">
        <v>146</v>
      </c>
      <c r="I402" s="13" t="n">
        <v>3</v>
      </c>
      <c r="J402" s="13" t="n">
        <v>4</v>
      </c>
      <c r="K402" s="13" t="n">
        <v>63500</v>
      </c>
      <c r="L402" s="13"/>
      <c r="M402" s="13"/>
      <c r="N402" s="13" t="s">
        <v>142</v>
      </c>
    </row>
    <row r="403" customFormat="false" ht="15" hidden="false" customHeight="false" outlineLevel="0" collapsed="false">
      <c r="A403" s="13" t="s">
        <v>616</v>
      </c>
      <c r="B403" s="14" t="n">
        <v>42352</v>
      </c>
      <c r="C403" s="14"/>
      <c r="D403" s="13" t="n">
        <v>40</v>
      </c>
      <c r="E403" s="13" t="s">
        <v>136</v>
      </c>
      <c r="F403" s="13" t="s">
        <v>164</v>
      </c>
      <c r="G403" s="13" t="s">
        <v>148</v>
      </c>
      <c r="H403" s="13" t="s">
        <v>149</v>
      </c>
      <c r="I403" s="13" t="n">
        <v>3</v>
      </c>
      <c r="J403" s="13" t="n">
        <v>3</v>
      </c>
      <c r="K403" s="13" t="n">
        <v>122500</v>
      </c>
      <c r="L403" s="13"/>
      <c r="M403" s="13"/>
      <c r="N403" s="13" t="s">
        <v>142</v>
      </c>
    </row>
    <row r="404" customFormat="false" ht="15" hidden="false" customHeight="false" outlineLevel="0" collapsed="false">
      <c r="A404" s="13" t="s">
        <v>617</v>
      </c>
      <c r="B404" s="14" t="n">
        <v>42353</v>
      </c>
      <c r="C404" s="14"/>
      <c r="D404" s="13" t="n">
        <v>31</v>
      </c>
      <c r="E404" s="13" t="s">
        <v>186</v>
      </c>
      <c r="F404" s="13" t="s">
        <v>131</v>
      </c>
      <c r="G404" s="13" t="s">
        <v>155</v>
      </c>
      <c r="H404" s="13" t="s">
        <v>146</v>
      </c>
      <c r="I404" s="13" t="n">
        <v>2</v>
      </c>
      <c r="J404" s="13" t="n">
        <v>4</v>
      </c>
      <c r="K404" s="13" t="n">
        <v>73500</v>
      </c>
      <c r="L404" s="13"/>
      <c r="M404" s="13"/>
      <c r="N404" s="13" t="s">
        <v>142</v>
      </c>
    </row>
    <row r="405" customFormat="false" ht="15" hidden="false" customHeight="false" outlineLevel="0" collapsed="false">
      <c r="A405" s="13" t="s">
        <v>618</v>
      </c>
      <c r="B405" s="14" t="n">
        <v>42358</v>
      </c>
      <c r="C405" s="14"/>
      <c r="D405" s="13" t="n">
        <v>35</v>
      </c>
      <c r="E405" s="13" t="s">
        <v>136</v>
      </c>
      <c r="F405" s="13" t="s">
        <v>154</v>
      </c>
      <c r="G405" s="13" t="s">
        <v>334</v>
      </c>
      <c r="H405" s="13" t="s">
        <v>192</v>
      </c>
      <c r="I405" s="13" t="n">
        <v>3</v>
      </c>
      <c r="J405" s="13" t="n">
        <v>2</v>
      </c>
      <c r="K405" s="13" t="n">
        <v>232500</v>
      </c>
      <c r="L405" s="13"/>
      <c r="M405" s="13"/>
      <c r="N405" s="13" t="s">
        <v>142</v>
      </c>
    </row>
    <row r="406" customFormat="false" ht="15" hidden="false" customHeight="false" outlineLevel="0" collapsed="false">
      <c r="A406" s="13" t="s">
        <v>619</v>
      </c>
      <c r="B406" s="14" t="n">
        <v>42359</v>
      </c>
      <c r="C406" s="14"/>
      <c r="D406" s="13" t="n">
        <v>46</v>
      </c>
      <c r="E406" s="13" t="s">
        <v>259</v>
      </c>
      <c r="F406" s="13" t="s">
        <v>131</v>
      </c>
      <c r="G406" s="13" t="s">
        <v>132</v>
      </c>
      <c r="H406" s="13" t="s">
        <v>246</v>
      </c>
      <c r="I406" s="13" t="n">
        <v>3</v>
      </c>
      <c r="J406" s="13" t="n">
        <v>1</v>
      </c>
      <c r="K406" s="13" t="n">
        <v>159000</v>
      </c>
      <c r="L406" s="13"/>
      <c r="M406" s="13"/>
      <c r="N406" s="13" t="s">
        <v>142</v>
      </c>
    </row>
    <row r="407" customFormat="false" ht="15" hidden="false" customHeight="false" outlineLevel="0" collapsed="false">
      <c r="A407" s="13" t="s">
        <v>620</v>
      </c>
      <c r="B407" s="14" t="n">
        <v>42368</v>
      </c>
      <c r="C407" s="14"/>
      <c r="D407" s="13" t="n">
        <v>42</v>
      </c>
      <c r="E407" s="13" t="s">
        <v>259</v>
      </c>
      <c r="F407" s="13" t="s">
        <v>170</v>
      </c>
      <c r="G407" s="13" t="s">
        <v>184</v>
      </c>
      <c r="H407" s="13" t="s">
        <v>146</v>
      </c>
      <c r="I407" s="13" t="n">
        <v>4</v>
      </c>
      <c r="J407" s="13" t="n">
        <v>3</v>
      </c>
      <c r="K407" s="13" t="n">
        <v>85000</v>
      </c>
      <c r="L407" s="13"/>
      <c r="M407" s="13"/>
      <c r="N407" s="13" t="s">
        <v>134</v>
      </c>
    </row>
    <row r="408" customFormat="false" ht="15" hidden="false" customHeight="false" outlineLevel="0" collapsed="false">
      <c r="A408" s="13" t="s">
        <v>621</v>
      </c>
      <c r="B408" s="14" t="n">
        <v>42369</v>
      </c>
      <c r="C408" s="14"/>
      <c r="D408" s="13" t="n">
        <v>38</v>
      </c>
      <c r="E408" s="13" t="s">
        <v>144</v>
      </c>
      <c r="F408" s="13" t="s">
        <v>168</v>
      </c>
      <c r="G408" s="13" t="s">
        <v>279</v>
      </c>
      <c r="H408" s="13" t="s">
        <v>192</v>
      </c>
      <c r="I408" s="13" t="n">
        <v>4</v>
      </c>
      <c r="J408" s="13" t="n">
        <v>3</v>
      </c>
      <c r="K408" s="13" t="n">
        <v>239000</v>
      </c>
      <c r="L408" s="13"/>
      <c r="M408" s="13"/>
      <c r="N408" s="13" t="s">
        <v>142</v>
      </c>
    </row>
    <row r="409" customFormat="false" ht="15" hidden="false" customHeight="false" outlineLevel="0" collapsed="false">
      <c r="A409" s="13" t="s">
        <v>622</v>
      </c>
      <c r="B409" s="14" t="n">
        <v>42373</v>
      </c>
      <c r="C409" s="14"/>
      <c r="D409" s="13" t="n">
        <v>31</v>
      </c>
      <c r="E409" s="13" t="s">
        <v>190</v>
      </c>
      <c r="F409" s="13" t="s">
        <v>168</v>
      </c>
      <c r="G409" s="13" t="s">
        <v>155</v>
      </c>
      <c r="H409" s="13" t="s">
        <v>156</v>
      </c>
      <c r="I409" s="13" t="n">
        <v>3</v>
      </c>
      <c r="J409" s="13" t="n">
        <v>3</v>
      </c>
      <c r="K409" s="13" t="n">
        <v>103000</v>
      </c>
      <c r="L409" s="13"/>
      <c r="M409" s="13"/>
      <c r="N409" s="13" t="s">
        <v>142</v>
      </c>
    </row>
    <row r="410" customFormat="false" ht="15" hidden="false" customHeight="false" outlineLevel="0" collapsed="false">
      <c r="A410" s="13" t="s">
        <v>623</v>
      </c>
      <c r="B410" s="14" t="n">
        <v>42375</v>
      </c>
      <c r="C410" s="14"/>
      <c r="D410" s="13" t="n">
        <v>31</v>
      </c>
      <c r="E410" s="13" t="s">
        <v>144</v>
      </c>
      <c r="F410" s="13" t="s">
        <v>241</v>
      </c>
      <c r="G410" s="13" t="s">
        <v>132</v>
      </c>
      <c r="H410" s="13" t="s">
        <v>139</v>
      </c>
      <c r="I410" s="13" t="n">
        <v>3</v>
      </c>
      <c r="J410" s="13" t="n">
        <v>2</v>
      </c>
      <c r="K410" s="13" t="n">
        <v>41000</v>
      </c>
      <c r="L410" s="13"/>
      <c r="M410" s="13"/>
      <c r="N410" s="13" t="s">
        <v>157</v>
      </c>
    </row>
    <row r="411" customFormat="false" ht="15" hidden="false" customHeight="false" outlineLevel="0" collapsed="false">
      <c r="A411" s="13" t="s">
        <v>624</v>
      </c>
      <c r="B411" s="14" t="n">
        <v>42376</v>
      </c>
      <c r="C411" s="14"/>
      <c r="D411" s="13" t="n">
        <v>51</v>
      </c>
      <c r="E411" s="13" t="s">
        <v>144</v>
      </c>
      <c r="F411" s="13" t="s">
        <v>131</v>
      </c>
      <c r="G411" s="13" t="s">
        <v>132</v>
      </c>
      <c r="H411" s="13" t="s">
        <v>139</v>
      </c>
      <c r="I411" s="13" t="n">
        <v>4</v>
      </c>
      <c r="J411" s="13" t="n">
        <v>4</v>
      </c>
      <c r="K411" s="13" t="n">
        <v>43000</v>
      </c>
      <c r="L411" s="13"/>
      <c r="M411" s="13"/>
      <c r="N411" s="13" t="s">
        <v>142</v>
      </c>
    </row>
    <row r="412" customFormat="false" ht="15" hidden="false" customHeight="false" outlineLevel="0" collapsed="false">
      <c r="A412" s="13" t="s">
        <v>625</v>
      </c>
      <c r="B412" s="14" t="n">
        <v>42382</v>
      </c>
      <c r="C412" s="14"/>
      <c r="D412" s="13" t="n">
        <v>37</v>
      </c>
      <c r="E412" s="13" t="s">
        <v>144</v>
      </c>
      <c r="F412" s="13" t="s">
        <v>154</v>
      </c>
      <c r="G412" s="13" t="s">
        <v>171</v>
      </c>
      <c r="H412" s="13" t="s">
        <v>146</v>
      </c>
      <c r="I412" s="13" t="n">
        <v>5</v>
      </c>
      <c r="J412" s="13" t="n">
        <v>3</v>
      </c>
      <c r="K412" s="13" t="n">
        <v>70000</v>
      </c>
      <c r="L412" s="13"/>
      <c r="M412" s="13"/>
      <c r="N412" s="13" t="s">
        <v>214</v>
      </c>
    </row>
    <row r="413" customFormat="false" ht="15" hidden="false" customHeight="false" outlineLevel="0" collapsed="false">
      <c r="A413" s="13" t="s">
        <v>626</v>
      </c>
      <c r="B413" s="14" t="n">
        <v>42388</v>
      </c>
      <c r="C413" s="14" t="n">
        <v>45768</v>
      </c>
      <c r="D413" s="13" t="n">
        <v>32</v>
      </c>
      <c r="E413" s="13" t="s">
        <v>136</v>
      </c>
      <c r="F413" s="13" t="s">
        <v>229</v>
      </c>
      <c r="G413" s="13" t="s">
        <v>307</v>
      </c>
      <c r="H413" s="13" t="s">
        <v>146</v>
      </c>
      <c r="I413" s="13" t="n">
        <v>3</v>
      </c>
      <c r="J413" s="13" t="n">
        <v>2</v>
      </c>
      <c r="K413" s="13" t="n">
        <v>77000</v>
      </c>
      <c r="L413" s="13" t="s">
        <v>151</v>
      </c>
      <c r="M413" s="13" t="s">
        <v>206</v>
      </c>
      <c r="N413" s="13" t="s">
        <v>134</v>
      </c>
    </row>
    <row r="414" customFormat="false" ht="15" hidden="false" customHeight="false" outlineLevel="0" collapsed="false">
      <c r="A414" s="13" t="s">
        <v>627</v>
      </c>
      <c r="B414" s="14" t="n">
        <v>42391</v>
      </c>
      <c r="C414" s="14"/>
      <c r="D414" s="13" t="n">
        <v>37</v>
      </c>
      <c r="E414" s="13" t="s">
        <v>144</v>
      </c>
      <c r="F414" s="13" t="s">
        <v>154</v>
      </c>
      <c r="G414" s="13" t="s">
        <v>155</v>
      </c>
      <c r="H414" s="13" t="s">
        <v>139</v>
      </c>
      <c r="I414" s="13" t="n">
        <v>4</v>
      </c>
      <c r="J414" s="13" t="n">
        <v>3</v>
      </c>
      <c r="K414" s="13" t="n">
        <v>56500</v>
      </c>
      <c r="L414" s="13"/>
      <c r="M414" s="13"/>
      <c r="N414" s="13" t="s">
        <v>142</v>
      </c>
    </row>
    <row r="415" customFormat="false" ht="15" hidden="false" customHeight="false" outlineLevel="0" collapsed="false">
      <c r="A415" s="13" t="s">
        <v>628</v>
      </c>
      <c r="B415" s="14" t="n">
        <v>42392</v>
      </c>
      <c r="C415" s="14" t="n">
        <v>44921</v>
      </c>
      <c r="D415" s="13" t="n">
        <v>47</v>
      </c>
      <c r="E415" s="13" t="s">
        <v>136</v>
      </c>
      <c r="F415" s="13" t="s">
        <v>145</v>
      </c>
      <c r="G415" s="13" t="s">
        <v>148</v>
      </c>
      <c r="H415" s="13" t="s">
        <v>178</v>
      </c>
      <c r="I415" s="13" t="n">
        <v>4</v>
      </c>
      <c r="J415" s="13" t="n">
        <v>3</v>
      </c>
      <c r="K415" s="13" t="n">
        <v>148000</v>
      </c>
      <c r="L415" s="13" t="s">
        <v>151</v>
      </c>
      <c r="M415" s="13" t="s">
        <v>216</v>
      </c>
      <c r="N415" s="13" t="s">
        <v>453</v>
      </c>
    </row>
    <row r="416" customFormat="false" ht="15" hidden="false" customHeight="false" outlineLevel="0" collapsed="false">
      <c r="A416" s="13" t="s">
        <v>629</v>
      </c>
      <c r="B416" s="14" t="n">
        <v>42397</v>
      </c>
      <c r="C416" s="14" t="n">
        <v>44786</v>
      </c>
      <c r="D416" s="13" t="n">
        <v>43</v>
      </c>
      <c r="E416" s="13" t="s">
        <v>144</v>
      </c>
      <c r="F416" s="13" t="s">
        <v>154</v>
      </c>
      <c r="G416" s="13" t="s">
        <v>132</v>
      </c>
      <c r="H416" s="13" t="s">
        <v>146</v>
      </c>
      <c r="I416" s="13" t="n">
        <v>4</v>
      </c>
      <c r="J416" s="13" t="n">
        <v>1</v>
      </c>
      <c r="K416" s="13" t="n">
        <v>61500</v>
      </c>
      <c r="L416" s="13" t="s">
        <v>173</v>
      </c>
      <c r="M416" s="13" t="s">
        <v>273</v>
      </c>
      <c r="N416" s="13" t="s">
        <v>134</v>
      </c>
    </row>
    <row r="417" customFormat="false" ht="15" hidden="false" customHeight="false" outlineLevel="0" collapsed="false">
      <c r="A417" s="13" t="s">
        <v>630</v>
      </c>
      <c r="B417" s="14" t="n">
        <v>42397</v>
      </c>
      <c r="C417" s="14" t="n">
        <v>45007</v>
      </c>
      <c r="D417" s="13" t="n">
        <v>40</v>
      </c>
      <c r="E417" s="13" t="s">
        <v>186</v>
      </c>
      <c r="F417" s="13" t="s">
        <v>241</v>
      </c>
      <c r="G417" s="13" t="s">
        <v>297</v>
      </c>
      <c r="H417" s="13" t="s">
        <v>149</v>
      </c>
      <c r="I417" s="13" t="n">
        <v>3</v>
      </c>
      <c r="J417" s="13" t="n">
        <v>1</v>
      </c>
      <c r="K417" s="13" t="n">
        <v>117500</v>
      </c>
      <c r="L417" s="13" t="s">
        <v>200</v>
      </c>
      <c r="M417" s="13" t="s">
        <v>159</v>
      </c>
      <c r="N417" s="13" t="s">
        <v>134</v>
      </c>
    </row>
    <row r="418" customFormat="false" ht="15" hidden="false" customHeight="false" outlineLevel="0" collapsed="false">
      <c r="A418" s="13" t="s">
        <v>631</v>
      </c>
      <c r="B418" s="14" t="n">
        <v>42399</v>
      </c>
      <c r="C418" s="14"/>
      <c r="D418" s="13" t="n">
        <v>36</v>
      </c>
      <c r="E418" s="13" t="s">
        <v>144</v>
      </c>
      <c r="F418" s="13" t="s">
        <v>137</v>
      </c>
      <c r="G418" s="13" t="s">
        <v>138</v>
      </c>
      <c r="H418" s="13" t="s">
        <v>139</v>
      </c>
      <c r="I418" s="13" t="n">
        <v>4</v>
      </c>
      <c r="J418" s="13" t="n">
        <v>1</v>
      </c>
      <c r="K418" s="13" t="n">
        <v>47000</v>
      </c>
      <c r="L418" s="13"/>
      <c r="M418" s="13"/>
      <c r="N418" s="13" t="s">
        <v>142</v>
      </c>
    </row>
    <row r="419" customFormat="false" ht="15" hidden="false" customHeight="false" outlineLevel="0" collapsed="false">
      <c r="A419" s="13" t="s">
        <v>632</v>
      </c>
      <c r="B419" s="14" t="n">
        <v>42399</v>
      </c>
      <c r="C419" s="14" t="n">
        <v>44798</v>
      </c>
      <c r="D419" s="13" t="n">
        <v>40</v>
      </c>
      <c r="E419" s="13" t="s">
        <v>144</v>
      </c>
      <c r="F419" s="13" t="s">
        <v>154</v>
      </c>
      <c r="G419" s="13" t="s">
        <v>132</v>
      </c>
      <c r="H419" s="13" t="s">
        <v>146</v>
      </c>
      <c r="I419" s="13" t="n">
        <v>4</v>
      </c>
      <c r="J419" s="13" t="n">
        <v>3</v>
      </c>
      <c r="K419" s="13" t="n">
        <v>78000</v>
      </c>
      <c r="L419" s="13" t="s">
        <v>151</v>
      </c>
      <c r="M419" s="13" t="s">
        <v>141</v>
      </c>
      <c r="N419" s="13" t="s">
        <v>142</v>
      </c>
    </row>
    <row r="420" customFormat="false" ht="15" hidden="false" customHeight="false" outlineLevel="0" collapsed="false">
      <c r="A420" s="13" t="s">
        <v>633</v>
      </c>
      <c r="B420" s="14" t="n">
        <v>42401</v>
      </c>
      <c r="C420" s="14" t="n">
        <v>44624</v>
      </c>
      <c r="D420" s="13" t="n">
        <v>42</v>
      </c>
      <c r="E420" s="13" t="s">
        <v>259</v>
      </c>
      <c r="F420" s="13" t="s">
        <v>168</v>
      </c>
      <c r="G420" s="13" t="s">
        <v>138</v>
      </c>
      <c r="H420" s="13" t="s">
        <v>411</v>
      </c>
      <c r="I420" s="13" t="n">
        <v>3</v>
      </c>
      <c r="J420" s="13" t="n">
        <v>1</v>
      </c>
      <c r="K420" s="13" t="n">
        <v>70000</v>
      </c>
      <c r="L420" s="13" t="s">
        <v>151</v>
      </c>
      <c r="M420" s="13" t="s">
        <v>159</v>
      </c>
      <c r="N420" s="13" t="s">
        <v>142</v>
      </c>
    </row>
    <row r="421" customFormat="false" ht="15" hidden="false" customHeight="false" outlineLevel="0" collapsed="false">
      <c r="A421" s="13" t="s">
        <v>634</v>
      </c>
      <c r="B421" s="14" t="n">
        <v>42402</v>
      </c>
      <c r="C421" s="14"/>
      <c r="D421" s="13" t="n">
        <v>39</v>
      </c>
      <c r="E421" s="13" t="s">
        <v>144</v>
      </c>
      <c r="F421" s="13" t="s">
        <v>154</v>
      </c>
      <c r="G421" s="13" t="s">
        <v>191</v>
      </c>
      <c r="H421" s="13" t="s">
        <v>343</v>
      </c>
      <c r="I421" s="13" t="n">
        <v>3</v>
      </c>
      <c r="J421" s="13" t="n">
        <v>4</v>
      </c>
      <c r="K421" s="13" t="n">
        <v>143500</v>
      </c>
      <c r="L421" s="13"/>
      <c r="M421" s="13"/>
      <c r="N421" s="13" t="s">
        <v>142</v>
      </c>
    </row>
    <row r="422" customFormat="false" ht="15" hidden="false" customHeight="false" outlineLevel="0" collapsed="false">
      <c r="A422" s="13" t="s">
        <v>635</v>
      </c>
      <c r="B422" s="14" t="n">
        <v>42402</v>
      </c>
      <c r="C422" s="14" t="n">
        <v>45520</v>
      </c>
      <c r="D422" s="13" t="n">
        <v>35</v>
      </c>
      <c r="E422" s="13" t="s">
        <v>144</v>
      </c>
      <c r="F422" s="13" t="s">
        <v>154</v>
      </c>
      <c r="G422" s="13" t="s">
        <v>148</v>
      </c>
      <c r="H422" s="13" t="s">
        <v>146</v>
      </c>
      <c r="I422" s="13" t="n">
        <v>5</v>
      </c>
      <c r="J422" s="13" t="n">
        <v>3</v>
      </c>
      <c r="K422" s="13" t="n">
        <v>76000</v>
      </c>
      <c r="L422" s="13" t="s">
        <v>151</v>
      </c>
      <c r="M422" s="13" t="s">
        <v>159</v>
      </c>
      <c r="N422" s="13" t="s">
        <v>134</v>
      </c>
    </row>
    <row r="423" customFormat="false" ht="15" hidden="false" customHeight="false" outlineLevel="0" collapsed="false">
      <c r="A423" s="13" t="s">
        <v>636</v>
      </c>
      <c r="B423" s="14" t="n">
        <v>42406</v>
      </c>
      <c r="C423" s="14"/>
      <c r="D423" s="13" t="n">
        <v>39</v>
      </c>
      <c r="E423" s="13" t="s">
        <v>136</v>
      </c>
      <c r="F423" s="13" t="s">
        <v>168</v>
      </c>
      <c r="G423" s="13" t="s">
        <v>374</v>
      </c>
      <c r="H423" s="13" t="s">
        <v>139</v>
      </c>
      <c r="I423" s="13" t="n">
        <v>3</v>
      </c>
      <c r="J423" s="13" t="n">
        <v>4</v>
      </c>
      <c r="K423" s="13" t="n">
        <v>53500</v>
      </c>
      <c r="L423" s="13"/>
      <c r="M423" s="13"/>
      <c r="N423" s="13" t="s">
        <v>134</v>
      </c>
    </row>
    <row r="424" customFormat="false" ht="15" hidden="false" customHeight="false" outlineLevel="0" collapsed="false">
      <c r="A424" s="13" t="s">
        <v>637</v>
      </c>
      <c r="B424" s="14" t="n">
        <v>42407</v>
      </c>
      <c r="C424" s="14"/>
      <c r="D424" s="13" t="n">
        <v>41</v>
      </c>
      <c r="E424" s="13" t="s">
        <v>136</v>
      </c>
      <c r="F424" s="13" t="s">
        <v>164</v>
      </c>
      <c r="G424" s="13" t="s">
        <v>132</v>
      </c>
      <c r="H424" s="13" t="s">
        <v>178</v>
      </c>
      <c r="I424" s="13" t="n">
        <v>3</v>
      </c>
      <c r="J424" s="13" t="n">
        <v>3</v>
      </c>
      <c r="K424" s="13" t="n">
        <v>171500</v>
      </c>
      <c r="L424" s="13"/>
      <c r="M424" s="13"/>
      <c r="N424" s="13" t="s">
        <v>142</v>
      </c>
    </row>
    <row r="425" customFormat="false" ht="15" hidden="false" customHeight="false" outlineLevel="0" collapsed="false">
      <c r="A425" s="13" t="s">
        <v>638</v>
      </c>
      <c r="B425" s="14" t="n">
        <v>42408</v>
      </c>
      <c r="C425" s="14" t="n">
        <v>44900</v>
      </c>
      <c r="D425" s="13" t="n">
        <v>33</v>
      </c>
      <c r="E425" s="13" t="s">
        <v>144</v>
      </c>
      <c r="F425" s="13" t="s">
        <v>137</v>
      </c>
      <c r="G425" s="13" t="s">
        <v>138</v>
      </c>
      <c r="H425" s="13" t="s">
        <v>156</v>
      </c>
      <c r="I425" s="13" t="n">
        <v>4</v>
      </c>
      <c r="J425" s="13" t="n">
        <v>3</v>
      </c>
      <c r="K425" s="13" t="n">
        <v>124000</v>
      </c>
      <c r="L425" s="13" t="s">
        <v>151</v>
      </c>
      <c r="M425" s="13" t="s">
        <v>159</v>
      </c>
      <c r="N425" s="13" t="s">
        <v>134</v>
      </c>
    </row>
    <row r="426" customFormat="false" ht="15" hidden="false" customHeight="false" outlineLevel="0" collapsed="false">
      <c r="A426" s="13" t="s">
        <v>639</v>
      </c>
      <c r="B426" s="14" t="n">
        <v>42409</v>
      </c>
      <c r="C426" s="14" t="n">
        <v>44661</v>
      </c>
      <c r="D426" s="13" t="n">
        <v>27</v>
      </c>
      <c r="E426" s="13" t="s">
        <v>136</v>
      </c>
      <c r="F426" s="13" t="s">
        <v>137</v>
      </c>
      <c r="G426" s="13" t="s">
        <v>184</v>
      </c>
      <c r="H426" s="13" t="s">
        <v>139</v>
      </c>
      <c r="I426" s="13" t="n">
        <v>3</v>
      </c>
      <c r="J426" s="13" t="n">
        <v>2</v>
      </c>
      <c r="K426" s="13" t="n">
        <v>50500</v>
      </c>
      <c r="L426" s="13" t="s">
        <v>140</v>
      </c>
      <c r="M426" s="13" t="s">
        <v>152</v>
      </c>
      <c r="N426" s="13" t="s">
        <v>134</v>
      </c>
    </row>
    <row r="427" customFormat="false" ht="15" hidden="false" customHeight="false" outlineLevel="0" collapsed="false">
      <c r="A427" s="13" t="s">
        <v>640</v>
      </c>
      <c r="B427" s="14" t="n">
        <v>42412</v>
      </c>
      <c r="C427" s="14" t="n">
        <v>45331</v>
      </c>
      <c r="D427" s="13" t="n">
        <v>46</v>
      </c>
      <c r="E427" s="13" t="s">
        <v>136</v>
      </c>
      <c r="F427" s="13" t="s">
        <v>241</v>
      </c>
      <c r="G427" s="13" t="s">
        <v>132</v>
      </c>
      <c r="H427" s="13" t="s">
        <v>139</v>
      </c>
      <c r="I427" s="13" t="n">
        <v>5</v>
      </c>
      <c r="J427" s="13" t="n">
        <v>3</v>
      </c>
      <c r="K427" s="13" t="n">
        <v>43000</v>
      </c>
      <c r="L427" s="13" t="s">
        <v>151</v>
      </c>
      <c r="M427" s="13" t="s">
        <v>159</v>
      </c>
      <c r="N427" s="13" t="s">
        <v>134</v>
      </c>
    </row>
    <row r="428" customFormat="false" ht="15" hidden="false" customHeight="false" outlineLevel="0" collapsed="false">
      <c r="A428" s="13" t="s">
        <v>641</v>
      </c>
      <c r="B428" s="14" t="n">
        <v>42412</v>
      </c>
      <c r="C428" s="14" t="n">
        <v>45005</v>
      </c>
      <c r="D428" s="13" t="n">
        <v>39</v>
      </c>
      <c r="E428" s="13" t="s">
        <v>186</v>
      </c>
      <c r="F428" s="13" t="s">
        <v>164</v>
      </c>
      <c r="G428" s="13" t="s">
        <v>138</v>
      </c>
      <c r="H428" s="13" t="s">
        <v>139</v>
      </c>
      <c r="I428" s="13" t="n">
        <v>2</v>
      </c>
      <c r="J428" s="13" t="n">
        <v>1</v>
      </c>
      <c r="K428" s="13" t="n">
        <v>35500</v>
      </c>
      <c r="L428" s="13" t="s">
        <v>151</v>
      </c>
      <c r="M428" s="13" t="s">
        <v>159</v>
      </c>
      <c r="N428" s="13" t="s">
        <v>157</v>
      </c>
    </row>
    <row r="429" customFormat="false" ht="15" hidden="false" customHeight="false" outlineLevel="0" collapsed="false">
      <c r="A429" s="13" t="s">
        <v>642</v>
      </c>
      <c r="B429" s="14" t="n">
        <v>42414</v>
      </c>
      <c r="C429" s="14"/>
      <c r="D429" s="13" t="n">
        <v>35</v>
      </c>
      <c r="E429" s="13" t="s">
        <v>163</v>
      </c>
      <c r="F429" s="13" t="s">
        <v>161</v>
      </c>
      <c r="G429" s="13" t="s">
        <v>155</v>
      </c>
      <c r="H429" s="13" t="s">
        <v>178</v>
      </c>
      <c r="I429" s="13" t="n">
        <v>3</v>
      </c>
      <c r="J429" s="13" t="n">
        <v>4</v>
      </c>
      <c r="K429" s="13" t="n">
        <v>180500</v>
      </c>
      <c r="L429" s="13"/>
      <c r="M429" s="13"/>
      <c r="N429" s="13" t="s">
        <v>134</v>
      </c>
    </row>
    <row r="430" customFormat="false" ht="15" hidden="false" customHeight="false" outlineLevel="0" collapsed="false">
      <c r="A430" s="13" t="s">
        <v>643</v>
      </c>
      <c r="B430" s="14" t="n">
        <v>42414</v>
      </c>
      <c r="C430" s="14" t="n">
        <v>44767</v>
      </c>
      <c r="D430" s="13" t="n">
        <v>37</v>
      </c>
      <c r="E430" s="13" t="s">
        <v>186</v>
      </c>
      <c r="F430" s="13" t="s">
        <v>229</v>
      </c>
      <c r="G430" s="13" t="s">
        <v>138</v>
      </c>
      <c r="H430" s="13" t="s">
        <v>146</v>
      </c>
      <c r="I430" s="13" t="n">
        <v>4</v>
      </c>
      <c r="J430" s="13" t="n">
        <v>1</v>
      </c>
      <c r="K430" s="13" t="n">
        <v>64000</v>
      </c>
      <c r="L430" s="13" t="s">
        <v>151</v>
      </c>
      <c r="M430" s="13" t="s">
        <v>152</v>
      </c>
      <c r="N430" s="13" t="s">
        <v>134</v>
      </c>
    </row>
    <row r="431" customFormat="false" ht="15" hidden="false" customHeight="false" outlineLevel="0" collapsed="false">
      <c r="A431" s="13" t="s">
        <v>644</v>
      </c>
      <c r="B431" s="14" t="n">
        <v>42414</v>
      </c>
      <c r="C431" s="14"/>
      <c r="D431" s="13" t="n">
        <v>43</v>
      </c>
      <c r="E431" s="13" t="s">
        <v>186</v>
      </c>
      <c r="F431" s="13" t="s">
        <v>168</v>
      </c>
      <c r="G431" s="13" t="s">
        <v>155</v>
      </c>
      <c r="H431" s="13" t="s">
        <v>178</v>
      </c>
      <c r="I431" s="13" t="n">
        <v>5</v>
      </c>
      <c r="J431" s="13" t="n">
        <v>2</v>
      </c>
      <c r="K431" s="13" t="n">
        <v>145500</v>
      </c>
      <c r="L431" s="13"/>
      <c r="M431" s="13"/>
      <c r="N431" s="13" t="s">
        <v>134</v>
      </c>
    </row>
    <row r="432" customFormat="false" ht="15" hidden="false" customHeight="false" outlineLevel="0" collapsed="false">
      <c r="A432" s="13" t="s">
        <v>645</v>
      </c>
      <c r="B432" s="14" t="n">
        <v>42416</v>
      </c>
      <c r="C432" s="14"/>
      <c r="D432" s="13" t="n">
        <v>44</v>
      </c>
      <c r="E432" s="13" t="s">
        <v>136</v>
      </c>
      <c r="F432" s="13" t="s">
        <v>229</v>
      </c>
      <c r="G432" s="13" t="s">
        <v>438</v>
      </c>
      <c r="H432" s="13" t="s">
        <v>156</v>
      </c>
      <c r="I432" s="13" t="n">
        <v>3</v>
      </c>
      <c r="J432" s="13"/>
      <c r="K432" s="13" t="n">
        <v>121500</v>
      </c>
      <c r="L432" s="13"/>
      <c r="M432" s="13"/>
      <c r="N432" s="13" t="s">
        <v>142</v>
      </c>
    </row>
    <row r="433" customFormat="false" ht="15" hidden="false" customHeight="false" outlineLevel="0" collapsed="false">
      <c r="A433" s="13" t="s">
        <v>646</v>
      </c>
      <c r="B433" s="14" t="n">
        <v>42422</v>
      </c>
      <c r="C433" s="14"/>
      <c r="D433" s="13" t="n">
        <v>37</v>
      </c>
      <c r="E433" s="13" t="s">
        <v>136</v>
      </c>
      <c r="F433" s="13" t="s">
        <v>168</v>
      </c>
      <c r="G433" s="13" t="s">
        <v>132</v>
      </c>
      <c r="H433" s="13" t="s">
        <v>149</v>
      </c>
      <c r="I433" s="13" t="n">
        <v>3</v>
      </c>
      <c r="J433" s="13" t="n">
        <v>4</v>
      </c>
      <c r="K433" s="13" t="n">
        <v>149000</v>
      </c>
      <c r="L433" s="13"/>
      <c r="M433" s="13"/>
      <c r="N433" s="13" t="s">
        <v>134</v>
      </c>
    </row>
    <row r="434" customFormat="false" ht="15" hidden="false" customHeight="false" outlineLevel="0" collapsed="false">
      <c r="A434" s="13" t="s">
        <v>647</v>
      </c>
      <c r="B434" s="14" t="n">
        <v>42425</v>
      </c>
      <c r="C434" s="14" t="n">
        <v>44681</v>
      </c>
      <c r="D434" s="13" t="n">
        <v>33</v>
      </c>
      <c r="E434" s="13" t="s">
        <v>136</v>
      </c>
      <c r="F434" s="13" t="s">
        <v>161</v>
      </c>
      <c r="G434" s="13" t="s">
        <v>330</v>
      </c>
      <c r="H434" s="13" t="s">
        <v>149</v>
      </c>
      <c r="I434" s="13" t="n">
        <v>4</v>
      </c>
      <c r="J434" s="13" t="n">
        <v>1</v>
      </c>
      <c r="K434" s="13" t="n">
        <v>141000</v>
      </c>
      <c r="L434" s="13" t="s">
        <v>151</v>
      </c>
      <c r="M434" s="13" t="s">
        <v>201</v>
      </c>
      <c r="N434" s="13" t="s">
        <v>142</v>
      </c>
    </row>
    <row r="435" customFormat="false" ht="15" hidden="false" customHeight="false" outlineLevel="0" collapsed="false">
      <c r="A435" s="13" t="s">
        <v>648</v>
      </c>
      <c r="B435" s="14" t="n">
        <v>42425</v>
      </c>
      <c r="C435" s="14" t="n">
        <v>44770</v>
      </c>
      <c r="D435" s="13" t="n">
        <v>34</v>
      </c>
      <c r="E435" s="13" t="s">
        <v>186</v>
      </c>
      <c r="F435" s="13" t="s">
        <v>168</v>
      </c>
      <c r="G435" s="13" t="s">
        <v>138</v>
      </c>
      <c r="H435" s="13" t="s">
        <v>146</v>
      </c>
      <c r="I435" s="13" t="n">
        <v>2</v>
      </c>
      <c r="J435" s="13" t="n">
        <v>3</v>
      </c>
      <c r="K435" s="13" t="n">
        <v>70000</v>
      </c>
      <c r="L435" s="13" t="s">
        <v>173</v>
      </c>
      <c r="M435" s="13" t="s">
        <v>254</v>
      </c>
      <c r="N435" s="13" t="s">
        <v>157</v>
      </c>
    </row>
    <row r="436" customFormat="false" ht="15" hidden="false" customHeight="false" outlineLevel="0" collapsed="false">
      <c r="A436" s="13" t="s">
        <v>649</v>
      </c>
      <c r="B436" s="14" t="n">
        <v>42426</v>
      </c>
      <c r="C436" s="14"/>
      <c r="D436" s="13" t="n">
        <v>41</v>
      </c>
      <c r="E436" s="13" t="s">
        <v>144</v>
      </c>
      <c r="F436" s="13" t="s">
        <v>137</v>
      </c>
      <c r="G436" s="13" t="s">
        <v>191</v>
      </c>
      <c r="H436" s="13" t="s">
        <v>139</v>
      </c>
      <c r="I436" s="13" t="n">
        <v>1</v>
      </c>
      <c r="J436" s="13" t="n">
        <v>3</v>
      </c>
      <c r="K436" s="13" t="n">
        <v>50000</v>
      </c>
      <c r="L436" s="13"/>
      <c r="M436" s="13"/>
      <c r="N436" s="13" t="s">
        <v>142</v>
      </c>
    </row>
    <row r="437" customFormat="false" ht="15" hidden="false" customHeight="false" outlineLevel="0" collapsed="false">
      <c r="A437" s="13" t="s">
        <v>650</v>
      </c>
      <c r="B437" s="14" t="n">
        <v>42427</v>
      </c>
      <c r="C437" s="14" t="n">
        <v>45001</v>
      </c>
      <c r="D437" s="13" t="n">
        <v>28</v>
      </c>
      <c r="E437" s="13" t="s">
        <v>259</v>
      </c>
      <c r="F437" s="13" t="s">
        <v>164</v>
      </c>
      <c r="G437" s="13" t="s">
        <v>334</v>
      </c>
      <c r="H437" s="13" t="s">
        <v>146</v>
      </c>
      <c r="I437" s="13" t="n">
        <v>3</v>
      </c>
      <c r="J437" s="13" t="n">
        <v>4</v>
      </c>
      <c r="K437" s="13" t="n">
        <v>66000</v>
      </c>
      <c r="L437" s="13" t="s">
        <v>151</v>
      </c>
      <c r="M437" s="13" t="s">
        <v>201</v>
      </c>
      <c r="N437" s="13" t="s">
        <v>142</v>
      </c>
    </row>
    <row r="438" customFormat="false" ht="15" hidden="false" customHeight="false" outlineLevel="0" collapsed="false">
      <c r="A438" s="13" t="s">
        <v>651</v>
      </c>
      <c r="B438" s="14" t="n">
        <v>42428</v>
      </c>
      <c r="C438" s="14"/>
      <c r="D438" s="13" t="n">
        <v>48</v>
      </c>
      <c r="E438" s="13" t="s">
        <v>182</v>
      </c>
      <c r="F438" s="13" t="s">
        <v>164</v>
      </c>
      <c r="G438" s="13" t="s">
        <v>138</v>
      </c>
      <c r="H438" s="13" t="s">
        <v>156</v>
      </c>
      <c r="I438" s="13" t="n">
        <v>3</v>
      </c>
      <c r="J438" s="13" t="n">
        <v>2</v>
      </c>
      <c r="K438" s="13" t="n">
        <v>106500</v>
      </c>
      <c r="L438" s="13"/>
      <c r="M438" s="13"/>
      <c r="N438" s="13" t="s">
        <v>134</v>
      </c>
    </row>
    <row r="439" customFormat="false" ht="15" hidden="false" customHeight="false" outlineLevel="0" collapsed="false">
      <c r="A439" s="13" t="s">
        <v>652</v>
      </c>
      <c r="B439" s="14" t="n">
        <v>42434</v>
      </c>
      <c r="C439" s="14" t="n">
        <v>45850</v>
      </c>
      <c r="D439" s="13" t="n">
        <v>37</v>
      </c>
      <c r="E439" s="13" t="s">
        <v>144</v>
      </c>
      <c r="F439" s="13" t="s">
        <v>170</v>
      </c>
      <c r="G439" s="13" t="s">
        <v>148</v>
      </c>
      <c r="H439" s="13" t="s">
        <v>192</v>
      </c>
      <c r="I439" s="13" t="n">
        <v>2</v>
      </c>
      <c r="J439" s="13" t="n">
        <v>2</v>
      </c>
      <c r="K439" s="13" t="n">
        <v>257000</v>
      </c>
      <c r="L439" s="13" t="s">
        <v>151</v>
      </c>
      <c r="M439" s="13" t="s">
        <v>159</v>
      </c>
      <c r="N439" s="13" t="s">
        <v>134</v>
      </c>
    </row>
    <row r="440" customFormat="false" ht="15" hidden="false" customHeight="false" outlineLevel="0" collapsed="false">
      <c r="A440" s="13" t="s">
        <v>653</v>
      </c>
      <c r="B440" s="14" t="n">
        <v>42435</v>
      </c>
      <c r="C440" s="14" t="n">
        <v>44566</v>
      </c>
      <c r="D440" s="13" t="n">
        <v>35</v>
      </c>
      <c r="E440" s="13" t="s">
        <v>130</v>
      </c>
      <c r="F440" s="13" t="s">
        <v>241</v>
      </c>
      <c r="G440" s="13" t="s">
        <v>148</v>
      </c>
      <c r="H440" s="13" t="s">
        <v>146</v>
      </c>
      <c r="I440" s="13" t="n">
        <v>4</v>
      </c>
      <c r="J440" s="13" t="n">
        <v>1</v>
      </c>
      <c r="K440" s="13" t="n">
        <v>63500</v>
      </c>
      <c r="L440" s="13" t="s">
        <v>151</v>
      </c>
      <c r="M440" s="13" t="s">
        <v>201</v>
      </c>
      <c r="N440" s="13" t="s">
        <v>134</v>
      </c>
    </row>
    <row r="441" customFormat="false" ht="15" hidden="false" customHeight="false" outlineLevel="0" collapsed="false">
      <c r="A441" s="13" t="s">
        <v>654</v>
      </c>
      <c r="B441" s="14" t="n">
        <v>42437</v>
      </c>
      <c r="C441" s="14"/>
      <c r="D441" s="13" t="n">
        <v>35</v>
      </c>
      <c r="E441" s="13" t="s">
        <v>144</v>
      </c>
      <c r="F441" s="13" t="s">
        <v>168</v>
      </c>
      <c r="G441" s="13" t="s">
        <v>148</v>
      </c>
      <c r="H441" s="13" t="s">
        <v>343</v>
      </c>
      <c r="I441" s="13" t="n">
        <v>4</v>
      </c>
      <c r="J441" s="13" t="n">
        <v>1</v>
      </c>
      <c r="K441" s="13" t="n">
        <v>103000</v>
      </c>
      <c r="L441" s="13"/>
      <c r="M441" s="13"/>
      <c r="N441" s="13" t="s">
        <v>142</v>
      </c>
    </row>
    <row r="442" customFormat="false" ht="15" hidden="false" customHeight="false" outlineLevel="0" collapsed="false">
      <c r="A442" s="13" t="s">
        <v>655</v>
      </c>
      <c r="B442" s="14" t="n">
        <v>42440</v>
      </c>
      <c r="C442" s="14" t="n">
        <v>45108</v>
      </c>
      <c r="D442" s="13" t="n">
        <v>32</v>
      </c>
      <c r="E442" s="13" t="s">
        <v>186</v>
      </c>
      <c r="F442" s="13" t="s">
        <v>231</v>
      </c>
      <c r="G442" s="13" t="s">
        <v>148</v>
      </c>
      <c r="H442" s="13" t="s">
        <v>139</v>
      </c>
      <c r="I442" s="13" t="n">
        <v>3</v>
      </c>
      <c r="J442" s="13" t="n">
        <v>3</v>
      </c>
      <c r="K442" s="13" t="n">
        <v>42500</v>
      </c>
      <c r="L442" s="13" t="s">
        <v>272</v>
      </c>
      <c r="M442" s="13" t="s">
        <v>174</v>
      </c>
      <c r="N442" s="13" t="s">
        <v>142</v>
      </c>
    </row>
    <row r="443" customFormat="false" ht="15" hidden="false" customHeight="false" outlineLevel="0" collapsed="false">
      <c r="A443" s="13" t="s">
        <v>656</v>
      </c>
      <c r="B443" s="14" t="n">
        <v>42446</v>
      </c>
      <c r="C443" s="14"/>
      <c r="D443" s="13" t="n">
        <v>40</v>
      </c>
      <c r="E443" s="13" t="s">
        <v>182</v>
      </c>
      <c r="F443" s="13" t="s">
        <v>145</v>
      </c>
      <c r="G443" s="13" t="s">
        <v>155</v>
      </c>
      <c r="H443" s="13" t="s">
        <v>156</v>
      </c>
      <c r="I443" s="13" t="n">
        <v>3</v>
      </c>
      <c r="J443" s="13" t="n">
        <v>4</v>
      </c>
      <c r="K443" s="13" t="n">
        <v>118500</v>
      </c>
      <c r="L443" s="13"/>
      <c r="M443" s="13"/>
      <c r="N443" s="13" t="s">
        <v>453</v>
      </c>
    </row>
    <row r="444" customFormat="false" ht="15" hidden="false" customHeight="false" outlineLevel="0" collapsed="false">
      <c r="A444" s="13" t="s">
        <v>657</v>
      </c>
      <c r="B444" s="14" t="n">
        <v>42447</v>
      </c>
      <c r="C444" s="14"/>
      <c r="D444" s="13" t="n">
        <v>37</v>
      </c>
      <c r="E444" s="13" t="s">
        <v>182</v>
      </c>
      <c r="F444" s="13" t="s">
        <v>168</v>
      </c>
      <c r="G444" s="13" t="s">
        <v>132</v>
      </c>
      <c r="H444" s="13" t="s">
        <v>280</v>
      </c>
      <c r="I444" s="13" t="n">
        <v>3</v>
      </c>
      <c r="J444" s="13" t="n">
        <v>3</v>
      </c>
      <c r="K444" s="13" t="n">
        <v>113000</v>
      </c>
      <c r="L444" s="13"/>
      <c r="M444" s="13"/>
      <c r="N444" s="13" t="s">
        <v>142</v>
      </c>
    </row>
    <row r="445" customFormat="false" ht="15" hidden="false" customHeight="false" outlineLevel="0" collapsed="false">
      <c r="A445" s="13" t="s">
        <v>658</v>
      </c>
      <c r="B445" s="14" t="n">
        <v>42450</v>
      </c>
      <c r="C445" s="14" t="n">
        <v>45046</v>
      </c>
      <c r="D445" s="13" t="n">
        <v>36</v>
      </c>
      <c r="E445" s="13" t="s">
        <v>186</v>
      </c>
      <c r="F445" s="13" t="s">
        <v>154</v>
      </c>
      <c r="G445" s="13" t="s">
        <v>138</v>
      </c>
      <c r="H445" s="13" t="s">
        <v>139</v>
      </c>
      <c r="I445" s="13" t="n">
        <v>4</v>
      </c>
      <c r="J445" s="13" t="n">
        <v>2</v>
      </c>
      <c r="K445" s="13" t="n">
        <v>44000</v>
      </c>
      <c r="L445" s="13"/>
      <c r="M445" s="13" t="s">
        <v>216</v>
      </c>
      <c r="N445" s="13" t="s">
        <v>134</v>
      </c>
    </row>
    <row r="446" customFormat="false" ht="15" hidden="false" customHeight="false" outlineLevel="0" collapsed="false">
      <c r="A446" s="13" t="s">
        <v>659</v>
      </c>
      <c r="B446" s="14" t="n">
        <v>42454</v>
      </c>
      <c r="C446" s="14"/>
      <c r="D446" s="13" t="n">
        <v>35</v>
      </c>
      <c r="E446" s="13" t="s">
        <v>186</v>
      </c>
      <c r="F446" s="13" t="s">
        <v>168</v>
      </c>
      <c r="G446" s="13" t="s">
        <v>132</v>
      </c>
      <c r="H446" s="13" t="s">
        <v>149</v>
      </c>
      <c r="I446" s="13" t="n">
        <v>3</v>
      </c>
      <c r="J446" s="13" t="n">
        <v>2</v>
      </c>
      <c r="K446" s="13" t="n">
        <v>130000</v>
      </c>
      <c r="L446" s="13"/>
      <c r="M446" s="13"/>
      <c r="N446" s="13" t="s">
        <v>134</v>
      </c>
    </row>
    <row r="447" customFormat="false" ht="15" hidden="false" customHeight="false" outlineLevel="0" collapsed="false">
      <c r="A447" s="13" t="s">
        <v>660</v>
      </c>
      <c r="B447" s="14" t="n">
        <v>42463</v>
      </c>
      <c r="C447" s="14"/>
      <c r="D447" s="13" t="n">
        <v>44</v>
      </c>
      <c r="E447" s="13" t="s">
        <v>130</v>
      </c>
      <c r="F447" s="13" t="s">
        <v>170</v>
      </c>
      <c r="G447" s="13" t="s">
        <v>132</v>
      </c>
      <c r="H447" s="13" t="s">
        <v>178</v>
      </c>
      <c r="I447" s="13" t="n">
        <v>3</v>
      </c>
      <c r="J447" s="13" t="n">
        <v>3</v>
      </c>
      <c r="K447" s="13" t="n">
        <v>129000</v>
      </c>
      <c r="L447" s="13"/>
      <c r="M447" s="13"/>
      <c r="N447" s="13" t="s">
        <v>134</v>
      </c>
    </row>
    <row r="448" customFormat="false" ht="15" hidden="false" customHeight="false" outlineLevel="0" collapsed="false">
      <c r="A448" s="13" t="s">
        <v>661</v>
      </c>
      <c r="B448" s="14" t="n">
        <v>42466</v>
      </c>
      <c r="C448" s="14"/>
      <c r="D448" s="13" t="n">
        <v>36</v>
      </c>
      <c r="E448" s="13" t="s">
        <v>136</v>
      </c>
      <c r="F448" s="13" t="s">
        <v>168</v>
      </c>
      <c r="G448" s="13" t="s">
        <v>132</v>
      </c>
      <c r="H448" s="13" t="s">
        <v>178</v>
      </c>
      <c r="I448" s="13" t="n">
        <v>4</v>
      </c>
      <c r="J448" s="13" t="n">
        <v>4</v>
      </c>
      <c r="K448" s="13" t="n">
        <v>198000</v>
      </c>
      <c r="L448" s="13"/>
      <c r="M448" s="13"/>
      <c r="N448" s="13" t="s">
        <v>142</v>
      </c>
    </row>
    <row r="449" customFormat="false" ht="15" hidden="false" customHeight="false" outlineLevel="0" collapsed="false">
      <c r="A449" s="13" t="s">
        <v>662</v>
      </c>
      <c r="B449" s="14" t="n">
        <v>42475</v>
      </c>
      <c r="C449" s="14"/>
      <c r="D449" s="13" t="n">
        <v>41</v>
      </c>
      <c r="E449" s="13" t="s">
        <v>130</v>
      </c>
      <c r="F449" s="13" t="s">
        <v>137</v>
      </c>
      <c r="G449" s="13" t="s">
        <v>155</v>
      </c>
      <c r="H449" s="13" t="s">
        <v>178</v>
      </c>
      <c r="I449" s="13" t="n">
        <v>4</v>
      </c>
      <c r="J449" s="13" t="n">
        <v>3</v>
      </c>
      <c r="K449" s="13" t="n">
        <v>141000</v>
      </c>
      <c r="L449" s="13"/>
      <c r="M449" s="13"/>
      <c r="N449" s="13" t="s">
        <v>142</v>
      </c>
    </row>
    <row r="450" customFormat="false" ht="15" hidden="false" customHeight="false" outlineLevel="0" collapsed="false">
      <c r="A450" s="13" t="s">
        <v>663</v>
      </c>
      <c r="B450" s="14" t="n">
        <v>42484</v>
      </c>
      <c r="C450" s="14" t="n">
        <v>45458</v>
      </c>
      <c r="D450" s="13" t="n">
        <v>32</v>
      </c>
      <c r="E450" s="13" t="s">
        <v>136</v>
      </c>
      <c r="F450" s="13" t="s">
        <v>168</v>
      </c>
      <c r="G450" s="13" t="s">
        <v>132</v>
      </c>
      <c r="H450" s="13" t="s">
        <v>146</v>
      </c>
      <c r="I450" s="13" t="n">
        <v>2</v>
      </c>
      <c r="J450" s="13" t="n">
        <v>3</v>
      </c>
      <c r="K450" s="13" t="n">
        <v>84500</v>
      </c>
      <c r="L450" s="13" t="s">
        <v>151</v>
      </c>
      <c r="M450" s="13" t="s">
        <v>201</v>
      </c>
      <c r="N450" s="13" t="s">
        <v>142</v>
      </c>
    </row>
    <row r="451" customFormat="false" ht="15" hidden="false" customHeight="false" outlineLevel="0" collapsed="false">
      <c r="A451" s="13" t="s">
        <v>664</v>
      </c>
      <c r="B451" s="14" t="n">
        <v>42492</v>
      </c>
      <c r="C451" s="14" t="n">
        <v>44566</v>
      </c>
      <c r="D451" s="13" t="n">
        <v>38</v>
      </c>
      <c r="E451" s="13" t="s">
        <v>136</v>
      </c>
      <c r="F451" s="13" t="s">
        <v>241</v>
      </c>
      <c r="G451" s="13" t="s">
        <v>138</v>
      </c>
      <c r="H451" s="13" t="s">
        <v>139</v>
      </c>
      <c r="I451" s="13" t="n">
        <v>3</v>
      </c>
      <c r="J451" s="13" t="n">
        <v>1</v>
      </c>
      <c r="K451" s="13" t="n">
        <v>39500</v>
      </c>
      <c r="L451" s="13" t="s">
        <v>151</v>
      </c>
      <c r="M451" s="13" t="s">
        <v>206</v>
      </c>
      <c r="N451" s="13" t="s">
        <v>142</v>
      </c>
    </row>
    <row r="452" customFormat="false" ht="15" hidden="false" customHeight="false" outlineLevel="0" collapsed="false">
      <c r="A452" s="13" t="s">
        <v>665</v>
      </c>
      <c r="B452" s="14" t="n">
        <v>42494</v>
      </c>
      <c r="C452" s="14"/>
      <c r="D452" s="13" t="n">
        <v>42</v>
      </c>
      <c r="E452" s="13" t="s">
        <v>136</v>
      </c>
      <c r="F452" s="13" t="s">
        <v>131</v>
      </c>
      <c r="G452" s="13" t="s">
        <v>155</v>
      </c>
      <c r="H452" s="13" t="s">
        <v>146</v>
      </c>
      <c r="I452" s="13" t="n">
        <v>4</v>
      </c>
      <c r="J452" s="13" t="n">
        <v>4</v>
      </c>
      <c r="K452" s="13" t="n">
        <v>70500</v>
      </c>
      <c r="L452" s="13"/>
      <c r="M452" s="13"/>
      <c r="N452" s="13" t="s">
        <v>142</v>
      </c>
    </row>
    <row r="453" customFormat="false" ht="15" hidden="false" customHeight="false" outlineLevel="0" collapsed="false">
      <c r="A453" s="13" t="s">
        <v>666</v>
      </c>
      <c r="B453" s="14" t="n">
        <v>42496</v>
      </c>
      <c r="C453" s="14"/>
      <c r="D453" s="13" t="n">
        <v>42</v>
      </c>
      <c r="E453" s="13" t="s">
        <v>186</v>
      </c>
      <c r="F453" s="13" t="s">
        <v>170</v>
      </c>
      <c r="G453" s="13" t="s">
        <v>148</v>
      </c>
      <c r="H453" s="13" t="s">
        <v>178</v>
      </c>
      <c r="I453" s="13" t="n">
        <v>4</v>
      </c>
      <c r="J453" s="13" t="n">
        <v>4</v>
      </c>
      <c r="K453" s="13" t="n">
        <v>164000</v>
      </c>
      <c r="L453" s="13"/>
      <c r="M453" s="13"/>
      <c r="N453" s="13" t="s">
        <v>142</v>
      </c>
    </row>
    <row r="454" customFormat="false" ht="15" hidden="false" customHeight="false" outlineLevel="0" collapsed="false">
      <c r="A454" s="13" t="s">
        <v>667</v>
      </c>
      <c r="B454" s="14" t="n">
        <v>42497</v>
      </c>
      <c r="C454" s="14"/>
      <c r="D454" s="13" t="n">
        <v>35</v>
      </c>
      <c r="E454" s="13" t="s">
        <v>136</v>
      </c>
      <c r="F454" s="13" t="s">
        <v>168</v>
      </c>
      <c r="G454" s="13" t="s">
        <v>138</v>
      </c>
      <c r="H454" s="13" t="s">
        <v>156</v>
      </c>
      <c r="I454" s="13" t="n">
        <v>2</v>
      </c>
      <c r="J454" s="13" t="n">
        <v>4</v>
      </c>
      <c r="K454" s="13" t="n">
        <v>122500</v>
      </c>
      <c r="L454" s="13"/>
      <c r="M454" s="13"/>
      <c r="N454" s="13" t="s">
        <v>142</v>
      </c>
    </row>
    <row r="455" customFormat="false" ht="15" hidden="false" customHeight="false" outlineLevel="0" collapsed="false">
      <c r="A455" s="13" t="s">
        <v>668</v>
      </c>
      <c r="B455" s="14" t="n">
        <v>42501</v>
      </c>
      <c r="C455" s="14" t="n">
        <v>45610</v>
      </c>
      <c r="D455" s="13" t="n">
        <v>37</v>
      </c>
      <c r="E455" s="13" t="s">
        <v>182</v>
      </c>
      <c r="F455" s="13" t="s">
        <v>131</v>
      </c>
      <c r="G455" s="13" t="s">
        <v>132</v>
      </c>
      <c r="H455" s="13" t="s">
        <v>146</v>
      </c>
      <c r="I455" s="13" t="n">
        <v>3</v>
      </c>
      <c r="J455" s="13" t="n">
        <v>4</v>
      </c>
      <c r="K455" s="13" t="n">
        <v>80500</v>
      </c>
      <c r="L455" s="13" t="s">
        <v>151</v>
      </c>
      <c r="M455" s="13" t="s">
        <v>201</v>
      </c>
      <c r="N455" s="13" t="s">
        <v>142</v>
      </c>
    </row>
    <row r="456" customFormat="false" ht="15" hidden="false" customHeight="false" outlineLevel="0" collapsed="false">
      <c r="A456" s="13" t="s">
        <v>669</v>
      </c>
      <c r="B456" s="14" t="n">
        <v>42506</v>
      </c>
      <c r="C456" s="14"/>
      <c r="D456" s="13" t="n">
        <v>40</v>
      </c>
      <c r="E456" s="13" t="s">
        <v>144</v>
      </c>
      <c r="F456" s="13" t="s">
        <v>168</v>
      </c>
      <c r="G456" s="13" t="s">
        <v>138</v>
      </c>
      <c r="H456" s="13" t="s">
        <v>139</v>
      </c>
      <c r="I456" s="13" t="n">
        <v>4</v>
      </c>
      <c r="J456" s="13" t="n">
        <v>3</v>
      </c>
      <c r="K456" s="13" t="n">
        <v>46500</v>
      </c>
      <c r="L456" s="13"/>
      <c r="M456" s="13"/>
      <c r="N456" s="13" t="s">
        <v>142</v>
      </c>
    </row>
    <row r="457" customFormat="false" ht="15" hidden="false" customHeight="false" outlineLevel="0" collapsed="false">
      <c r="A457" s="13" t="s">
        <v>670</v>
      </c>
      <c r="B457" s="14" t="n">
        <v>42506</v>
      </c>
      <c r="C457" s="14"/>
      <c r="D457" s="13" t="n">
        <v>45</v>
      </c>
      <c r="E457" s="13" t="s">
        <v>186</v>
      </c>
      <c r="F457" s="13" t="s">
        <v>131</v>
      </c>
      <c r="G457" s="13" t="s">
        <v>155</v>
      </c>
      <c r="H457" s="13" t="s">
        <v>139</v>
      </c>
      <c r="I457" s="13" t="n">
        <v>3</v>
      </c>
      <c r="J457" s="13" t="n">
        <v>3</v>
      </c>
      <c r="K457" s="13" t="n">
        <v>37000</v>
      </c>
      <c r="L457" s="13"/>
      <c r="M457" s="13"/>
      <c r="N457" s="13" t="s">
        <v>142</v>
      </c>
    </row>
    <row r="458" customFormat="false" ht="15" hidden="false" customHeight="false" outlineLevel="0" collapsed="false">
      <c r="A458" s="13" t="s">
        <v>671</v>
      </c>
      <c r="B458" s="14" t="n">
        <v>42507</v>
      </c>
      <c r="C458" s="14"/>
      <c r="D458" s="13" t="n">
        <v>38</v>
      </c>
      <c r="E458" s="13" t="s">
        <v>144</v>
      </c>
      <c r="F458" s="13" t="s">
        <v>168</v>
      </c>
      <c r="G458" s="13" t="s">
        <v>138</v>
      </c>
      <c r="H458" s="13" t="s">
        <v>156</v>
      </c>
      <c r="I458" s="13" t="n">
        <v>4</v>
      </c>
      <c r="J458" s="13" t="n">
        <v>4</v>
      </c>
      <c r="K458" s="13" t="n">
        <v>111500</v>
      </c>
      <c r="L458" s="13"/>
      <c r="M458" s="13"/>
      <c r="N458" s="13" t="s">
        <v>142</v>
      </c>
    </row>
    <row r="459" customFormat="false" ht="15" hidden="false" customHeight="false" outlineLevel="0" collapsed="false">
      <c r="A459" s="13" t="s">
        <v>672</v>
      </c>
      <c r="B459" s="14" t="n">
        <v>42509</v>
      </c>
      <c r="C459" s="14" t="n">
        <v>45955</v>
      </c>
      <c r="D459" s="13" t="n">
        <v>41</v>
      </c>
      <c r="E459" s="13" t="s">
        <v>136</v>
      </c>
      <c r="F459" s="13" t="s">
        <v>137</v>
      </c>
      <c r="G459" s="13" t="s">
        <v>155</v>
      </c>
      <c r="H459" s="13" t="s">
        <v>178</v>
      </c>
      <c r="I459" s="13" t="n">
        <v>4</v>
      </c>
      <c r="J459" s="13" t="n">
        <v>3</v>
      </c>
      <c r="K459" s="13" t="n">
        <v>150000</v>
      </c>
      <c r="L459" s="13" t="s">
        <v>173</v>
      </c>
      <c r="M459" s="13" t="s">
        <v>273</v>
      </c>
      <c r="N459" s="13" t="s">
        <v>142</v>
      </c>
    </row>
    <row r="460" customFormat="false" ht="15" hidden="false" customHeight="false" outlineLevel="0" collapsed="false">
      <c r="A460" s="13" t="s">
        <v>673</v>
      </c>
      <c r="B460" s="14" t="n">
        <v>42512</v>
      </c>
      <c r="C460" s="14"/>
      <c r="D460" s="13" t="n">
        <v>39</v>
      </c>
      <c r="E460" s="13" t="s">
        <v>259</v>
      </c>
      <c r="F460" s="13" t="s">
        <v>168</v>
      </c>
      <c r="G460" s="13" t="s">
        <v>132</v>
      </c>
      <c r="H460" s="13" t="s">
        <v>156</v>
      </c>
      <c r="I460" s="13" t="n">
        <v>2</v>
      </c>
      <c r="J460" s="13" t="n">
        <v>3</v>
      </c>
      <c r="K460" s="13" t="n">
        <v>102000</v>
      </c>
      <c r="L460" s="13"/>
      <c r="M460" s="13"/>
      <c r="N460" s="13" t="s">
        <v>214</v>
      </c>
    </row>
    <row r="461" customFormat="false" ht="15" hidden="false" customHeight="false" outlineLevel="0" collapsed="false">
      <c r="A461" s="13" t="s">
        <v>674</v>
      </c>
      <c r="B461" s="14" t="n">
        <v>42514</v>
      </c>
      <c r="C461" s="14" t="n">
        <v>45098</v>
      </c>
      <c r="D461" s="13" t="n">
        <v>31</v>
      </c>
      <c r="E461" s="13" t="s">
        <v>130</v>
      </c>
      <c r="F461" s="13" t="s">
        <v>168</v>
      </c>
      <c r="G461" s="13" t="s">
        <v>148</v>
      </c>
      <c r="H461" s="13" t="s">
        <v>146</v>
      </c>
      <c r="I461" s="13" t="n">
        <v>4</v>
      </c>
      <c r="J461" s="13" t="n">
        <v>3</v>
      </c>
      <c r="K461" s="13" t="n">
        <v>79000</v>
      </c>
      <c r="L461" s="13" t="s">
        <v>151</v>
      </c>
      <c r="M461" s="13" t="s">
        <v>201</v>
      </c>
      <c r="N461" s="13" t="s">
        <v>142</v>
      </c>
    </row>
    <row r="462" customFormat="false" ht="15" hidden="false" customHeight="false" outlineLevel="0" collapsed="false">
      <c r="A462" s="13" t="s">
        <v>675</v>
      </c>
      <c r="B462" s="14" t="n">
        <v>42524</v>
      </c>
      <c r="C462" s="14" t="n">
        <v>45367</v>
      </c>
      <c r="D462" s="13" t="n">
        <v>29</v>
      </c>
      <c r="E462" s="13" t="s">
        <v>136</v>
      </c>
      <c r="F462" s="13" t="s">
        <v>170</v>
      </c>
      <c r="G462" s="13" t="s">
        <v>155</v>
      </c>
      <c r="H462" s="13" t="s">
        <v>139</v>
      </c>
      <c r="I462" s="13" t="n">
        <v>3</v>
      </c>
      <c r="J462" s="13" t="n">
        <v>1</v>
      </c>
      <c r="K462" s="13" t="n">
        <v>39500</v>
      </c>
      <c r="L462" s="13"/>
      <c r="M462" s="13" t="s">
        <v>310</v>
      </c>
      <c r="N462" s="13" t="s">
        <v>142</v>
      </c>
    </row>
    <row r="463" customFormat="false" ht="15" hidden="false" customHeight="false" outlineLevel="0" collapsed="false">
      <c r="A463" s="13" t="s">
        <v>676</v>
      </c>
      <c r="B463" s="14" t="n">
        <v>42534</v>
      </c>
      <c r="C463" s="14" t="n">
        <v>44970</v>
      </c>
      <c r="D463" s="13" t="n">
        <v>29</v>
      </c>
      <c r="E463" s="13" t="s">
        <v>136</v>
      </c>
      <c r="F463" s="13" t="s">
        <v>229</v>
      </c>
      <c r="G463" s="13" t="s">
        <v>148</v>
      </c>
      <c r="H463" s="13" t="s">
        <v>139</v>
      </c>
      <c r="I463" s="13" t="n">
        <v>3</v>
      </c>
      <c r="J463" s="13" t="n">
        <v>2</v>
      </c>
      <c r="K463" s="13" t="n">
        <v>55500</v>
      </c>
      <c r="L463" s="13" t="s">
        <v>151</v>
      </c>
      <c r="M463" s="13" t="s">
        <v>206</v>
      </c>
      <c r="N463" s="13" t="s">
        <v>142</v>
      </c>
    </row>
    <row r="464" customFormat="false" ht="15" hidden="false" customHeight="false" outlineLevel="0" collapsed="false">
      <c r="A464" s="13" t="s">
        <v>677</v>
      </c>
      <c r="B464" s="14" t="n">
        <v>42535</v>
      </c>
      <c r="C464" s="14"/>
      <c r="D464" s="13" t="n">
        <v>43</v>
      </c>
      <c r="E464" s="13" t="s">
        <v>144</v>
      </c>
      <c r="F464" s="13" t="s">
        <v>168</v>
      </c>
      <c r="G464" s="13" t="s">
        <v>138</v>
      </c>
      <c r="H464" s="13" t="s">
        <v>156</v>
      </c>
      <c r="I464" s="13" t="n">
        <v>3</v>
      </c>
      <c r="J464" s="13" t="n">
        <v>1</v>
      </c>
      <c r="K464" s="13" t="n">
        <v>113500</v>
      </c>
      <c r="L464" s="13"/>
      <c r="M464" s="13"/>
      <c r="N464" s="13" t="s">
        <v>142</v>
      </c>
    </row>
    <row r="465" customFormat="false" ht="15" hidden="false" customHeight="false" outlineLevel="0" collapsed="false">
      <c r="A465" s="13" t="s">
        <v>678</v>
      </c>
      <c r="B465" s="14" t="n">
        <v>42539</v>
      </c>
      <c r="C465" s="14" t="n">
        <v>45370</v>
      </c>
      <c r="D465" s="13" t="n">
        <v>29</v>
      </c>
      <c r="E465" s="13" t="s">
        <v>144</v>
      </c>
      <c r="F465" s="13" t="s">
        <v>168</v>
      </c>
      <c r="G465" s="13" t="s">
        <v>148</v>
      </c>
      <c r="H465" s="13" t="s">
        <v>146</v>
      </c>
      <c r="I465" s="13" t="n">
        <v>3</v>
      </c>
      <c r="J465" s="13" t="n">
        <v>2</v>
      </c>
      <c r="K465" s="13" t="n">
        <v>69000</v>
      </c>
      <c r="L465" s="13" t="s">
        <v>151</v>
      </c>
      <c r="M465" s="13" t="s">
        <v>141</v>
      </c>
      <c r="N465" s="13" t="s">
        <v>134</v>
      </c>
    </row>
    <row r="466" customFormat="false" ht="15" hidden="false" customHeight="false" outlineLevel="0" collapsed="false">
      <c r="A466" s="13" t="s">
        <v>679</v>
      </c>
      <c r="B466" s="14" t="n">
        <v>42542</v>
      </c>
      <c r="C466" s="14"/>
      <c r="D466" s="13" t="n">
        <v>37</v>
      </c>
      <c r="E466" s="13" t="s">
        <v>136</v>
      </c>
      <c r="F466" s="13" t="s">
        <v>241</v>
      </c>
      <c r="G466" s="13" t="s">
        <v>132</v>
      </c>
      <c r="H466" s="13" t="s">
        <v>156</v>
      </c>
      <c r="I466" s="13" t="n">
        <v>4</v>
      </c>
      <c r="J466" s="13" t="n">
        <v>3</v>
      </c>
      <c r="K466" s="13" t="n">
        <v>116000</v>
      </c>
      <c r="L466" s="13"/>
      <c r="M466" s="13"/>
      <c r="N466" s="13" t="s">
        <v>134</v>
      </c>
    </row>
    <row r="467" customFormat="false" ht="15" hidden="false" customHeight="false" outlineLevel="0" collapsed="false">
      <c r="A467" s="13" t="s">
        <v>680</v>
      </c>
      <c r="B467" s="14" t="n">
        <v>42545</v>
      </c>
      <c r="C467" s="14" t="n">
        <v>44940</v>
      </c>
      <c r="D467" s="13" t="n">
        <v>29</v>
      </c>
      <c r="E467" s="13" t="s">
        <v>144</v>
      </c>
      <c r="F467" s="13" t="s">
        <v>145</v>
      </c>
      <c r="G467" s="13" t="s">
        <v>224</v>
      </c>
      <c r="H467" s="13" t="s">
        <v>139</v>
      </c>
      <c r="I467" s="13" t="n">
        <v>1</v>
      </c>
      <c r="J467" s="13" t="n">
        <v>3</v>
      </c>
      <c r="K467" s="13" t="n">
        <v>50500</v>
      </c>
      <c r="L467" s="13" t="s">
        <v>173</v>
      </c>
      <c r="M467" s="13" t="s">
        <v>254</v>
      </c>
      <c r="N467" s="13" t="s">
        <v>142</v>
      </c>
    </row>
    <row r="468" customFormat="false" ht="15" hidden="false" customHeight="false" outlineLevel="0" collapsed="false">
      <c r="A468" s="13" t="s">
        <v>681</v>
      </c>
      <c r="B468" s="14" t="n">
        <v>42546</v>
      </c>
      <c r="C468" s="14" t="n">
        <v>45005</v>
      </c>
      <c r="D468" s="13" t="n">
        <v>35</v>
      </c>
      <c r="E468" s="13" t="s">
        <v>182</v>
      </c>
      <c r="F468" s="13" t="s">
        <v>154</v>
      </c>
      <c r="G468" s="13" t="s">
        <v>155</v>
      </c>
      <c r="H468" s="13" t="s">
        <v>156</v>
      </c>
      <c r="I468" s="13" t="n">
        <v>4</v>
      </c>
      <c r="J468" s="13" t="n">
        <v>3</v>
      </c>
      <c r="K468" s="13" t="n">
        <v>105500</v>
      </c>
      <c r="L468" s="13" t="s">
        <v>173</v>
      </c>
      <c r="M468" s="13" t="s">
        <v>273</v>
      </c>
      <c r="N468" s="13" t="s">
        <v>142</v>
      </c>
    </row>
    <row r="469" customFormat="false" ht="15" hidden="false" customHeight="false" outlineLevel="0" collapsed="false">
      <c r="A469" s="13" t="s">
        <v>682</v>
      </c>
      <c r="B469" s="14" t="n">
        <v>42547</v>
      </c>
      <c r="C469" s="14"/>
      <c r="D469" s="13" t="n">
        <v>37</v>
      </c>
      <c r="E469" s="13" t="s">
        <v>144</v>
      </c>
      <c r="F469" s="13" t="s">
        <v>231</v>
      </c>
      <c r="G469" s="13" t="s">
        <v>155</v>
      </c>
      <c r="H469" s="13" t="s">
        <v>146</v>
      </c>
      <c r="I469" s="13" t="n">
        <v>3</v>
      </c>
      <c r="J469" s="13" t="n">
        <v>2</v>
      </c>
      <c r="K469" s="13" t="n">
        <v>75500</v>
      </c>
      <c r="L469" s="13"/>
      <c r="M469" s="13"/>
      <c r="N469" s="13" t="s">
        <v>142</v>
      </c>
    </row>
    <row r="470" customFormat="false" ht="15" hidden="false" customHeight="false" outlineLevel="0" collapsed="false">
      <c r="A470" s="13" t="s">
        <v>683</v>
      </c>
      <c r="B470" s="14" t="n">
        <v>42548</v>
      </c>
      <c r="C470" s="14" t="n">
        <v>44820</v>
      </c>
      <c r="D470" s="13" t="n">
        <v>40</v>
      </c>
      <c r="E470" s="13" t="s">
        <v>259</v>
      </c>
      <c r="F470" s="13" t="s">
        <v>154</v>
      </c>
      <c r="G470" s="13" t="s">
        <v>138</v>
      </c>
      <c r="H470" s="13" t="s">
        <v>139</v>
      </c>
      <c r="I470" s="13" t="n">
        <v>3</v>
      </c>
      <c r="J470" s="13" t="n">
        <v>1</v>
      </c>
      <c r="K470" s="13" t="n">
        <v>47000</v>
      </c>
      <c r="L470" s="13" t="s">
        <v>151</v>
      </c>
      <c r="M470" s="13" t="s">
        <v>152</v>
      </c>
      <c r="N470" s="13" t="s">
        <v>142</v>
      </c>
    </row>
    <row r="471" customFormat="false" ht="15" hidden="false" customHeight="false" outlineLevel="0" collapsed="false">
      <c r="A471" s="13" t="s">
        <v>684</v>
      </c>
      <c r="B471" s="14" t="n">
        <v>42555</v>
      </c>
      <c r="C471" s="14"/>
      <c r="D471" s="13" t="n">
        <v>40</v>
      </c>
      <c r="E471" s="13" t="s">
        <v>144</v>
      </c>
      <c r="F471" s="13" t="s">
        <v>154</v>
      </c>
      <c r="G471" s="13" t="s">
        <v>447</v>
      </c>
      <c r="H471" s="13" t="s">
        <v>178</v>
      </c>
      <c r="I471" s="13" t="n">
        <v>3</v>
      </c>
      <c r="J471" s="13" t="n">
        <v>3</v>
      </c>
      <c r="K471" s="13" t="n">
        <v>146000</v>
      </c>
      <c r="L471" s="13"/>
      <c r="M471" s="13"/>
      <c r="N471" s="13" t="s">
        <v>142</v>
      </c>
    </row>
    <row r="472" customFormat="false" ht="15" hidden="false" customHeight="false" outlineLevel="0" collapsed="false">
      <c r="A472" s="13" t="s">
        <v>685</v>
      </c>
      <c r="B472" s="14" t="n">
        <v>42555</v>
      </c>
      <c r="C472" s="14"/>
      <c r="D472" s="13" t="n">
        <v>34</v>
      </c>
      <c r="E472" s="13" t="s">
        <v>144</v>
      </c>
      <c r="F472" s="13" t="s">
        <v>168</v>
      </c>
      <c r="G472" s="13" t="s">
        <v>191</v>
      </c>
      <c r="H472" s="13" t="s">
        <v>149</v>
      </c>
      <c r="I472" s="13" t="n">
        <v>2</v>
      </c>
      <c r="J472" s="13" t="n">
        <v>3</v>
      </c>
      <c r="K472" s="13" t="n">
        <v>127000</v>
      </c>
      <c r="L472" s="13"/>
      <c r="M472" s="13"/>
      <c r="N472" s="13" t="s">
        <v>142</v>
      </c>
    </row>
    <row r="473" customFormat="false" ht="15" hidden="false" customHeight="false" outlineLevel="0" collapsed="false">
      <c r="A473" s="13" t="s">
        <v>686</v>
      </c>
      <c r="B473" s="14" t="n">
        <v>42556</v>
      </c>
      <c r="C473" s="14"/>
      <c r="D473" s="13" t="n">
        <v>42</v>
      </c>
      <c r="E473" s="13" t="s">
        <v>186</v>
      </c>
      <c r="F473" s="13" t="s">
        <v>168</v>
      </c>
      <c r="G473" s="13" t="s">
        <v>148</v>
      </c>
      <c r="H473" s="13" t="s">
        <v>139</v>
      </c>
      <c r="I473" s="13" t="n">
        <v>4</v>
      </c>
      <c r="J473" s="13" t="n">
        <v>4</v>
      </c>
      <c r="K473" s="13" t="n">
        <v>42500</v>
      </c>
      <c r="L473" s="13"/>
      <c r="M473" s="13"/>
      <c r="N473" s="13" t="s">
        <v>134</v>
      </c>
    </row>
    <row r="474" customFormat="false" ht="15" hidden="false" customHeight="false" outlineLevel="0" collapsed="false">
      <c r="A474" s="13" t="s">
        <v>687</v>
      </c>
      <c r="B474" s="14" t="n">
        <v>42562</v>
      </c>
      <c r="C474" s="14"/>
      <c r="D474" s="13" t="n">
        <v>36</v>
      </c>
      <c r="E474" s="13" t="s">
        <v>130</v>
      </c>
      <c r="F474" s="13" t="s">
        <v>241</v>
      </c>
      <c r="G474" s="13" t="s">
        <v>148</v>
      </c>
      <c r="H474" s="13" t="s">
        <v>156</v>
      </c>
      <c r="I474" s="13" t="n">
        <v>4</v>
      </c>
      <c r="J474" s="13" t="n">
        <v>4</v>
      </c>
      <c r="K474" s="13" t="n">
        <v>114500</v>
      </c>
      <c r="L474" s="13"/>
      <c r="M474" s="13"/>
      <c r="N474" s="13" t="s">
        <v>142</v>
      </c>
    </row>
    <row r="475" customFormat="false" ht="15" hidden="false" customHeight="false" outlineLevel="0" collapsed="false">
      <c r="A475" s="13" t="s">
        <v>688</v>
      </c>
      <c r="B475" s="14" t="n">
        <v>42564</v>
      </c>
      <c r="C475" s="14" t="n">
        <v>44976</v>
      </c>
      <c r="D475" s="13"/>
      <c r="E475" s="13" t="s">
        <v>144</v>
      </c>
      <c r="F475" s="13" t="s">
        <v>145</v>
      </c>
      <c r="G475" s="13" t="s">
        <v>235</v>
      </c>
      <c r="H475" s="13" t="s">
        <v>543</v>
      </c>
      <c r="I475" s="13" t="n">
        <v>4</v>
      </c>
      <c r="J475" s="13" t="n">
        <v>1</v>
      </c>
      <c r="K475" s="13" t="n">
        <v>148000</v>
      </c>
      <c r="L475" s="13" t="s">
        <v>151</v>
      </c>
      <c r="M475" s="13" t="s">
        <v>216</v>
      </c>
      <c r="N475" s="13" t="s">
        <v>214</v>
      </c>
    </row>
    <row r="476" customFormat="false" ht="15" hidden="false" customHeight="false" outlineLevel="0" collapsed="false">
      <c r="A476" s="13" t="s">
        <v>689</v>
      </c>
      <c r="B476" s="14" t="n">
        <v>42564</v>
      </c>
      <c r="C476" s="14"/>
      <c r="D476" s="13" t="n">
        <v>35</v>
      </c>
      <c r="E476" s="13" t="s">
        <v>144</v>
      </c>
      <c r="F476" s="13" t="s">
        <v>168</v>
      </c>
      <c r="G476" s="13" t="s">
        <v>155</v>
      </c>
      <c r="H476" s="13" t="s">
        <v>146</v>
      </c>
      <c r="I476" s="13" t="n">
        <v>3</v>
      </c>
      <c r="J476" s="13" t="n">
        <v>3</v>
      </c>
      <c r="K476" s="13" t="n">
        <v>76500</v>
      </c>
      <c r="L476" s="13"/>
      <c r="M476" s="13"/>
      <c r="N476" s="13" t="s">
        <v>142</v>
      </c>
    </row>
    <row r="477" customFormat="false" ht="15" hidden="false" customHeight="false" outlineLevel="0" collapsed="false">
      <c r="A477" s="13" t="s">
        <v>690</v>
      </c>
      <c r="B477" s="14" t="n">
        <v>42564</v>
      </c>
      <c r="C477" s="14"/>
      <c r="D477" s="13" t="n">
        <v>30</v>
      </c>
      <c r="E477" s="13" t="s">
        <v>136</v>
      </c>
      <c r="F477" s="13" t="s">
        <v>145</v>
      </c>
      <c r="G477" s="13" t="s">
        <v>138</v>
      </c>
      <c r="H477" s="13" t="s">
        <v>149</v>
      </c>
      <c r="I477" s="13" t="n">
        <v>3</v>
      </c>
      <c r="J477" s="13" t="n">
        <v>4</v>
      </c>
      <c r="K477" s="13" t="n">
        <v>135500</v>
      </c>
      <c r="L477" s="13"/>
      <c r="M477" s="13"/>
      <c r="N477" s="13" t="s">
        <v>142</v>
      </c>
    </row>
    <row r="478" customFormat="false" ht="15" hidden="false" customHeight="false" outlineLevel="0" collapsed="false">
      <c r="A478" s="13" t="s">
        <v>691</v>
      </c>
      <c r="B478" s="14" t="n">
        <v>42567</v>
      </c>
      <c r="C478" s="14"/>
      <c r="D478" s="13" t="n">
        <v>42</v>
      </c>
      <c r="E478" s="13" t="s">
        <v>130</v>
      </c>
      <c r="F478" s="13" t="s">
        <v>161</v>
      </c>
      <c r="G478" s="13" t="s">
        <v>138</v>
      </c>
      <c r="H478" s="13" t="s">
        <v>219</v>
      </c>
      <c r="I478" s="13" t="n">
        <v>3</v>
      </c>
      <c r="J478" s="13" t="n">
        <v>2</v>
      </c>
      <c r="K478" s="13" t="n">
        <v>51500</v>
      </c>
      <c r="L478" s="13"/>
      <c r="M478" s="13"/>
      <c r="N478" s="13" t="s">
        <v>142</v>
      </c>
    </row>
    <row r="479" customFormat="false" ht="15" hidden="false" customHeight="false" outlineLevel="0" collapsed="false">
      <c r="A479" s="13" t="s">
        <v>692</v>
      </c>
      <c r="B479" s="14" t="n">
        <v>42569</v>
      </c>
      <c r="C479" s="14"/>
      <c r="D479" s="13" t="n">
        <v>37</v>
      </c>
      <c r="E479" s="13" t="s">
        <v>136</v>
      </c>
      <c r="F479" s="13" t="s">
        <v>170</v>
      </c>
      <c r="G479" s="13" t="s">
        <v>138</v>
      </c>
      <c r="H479" s="13" t="s">
        <v>139</v>
      </c>
      <c r="I479" s="13" t="n">
        <v>3</v>
      </c>
      <c r="J479" s="13" t="n">
        <v>4</v>
      </c>
      <c r="K479" s="13" t="n">
        <v>47500</v>
      </c>
      <c r="L479" s="13"/>
      <c r="M479" s="13"/>
      <c r="N479" s="13" t="s">
        <v>142</v>
      </c>
    </row>
    <row r="480" customFormat="false" ht="15" hidden="false" customHeight="false" outlineLevel="0" collapsed="false">
      <c r="A480" s="13" t="s">
        <v>693</v>
      </c>
      <c r="B480" s="14" t="n">
        <v>42573</v>
      </c>
      <c r="C480" s="14" t="n">
        <v>45736</v>
      </c>
      <c r="D480" s="13" t="n">
        <v>49</v>
      </c>
      <c r="E480" s="13" t="s">
        <v>144</v>
      </c>
      <c r="F480" s="13" t="s">
        <v>161</v>
      </c>
      <c r="G480" s="13" t="s">
        <v>138</v>
      </c>
      <c r="H480" s="13" t="s">
        <v>139</v>
      </c>
      <c r="I480" s="13" t="n">
        <v>4</v>
      </c>
      <c r="J480" s="13" t="n">
        <v>3</v>
      </c>
      <c r="K480" s="13" t="n">
        <v>41000</v>
      </c>
      <c r="L480" s="13" t="s">
        <v>151</v>
      </c>
      <c r="M480" s="13" t="s">
        <v>141</v>
      </c>
      <c r="N480" s="13" t="s">
        <v>142</v>
      </c>
    </row>
    <row r="481" customFormat="false" ht="15" hidden="false" customHeight="false" outlineLevel="0" collapsed="false">
      <c r="A481" s="13" t="s">
        <v>694</v>
      </c>
      <c r="B481" s="14" t="n">
        <v>42578</v>
      </c>
      <c r="C481" s="14"/>
      <c r="D481" s="13" t="n">
        <v>39</v>
      </c>
      <c r="E481" s="13" t="s">
        <v>136</v>
      </c>
      <c r="F481" s="13" t="s">
        <v>161</v>
      </c>
      <c r="G481" s="13" t="s">
        <v>213</v>
      </c>
      <c r="H481" s="13" t="s">
        <v>149</v>
      </c>
      <c r="I481" s="13" t="n">
        <v>3</v>
      </c>
      <c r="J481" s="13" t="n">
        <v>3</v>
      </c>
      <c r="K481" s="13" t="n">
        <v>116500</v>
      </c>
      <c r="L481" s="13"/>
      <c r="M481" s="13"/>
      <c r="N481" s="13" t="s">
        <v>134</v>
      </c>
    </row>
    <row r="482" customFormat="false" ht="15" hidden="false" customHeight="false" outlineLevel="0" collapsed="false">
      <c r="A482" s="13" t="s">
        <v>695</v>
      </c>
      <c r="B482" s="14" t="n">
        <v>42578</v>
      </c>
      <c r="C482" s="14"/>
      <c r="D482" s="13" t="n">
        <v>31</v>
      </c>
      <c r="E482" s="13" t="s">
        <v>182</v>
      </c>
      <c r="F482" s="13" t="s">
        <v>154</v>
      </c>
      <c r="G482" s="13" t="s">
        <v>155</v>
      </c>
      <c r="H482" s="13" t="s">
        <v>146</v>
      </c>
      <c r="I482" s="13" t="n">
        <v>4</v>
      </c>
      <c r="J482" s="13" t="n">
        <v>4</v>
      </c>
      <c r="K482" s="13" t="n">
        <v>62000</v>
      </c>
      <c r="L482" s="13"/>
      <c r="M482" s="13"/>
      <c r="N482" s="13" t="s">
        <v>134</v>
      </c>
    </row>
    <row r="483" customFormat="false" ht="15" hidden="false" customHeight="false" outlineLevel="0" collapsed="false">
      <c r="A483" s="13" t="s">
        <v>696</v>
      </c>
      <c r="B483" s="14" t="n">
        <v>42586</v>
      </c>
      <c r="C483" s="14"/>
      <c r="D483" s="13" t="n">
        <v>36</v>
      </c>
      <c r="E483" s="13" t="s">
        <v>144</v>
      </c>
      <c r="F483" s="13" t="s">
        <v>137</v>
      </c>
      <c r="G483" s="13" t="s">
        <v>297</v>
      </c>
      <c r="H483" s="13" t="s">
        <v>178</v>
      </c>
      <c r="I483" s="13" t="n">
        <v>5</v>
      </c>
      <c r="J483" s="13" t="n">
        <v>4</v>
      </c>
      <c r="K483" s="13" t="n">
        <v>175500</v>
      </c>
      <c r="L483" s="13"/>
      <c r="M483" s="13"/>
      <c r="N483" s="13" t="s">
        <v>142</v>
      </c>
    </row>
    <row r="484" customFormat="false" ht="15" hidden="false" customHeight="false" outlineLevel="0" collapsed="false">
      <c r="A484" s="13" t="s">
        <v>697</v>
      </c>
      <c r="B484" s="14" t="n">
        <v>42587</v>
      </c>
      <c r="C484" s="14"/>
      <c r="D484" s="13" t="n">
        <v>46</v>
      </c>
      <c r="E484" s="13" t="s">
        <v>136</v>
      </c>
      <c r="F484" s="13" t="s">
        <v>241</v>
      </c>
      <c r="G484" s="13" t="s">
        <v>191</v>
      </c>
      <c r="H484" s="13" t="s">
        <v>139</v>
      </c>
      <c r="I484" s="13" t="n">
        <v>2</v>
      </c>
      <c r="J484" s="13" t="n">
        <v>4</v>
      </c>
      <c r="K484" s="13" t="n">
        <v>40000</v>
      </c>
      <c r="L484" s="13"/>
      <c r="M484" s="13"/>
      <c r="N484" s="13" t="s">
        <v>142</v>
      </c>
    </row>
    <row r="485" customFormat="false" ht="15" hidden="false" customHeight="false" outlineLevel="0" collapsed="false">
      <c r="A485" s="13" t="s">
        <v>698</v>
      </c>
      <c r="B485" s="14" t="n">
        <v>42592</v>
      </c>
      <c r="C485" s="14"/>
      <c r="D485" s="13" t="n">
        <v>37</v>
      </c>
      <c r="E485" s="13" t="s">
        <v>144</v>
      </c>
      <c r="F485" s="13" t="s">
        <v>154</v>
      </c>
      <c r="G485" s="13" t="s">
        <v>132</v>
      </c>
      <c r="H485" s="13" t="s">
        <v>146</v>
      </c>
      <c r="I485" s="13" t="n">
        <v>4</v>
      </c>
      <c r="J485" s="13" t="n">
        <v>4</v>
      </c>
      <c r="K485" s="13" t="n">
        <v>79500</v>
      </c>
      <c r="L485" s="13"/>
      <c r="M485" s="13"/>
      <c r="N485" s="13" t="s">
        <v>134</v>
      </c>
    </row>
    <row r="486" customFormat="false" ht="15" hidden="false" customHeight="false" outlineLevel="0" collapsed="false">
      <c r="A486" s="13" t="s">
        <v>699</v>
      </c>
      <c r="B486" s="14" t="n">
        <v>42593</v>
      </c>
      <c r="C486" s="14"/>
      <c r="D486" s="13" t="n">
        <v>35</v>
      </c>
      <c r="E486" s="13" t="s">
        <v>136</v>
      </c>
      <c r="F486" s="13" t="s">
        <v>168</v>
      </c>
      <c r="G486" s="13" t="s">
        <v>138</v>
      </c>
      <c r="H486" s="13" t="s">
        <v>146</v>
      </c>
      <c r="I486" s="13" t="n">
        <v>4</v>
      </c>
      <c r="J486" s="13" t="n">
        <v>3</v>
      </c>
      <c r="K486" s="13" t="n">
        <v>76000</v>
      </c>
      <c r="L486" s="13"/>
      <c r="M486" s="13"/>
      <c r="N486" s="13" t="s">
        <v>142</v>
      </c>
    </row>
    <row r="487" customFormat="false" ht="15" hidden="false" customHeight="false" outlineLevel="0" collapsed="false">
      <c r="A487" s="13" t="s">
        <v>700</v>
      </c>
      <c r="B487" s="14" t="n">
        <v>42597</v>
      </c>
      <c r="C487" s="14" t="n">
        <v>44727</v>
      </c>
      <c r="D487" s="13" t="n">
        <v>34</v>
      </c>
      <c r="E487" s="13" t="s">
        <v>144</v>
      </c>
      <c r="F487" s="13" t="s">
        <v>154</v>
      </c>
      <c r="G487" s="13" t="s">
        <v>148</v>
      </c>
      <c r="H487" s="13" t="s">
        <v>149</v>
      </c>
      <c r="I487" s="13" t="n">
        <v>2</v>
      </c>
      <c r="J487" s="13" t="n">
        <v>4</v>
      </c>
      <c r="K487" s="13" t="n">
        <v>116000</v>
      </c>
      <c r="L487" s="13" t="s">
        <v>253</v>
      </c>
      <c r="M487" s="13" t="s">
        <v>310</v>
      </c>
      <c r="N487" s="13" t="s">
        <v>142</v>
      </c>
    </row>
    <row r="488" customFormat="false" ht="15" hidden="false" customHeight="false" outlineLevel="0" collapsed="false">
      <c r="A488" s="13" t="s">
        <v>701</v>
      </c>
      <c r="B488" s="14" t="n">
        <v>42598</v>
      </c>
      <c r="C488" s="14"/>
      <c r="D488" s="13" t="n">
        <v>39</v>
      </c>
      <c r="E488" s="13" t="s">
        <v>130</v>
      </c>
      <c r="F488" s="13" t="s">
        <v>154</v>
      </c>
      <c r="G488" s="13" t="s">
        <v>155</v>
      </c>
      <c r="H488" s="13" t="s">
        <v>156</v>
      </c>
      <c r="I488" s="13" t="n">
        <v>3</v>
      </c>
      <c r="J488" s="13" t="n">
        <v>2</v>
      </c>
      <c r="K488" s="13" t="n">
        <v>103000</v>
      </c>
      <c r="L488" s="13"/>
      <c r="M488" s="13"/>
      <c r="N488" s="13" t="s">
        <v>142</v>
      </c>
    </row>
    <row r="489" customFormat="false" ht="15" hidden="false" customHeight="false" outlineLevel="0" collapsed="false">
      <c r="A489" s="13" t="s">
        <v>702</v>
      </c>
      <c r="B489" s="14" t="n">
        <v>42602</v>
      </c>
      <c r="C489" s="14" t="n">
        <v>44564</v>
      </c>
      <c r="D489" s="13" t="n">
        <v>32</v>
      </c>
      <c r="E489" s="13" t="s">
        <v>136</v>
      </c>
      <c r="F489" s="13" t="s">
        <v>164</v>
      </c>
      <c r="G489" s="13" t="s">
        <v>138</v>
      </c>
      <c r="H489" s="13" t="s">
        <v>280</v>
      </c>
      <c r="I489" s="13" t="n">
        <v>2</v>
      </c>
      <c r="J489" s="13"/>
      <c r="K489" s="13" t="n">
        <v>115500</v>
      </c>
      <c r="L489" s="13" t="s">
        <v>151</v>
      </c>
      <c r="M489" s="13" t="s">
        <v>201</v>
      </c>
      <c r="N489" s="13" t="s">
        <v>142</v>
      </c>
    </row>
    <row r="490" customFormat="false" ht="15" hidden="false" customHeight="false" outlineLevel="0" collapsed="false">
      <c r="A490" s="13" t="s">
        <v>703</v>
      </c>
      <c r="B490" s="14" t="n">
        <v>42609</v>
      </c>
      <c r="C490" s="14"/>
      <c r="D490" s="13" t="n">
        <v>33</v>
      </c>
      <c r="E490" s="13" t="s">
        <v>136</v>
      </c>
      <c r="F490" s="13" t="s">
        <v>239</v>
      </c>
      <c r="G490" s="13" t="s">
        <v>155</v>
      </c>
      <c r="H490" s="13" t="s">
        <v>156</v>
      </c>
      <c r="I490" s="13" t="n">
        <v>3</v>
      </c>
      <c r="J490" s="13" t="n">
        <v>3</v>
      </c>
      <c r="K490" s="13" t="n">
        <v>103500</v>
      </c>
      <c r="L490" s="13"/>
      <c r="M490" s="13"/>
      <c r="N490" s="13" t="s">
        <v>142</v>
      </c>
    </row>
    <row r="491" customFormat="false" ht="15" hidden="false" customHeight="false" outlineLevel="0" collapsed="false">
      <c r="A491" s="13" t="s">
        <v>704</v>
      </c>
      <c r="B491" s="14" t="n">
        <v>42609</v>
      </c>
      <c r="C491" s="14"/>
      <c r="D491" s="13" t="n">
        <v>31</v>
      </c>
      <c r="E491" s="13" t="s">
        <v>136</v>
      </c>
      <c r="F491" s="13" t="s">
        <v>145</v>
      </c>
      <c r="G491" s="13" t="s">
        <v>386</v>
      </c>
      <c r="H491" s="13" t="s">
        <v>139</v>
      </c>
      <c r="I491" s="13" t="n">
        <v>2</v>
      </c>
      <c r="J491" s="13" t="n">
        <v>2</v>
      </c>
      <c r="K491" s="13" t="n">
        <v>43000</v>
      </c>
      <c r="L491" s="13"/>
      <c r="M491" s="13"/>
      <c r="N491" s="13" t="s">
        <v>142</v>
      </c>
    </row>
    <row r="492" customFormat="false" ht="15" hidden="false" customHeight="false" outlineLevel="0" collapsed="false">
      <c r="A492" s="13" t="s">
        <v>705</v>
      </c>
      <c r="B492" s="14" t="n">
        <v>42617</v>
      </c>
      <c r="C492" s="14" t="n">
        <v>44569</v>
      </c>
      <c r="D492" s="13" t="n">
        <v>39</v>
      </c>
      <c r="E492" s="13" t="s">
        <v>136</v>
      </c>
      <c r="F492" s="13" t="s">
        <v>145</v>
      </c>
      <c r="G492" s="13" t="s">
        <v>155</v>
      </c>
      <c r="H492" s="13" t="s">
        <v>149</v>
      </c>
      <c r="I492" s="13" t="n">
        <v>3</v>
      </c>
      <c r="J492" s="13" t="n">
        <v>2</v>
      </c>
      <c r="K492" s="13" t="n">
        <v>103000</v>
      </c>
      <c r="L492" s="13" t="s">
        <v>151</v>
      </c>
      <c r="M492" s="13" t="s">
        <v>201</v>
      </c>
      <c r="N492" s="13" t="s">
        <v>255</v>
      </c>
    </row>
    <row r="493" customFormat="false" ht="15" hidden="false" customHeight="false" outlineLevel="0" collapsed="false">
      <c r="A493" s="13" t="s">
        <v>706</v>
      </c>
      <c r="B493" s="14" t="n">
        <v>42619</v>
      </c>
      <c r="C493" s="14" t="n">
        <v>45275</v>
      </c>
      <c r="D493" s="13" t="n">
        <v>50</v>
      </c>
      <c r="E493" s="13" t="s">
        <v>144</v>
      </c>
      <c r="F493" s="13" t="s">
        <v>137</v>
      </c>
      <c r="G493" s="13" t="s">
        <v>148</v>
      </c>
      <c r="H493" s="13" t="s">
        <v>149</v>
      </c>
      <c r="I493" s="13" t="n">
        <v>1</v>
      </c>
      <c r="J493" s="13" t="n">
        <v>4</v>
      </c>
      <c r="K493" s="13" t="n">
        <v>142500</v>
      </c>
      <c r="L493" s="13" t="s">
        <v>173</v>
      </c>
      <c r="M493" s="13" t="s">
        <v>254</v>
      </c>
      <c r="N493" s="13" t="s">
        <v>134</v>
      </c>
    </row>
    <row r="494" customFormat="false" ht="15" hidden="false" customHeight="false" outlineLevel="0" collapsed="false">
      <c r="A494" s="13" t="s">
        <v>707</v>
      </c>
      <c r="B494" s="14" t="n">
        <v>42619</v>
      </c>
      <c r="C494" s="14"/>
      <c r="D494" s="13" t="n">
        <v>41</v>
      </c>
      <c r="E494" s="13" t="s">
        <v>182</v>
      </c>
      <c r="F494" s="13" t="s">
        <v>239</v>
      </c>
      <c r="G494" s="13" t="s">
        <v>155</v>
      </c>
      <c r="H494" s="13" t="s">
        <v>149</v>
      </c>
      <c r="I494" s="13" t="n">
        <v>3</v>
      </c>
      <c r="J494" s="13" t="n">
        <v>2</v>
      </c>
      <c r="K494" s="13" t="n">
        <v>126500</v>
      </c>
      <c r="L494" s="13"/>
      <c r="M494" s="13"/>
      <c r="N494" s="13" t="s">
        <v>142</v>
      </c>
    </row>
    <row r="495" customFormat="false" ht="15" hidden="false" customHeight="false" outlineLevel="0" collapsed="false">
      <c r="A495" s="13" t="s">
        <v>708</v>
      </c>
      <c r="B495" s="14" t="n">
        <v>42620</v>
      </c>
      <c r="C495" s="14" t="n">
        <v>45938</v>
      </c>
      <c r="D495" s="13" t="n">
        <v>45</v>
      </c>
      <c r="E495" s="13" t="s">
        <v>163</v>
      </c>
      <c r="F495" s="13" t="s">
        <v>154</v>
      </c>
      <c r="G495" s="13" t="s">
        <v>138</v>
      </c>
      <c r="H495" s="13" t="s">
        <v>133</v>
      </c>
      <c r="I495" s="13" t="n">
        <v>3</v>
      </c>
      <c r="J495" s="13" t="n">
        <v>3</v>
      </c>
      <c r="K495" s="13" t="n">
        <v>73500</v>
      </c>
      <c r="L495" s="13" t="s">
        <v>151</v>
      </c>
      <c r="M495" s="13" t="s">
        <v>201</v>
      </c>
      <c r="N495" s="13" t="s">
        <v>142</v>
      </c>
    </row>
    <row r="496" customFormat="false" ht="15" hidden="false" customHeight="false" outlineLevel="0" collapsed="false">
      <c r="A496" s="13" t="s">
        <v>709</v>
      </c>
      <c r="B496" s="14" t="n">
        <v>42623</v>
      </c>
      <c r="C496" s="14"/>
      <c r="D496" s="13" t="n">
        <v>42</v>
      </c>
      <c r="E496" s="13" t="s">
        <v>144</v>
      </c>
      <c r="F496" s="13" t="s">
        <v>170</v>
      </c>
      <c r="G496" s="13" t="s">
        <v>132</v>
      </c>
      <c r="H496" s="13" t="s">
        <v>146</v>
      </c>
      <c r="I496" s="13" t="n">
        <v>3</v>
      </c>
      <c r="J496" s="13" t="n">
        <v>4</v>
      </c>
      <c r="K496" s="13" t="n">
        <v>82500</v>
      </c>
      <c r="L496" s="13"/>
      <c r="M496" s="13"/>
      <c r="N496" s="13" t="s">
        <v>142</v>
      </c>
    </row>
    <row r="497" customFormat="false" ht="15" hidden="false" customHeight="false" outlineLevel="0" collapsed="false">
      <c r="A497" s="13" t="s">
        <v>710</v>
      </c>
      <c r="B497" s="14" t="n">
        <v>42625</v>
      </c>
      <c r="C497" s="14"/>
      <c r="D497" s="13" t="n">
        <v>40</v>
      </c>
      <c r="E497" s="13" t="s">
        <v>136</v>
      </c>
      <c r="F497" s="13" t="s">
        <v>145</v>
      </c>
      <c r="G497" s="13" t="s">
        <v>188</v>
      </c>
      <c r="H497" s="13" t="s">
        <v>172</v>
      </c>
      <c r="I497" s="13" t="n">
        <v>3</v>
      </c>
      <c r="J497" s="13" t="n">
        <v>4</v>
      </c>
      <c r="K497" s="13" t="n">
        <v>45000</v>
      </c>
      <c r="L497" s="13"/>
      <c r="M497" s="13"/>
      <c r="N497" s="13" t="s">
        <v>142</v>
      </c>
    </row>
    <row r="498" customFormat="false" ht="15" hidden="false" customHeight="false" outlineLevel="0" collapsed="false">
      <c r="A498" s="13" t="s">
        <v>711</v>
      </c>
      <c r="B498" s="14" t="n">
        <v>42628</v>
      </c>
      <c r="C498" s="14"/>
      <c r="D498" s="13" t="n">
        <v>31</v>
      </c>
      <c r="E498" s="13" t="s">
        <v>144</v>
      </c>
      <c r="F498" s="13" t="s">
        <v>137</v>
      </c>
      <c r="G498" s="13" t="s">
        <v>132</v>
      </c>
      <c r="H498" s="13" t="s">
        <v>149</v>
      </c>
      <c r="I498" s="13" t="n">
        <v>3</v>
      </c>
      <c r="J498" s="13" t="n">
        <v>4</v>
      </c>
      <c r="K498" s="13" t="n">
        <v>117000</v>
      </c>
      <c r="L498" s="13"/>
      <c r="M498" s="13"/>
      <c r="N498" s="13" t="s">
        <v>142</v>
      </c>
    </row>
    <row r="499" customFormat="false" ht="15" hidden="false" customHeight="false" outlineLevel="0" collapsed="false">
      <c r="A499" s="13" t="s">
        <v>712</v>
      </c>
      <c r="B499" s="14" t="n">
        <v>42630</v>
      </c>
      <c r="C499" s="14"/>
      <c r="D499" s="13" t="n">
        <v>38</v>
      </c>
      <c r="E499" s="13" t="s">
        <v>136</v>
      </c>
      <c r="F499" s="13" t="s">
        <v>168</v>
      </c>
      <c r="G499" s="13" t="s">
        <v>155</v>
      </c>
      <c r="H499" s="13" t="s">
        <v>146</v>
      </c>
      <c r="I499" s="13" t="n">
        <v>3</v>
      </c>
      <c r="J499" s="13" t="n">
        <v>2</v>
      </c>
      <c r="K499" s="13" t="n">
        <v>62500</v>
      </c>
      <c r="L499" s="13"/>
      <c r="M499" s="13"/>
      <c r="N499" s="13" t="s">
        <v>142</v>
      </c>
    </row>
    <row r="500" customFormat="false" ht="15" hidden="false" customHeight="false" outlineLevel="0" collapsed="false">
      <c r="A500" s="13" t="s">
        <v>713</v>
      </c>
      <c r="B500" s="14" t="n">
        <v>42631</v>
      </c>
      <c r="C500" s="14"/>
      <c r="D500" s="13" t="n">
        <v>39</v>
      </c>
      <c r="E500" s="13" t="s">
        <v>136</v>
      </c>
      <c r="F500" s="13" t="s">
        <v>231</v>
      </c>
      <c r="G500" s="13" t="s">
        <v>297</v>
      </c>
      <c r="H500" s="13" t="s">
        <v>276</v>
      </c>
      <c r="I500" s="13" t="n">
        <v>4</v>
      </c>
      <c r="J500" s="13" t="n">
        <v>3</v>
      </c>
      <c r="K500" s="13" t="n">
        <v>200500</v>
      </c>
      <c r="L500" s="13"/>
      <c r="M500" s="13"/>
      <c r="N500" s="13" t="s">
        <v>134</v>
      </c>
    </row>
    <row r="501" customFormat="false" ht="15" hidden="false" customHeight="false" outlineLevel="0" collapsed="false">
      <c r="A501" s="13" t="s">
        <v>714</v>
      </c>
      <c r="B501" s="14" t="n">
        <v>42639</v>
      </c>
      <c r="C501" s="14"/>
      <c r="D501" s="13" t="n">
        <v>37</v>
      </c>
      <c r="E501" s="13" t="s">
        <v>136</v>
      </c>
      <c r="F501" s="13" t="s">
        <v>137</v>
      </c>
      <c r="G501" s="13" t="s">
        <v>148</v>
      </c>
      <c r="H501" s="13" t="s">
        <v>139</v>
      </c>
      <c r="I501" s="13" t="n">
        <v>3</v>
      </c>
      <c r="J501" s="13" t="n">
        <v>4</v>
      </c>
      <c r="K501" s="13" t="n">
        <v>46500</v>
      </c>
      <c r="L501" s="13"/>
      <c r="M501" s="13"/>
      <c r="N501" s="13" t="s">
        <v>142</v>
      </c>
    </row>
    <row r="502" customFormat="false" ht="15" hidden="false" customHeight="false" outlineLevel="0" collapsed="false">
      <c r="A502" s="13" t="s">
        <v>715</v>
      </c>
      <c r="B502" s="14" t="n">
        <v>42641</v>
      </c>
      <c r="C502" s="14"/>
      <c r="D502" s="13" t="n">
        <v>36</v>
      </c>
      <c r="E502" s="13" t="s">
        <v>163</v>
      </c>
      <c r="F502" s="13" t="s">
        <v>161</v>
      </c>
      <c r="G502" s="13" t="s">
        <v>132</v>
      </c>
      <c r="H502" s="13" t="s">
        <v>146</v>
      </c>
      <c r="I502" s="13" t="n">
        <v>3</v>
      </c>
      <c r="J502" s="13" t="n">
        <v>1</v>
      </c>
      <c r="K502" s="13" t="n">
        <v>69500</v>
      </c>
      <c r="L502" s="13"/>
      <c r="M502" s="13"/>
      <c r="N502" s="13" t="s">
        <v>142</v>
      </c>
    </row>
    <row r="503" customFormat="false" ht="15" hidden="false" customHeight="false" outlineLevel="0" collapsed="false">
      <c r="A503" s="13" t="s">
        <v>716</v>
      </c>
      <c r="B503" s="14" t="n">
        <v>42642</v>
      </c>
      <c r="C503" s="14"/>
      <c r="D503" s="13" t="n">
        <v>39</v>
      </c>
      <c r="E503" s="13" t="s">
        <v>136</v>
      </c>
      <c r="F503" s="13" t="s">
        <v>131</v>
      </c>
      <c r="G503" s="13" t="s">
        <v>155</v>
      </c>
      <c r="H503" s="13" t="s">
        <v>146</v>
      </c>
      <c r="I503" s="13" t="n">
        <v>3</v>
      </c>
      <c r="J503" s="13" t="n">
        <v>4</v>
      </c>
      <c r="K503" s="13" t="n">
        <v>64000</v>
      </c>
      <c r="L503" s="13"/>
      <c r="M503" s="13"/>
      <c r="N503" s="13" t="s">
        <v>142</v>
      </c>
    </row>
    <row r="504" customFormat="false" ht="15" hidden="false" customHeight="false" outlineLevel="0" collapsed="false">
      <c r="A504" s="13" t="s">
        <v>717</v>
      </c>
      <c r="B504" s="14" t="n">
        <v>42649</v>
      </c>
      <c r="C504" s="14"/>
      <c r="D504" s="13" t="n">
        <v>38</v>
      </c>
      <c r="E504" s="13" t="s">
        <v>136</v>
      </c>
      <c r="F504" s="13" t="s">
        <v>168</v>
      </c>
      <c r="G504" s="13" t="s">
        <v>155</v>
      </c>
      <c r="H504" s="13" t="s">
        <v>242</v>
      </c>
      <c r="I504" s="13" t="n">
        <v>5</v>
      </c>
      <c r="J504" s="13" t="n">
        <v>2</v>
      </c>
      <c r="K504" s="13" t="n">
        <v>102500</v>
      </c>
      <c r="L504" s="13"/>
      <c r="M504" s="13"/>
      <c r="N504" s="13" t="s">
        <v>142</v>
      </c>
    </row>
    <row r="505" customFormat="false" ht="15" hidden="false" customHeight="false" outlineLevel="0" collapsed="false">
      <c r="A505" s="13" t="s">
        <v>718</v>
      </c>
      <c r="B505" s="14" t="n">
        <v>42651</v>
      </c>
      <c r="C505" s="14" t="n">
        <v>44850</v>
      </c>
      <c r="D505" s="13" t="n">
        <v>34</v>
      </c>
      <c r="E505" s="13" t="s">
        <v>136</v>
      </c>
      <c r="F505" s="13" t="s">
        <v>161</v>
      </c>
      <c r="G505" s="13" t="s">
        <v>155</v>
      </c>
      <c r="H505" s="13" t="s">
        <v>192</v>
      </c>
      <c r="I505" s="13" t="n">
        <v>4</v>
      </c>
      <c r="J505" s="13" t="n">
        <v>3</v>
      </c>
      <c r="K505" s="13" t="n">
        <v>184000</v>
      </c>
      <c r="L505" s="13" t="s">
        <v>151</v>
      </c>
      <c r="M505" s="13" t="s">
        <v>159</v>
      </c>
      <c r="N505" s="13" t="s">
        <v>142</v>
      </c>
    </row>
    <row r="506" customFormat="false" ht="15" hidden="false" customHeight="false" outlineLevel="0" collapsed="false">
      <c r="A506" s="13" t="s">
        <v>719</v>
      </c>
      <c r="B506" s="14" t="n">
        <v>42656</v>
      </c>
      <c r="C506" s="14" t="n">
        <v>44595</v>
      </c>
      <c r="D506" s="13" t="n">
        <v>32</v>
      </c>
      <c r="E506" s="13" t="s">
        <v>144</v>
      </c>
      <c r="F506" s="13" t="s">
        <v>168</v>
      </c>
      <c r="G506" s="13" t="s">
        <v>148</v>
      </c>
      <c r="H506" s="13" t="s">
        <v>139</v>
      </c>
      <c r="I506" s="13" t="n">
        <v>4</v>
      </c>
      <c r="J506" s="13" t="n">
        <v>2</v>
      </c>
      <c r="K506" s="13" t="n">
        <v>39000</v>
      </c>
      <c r="L506" s="13" t="s">
        <v>151</v>
      </c>
      <c r="M506" s="13" t="s">
        <v>152</v>
      </c>
      <c r="N506" s="13" t="s">
        <v>142</v>
      </c>
    </row>
    <row r="507" customFormat="false" ht="15" hidden="false" customHeight="false" outlineLevel="0" collapsed="false">
      <c r="A507" s="13" t="s">
        <v>720</v>
      </c>
      <c r="B507" s="14" t="n">
        <v>42656</v>
      </c>
      <c r="C507" s="14"/>
      <c r="D507" s="13" t="n">
        <v>38</v>
      </c>
      <c r="E507" s="13" t="s">
        <v>144</v>
      </c>
      <c r="F507" s="13" t="s">
        <v>137</v>
      </c>
      <c r="G507" s="13" t="s">
        <v>148</v>
      </c>
      <c r="H507" s="13" t="s">
        <v>146</v>
      </c>
      <c r="I507" s="13" t="n">
        <v>4</v>
      </c>
      <c r="J507" s="13" t="n">
        <v>2</v>
      </c>
      <c r="K507" s="13" t="n">
        <v>75000</v>
      </c>
      <c r="L507" s="13"/>
      <c r="M507" s="13"/>
      <c r="N507" s="13" t="s">
        <v>142</v>
      </c>
    </row>
    <row r="508" customFormat="false" ht="15" hidden="false" customHeight="false" outlineLevel="0" collapsed="false">
      <c r="A508" s="13" t="s">
        <v>721</v>
      </c>
      <c r="B508" s="14" t="n">
        <v>42659</v>
      </c>
      <c r="C508" s="14" t="n">
        <v>45080</v>
      </c>
      <c r="D508" s="13" t="n">
        <v>37</v>
      </c>
      <c r="E508" s="13" t="s">
        <v>136</v>
      </c>
      <c r="F508" s="13" t="s">
        <v>154</v>
      </c>
      <c r="G508" s="13" t="s">
        <v>132</v>
      </c>
      <c r="H508" s="13" t="s">
        <v>146</v>
      </c>
      <c r="I508" s="13" t="n">
        <v>1</v>
      </c>
      <c r="J508" s="13" t="n">
        <v>1</v>
      </c>
      <c r="K508" s="13" t="n">
        <v>71000</v>
      </c>
      <c r="L508" s="13" t="s">
        <v>151</v>
      </c>
      <c r="M508" s="13" t="s">
        <v>314</v>
      </c>
      <c r="N508" s="13" t="s">
        <v>142</v>
      </c>
    </row>
    <row r="509" customFormat="false" ht="15" hidden="false" customHeight="false" outlineLevel="0" collapsed="false">
      <c r="A509" s="13" t="s">
        <v>722</v>
      </c>
      <c r="B509" s="14" t="n">
        <v>42659</v>
      </c>
      <c r="C509" s="14"/>
      <c r="D509" s="13" t="n">
        <v>40</v>
      </c>
      <c r="E509" s="13" t="s">
        <v>259</v>
      </c>
      <c r="F509" s="13" t="s">
        <v>168</v>
      </c>
      <c r="G509" s="13" t="s">
        <v>148</v>
      </c>
      <c r="H509" s="13" t="s">
        <v>139</v>
      </c>
      <c r="I509" s="13" t="n">
        <v>3</v>
      </c>
      <c r="J509" s="13" t="n">
        <v>3</v>
      </c>
      <c r="K509" s="13" t="n">
        <v>43000</v>
      </c>
      <c r="L509" s="13"/>
      <c r="M509" s="13"/>
      <c r="N509" s="13" t="s">
        <v>142</v>
      </c>
    </row>
    <row r="510" customFormat="false" ht="15" hidden="false" customHeight="false" outlineLevel="0" collapsed="false">
      <c r="A510" s="13" t="s">
        <v>723</v>
      </c>
      <c r="B510" s="14" t="n">
        <v>42665</v>
      </c>
      <c r="C510" s="14"/>
      <c r="D510" s="13" t="n">
        <v>40</v>
      </c>
      <c r="E510" s="13" t="s">
        <v>136</v>
      </c>
      <c r="F510" s="13" t="s">
        <v>231</v>
      </c>
      <c r="G510" s="13" t="s">
        <v>334</v>
      </c>
      <c r="H510" s="13" t="s">
        <v>139</v>
      </c>
      <c r="I510" s="13" t="n">
        <v>4</v>
      </c>
      <c r="J510" s="13" t="n">
        <v>4</v>
      </c>
      <c r="K510" s="13" t="n">
        <v>44000</v>
      </c>
      <c r="L510" s="13"/>
      <c r="M510" s="13"/>
      <c r="N510" s="13" t="s">
        <v>142</v>
      </c>
    </row>
    <row r="511" customFormat="false" ht="15" hidden="false" customHeight="false" outlineLevel="0" collapsed="false">
      <c r="A511" s="13" t="s">
        <v>724</v>
      </c>
      <c r="B511" s="14" t="n">
        <v>42665</v>
      </c>
      <c r="C511" s="14" t="n">
        <v>45437</v>
      </c>
      <c r="D511" s="13" t="n">
        <v>42</v>
      </c>
      <c r="E511" s="13" t="s">
        <v>144</v>
      </c>
      <c r="F511" s="13" t="s">
        <v>164</v>
      </c>
      <c r="G511" s="13" t="s">
        <v>297</v>
      </c>
      <c r="H511" s="13" t="s">
        <v>192</v>
      </c>
      <c r="I511" s="13" t="n">
        <v>1</v>
      </c>
      <c r="J511" s="13" t="n">
        <v>4</v>
      </c>
      <c r="K511" s="13" t="n">
        <v>238000</v>
      </c>
      <c r="L511" s="13" t="s">
        <v>140</v>
      </c>
      <c r="M511" s="13" t="s">
        <v>201</v>
      </c>
      <c r="N511" s="13" t="s">
        <v>134</v>
      </c>
    </row>
    <row r="512" customFormat="false" ht="15" hidden="false" customHeight="false" outlineLevel="0" collapsed="false">
      <c r="A512" s="13" t="s">
        <v>725</v>
      </c>
      <c r="B512" s="14" t="n">
        <v>42666</v>
      </c>
      <c r="C512" s="14" t="n">
        <v>45005</v>
      </c>
      <c r="D512" s="13" t="n">
        <v>38</v>
      </c>
      <c r="E512" s="13" t="s">
        <v>136</v>
      </c>
      <c r="F512" s="13" t="s">
        <v>137</v>
      </c>
      <c r="G512" s="13" t="s">
        <v>155</v>
      </c>
      <c r="H512" s="13" t="s">
        <v>146</v>
      </c>
      <c r="I512" s="13" t="n">
        <v>2</v>
      </c>
      <c r="J512" s="13" t="n">
        <v>3</v>
      </c>
      <c r="K512" s="13" t="n">
        <v>72000</v>
      </c>
      <c r="L512" s="13" t="s">
        <v>173</v>
      </c>
      <c r="M512" s="13" t="s">
        <v>254</v>
      </c>
      <c r="N512" s="13" t="s">
        <v>142</v>
      </c>
    </row>
    <row r="513" customFormat="false" ht="15" hidden="false" customHeight="false" outlineLevel="0" collapsed="false">
      <c r="A513" s="13" t="s">
        <v>726</v>
      </c>
      <c r="B513" s="14" t="n">
        <v>42667</v>
      </c>
      <c r="C513" s="14"/>
      <c r="D513" s="13" t="n">
        <v>44</v>
      </c>
      <c r="E513" s="13" t="s">
        <v>182</v>
      </c>
      <c r="F513" s="13" t="s">
        <v>168</v>
      </c>
      <c r="G513" s="13" t="s">
        <v>132</v>
      </c>
      <c r="H513" s="13" t="s">
        <v>149</v>
      </c>
      <c r="I513" s="13" t="n">
        <v>3</v>
      </c>
      <c r="J513" s="13" t="n">
        <v>4</v>
      </c>
      <c r="K513" s="13" t="n">
        <v>127000</v>
      </c>
      <c r="L513" s="13"/>
      <c r="M513" s="13"/>
      <c r="N513" s="13" t="s">
        <v>142</v>
      </c>
    </row>
    <row r="514" customFormat="false" ht="15" hidden="false" customHeight="false" outlineLevel="0" collapsed="false">
      <c r="A514" s="13" t="s">
        <v>727</v>
      </c>
      <c r="B514" s="14" t="n">
        <v>42668</v>
      </c>
      <c r="C514" s="14"/>
      <c r="D514" s="13" t="n">
        <v>45</v>
      </c>
      <c r="E514" s="13" t="s">
        <v>144</v>
      </c>
      <c r="F514" s="13" t="s">
        <v>131</v>
      </c>
      <c r="G514" s="13" t="s">
        <v>155</v>
      </c>
      <c r="H514" s="13" t="s">
        <v>149</v>
      </c>
      <c r="I514" s="13" t="n">
        <v>3</v>
      </c>
      <c r="J514" s="13" t="n">
        <v>1</v>
      </c>
      <c r="K514" s="13" t="n">
        <v>108500</v>
      </c>
      <c r="L514" s="13"/>
      <c r="M514" s="13"/>
      <c r="N514" s="13" t="s">
        <v>214</v>
      </c>
    </row>
    <row r="515" customFormat="false" ht="15" hidden="false" customHeight="false" outlineLevel="0" collapsed="false">
      <c r="A515" s="13" t="s">
        <v>728</v>
      </c>
      <c r="B515" s="14" t="n">
        <v>42676</v>
      </c>
      <c r="C515" s="14"/>
      <c r="D515" s="13" t="n">
        <v>34</v>
      </c>
      <c r="E515" s="13" t="s">
        <v>136</v>
      </c>
      <c r="F515" s="13" t="s">
        <v>131</v>
      </c>
      <c r="G515" s="13" t="s">
        <v>155</v>
      </c>
      <c r="H515" s="13" t="s">
        <v>156</v>
      </c>
      <c r="I515" s="13" t="n">
        <v>3</v>
      </c>
      <c r="J515" s="13" t="n">
        <v>3</v>
      </c>
      <c r="K515" s="13" t="n">
        <v>113000</v>
      </c>
      <c r="L515" s="13"/>
      <c r="M515" s="13"/>
      <c r="N515" s="13" t="s">
        <v>134</v>
      </c>
    </row>
    <row r="516" customFormat="false" ht="15" hidden="false" customHeight="false" outlineLevel="0" collapsed="false">
      <c r="A516" s="13" t="s">
        <v>729</v>
      </c>
      <c r="B516" s="14" t="n">
        <v>42677</v>
      </c>
      <c r="C516" s="14" t="n">
        <v>45137</v>
      </c>
      <c r="D516" s="13" t="n">
        <v>36</v>
      </c>
      <c r="E516" s="13" t="s">
        <v>144</v>
      </c>
      <c r="F516" s="13" t="s">
        <v>168</v>
      </c>
      <c r="G516" s="13" t="s">
        <v>148</v>
      </c>
      <c r="H516" s="13" t="s">
        <v>219</v>
      </c>
      <c r="I516" s="13" t="n">
        <v>2</v>
      </c>
      <c r="J516" s="13"/>
      <c r="K516" s="13" t="n">
        <v>40000</v>
      </c>
      <c r="L516" s="13" t="s">
        <v>151</v>
      </c>
      <c r="M516" s="13" t="s">
        <v>216</v>
      </c>
      <c r="N516" s="13" t="s">
        <v>134</v>
      </c>
    </row>
    <row r="517" customFormat="false" ht="15" hidden="false" customHeight="false" outlineLevel="0" collapsed="false">
      <c r="A517" s="13" t="s">
        <v>730</v>
      </c>
      <c r="B517" s="14" t="n">
        <v>42679</v>
      </c>
      <c r="C517" s="14"/>
      <c r="D517" s="13" t="n">
        <v>38</v>
      </c>
      <c r="E517" s="13" t="s">
        <v>144</v>
      </c>
      <c r="F517" s="13" t="s">
        <v>137</v>
      </c>
      <c r="G517" s="13" t="s">
        <v>138</v>
      </c>
      <c r="H517" s="13" t="s">
        <v>156</v>
      </c>
      <c r="I517" s="13" t="n">
        <v>4</v>
      </c>
      <c r="J517" s="13" t="n">
        <v>4</v>
      </c>
      <c r="K517" s="13" t="n">
        <v>112000</v>
      </c>
      <c r="L517" s="13"/>
      <c r="M517" s="13"/>
      <c r="N517" s="13" t="s">
        <v>142</v>
      </c>
    </row>
    <row r="518" customFormat="false" ht="15" hidden="false" customHeight="false" outlineLevel="0" collapsed="false">
      <c r="A518" s="13" t="s">
        <v>731</v>
      </c>
      <c r="B518" s="14" t="n">
        <v>42687</v>
      </c>
      <c r="C518" s="14"/>
      <c r="D518" s="13" t="n">
        <v>39</v>
      </c>
      <c r="E518" s="13" t="s">
        <v>136</v>
      </c>
      <c r="F518" s="13" t="s">
        <v>154</v>
      </c>
      <c r="G518" s="13" t="s">
        <v>195</v>
      </c>
      <c r="H518" s="13" t="s">
        <v>192</v>
      </c>
      <c r="I518" s="13" t="n">
        <v>3</v>
      </c>
      <c r="J518" s="13" t="n">
        <v>2</v>
      </c>
      <c r="K518" s="13" t="n">
        <v>205500</v>
      </c>
      <c r="L518" s="13"/>
      <c r="M518" s="13"/>
      <c r="N518" s="13" t="s">
        <v>214</v>
      </c>
    </row>
    <row r="519" customFormat="false" ht="15" hidden="false" customHeight="false" outlineLevel="0" collapsed="false">
      <c r="A519" s="13" t="s">
        <v>732</v>
      </c>
      <c r="B519" s="14" t="n">
        <v>42688</v>
      </c>
      <c r="C519" s="14"/>
      <c r="D519" s="13" t="n">
        <v>34</v>
      </c>
      <c r="E519" s="13" t="s">
        <v>186</v>
      </c>
      <c r="F519" s="13" t="s">
        <v>154</v>
      </c>
      <c r="G519" s="13" t="s">
        <v>148</v>
      </c>
      <c r="H519" s="13" t="s">
        <v>146</v>
      </c>
      <c r="I519" s="13" t="n">
        <v>4</v>
      </c>
      <c r="J519" s="13" t="n">
        <v>3</v>
      </c>
      <c r="K519" s="13" t="n">
        <v>77500</v>
      </c>
      <c r="L519" s="13"/>
      <c r="M519" s="13"/>
      <c r="N519" s="13" t="s">
        <v>142</v>
      </c>
    </row>
    <row r="520" customFormat="false" ht="15" hidden="false" customHeight="false" outlineLevel="0" collapsed="false">
      <c r="A520" s="13" t="s">
        <v>733</v>
      </c>
      <c r="B520" s="14" t="n">
        <v>42689</v>
      </c>
      <c r="C520" s="14" t="n">
        <v>45168</v>
      </c>
      <c r="D520" s="13" t="n">
        <v>47</v>
      </c>
      <c r="E520" s="13" t="s">
        <v>186</v>
      </c>
      <c r="F520" s="13" t="s">
        <v>154</v>
      </c>
      <c r="G520" s="13" t="s">
        <v>148</v>
      </c>
      <c r="H520" s="13" t="s">
        <v>178</v>
      </c>
      <c r="I520" s="13" t="n">
        <v>2</v>
      </c>
      <c r="J520" s="13" t="n">
        <v>3</v>
      </c>
      <c r="K520" s="13" t="n">
        <v>152500</v>
      </c>
      <c r="L520" s="13" t="s">
        <v>173</v>
      </c>
      <c r="M520" s="13" t="s">
        <v>273</v>
      </c>
      <c r="N520" s="13" t="s">
        <v>134</v>
      </c>
    </row>
    <row r="521" customFormat="false" ht="15" hidden="false" customHeight="false" outlineLevel="0" collapsed="false">
      <c r="A521" s="13" t="s">
        <v>734</v>
      </c>
      <c r="B521" s="14" t="n">
        <v>42690</v>
      </c>
      <c r="C521" s="14"/>
      <c r="D521" s="13" t="n">
        <v>30</v>
      </c>
      <c r="E521" s="13" t="s">
        <v>136</v>
      </c>
      <c r="F521" s="13" t="s">
        <v>164</v>
      </c>
      <c r="G521" s="13" t="s">
        <v>188</v>
      </c>
      <c r="H521" s="13" t="s">
        <v>178</v>
      </c>
      <c r="I521" s="13" t="n">
        <v>3</v>
      </c>
      <c r="J521" s="13" t="n">
        <v>4</v>
      </c>
      <c r="K521" s="13" t="n">
        <v>128500</v>
      </c>
      <c r="L521" s="13"/>
      <c r="M521" s="13"/>
      <c r="N521" s="13" t="s">
        <v>142</v>
      </c>
    </row>
    <row r="522" customFormat="false" ht="15" hidden="false" customHeight="false" outlineLevel="0" collapsed="false">
      <c r="A522" s="13" t="s">
        <v>735</v>
      </c>
      <c r="B522" s="14" t="n">
        <v>42690</v>
      </c>
      <c r="C522" s="14"/>
      <c r="D522" s="13" t="n">
        <v>35</v>
      </c>
      <c r="E522" s="13" t="s">
        <v>144</v>
      </c>
      <c r="F522" s="13" t="s">
        <v>168</v>
      </c>
      <c r="G522" s="13" t="s">
        <v>138</v>
      </c>
      <c r="H522" s="13" t="s">
        <v>149</v>
      </c>
      <c r="I522" s="13" t="n">
        <v>4</v>
      </c>
      <c r="J522" s="13" t="n">
        <v>4</v>
      </c>
      <c r="K522" s="13" t="n">
        <v>118000</v>
      </c>
      <c r="L522" s="13"/>
      <c r="M522" s="13"/>
      <c r="N522" s="13" t="s">
        <v>142</v>
      </c>
    </row>
    <row r="523" customFormat="false" ht="15" hidden="false" customHeight="false" outlineLevel="0" collapsed="false">
      <c r="A523" s="13" t="s">
        <v>736</v>
      </c>
      <c r="B523" s="14" t="n">
        <v>42691</v>
      </c>
      <c r="C523" s="14" t="n">
        <v>44850</v>
      </c>
      <c r="D523" s="13" t="n">
        <v>38</v>
      </c>
      <c r="E523" s="13" t="s">
        <v>144</v>
      </c>
      <c r="F523" s="13" t="s">
        <v>168</v>
      </c>
      <c r="G523" s="13" t="s">
        <v>195</v>
      </c>
      <c r="H523" s="13" t="s">
        <v>149</v>
      </c>
      <c r="I523" s="13" t="n">
        <v>3</v>
      </c>
      <c r="J523" s="13" t="n">
        <v>1</v>
      </c>
      <c r="K523" s="13" t="n">
        <v>124500</v>
      </c>
      <c r="L523" s="13" t="s">
        <v>151</v>
      </c>
      <c r="M523" s="13" t="s">
        <v>314</v>
      </c>
      <c r="N523" s="13" t="s">
        <v>214</v>
      </c>
    </row>
    <row r="524" customFormat="false" ht="15" hidden="false" customHeight="false" outlineLevel="0" collapsed="false">
      <c r="A524" s="13" t="s">
        <v>737</v>
      </c>
      <c r="B524" s="14" t="n">
        <v>42692</v>
      </c>
      <c r="C524" s="14"/>
      <c r="D524" s="13" t="n">
        <v>30</v>
      </c>
      <c r="E524" s="13" t="s">
        <v>259</v>
      </c>
      <c r="F524" s="13" t="s">
        <v>137</v>
      </c>
      <c r="G524" s="13" t="s">
        <v>191</v>
      </c>
      <c r="H524" s="13" t="s">
        <v>192</v>
      </c>
      <c r="I524" s="13" t="n">
        <v>3</v>
      </c>
      <c r="J524" s="13" t="n">
        <v>1</v>
      </c>
      <c r="K524" s="13" t="n">
        <v>232000</v>
      </c>
      <c r="L524" s="13"/>
      <c r="M524" s="13"/>
      <c r="N524" s="13" t="s">
        <v>214</v>
      </c>
    </row>
    <row r="525" customFormat="false" ht="15" hidden="false" customHeight="false" outlineLevel="0" collapsed="false">
      <c r="A525" s="13" t="s">
        <v>738</v>
      </c>
      <c r="B525" s="14" t="n">
        <v>42693</v>
      </c>
      <c r="C525" s="14"/>
      <c r="D525" s="13" t="n">
        <v>36</v>
      </c>
      <c r="E525" s="13" t="s">
        <v>144</v>
      </c>
      <c r="F525" s="13" t="s">
        <v>170</v>
      </c>
      <c r="G525" s="13" t="s">
        <v>132</v>
      </c>
      <c r="H525" s="13" t="s">
        <v>146</v>
      </c>
      <c r="I525" s="13" t="n">
        <v>2</v>
      </c>
      <c r="J525" s="13" t="n">
        <v>4</v>
      </c>
      <c r="K525" s="13" t="n">
        <v>77500</v>
      </c>
      <c r="L525" s="13"/>
      <c r="M525" s="13"/>
      <c r="N525" s="13" t="s">
        <v>214</v>
      </c>
    </row>
    <row r="526" customFormat="false" ht="15" hidden="false" customHeight="false" outlineLevel="0" collapsed="false">
      <c r="A526" s="13" t="s">
        <v>739</v>
      </c>
      <c r="B526" s="14" t="n">
        <v>42693</v>
      </c>
      <c r="C526" s="14"/>
      <c r="D526" s="13" t="n">
        <v>39</v>
      </c>
      <c r="E526" s="13" t="s">
        <v>190</v>
      </c>
      <c r="F526" s="13" t="s">
        <v>241</v>
      </c>
      <c r="G526" s="13" t="s">
        <v>138</v>
      </c>
      <c r="H526" s="13" t="s">
        <v>178</v>
      </c>
      <c r="I526" s="13"/>
      <c r="J526" s="13" t="n">
        <v>1</v>
      </c>
      <c r="K526" s="13" t="n">
        <v>156500</v>
      </c>
      <c r="L526" s="13"/>
      <c r="M526" s="13"/>
      <c r="N526" s="13" t="s">
        <v>142</v>
      </c>
    </row>
    <row r="527" customFormat="false" ht="15" hidden="false" customHeight="false" outlineLevel="0" collapsed="false">
      <c r="A527" s="13" t="s">
        <v>740</v>
      </c>
      <c r="B527" s="14" t="n">
        <v>42698</v>
      </c>
      <c r="C527" s="14"/>
      <c r="D527" s="13" t="n">
        <v>34</v>
      </c>
      <c r="E527" s="13" t="s">
        <v>259</v>
      </c>
      <c r="F527" s="13" t="s">
        <v>168</v>
      </c>
      <c r="G527" s="13" t="s">
        <v>155</v>
      </c>
      <c r="H527" s="13" t="s">
        <v>139</v>
      </c>
      <c r="I527" s="13" t="n">
        <v>3</v>
      </c>
      <c r="J527" s="13" t="n">
        <v>2</v>
      </c>
      <c r="K527" s="13" t="n">
        <v>53500</v>
      </c>
      <c r="L527" s="13"/>
      <c r="M527" s="13"/>
      <c r="N527" s="13" t="s">
        <v>142</v>
      </c>
    </row>
    <row r="528" customFormat="false" ht="15" hidden="false" customHeight="false" outlineLevel="0" collapsed="false">
      <c r="A528" s="13" t="s">
        <v>741</v>
      </c>
      <c r="B528" s="14" t="n">
        <v>42704</v>
      </c>
      <c r="C528" s="14"/>
      <c r="D528" s="13" t="n">
        <v>41</v>
      </c>
      <c r="E528" s="13" t="s">
        <v>136</v>
      </c>
      <c r="F528" s="13" t="s">
        <v>168</v>
      </c>
      <c r="G528" s="13" t="s">
        <v>191</v>
      </c>
      <c r="H528" s="13" t="s">
        <v>149</v>
      </c>
      <c r="I528" s="13" t="n">
        <v>3</v>
      </c>
      <c r="J528" s="13" t="n">
        <v>3</v>
      </c>
      <c r="K528" s="13" t="n">
        <v>105500</v>
      </c>
      <c r="L528" s="13"/>
      <c r="M528" s="13"/>
      <c r="N528" s="13" t="s">
        <v>142</v>
      </c>
    </row>
    <row r="529" customFormat="false" ht="15" hidden="false" customHeight="false" outlineLevel="0" collapsed="false">
      <c r="A529" s="13" t="s">
        <v>742</v>
      </c>
      <c r="B529" s="14" t="n">
        <v>42706</v>
      </c>
      <c r="C529" s="14"/>
      <c r="D529" s="13" t="n">
        <v>30</v>
      </c>
      <c r="E529" s="13" t="s">
        <v>136</v>
      </c>
      <c r="F529" s="13" t="s">
        <v>168</v>
      </c>
      <c r="G529" s="13" t="s">
        <v>148</v>
      </c>
      <c r="H529" s="13" t="s">
        <v>139</v>
      </c>
      <c r="I529" s="13" t="n">
        <v>5</v>
      </c>
      <c r="J529" s="13" t="n">
        <v>4</v>
      </c>
      <c r="K529" s="13" t="n">
        <v>43000</v>
      </c>
      <c r="L529" s="13"/>
      <c r="M529" s="13"/>
      <c r="N529" s="13" t="s">
        <v>134</v>
      </c>
    </row>
    <row r="530" customFormat="false" ht="15" hidden="false" customHeight="false" outlineLevel="0" collapsed="false">
      <c r="A530" s="13" t="s">
        <v>743</v>
      </c>
      <c r="B530" s="14" t="n">
        <v>42711</v>
      </c>
      <c r="C530" s="14"/>
      <c r="D530" s="13" t="n">
        <v>32</v>
      </c>
      <c r="E530" s="13" t="s">
        <v>163</v>
      </c>
      <c r="F530" s="13" t="s">
        <v>131</v>
      </c>
      <c r="G530" s="13" t="s">
        <v>132</v>
      </c>
      <c r="H530" s="13" t="s">
        <v>146</v>
      </c>
      <c r="I530" s="13" t="n">
        <v>3</v>
      </c>
      <c r="J530" s="13" t="n">
        <v>4</v>
      </c>
      <c r="K530" s="13" t="n">
        <v>60000</v>
      </c>
      <c r="L530" s="13"/>
      <c r="M530" s="13"/>
      <c r="N530" s="13" t="s">
        <v>214</v>
      </c>
    </row>
    <row r="531" customFormat="false" ht="15" hidden="false" customHeight="false" outlineLevel="0" collapsed="false">
      <c r="A531" s="13" t="s">
        <v>744</v>
      </c>
      <c r="B531" s="14" t="n">
        <v>42713</v>
      </c>
      <c r="C531" s="14"/>
      <c r="D531" s="13" t="n">
        <v>47</v>
      </c>
      <c r="E531" s="13" t="s">
        <v>136</v>
      </c>
      <c r="F531" s="13" t="s">
        <v>170</v>
      </c>
      <c r="G531" s="13" t="s">
        <v>148</v>
      </c>
      <c r="H531" s="13" t="s">
        <v>156</v>
      </c>
      <c r="I531" s="13" t="n">
        <v>3</v>
      </c>
      <c r="J531" s="13" t="n">
        <v>2</v>
      </c>
      <c r="K531" s="13" t="n">
        <v>100000</v>
      </c>
      <c r="L531" s="13"/>
      <c r="M531" s="13"/>
      <c r="N531" s="13" t="s">
        <v>142</v>
      </c>
    </row>
    <row r="532" customFormat="false" ht="15" hidden="false" customHeight="false" outlineLevel="0" collapsed="false">
      <c r="A532" s="13" t="s">
        <v>745</v>
      </c>
      <c r="B532" s="14" t="n">
        <v>42715</v>
      </c>
      <c r="C532" s="14"/>
      <c r="D532" s="13" t="n">
        <v>39</v>
      </c>
      <c r="E532" s="13" t="s">
        <v>136</v>
      </c>
      <c r="F532" s="13" t="s">
        <v>164</v>
      </c>
      <c r="G532" s="13" t="s">
        <v>132</v>
      </c>
      <c r="H532" s="13" t="s">
        <v>149</v>
      </c>
      <c r="I532" s="13" t="n">
        <v>3</v>
      </c>
      <c r="J532" s="13" t="n">
        <v>3</v>
      </c>
      <c r="K532" s="13" t="n">
        <v>105500</v>
      </c>
      <c r="L532" s="13"/>
      <c r="M532" s="13"/>
      <c r="N532" s="13" t="s">
        <v>142</v>
      </c>
    </row>
    <row r="533" customFormat="false" ht="15" hidden="false" customHeight="false" outlineLevel="0" collapsed="false">
      <c r="A533" s="13" t="s">
        <v>746</v>
      </c>
      <c r="B533" s="14" t="n">
        <v>42720</v>
      </c>
      <c r="C533" s="14"/>
      <c r="D533" s="13" t="n">
        <v>39</v>
      </c>
      <c r="E533" s="13" t="s">
        <v>190</v>
      </c>
      <c r="F533" s="13" t="s">
        <v>168</v>
      </c>
      <c r="G533" s="13" t="s">
        <v>155</v>
      </c>
      <c r="H533" s="13" t="s">
        <v>149</v>
      </c>
      <c r="I533" s="13" t="n">
        <v>4</v>
      </c>
      <c r="J533" s="13" t="n">
        <v>4</v>
      </c>
      <c r="K533" s="13" t="n">
        <v>110000</v>
      </c>
      <c r="L533" s="13"/>
      <c r="M533" s="13"/>
      <c r="N533" s="13" t="s">
        <v>142</v>
      </c>
    </row>
    <row r="534" customFormat="false" ht="15" hidden="false" customHeight="false" outlineLevel="0" collapsed="false">
      <c r="A534" s="13" t="s">
        <v>747</v>
      </c>
      <c r="B534" s="14" t="n">
        <v>42723</v>
      </c>
      <c r="C534" s="14"/>
      <c r="D534" s="13" t="n">
        <v>30</v>
      </c>
      <c r="E534" s="13" t="s">
        <v>130</v>
      </c>
      <c r="F534" s="13" t="s">
        <v>168</v>
      </c>
      <c r="G534" s="13" t="s">
        <v>191</v>
      </c>
      <c r="H534" s="13" t="s">
        <v>139</v>
      </c>
      <c r="I534" s="13" t="n">
        <v>2</v>
      </c>
      <c r="J534" s="13" t="n">
        <v>1</v>
      </c>
      <c r="K534" s="13" t="n">
        <v>48500</v>
      </c>
      <c r="L534" s="13"/>
      <c r="M534" s="13"/>
      <c r="N534" s="13" t="s">
        <v>142</v>
      </c>
    </row>
    <row r="535" customFormat="false" ht="15" hidden="false" customHeight="false" outlineLevel="0" collapsed="false">
      <c r="A535" s="13" t="s">
        <v>748</v>
      </c>
      <c r="B535" s="14" t="n">
        <v>42723</v>
      </c>
      <c r="C535" s="14"/>
      <c r="D535" s="13" t="n">
        <v>35</v>
      </c>
      <c r="E535" s="13" t="s">
        <v>136</v>
      </c>
      <c r="F535" s="13" t="s">
        <v>137</v>
      </c>
      <c r="G535" s="13" t="s">
        <v>148</v>
      </c>
      <c r="H535" s="13" t="s">
        <v>172</v>
      </c>
      <c r="I535" s="13" t="n">
        <v>3</v>
      </c>
      <c r="J535" s="13" t="n">
        <v>1</v>
      </c>
      <c r="K535" s="13" t="n">
        <v>43500</v>
      </c>
      <c r="L535" s="13"/>
      <c r="M535" s="13"/>
      <c r="N535" s="13" t="s">
        <v>134</v>
      </c>
    </row>
    <row r="536" customFormat="false" ht="15" hidden="false" customHeight="false" outlineLevel="0" collapsed="false">
      <c r="A536" s="13" t="s">
        <v>749</v>
      </c>
      <c r="B536" s="14" t="n">
        <v>42725</v>
      </c>
      <c r="C536" s="14"/>
      <c r="D536" s="13" t="n">
        <v>41</v>
      </c>
      <c r="E536" s="13" t="s">
        <v>182</v>
      </c>
      <c r="F536" s="13" t="s">
        <v>161</v>
      </c>
      <c r="G536" s="13" t="s">
        <v>155</v>
      </c>
      <c r="H536" s="13" t="s">
        <v>139</v>
      </c>
      <c r="I536" s="13" t="n">
        <v>5</v>
      </c>
      <c r="J536" s="13" t="n">
        <v>2</v>
      </c>
      <c r="K536" s="13" t="n">
        <v>50500</v>
      </c>
      <c r="L536" s="13"/>
      <c r="M536" s="13"/>
      <c r="N536" s="13" t="s">
        <v>142</v>
      </c>
    </row>
    <row r="537" customFormat="false" ht="15" hidden="false" customHeight="false" outlineLevel="0" collapsed="false">
      <c r="A537" s="13" t="s">
        <v>750</v>
      </c>
      <c r="B537" s="14" t="n">
        <v>42730</v>
      </c>
      <c r="C537" s="14"/>
      <c r="D537" s="13" t="n">
        <v>32</v>
      </c>
      <c r="E537" s="13" t="s">
        <v>136</v>
      </c>
      <c r="F537" s="13" t="s">
        <v>145</v>
      </c>
      <c r="G537" s="13" t="s">
        <v>191</v>
      </c>
      <c r="H537" s="13" t="s">
        <v>242</v>
      </c>
      <c r="I537" s="13" t="n">
        <v>3</v>
      </c>
      <c r="J537" s="13" t="n">
        <v>4</v>
      </c>
      <c r="K537" s="13" t="n">
        <v>111000</v>
      </c>
      <c r="L537" s="13"/>
      <c r="M537" s="13"/>
      <c r="N537" s="13" t="s">
        <v>134</v>
      </c>
    </row>
    <row r="538" customFormat="false" ht="15" hidden="false" customHeight="false" outlineLevel="0" collapsed="false">
      <c r="A538" s="13" t="s">
        <v>751</v>
      </c>
      <c r="B538" s="14" t="n">
        <v>42739</v>
      </c>
      <c r="C538" s="14" t="n">
        <v>45825</v>
      </c>
      <c r="D538" s="13" t="n">
        <v>33</v>
      </c>
      <c r="E538" s="13" t="s">
        <v>144</v>
      </c>
      <c r="F538" s="13" t="s">
        <v>131</v>
      </c>
      <c r="G538" s="13" t="s">
        <v>188</v>
      </c>
      <c r="H538" s="13" t="s">
        <v>139</v>
      </c>
      <c r="I538" s="13" t="n">
        <v>4</v>
      </c>
      <c r="J538" s="13" t="n">
        <v>1</v>
      </c>
      <c r="K538" s="13" t="n">
        <v>47500</v>
      </c>
      <c r="L538" s="13" t="s">
        <v>173</v>
      </c>
      <c r="M538" s="13" t="s">
        <v>310</v>
      </c>
      <c r="N538" s="13" t="s">
        <v>134</v>
      </c>
    </row>
    <row r="539" customFormat="false" ht="15" hidden="false" customHeight="false" outlineLevel="0" collapsed="false">
      <c r="A539" s="13" t="s">
        <v>752</v>
      </c>
      <c r="B539" s="14" t="n">
        <v>42740</v>
      </c>
      <c r="C539" s="14"/>
      <c r="D539" s="13" t="n">
        <v>42</v>
      </c>
      <c r="E539" s="13" t="s">
        <v>144</v>
      </c>
      <c r="F539" s="13" t="s">
        <v>241</v>
      </c>
      <c r="G539" s="13" t="s">
        <v>235</v>
      </c>
      <c r="H539" s="13" t="s">
        <v>178</v>
      </c>
      <c r="I539" s="13" t="n">
        <v>4</v>
      </c>
      <c r="J539" s="13" t="n">
        <v>4</v>
      </c>
      <c r="K539" s="13" t="n">
        <v>173500</v>
      </c>
      <c r="L539" s="13"/>
      <c r="M539" s="13"/>
      <c r="N539" s="13" t="s">
        <v>142</v>
      </c>
    </row>
    <row r="540" customFormat="false" ht="15" hidden="false" customHeight="false" outlineLevel="0" collapsed="false">
      <c r="A540" s="13" t="s">
        <v>753</v>
      </c>
      <c r="B540" s="14" t="n">
        <v>42742</v>
      </c>
      <c r="C540" s="14"/>
      <c r="D540" s="13" t="n">
        <v>32</v>
      </c>
      <c r="E540" s="13" t="s">
        <v>186</v>
      </c>
      <c r="F540" s="13" t="s">
        <v>170</v>
      </c>
      <c r="G540" s="13" t="s">
        <v>191</v>
      </c>
      <c r="H540" s="13" t="s">
        <v>156</v>
      </c>
      <c r="I540" s="13" t="n">
        <v>3</v>
      </c>
      <c r="J540" s="13" t="n">
        <v>2</v>
      </c>
      <c r="K540" s="13" t="n">
        <v>101500</v>
      </c>
      <c r="L540" s="13"/>
      <c r="M540" s="13"/>
      <c r="N540" s="13" t="s">
        <v>134</v>
      </c>
    </row>
    <row r="541" customFormat="false" ht="15" hidden="false" customHeight="false" outlineLevel="0" collapsed="false">
      <c r="A541" s="13" t="s">
        <v>754</v>
      </c>
      <c r="B541" s="14" t="n">
        <v>42749</v>
      </c>
      <c r="C541" s="14"/>
      <c r="D541" s="13" t="n">
        <v>38</v>
      </c>
      <c r="E541" s="13" t="s">
        <v>130</v>
      </c>
      <c r="F541" s="13" t="s">
        <v>168</v>
      </c>
      <c r="G541" s="13" t="s">
        <v>155</v>
      </c>
      <c r="H541" s="13" t="s">
        <v>146</v>
      </c>
      <c r="I541" s="13" t="n">
        <v>4</v>
      </c>
      <c r="J541" s="13" t="n">
        <v>2</v>
      </c>
      <c r="K541" s="13" t="n">
        <v>67500</v>
      </c>
      <c r="L541" s="13"/>
      <c r="M541" s="13"/>
      <c r="N541" s="13" t="s">
        <v>142</v>
      </c>
    </row>
    <row r="542" customFormat="false" ht="15" hidden="false" customHeight="false" outlineLevel="0" collapsed="false">
      <c r="A542" s="13" t="s">
        <v>755</v>
      </c>
      <c r="B542" s="14" t="n">
        <v>42757</v>
      </c>
      <c r="C542" s="14"/>
      <c r="D542" s="13" t="n">
        <v>36</v>
      </c>
      <c r="E542" s="13" t="s">
        <v>136</v>
      </c>
      <c r="F542" s="13" t="s">
        <v>137</v>
      </c>
      <c r="G542" s="13" t="s">
        <v>132</v>
      </c>
      <c r="H542" s="13" t="s">
        <v>156</v>
      </c>
      <c r="I542" s="13" t="n">
        <v>4</v>
      </c>
      <c r="J542" s="13" t="n">
        <v>4</v>
      </c>
      <c r="K542" s="13" t="n">
        <v>119000</v>
      </c>
      <c r="L542" s="13"/>
      <c r="M542" s="13"/>
      <c r="N542" s="13" t="s">
        <v>142</v>
      </c>
    </row>
    <row r="543" customFormat="false" ht="15" hidden="false" customHeight="false" outlineLevel="0" collapsed="false">
      <c r="A543" s="13" t="s">
        <v>756</v>
      </c>
      <c r="B543" s="14" t="n">
        <v>42760</v>
      </c>
      <c r="C543" s="14" t="n">
        <v>44648</v>
      </c>
      <c r="D543" s="13" t="n">
        <v>28</v>
      </c>
      <c r="E543" s="13" t="s">
        <v>144</v>
      </c>
      <c r="F543" s="13" t="s">
        <v>168</v>
      </c>
      <c r="G543" s="13" t="s">
        <v>155</v>
      </c>
      <c r="H543" s="13" t="s">
        <v>139</v>
      </c>
      <c r="I543" s="13" t="n">
        <v>4</v>
      </c>
      <c r="J543" s="13" t="n">
        <v>4</v>
      </c>
      <c r="K543" s="13" t="n">
        <v>45000</v>
      </c>
      <c r="L543" s="13"/>
      <c r="M543" s="13" t="s">
        <v>310</v>
      </c>
      <c r="N543" s="13" t="s">
        <v>142</v>
      </c>
    </row>
    <row r="544" customFormat="false" ht="15" hidden="false" customHeight="false" outlineLevel="0" collapsed="false">
      <c r="A544" s="13" t="s">
        <v>757</v>
      </c>
      <c r="B544" s="14" t="n">
        <v>42765</v>
      </c>
      <c r="C544" s="14"/>
      <c r="D544" s="13" t="n">
        <v>38</v>
      </c>
      <c r="E544" s="13" t="s">
        <v>136</v>
      </c>
      <c r="F544" s="13" t="s">
        <v>154</v>
      </c>
      <c r="G544" s="13" t="s">
        <v>148</v>
      </c>
      <c r="H544" s="13" t="s">
        <v>156</v>
      </c>
      <c r="I544" s="13" t="n">
        <v>3</v>
      </c>
      <c r="J544" s="13" t="n">
        <v>4</v>
      </c>
      <c r="K544" s="13" t="n">
        <v>101000</v>
      </c>
      <c r="L544" s="13"/>
      <c r="M544" s="13"/>
      <c r="N544" s="13" t="s">
        <v>142</v>
      </c>
    </row>
    <row r="545" customFormat="false" ht="15" hidden="false" customHeight="false" outlineLevel="0" collapsed="false">
      <c r="A545" s="13" t="s">
        <v>758</v>
      </c>
      <c r="B545" s="14" t="n">
        <v>42766</v>
      </c>
      <c r="C545" s="14"/>
      <c r="D545" s="13" t="n">
        <v>39</v>
      </c>
      <c r="E545" s="13" t="s">
        <v>130</v>
      </c>
      <c r="F545" s="13" t="s">
        <v>137</v>
      </c>
      <c r="G545" s="13" t="s">
        <v>307</v>
      </c>
      <c r="H545" s="13" t="s">
        <v>139</v>
      </c>
      <c r="I545" s="13" t="n">
        <v>3</v>
      </c>
      <c r="J545" s="13" t="n">
        <v>3</v>
      </c>
      <c r="K545" s="13" t="n">
        <v>59000</v>
      </c>
      <c r="L545" s="13"/>
      <c r="M545" s="13"/>
      <c r="N545" s="13" t="s">
        <v>142</v>
      </c>
    </row>
    <row r="546" customFormat="false" ht="15" hidden="false" customHeight="false" outlineLevel="0" collapsed="false">
      <c r="A546" s="13" t="s">
        <v>759</v>
      </c>
      <c r="B546" s="14" t="n">
        <v>42767</v>
      </c>
      <c r="C546" s="14"/>
      <c r="D546" s="13" t="n">
        <v>30</v>
      </c>
      <c r="E546" s="13" t="s">
        <v>144</v>
      </c>
      <c r="F546" s="13" t="s">
        <v>239</v>
      </c>
      <c r="G546" s="13" t="s">
        <v>148</v>
      </c>
      <c r="H546" s="13" t="s">
        <v>156</v>
      </c>
      <c r="I546" s="13" t="n">
        <v>4</v>
      </c>
      <c r="J546" s="13" t="n">
        <v>3</v>
      </c>
      <c r="K546" s="13" t="n">
        <v>89500</v>
      </c>
      <c r="L546" s="13"/>
      <c r="M546" s="13"/>
      <c r="N546" s="13" t="s">
        <v>142</v>
      </c>
    </row>
    <row r="547" customFormat="false" ht="15" hidden="false" customHeight="false" outlineLevel="0" collapsed="false">
      <c r="A547" s="13" t="s">
        <v>760</v>
      </c>
      <c r="B547" s="14" t="n">
        <v>42770</v>
      </c>
      <c r="C547" s="14"/>
      <c r="D547" s="13" t="n">
        <v>43</v>
      </c>
      <c r="E547" s="13" t="s">
        <v>190</v>
      </c>
      <c r="F547" s="13" t="s">
        <v>239</v>
      </c>
      <c r="G547" s="13" t="s">
        <v>132</v>
      </c>
      <c r="H547" s="13" t="s">
        <v>139</v>
      </c>
      <c r="I547" s="13" t="n">
        <v>2</v>
      </c>
      <c r="J547" s="13" t="n">
        <v>3</v>
      </c>
      <c r="K547" s="13" t="n">
        <v>44000</v>
      </c>
      <c r="L547" s="13"/>
      <c r="M547" s="13"/>
      <c r="N547" s="13" t="s">
        <v>142</v>
      </c>
    </row>
    <row r="548" customFormat="false" ht="15" hidden="false" customHeight="false" outlineLevel="0" collapsed="false">
      <c r="A548" s="13" t="s">
        <v>761</v>
      </c>
      <c r="B548" s="14" t="n">
        <v>42773</v>
      </c>
      <c r="C548" s="14" t="n">
        <v>44962</v>
      </c>
      <c r="D548" s="13" t="n">
        <v>30</v>
      </c>
      <c r="E548" s="13" t="s">
        <v>136</v>
      </c>
      <c r="F548" s="13" t="s">
        <v>168</v>
      </c>
      <c r="G548" s="13" t="s">
        <v>191</v>
      </c>
      <c r="H548" s="13" t="s">
        <v>156</v>
      </c>
      <c r="I548" s="13" t="n">
        <v>3</v>
      </c>
      <c r="J548" s="13" t="n">
        <v>3</v>
      </c>
      <c r="K548" s="13" t="n">
        <v>109500</v>
      </c>
      <c r="L548" s="13" t="s">
        <v>151</v>
      </c>
      <c r="M548" s="13" t="s">
        <v>762</v>
      </c>
      <c r="N548" s="13" t="s">
        <v>142</v>
      </c>
    </row>
    <row r="549" customFormat="false" ht="15" hidden="false" customHeight="false" outlineLevel="0" collapsed="false">
      <c r="A549" s="13" t="s">
        <v>763</v>
      </c>
      <c r="B549" s="14" t="n">
        <v>42777</v>
      </c>
      <c r="C549" s="14"/>
      <c r="D549" s="13" t="n">
        <v>34</v>
      </c>
      <c r="E549" s="13" t="s">
        <v>144</v>
      </c>
      <c r="F549" s="13" t="s">
        <v>168</v>
      </c>
      <c r="G549" s="13" t="s">
        <v>148</v>
      </c>
      <c r="H549" s="13" t="s">
        <v>149</v>
      </c>
      <c r="I549" s="13" t="n">
        <v>4</v>
      </c>
      <c r="J549" s="13" t="n">
        <v>4</v>
      </c>
      <c r="K549" s="13" t="n">
        <v>116500</v>
      </c>
      <c r="L549" s="13"/>
      <c r="M549" s="13"/>
      <c r="N549" s="13" t="s">
        <v>142</v>
      </c>
    </row>
    <row r="550" customFormat="false" ht="15" hidden="false" customHeight="false" outlineLevel="0" collapsed="false">
      <c r="A550" s="13" t="s">
        <v>764</v>
      </c>
      <c r="B550" s="14" t="n">
        <v>42782</v>
      </c>
      <c r="C550" s="14"/>
      <c r="D550" s="13" t="n">
        <v>39</v>
      </c>
      <c r="E550" s="13" t="s">
        <v>190</v>
      </c>
      <c r="F550" s="13" t="s">
        <v>168</v>
      </c>
      <c r="G550" s="13" t="s">
        <v>191</v>
      </c>
      <c r="H550" s="13" t="s">
        <v>139</v>
      </c>
      <c r="I550" s="13" t="n">
        <v>4</v>
      </c>
      <c r="J550" s="13" t="n">
        <v>2</v>
      </c>
      <c r="K550" s="13" t="n">
        <v>46000</v>
      </c>
      <c r="L550" s="13"/>
      <c r="M550" s="13"/>
      <c r="N550" s="13" t="s">
        <v>142</v>
      </c>
    </row>
    <row r="551" customFormat="false" ht="15" hidden="false" customHeight="false" outlineLevel="0" collapsed="false">
      <c r="A551" s="13" t="s">
        <v>765</v>
      </c>
      <c r="B551" s="14" t="n">
        <v>42784</v>
      </c>
      <c r="C551" s="14"/>
      <c r="D551" s="13" t="n">
        <v>41</v>
      </c>
      <c r="E551" s="13" t="s">
        <v>144</v>
      </c>
      <c r="F551" s="13" t="s">
        <v>161</v>
      </c>
      <c r="G551" s="13" t="s">
        <v>191</v>
      </c>
      <c r="H551" s="13" t="s">
        <v>139</v>
      </c>
      <c r="I551" s="13" t="n">
        <v>3</v>
      </c>
      <c r="J551" s="13" t="n">
        <v>4</v>
      </c>
      <c r="K551" s="13" t="n">
        <v>44000</v>
      </c>
      <c r="L551" s="13"/>
      <c r="M551" s="13"/>
      <c r="N551" s="13" t="s">
        <v>142</v>
      </c>
    </row>
    <row r="552" customFormat="false" ht="15" hidden="false" customHeight="false" outlineLevel="0" collapsed="false">
      <c r="A552" s="13" t="s">
        <v>766</v>
      </c>
      <c r="B552" s="14" t="n">
        <v>42786</v>
      </c>
      <c r="C552" s="14" t="n">
        <v>45829</v>
      </c>
      <c r="D552" s="13" t="n">
        <v>42</v>
      </c>
      <c r="E552" s="13" t="s">
        <v>136</v>
      </c>
      <c r="F552" s="13" t="s">
        <v>170</v>
      </c>
      <c r="G552" s="13" t="s">
        <v>155</v>
      </c>
      <c r="H552" s="13" t="s">
        <v>139</v>
      </c>
      <c r="I552" s="13" t="n">
        <v>3</v>
      </c>
      <c r="J552" s="13" t="n">
        <v>2</v>
      </c>
      <c r="K552" s="13" t="n">
        <v>45000</v>
      </c>
      <c r="L552" s="13" t="s">
        <v>173</v>
      </c>
      <c r="M552" s="13" t="s">
        <v>310</v>
      </c>
      <c r="N552" s="13" t="s">
        <v>142</v>
      </c>
    </row>
    <row r="553" customFormat="false" ht="15" hidden="false" customHeight="false" outlineLevel="0" collapsed="false">
      <c r="A553" s="13" t="s">
        <v>767</v>
      </c>
      <c r="B553" s="14" t="n">
        <v>42792</v>
      </c>
      <c r="C553" s="14"/>
      <c r="D553" s="13" t="n">
        <v>30</v>
      </c>
      <c r="E553" s="13" t="s">
        <v>144</v>
      </c>
      <c r="F553" s="13" t="s">
        <v>137</v>
      </c>
      <c r="G553" s="13" t="s">
        <v>330</v>
      </c>
      <c r="H553" s="13" t="s">
        <v>178</v>
      </c>
      <c r="I553" s="13" t="n">
        <v>4</v>
      </c>
      <c r="J553" s="13" t="n">
        <v>3</v>
      </c>
      <c r="K553" s="13" t="n">
        <v>153500</v>
      </c>
      <c r="L553" s="13"/>
      <c r="M553" s="13"/>
      <c r="N553" s="13" t="s">
        <v>134</v>
      </c>
    </row>
    <row r="554" customFormat="false" ht="15" hidden="false" customHeight="false" outlineLevel="0" collapsed="false">
      <c r="A554" s="13" t="s">
        <v>768</v>
      </c>
      <c r="B554" s="14" t="n">
        <v>42794</v>
      </c>
      <c r="C554" s="14"/>
      <c r="D554" s="13" t="n">
        <v>37</v>
      </c>
      <c r="E554" s="13" t="s">
        <v>136</v>
      </c>
      <c r="F554" s="13" t="s">
        <v>137</v>
      </c>
      <c r="G554" s="13" t="s">
        <v>148</v>
      </c>
      <c r="H554" s="13" t="s">
        <v>192</v>
      </c>
      <c r="I554" s="13" t="n">
        <v>2</v>
      </c>
      <c r="J554" s="13" t="n">
        <v>3</v>
      </c>
      <c r="K554" s="13" t="n">
        <v>207000</v>
      </c>
      <c r="L554" s="13"/>
      <c r="M554" s="13"/>
      <c r="N554" s="13" t="s">
        <v>142</v>
      </c>
    </row>
    <row r="555" customFormat="false" ht="15" hidden="false" customHeight="false" outlineLevel="0" collapsed="false">
      <c r="A555" s="13" t="s">
        <v>769</v>
      </c>
      <c r="B555" s="14" t="n">
        <v>42795</v>
      </c>
      <c r="C555" s="14" t="n">
        <v>45117</v>
      </c>
      <c r="D555" s="13" t="n">
        <v>40</v>
      </c>
      <c r="E555" s="13" t="s">
        <v>190</v>
      </c>
      <c r="F555" s="13" t="s">
        <v>170</v>
      </c>
      <c r="G555" s="13" t="s">
        <v>195</v>
      </c>
      <c r="H555" s="13" t="s">
        <v>156</v>
      </c>
      <c r="I555" s="13" t="n">
        <v>4</v>
      </c>
      <c r="J555" s="13" t="n">
        <v>2</v>
      </c>
      <c r="K555" s="13" t="n">
        <v>111500</v>
      </c>
      <c r="L555" s="13" t="s">
        <v>173</v>
      </c>
      <c r="M555" s="13" t="s">
        <v>273</v>
      </c>
      <c r="N555" s="13" t="s">
        <v>134</v>
      </c>
    </row>
    <row r="556" customFormat="false" ht="15" hidden="false" customHeight="false" outlineLevel="0" collapsed="false">
      <c r="A556" s="13" t="s">
        <v>770</v>
      </c>
      <c r="B556" s="14" t="n">
        <v>42795</v>
      </c>
      <c r="C556" s="14"/>
      <c r="D556" s="13" t="n">
        <v>35</v>
      </c>
      <c r="E556" s="13" t="s">
        <v>136</v>
      </c>
      <c r="F556" s="13" t="s">
        <v>168</v>
      </c>
      <c r="G556" s="13" t="s">
        <v>132</v>
      </c>
      <c r="H556" s="13" t="s">
        <v>139</v>
      </c>
      <c r="I556" s="13" t="n">
        <v>4</v>
      </c>
      <c r="J556" s="13" t="n">
        <v>2</v>
      </c>
      <c r="K556" s="13" t="n">
        <v>38500</v>
      </c>
      <c r="L556" s="13"/>
      <c r="M556" s="13"/>
      <c r="N556" s="13" t="s">
        <v>142</v>
      </c>
    </row>
    <row r="557" customFormat="false" ht="15" hidden="false" customHeight="false" outlineLevel="0" collapsed="false">
      <c r="A557" s="13" t="s">
        <v>771</v>
      </c>
      <c r="B557" s="14" t="n">
        <v>42800</v>
      </c>
      <c r="C557" s="14"/>
      <c r="D557" s="13" t="n">
        <v>34</v>
      </c>
      <c r="E557" s="13" t="s">
        <v>136</v>
      </c>
      <c r="F557" s="13" t="s">
        <v>168</v>
      </c>
      <c r="G557" s="13" t="s">
        <v>213</v>
      </c>
      <c r="H557" s="13" t="s">
        <v>156</v>
      </c>
      <c r="I557" s="13" t="n">
        <v>4</v>
      </c>
      <c r="J557" s="13"/>
      <c r="K557" s="13" t="n">
        <v>109500</v>
      </c>
      <c r="L557" s="13"/>
      <c r="M557" s="13"/>
      <c r="N557" s="13" t="s">
        <v>142</v>
      </c>
    </row>
    <row r="558" customFormat="false" ht="15" hidden="false" customHeight="false" outlineLevel="0" collapsed="false">
      <c r="A558" s="13" t="s">
        <v>772</v>
      </c>
      <c r="B558" s="14" t="n">
        <v>42800</v>
      </c>
      <c r="C558" s="14" t="n">
        <v>45162</v>
      </c>
      <c r="D558" s="13" t="n">
        <v>35</v>
      </c>
      <c r="E558" s="13" t="s">
        <v>144</v>
      </c>
      <c r="F558" s="13" t="s">
        <v>168</v>
      </c>
      <c r="G558" s="13" t="s">
        <v>148</v>
      </c>
      <c r="H558" s="13" t="s">
        <v>146</v>
      </c>
      <c r="I558" s="13" t="n">
        <v>4</v>
      </c>
      <c r="J558" s="13" t="n">
        <v>3</v>
      </c>
      <c r="K558" s="13" t="n">
        <v>62000</v>
      </c>
      <c r="L558" s="13" t="s">
        <v>151</v>
      </c>
      <c r="M558" s="13" t="s">
        <v>201</v>
      </c>
      <c r="N558" s="13" t="s">
        <v>134</v>
      </c>
    </row>
    <row r="559" customFormat="false" ht="15" hidden="false" customHeight="false" outlineLevel="0" collapsed="false">
      <c r="A559" s="13" t="s">
        <v>773</v>
      </c>
      <c r="B559" s="14" t="n">
        <v>42806</v>
      </c>
      <c r="C559" s="14"/>
      <c r="D559" s="13" t="n">
        <v>43</v>
      </c>
      <c r="E559" s="13" t="s">
        <v>136</v>
      </c>
      <c r="F559" s="13" t="s">
        <v>241</v>
      </c>
      <c r="G559" s="13" t="s">
        <v>330</v>
      </c>
      <c r="H559" s="13" t="s">
        <v>139</v>
      </c>
      <c r="I559" s="13" t="n">
        <v>4</v>
      </c>
      <c r="J559" s="13" t="n">
        <v>3</v>
      </c>
      <c r="K559" s="13" t="n">
        <v>49000</v>
      </c>
      <c r="L559" s="13"/>
      <c r="M559" s="13"/>
      <c r="N559" s="13" t="s">
        <v>134</v>
      </c>
    </row>
    <row r="560" customFormat="false" ht="15" hidden="false" customHeight="false" outlineLevel="0" collapsed="false">
      <c r="A560" s="13" t="s">
        <v>774</v>
      </c>
      <c r="B560" s="14" t="n">
        <v>42807</v>
      </c>
      <c r="C560" s="14" t="n">
        <v>44712</v>
      </c>
      <c r="D560" s="13" t="n">
        <v>38</v>
      </c>
      <c r="E560" s="13" t="s">
        <v>136</v>
      </c>
      <c r="F560" s="13" t="s">
        <v>168</v>
      </c>
      <c r="G560" s="13" t="s">
        <v>132</v>
      </c>
      <c r="H560" s="13" t="s">
        <v>149</v>
      </c>
      <c r="I560" s="13" t="n">
        <v>3</v>
      </c>
      <c r="J560" s="13" t="n">
        <v>3</v>
      </c>
      <c r="K560" s="13" t="n">
        <v>140000</v>
      </c>
      <c r="L560" s="13" t="s">
        <v>200</v>
      </c>
      <c r="M560" s="13" t="s">
        <v>141</v>
      </c>
      <c r="N560" s="13" t="s">
        <v>142</v>
      </c>
    </row>
    <row r="561" customFormat="false" ht="15" hidden="false" customHeight="false" outlineLevel="0" collapsed="false">
      <c r="A561" s="13" t="s">
        <v>775</v>
      </c>
      <c r="B561" s="14" t="n">
        <v>42808</v>
      </c>
      <c r="C561" s="14"/>
      <c r="D561" s="13" t="n">
        <v>40</v>
      </c>
      <c r="E561" s="13" t="s">
        <v>136</v>
      </c>
      <c r="F561" s="13" t="s">
        <v>154</v>
      </c>
      <c r="G561" s="13" t="s">
        <v>354</v>
      </c>
      <c r="H561" s="13" t="s">
        <v>178</v>
      </c>
      <c r="I561" s="13" t="n">
        <v>2</v>
      </c>
      <c r="J561" s="13" t="n">
        <v>3</v>
      </c>
      <c r="K561" s="13" t="n">
        <v>142000</v>
      </c>
      <c r="L561" s="13"/>
      <c r="M561" s="13"/>
      <c r="N561" s="13" t="s">
        <v>142</v>
      </c>
    </row>
    <row r="562" customFormat="false" ht="15" hidden="false" customHeight="false" outlineLevel="0" collapsed="false">
      <c r="A562" s="13" t="s">
        <v>776</v>
      </c>
      <c r="B562" s="14" t="n">
        <v>42815</v>
      </c>
      <c r="C562" s="14"/>
      <c r="D562" s="13" t="n">
        <v>37</v>
      </c>
      <c r="E562" s="13" t="s">
        <v>144</v>
      </c>
      <c r="F562" s="13" t="s">
        <v>137</v>
      </c>
      <c r="G562" s="13" t="s">
        <v>188</v>
      </c>
      <c r="H562" s="13" t="s">
        <v>156</v>
      </c>
      <c r="I562" s="13"/>
      <c r="J562" s="13" t="n">
        <v>2</v>
      </c>
      <c r="K562" s="13" t="n">
        <v>90500</v>
      </c>
      <c r="L562" s="13"/>
      <c r="M562" s="13"/>
      <c r="N562" s="13" t="s">
        <v>142</v>
      </c>
    </row>
    <row r="563" customFormat="false" ht="15" hidden="false" customHeight="false" outlineLevel="0" collapsed="false">
      <c r="A563" s="13" t="s">
        <v>777</v>
      </c>
      <c r="B563" s="14" t="n">
        <v>42817</v>
      </c>
      <c r="C563" s="14"/>
      <c r="D563" s="13" t="n">
        <v>32</v>
      </c>
      <c r="E563" s="13" t="s">
        <v>144</v>
      </c>
      <c r="F563" s="13" t="s">
        <v>161</v>
      </c>
      <c r="G563" s="13" t="s">
        <v>191</v>
      </c>
      <c r="H563" s="13" t="s">
        <v>156</v>
      </c>
      <c r="I563" s="13" t="n">
        <v>5</v>
      </c>
      <c r="J563" s="13" t="n">
        <v>3</v>
      </c>
      <c r="K563" s="13" t="n">
        <v>90500</v>
      </c>
      <c r="L563" s="13"/>
      <c r="M563" s="13"/>
      <c r="N563" s="13" t="s">
        <v>142</v>
      </c>
    </row>
    <row r="564" customFormat="false" ht="15" hidden="false" customHeight="false" outlineLevel="0" collapsed="false">
      <c r="A564" s="13" t="s">
        <v>778</v>
      </c>
      <c r="B564" s="14" t="n">
        <v>42821</v>
      </c>
      <c r="C564" s="14"/>
      <c r="D564" s="13" t="n">
        <v>34</v>
      </c>
      <c r="E564" s="13" t="s">
        <v>136</v>
      </c>
      <c r="F564" s="13" t="s">
        <v>137</v>
      </c>
      <c r="G564" s="13" t="s">
        <v>148</v>
      </c>
      <c r="H564" s="13" t="s">
        <v>192</v>
      </c>
      <c r="I564" s="13" t="n">
        <v>2</v>
      </c>
      <c r="J564" s="13" t="n">
        <v>1</v>
      </c>
      <c r="K564" s="13" t="n">
        <v>203000</v>
      </c>
      <c r="L564" s="13"/>
      <c r="M564" s="13"/>
      <c r="N564" s="13" t="s">
        <v>142</v>
      </c>
    </row>
    <row r="565" customFormat="false" ht="15" hidden="false" customHeight="false" outlineLevel="0" collapsed="false">
      <c r="A565" s="13" t="s">
        <v>779</v>
      </c>
      <c r="B565" s="14" t="n">
        <v>42825</v>
      </c>
      <c r="C565" s="14" t="n">
        <v>45454</v>
      </c>
      <c r="D565" s="13" t="n">
        <v>28</v>
      </c>
      <c r="E565" s="13" t="s">
        <v>144</v>
      </c>
      <c r="F565" s="13" t="s">
        <v>168</v>
      </c>
      <c r="G565" s="13" t="s">
        <v>155</v>
      </c>
      <c r="H565" s="13" t="s">
        <v>139</v>
      </c>
      <c r="I565" s="13" t="n">
        <v>5</v>
      </c>
      <c r="J565" s="13" t="n">
        <v>1</v>
      </c>
      <c r="K565" s="13" t="n">
        <v>42500</v>
      </c>
      <c r="L565" s="13" t="s">
        <v>151</v>
      </c>
      <c r="M565" s="13" t="s">
        <v>201</v>
      </c>
      <c r="N565" s="13" t="s">
        <v>134</v>
      </c>
    </row>
    <row r="566" customFormat="false" ht="15" hidden="false" customHeight="false" outlineLevel="0" collapsed="false">
      <c r="A566" s="13" t="s">
        <v>780</v>
      </c>
      <c r="B566" s="14" t="n">
        <v>42826</v>
      </c>
      <c r="C566" s="14"/>
      <c r="D566" s="13" t="n">
        <v>44</v>
      </c>
      <c r="E566" s="13" t="s">
        <v>144</v>
      </c>
      <c r="F566" s="13" t="s">
        <v>241</v>
      </c>
      <c r="G566" s="13" t="s">
        <v>138</v>
      </c>
      <c r="H566" s="13" t="s">
        <v>178</v>
      </c>
      <c r="I566" s="13" t="n">
        <v>4</v>
      </c>
      <c r="J566" s="13" t="n">
        <v>1</v>
      </c>
      <c r="K566" s="13" t="n">
        <v>154000</v>
      </c>
      <c r="L566" s="13"/>
      <c r="M566" s="13"/>
      <c r="N566" s="13" t="s">
        <v>134</v>
      </c>
    </row>
    <row r="567" customFormat="false" ht="15" hidden="false" customHeight="false" outlineLevel="0" collapsed="false">
      <c r="A567" s="13" t="s">
        <v>781</v>
      </c>
      <c r="B567" s="14" t="n">
        <v>42829</v>
      </c>
      <c r="C567" s="14"/>
      <c r="D567" s="13" t="n">
        <v>40</v>
      </c>
      <c r="E567" s="13" t="s">
        <v>144</v>
      </c>
      <c r="F567" s="13" t="s">
        <v>170</v>
      </c>
      <c r="G567" s="13" t="s">
        <v>132</v>
      </c>
      <c r="H567" s="13" t="s">
        <v>192</v>
      </c>
      <c r="I567" s="13"/>
      <c r="J567" s="13" t="n">
        <v>3</v>
      </c>
      <c r="K567" s="13" t="n">
        <v>230500</v>
      </c>
      <c r="L567" s="13"/>
      <c r="M567" s="13"/>
      <c r="N567" s="13" t="s">
        <v>142</v>
      </c>
    </row>
    <row r="568" customFormat="false" ht="15" hidden="false" customHeight="false" outlineLevel="0" collapsed="false">
      <c r="A568" s="13" t="s">
        <v>782</v>
      </c>
      <c r="B568" s="14" t="n">
        <v>42837</v>
      </c>
      <c r="C568" s="14"/>
      <c r="D568" s="13" t="n">
        <v>37</v>
      </c>
      <c r="E568" s="13" t="s">
        <v>144</v>
      </c>
      <c r="F568" s="13" t="s">
        <v>164</v>
      </c>
      <c r="G568" s="13" t="s">
        <v>148</v>
      </c>
      <c r="H568" s="13" t="s">
        <v>178</v>
      </c>
      <c r="I568" s="13" t="n">
        <v>2</v>
      </c>
      <c r="J568" s="13" t="n">
        <v>4</v>
      </c>
      <c r="K568" s="13" t="n">
        <v>146500</v>
      </c>
      <c r="L568" s="13"/>
      <c r="M568" s="13"/>
      <c r="N568" s="13" t="s">
        <v>142</v>
      </c>
    </row>
    <row r="569" customFormat="false" ht="15" hidden="false" customHeight="false" outlineLevel="0" collapsed="false">
      <c r="A569" s="13" t="s">
        <v>783</v>
      </c>
      <c r="B569" s="14" t="n">
        <v>42838</v>
      </c>
      <c r="C569" s="14" t="n">
        <v>44629</v>
      </c>
      <c r="D569" s="13" t="n">
        <v>33</v>
      </c>
      <c r="E569" s="13" t="s">
        <v>136</v>
      </c>
      <c r="F569" s="13" t="s">
        <v>154</v>
      </c>
      <c r="G569" s="13" t="s">
        <v>224</v>
      </c>
      <c r="H569" s="13" t="s">
        <v>156</v>
      </c>
      <c r="I569" s="13" t="n">
        <v>2</v>
      </c>
      <c r="J569" s="13" t="n">
        <v>4</v>
      </c>
      <c r="K569" s="13" t="n">
        <v>98500</v>
      </c>
      <c r="L569" s="13" t="s">
        <v>151</v>
      </c>
      <c r="M569" s="13" t="s">
        <v>216</v>
      </c>
      <c r="N569" s="13" t="s">
        <v>453</v>
      </c>
    </row>
    <row r="570" customFormat="false" ht="15" hidden="false" customHeight="false" outlineLevel="0" collapsed="false">
      <c r="A570" s="13" t="s">
        <v>784</v>
      </c>
      <c r="B570" s="14" t="n">
        <v>42842</v>
      </c>
      <c r="C570" s="14"/>
      <c r="D570" s="13" t="n">
        <v>39</v>
      </c>
      <c r="E570" s="13" t="s">
        <v>136</v>
      </c>
      <c r="F570" s="13" t="s">
        <v>154</v>
      </c>
      <c r="G570" s="13" t="s">
        <v>138</v>
      </c>
      <c r="H570" s="13" t="s">
        <v>246</v>
      </c>
      <c r="I570" s="13" t="n">
        <v>3</v>
      </c>
      <c r="J570" s="13" t="n">
        <v>3</v>
      </c>
      <c r="K570" s="13" t="n">
        <v>197500</v>
      </c>
      <c r="L570" s="13"/>
      <c r="M570" s="13"/>
      <c r="N570" s="13" t="s">
        <v>142</v>
      </c>
    </row>
    <row r="571" customFormat="false" ht="15" hidden="false" customHeight="false" outlineLevel="0" collapsed="false">
      <c r="A571" s="13" t="s">
        <v>785</v>
      </c>
      <c r="B571" s="14" t="n">
        <v>42843</v>
      </c>
      <c r="C571" s="14"/>
      <c r="D571" s="13" t="n">
        <v>30</v>
      </c>
      <c r="E571" s="13" t="s">
        <v>163</v>
      </c>
      <c r="F571" s="13" t="s">
        <v>137</v>
      </c>
      <c r="G571" s="13" t="s">
        <v>155</v>
      </c>
      <c r="H571" s="13" t="s">
        <v>146</v>
      </c>
      <c r="I571" s="13" t="n">
        <v>4</v>
      </c>
      <c r="J571" s="13" t="n">
        <v>4</v>
      </c>
      <c r="K571" s="13" t="n">
        <v>69500</v>
      </c>
      <c r="L571" s="13"/>
      <c r="M571" s="13"/>
      <c r="N571" s="13" t="s">
        <v>142</v>
      </c>
    </row>
    <row r="572" customFormat="false" ht="15" hidden="false" customHeight="false" outlineLevel="0" collapsed="false">
      <c r="A572" s="13" t="s">
        <v>786</v>
      </c>
      <c r="B572" s="14" t="n">
        <v>42845</v>
      </c>
      <c r="C572" s="14"/>
      <c r="D572" s="13" t="n">
        <v>45</v>
      </c>
      <c r="E572" s="13" t="s">
        <v>136</v>
      </c>
      <c r="F572" s="13" t="s">
        <v>168</v>
      </c>
      <c r="G572" s="13" t="s">
        <v>235</v>
      </c>
      <c r="H572" s="13" t="s">
        <v>146</v>
      </c>
      <c r="I572" s="13" t="n">
        <v>3</v>
      </c>
      <c r="J572" s="13" t="n">
        <v>2</v>
      </c>
      <c r="K572" s="13" t="n">
        <v>70500</v>
      </c>
      <c r="L572" s="13"/>
      <c r="M572" s="13"/>
      <c r="N572" s="13" t="s">
        <v>142</v>
      </c>
    </row>
    <row r="573" customFormat="false" ht="15" hidden="false" customHeight="false" outlineLevel="0" collapsed="false">
      <c r="A573" s="13" t="s">
        <v>787</v>
      </c>
      <c r="B573" s="14" t="n">
        <v>42849</v>
      </c>
      <c r="C573" s="14"/>
      <c r="D573" s="13" t="n">
        <v>41</v>
      </c>
      <c r="E573" s="13" t="s">
        <v>136</v>
      </c>
      <c r="F573" s="13" t="s">
        <v>170</v>
      </c>
      <c r="G573" s="13" t="s">
        <v>213</v>
      </c>
      <c r="H573" s="13" t="s">
        <v>146</v>
      </c>
      <c r="I573" s="13" t="n">
        <v>3</v>
      </c>
      <c r="J573" s="13" t="n">
        <v>2</v>
      </c>
      <c r="K573" s="13" t="n">
        <v>64500</v>
      </c>
      <c r="L573" s="13"/>
      <c r="M573" s="13"/>
      <c r="N573" s="13" t="s">
        <v>142</v>
      </c>
    </row>
    <row r="574" customFormat="false" ht="15" hidden="false" customHeight="false" outlineLevel="0" collapsed="false">
      <c r="A574" s="13" t="s">
        <v>788</v>
      </c>
      <c r="B574" s="14" t="n">
        <v>42852</v>
      </c>
      <c r="C574" s="14" t="n">
        <v>45127</v>
      </c>
      <c r="D574" s="13" t="n">
        <v>31</v>
      </c>
      <c r="E574" s="13" t="s">
        <v>136</v>
      </c>
      <c r="F574" s="13" t="s">
        <v>164</v>
      </c>
      <c r="G574" s="13" t="s">
        <v>155</v>
      </c>
      <c r="H574" s="13" t="s">
        <v>139</v>
      </c>
      <c r="I574" s="13" t="n">
        <v>3</v>
      </c>
      <c r="J574" s="13" t="n">
        <v>2</v>
      </c>
      <c r="K574" s="13" t="n">
        <v>45000</v>
      </c>
      <c r="L574" s="13" t="s">
        <v>253</v>
      </c>
      <c r="M574" s="13" t="s">
        <v>254</v>
      </c>
      <c r="N574" s="13" t="s">
        <v>134</v>
      </c>
    </row>
    <row r="575" customFormat="false" ht="15" hidden="false" customHeight="false" outlineLevel="0" collapsed="false">
      <c r="A575" s="13" t="s">
        <v>789</v>
      </c>
      <c r="B575" s="14" t="n">
        <v>42853</v>
      </c>
      <c r="C575" s="14" t="n">
        <v>45220</v>
      </c>
      <c r="D575" s="13" t="n">
        <v>35</v>
      </c>
      <c r="E575" s="13" t="s">
        <v>136</v>
      </c>
      <c r="F575" s="13" t="s">
        <v>154</v>
      </c>
      <c r="G575" s="13" t="s">
        <v>155</v>
      </c>
      <c r="H575" s="13" t="s">
        <v>172</v>
      </c>
      <c r="I575" s="13" t="n">
        <v>5</v>
      </c>
      <c r="J575" s="13" t="n">
        <v>2</v>
      </c>
      <c r="K575" s="13" t="n">
        <v>43500</v>
      </c>
      <c r="L575" s="13" t="s">
        <v>151</v>
      </c>
      <c r="M575" s="13" t="s">
        <v>152</v>
      </c>
      <c r="N575" s="13" t="s">
        <v>142</v>
      </c>
    </row>
    <row r="576" customFormat="false" ht="15" hidden="false" customHeight="false" outlineLevel="0" collapsed="false">
      <c r="A576" s="13" t="s">
        <v>790</v>
      </c>
      <c r="B576" s="14" t="n">
        <v>42853</v>
      </c>
      <c r="C576" s="14" t="n">
        <v>45765</v>
      </c>
      <c r="D576" s="13" t="n">
        <v>47</v>
      </c>
      <c r="E576" s="13" t="s">
        <v>136</v>
      </c>
      <c r="F576" s="13" t="s">
        <v>168</v>
      </c>
      <c r="G576" s="13" t="s">
        <v>148</v>
      </c>
      <c r="H576" s="13" t="s">
        <v>146</v>
      </c>
      <c r="I576" s="13" t="n">
        <v>3</v>
      </c>
      <c r="J576" s="13" t="n">
        <v>3</v>
      </c>
      <c r="K576" s="13" t="n">
        <v>73000</v>
      </c>
      <c r="L576" s="13" t="s">
        <v>151</v>
      </c>
      <c r="M576" s="13" t="s">
        <v>201</v>
      </c>
      <c r="N576" s="13" t="s">
        <v>134</v>
      </c>
    </row>
    <row r="577" customFormat="false" ht="15" hidden="false" customHeight="false" outlineLevel="0" collapsed="false">
      <c r="A577" s="13" t="s">
        <v>791</v>
      </c>
      <c r="B577" s="14" t="n">
        <v>42855</v>
      </c>
      <c r="C577" s="14"/>
      <c r="D577" s="13" t="n">
        <v>42</v>
      </c>
      <c r="E577" s="13" t="s">
        <v>136</v>
      </c>
      <c r="F577" s="13" t="s">
        <v>170</v>
      </c>
      <c r="G577" s="13" t="s">
        <v>138</v>
      </c>
      <c r="H577" s="13" t="s">
        <v>156</v>
      </c>
      <c r="I577" s="13" t="n">
        <v>3</v>
      </c>
      <c r="J577" s="13" t="n">
        <v>3</v>
      </c>
      <c r="K577" s="13" t="n">
        <v>105500</v>
      </c>
      <c r="L577" s="13"/>
      <c r="M577" s="13"/>
      <c r="N577" s="13" t="s">
        <v>142</v>
      </c>
    </row>
    <row r="578" customFormat="false" ht="15" hidden="false" customHeight="false" outlineLevel="0" collapsed="false">
      <c r="A578" s="13" t="s">
        <v>792</v>
      </c>
      <c r="B578" s="14" t="n">
        <v>42856</v>
      </c>
      <c r="C578" s="14" t="n">
        <v>45511</v>
      </c>
      <c r="D578" s="13" t="n">
        <v>44</v>
      </c>
      <c r="E578" s="13" t="s">
        <v>182</v>
      </c>
      <c r="F578" s="13" t="s">
        <v>170</v>
      </c>
      <c r="G578" s="13" t="s">
        <v>195</v>
      </c>
      <c r="H578" s="13" t="s">
        <v>139</v>
      </c>
      <c r="I578" s="13" t="n">
        <v>3</v>
      </c>
      <c r="J578" s="13" t="n">
        <v>2</v>
      </c>
      <c r="K578" s="13" t="n">
        <v>38000</v>
      </c>
      <c r="L578" s="13" t="s">
        <v>151</v>
      </c>
      <c r="M578" s="13" t="s">
        <v>216</v>
      </c>
      <c r="N578" s="13" t="s">
        <v>142</v>
      </c>
    </row>
    <row r="579" customFormat="false" ht="15" hidden="false" customHeight="false" outlineLevel="0" collapsed="false">
      <c r="A579" s="13" t="s">
        <v>793</v>
      </c>
      <c r="B579" s="14" t="n">
        <v>42856</v>
      </c>
      <c r="C579" s="14" t="n">
        <v>44615</v>
      </c>
      <c r="D579" s="13" t="n">
        <v>34</v>
      </c>
      <c r="E579" s="13" t="s">
        <v>144</v>
      </c>
      <c r="F579" s="13" t="s">
        <v>131</v>
      </c>
      <c r="G579" s="13" t="s">
        <v>155</v>
      </c>
      <c r="H579" s="13" t="s">
        <v>149</v>
      </c>
      <c r="I579" s="13" t="n">
        <v>3</v>
      </c>
      <c r="J579" s="13" t="n">
        <v>4</v>
      </c>
      <c r="K579" s="13" t="n">
        <v>103500</v>
      </c>
      <c r="L579" s="13" t="s">
        <v>140</v>
      </c>
      <c r="M579" s="13" t="s">
        <v>201</v>
      </c>
      <c r="N579" s="13" t="s">
        <v>142</v>
      </c>
    </row>
    <row r="580" customFormat="false" ht="15" hidden="false" customHeight="false" outlineLevel="0" collapsed="false">
      <c r="A580" s="13" t="s">
        <v>794</v>
      </c>
      <c r="B580" s="14" t="n">
        <v>42857</v>
      </c>
      <c r="C580" s="14"/>
      <c r="D580" s="13" t="n">
        <v>33</v>
      </c>
      <c r="E580" s="13" t="s">
        <v>144</v>
      </c>
      <c r="F580" s="13" t="s">
        <v>170</v>
      </c>
      <c r="G580" s="13" t="s">
        <v>307</v>
      </c>
      <c r="H580" s="13" t="s">
        <v>139</v>
      </c>
      <c r="I580" s="13" t="n">
        <v>2</v>
      </c>
      <c r="J580" s="13" t="n">
        <v>4</v>
      </c>
      <c r="K580" s="13" t="n">
        <v>48000</v>
      </c>
      <c r="L580" s="13"/>
      <c r="M580" s="13"/>
      <c r="N580" s="13" t="s">
        <v>134</v>
      </c>
    </row>
    <row r="581" customFormat="false" ht="15" hidden="false" customHeight="false" outlineLevel="0" collapsed="false">
      <c r="A581" s="13" t="s">
        <v>795</v>
      </c>
      <c r="B581" s="14" t="n">
        <v>42858</v>
      </c>
      <c r="C581" s="14"/>
      <c r="D581" s="13" t="n">
        <v>36</v>
      </c>
      <c r="E581" s="13" t="s">
        <v>144</v>
      </c>
      <c r="F581" s="13" t="s">
        <v>154</v>
      </c>
      <c r="G581" s="13" t="s">
        <v>224</v>
      </c>
      <c r="H581" s="13" t="s">
        <v>139</v>
      </c>
      <c r="I581" s="13" t="n">
        <v>5</v>
      </c>
      <c r="J581" s="13" t="n">
        <v>1</v>
      </c>
      <c r="K581" s="13" t="n">
        <v>47000</v>
      </c>
      <c r="L581" s="13"/>
      <c r="M581" s="13"/>
      <c r="N581" s="13" t="s">
        <v>142</v>
      </c>
    </row>
    <row r="582" customFormat="false" ht="15" hidden="false" customHeight="false" outlineLevel="0" collapsed="false">
      <c r="A582" s="13" t="s">
        <v>796</v>
      </c>
      <c r="B582" s="14" t="n">
        <v>42858</v>
      </c>
      <c r="C582" s="14" t="n">
        <v>44809</v>
      </c>
      <c r="D582" s="13" t="n">
        <v>40</v>
      </c>
      <c r="E582" s="13" t="s">
        <v>136</v>
      </c>
      <c r="F582" s="13" t="s">
        <v>170</v>
      </c>
      <c r="G582" s="13" t="s">
        <v>224</v>
      </c>
      <c r="H582" s="13" t="s">
        <v>146</v>
      </c>
      <c r="I582" s="13" t="n">
        <v>2</v>
      </c>
      <c r="J582" s="13" t="n">
        <v>3</v>
      </c>
      <c r="K582" s="13" t="n">
        <v>68500</v>
      </c>
      <c r="L582" s="13" t="s">
        <v>173</v>
      </c>
      <c r="M582" s="13" t="s">
        <v>498</v>
      </c>
      <c r="N582" s="13" t="s">
        <v>142</v>
      </c>
    </row>
    <row r="583" customFormat="false" ht="15" hidden="false" customHeight="false" outlineLevel="0" collapsed="false">
      <c r="A583" s="13" t="s">
        <v>797</v>
      </c>
      <c r="B583" s="14" t="n">
        <v>42862</v>
      </c>
      <c r="C583" s="14"/>
      <c r="D583" s="13" t="n">
        <v>39</v>
      </c>
      <c r="E583" s="13" t="s">
        <v>190</v>
      </c>
      <c r="F583" s="13" t="s">
        <v>164</v>
      </c>
      <c r="G583" s="13" t="s">
        <v>191</v>
      </c>
      <c r="H583" s="13" t="s">
        <v>149</v>
      </c>
      <c r="I583" s="13" t="n">
        <v>3</v>
      </c>
      <c r="J583" s="13" t="n">
        <v>4</v>
      </c>
      <c r="K583" s="13" t="n">
        <v>126500</v>
      </c>
      <c r="L583" s="13"/>
      <c r="M583" s="13"/>
      <c r="N583" s="13" t="s">
        <v>142</v>
      </c>
    </row>
    <row r="584" customFormat="false" ht="15" hidden="false" customHeight="false" outlineLevel="0" collapsed="false">
      <c r="A584" s="13" t="s">
        <v>798</v>
      </c>
      <c r="B584" s="14" t="n">
        <v>42862</v>
      </c>
      <c r="C584" s="14"/>
      <c r="D584" s="13" t="n">
        <v>35</v>
      </c>
      <c r="E584" s="13" t="s">
        <v>136</v>
      </c>
      <c r="F584" s="13" t="s">
        <v>239</v>
      </c>
      <c r="G584" s="13" t="s">
        <v>330</v>
      </c>
      <c r="H584" s="13" t="s">
        <v>146</v>
      </c>
      <c r="I584" s="13" t="n">
        <v>4</v>
      </c>
      <c r="J584" s="13" t="n">
        <v>1</v>
      </c>
      <c r="K584" s="13" t="n">
        <v>79500</v>
      </c>
      <c r="L584" s="13"/>
      <c r="M584" s="13"/>
      <c r="N584" s="13" t="s">
        <v>214</v>
      </c>
    </row>
    <row r="585" customFormat="false" ht="15" hidden="false" customHeight="false" outlineLevel="0" collapsed="false">
      <c r="A585" s="13" t="s">
        <v>799</v>
      </c>
      <c r="B585" s="14" t="n">
        <v>42863</v>
      </c>
      <c r="C585" s="14" t="n">
        <v>44659</v>
      </c>
      <c r="D585" s="13" t="n">
        <v>26</v>
      </c>
      <c r="E585" s="13" t="s">
        <v>136</v>
      </c>
      <c r="F585" s="13" t="s">
        <v>239</v>
      </c>
      <c r="G585" s="13" t="s">
        <v>330</v>
      </c>
      <c r="H585" s="13" t="s">
        <v>178</v>
      </c>
      <c r="I585" s="13" t="n">
        <v>2</v>
      </c>
      <c r="J585" s="13" t="n">
        <v>4</v>
      </c>
      <c r="K585" s="13" t="n">
        <v>137000</v>
      </c>
      <c r="L585" s="13" t="s">
        <v>253</v>
      </c>
      <c r="M585" s="13" t="s">
        <v>310</v>
      </c>
      <c r="N585" s="13" t="s">
        <v>134</v>
      </c>
    </row>
    <row r="586" customFormat="false" ht="15" hidden="false" customHeight="false" outlineLevel="0" collapsed="false">
      <c r="A586" s="13" t="s">
        <v>800</v>
      </c>
      <c r="B586" s="14" t="n">
        <v>42864</v>
      </c>
      <c r="C586" s="14" t="n">
        <v>45159</v>
      </c>
      <c r="D586" s="13" t="n">
        <v>39</v>
      </c>
      <c r="E586" s="13" t="s">
        <v>186</v>
      </c>
      <c r="F586" s="13" t="s">
        <v>229</v>
      </c>
      <c r="G586" s="13" t="s">
        <v>155</v>
      </c>
      <c r="H586" s="13" t="s">
        <v>149</v>
      </c>
      <c r="I586" s="13" t="n">
        <v>4</v>
      </c>
      <c r="J586" s="13" t="n">
        <v>1</v>
      </c>
      <c r="K586" s="13" t="n">
        <v>134500</v>
      </c>
      <c r="L586" s="13" t="s">
        <v>173</v>
      </c>
      <c r="M586" s="13" t="s">
        <v>254</v>
      </c>
      <c r="N586" s="13" t="s">
        <v>134</v>
      </c>
    </row>
    <row r="587" customFormat="false" ht="15" hidden="false" customHeight="false" outlineLevel="0" collapsed="false">
      <c r="A587" s="13" t="s">
        <v>801</v>
      </c>
      <c r="B587" s="14" t="n">
        <v>42867</v>
      </c>
      <c r="C587" s="14" t="n">
        <v>45931</v>
      </c>
      <c r="D587" s="13" t="n">
        <v>42</v>
      </c>
      <c r="E587" s="13" t="s">
        <v>136</v>
      </c>
      <c r="F587" s="13" t="s">
        <v>137</v>
      </c>
      <c r="G587" s="13" t="s">
        <v>138</v>
      </c>
      <c r="H587" s="13" t="s">
        <v>156</v>
      </c>
      <c r="I587" s="13" t="n">
        <v>4</v>
      </c>
      <c r="J587" s="13" t="n">
        <v>3</v>
      </c>
      <c r="K587" s="13" t="n">
        <v>128500</v>
      </c>
      <c r="L587" s="13" t="s">
        <v>151</v>
      </c>
      <c r="M587" s="13" t="s">
        <v>159</v>
      </c>
      <c r="N587" s="13" t="s">
        <v>134</v>
      </c>
    </row>
    <row r="588" customFormat="false" ht="15" hidden="false" customHeight="false" outlineLevel="0" collapsed="false">
      <c r="A588" s="13" t="s">
        <v>802</v>
      </c>
      <c r="B588" s="14" t="n">
        <v>42869</v>
      </c>
      <c r="C588" s="14" t="n">
        <v>44666</v>
      </c>
      <c r="D588" s="13" t="n">
        <v>34</v>
      </c>
      <c r="E588" s="13" t="s">
        <v>144</v>
      </c>
      <c r="F588" s="13" t="s">
        <v>239</v>
      </c>
      <c r="G588" s="13" t="s">
        <v>188</v>
      </c>
      <c r="H588" s="13" t="s">
        <v>178</v>
      </c>
      <c r="I588" s="13" t="n">
        <v>2</v>
      </c>
      <c r="J588" s="13" t="n">
        <v>2</v>
      </c>
      <c r="K588" s="13" t="n">
        <v>171500</v>
      </c>
      <c r="L588" s="13" t="s">
        <v>151</v>
      </c>
      <c r="M588" s="13" t="s">
        <v>201</v>
      </c>
      <c r="N588" s="13" t="s">
        <v>142</v>
      </c>
    </row>
    <row r="589" customFormat="false" ht="15" hidden="false" customHeight="false" outlineLevel="0" collapsed="false">
      <c r="A589" s="13" t="s">
        <v>803</v>
      </c>
      <c r="B589" s="14" t="n">
        <v>42874</v>
      </c>
      <c r="C589" s="14"/>
      <c r="D589" s="13" t="n">
        <v>38</v>
      </c>
      <c r="E589" s="13" t="s">
        <v>144</v>
      </c>
      <c r="F589" s="13" t="s">
        <v>170</v>
      </c>
      <c r="G589" s="13" t="s">
        <v>132</v>
      </c>
      <c r="H589" s="13" t="s">
        <v>146</v>
      </c>
      <c r="I589" s="13" t="n">
        <v>4</v>
      </c>
      <c r="J589" s="13" t="n">
        <v>2</v>
      </c>
      <c r="K589" s="13" t="n">
        <v>66500</v>
      </c>
      <c r="L589" s="13"/>
      <c r="M589" s="13"/>
      <c r="N589" s="13" t="s">
        <v>142</v>
      </c>
    </row>
    <row r="590" customFormat="false" ht="15" hidden="false" customHeight="false" outlineLevel="0" collapsed="false">
      <c r="A590" s="13" t="s">
        <v>804</v>
      </c>
      <c r="B590" s="14" t="n">
        <v>42877</v>
      </c>
      <c r="C590" s="14"/>
      <c r="D590" s="13" t="n">
        <v>37</v>
      </c>
      <c r="E590" s="13" t="s">
        <v>186</v>
      </c>
      <c r="F590" s="13" t="s">
        <v>154</v>
      </c>
      <c r="G590" s="13" t="s">
        <v>148</v>
      </c>
      <c r="H590" s="13" t="s">
        <v>156</v>
      </c>
      <c r="I590" s="13" t="n">
        <v>4</v>
      </c>
      <c r="J590" s="13" t="n">
        <v>4</v>
      </c>
      <c r="K590" s="13" t="n">
        <v>113500</v>
      </c>
      <c r="L590" s="13"/>
      <c r="M590" s="13"/>
      <c r="N590" s="13" t="s">
        <v>134</v>
      </c>
    </row>
    <row r="591" customFormat="false" ht="15" hidden="false" customHeight="false" outlineLevel="0" collapsed="false">
      <c r="A591" s="13" t="s">
        <v>805</v>
      </c>
      <c r="B591" s="14" t="n">
        <v>42878</v>
      </c>
      <c r="C591" s="14"/>
      <c r="D591" s="13" t="n">
        <v>31</v>
      </c>
      <c r="E591" s="13" t="s">
        <v>144</v>
      </c>
      <c r="F591" s="13" t="s">
        <v>170</v>
      </c>
      <c r="G591" s="13" t="s">
        <v>195</v>
      </c>
      <c r="H591" s="13" t="s">
        <v>156</v>
      </c>
      <c r="I591" s="13" t="n">
        <v>3</v>
      </c>
      <c r="J591" s="13" t="n">
        <v>4</v>
      </c>
      <c r="K591" s="13" t="n">
        <v>105000</v>
      </c>
      <c r="L591" s="13"/>
      <c r="M591" s="13"/>
      <c r="N591" s="13" t="s">
        <v>142</v>
      </c>
    </row>
    <row r="592" customFormat="false" ht="15" hidden="false" customHeight="false" outlineLevel="0" collapsed="false">
      <c r="A592" s="13" t="s">
        <v>806</v>
      </c>
      <c r="B592" s="14" t="n">
        <v>42881</v>
      </c>
      <c r="C592" s="14" t="n">
        <v>45314</v>
      </c>
      <c r="D592" s="13" t="n">
        <v>37</v>
      </c>
      <c r="E592" s="13" t="s">
        <v>163</v>
      </c>
      <c r="F592" s="13" t="s">
        <v>131</v>
      </c>
      <c r="G592" s="13" t="s">
        <v>191</v>
      </c>
      <c r="H592" s="13" t="s">
        <v>139</v>
      </c>
      <c r="I592" s="13" t="n">
        <v>5</v>
      </c>
      <c r="J592" s="13" t="n">
        <v>1</v>
      </c>
      <c r="K592" s="13" t="n">
        <v>39500</v>
      </c>
      <c r="L592" s="13" t="s">
        <v>140</v>
      </c>
      <c r="M592" s="13" t="s">
        <v>201</v>
      </c>
      <c r="N592" s="13" t="s">
        <v>142</v>
      </c>
    </row>
    <row r="593" customFormat="false" ht="15" hidden="false" customHeight="false" outlineLevel="0" collapsed="false">
      <c r="A593" s="13" t="s">
        <v>807</v>
      </c>
      <c r="B593" s="14" t="n">
        <v>42881</v>
      </c>
      <c r="C593" s="14"/>
      <c r="D593" s="13" t="n">
        <v>31</v>
      </c>
      <c r="E593" s="13" t="s">
        <v>163</v>
      </c>
      <c r="F593" s="13" t="s">
        <v>241</v>
      </c>
      <c r="G593" s="13" t="s">
        <v>213</v>
      </c>
      <c r="H593" s="13" t="s">
        <v>139</v>
      </c>
      <c r="I593" s="13" t="n">
        <v>3</v>
      </c>
      <c r="J593" s="13" t="n">
        <v>4</v>
      </c>
      <c r="K593" s="13" t="n">
        <v>40500</v>
      </c>
      <c r="L593" s="13"/>
      <c r="M593" s="13"/>
      <c r="N593" s="13" t="s">
        <v>142</v>
      </c>
    </row>
    <row r="594" customFormat="false" ht="15" hidden="false" customHeight="false" outlineLevel="0" collapsed="false">
      <c r="A594" s="13" t="s">
        <v>808</v>
      </c>
      <c r="B594" s="14" t="n">
        <v>42886</v>
      </c>
      <c r="C594" s="14"/>
      <c r="D594" s="13" t="n">
        <v>37</v>
      </c>
      <c r="E594" s="13" t="s">
        <v>144</v>
      </c>
      <c r="F594" s="13" t="s">
        <v>170</v>
      </c>
      <c r="G594" s="13" t="s">
        <v>155</v>
      </c>
      <c r="H594" s="13" t="s">
        <v>192</v>
      </c>
      <c r="I594" s="13" t="n">
        <v>3</v>
      </c>
      <c r="J594" s="13" t="n">
        <v>1</v>
      </c>
      <c r="K594" s="13" t="n">
        <v>203000</v>
      </c>
      <c r="L594" s="13"/>
      <c r="M594" s="13"/>
      <c r="N594" s="13" t="s">
        <v>134</v>
      </c>
    </row>
    <row r="595" customFormat="false" ht="15" hidden="false" customHeight="false" outlineLevel="0" collapsed="false">
      <c r="A595" s="13" t="s">
        <v>809</v>
      </c>
      <c r="B595" s="14" t="n">
        <v>42886</v>
      </c>
      <c r="C595" s="14" t="n">
        <v>45033</v>
      </c>
      <c r="D595" s="13" t="n">
        <v>36</v>
      </c>
      <c r="E595" s="13" t="s">
        <v>136</v>
      </c>
      <c r="F595" s="13" t="s">
        <v>131</v>
      </c>
      <c r="G595" s="13" t="s">
        <v>138</v>
      </c>
      <c r="H595" s="13" t="s">
        <v>146</v>
      </c>
      <c r="I595" s="13" t="n">
        <v>3</v>
      </c>
      <c r="J595" s="13" t="n">
        <v>3</v>
      </c>
      <c r="K595" s="13" t="n">
        <v>66000</v>
      </c>
      <c r="L595" s="13" t="s">
        <v>140</v>
      </c>
      <c r="M595" s="13" t="s">
        <v>216</v>
      </c>
      <c r="N595" s="13" t="s">
        <v>134</v>
      </c>
    </row>
    <row r="596" customFormat="false" ht="15" hidden="false" customHeight="false" outlineLevel="0" collapsed="false">
      <c r="A596" s="13" t="s">
        <v>810</v>
      </c>
      <c r="B596" s="14" t="n">
        <v>42894</v>
      </c>
      <c r="C596" s="14"/>
      <c r="D596" s="13" t="n">
        <v>38</v>
      </c>
      <c r="E596" s="13" t="s">
        <v>136</v>
      </c>
      <c r="F596" s="13" t="s">
        <v>170</v>
      </c>
      <c r="G596" s="13" t="s">
        <v>191</v>
      </c>
      <c r="H596" s="13" t="s">
        <v>178</v>
      </c>
      <c r="I596" s="13" t="n">
        <v>2</v>
      </c>
      <c r="J596" s="13" t="n">
        <v>2</v>
      </c>
      <c r="K596" s="13" t="n">
        <v>150000</v>
      </c>
      <c r="L596" s="13"/>
      <c r="M596" s="13"/>
      <c r="N596" s="13" t="s">
        <v>142</v>
      </c>
    </row>
    <row r="597" customFormat="false" ht="15" hidden="false" customHeight="false" outlineLevel="0" collapsed="false">
      <c r="A597" s="13" t="s">
        <v>811</v>
      </c>
      <c r="B597" s="14" t="n">
        <v>42896</v>
      </c>
      <c r="C597" s="14" t="n">
        <v>44565</v>
      </c>
      <c r="D597" s="13" t="n">
        <v>28</v>
      </c>
      <c r="E597" s="13" t="s">
        <v>182</v>
      </c>
      <c r="F597" s="13" t="s">
        <v>137</v>
      </c>
      <c r="G597" s="13" t="s">
        <v>148</v>
      </c>
      <c r="H597" s="13" t="s">
        <v>139</v>
      </c>
      <c r="I597" s="13" t="n">
        <v>3</v>
      </c>
      <c r="J597" s="13" t="n">
        <v>4</v>
      </c>
      <c r="K597" s="13" t="n">
        <v>38500</v>
      </c>
      <c r="L597" s="13" t="s">
        <v>151</v>
      </c>
      <c r="M597" s="13" t="s">
        <v>216</v>
      </c>
      <c r="N597" s="13" t="s">
        <v>142</v>
      </c>
    </row>
    <row r="598" customFormat="false" ht="15" hidden="false" customHeight="false" outlineLevel="0" collapsed="false">
      <c r="A598" s="13" t="s">
        <v>812</v>
      </c>
      <c r="B598" s="14" t="n">
        <v>42898</v>
      </c>
      <c r="C598" s="14" t="n">
        <v>45267</v>
      </c>
      <c r="D598" s="13" t="n">
        <v>31</v>
      </c>
      <c r="E598" s="13" t="s">
        <v>136</v>
      </c>
      <c r="F598" s="13" t="s">
        <v>229</v>
      </c>
      <c r="G598" s="13" t="s">
        <v>155</v>
      </c>
      <c r="H598" s="13" t="s">
        <v>139</v>
      </c>
      <c r="I598" s="13" t="n">
        <v>3</v>
      </c>
      <c r="J598" s="13" t="n">
        <v>1</v>
      </c>
      <c r="K598" s="13" t="n">
        <v>36000</v>
      </c>
      <c r="L598" s="13" t="s">
        <v>140</v>
      </c>
      <c r="M598" s="13" t="s">
        <v>201</v>
      </c>
      <c r="N598" s="13" t="s">
        <v>142</v>
      </c>
    </row>
    <row r="599" customFormat="false" ht="15" hidden="false" customHeight="false" outlineLevel="0" collapsed="false">
      <c r="A599" s="13" t="s">
        <v>813</v>
      </c>
      <c r="B599" s="14" t="n">
        <v>42898</v>
      </c>
      <c r="C599" s="14" t="n">
        <v>45587</v>
      </c>
      <c r="D599" s="13" t="n">
        <v>38</v>
      </c>
      <c r="E599" s="13" t="s">
        <v>190</v>
      </c>
      <c r="F599" s="13" t="s">
        <v>168</v>
      </c>
      <c r="G599" s="13" t="s">
        <v>155</v>
      </c>
      <c r="H599" s="13" t="s">
        <v>139</v>
      </c>
      <c r="I599" s="13" t="n">
        <v>4</v>
      </c>
      <c r="J599" s="13" t="n">
        <v>4</v>
      </c>
      <c r="K599" s="13" t="n">
        <v>40500</v>
      </c>
      <c r="L599" s="13" t="s">
        <v>151</v>
      </c>
      <c r="M599" s="13" t="s">
        <v>201</v>
      </c>
      <c r="N599" s="13" t="s">
        <v>142</v>
      </c>
    </row>
    <row r="600" customFormat="false" ht="15" hidden="false" customHeight="false" outlineLevel="0" collapsed="false">
      <c r="A600" s="13" t="s">
        <v>814</v>
      </c>
      <c r="B600" s="14" t="n">
        <v>42900</v>
      </c>
      <c r="C600" s="14"/>
      <c r="D600" s="13" t="n">
        <v>31</v>
      </c>
      <c r="E600" s="13" t="s">
        <v>130</v>
      </c>
      <c r="F600" s="13" t="s">
        <v>164</v>
      </c>
      <c r="G600" s="13" t="s">
        <v>132</v>
      </c>
      <c r="H600" s="13" t="s">
        <v>139</v>
      </c>
      <c r="I600" s="13" t="n">
        <v>3</v>
      </c>
      <c r="J600" s="13" t="n">
        <v>3</v>
      </c>
      <c r="K600" s="13" t="n">
        <v>48500</v>
      </c>
      <c r="L600" s="13"/>
      <c r="M600" s="13"/>
      <c r="N600" s="13" t="s">
        <v>142</v>
      </c>
    </row>
    <row r="601" customFormat="false" ht="15" hidden="false" customHeight="false" outlineLevel="0" collapsed="false">
      <c r="A601" s="13" t="s">
        <v>815</v>
      </c>
      <c r="B601" s="14" t="n">
        <v>42902</v>
      </c>
      <c r="C601" s="14" t="n">
        <v>45813</v>
      </c>
      <c r="D601" s="13" t="n">
        <v>32</v>
      </c>
      <c r="E601" s="13" t="s">
        <v>186</v>
      </c>
      <c r="F601" s="13" t="s">
        <v>241</v>
      </c>
      <c r="G601" s="13" t="s">
        <v>138</v>
      </c>
      <c r="H601" s="13" t="s">
        <v>149</v>
      </c>
      <c r="I601" s="13" t="n">
        <v>4</v>
      </c>
      <c r="J601" s="13" t="n">
        <v>2</v>
      </c>
      <c r="K601" s="13" t="n">
        <v>119500</v>
      </c>
      <c r="L601" s="13" t="s">
        <v>151</v>
      </c>
      <c r="M601" s="13" t="s">
        <v>203</v>
      </c>
      <c r="N601" s="13" t="s">
        <v>134</v>
      </c>
    </row>
    <row r="602" customFormat="false" ht="15" hidden="false" customHeight="false" outlineLevel="0" collapsed="false">
      <c r="A602" s="13" t="s">
        <v>816</v>
      </c>
      <c r="B602" s="14" t="n">
        <v>42903</v>
      </c>
      <c r="C602" s="14" t="n">
        <v>45274</v>
      </c>
      <c r="D602" s="13" t="n">
        <v>38</v>
      </c>
      <c r="E602" s="13" t="s">
        <v>144</v>
      </c>
      <c r="F602" s="13" t="s">
        <v>131</v>
      </c>
      <c r="G602" s="13" t="s">
        <v>155</v>
      </c>
      <c r="H602" s="13" t="s">
        <v>139</v>
      </c>
      <c r="I602" s="13" t="n">
        <v>3</v>
      </c>
      <c r="J602" s="13" t="n">
        <v>3</v>
      </c>
      <c r="K602" s="13" t="n">
        <v>45500</v>
      </c>
      <c r="L602" s="13" t="s">
        <v>173</v>
      </c>
      <c r="M602" s="13" t="s">
        <v>254</v>
      </c>
      <c r="N602" s="13" t="s">
        <v>142</v>
      </c>
    </row>
    <row r="603" customFormat="false" ht="15" hidden="false" customHeight="false" outlineLevel="0" collapsed="false">
      <c r="A603" s="13" t="s">
        <v>817</v>
      </c>
      <c r="B603" s="14" t="n">
        <v>42910</v>
      </c>
      <c r="C603" s="14" t="n">
        <v>45288</v>
      </c>
      <c r="D603" s="13" t="n">
        <v>33</v>
      </c>
      <c r="E603" s="13" t="s">
        <v>144</v>
      </c>
      <c r="F603" s="13" t="s">
        <v>168</v>
      </c>
      <c r="G603" s="13" t="s">
        <v>155</v>
      </c>
      <c r="H603" s="13" t="s">
        <v>156</v>
      </c>
      <c r="I603" s="13" t="n">
        <v>1</v>
      </c>
      <c r="J603" s="13" t="n">
        <v>4</v>
      </c>
      <c r="K603" s="13" t="n">
        <v>100500</v>
      </c>
      <c r="L603" s="13" t="s">
        <v>173</v>
      </c>
      <c r="M603" s="13" t="s">
        <v>818</v>
      </c>
      <c r="N603" s="13" t="s">
        <v>142</v>
      </c>
    </row>
    <row r="604" customFormat="false" ht="15" hidden="false" customHeight="false" outlineLevel="0" collapsed="false">
      <c r="A604" s="13" t="s">
        <v>819</v>
      </c>
      <c r="B604" s="14" t="n">
        <v>42914</v>
      </c>
      <c r="C604" s="14"/>
      <c r="D604" s="13" t="n">
        <v>40</v>
      </c>
      <c r="E604" s="13" t="s">
        <v>186</v>
      </c>
      <c r="F604" s="13" t="s">
        <v>145</v>
      </c>
      <c r="G604" s="13" t="s">
        <v>148</v>
      </c>
      <c r="H604" s="13" t="s">
        <v>139</v>
      </c>
      <c r="I604" s="13" t="n">
        <v>3</v>
      </c>
      <c r="J604" s="13" t="n">
        <v>4</v>
      </c>
      <c r="K604" s="13" t="n">
        <v>41000</v>
      </c>
      <c r="L604" s="13"/>
      <c r="M604" s="13"/>
      <c r="N604" s="13" t="s">
        <v>134</v>
      </c>
    </row>
    <row r="605" customFormat="false" ht="15" hidden="false" customHeight="false" outlineLevel="0" collapsed="false">
      <c r="A605" s="13" t="s">
        <v>820</v>
      </c>
      <c r="B605" s="14" t="n">
        <v>42914</v>
      </c>
      <c r="C605" s="14"/>
      <c r="D605" s="13" t="n">
        <v>37</v>
      </c>
      <c r="E605" s="13" t="s">
        <v>136</v>
      </c>
      <c r="F605" s="13" t="s">
        <v>164</v>
      </c>
      <c r="G605" s="13" t="s">
        <v>155</v>
      </c>
      <c r="H605" s="13" t="s">
        <v>156</v>
      </c>
      <c r="I605" s="13" t="n">
        <v>3</v>
      </c>
      <c r="J605" s="13" t="n">
        <v>2</v>
      </c>
      <c r="K605" s="13" t="n">
        <v>105000</v>
      </c>
      <c r="L605" s="13"/>
      <c r="M605" s="13"/>
      <c r="N605" s="13" t="s">
        <v>214</v>
      </c>
    </row>
    <row r="606" customFormat="false" ht="15" hidden="false" customHeight="false" outlineLevel="0" collapsed="false">
      <c r="A606" s="13" t="s">
        <v>821</v>
      </c>
      <c r="B606" s="14" t="n">
        <v>42915</v>
      </c>
      <c r="C606" s="14" t="n">
        <v>45708</v>
      </c>
      <c r="D606" s="13" t="n">
        <v>37</v>
      </c>
      <c r="E606" s="13" t="s">
        <v>130</v>
      </c>
      <c r="F606" s="13" t="s">
        <v>229</v>
      </c>
      <c r="G606" s="13" t="s">
        <v>148</v>
      </c>
      <c r="H606" s="13" t="s">
        <v>146</v>
      </c>
      <c r="I606" s="13" t="n">
        <v>1</v>
      </c>
      <c r="J606" s="13" t="n">
        <v>3</v>
      </c>
      <c r="K606" s="13" t="n">
        <v>70500</v>
      </c>
      <c r="L606" s="13" t="s">
        <v>151</v>
      </c>
      <c r="M606" s="13" t="s">
        <v>216</v>
      </c>
      <c r="N606" s="13" t="s">
        <v>142</v>
      </c>
    </row>
    <row r="607" customFormat="false" ht="15" hidden="false" customHeight="false" outlineLevel="0" collapsed="false">
      <c r="A607" s="13" t="s">
        <v>822</v>
      </c>
      <c r="B607" s="14" t="n">
        <v>42915</v>
      </c>
      <c r="C607" s="14"/>
      <c r="D607" s="13" t="n">
        <v>36</v>
      </c>
      <c r="E607" s="13" t="s">
        <v>136</v>
      </c>
      <c r="F607" s="13" t="s">
        <v>168</v>
      </c>
      <c r="G607" s="13" t="s">
        <v>138</v>
      </c>
      <c r="H607" s="13" t="s">
        <v>146</v>
      </c>
      <c r="I607" s="13" t="n">
        <v>3</v>
      </c>
      <c r="J607" s="13" t="n">
        <v>4</v>
      </c>
      <c r="K607" s="13" t="n">
        <v>71500</v>
      </c>
      <c r="L607" s="13"/>
      <c r="M607" s="13"/>
      <c r="N607" s="13" t="s">
        <v>157</v>
      </c>
    </row>
    <row r="608" customFormat="false" ht="15" hidden="false" customHeight="false" outlineLevel="0" collapsed="false">
      <c r="A608" s="13" t="s">
        <v>823</v>
      </c>
      <c r="B608" s="14" t="n">
        <v>42918</v>
      </c>
      <c r="C608" s="14"/>
      <c r="D608" s="13" t="n">
        <v>32</v>
      </c>
      <c r="E608" s="13" t="s">
        <v>144</v>
      </c>
      <c r="F608" s="13" t="s">
        <v>137</v>
      </c>
      <c r="G608" s="13" t="s">
        <v>148</v>
      </c>
      <c r="H608" s="13" t="s">
        <v>343</v>
      </c>
      <c r="I608" s="13" t="n">
        <v>4</v>
      </c>
      <c r="J608" s="13" t="n">
        <v>4</v>
      </c>
      <c r="K608" s="13" t="n">
        <v>144000</v>
      </c>
      <c r="L608" s="13"/>
      <c r="M608" s="13"/>
      <c r="N608" s="13" t="s">
        <v>134</v>
      </c>
    </row>
    <row r="609" customFormat="false" ht="15" hidden="false" customHeight="false" outlineLevel="0" collapsed="false">
      <c r="A609" s="13" t="s">
        <v>824</v>
      </c>
      <c r="B609" s="14" t="n">
        <v>42919</v>
      </c>
      <c r="C609" s="14"/>
      <c r="D609" s="13" t="n">
        <v>30</v>
      </c>
      <c r="E609" s="13" t="s">
        <v>144</v>
      </c>
      <c r="F609" s="13" t="s">
        <v>164</v>
      </c>
      <c r="G609" s="13" t="s">
        <v>138</v>
      </c>
      <c r="H609" s="13" t="s">
        <v>146</v>
      </c>
      <c r="I609" s="13" t="n">
        <v>4</v>
      </c>
      <c r="J609" s="13" t="n">
        <v>3</v>
      </c>
      <c r="K609" s="13" t="n">
        <v>78000</v>
      </c>
      <c r="L609" s="13"/>
      <c r="M609" s="13"/>
      <c r="N609" s="13" t="s">
        <v>142</v>
      </c>
    </row>
    <row r="610" customFormat="false" ht="15" hidden="false" customHeight="false" outlineLevel="0" collapsed="false">
      <c r="A610" s="13" t="s">
        <v>825</v>
      </c>
      <c r="B610" s="14" t="n">
        <v>42921</v>
      </c>
      <c r="C610" s="14"/>
      <c r="D610" s="13" t="n">
        <v>41</v>
      </c>
      <c r="E610" s="13" t="s">
        <v>136</v>
      </c>
      <c r="F610" s="13" t="s">
        <v>137</v>
      </c>
      <c r="G610" s="13" t="s">
        <v>155</v>
      </c>
      <c r="H610" s="13" t="s">
        <v>149</v>
      </c>
      <c r="I610" s="13" t="n">
        <v>3</v>
      </c>
      <c r="J610" s="13" t="n">
        <v>3</v>
      </c>
      <c r="K610" s="13" t="n">
        <v>127000</v>
      </c>
      <c r="L610" s="13"/>
      <c r="M610" s="13"/>
      <c r="N610" s="13" t="s">
        <v>134</v>
      </c>
    </row>
    <row r="611" customFormat="false" ht="15" hidden="false" customHeight="false" outlineLevel="0" collapsed="false">
      <c r="A611" s="13" t="s">
        <v>826</v>
      </c>
      <c r="B611" s="14" t="n">
        <v>42923</v>
      </c>
      <c r="C611" s="14" t="n">
        <v>44758</v>
      </c>
      <c r="D611" s="13" t="n">
        <v>36</v>
      </c>
      <c r="E611" s="13" t="s">
        <v>136</v>
      </c>
      <c r="F611" s="13" t="s">
        <v>154</v>
      </c>
      <c r="G611" s="13" t="s">
        <v>191</v>
      </c>
      <c r="H611" s="13" t="s">
        <v>149</v>
      </c>
      <c r="I611" s="13" t="n">
        <v>3</v>
      </c>
      <c r="J611" s="13" t="n">
        <v>3</v>
      </c>
      <c r="K611" s="13" t="n">
        <v>100500</v>
      </c>
      <c r="L611" s="13" t="s">
        <v>151</v>
      </c>
      <c r="M611" s="13" t="s">
        <v>141</v>
      </c>
      <c r="N611" s="13" t="s">
        <v>142</v>
      </c>
    </row>
    <row r="612" customFormat="false" ht="15" hidden="false" customHeight="false" outlineLevel="0" collapsed="false">
      <c r="A612" s="13" t="s">
        <v>827</v>
      </c>
      <c r="B612" s="14" t="n">
        <v>42924</v>
      </c>
      <c r="C612" s="14"/>
      <c r="D612" s="13" t="n">
        <v>33</v>
      </c>
      <c r="E612" s="13" t="s">
        <v>136</v>
      </c>
      <c r="F612" s="13" t="s">
        <v>229</v>
      </c>
      <c r="G612" s="13" t="s">
        <v>138</v>
      </c>
      <c r="H612" s="13" t="s">
        <v>139</v>
      </c>
      <c r="I612" s="13" t="n">
        <v>4</v>
      </c>
      <c r="J612" s="13" t="n">
        <v>1</v>
      </c>
      <c r="K612" s="13" t="n">
        <v>42000</v>
      </c>
      <c r="L612" s="13"/>
      <c r="M612" s="13"/>
      <c r="N612" s="13" t="s">
        <v>134</v>
      </c>
    </row>
    <row r="613" customFormat="false" ht="15" hidden="false" customHeight="false" outlineLevel="0" collapsed="false">
      <c r="A613" s="13" t="s">
        <v>828</v>
      </c>
      <c r="B613" s="14" t="n">
        <v>42926</v>
      </c>
      <c r="C613" s="14" t="n">
        <v>44631</v>
      </c>
      <c r="D613" s="13" t="n">
        <v>42</v>
      </c>
      <c r="E613" s="13" t="s">
        <v>182</v>
      </c>
      <c r="F613" s="13" t="s">
        <v>131</v>
      </c>
      <c r="G613" s="13" t="s">
        <v>138</v>
      </c>
      <c r="H613" s="13" t="s">
        <v>133</v>
      </c>
      <c r="I613" s="13" t="n">
        <v>2</v>
      </c>
      <c r="J613" s="13" t="n">
        <v>3</v>
      </c>
      <c r="K613" s="13" t="n">
        <v>67500</v>
      </c>
      <c r="L613" s="13" t="s">
        <v>173</v>
      </c>
      <c r="M613" s="13" t="s">
        <v>818</v>
      </c>
      <c r="N613" s="13" t="s">
        <v>142</v>
      </c>
    </row>
    <row r="614" customFormat="false" ht="15" hidden="false" customHeight="false" outlineLevel="0" collapsed="false">
      <c r="A614" s="13" t="s">
        <v>829</v>
      </c>
      <c r="B614" s="14" t="n">
        <v>42928</v>
      </c>
      <c r="C614" s="14"/>
      <c r="D614" s="13" t="n">
        <v>39</v>
      </c>
      <c r="E614" s="13" t="s">
        <v>130</v>
      </c>
      <c r="F614" s="13" t="s">
        <v>137</v>
      </c>
      <c r="G614" s="13" t="s">
        <v>132</v>
      </c>
      <c r="H614" s="13" t="s">
        <v>156</v>
      </c>
      <c r="I614" s="13" t="n">
        <v>3</v>
      </c>
      <c r="J614" s="13" t="n">
        <v>3</v>
      </c>
      <c r="K614" s="13" t="n">
        <v>95000</v>
      </c>
      <c r="L614" s="13"/>
      <c r="M614" s="13"/>
      <c r="N614" s="13" t="s">
        <v>134</v>
      </c>
    </row>
    <row r="615" customFormat="false" ht="15" hidden="false" customHeight="false" outlineLevel="0" collapsed="false">
      <c r="A615" s="13" t="s">
        <v>830</v>
      </c>
      <c r="B615" s="14" t="n">
        <v>42930</v>
      </c>
      <c r="C615" s="14"/>
      <c r="D615" s="13" t="n">
        <v>38</v>
      </c>
      <c r="E615" s="13" t="s">
        <v>136</v>
      </c>
      <c r="F615" s="13" t="s">
        <v>131</v>
      </c>
      <c r="G615" s="13" t="s">
        <v>155</v>
      </c>
      <c r="H615" s="13" t="s">
        <v>139</v>
      </c>
      <c r="I615" s="13" t="n">
        <v>4</v>
      </c>
      <c r="J615" s="13" t="n">
        <v>2</v>
      </c>
      <c r="K615" s="13" t="n">
        <v>45000</v>
      </c>
      <c r="L615" s="13"/>
      <c r="M615" s="13"/>
      <c r="N615" s="13" t="s">
        <v>142</v>
      </c>
    </row>
    <row r="616" customFormat="false" ht="15" hidden="false" customHeight="false" outlineLevel="0" collapsed="false">
      <c r="A616" s="13" t="s">
        <v>831</v>
      </c>
      <c r="B616" s="14" t="n">
        <v>42931</v>
      </c>
      <c r="C616" s="14"/>
      <c r="D616" s="13" t="n">
        <v>40</v>
      </c>
      <c r="E616" s="13" t="s">
        <v>136</v>
      </c>
      <c r="F616" s="13" t="s">
        <v>168</v>
      </c>
      <c r="G616" s="13" t="s">
        <v>138</v>
      </c>
      <c r="H616" s="13" t="s">
        <v>219</v>
      </c>
      <c r="I616" s="13" t="n">
        <v>3</v>
      </c>
      <c r="J616" s="13" t="n">
        <v>4</v>
      </c>
      <c r="K616" s="13" t="n">
        <v>42000</v>
      </c>
      <c r="L616" s="13"/>
      <c r="M616" s="13"/>
      <c r="N616" s="13" t="s">
        <v>142</v>
      </c>
    </row>
    <row r="617" customFormat="false" ht="15" hidden="false" customHeight="false" outlineLevel="0" collapsed="false">
      <c r="A617" s="13" t="s">
        <v>832</v>
      </c>
      <c r="B617" s="14" t="n">
        <v>42936</v>
      </c>
      <c r="C617" s="14"/>
      <c r="D617" s="13" t="n">
        <v>33</v>
      </c>
      <c r="E617" s="13" t="s">
        <v>136</v>
      </c>
      <c r="F617" s="13" t="s">
        <v>168</v>
      </c>
      <c r="G617" s="13" t="s">
        <v>297</v>
      </c>
      <c r="H617" s="13" t="s">
        <v>156</v>
      </c>
      <c r="I617" s="13" t="n">
        <v>4</v>
      </c>
      <c r="J617" s="13" t="n">
        <v>2</v>
      </c>
      <c r="K617" s="13" t="n">
        <v>104500</v>
      </c>
      <c r="L617" s="13"/>
      <c r="M617" s="13"/>
      <c r="N617" s="13" t="s">
        <v>157</v>
      </c>
    </row>
    <row r="618" customFormat="false" ht="15" hidden="false" customHeight="false" outlineLevel="0" collapsed="false">
      <c r="A618" s="13" t="s">
        <v>833</v>
      </c>
      <c r="B618" s="14" t="n">
        <v>42939</v>
      </c>
      <c r="C618" s="14"/>
      <c r="D618" s="13" t="n">
        <v>34</v>
      </c>
      <c r="E618" s="13" t="s">
        <v>136</v>
      </c>
      <c r="F618" s="13" t="s">
        <v>241</v>
      </c>
      <c r="G618" s="13" t="s">
        <v>374</v>
      </c>
      <c r="H618" s="13" t="s">
        <v>149</v>
      </c>
      <c r="I618" s="13" t="n">
        <v>3</v>
      </c>
      <c r="J618" s="13" t="n">
        <v>3</v>
      </c>
      <c r="K618" s="13" t="n">
        <v>121000</v>
      </c>
      <c r="L618" s="13"/>
      <c r="M618" s="13"/>
      <c r="N618" s="13" t="s">
        <v>134</v>
      </c>
    </row>
    <row r="619" customFormat="false" ht="15" hidden="false" customHeight="false" outlineLevel="0" collapsed="false">
      <c r="A619" s="13" t="s">
        <v>834</v>
      </c>
      <c r="B619" s="14" t="n">
        <v>42940</v>
      </c>
      <c r="C619" s="14"/>
      <c r="D619" s="13" t="n">
        <v>34</v>
      </c>
      <c r="E619" s="13" t="s">
        <v>259</v>
      </c>
      <c r="F619" s="13" t="s">
        <v>239</v>
      </c>
      <c r="G619" s="13" t="s">
        <v>132</v>
      </c>
      <c r="H619" s="13" t="s">
        <v>139</v>
      </c>
      <c r="I619" s="13" t="n">
        <v>5</v>
      </c>
      <c r="J619" s="13" t="n">
        <v>1</v>
      </c>
      <c r="K619" s="13" t="n">
        <v>40500</v>
      </c>
      <c r="L619" s="13"/>
      <c r="M619" s="13"/>
      <c r="N619" s="13" t="s">
        <v>134</v>
      </c>
    </row>
    <row r="620" customFormat="false" ht="15" hidden="false" customHeight="false" outlineLevel="0" collapsed="false">
      <c r="A620" s="13" t="s">
        <v>835</v>
      </c>
      <c r="B620" s="14" t="n">
        <v>42941</v>
      </c>
      <c r="C620" s="14"/>
      <c r="D620" s="13" t="n">
        <v>37</v>
      </c>
      <c r="E620" s="13" t="s">
        <v>144</v>
      </c>
      <c r="F620" s="13" t="s">
        <v>137</v>
      </c>
      <c r="G620" s="13" t="s">
        <v>132</v>
      </c>
      <c r="H620" s="13" t="s">
        <v>242</v>
      </c>
      <c r="I620" s="13" t="n">
        <v>3</v>
      </c>
      <c r="J620" s="13" t="n">
        <v>1</v>
      </c>
      <c r="K620" s="13" t="n">
        <v>110500</v>
      </c>
      <c r="L620" s="13"/>
      <c r="M620" s="13"/>
      <c r="N620" s="13" t="s">
        <v>142</v>
      </c>
    </row>
    <row r="621" customFormat="false" ht="15" hidden="false" customHeight="false" outlineLevel="0" collapsed="false">
      <c r="A621" s="13" t="s">
        <v>836</v>
      </c>
      <c r="B621" s="14" t="n">
        <v>42947</v>
      </c>
      <c r="C621" s="14"/>
      <c r="D621" s="13" t="n">
        <v>42</v>
      </c>
      <c r="E621" s="13" t="s">
        <v>144</v>
      </c>
      <c r="F621" s="13" t="s">
        <v>131</v>
      </c>
      <c r="G621" s="13" t="s">
        <v>213</v>
      </c>
      <c r="H621" s="13" t="s">
        <v>146</v>
      </c>
      <c r="I621" s="13" t="n">
        <v>3</v>
      </c>
      <c r="J621" s="13" t="n">
        <v>2</v>
      </c>
      <c r="K621" s="13" t="n">
        <v>65000</v>
      </c>
      <c r="L621" s="13"/>
      <c r="M621" s="13"/>
      <c r="N621" s="13" t="s">
        <v>453</v>
      </c>
    </row>
    <row r="622" customFormat="false" ht="15" hidden="false" customHeight="false" outlineLevel="0" collapsed="false">
      <c r="A622" s="13" t="s">
        <v>837</v>
      </c>
      <c r="B622" s="14" t="n">
        <v>42948</v>
      </c>
      <c r="C622" s="14"/>
      <c r="D622" s="13" t="n">
        <v>41</v>
      </c>
      <c r="E622" s="13" t="s">
        <v>144</v>
      </c>
      <c r="F622" s="13" t="s">
        <v>229</v>
      </c>
      <c r="G622" s="13" t="s">
        <v>148</v>
      </c>
      <c r="H622" s="13" t="s">
        <v>146</v>
      </c>
      <c r="I622" s="13" t="n">
        <v>4</v>
      </c>
      <c r="J622" s="13" t="n">
        <v>2</v>
      </c>
      <c r="K622" s="13" t="n">
        <v>68500</v>
      </c>
      <c r="L622" s="13"/>
      <c r="M622" s="13"/>
      <c r="N622" s="13" t="s">
        <v>142</v>
      </c>
    </row>
    <row r="623" customFormat="false" ht="15" hidden="false" customHeight="false" outlineLevel="0" collapsed="false">
      <c r="A623" s="13" t="s">
        <v>838</v>
      </c>
      <c r="B623" s="14" t="n">
        <v>42949</v>
      </c>
      <c r="C623" s="14"/>
      <c r="D623" s="13" t="n">
        <v>33</v>
      </c>
      <c r="E623" s="13" t="s">
        <v>136</v>
      </c>
      <c r="F623" s="13" t="s">
        <v>154</v>
      </c>
      <c r="G623" s="13" t="s">
        <v>235</v>
      </c>
      <c r="H623" s="13" t="s">
        <v>192</v>
      </c>
      <c r="I623" s="13" t="n">
        <v>3</v>
      </c>
      <c r="J623" s="13" t="n">
        <v>2</v>
      </c>
      <c r="K623" s="13" t="n">
        <v>219000</v>
      </c>
      <c r="L623" s="13"/>
      <c r="M623" s="13"/>
      <c r="N623" s="13" t="s">
        <v>134</v>
      </c>
    </row>
    <row r="624" customFormat="false" ht="15" hidden="false" customHeight="false" outlineLevel="0" collapsed="false">
      <c r="A624" s="13" t="s">
        <v>839</v>
      </c>
      <c r="B624" s="14" t="n">
        <v>42951</v>
      </c>
      <c r="C624" s="14" t="n">
        <v>45703</v>
      </c>
      <c r="D624" s="13" t="n">
        <v>42</v>
      </c>
      <c r="E624" s="13" t="s">
        <v>136</v>
      </c>
      <c r="F624" s="13" t="s">
        <v>131</v>
      </c>
      <c r="G624" s="13" t="s">
        <v>138</v>
      </c>
      <c r="H624" s="13" t="s">
        <v>139</v>
      </c>
      <c r="I624" s="13" t="n">
        <v>3</v>
      </c>
      <c r="J624" s="13" t="n">
        <v>4</v>
      </c>
      <c r="K624" s="13" t="n">
        <v>55000</v>
      </c>
      <c r="L624" s="13" t="s">
        <v>151</v>
      </c>
      <c r="M624" s="13" t="s">
        <v>159</v>
      </c>
      <c r="N624" s="13" t="s">
        <v>134</v>
      </c>
    </row>
    <row r="625" customFormat="false" ht="15" hidden="false" customHeight="false" outlineLevel="0" collapsed="false">
      <c r="A625" s="13" t="s">
        <v>840</v>
      </c>
      <c r="B625" s="14" t="n">
        <v>42957</v>
      </c>
      <c r="C625" s="14" t="n">
        <v>44676</v>
      </c>
      <c r="D625" s="13" t="n">
        <v>48</v>
      </c>
      <c r="E625" s="13" t="s">
        <v>136</v>
      </c>
      <c r="F625" s="13" t="s">
        <v>168</v>
      </c>
      <c r="G625" s="13" t="s">
        <v>148</v>
      </c>
      <c r="H625" s="13" t="s">
        <v>139</v>
      </c>
      <c r="I625" s="13" t="n">
        <v>4</v>
      </c>
      <c r="J625" s="13" t="n">
        <v>3</v>
      </c>
      <c r="K625" s="13" t="n">
        <v>38500</v>
      </c>
      <c r="L625" s="13" t="s">
        <v>151</v>
      </c>
      <c r="M625" s="13" t="s">
        <v>201</v>
      </c>
      <c r="N625" s="13" t="s">
        <v>157</v>
      </c>
    </row>
    <row r="626" customFormat="false" ht="15" hidden="false" customHeight="false" outlineLevel="0" collapsed="false">
      <c r="A626" s="13" t="s">
        <v>841</v>
      </c>
      <c r="B626" s="14" t="n">
        <v>42961</v>
      </c>
      <c r="C626" s="14"/>
      <c r="D626" s="13" t="n">
        <v>33</v>
      </c>
      <c r="E626" s="13" t="s">
        <v>136</v>
      </c>
      <c r="F626" s="13" t="s">
        <v>168</v>
      </c>
      <c r="G626" s="13" t="s">
        <v>155</v>
      </c>
      <c r="H626" s="13" t="s">
        <v>139</v>
      </c>
      <c r="I626" s="13" t="n">
        <v>3</v>
      </c>
      <c r="J626" s="13" t="n">
        <v>3</v>
      </c>
      <c r="K626" s="13" t="n">
        <v>51000</v>
      </c>
      <c r="L626" s="13"/>
      <c r="M626" s="13"/>
      <c r="N626" s="13" t="s">
        <v>134</v>
      </c>
    </row>
    <row r="627" customFormat="false" ht="15" hidden="false" customHeight="false" outlineLevel="0" collapsed="false">
      <c r="A627" s="13" t="s">
        <v>842</v>
      </c>
      <c r="B627" s="14" t="n">
        <v>42962</v>
      </c>
      <c r="C627" s="14"/>
      <c r="D627" s="13" t="n">
        <v>45</v>
      </c>
      <c r="E627" s="13" t="s">
        <v>144</v>
      </c>
      <c r="F627" s="13" t="s">
        <v>170</v>
      </c>
      <c r="G627" s="13" t="s">
        <v>155</v>
      </c>
      <c r="H627" s="13" t="s">
        <v>156</v>
      </c>
      <c r="I627" s="13" t="n">
        <v>4</v>
      </c>
      <c r="J627" s="13" t="n">
        <v>3</v>
      </c>
      <c r="K627" s="13" t="n">
        <v>107500</v>
      </c>
      <c r="L627" s="13"/>
      <c r="M627" s="13"/>
      <c r="N627" s="13" t="s">
        <v>142</v>
      </c>
    </row>
    <row r="628" customFormat="false" ht="15" hidden="false" customHeight="false" outlineLevel="0" collapsed="false">
      <c r="A628" s="13" t="s">
        <v>843</v>
      </c>
      <c r="B628" s="14" t="n">
        <v>42963</v>
      </c>
      <c r="C628" s="14"/>
      <c r="D628" s="13" t="n">
        <v>31</v>
      </c>
      <c r="E628" s="13" t="s">
        <v>136</v>
      </c>
      <c r="F628" s="13" t="s">
        <v>170</v>
      </c>
      <c r="G628" s="13" t="s">
        <v>148</v>
      </c>
      <c r="H628" s="13" t="s">
        <v>178</v>
      </c>
      <c r="I628" s="13" t="n">
        <v>3</v>
      </c>
      <c r="J628" s="13" t="n">
        <v>2</v>
      </c>
      <c r="K628" s="13" t="n">
        <v>137500</v>
      </c>
      <c r="L628" s="13"/>
      <c r="M628" s="13"/>
      <c r="N628" s="13" t="s">
        <v>142</v>
      </c>
    </row>
    <row r="629" customFormat="false" ht="15" hidden="false" customHeight="false" outlineLevel="0" collapsed="false">
      <c r="A629" s="13" t="s">
        <v>844</v>
      </c>
      <c r="B629" s="14" t="n">
        <v>42965</v>
      </c>
      <c r="C629" s="14" t="n">
        <v>45261</v>
      </c>
      <c r="D629" s="13" t="n">
        <v>33</v>
      </c>
      <c r="E629" s="13" t="s">
        <v>130</v>
      </c>
      <c r="F629" s="13" t="s">
        <v>168</v>
      </c>
      <c r="G629" s="13" t="s">
        <v>155</v>
      </c>
      <c r="H629" s="13" t="s">
        <v>242</v>
      </c>
      <c r="I629" s="13" t="n">
        <v>3</v>
      </c>
      <c r="J629" s="13" t="n">
        <v>3</v>
      </c>
      <c r="K629" s="13" t="n">
        <v>102500</v>
      </c>
      <c r="L629" s="13" t="s">
        <v>253</v>
      </c>
      <c r="M629" s="13" t="s">
        <v>254</v>
      </c>
      <c r="N629" s="13" t="s">
        <v>142</v>
      </c>
    </row>
    <row r="630" customFormat="false" ht="15" hidden="false" customHeight="false" outlineLevel="0" collapsed="false">
      <c r="A630" s="13" t="s">
        <v>845</v>
      </c>
      <c r="B630" s="14" t="n">
        <v>42966</v>
      </c>
      <c r="C630" s="14"/>
      <c r="D630" s="13" t="n">
        <v>38</v>
      </c>
      <c r="E630" s="13" t="s">
        <v>136</v>
      </c>
      <c r="F630" s="13" t="s">
        <v>239</v>
      </c>
      <c r="G630" s="13" t="s">
        <v>334</v>
      </c>
      <c r="H630" s="13" t="s">
        <v>139</v>
      </c>
      <c r="I630" s="13"/>
      <c r="J630" s="13" t="n">
        <v>3</v>
      </c>
      <c r="K630" s="13" t="n">
        <v>40500</v>
      </c>
      <c r="L630" s="13"/>
      <c r="M630" s="13"/>
      <c r="N630" s="13" t="s">
        <v>142</v>
      </c>
    </row>
    <row r="631" customFormat="false" ht="15" hidden="false" customHeight="false" outlineLevel="0" collapsed="false">
      <c r="A631" s="13" t="s">
        <v>846</v>
      </c>
      <c r="B631" s="14" t="n">
        <v>42967</v>
      </c>
      <c r="C631" s="14"/>
      <c r="D631" s="13" t="n">
        <v>29</v>
      </c>
      <c r="E631" s="13" t="s">
        <v>144</v>
      </c>
      <c r="F631" s="13" t="s">
        <v>241</v>
      </c>
      <c r="G631" s="13" t="s">
        <v>148</v>
      </c>
      <c r="H631" s="13" t="s">
        <v>146</v>
      </c>
      <c r="I631" s="13" t="n">
        <v>4</v>
      </c>
      <c r="J631" s="13" t="n">
        <v>4</v>
      </c>
      <c r="K631" s="13" t="n">
        <v>75000</v>
      </c>
      <c r="L631" s="13"/>
      <c r="M631" s="13"/>
      <c r="N631" s="13" t="s">
        <v>142</v>
      </c>
    </row>
    <row r="632" customFormat="false" ht="15" hidden="false" customHeight="false" outlineLevel="0" collapsed="false">
      <c r="A632" s="13" t="s">
        <v>847</v>
      </c>
      <c r="B632" s="14" t="n">
        <v>42967</v>
      </c>
      <c r="C632" s="14" t="n">
        <v>45288</v>
      </c>
      <c r="D632" s="13" t="n">
        <v>34</v>
      </c>
      <c r="E632" s="13" t="s">
        <v>136</v>
      </c>
      <c r="F632" s="13" t="s">
        <v>161</v>
      </c>
      <c r="G632" s="13" t="s">
        <v>354</v>
      </c>
      <c r="H632" s="13" t="s">
        <v>139</v>
      </c>
      <c r="I632" s="13" t="n">
        <v>2</v>
      </c>
      <c r="J632" s="13" t="n">
        <v>4</v>
      </c>
      <c r="K632" s="13" t="n">
        <v>47000</v>
      </c>
      <c r="L632" s="13" t="s">
        <v>173</v>
      </c>
      <c r="M632" s="13" t="s">
        <v>254</v>
      </c>
      <c r="N632" s="13" t="s">
        <v>134</v>
      </c>
    </row>
    <row r="633" customFormat="false" ht="15" hidden="false" customHeight="false" outlineLevel="0" collapsed="false">
      <c r="A633" s="13" t="s">
        <v>848</v>
      </c>
      <c r="B633" s="14" t="n">
        <v>42968</v>
      </c>
      <c r="C633" s="14"/>
      <c r="D633" s="13" t="n">
        <v>39</v>
      </c>
      <c r="E633" s="13" t="s">
        <v>136</v>
      </c>
      <c r="F633" s="13" t="s">
        <v>168</v>
      </c>
      <c r="G633" s="13" t="s">
        <v>138</v>
      </c>
      <c r="H633" s="13" t="s">
        <v>139</v>
      </c>
      <c r="I633" s="13" t="n">
        <v>4</v>
      </c>
      <c r="J633" s="13" t="n">
        <v>3</v>
      </c>
      <c r="K633" s="13" t="n">
        <v>47000</v>
      </c>
      <c r="L633" s="13"/>
      <c r="M633" s="13"/>
      <c r="N633" s="13" t="s">
        <v>142</v>
      </c>
    </row>
    <row r="634" customFormat="false" ht="15" hidden="false" customHeight="false" outlineLevel="0" collapsed="false">
      <c r="A634" s="13" t="s">
        <v>849</v>
      </c>
      <c r="B634" s="14" t="n">
        <v>42975</v>
      </c>
      <c r="C634" s="14"/>
      <c r="D634" s="13" t="n">
        <v>43</v>
      </c>
      <c r="E634" s="13" t="s">
        <v>136</v>
      </c>
      <c r="F634" s="13" t="s">
        <v>164</v>
      </c>
      <c r="G634" s="13" t="s">
        <v>138</v>
      </c>
      <c r="H634" s="13" t="s">
        <v>146</v>
      </c>
      <c r="I634" s="13" t="n">
        <v>3</v>
      </c>
      <c r="J634" s="13" t="n">
        <v>1</v>
      </c>
      <c r="K634" s="13" t="n">
        <v>75000</v>
      </c>
      <c r="L634" s="13"/>
      <c r="M634" s="13"/>
      <c r="N634" s="13" t="s">
        <v>142</v>
      </c>
    </row>
    <row r="635" customFormat="false" ht="15" hidden="false" customHeight="false" outlineLevel="0" collapsed="false">
      <c r="A635" s="13" t="s">
        <v>850</v>
      </c>
      <c r="B635" s="14" t="n">
        <v>42976</v>
      </c>
      <c r="C635" s="14"/>
      <c r="D635" s="13" t="n">
        <v>39</v>
      </c>
      <c r="E635" s="13" t="s">
        <v>144</v>
      </c>
      <c r="F635" s="13" t="s">
        <v>231</v>
      </c>
      <c r="G635" s="13" t="s">
        <v>224</v>
      </c>
      <c r="H635" s="13" t="s">
        <v>178</v>
      </c>
      <c r="I635" s="13" t="n">
        <v>4</v>
      </c>
      <c r="J635" s="13" t="n">
        <v>2</v>
      </c>
      <c r="K635" s="13" t="n">
        <v>134500</v>
      </c>
      <c r="L635" s="13"/>
      <c r="M635" s="13"/>
      <c r="N635" s="13" t="s">
        <v>142</v>
      </c>
    </row>
    <row r="636" customFormat="false" ht="15" hidden="false" customHeight="false" outlineLevel="0" collapsed="false">
      <c r="A636" s="13" t="s">
        <v>851</v>
      </c>
      <c r="B636" s="14" t="n">
        <v>42978</v>
      </c>
      <c r="C636" s="14"/>
      <c r="D636" s="13" t="n">
        <v>40</v>
      </c>
      <c r="E636" s="13" t="s">
        <v>186</v>
      </c>
      <c r="F636" s="13" t="s">
        <v>168</v>
      </c>
      <c r="G636" s="13" t="s">
        <v>224</v>
      </c>
      <c r="H636" s="13" t="s">
        <v>149</v>
      </c>
      <c r="I636" s="13" t="n">
        <v>4</v>
      </c>
      <c r="J636" s="13" t="n">
        <v>4</v>
      </c>
      <c r="K636" s="13" t="n">
        <v>99000</v>
      </c>
      <c r="L636" s="13"/>
      <c r="M636" s="13"/>
      <c r="N636" s="13" t="s">
        <v>142</v>
      </c>
    </row>
    <row r="637" customFormat="false" ht="15" hidden="false" customHeight="false" outlineLevel="0" collapsed="false">
      <c r="A637" s="13" t="s">
        <v>852</v>
      </c>
      <c r="B637" s="14" t="n">
        <v>42979</v>
      </c>
      <c r="C637" s="14"/>
      <c r="D637" s="13" t="n">
        <v>29</v>
      </c>
      <c r="E637" s="13" t="s">
        <v>190</v>
      </c>
      <c r="F637" s="13" t="s">
        <v>137</v>
      </c>
      <c r="G637" s="13" t="s">
        <v>307</v>
      </c>
      <c r="H637" s="13" t="s">
        <v>276</v>
      </c>
      <c r="I637" s="13"/>
      <c r="J637" s="13" t="n">
        <v>4</v>
      </c>
      <c r="K637" s="13" t="n">
        <v>223500</v>
      </c>
      <c r="L637" s="13"/>
      <c r="M637" s="13"/>
      <c r="N637" s="13" t="s">
        <v>142</v>
      </c>
    </row>
    <row r="638" customFormat="false" ht="15" hidden="false" customHeight="false" outlineLevel="0" collapsed="false">
      <c r="A638" s="13" t="s">
        <v>853</v>
      </c>
      <c r="B638" s="14" t="n">
        <v>42984</v>
      </c>
      <c r="C638" s="14" t="n">
        <v>45681</v>
      </c>
      <c r="D638" s="13" t="n">
        <v>36</v>
      </c>
      <c r="E638" s="13" t="s">
        <v>144</v>
      </c>
      <c r="F638" s="13" t="s">
        <v>137</v>
      </c>
      <c r="G638" s="13" t="s">
        <v>148</v>
      </c>
      <c r="H638" s="13" t="s">
        <v>146</v>
      </c>
      <c r="I638" s="13" t="n">
        <v>3</v>
      </c>
      <c r="J638" s="13" t="n">
        <v>1</v>
      </c>
      <c r="K638" s="13" t="n">
        <v>67000</v>
      </c>
      <c r="L638" s="13" t="s">
        <v>173</v>
      </c>
      <c r="M638" s="13" t="s">
        <v>273</v>
      </c>
      <c r="N638" s="13" t="s">
        <v>214</v>
      </c>
    </row>
    <row r="639" customFormat="false" ht="15" hidden="false" customHeight="false" outlineLevel="0" collapsed="false">
      <c r="A639" s="13" t="s">
        <v>854</v>
      </c>
      <c r="B639" s="14" t="n">
        <v>42985</v>
      </c>
      <c r="C639" s="14" t="n">
        <v>44929</v>
      </c>
      <c r="D639" s="13" t="n">
        <v>33</v>
      </c>
      <c r="E639" s="13" t="s">
        <v>144</v>
      </c>
      <c r="F639" s="13" t="s">
        <v>161</v>
      </c>
      <c r="G639" s="13" t="s">
        <v>132</v>
      </c>
      <c r="H639" s="13" t="s">
        <v>139</v>
      </c>
      <c r="I639" s="13" t="n">
        <v>2</v>
      </c>
      <c r="J639" s="13" t="n">
        <v>1</v>
      </c>
      <c r="K639" s="13" t="n">
        <v>40000</v>
      </c>
      <c r="L639" s="13" t="s">
        <v>140</v>
      </c>
      <c r="M639" s="13" t="s">
        <v>159</v>
      </c>
      <c r="N639" s="13" t="s">
        <v>142</v>
      </c>
    </row>
    <row r="640" customFormat="false" ht="15" hidden="false" customHeight="false" outlineLevel="0" collapsed="false">
      <c r="A640" s="13" t="s">
        <v>855</v>
      </c>
      <c r="B640" s="14" t="n">
        <v>42986</v>
      </c>
      <c r="C640" s="14"/>
      <c r="D640" s="13" t="n">
        <v>49</v>
      </c>
      <c r="E640" s="13" t="s">
        <v>130</v>
      </c>
      <c r="F640" s="13" t="s">
        <v>229</v>
      </c>
      <c r="G640" s="13" t="s">
        <v>138</v>
      </c>
      <c r="H640" s="13" t="s">
        <v>146</v>
      </c>
      <c r="I640" s="13" t="n">
        <v>3</v>
      </c>
      <c r="J640" s="13" t="n">
        <v>2</v>
      </c>
      <c r="K640" s="13" t="n">
        <v>77000</v>
      </c>
      <c r="L640" s="13"/>
      <c r="M640" s="13"/>
      <c r="N640" s="13" t="s">
        <v>134</v>
      </c>
    </row>
    <row r="641" customFormat="false" ht="15" hidden="false" customHeight="false" outlineLevel="0" collapsed="false">
      <c r="A641" s="13" t="s">
        <v>856</v>
      </c>
      <c r="B641" s="14" t="n">
        <v>42989</v>
      </c>
      <c r="C641" s="14"/>
      <c r="D641" s="13" t="n">
        <v>44</v>
      </c>
      <c r="E641" s="13" t="s">
        <v>259</v>
      </c>
      <c r="F641" s="13" t="s">
        <v>229</v>
      </c>
      <c r="G641" s="13" t="s">
        <v>155</v>
      </c>
      <c r="H641" s="13" t="s">
        <v>139</v>
      </c>
      <c r="I641" s="13" t="n">
        <v>5</v>
      </c>
      <c r="J641" s="13" t="n">
        <v>4</v>
      </c>
      <c r="K641" s="13" t="n">
        <v>53500</v>
      </c>
      <c r="L641" s="13"/>
      <c r="M641" s="13"/>
      <c r="N641" s="13" t="s">
        <v>134</v>
      </c>
    </row>
    <row r="642" customFormat="false" ht="15" hidden="false" customHeight="false" outlineLevel="0" collapsed="false">
      <c r="A642" s="13" t="s">
        <v>857</v>
      </c>
      <c r="B642" s="14" t="n">
        <v>42992</v>
      </c>
      <c r="C642" s="14"/>
      <c r="D642" s="13" t="n">
        <v>33</v>
      </c>
      <c r="E642" s="13" t="s">
        <v>190</v>
      </c>
      <c r="F642" s="13" t="s">
        <v>145</v>
      </c>
      <c r="G642" s="13" t="s">
        <v>148</v>
      </c>
      <c r="H642" s="13" t="s">
        <v>133</v>
      </c>
      <c r="I642" s="13" t="n">
        <v>2</v>
      </c>
      <c r="J642" s="13" t="n">
        <v>4</v>
      </c>
      <c r="K642" s="13" t="n">
        <v>78500</v>
      </c>
      <c r="L642" s="13"/>
      <c r="M642" s="13"/>
      <c r="N642" s="13" t="s">
        <v>157</v>
      </c>
    </row>
    <row r="643" customFormat="false" ht="15" hidden="false" customHeight="false" outlineLevel="0" collapsed="false">
      <c r="A643" s="13" t="s">
        <v>858</v>
      </c>
      <c r="B643" s="14" t="n">
        <v>42993</v>
      </c>
      <c r="C643" s="14" t="n">
        <v>45680</v>
      </c>
      <c r="D643" s="13" t="n">
        <v>43</v>
      </c>
      <c r="E643" s="13" t="s">
        <v>182</v>
      </c>
      <c r="F643" s="13" t="s">
        <v>137</v>
      </c>
      <c r="G643" s="13" t="s">
        <v>155</v>
      </c>
      <c r="H643" s="13" t="s">
        <v>242</v>
      </c>
      <c r="I643" s="13"/>
      <c r="J643" s="13" t="n">
        <v>1</v>
      </c>
      <c r="K643" s="13" t="n">
        <v>102500</v>
      </c>
      <c r="L643" s="13" t="s">
        <v>173</v>
      </c>
      <c r="M643" s="13" t="s">
        <v>273</v>
      </c>
      <c r="N643" s="13" t="s">
        <v>142</v>
      </c>
    </row>
    <row r="644" customFormat="false" ht="15" hidden="false" customHeight="false" outlineLevel="0" collapsed="false">
      <c r="A644" s="13" t="s">
        <v>859</v>
      </c>
      <c r="B644" s="14" t="n">
        <v>42994</v>
      </c>
      <c r="C644" s="14"/>
      <c r="D644" s="13" t="n">
        <v>32</v>
      </c>
      <c r="E644" s="13" t="s">
        <v>190</v>
      </c>
      <c r="F644" s="13" t="s">
        <v>229</v>
      </c>
      <c r="G644" s="13" t="s">
        <v>224</v>
      </c>
      <c r="H644" s="13" t="s">
        <v>156</v>
      </c>
      <c r="I644" s="13" t="n">
        <v>3</v>
      </c>
      <c r="J644" s="13" t="n">
        <v>3</v>
      </c>
      <c r="K644" s="13" t="n">
        <v>131000</v>
      </c>
      <c r="L644" s="13"/>
      <c r="M644" s="13"/>
      <c r="N644" s="13" t="s">
        <v>134</v>
      </c>
    </row>
    <row r="645" customFormat="false" ht="15" hidden="false" customHeight="false" outlineLevel="0" collapsed="false">
      <c r="A645" s="13" t="s">
        <v>860</v>
      </c>
      <c r="B645" s="14" t="n">
        <v>42995</v>
      </c>
      <c r="C645" s="14"/>
      <c r="D645" s="13" t="n">
        <v>40</v>
      </c>
      <c r="E645" s="13" t="s">
        <v>136</v>
      </c>
      <c r="F645" s="13" t="s">
        <v>164</v>
      </c>
      <c r="G645" s="13" t="s">
        <v>184</v>
      </c>
      <c r="H645" s="13" t="s">
        <v>291</v>
      </c>
      <c r="I645" s="13" t="n">
        <v>4</v>
      </c>
      <c r="J645" s="13" t="n">
        <v>4</v>
      </c>
      <c r="K645" s="13" t="n">
        <v>249500</v>
      </c>
      <c r="L645" s="13"/>
      <c r="M645" s="13"/>
      <c r="N645" s="13" t="s">
        <v>214</v>
      </c>
    </row>
    <row r="646" customFormat="false" ht="15" hidden="false" customHeight="false" outlineLevel="0" collapsed="false">
      <c r="A646" s="13" t="s">
        <v>861</v>
      </c>
      <c r="B646" s="14" t="n">
        <v>42996</v>
      </c>
      <c r="C646" s="14"/>
      <c r="D646" s="13" t="n">
        <v>32</v>
      </c>
      <c r="E646" s="13" t="s">
        <v>144</v>
      </c>
      <c r="F646" s="13" t="s">
        <v>170</v>
      </c>
      <c r="G646" s="13" t="s">
        <v>184</v>
      </c>
      <c r="H646" s="13" t="s">
        <v>146</v>
      </c>
      <c r="I646" s="13" t="n">
        <v>4</v>
      </c>
      <c r="J646" s="13" t="n">
        <v>3</v>
      </c>
      <c r="K646" s="13" t="n">
        <v>61500</v>
      </c>
      <c r="L646" s="13"/>
      <c r="M646" s="13"/>
      <c r="N646" s="13" t="s">
        <v>142</v>
      </c>
    </row>
    <row r="647" customFormat="false" ht="15" hidden="false" customHeight="false" outlineLevel="0" collapsed="false">
      <c r="A647" s="13" t="s">
        <v>862</v>
      </c>
      <c r="B647" s="14" t="n">
        <v>42997</v>
      </c>
      <c r="C647" s="14"/>
      <c r="D647" s="13" t="n">
        <v>44</v>
      </c>
      <c r="E647" s="13" t="s">
        <v>136</v>
      </c>
      <c r="F647" s="13" t="s">
        <v>137</v>
      </c>
      <c r="G647" s="13" t="s">
        <v>155</v>
      </c>
      <c r="H647" s="13" t="s">
        <v>139</v>
      </c>
      <c r="I647" s="13" t="n">
        <v>4</v>
      </c>
      <c r="J647" s="13" t="n">
        <v>4</v>
      </c>
      <c r="K647" s="13" t="n">
        <v>45500</v>
      </c>
      <c r="L647" s="13"/>
      <c r="M647" s="13"/>
      <c r="N647" s="13" t="s">
        <v>142</v>
      </c>
    </row>
    <row r="648" customFormat="false" ht="15" hidden="false" customHeight="false" outlineLevel="0" collapsed="false">
      <c r="A648" s="13" t="s">
        <v>863</v>
      </c>
      <c r="B648" s="14" t="n">
        <v>43001</v>
      </c>
      <c r="C648" s="14"/>
      <c r="D648" s="13" t="n">
        <v>40</v>
      </c>
      <c r="E648" s="13" t="s">
        <v>144</v>
      </c>
      <c r="F648" s="13" t="s">
        <v>168</v>
      </c>
      <c r="G648" s="13" t="s">
        <v>138</v>
      </c>
      <c r="H648" s="13" t="s">
        <v>178</v>
      </c>
      <c r="I648" s="13" t="n">
        <v>4</v>
      </c>
      <c r="J648" s="13" t="n">
        <v>4</v>
      </c>
      <c r="K648" s="13" t="n">
        <v>149000</v>
      </c>
      <c r="L648" s="13"/>
      <c r="M648" s="13"/>
      <c r="N648" s="13" t="s">
        <v>134</v>
      </c>
    </row>
    <row r="649" customFormat="false" ht="15" hidden="false" customHeight="false" outlineLevel="0" collapsed="false">
      <c r="A649" s="13" t="s">
        <v>864</v>
      </c>
      <c r="B649" s="14" t="n">
        <v>43008</v>
      </c>
      <c r="C649" s="14"/>
      <c r="D649" s="13" t="n">
        <v>44</v>
      </c>
      <c r="E649" s="13" t="s">
        <v>190</v>
      </c>
      <c r="F649" s="13" t="s">
        <v>164</v>
      </c>
      <c r="G649" s="13" t="s">
        <v>132</v>
      </c>
      <c r="H649" s="13" t="s">
        <v>139</v>
      </c>
      <c r="I649" s="13" t="n">
        <v>5</v>
      </c>
      <c r="J649" s="13" t="n">
        <v>2</v>
      </c>
      <c r="K649" s="13" t="n">
        <v>39000</v>
      </c>
      <c r="L649" s="13"/>
      <c r="M649" s="13"/>
      <c r="N649" s="13" t="s">
        <v>142</v>
      </c>
    </row>
    <row r="650" customFormat="false" ht="15" hidden="false" customHeight="false" outlineLevel="0" collapsed="false">
      <c r="A650" s="13" t="s">
        <v>865</v>
      </c>
      <c r="B650" s="14" t="n">
        <v>43014</v>
      </c>
      <c r="C650" s="14"/>
      <c r="D650" s="13" t="n">
        <v>41</v>
      </c>
      <c r="E650" s="13" t="s">
        <v>130</v>
      </c>
      <c r="F650" s="13" t="s">
        <v>137</v>
      </c>
      <c r="G650" s="13" t="s">
        <v>307</v>
      </c>
      <c r="H650" s="13" t="s">
        <v>146</v>
      </c>
      <c r="I650" s="13" t="n">
        <v>4</v>
      </c>
      <c r="J650" s="13" t="n">
        <v>4</v>
      </c>
      <c r="K650" s="13" t="n">
        <v>71500</v>
      </c>
      <c r="L650" s="13"/>
      <c r="M650" s="13"/>
      <c r="N650" s="13" t="s">
        <v>142</v>
      </c>
    </row>
    <row r="651" customFormat="false" ht="15" hidden="false" customHeight="false" outlineLevel="0" collapsed="false">
      <c r="A651" s="13" t="s">
        <v>866</v>
      </c>
      <c r="B651" s="14" t="n">
        <v>43015</v>
      </c>
      <c r="C651" s="14"/>
      <c r="D651" s="13" t="n">
        <v>37</v>
      </c>
      <c r="E651" s="13" t="s">
        <v>144</v>
      </c>
      <c r="F651" s="13" t="s">
        <v>170</v>
      </c>
      <c r="G651" s="13" t="s">
        <v>138</v>
      </c>
      <c r="H651" s="13" t="s">
        <v>139</v>
      </c>
      <c r="I651" s="13" t="n">
        <v>3</v>
      </c>
      <c r="J651" s="13" t="n">
        <v>3</v>
      </c>
      <c r="K651" s="13" t="n">
        <v>45500</v>
      </c>
      <c r="L651" s="13"/>
      <c r="M651" s="13"/>
      <c r="N651" s="13" t="s">
        <v>214</v>
      </c>
    </row>
    <row r="652" customFormat="false" ht="15" hidden="false" customHeight="false" outlineLevel="0" collapsed="false">
      <c r="A652" s="13" t="s">
        <v>867</v>
      </c>
      <c r="B652" s="14" t="n">
        <v>43015</v>
      </c>
      <c r="C652" s="14"/>
      <c r="D652" s="13" t="n">
        <v>34</v>
      </c>
      <c r="E652" s="13" t="s">
        <v>136</v>
      </c>
      <c r="F652" s="13" t="s">
        <v>168</v>
      </c>
      <c r="G652" s="13" t="s">
        <v>148</v>
      </c>
      <c r="H652" s="13" t="s">
        <v>149</v>
      </c>
      <c r="I652" s="13" t="n">
        <v>3</v>
      </c>
      <c r="J652" s="13" t="n">
        <v>2</v>
      </c>
      <c r="K652" s="13" t="n">
        <v>100500</v>
      </c>
      <c r="L652" s="13"/>
      <c r="M652" s="13"/>
      <c r="N652" s="13" t="s">
        <v>453</v>
      </c>
    </row>
    <row r="653" customFormat="false" ht="15" hidden="false" customHeight="false" outlineLevel="0" collapsed="false">
      <c r="A653" s="13" t="s">
        <v>868</v>
      </c>
      <c r="B653" s="14" t="n">
        <v>43018</v>
      </c>
      <c r="C653" s="14" t="n">
        <v>45380</v>
      </c>
      <c r="D653" s="13" t="n">
        <v>34</v>
      </c>
      <c r="E653" s="13" t="s">
        <v>182</v>
      </c>
      <c r="F653" s="13" t="s">
        <v>170</v>
      </c>
      <c r="G653" s="13" t="s">
        <v>171</v>
      </c>
      <c r="H653" s="13" t="s">
        <v>178</v>
      </c>
      <c r="I653" s="13" t="n">
        <v>3</v>
      </c>
      <c r="J653" s="13" t="n">
        <v>2</v>
      </c>
      <c r="K653" s="13" t="n">
        <v>110000</v>
      </c>
      <c r="L653" s="13" t="s">
        <v>151</v>
      </c>
      <c r="M653" s="13" t="s">
        <v>159</v>
      </c>
      <c r="N653" s="13" t="s">
        <v>134</v>
      </c>
    </row>
    <row r="654" customFormat="false" ht="15" hidden="false" customHeight="false" outlineLevel="0" collapsed="false">
      <c r="A654" s="13" t="s">
        <v>869</v>
      </c>
      <c r="B654" s="14" t="n">
        <v>43020</v>
      </c>
      <c r="C654" s="14" t="n">
        <v>44982</v>
      </c>
      <c r="D654" s="13" t="n">
        <v>35</v>
      </c>
      <c r="E654" s="13" t="s">
        <v>186</v>
      </c>
      <c r="F654" s="13" t="s">
        <v>164</v>
      </c>
      <c r="G654" s="13" t="s">
        <v>132</v>
      </c>
      <c r="H654" s="13" t="s">
        <v>139</v>
      </c>
      <c r="I654" s="13" t="n">
        <v>2</v>
      </c>
      <c r="J654" s="13" t="n">
        <v>4</v>
      </c>
      <c r="K654" s="13" t="n">
        <v>39000</v>
      </c>
      <c r="L654" s="13" t="s">
        <v>151</v>
      </c>
      <c r="M654" s="13" t="s">
        <v>201</v>
      </c>
      <c r="N654" s="13" t="s">
        <v>255</v>
      </c>
    </row>
    <row r="655" customFormat="false" ht="15" hidden="false" customHeight="false" outlineLevel="0" collapsed="false">
      <c r="A655" s="13" t="s">
        <v>870</v>
      </c>
      <c r="B655" s="14" t="n">
        <v>43024</v>
      </c>
      <c r="C655" s="14"/>
      <c r="D655" s="13" t="n">
        <v>40</v>
      </c>
      <c r="E655" s="13" t="s">
        <v>136</v>
      </c>
      <c r="F655" s="13" t="s">
        <v>241</v>
      </c>
      <c r="G655" s="13" t="s">
        <v>138</v>
      </c>
      <c r="H655" s="13" t="s">
        <v>156</v>
      </c>
      <c r="I655" s="13" t="n">
        <v>4</v>
      </c>
      <c r="J655" s="13" t="n">
        <v>4</v>
      </c>
      <c r="K655" s="13" t="n">
        <v>98500</v>
      </c>
      <c r="L655" s="13"/>
      <c r="M655" s="13"/>
      <c r="N655" s="13" t="s">
        <v>142</v>
      </c>
    </row>
    <row r="656" customFormat="false" ht="15" hidden="false" customHeight="false" outlineLevel="0" collapsed="false">
      <c r="A656" s="13" t="s">
        <v>871</v>
      </c>
      <c r="B656" s="14" t="n">
        <v>43025</v>
      </c>
      <c r="C656" s="14"/>
      <c r="D656" s="13" t="n">
        <v>40</v>
      </c>
      <c r="E656" s="13" t="s">
        <v>163</v>
      </c>
      <c r="F656" s="13" t="s">
        <v>168</v>
      </c>
      <c r="G656" s="13" t="s">
        <v>155</v>
      </c>
      <c r="H656" s="13" t="s">
        <v>172</v>
      </c>
      <c r="I656" s="13" t="n">
        <v>4</v>
      </c>
      <c r="J656" s="13" t="n">
        <v>4</v>
      </c>
      <c r="K656" s="13" t="n">
        <v>39000</v>
      </c>
      <c r="L656" s="13"/>
      <c r="M656" s="13"/>
      <c r="N656" s="13" t="s">
        <v>142</v>
      </c>
    </row>
    <row r="657" customFormat="false" ht="15" hidden="false" customHeight="false" outlineLevel="0" collapsed="false">
      <c r="A657" s="13" t="s">
        <v>872</v>
      </c>
      <c r="B657" s="14" t="n">
        <v>43037</v>
      </c>
      <c r="C657" s="14" t="n">
        <v>45199</v>
      </c>
      <c r="D657" s="13" t="n">
        <v>35</v>
      </c>
      <c r="E657" s="13" t="s">
        <v>136</v>
      </c>
      <c r="F657" s="13" t="s">
        <v>161</v>
      </c>
      <c r="G657" s="13" t="s">
        <v>155</v>
      </c>
      <c r="H657" s="13" t="s">
        <v>149</v>
      </c>
      <c r="I657" s="13" t="n">
        <v>4</v>
      </c>
      <c r="J657" s="13" t="n">
        <v>1</v>
      </c>
      <c r="K657" s="13" t="n">
        <v>112500</v>
      </c>
      <c r="L657" s="13" t="s">
        <v>173</v>
      </c>
      <c r="M657" s="13" t="s">
        <v>254</v>
      </c>
      <c r="N657" s="13" t="s">
        <v>142</v>
      </c>
    </row>
    <row r="658" customFormat="false" ht="15" hidden="false" customHeight="false" outlineLevel="0" collapsed="false">
      <c r="A658" s="13" t="s">
        <v>873</v>
      </c>
      <c r="B658" s="14" t="n">
        <v>43038</v>
      </c>
      <c r="C658" s="14" t="n">
        <v>46019</v>
      </c>
      <c r="D658" s="13" t="n">
        <v>41</v>
      </c>
      <c r="E658" s="13" t="s">
        <v>136</v>
      </c>
      <c r="F658" s="13" t="s">
        <v>145</v>
      </c>
      <c r="G658" s="13" t="s">
        <v>148</v>
      </c>
      <c r="H658" s="13" t="s">
        <v>139</v>
      </c>
      <c r="I658" s="13" t="n">
        <v>4</v>
      </c>
      <c r="J658" s="13" t="n">
        <v>3</v>
      </c>
      <c r="K658" s="13" t="n">
        <v>49000</v>
      </c>
      <c r="L658" s="13" t="s">
        <v>151</v>
      </c>
      <c r="M658" s="13" t="s">
        <v>201</v>
      </c>
      <c r="N658" s="13" t="s">
        <v>142</v>
      </c>
    </row>
    <row r="659" customFormat="false" ht="15" hidden="false" customHeight="false" outlineLevel="0" collapsed="false">
      <c r="A659" s="13" t="s">
        <v>874</v>
      </c>
      <c r="B659" s="14" t="n">
        <v>43042</v>
      </c>
      <c r="C659" s="14"/>
      <c r="D659" s="13" t="n">
        <v>33</v>
      </c>
      <c r="E659" s="13" t="s">
        <v>136</v>
      </c>
      <c r="F659" s="13" t="s">
        <v>164</v>
      </c>
      <c r="G659" s="13" t="s">
        <v>138</v>
      </c>
      <c r="H659" s="13" t="s">
        <v>146</v>
      </c>
      <c r="I659" s="13" t="n">
        <v>3</v>
      </c>
      <c r="J659" s="13"/>
      <c r="K659" s="13" t="n">
        <v>69500</v>
      </c>
      <c r="L659" s="13"/>
      <c r="M659" s="13"/>
      <c r="N659" s="13" t="s">
        <v>142</v>
      </c>
    </row>
    <row r="660" customFormat="false" ht="15" hidden="false" customHeight="false" outlineLevel="0" collapsed="false">
      <c r="A660" s="13" t="s">
        <v>875</v>
      </c>
      <c r="B660" s="14" t="n">
        <v>43044</v>
      </c>
      <c r="C660" s="14" t="n">
        <v>44884</v>
      </c>
      <c r="D660" s="13" t="n">
        <v>35</v>
      </c>
      <c r="E660" s="13" t="s">
        <v>144</v>
      </c>
      <c r="F660" s="13" t="s">
        <v>241</v>
      </c>
      <c r="G660" s="13" t="s">
        <v>132</v>
      </c>
      <c r="H660" s="13" t="s">
        <v>156</v>
      </c>
      <c r="I660" s="13" t="n">
        <v>4</v>
      </c>
      <c r="J660" s="13" t="n">
        <v>1</v>
      </c>
      <c r="K660" s="13" t="n">
        <v>96000</v>
      </c>
      <c r="L660" s="13" t="s">
        <v>140</v>
      </c>
      <c r="M660" s="13" t="s">
        <v>159</v>
      </c>
      <c r="N660" s="13" t="s">
        <v>453</v>
      </c>
    </row>
    <row r="661" customFormat="false" ht="15" hidden="false" customHeight="false" outlineLevel="0" collapsed="false">
      <c r="A661" s="13" t="s">
        <v>876</v>
      </c>
      <c r="B661" s="14" t="n">
        <v>43056</v>
      </c>
      <c r="C661" s="14" t="n">
        <v>44612</v>
      </c>
      <c r="D661" s="13" t="n">
        <v>26</v>
      </c>
      <c r="E661" s="13" t="s">
        <v>144</v>
      </c>
      <c r="F661" s="13" t="s">
        <v>170</v>
      </c>
      <c r="G661" s="13" t="s">
        <v>138</v>
      </c>
      <c r="H661" s="13" t="s">
        <v>146</v>
      </c>
      <c r="I661" s="13" t="n">
        <v>4</v>
      </c>
      <c r="J661" s="13" t="n">
        <v>4</v>
      </c>
      <c r="K661" s="13" t="n">
        <v>58000</v>
      </c>
      <c r="L661" s="13" t="s">
        <v>151</v>
      </c>
      <c r="M661" s="13" t="s">
        <v>201</v>
      </c>
      <c r="N661" s="13" t="s">
        <v>142</v>
      </c>
    </row>
    <row r="662" customFormat="false" ht="15" hidden="false" customHeight="false" outlineLevel="0" collapsed="false">
      <c r="A662" s="13" t="s">
        <v>877</v>
      </c>
      <c r="B662" s="14" t="n">
        <v>43057</v>
      </c>
      <c r="C662" s="14"/>
      <c r="D662" s="13" t="n">
        <v>39</v>
      </c>
      <c r="E662" s="13" t="s">
        <v>144</v>
      </c>
      <c r="F662" s="13" t="s">
        <v>170</v>
      </c>
      <c r="G662" s="13" t="s">
        <v>297</v>
      </c>
      <c r="H662" s="13" t="s">
        <v>149</v>
      </c>
      <c r="I662" s="13" t="n">
        <v>3</v>
      </c>
      <c r="J662" s="13" t="n">
        <v>4</v>
      </c>
      <c r="K662" s="13" t="n">
        <v>109000</v>
      </c>
      <c r="L662" s="13"/>
      <c r="M662" s="13"/>
      <c r="N662" s="13" t="s">
        <v>142</v>
      </c>
    </row>
    <row r="663" customFormat="false" ht="15" hidden="false" customHeight="false" outlineLevel="0" collapsed="false">
      <c r="A663" s="13" t="s">
        <v>878</v>
      </c>
      <c r="B663" s="14" t="n">
        <v>43060</v>
      </c>
      <c r="C663" s="14" t="n">
        <v>44894</v>
      </c>
      <c r="D663" s="13" t="n">
        <v>33</v>
      </c>
      <c r="E663" s="13" t="s">
        <v>136</v>
      </c>
      <c r="F663" s="13" t="s">
        <v>241</v>
      </c>
      <c r="G663" s="13" t="s">
        <v>148</v>
      </c>
      <c r="H663" s="13" t="s">
        <v>139</v>
      </c>
      <c r="I663" s="13" t="n">
        <v>1</v>
      </c>
      <c r="J663" s="13" t="n">
        <v>1</v>
      </c>
      <c r="K663" s="13" t="n">
        <v>40000</v>
      </c>
      <c r="L663" s="13" t="s">
        <v>173</v>
      </c>
      <c r="M663" s="13" t="s">
        <v>254</v>
      </c>
      <c r="N663" s="13" t="s">
        <v>142</v>
      </c>
    </row>
    <row r="664" customFormat="false" ht="15" hidden="false" customHeight="false" outlineLevel="0" collapsed="false">
      <c r="A664" s="13" t="s">
        <v>879</v>
      </c>
      <c r="B664" s="14" t="n">
        <v>43066</v>
      </c>
      <c r="C664" s="14"/>
      <c r="D664" s="13" t="n">
        <v>44</v>
      </c>
      <c r="E664" s="13" t="s">
        <v>144</v>
      </c>
      <c r="F664" s="13" t="s">
        <v>168</v>
      </c>
      <c r="G664" s="13" t="s">
        <v>374</v>
      </c>
      <c r="H664" s="13" t="s">
        <v>139</v>
      </c>
      <c r="I664" s="13" t="n">
        <v>3</v>
      </c>
      <c r="J664" s="13" t="n">
        <v>1</v>
      </c>
      <c r="K664" s="13" t="n">
        <v>42000</v>
      </c>
      <c r="L664" s="13"/>
      <c r="M664" s="13"/>
      <c r="N664" s="13" t="s">
        <v>134</v>
      </c>
    </row>
    <row r="665" customFormat="false" ht="15" hidden="false" customHeight="false" outlineLevel="0" collapsed="false">
      <c r="A665" s="13" t="s">
        <v>880</v>
      </c>
      <c r="B665" s="14" t="n">
        <v>43068</v>
      </c>
      <c r="C665" s="14"/>
      <c r="D665" s="13" t="n">
        <v>34</v>
      </c>
      <c r="E665" s="13" t="s">
        <v>130</v>
      </c>
      <c r="F665" s="13" t="s">
        <v>161</v>
      </c>
      <c r="G665" s="13" t="s">
        <v>155</v>
      </c>
      <c r="H665" s="13" t="s">
        <v>139</v>
      </c>
      <c r="I665" s="13" t="n">
        <v>3</v>
      </c>
      <c r="J665" s="13" t="n">
        <v>2</v>
      </c>
      <c r="K665" s="13" t="n">
        <v>47000</v>
      </c>
      <c r="L665" s="13"/>
      <c r="M665" s="13"/>
      <c r="N665" s="13" t="s">
        <v>142</v>
      </c>
    </row>
    <row r="666" customFormat="false" ht="15" hidden="false" customHeight="false" outlineLevel="0" collapsed="false">
      <c r="A666" s="13" t="s">
        <v>881</v>
      </c>
      <c r="B666" s="14" t="n">
        <v>43071</v>
      </c>
      <c r="C666" s="14"/>
      <c r="D666" s="13" t="n">
        <v>34</v>
      </c>
      <c r="E666" s="13" t="s">
        <v>144</v>
      </c>
      <c r="F666" s="13" t="s">
        <v>154</v>
      </c>
      <c r="G666" s="13" t="s">
        <v>191</v>
      </c>
      <c r="H666" s="13" t="s">
        <v>146</v>
      </c>
      <c r="I666" s="13" t="n">
        <v>5</v>
      </c>
      <c r="J666" s="13" t="n">
        <v>3</v>
      </c>
      <c r="K666" s="13" t="n">
        <v>58500</v>
      </c>
      <c r="L666" s="13"/>
      <c r="M666" s="13"/>
      <c r="N666" s="13" t="s">
        <v>142</v>
      </c>
    </row>
    <row r="667" customFormat="false" ht="15" hidden="false" customHeight="false" outlineLevel="0" collapsed="false">
      <c r="A667" s="13" t="s">
        <v>882</v>
      </c>
      <c r="B667" s="14" t="n">
        <v>43074</v>
      </c>
      <c r="C667" s="14"/>
      <c r="D667" s="13" t="n">
        <v>29</v>
      </c>
      <c r="E667" s="13" t="s">
        <v>144</v>
      </c>
      <c r="F667" s="13" t="s">
        <v>231</v>
      </c>
      <c r="G667" s="13" t="s">
        <v>148</v>
      </c>
      <c r="H667" s="13" t="s">
        <v>178</v>
      </c>
      <c r="I667" s="13" t="n">
        <v>1</v>
      </c>
      <c r="J667" s="13" t="n">
        <v>3</v>
      </c>
      <c r="K667" s="13" t="n">
        <v>150500</v>
      </c>
      <c r="L667" s="13"/>
      <c r="M667" s="13"/>
      <c r="N667" s="13" t="s">
        <v>142</v>
      </c>
    </row>
    <row r="668" customFormat="false" ht="15" hidden="false" customHeight="false" outlineLevel="0" collapsed="false">
      <c r="A668" s="13" t="s">
        <v>883</v>
      </c>
      <c r="B668" s="14" t="n">
        <v>43075</v>
      </c>
      <c r="C668" s="14"/>
      <c r="D668" s="13" t="n">
        <v>41</v>
      </c>
      <c r="E668" s="13" t="s">
        <v>186</v>
      </c>
      <c r="F668" s="13" t="s">
        <v>154</v>
      </c>
      <c r="G668" s="13" t="s">
        <v>191</v>
      </c>
      <c r="H668" s="13" t="s">
        <v>192</v>
      </c>
      <c r="I668" s="13" t="n">
        <v>4</v>
      </c>
      <c r="J668" s="13" t="n">
        <v>4</v>
      </c>
      <c r="K668" s="13" t="n">
        <v>235000</v>
      </c>
      <c r="L668" s="13"/>
      <c r="M668" s="13"/>
      <c r="N668" s="13" t="s">
        <v>142</v>
      </c>
    </row>
    <row r="669" customFormat="false" ht="15" hidden="false" customHeight="false" outlineLevel="0" collapsed="false">
      <c r="A669" s="13" t="s">
        <v>884</v>
      </c>
      <c r="B669" s="14" t="n">
        <v>43077</v>
      </c>
      <c r="C669" s="14" t="n">
        <v>44651</v>
      </c>
      <c r="D669" s="13" t="n">
        <v>26</v>
      </c>
      <c r="E669" s="13" t="s">
        <v>259</v>
      </c>
      <c r="F669" s="13" t="s">
        <v>229</v>
      </c>
      <c r="G669" s="13" t="s">
        <v>213</v>
      </c>
      <c r="H669" s="13" t="s">
        <v>192</v>
      </c>
      <c r="I669" s="13" t="n">
        <v>2</v>
      </c>
      <c r="J669" s="13" t="n">
        <v>1</v>
      </c>
      <c r="K669" s="13" t="n">
        <v>217000</v>
      </c>
      <c r="L669" s="13" t="s">
        <v>173</v>
      </c>
      <c r="M669" s="13" t="s">
        <v>310</v>
      </c>
      <c r="N669" s="13" t="s">
        <v>214</v>
      </c>
    </row>
    <row r="670" customFormat="false" ht="15" hidden="false" customHeight="false" outlineLevel="0" collapsed="false">
      <c r="A670" s="13" t="s">
        <v>885</v>
      </c>
      <c r="B670" s="14" t="n">
        <v>43079</v>
      </c>
      <c r="C670" s="14"/>
      <c r="D670" s="13" t="n">
        <v>44</v>
      </c>
      <c r="E670" s="13" t="s">
        <v>144</v>
      </c>
      <c r="F670" s="13" t="s">
        <v>161</v>
      </c>
      <c r="G670" s="13" t="s">
        <v>334</v>
      </c>
      <c r="H670" s="13" t="s">
        <v>139</v>
      </c>
      <c r="I670" s="13" t="n">
        <v>3</v>
      </c>
      <c r="J670" s="13" t="n">
        <v>1</v>
      </c>
      <c r="K670" s="13" t="n">
        <v>44000</v>
      </c>
      <c r="L670" s="13"/>
      <c r="M670" s="13"/>
      <c r="N670" s="13" t="s">
        <v>134</v>
      </c>
    </row>
    <row r="671" customFormat="false" ht="15" hidden="false" customHeight="false" outlineLevel="0" collapsed="false">
      <c r="A671" s="13" t="s">
        <v>886</v>
      </c>
      <c r="B671" s="14" t="n">
        <v>43080</v>
      </c>
      <c r="C671" s="14"/>
      <c r="D671" s="13" t="n">
        <v>30</v>
      </c>
      <c r="E671" s="13" t="s">
        <v>144</v>
      </c>
      <c r="F671" s="13" t="s">
        <v>154</v>
      </c>
      <c r="G671" s="13" t="s">
        <v>155</v>
      </c>
      <c r="H671" s="13" t="s">
        <v>139</v>
      </c>
      <c r="I671" s="13" t="n">
        <v>3</v>
      </c>
      <c r="J671" s="13" t="n">
        <v>4</v>
      </c>
      <c r="K671" s="13" t="n">
        <v>39500</v>
      </c>
      <c r="L671" s="13"/>
      <c r="M671" s="13"/>
      <c r="N671" s="13" t="s">
        <v>142</v>
      </c>
    </row>
    <row r="672" customFormat="false" ht="15" hidden="false" customHeight="false" outlineLevel="0" collapsed="false">
      <c r="A672" s="13" t="s">
        <v>887</v>
      </c>
      <c r="B672" s="14" t="n">
        <v>43081</v>
      </c>
      <c r="C672" s="14"/>
      <c r="D672" s="13" t="n">
        <v>33</v>
      </c>
      <c r="E672" s="13" t="s">
        <v>144</v>
      </c>
      <c r="F672" s="13" t="s">
        <v>231</v>
      </c>
      <c r="G672" s="13" t="s">
        <v>155</v>
      </c>
      <c r="H672" s="13" t="s">
        <v>146</v>
      </c>
      <c r="I672" s="13" t="n">
        <v>2</v>
      </c>
      <c r="J672" s="13" t="n">
        <v>3</v>
      </c>
      <c r="K672" s="13" t="n">
        <v>64500</v>
      </c>
      <c r="L672" s="13"/>
      <c r="M672" s="13"/>
      <c r="N672" s="13" t="s">
        <v>142</v>
      </c>
    </row>
    <row r="673" customFormat="false" ht="15" hidden="false" customHeight="false" outlineLevel="0" collapsed="false">
      <c r="A673" s="13" t="s">
        <v>888</v>
      </c>
      <c r="B673" s="14" t="n">
        <v>43082</v>
      </c>
      <c r="C673" s="14" t="n">
        <v>44631</v>
      </c>
      <c r="D673" s="13" t="n">
        <v>25</v>
      </c>
      <c r="E673" s="13" t="s">
        <v>144</v>
      </c>
      <c r="F673" s="13" t="s">
        <v>161</v>
      </c>
      <c r="G673" s="13" t="s">
        <v>132</v>
      </c>
      <c r="H673" s="13" t="s">
        <v>156</v>
      </c>
      <c r="I673" s="13" t="n">
        <v>4</v>
      </c>
      <c r="J673" s="13" t="n">
        <v>3</v>
      </c>
      <c r="K673" s="13" t="n">
        <v>125500</v>
      </c>
      <c r="L673" s="13" t="s">
        <v>151</v>
      </c>
      <c r="M673" s="13"/>
      <c r="N673" s="13" t="s">
        <v>142</v>
      </c>
    </row>
    <row r="674" customFormat="false" ht="15" hidden="false" customHeight="false" outlineLevel="0" collapsed="false">
      <c r="A674" s="13" t="s">
        <v>889</v>
      </c>
      <c r="B674" s="14" t="n">
        <v>43088</v>
      </c>
      <c r="C674" s="14" t="n">
        <v>45025</v>
      </c>
      <c r="D674" s="13" t="n">
        <v>34</v>
      </c>
      <c r="E674" s="13" t="s">
        <v>136</v>
      </c>
      <c r="F674" s="13" t="s">
        <v>168</v>
      </c>
      <c r="G674" s="13" t="s">
        <v>447</v>
      </c>
      <c r="H674" s="13" t="s">
        <v>178</v>
      </c>
      <c r="I674" s="13" t="n">
        <v>4</v>
      </c>
      <c r="J674" s="13" t="n">
        <v>1</v>
      </c>
      <c r="K674" s="13" t="n">
        <v>151500</v>
      </c>
      <c r="L674" s="13" t="s">
        <v>151</v>
      </c>
      <c r="M674" s="13" t="s">
        <v>152</v>
      </c>
      <c r="N674" s="13" t="s">
        <v>142</v>
      </c>
    </row>
    <row r="675" customFormat="false" ht="15" hidden="false" customHeight="false" outlineLevel="0" collapsed="false">
      <c r="A675" s="13" t="s">
        <v>890</v>
      </c>
      <c r="B675" s="14" t="n">
        <v>43088</v>
      </c>
      <c r="C675" s="14"/>
      <c r="D675" s="13" t="n">
        <v>40</v>
      </c>
      <c r="E675" s="13" t="s">
        <v>136</v>
      </c>
      <c r="F675" s="13" t="s">
        <v>145</v>
      </c>
      <c r="G675" s="13" t="s">
        <v>132</v>
      </c>
      <c r="H675" s="13" t="s">
        <v>411</v>
      </c>
      <c r="I675" s="13" t="n">
        <v>4</v>
      </c>
      <c r="J675" s="13" t="n">
        <v>4</v>
      </c>
      <c r="K675" s="13" t="n">
        <v>71000</v>
      </c>
      <c r="L675" s="13"/>
      <c r="M675" s="13"/>
      <c r="N675" s="13" t="s">
        <v>134</v>
      </c>
    </row>
    <row r="676" customFormat="false" ht="15" hidden="false" customHeight="false" outlineLevel="0" collapsed="false">
      <c r="A676" s="13" t="s">
        <v>891</v>
      </c>
      <c r="B676" s="14" t="n">
        <v>43088</v>
      </c>
      <c r="C676" s="14" t="n">
        <v>44971</v>
      </c>
      <c r="D676" s="13" t="n">
        <v>43</v>
      </c>
      <c r="E676" s="13" t="s">
        <v>136</v>
      </c>
      <c r="F676" s="13" t="s">
        <v>168</v>
      </c>
      <c r="G676" s="13" t="s">
        <v>224</v>
      </c>
      <c r="H676" s="13" t="s">
        <v>139</v>
      </c>
      <c r="I676" s="13" t="n">
        <v>2</v>
      </c>
      <c r="J676" s="13" t="n">
        <v>3</v>
      </c>
      <c r="K676" s="13" t="n">
        <v>42000</v>
      </c>
      <c r="L676" s="13" t="s">
        <v>253</v>
      </c>
      <c r="M676" s="13" t="s">
        <v>174</v>
      </c>
      <c r="N676" s="13" t="s">
        <v>142</v>
      </c>
    </row>
    <row r="677" customFormat="false" ht="15" hidden="false" customHeight="false" outlineLevel="0" collapsed="false">
      <c r="A677" s="13" t="s">
        <v>892</v>
      </c>
      <c r="B677" s="14" t="n">
        <v>43094</v>
      </c>
      <c r="C677" s="14" t="n">
        <v>45898</v>
      </c>
      <c r="D677" s="13" t="n">
        <v>40</v>
      </c>
      <c r="E677" s="13" t="s">
        <v>144</v>
      </c>
      <c r="F677" s="13" t="s">
        <v>137</v>
      </c>
      <c r="G677" s="13" t="s">
        <v>132</v>
      </c>
      <c r="H677" s="13" t="s">
        <v>149</v>
      </c>
      <c r="I677" s="13" t="n">
        <v>3</v>
      </c>
      <c r="J677" s="13" t="n">
        <v>2</v>
      </c>
      <c r="K677" s="13" t="n">
        <v>97500</v>
      </c>
      <c r="L677" s="13" t="s">
        <v>151</v>
      </c>
      <c r="M677" s="13" t="s">
        <v>216</v>
      </c>
      <c r="N677" s="13" t="s">
        <v>157</v>
      </c>
    </row>
    <row r="678" customFormat="false" ht="15" hidden="false" customHeight="false" outlineLevel="0" collapsed="false">
      <c r="A678" s="13" t="s">
        <v>893</v>
      </c>
      <c r="B678" s="14" t="n">
        <v>43095</v>
      </c>
      <c r="C678" s="14"/>
      <c r="D678" s="13" t="n">
        <v>37</v>
      </c>
      <c r="E678" s="13" t="s">
        <v>136</v>
      </c>
      <c r="F678" s="13" t="s">
        <v>168</v>
      </c>
      <c r="G678" s="13" t="s">
        <v>148</v>
      </c>
      <c r="H678" s="13" t="s">
        <v>242</v>
      </c>
      <c r="I678" s="13" t="n">
        <v>3</v>
      </c>
      <c r="J678" s="13" t="n">
        <v>1</v>
      </c>
      <c r="K678" s="13" t="n">
        <v>105500</v>
      </c>
      <c r="L678" s="13"/>
      <c r="M678" s="13"/>
      <c r="N678" s="13" t="s">
        <v>142</v>
      </c>
    </row>
    <row r="679" customFormat="false" ht="15" hidden="false" customHeight="false" outlineLevel="0" collapsed="false">
      <c r="A679" s="13" t="s">
        <v>894</v>
      </c>
      <c r="B679" s="14" t="n">
        <v>43096</v>
      </c>
      <c r="C679" s="14"/>
      <c r="D679" s="13" t="n">
        <v>34</v>
      </c>
      <c r="E679" s="13" t="s">
        <v>136</v>
      </c>
      <c r="F679" s="13" t="s">
        <v>137</v>
      </c>
      <c r="G679" s="13" t="s">
        <v>148</v>
      </c>
      <c r="H679" s="13" t="s">
        <v>146</v>
      </c>
      <c r="I679" s="13" t="n">
        <v>3</v>
      </c>
      <c r="J679" s="13" t="n">
        <v>3</v>
      </c>
      <c r="K679" s="13" t="n">
        <v>69000</v>
      </c>
      <c r="L679" s="13"/>
      <c r="M679" s="13"/>
      <c r="N679" s="13" t="s">
        <v>142</v>
      </c>
    </row>
    <row r="680" customFormat="false" ht="15" hidden="false" customHeight="false" outlineLevel="0" collapsed="false">
      <c r="A680" s="13" t="s">
        <v>895</v>
      </c>
      <c r="B680" s="14" t="n">
        <v>43096</v>
      </c>
      <c r="C680" s="14"/>
      <c r="D680" s="13" t="n">
        <v>36</v>
      </c>
      <c r="E680" s="13" t="s">
        <v>144</v>
      </c>
      <c r="F680" s="13" t="s">
        <v>231</v>
      </c>
      <c r="G680" s="13" t="s">
        <v>138</v>
      </c>
      <c r="H680" s="13" t="s">
        <v>156</v>
      </c>
      <c r="I680" s="13" t="n">
        <v>3</v>
      </c>
      <c r="J680" s="13" t="n">
        <v>4</v>
      </c>
      <c r="K680" s="13" t="n">
        <v>99500</v>
      </c>
      <c r="L680" s="13"/>
      <c r="M680" s="13"/>
      <c r="N680" s="13" t="s">
        <v>134</v>
      </c>
    </row>
    <row r="681" customFormat="false" ht="15" hidden="false" customHeight="false" outlineLevel="0" collapsed="false">
      <c r="A681" s="13" t="s">
        <v>896</v>
      </c>
      <c r="B681" s="14" t="n">
        <v>43097</v>
      </c>
      <c r="C681" s="14" t="n">
        <v>44637</v>
      </c>
      <c r="D681" s="13" t="n">
        <v>44</v>
      </c>
      <c r="E681" s="13" t="s">
        <v>259</v>
      </c>
      <c r="F681" s="13" t="s">
        <v>131</v>
      </c>
      <c r="G681" s="13" t="s">
        <v>138</v>
      </c>
      <c r="H681" s="13" t="s">
        <v>139</v>
      </c>
      <c r="I681" s="13" t="n">
        <v>2</v>
      </c>
      <c r="J681" s="13" t="n">
        <v>1</v>
      </c>
      <c r="K681" s="13" t="n">
        <v>50000</v>
      </c>
      <c r="L681" s="13" t="s">
        <v>151</v>
      </c>
      <c r="M681" s="13" t="s">
        <v>152</v>
      </c>
      <c r="N681" s="13" t="s">
        <v>142</v>
      </c>
    </row>
    <row r="682" customFormat="false" ht="15" hidden="false" customHeight="false" outlineLevel="0" collapsed="false">
      <c r="A682" s="13" t="s">
        <v>897</v>
      </c>
      <c r="B682" s="14" t="n">
        <v>43098</v>
      </c>
      <c r="C682" s="14" t="n">
        <v>45494</v>
      </c>
      <c r="D682" s="13" t="n">
        <v>45</v>
      </c>
      <c r="E682" s="13" t="s">
        <v>136</v>
      </c>
      <c r="F682" s="13" t="s">
        <v>168</v>
      </c>
      <c r="G682" s="13" t="s">
        <v>132</v>
      </c>
      <c r="H682" s="13" t="s">
        <v>146</v>
      </c>
      <c r="I682" s="13" t="n">
        <v>3</v>
      </c>
      <c r="J682" s="13" t="n">
        <v>4</v>
      </c>
      <c r="K682" s="13" t="n">
        <v>73500</v>
      </c>
      <c r="L682" s="13" t="s">
        <v>173</v>
      </c>
      <c r="M682" s="13" t="s">
        <v>273</v>
      </c>
      <c r="N682" s="13" t="s">
        <v>134</v>
      </c>
    </row>
    <row r="683" customFormat="false" ht="15" hidden="false" customHeight="false" outlineLevel="0" collapsed="false">
      <c r="A683" s="13" t="s">
        <v>898</v>
      </c>
      <c r="B683" s="14" t="n">
        <v>43100</v>
      </c>
      <c r="C683" s="14"/>
      <c r="D683" s="13" t="n">
        <v>41</v>
      </c>
      <c r="E683" s="13" t="s">
        <v>136</v>
      </c>
      <c r="F683" s="13" t="s">
        <v>168</v>
      </c>
      <c r="G683" s="13" t="s">
        <v>297</v>
      </c>
      <c r="H683" s="13" t="s">
        <v>166</v>
      </c>
      <c r="I683" s="13" t="n">
        <v>4</v>
      </c>
      <c r="J683" s="13" t="n">
        <v>3</v>
      </c>
      <c r="K683" s="13" t="n">
        <v>91000</v>
      </c>
      <c r="L683" s="13"/>
      <c r="M683" s="13"/>
      <c r="N683" s="13" t="s">
        <v>142</v>
      </c>
    </row>
    <row r="684" customFormat="false" ht="15" hidden="false" customHeight="false" outlineLevel="0" collapsed="false">
      <c r="A684" s="13" t="s">
        <v>899</v>
      </c>
      <c r="B684" s="14" t="n">
        <v>43106</v>
      </c>
      <c r="C684" s="14" t="n">
        <v>45476</v>
      </c>
      <c r="D684" s="13" t="n">
        <v>29</v>
      </c>
      <c r="E684" s="13" t="s">
        <v>136</v>
      </c>
      <c r="F684" s="13" t="s">
        <v>145</v>
      </c>
      <c r="G684" s="13" t="s">
        <v>155</v>
      </c>
      <c r="H684" s="13" t="s">
        <v>411</v>
      </c>
      <c r="I684" s="13" t="n">
        <v>3</v>
      </c>
      <c r="J684" s="13" t="n">
        <v>2</v>
      </c>
      <c r="K684" s="13" t="n">
        <v>66500</v>
      </c>
      <c r="L684" s="13" t="s">
        <v>151</v>
      </c>
      <c r="M684" s="13" t="s">
        <v>159</v>
      </c>
      <c r="N684" s="13" t="s">
        <v>453</v>
      </c>
    </row>
    <row r="685" customFormat="false" ht="15" hidden="false" customHeight="false" outlineLevel="0" collapsed="false">
      <c r="A685" s="13" t="s">
        <v>900</v>
      </c>
      <c r="B685" s="14" t="n">
        <v>43108</v>
      </c>
      <c r="C685" s="14" t="n">
        <v>45183</v>
      </c>
      <c r="D685" s="13" t="n">
        <v>36</v>
      </c>
      <c r="E685" s="13" t="s">
        <v>182</v>
      </c>
      <c r="F685" s="13" t="s">
        <v>229</v>
      </c>
      <c r="G685" s="13" t="s">
        <v>155</v>
      </c>
      <c r="H685" s="13" t="s">
        <v>146</v>
      </c>
      <c r="I685" s="13" t="n">
        <v>3</v>
      </c>
      <c r="J685" s="13" t="n">
        <v>3</v>
      </c>
      <c r="K685" s="13" t="n">
        <v>61000</v>
      </c>
      <c r="L685" s="13" t="s">
        <v>151</v>
      </c>
      <c r="M685" s="13" t="s">
        <v>216</v>
      </c>
      <c r="N685" s="13" t="s">
        <v>142</v>
      </c>
    </row>
    <row r="686" customFormat="false" ht="15" hidden="false" customHeight="false" outlineLevel="0" collapsed="false">
      <c r="A686" s="13" t="s">
        <v>901</v>
      </c>
      <c r="B686" s="14" t="n">
        <v>43108</v>
      </c>
      <c r="C686" s="14"/>
      <c r="D686" s="13" t="n">
        <v>41</v>
      </c>
      <c r="E686" s="13" t="s">
        <v>144</v>
      </c>
      <c r="F686" s="13" t="s">
        <v>241</v>
      </c>
      <c r="G686" s="13" t="s">
        <v>297</v>
      </c>
      <c r="H686" s="13" t="s">
        <v>139</v>
      </c>
      <c r="I686" s="13" t="n">
        <v>5</v>
      </c>
      <c r="J686" s="13" t="n">
        <v>3</v>
      </c>
      <c r="K686" s="13" t="n">
        <v>42500</v>
      </c>
      <c r="L686" s="13"/>
      <c r="M686" s="13"/>
      <c r="N686" s="13" t="s">
        <v>134</v>
      </c>
    </row>
    <row r="687" customFormat="false" ht="15" hidden="false" customHeight="false" outlineLevel="0" collapsed="false">
      <c r="A687" s="13" t="s">
        <v>902</v>
      </c>
      <c r="B687" s="14" t="n">
        <v>43113</v>
      </c>
      <c r="C687" s="14"/>
      <c r="D687" s="13" t="n">
        <v>32</v>
      </c>
      <c r="E687" s="13" t="s">
        <v>136</v>
      </c>
      <c r="F687" s="13" t="s">
        <v>231</v>
      </c>
      <c r="G687" s="13" t="s">
        <v>155</v>
      </c>
      <c r="H687" s="13" t="s">
        <v>178</v>
      </c>
      <c r="I687" s="13" t="n">
        <v>3</v>
      </c>
      <c r="J687" s="13" t="n">
        <v>3</v>
      </c>
      <c r="K687" s="13" t="n">
        <v>112500</v>
      </c>
      <c r="L687" s="13"/>
      <c r="M687" s="13"/>
      <c r="N687" s="13" t="s">
        <v>142</v>
      </c>
    </row>
    <row r="688" customFormat="false" ht="15" hidden="false" customHeight="false" outlineLevel="0" collapsed="false">
      <c r="A688" s="13" t="s">
        <v>903</v>
      </c>
      <c r="B688" s="14" t="n">
        <v>43117</v>
      </c>
      <c r="C688" s="14"/>
      <c r="D688" s="13" t="n">
        <v>40</v>
      </c>
      <c r="E688" s="13" t="s">
        <v>190</v>
      </c>
      <c r="F688" s="13" t="s">
        <v>168</v>
      </c>
      <c r="G688" s="13" t="s">
        <v>155</v>
      </c>
      <c r="H688" s="13" t="s">
        <v>146</v>
      </c>
      <c r="I688" s="13" t="n">
        <v>4</v>
      </c>
      <c r="J688" s="13" t="n">
        <v>1</v>
      </c>
      <c r="K688" s="13" t="n">
        <v>69500</v>
      </c>
      <c r="L688" s="13"/>
      <c r="M688" s="13"/>
      <c r="N688" s="13" t="s">
        <v>142</v>
      </c>
    </row>
    <row r="689" customFormat="false" ht="15" hidden="false" customHeight="false" outlineLevel="0" collapsed="false">
      <c r="A689" s="13" t="s">
        <v>904</v>
      </c>
      <c r="B689" s="14" t="n">
        <v>43121</v>
      </c>
      <c r="C689" s="14"/>
      <c r="D689" s="13" t="n">
        <v>40</v>
      </c>
      <c r="E689" s="13" t="s">
        <v>136</v>
      </c>
      <c r="F689" s="13" t="s">
        <v>137</v>
      </c>
      <c r="G689" s="13" t="s">
        <v>132</v>
      </c>
      <c r="H689" s="13" t="s">
        <v>178</v>
      </c>
      <c r="I689" s="13" t="n">
        <v>2</v>
      </c>
      <c r="J689" s="13" t="n">
        <v>2</v>
      </c>
      <c r="K689" s="13" t="n">
        <v>151000</v>
      </c>
      <c r="L689" s="13"/>
      <c r="M689" s="13"/>
      <c r="N689" s="13" t="s">
        <v>214</v>
      </c>
    </row>
    <row r="690" customFormat="false" ht="15" hidden="false" customHeight="false" outlineLevel="0" collapsed="false">
      <c r="A690" s="13" t="s">
        <v>905</v>
      </c>
      <c r="B690" s="14" t="n">
        <v>43122</v>
      </c>
      <c r="C690" s="14" t="n">
        <v>45265</v>
      </c>
      <c r="D690" s="13" t="n">
        <v>35</v>
      </c>
      <c r="E690" s="13" t="s">
        <v>144</v>
      </c>
      <c r="F690" s="13" t="s">
        <v>161</v>
      </c>
      <c r="G690" s="13" t="s">
        <v>148</v>
      </c>
      <c r="H690" s="13" t="s">
        <v>156</v>
      </c>
      <c r="I690" s="13" t="n">
        <v>3</v>
      </c>
      <c r="J690" s="13" t="n">
        <v>3</v>
      </c>
      <c r="K690" s="13" t="n">
        <v>95000</v>
      </c>
      <c r="L690" s="13" t="s">
        <v>151</v>
      </c>
      <c r="M690" s="13" t="s">
        <v>216</v>
      </c>
      <c r="N690" s="13" t="s">
        <v>134</v>
      </c>
    </row>
    <row r="691" customFormat="false" ht="15" hidden="false" customHeight="false" outlineLevel="0" collapsed="false">
      <c r="A691" s="13" t="s">
        <v>906</v>
      </c>
      <c r="B691" s="14" t="n">
        <v>43125</v>
      </c>
      <c r="C691" s="14" t="n">
        <v>44908</v>
      </c>
      <c r="D691" s="13" t="n">
        <v>30</v>
      </c>
      <c r="E691" s="13" t="s">
        <v>130</v>
      </c>
      <c r="F691" s="13" t="s">
        <v>154</v>
      </c>
      <c r="G691" s="13" t="s">
        <v>297</v>
      </c>
      <c r="H691" s="13" t="s">
        <v>139</v>
      </c>
      <c r="I691" s="13" t="n">
        <v>3</v>
      </c>
      <c r="J691" s="13" t="n">
        <v>3</v>
      </c>
      <c r="K691" s="13" t="n">
        <v>50500</v>
      </c>
      <c r="L691" s="13" t="s">
        <v>151</v>
      </c>
      <c r="M691" s="13" t="s">
        <v>152</v>
      </c>
      <c r="N691" s="13" t="s">
        <v>142</v>
      </c>
    </row>
    <row r="692" customFormat="false" ht="15" hidden="false" customHeight="false" outlineLevel="0" collapsed="false">
      <c r="A692" s="13" t="s">
        <v>907</v>
      </c>
      <c r="B692" s="14" t="n">
        <v>43125</v>
      </c>
      <c r="C692" s="14"/>
      <c r="D692" s="13" t="n">
        <v>44</v>
      </c>
      <c r="E692" s="13" t="s">
        <v>136</v>
      </c>
      <c r="F692" s="13" t="s">
        <v>137</v>
      </c>
      <c r="G692" s="13" t="s">
        <v>138</v>
      </c>
      <c r="H692" s="13" t="s">
        <v>139</v>
      </c>
      <c r="I692" s="13" t="n">
        <v>3</v>
      </c>
      <c r="J692" s="13" t="n">
        <v>3</v>
      </c>
      <c r="K692" s="13" t="n">
        <v>45500</v>
      </c>
      <c r="L692" s="13"/>
      <c r="M692" s="13"/>
      <c r="N692" s="13" t="s">
        <v>142</v>
      </c>
    </row>
    <row r="693" customFormat="false" ht="15" hidden="false" customHeight="false" outlineLevel="0" collapsed="false">
      <c r="A693" s="13" t="s">
        <v>908</v>
      </c>
      <c r="B693" s="14" t="n">
        <v>43128</v>
      </c>
      <c r="C693" s="14" t="n">
        <v>45211</v>
      </c>
      <c r="D693" s="13" t="n">
        <v>32</v>
      </c>
      <c r="E693" s="13" t="s">
        <v>136</v>
      </c>
      <c r="F693" s="13" t="s">
        <v>170</v>
      </c>
      <c r="G693" s="13" t="s">
        <v>213</v>
      </c>
      <c r="H693" s="13" t="s">
        <v>219</v>
      </c>
      <c r="I693" s="13" t="n">
        <v>3</v>
      </c>
      <c r="J693" s="13" t="n">
        <v>2</v>
      </c>
      <c r="K693" s="13" t="n">
        <v>43500</v>
      </c>
      <c r="L693" s="13" t="s">
        <v>151</v>
      </c>
      <c r="M693" s="13" t="s">
        <v>152</v>
      </c>
      <c r="N693" s="13" t="s">
        <v>134</v>
      </c>
    </row>
    <row r="694" customFormat="false" ht="15" hidden="false" customHeight="false" outlineLevel="0" collapsed="false">
      <c r="A694" s="13" t="s">
        <v>909</v>
      </c>
      <c r="B694" s="14" t="n">
        <v>43128</v>
      </c>
      <c r="C694" s="14"/>
      <c r="D694" s="13" t="n">
        <v>40</v>
      </c>
      <c r="E694" s="13" t="s">
        <v>136</v>
      </c>
      <c r="F694" s="13" t="s">
        <v>168</v>
      </c>
      <c r="G694" s="13" t="s">
        <v>213</v>
      </c>
      <c r="H694" s="13" t="s">
        <v>146</v>
      </c>
      <c r="I694" s="13" t="n">
        <v>4</v>
      </c>
      <c r="J694" s="13" t="n">
        <v>2</v>
      </c>
      <c r="K694" s="13" t="n">
        <v>69500</v>
      </c>
      <c r="L694" s="13"/>
      <c r="M694" s="13"/>
      <c r="N694" s="13" t="s">
        <v>134</v>
      </c>
    </row>
    <row r="695" customFormat="false" ht="15" hidden="false" customHeight="false" outlineLevel="0" collapsed="false">
      <c r="A695" s="13" t="s">
        <v>910</v>
      </c>
      <c r="B695" s="14" t="n">
        <v>43128</v>
      </c>
      <c r="C695" s="14" t="n">
        <v>44660</v>
      </c>
      <c r="D695" s="13" t="n">
        <v>38</v>
      </c>
      <c r="E695" s="13" t="s">
        <v>130</v>
      </c>
      <c r="F695" s="13" t="s">
        <v>154</v>
      </c>
      <c r="G695" s="13" t="s">
        <v>132</v>
      </c>
      <c r="H695" s="13" t="s">
        <v>139</v>
      </c>
      <c r="I695" s="13" t="n">
        <v>4</v>
      </c>
      <c r="J695" s="13" t="n">
        <v>3</v>
      </c>
      <c r="K695" s="13" t="n">
        <v>42500</v>
      </c>
      <c r="L695" s="13" t="s">
        <v>151</v>
      </c>
      <c r="M695" s="13" t="s">
        <v>314</v>
      </c>
      <c r="N695" s="13" t="s">
        <v>142</v>
      </c>
    </row>
    <row r="696" customFormat="false" ht="15" hidden="false" customHeight="false" outlineLevel="0" collapsed="false">
      <c r="A696" s="13" t="s">
        <v>911</v>
      </c>
      <c r="B696" s="14" t="n">
        <v>43129</v>
      </c>
      <c r="C696" s="14" t="n">
        <v>44852</v>
      </c>
      <c r="D696" s="13" t="n">
        <v>30</v>
      </c>
      <c r="E696" s="13" t="s">
        <v>136</v>
      </c>
      <c r="F696" s="13" t="s">
        <v>231</v>
      </c>
      <c r="G696" s="13" t="s">
        <v>148</v>
      </c>
      <c r="H696" s="13" t="s">
        <v>146</v>
      </c>
      <c r="I696" s="13" t="n">
        <v>3</v>
      </c>
      <c r="J696" s="13" t="n">
        <v>4</v>
      </c>
      <c r="K696" s="13" t="n">
        <v>64000</v>
      </c>
      <c r="L696" s="13" t="s">
        <v>151</v>
      </c>
      <c r="M696" s="13" t="s">
        <v>201</v>
      </c>
      <c r="N696" s="13" t="s">
        <v>142</v>
      </c>
    </row>
    <row r="697" customFormat="false" ht="15" hidden="false" customHeight="false" outlineLevel="0" collapsed="false">
      <c r="A697" s="13" t="s">
        <v>912</v>
      </c>
      <c r="B697" s="14" t="n">
        <v>43131</v>
      </c>
      <c r="C697" s="14" t="n">
        <v>45098</v>
      </c>
      <c r="D697" s="13" t="n">
        <v>37</v>
      </c>
      <c r="E697" s="13" t="s">
        <v>144</v>
      </c>
      <c r="F697" s="13" t="s">
        <v>137</v>
      </c>
      <c r="G697" s="13" t="s">
        <v>155</v>
      </c>
      <c r="H697" s="13" t="s">
        <v>178</v>
      </c>
      <c r="I697" s="13" t="n">
        <v>2</v>
      </c>
      <c r="J697" s="13" t="n">
        <v>1</v>
      </c>
      <c r="K697" s="13" t="n">
        <v>142500</v>
      </c>
      <c r="L697" s="13" t="s">
        <v>151</v>
      </c>
      <c r="M697" s="13" t="s">
        <v>206</v>
      </c>
      <c r="N697" s="13" t="s">
        <v>142</v>
      </c>
    </row>
    <row r="698" customFormat="false" ht="15" hidden="false" customHeight="false" outlineLevel="0" collapsed="false">
      <c r="A698" s="13" t="s">
        <v>913</v>
      </c>
      <c r="B698" s="14" t="n">
        <v>43138</v>
      </c>
      <c r="C698" s="14"/>
      <c r="D698" s="13" t="n">
        <v>44</v>
      </c>
      <c r="E698" s="13" t="s">
        <v>136</v>
      </c>
      <c r="F698" s="13" t="s">
        <v>168</v>
      </c>
      <c r="G698" s="13" t="s">
        <v>138</v>
      </c>
      <c r="H698" s="13" t="s">
        <v>219</v>
      </c>
      <c r="I698" s="13" t="n">
        <v>3</v>
      </c>
      <c r="J698" s="13" t="n">
        <v>4</v>
      </c>
      <c r="K698" s="13" t="n">
        <v>46000</v>
      </c>
      <c r="L698" s="13"/>
      <c r="M698" s="13"/>
      <c r="N698" s="13" t="s">
        <v>255</v>
      </c>
    </row>
    <row r="699" customFormat="false" ht="15" hidden="false" customHeight="false" outlineLevel="0" collapsed="false">
      <c r="A699" s="13" t="s">
        <v>914</v>
      </c>
      <c r="B699" s="14" t="n">
        <v>43140</v>
      </c>
      <c r="C699" s="14" t="n">
        <v>44708</v>
      </c>
      <c r="D699" s="13" t="n">
        <v>37</v>
      </c>
      <c r="E699" s="13" t="s">
        <v>190</v>
      </c>
      <c r="F699" s="13" t="s">
        <v>170</v>
      </c>
      <c r="G699" s="13" t="s">
        <v>155</v>
      </c>
      <c r="H699" s="13" t="s">
        <v>139</v>
      </c>
      <c r="I699" s="13" t="n">
        <v>4</v>
      </c>
      <c r="J699" s="13" t="n">
        <v>2</v>
      </c>
      <c r="K699" s="13" t="n">
        <v>39000</v>
      </c>
      <c r="L699" s="13" t="s">
        <v>151</v>
      </c>
      <c r="M699" s="13" t="s">
        <v>201</v>
      </c>
      <c r="N699" s="13" t="s">
        <v>214</v>
      </c>
    </row>
    <row r="700" customFormat="false" ht="15" hidden="false" customHeight="false" outlineLevel="0" collapsed="false">
      <c r="A700" s="13" t="s">
        <v>915</v>
      </c>
      <c r="B700" s="14" t="n">
        <v>43141</v>
      </c>
      <c r="C700" s="14"/>
      <c r="D700" s="13" t="n">
        <v>36</v>
      </c>
      <c r="E700" s="13" t="s">
        <v>136</v>
      </c>
      <c r="F700" s="13" t="s">
        <v>154</v>
      </c>
      <c r="G700" s="13" t="s">
        <v>195</v>
      </c>
      <c r="H700" s="13" t="s">
        <v>149</v>
      </c>
      <c r="I700" s="13" t="n">
        <v>3</v>
      </c>
      <c r="J700" s="13" t="n">
        <v>1</v>
      </c>
      <c r="K700" s="13" t="n">
        <v>105000</v>
      </c>
      <c r="L700" s="13"/>
      <c r="M700" s="13"/>
      <c r="N700" s="13" t="s">
        <v>142</v>
      </c>
    </row>
    <row r="701" customFormat="false" ht="15" hidden="false" customHeight="false" outlineLevel="0" collapsed="false">
      <c r="A701" s="13" t="s">
        <v>916</v>
      </c>
      <c r="B701" s="14" t="n">
        <v>43146</v>
      </c>
      <c r="C701" s="14" t="n">
        <v>44659</v>
      </c>
      <c r="D701" s="13" t="n">
        <v>35</v>
      </c>
      <c r="E701" s="13" t="s">
        <v>136</v>
      </c>
      <c r="F701" s="13" t="s">
        <v>168</v>
      </c>
      <c r="G701" s="13" t="s">
        <v>155</v>
      </c>
      <c r="H701" s="13" t="s">
        <v>149</v>
      </c>
      <c r="I701" s="13" t="n">
        <v>4</v>
      </c>
      <c r="J701" s="13" t="n">
        <v>3</v>
      </c>
      <c r="K701" s="13" t="n">
        <v>131000</v>
      </c>
      <c r="L701" s="13"/>
      <c r="M701" s="13" t="s">
        <v>254</v>
      </c>
      <c r="N701" s="13" t="s">
        <v>134</v>
      </c>
    </row>
    <row r="702" customFormat="false" ht="15" hidden="false" customHeight="false" outlineLevel="0" collapsed="false">
      <c r="A702" s="13" t="s">
        <v>917</v>
      </c>
      <c r="B702" s="14" t="n">
        <v>43146</v>
      </c>
      <c r="C702" s="14" t="n">
        <v>45017</v>
      </c>
      <c r="D702" s="13" t="n">
        <v>33</v>
      </c>
      <c r="E702" s="13" t="s">
        <v>136</v>
      </c>
      <c r="F702" s="13" t="s">
        <v>168</v>
      </c>
      <c r="G702" s="13" t="s">
        <v>155</v>
      </c>
      <c r="H702" s="13" t="s">
        <v>139</v>
      </c>
      <c r="I702" s="13" t="n">
        <v>3</v>
      </c>
      <c r="J702" s="13" t="n">
        <v>1</v>
      </c>
      <c r="K702" s="13" t="n">
        <v>40500</v>
      </c>
      <c r="L702" s="13" t="s">
        <v>151</v>
      </c>
      <c r="M702" s="13" t="s">
        <v>201</v>
      </c>
      <c r="N702" s="13" t="s">
        <v>134</v>
      </c>
    </row>
    <row r="703" customFormat="false" ht="15" hidden="false" customHeight="false" outlineLevel="0" collapsed="false">
      <c r="A703" s="13" t="s">
        <v>918</v>
      </c>
      <c r="B703" s="14" t="n">
        <v>43147</v>
      </c>
      <c r="C703" s="14"/>
      <c r="D703" s="13" t="n">
        <v>34</v>
      </c>
      <c r="E703" s="13" t="s">
        <v>259</v>
      </c>
      <c r="F703" s="13" t="s">
        <v>170</v>
      </c>
      <c r="G703" s="13" t="s">
        <v>138</v>
      </c>
      <c r="H703" s="13" t="s">
        <v>139</v>
      </c>
      <c r="I703" s="13" t="n">
        <v>4</v>
      </c>
      <c r="J703" s="13" t="n">
        <v>3</v>
      </c>
      <c r="K703" s="13" t="n">
        <v>44000</v>
      </c>
      <c r="L703" s="13"/>
      <c r="M703" s="13"/>
      <c r="N703" s="13" t="s">
        <v>214</v>
      </c>
    </row>
    <row r="704" customFormat="false" ht="15" hidden="false" customHeight="false" outlineLevel="0" collapsed="false">
      <c r="A704" s="13" t="s">
        <v>919</v>
      </c>
      <c r="B704" s="14" t="n">
        <v>43148</v>
      </c>
      <c r="C704" s="14"/>
      <c r="D704" s="13" t="n">
        <v>37</v>
      </c>
      <c r="E704" s="13" t="s">
        <v>136</v>
      </c>
      <c r="F704" s="13" t="s">
        <v>229</v>
      </c>
      <c r="G704" s="13" t="s">
        <v>224</v>
      </c>
      <c r="H704" s="13" t="s">
        <v>146</v>
      </c>
      <c r="I704" s="13" t="n">
        <v>3</v>
      </c>
      <c r="J704" s="13" t="n">
        <v>4</v>
      </c>
      <c r="K704" s="13" t="n">
        <v>61500</v>
      </c>
      <c r="L704" s="13"/>
      <c r="M704" s="13"/>
      <c r="N704" s="13" t="s">
        <v>142</v>
      </c>
    </row>
    <row r="705" customFormat="false" ht="15" hidden="false" customHeight="false" outlineLevel="0" collapsed="false">
      <c r="A705" s="13" t="s">
        <v>920</v>
      </c>
      <c r="B705" s="14" t="n">
        <v>43149</v>
      </c>
      <c r="C705" s="14"/>
      <c r="D705" s="13" t="n">
        <v>36</v>
      </c>
      <c r="E705" s="13" t="s">
        <v>136</v>
      </c>
      <c r="F705" s="13" t="s">
        <v>131</v>
      </c>
      <c r="G705" s="13" t="s">
        <v>138</v>
      </c>
      <c r="H705" s="13" t="s">
        <v>149</v>
      </c>
      <c r="I705" s="13" t="n">
        <v>4</v>
      </c>
      <c r="J705" s="13" t="n">
        <v>1</v>
      </c>
      <c r="K705" s="13" t="n">
        <v>116000</v>
      </c>
      <c r="L705" s="13"/>
      <c r="M705" s="13"/>
      <c r="N705" s="13" t="s">
        <v>134</v>
      </c>
    </row>
    <row r="706" customFormat="false" ht="15" hidden="false" customHeight="false" outlineLevel="0" collapsed="false">
      <c r="A706" s="13" t="s">
        <v>921</v>
      </c>
      <c r="B706" s="14" t="n">
        <v>43156</v>
      </c>
      <c r="C706" s="14"/>
      <c r="D706" s="13" t="n">
        <v>34</v>
      </c>
      <c r="E706" s="13" t="s">
        <v>186</v>
      </c>
      <c r="F706" s="13" t="s">
        <v>168</v>
      </c>
      <c r="G706" s="13" t="s">
        <v>297</v>
      </c>
      <c r="H706" s="13" t="s">
        <v>139</v>
      </c>
      <c r="I706" s="13" t="n">
        <v>2</v>
      </c>
      <c r="J706" s="13" t="n">
        <v>3</v>
      </c>
      <c r="K706" s="13" t="n">
        <v>40500</v>
      </c>
      <c r="L706" s="13"/>
      <c r="M706" s="13"/>
      <c r="N706" s="13" t="s">
        <v>142</v>
      </c>
    </row>
    <row r="707" customFormat="false" ht="15" hidden="false" customHeight="false" outlineLevel="0" collapsed="false">
      <c r="A707" s="13" t="s">
        <v>922</v>
      </c>
      <c r="B707" s="14" t="n">
        <v>43157</v>
      </c>
      <c r="C707" s="14" t="n">
        <v>44644</v>
      </c>
      <c r="D707" s="13" t="n">
        <v>29</v>
      </c>
      <c r="E707" s="13" t="s">
        <v>163</v>
      </c>
      <c r="F707" s="13" t="s">
        <v>239</v>
      </c>
      <c r="G707" s="13" t="s">
        <v>132</v>
      </c>
      <c r="H707" s="13" t="s">
        <v>146</v>
      </c>
      <c r="I707" s="13" t="n">
        <v>4</v>
      </c>
      <c r="J707" s="13" t="n">
        <v>1</v>
      </c>
      <c r="K707" s="13" t="n">
        <v>63500</v>
      </c>
      <c r="L707" s="13" t="s">
        <v>151</v>
      </c>
      <c r="M707" s="13"/>
      <c r="N707" s="13" t="s">
        <v>134</v>
      </c>
    </row>
    <row r="708" customFormat="false" ht="15" hidden="false" customHeight="false" outlineLevel="0" collapsed="false">
      <c r="A708" s="13" t="s">
        <v>923</v>
      </c>
      <c r="B708" s="14" t="n">
        <v>43160</v>
      </c>
      <c r="C708" s="14"/>
      <c r="D708" s="13" t="n">
        <v>30</v>
      </c>
      <c r="E708" s="13" t="s">
        <v>186</v>
      </c>
      <c r="F708" s="13" t="s">
        <v>164</v>
      </c>
      <c r="G708" s="13" t="s">
        <v>132</v>
      </c>
      <c r="H708" s="13" t="s">
        <v>146</v>
      </c>
      <c r="I708" s="13" t="n">
        <v>3</v>
      </c>
      <c r="J708" s="13" t="n">
        <v>3</v>
      </c>
      <c r="K708" s="13" t="n">
        <v>67500</v>
      </c>
      <c r="L708" s="13"/>
      <c r="M708" s="13"/>
      <c r="N708" s="13" t="s">
        <v>453</v>
      </c>
    </row>
    <row r="709" customFormat="false" ht="15" hidden="false" customHeight="false" outlineLevel="0" collapsed="false">
      <c r="A709" s="13" t="s">
        <v>924</v>
      </c>
      <c r="B709" s="14" t="n">
        <v>43161</v>
      </c>
      <c r="C709" s="14" t="n">
        <v>45395</v>
      </c>
      <c r="D709" s="13" t="n">
        <v>37</v>
      </c>
      <c r="E709" s="13" t="s">
        <v>136</v>
      </c>
      <c r="F709" s="13" t="s">
        <v>154</v>
      </c>
      <c r="G709" s="13" t="s">
        <v>138</v>
      </c>
      <c r="H709" s="13" t="s">
        <v>178</v>
      </c>
      <c r="I709" s="13" t="n">
        <v>2</v>
      </c>
      <c r="J709" s="13" t="n">
        <v>2</v>
      </c>
      <c r="K709" s="13" t="n">
        <v>152500</v>
      </c>
      <c r="L709" s="13" t="s">
        <v>151</v>
      </c>
      <c r="M709" s="13" t="s">
        <v>159</v>
      </c>
      <c r="N709" s="13" t="s">
        <v>453</v>
      </c>
    </row>
    <row r="710" customFormat="false" ht="15" hidden="false" customHeight="false" outlineLevel="0" collapsed="false">
      <c r="A710" s="13" t="s">
        <v>925</v>
      </c>
      <c r="B710" s="14" t="n">
        <v>43163</v>
      </c>
      <c r="C710" s="14"/>
      <c r="D710" s="13" t="n">
        <v>34</v>
      </c>
      <c r="E710" s="13" t="s">
        <v>144</v>
      </c>
      <c r="F710" s="13" t="s">
        <v>164</v>
      </c>
      <c r="G710" s="13" t="s">
        <v>148</v>
      </c>
      <c r="H710" s="13" t="s">
        <v>156</v>
      </c>
      <c r="I710" s="13" t="n">
        <v>4</v>
      </c>
      <c r="J710" s="13" t="n">
        <v>3</v>
      </c>
      <c r="K710" s="13" t="n">
        <v>102500</v>
      </c>
      <c r="L710" s="13"/>
      <c r="M710" s="13"/>
      <c r="N710" s="13" t="s">
        <v>142</v>
      </c>
    </row>
    <row r="711" customFormat="false" ht="15" hidden="false" customHeight="false" outlineLevel="0" collapsed="false">
      <c r="A711" s="13" t="s">
        <v>926</v>
      </c>
      <c r="B711" s="14" t="n">
        <v>43166</v>
      </c>
      <c r="C711" s="14" t="n">
        <v>45410</v>
      </c>
      <c r="D711" s="13" t="n">
        <v>40</v>
      </c>
      <c r="E711" s="13" t="s">
        <v>163</v>
      </c>
      <c r="F711" s="13" t="s">
        <v>241</v>
      </c>
      <c r="G711" s="13" t="s">
        <v>138</v>
      </c>
      <c r="H711" s="13" t="s">
        <v>146</v>
      </c>
      <c r="I711" s="13" t="n">
        <v>3</v>
      </c>
      <c r="J711" s="13" t="n">
        <v>4</v>
      </c>
      <c r="K711" s="13" t="n">
        <v>78000</v>
      </c>
      <c r="L711" s="13"/>
      <c r="M711" s="13" t="s">
        <v>203</v>
      </c>
      <c r="N711" s="13" t="s">
        <v>142</v>
      </c>
    </row>
    <row r="712" customFormat="false" ht="15" hidden="false" customHeight="false" outlineLevel="0" collapsed="false">
      <c r="A712" s="13" t="s">
        <v>927</v>
      </c>
      <c r="B712" s="14" t="n">
        <v>43168</v>
      </c>
      <c r="C712" s="14" t="n">
        <v>45013</v>
      </c>
      <c r="D712" s="13" t="n">
        <v>34</v>
      </c>
      <c r="E712" s="13" t="s">
        <v>144</v>
      </c>
      <c r="F712" s="13" t="s">
        <v>168</v>
      </c>
      <c r="G712" s="13" t="s">
        <v>148</v>
      </c>
      <c r="H712" s="13" t="s">
        <v>146</v>
      </c>
      <c r="I712" s="13" t="n">
        <v>4</v>
      </c>
      <c r="J712" s="13" t="n">
        <v>3</v>
      </c>
      <c r="K712" s="13" t="n">
        <v>70000</v>
      </c>
      <c r="L712" s="13" t="s">
        <v>151</v>
      </c>
      <c r="M712" s="13" t="s">
        <v>203</v>
      </c>
      <c r="N712" s="13" t="s">
        <v>142</v>
      </c>
    </row>
    <row r="713" customFormat="false" ht="15" hidden="false" customHeight="false" outlineLevel="0" collapsed="false">
      <c r="A713" s="13" t="s">
        <v>928</v>
      </c>
      <c r="B713" s="14" t="n">
        <v>43173</v>
      </c>
      <c r="C713" s="14" t="n">
        <v>44665</v>
      </c>
      <c r="D713" s="13" t="n">
        <v>34</v>
      </c>
      <c r="E713" s="13" t="s">
        <v>136</v>
      </c>
      <c r="F713" s="13" t="s">
        <v>154</v>
      </c>
      <c r="G713" s="13" t="s">
        <v>235</v>
      </c>
      <c r="H713" s="13" t="s">
        <v>172</v>
      </c>
      <c r="I713" s="13" t="n">
        <v>3</v>
      </c>
      <c r="J713" s="13" t="n">
        <v>3</v>
      </c>
      <c r="K713" s="13" t="n">
        <v>41500</v>
      </c>
      <c r="L713" s="13" t="s">
        <v>151</v>
      </c>
      <c r="M713" s="13" t="s">
        <v>159</v>
      </c>
      <c r="N713" s="13" t="s">
        <v>142</v>
      </c>
    </row>
    <row r="714" customFormat="false" ht="15" hidden="false" customHeight="false" outlineLevel="0" collapsed="false">
      <c r="A714" s="13" t="s">
        <v>929</v>
      </c>
      <c r="B714" s="14" t="n">
        <v>43182</v>
      </c>
      <c r="C714" s="14"/>
      <c r="D714" s="13" t="n">
        <v>35</v>
      </c>
      <c r="E714" s="13" t="s">
        <v>259</v>
      </c>
      <c r="F714" s="13" t="s">
        <v>131</v>
      </c>
      <c r="G714" s="13" t="s">
        <v>171</v>
      </c>
      <c r="H714" s="13" t="s">
        <v>149</v>
      </c>
      <c r="I714" s="13" t="n">
        <v>4</v>
      </c>
      <c r="J714" s="13" t="n">
        <v>3</v>
      </c>
      <c r="K714" s="13" t="n">
        <v>118500</v>
      </c>
      <c r="L714" s="13"/>
      <c r="M714" s="13"/>
      <c r="N714" s="13" t="s">
        <v>142</v>
      </c>
    </row>
    <row r="715" customFormat="false" ht="15" hidden="false" customHeight="false" outlineLevel="0" collapsed="false">
      <c r="A715" s="13" t="s">
        <v>930</v>
      </c>
      <c r="B715" s="14" t="n">
        <v>43187</v>
      </c>
      <c r="C715" s="14"/>
      <c r="D715" s="13" t="n">
        <v>42</v>
      </c>
      <c r="E715" s="13" t="s">
        <v>136</v>
      </c>
      <c r="F715" s="13" t="s">
        <v>229</v>
      </c>
      <c r="G715" s="13" t="s">
        <v>155</v>
      </c>
      <c r="H715" s="13" t="s">
        <v>139</v>
      </c>
      <c r="I715" s="13" t="n">
        <v>4</v>
      </c>
      <c r="J715" s="13" t="n">
        <v>4</v>
      </c>
      <c r="K715" s="13" t="n">
        <v>44500</v>
      </c>
      <c r="L715" s="13"/>
      <c r="M715" s="13"/>
      <c r="N715" s="13" t="s">
        <v>142</v>
      </c>
    </row>
    <row r="716" customFormat="false" ht="15" hidden="false" customHeight="false" outlineLevel="0" collapsed="false">
      <c r="A716" s="13" t="s">
        <v>931</v>
      </c>
      <c r="B716" s="14" t="n">
        <v>43188</v>
      </c>
      <c r="C716" s="14" t="n">
        <v>44609</v>
      </c>
      <c r="D716" s="13" t="n">
        <v>26</v>
      </c>
      <c r="E716" s="13" t="s">
        <v>136</v>
      </c>
      <c r="F716" s="13" t="s">
        <v>241</v>
      </c>
      <c r="G716" s="13" t="s">
        <v>155</v>
      </c>
      <c r="H716" s="13" t="s">
        <v>139</v>
      </c>
      <c r="I716" s="13" t="n">
        <v>3</v>
      </c>
      <c r="J716" s="13" t="n">
        <v>1</v>
      </c>
      <c r="K716" s="13" t="n">
        <v>46500</v>
      </c>
      <c r="L716" s="13" t="s">
        <v>151</v>
      </c>
      <c r="M716" s="13" t="s">
        <v>203</v>
      </c>
      <c r="N716" s="13" t="s">
        <v>142</v>
      </c>
    </row>
    <row r="717" customFormat="false" ht="15" hidden="false" customHeight="false" outlineLevel="0" collapsed="false">
      <c r="A717" s="13" t="s">
        <v>932</v>
      </c>
      <c r="B717" s="14" t="n">
        <v>43190</v>
      </c>
      <c r="C717" s="14"/>
      <c r="D717" s="13" t="n">
        <v>37</v>
      </c>
      <c r="E717" s="13" t="s">
        <v>163</v>
      </c>
      <c r="F717" s="13" t="s">
        <v>168</v>
      </c>
      <c r="G717" s="13" t="s">
        <v>138</v>
      </c>
      <c r="H717" s="13" t="s">
        <v>146</v>
      </c>
      <c r="I717" s="13" t="n">
        <v>3</v>
      </c>
      <c r="J717" s="13" t="n">
        <v>4</v>
      </c>
      <c r="K717" s="13" t="n">
        <v>63500</v>
      </c>
      <c r="L717" s="13"/>
      <c r="M717" s="13"/>
      <c r="N717" s="13" t="s">
        <v>134</v>
      </c>
    </row>
    <row r="718" customFormat="false" ht="15" hidden="false" customHeight="false" outlineLevel="0" collapsed="false">
      <c r="A718" s="13" t="s">
        <v>933</v>
      </c>
      <c r="B718" s="14" t="n">
        <v>43201</v>
      </c>
      <c r="C718" s="14"/>
      <c r="D718" s="13" t="n">
        <v>39</v>
      </c>
      <c r="E718" s="13" t="s">
        <v>136</v>
      </c>
      <c r="F718" s="13" t="s">
        <v>239</v>
      </c>
      <c r="G718" s="13" t="s">
        <v>171</v>
      </c>
      <c r="H718" s="13" t="s">
        <v>156</v>
      </c>
      <c r="I718" s="13" t="n">
        <v>4</v>
      </c>
      <c r="J718" s="13"/>
      <c r="K718" s="13" t="n">
        <v>88500</v>
      </c>
      <c r="L718" s="13"/>
      <c r="M718" s="13"/>
      <c r="N718" s="13" t="s">
        <v>134</v>
      </c>
    </row>
    <row r="719" customFormat="false" ht="15" hidden="false" customHeight="false" outlineLevel="0" collapsed="false">
      <c r="A719" s="13" t="s">
        <v>934</v>
      </c>
      <c r="B719" s="14" t="n">
        <v>43202</v>
      </c>
      <c r="C719" s="14"/>
      <c r="D719" s="13" t="n">
        <v>32</v>
      </c>
      <c r="E719" s="13" t="s">
        <v>136</v>
      </c>
      <c r="F719" s="13" t="s">
        <v>229</v>
      </c>
      <c r="G719" s="13" t="s">
        <v>213</v>
      </c>
      <c r="H719" s="13" t="s">
        <v>156</v>
      </c>
      <c r="I719" s="13" t="n">
        <v>3</v>
      </c>
      <c r="J719" s="13" t="n">
        <v>3</v>
      </c>
      <c r="K719" s="13" t="n">
        <v>89000</v>
      </c>
      <c r="L719" s="13"/>
      <c r="M719" s="13"/>
      <c r="N719" s="13" t="s">
        <v>134</v>
      </c>
    </row>
    <row r="720" customFormat="false" ht="15" hidden="false" customHeight="false" outlineLevel="0" collapsed="false">
      <c r="A720" s="13" t="s">
        <v>935</v>
      </c>
      <c r="B720" s="14" t="n">
        <v>43204</v>
      </c>
      <c r="C720" s="14"/>
      <c r="D720" s="13" t="n">
        <v>35</v>
      </c>
      <c r="E720" s="13" t="s">
        <v>136</v>
      </c>
      <c r="F720" s="13" t="s">
        <v>168</v>
      </c>
      <c r="G720" s="13" t="s">
        <v>195</v>
      </c>
      <c r="H720" s="13" t="s">
        <v>139</v>
      </c>
      <c r="I720" s="13"/>
      <c r="J720" s="13" t="n">
        <v>4</v>
      </c>
      <c r="K720" s="13" t="n">
        <v>35500</v>
      </c>
      <c r="L720" s="13"/>
      <c r="M720" s="13"/>
      <c r="N720" s="13" t="s">
        <v>142</v>
      </c>
    </row>
    <row r="721" customFormat="false" ht="15" hidden="false" customHeight="false" outlineLevel="0" collapsed="false">
      <c r="A721" s="13" t="s">
        <v>936</v>
      </c>
      <c r="B721" s="14" t="n">
        <v>43208</v>
      </c>
      <c r="C721" s="14"/>
      <c r="D721" s="13" t="n">
        <v>35</v>
      </c>
      <c r="E721" s="13" t="s">
        <v>259</v>
      </c>
      <c r="F721" s="13" t="s">
        <v>241</v>
      </c>
      <c r="G721" s="13" t="s">
        <v>132</v>
      </c>
      <c r="H721" s="13" t="s">
        <v>156</v>
      </c>
      <c r="I721" s="13" t="n">
        <v>4</v>
      </c>
      <c r="J721" s="13" t="n">
        <v>4</v>
      </c>
      <c r="K721" s="13" t="n">
        <v>116000</v>
      </c>
      <c r="L721" s="13"/>
      <c r="M721" s="13"/>
      <c r="N721" s="13" t="s">
        <v>142</v>
      </c>
    </row>
    <row r="722" customFormat="false" ht="15" hidden="false" customHeight="false" outlineLevel="0" collapsed="false">
      <c r="A722" s="13" t="s">
        <v>937</v>
      </c>
      <c r="B722" s="14" t="n">
        <v>43211</v>
      </c>
      <c r="C722" s="14" t="n">
        <v>45577</v>
      </c>
      <c r="D722" s="13" t="n">
        <v>48</v>
      </c>
      <c r="E722" s="13" t="s">
        <v>144</v>
      </c>
      <c r="F722" s="13" t="s">
        <v>145</v>
      </c>
      <c r="G722" s="13" t="s">
        <v>138</v>
      </c>
      <c r="H722" s="13" t="s">
        <v>343</v>
      </c>
      <c r="I722" s="13" t="n">
        <v>2</v>
      </c>
      <c r="J722" s="13" t="n">
        <v>3</v>
      </c>
      <c r="K722" s="13" t="n">
        <v>96500</v>
      </c>
      <c r="L722" s="13" t="s">
        <v>140</v>
      </c>
      <c r="M722" s="13" t="s">
        <v>141</v>
      </c>
      <c r="N722" s="13" t="s">
        <v>142</v>
      </c>
    </row>
    <row r="723" customFormat="false" ht="15" hidden="false" customHeight="false" outlineLevel="0" collapsed="false">
      <c r="A723" s="13" t="s">
        <v>938</v>
      </c>
      <c r="B723" s="14" t="n">
        <v>43214</v>
      </c>
      <c r="C723" s="14"/>
      <c r="D723" s="13" t="n">
        <v>44</v>
      </c>
      <c r="E723" s="13" t="s">
        <v>136</v>
      </c>
      <c r="F723" s="13" t="s">
        <v>231</v>
      </c>
      <c r="G723" s="13" t="s">
        <v>132</v>
      </c>
      <c r="H723" s="13" t="s">
        <v>149</v>
      </c>
      <c r="I723" s="13" t="n">
        <v>3</v>
      </c>
      <c r="J723" s="13" t="n">
        <v>4</v>
      </c>
      <c r="K723" s="13" t="n">
        <v>132500</v>
      </c>
      <c r="L723" s="13"/>
      <c r="M723" s="13"/>
      <c r="N723" s="13" t="s">
        <v>142</v>
      </c>
    </row>
    <row r="724" customFormat="false" ht="15" hidden="false" customHeight="false" outlineLevel="0" collapsed="false">
      <c r="A724" s="13" t="s">
        <v>939</v>
      </c>
      <c r="B724" s="14" t="n">
        <v>43214</v>
      </c>
      <c r="C724" s="14" t="n">
        <v>45672</v>
      </c>
      <c r="D724" s="13" t="n">
        <v>40</v>
      </c>
      <c r="E724" s="13" t="s">
        <v>182</v>
      </c>
      <c r="F724" s="13" t="s">
        <v>137</v>
      </c>
      <c r="G724" s="13" t="s">
        <v>132</v>
      </c>
      <c r="H724" s="13" t="s">
        <v>139</v>
      </c>
      <c r="I724" s="13" t="n">
        <v>3</v>
      </c>
      <c r="J724" s="13" t="n">
        <v>3</v>
      </c>
      <c r="K724" s="13" t="n">
        <v>43500</v>
      </c>
      <c r="L724" s="13" t="s">
        <v>200</v>
      </c>
      <c r="M724" s="13" t="s">
        <v>152</v>
      </c>
      <c r="N724" s="13" t="s">
        <v>142</v>
      </c>
    </row>
    <row r="725" customFormat="false" ht="15" hidden="false" customHeight="false" outlineLevel="0" collapsed="false">
      <c r="A725" s="13" t="s">
        <v>940</v>
      </c>
      <c r="B725" s="14" t="n">
        <v>43215</v>
      </c>
      <c r="C725" s="14"/>
      <c r="D725" s="13" t="n">
        <v>48</v>
      </c>
      <c r="E725" s="13" t="s">
        <v>136</v>
      </c>
      <c r="F725" s="13" t="s">
        <v>170</v>
      </c>
      <c r="G725" s="13" t="s">
        <v>374</v>
      </c>
      <c r="H725" s="13" t="s">
        <v>139</v>
      </c>
      <c r="I725" s="13" t="n">
        <v>3</v>
      </c>
      <c r="J725" s="13" t="n">
        <v>1</v>
      </c>
      <c r="K725" s="13" t="n">
        <v>46000</v>
      </c>
      <c r="L725" s="13"/>
      <c r="M725" s="13"/>
      <c r="N725" s="13" t="s">
        <v>157</v>
      </c>
    </row>
    <row r="726" customFormat="false" ht="15" hidden="false" customHeight="false" outlineLevel="0" collapsed="false">
      <c r="A726" s="13" t="s">
        <v>941</v>
      </c>
      <c r="B726" s="14" t="n">
        <v>43216</v>
      </c>
      <c r="C726" s="14" t="n">
        <v>45423</v>
      </c>
      <c r="D726" s="13" t="n">
        <v>45</v>
      </c>
      <c r="E726" s="13" t="s">
        <v>163</v>
      </c>
      <c r="F726" s="13" t="s">
        <v>231</v>
      </c>
      <c r="G726" s="13" t="s">
        <v>188</v>
      </c>
      <c r="H726" s="13" t="s">
        <v>146</v>
      </c>
      <c r="I726" s="13" t="n">
        <v>4</v>
      </c>
      <c r="J726" s="13" t="n">
        <v>2</v>
      </c>
      <c r="K726" s="13" t="n">
        <v>57500</v>
      </c>
      <c r="L726" s="13" t="s">
        <v>151</v>
      </c>
      <c r="M726" s="13" t="s">
        <v>201</v>
      </c>
      <c r="N726" s="13" t="s">
        <v>157</v>
      </c>
    </row>
    <row r="727" customFormat="false" ht="15" hidden="false" customHeight="false" outlineLevel="0" collapsed="false">
      <c r="A727" s="13" t="s">
        <v>942</v>
      </c>
      <c r="B727" s="14" t="n">
        <v>43219</v>
      </c>
      <c r="C727" s="14"/>
      <c r="D727" s="13" t="n">
        <v>41</v>
      </c>
      <c r="E727" s="13" t="s">
        <v>136</v>
      </c>
      <c r="F727" s="13" t="s">
        <v>137</v>
      </c>
      <c r="G727" s="13" t="s">
        <v>235</v>
      </c>
      <c r="H727" s="13" t="s">
        <v>139</v>
      </c>
      <c r="I727" s="13" t="n">
        <v>2</v>
      </c>
      <c r="J727" s="13" t="n">
        <v>3</v>
      </c>
      <c r="K727" s="13" t="n">
        <v>41000</v>
      </c>
      <c r="L727" s="13"/>
      <c r="M727" s="13"/>
      <c r="N727" s="13" t="s">
        <v>134</v>
      </c>
    </row>
    <row r="728" customFormat="false" ht="15" hidden="false" customHeight="false" outlineLevel="0" collapsed="false">
      <c r="A728" s="13" t="s">
        <v>943</v>
      </c>
      <c r="B728" s="14" t="n">
        <v>43220</v>
      </c>
      <c r="C728" s="14" t="n">
        <v>44656</v>
      </c>
      <c r="D728" s="13" t="n">
        <v>34</v>
      </c>
      <c r="E728" s="13" t="s">
        <v>186</v>
      </c>
      <c r="F728" s="13" t="s">
        <v>170</v>
      </c>
      <c r="G728" s="13" t="s">
        <v>155</v>
      </c>
      <c r="H728" s="13" t="s">
        <v>192</v>
      </c>
      <c r="I728" s="13" t="n">
        <v>3</v>
      </c>
      <c r="J728" s="13" t="n">
        <v>2</v>
      </c>
      <c r="K728" s="13" t="n">
        <v>230500</v>
      </c>
      <c r="L728" s="13" t="s">
        <v>151</v>
      </c>
      <c r="M728" s="13" t="s">
        <v>203</v>
      </c>
      <c r="N728" s="13" t="s">
        <v>134</v>
      </c>
    </row>
    <row r="729" customFormat="false" ht="15" hidden="false" customHeight="false" outlineLevel="0" collapsed="false">
      <c r="A729" s="13" t="s">
        <v>944</v>
      </c>
      <c r="B729" s="14" t="n">
        <v>43227</v>
      </c>
      <c r="C729" s="14"/>
      <c r="D729" s="13" t="n">
        <v>30</v>
      </c>
      <c r="E729" s="13" t="s">
        <v>136</v>
      </c>
      <c r="F729" s="13" t="s">
        <v>164</v>
      </c>
      <c r="G729" s="13" t="s">
        <v>191</v>
      </c>
      <c r="H729" s="13" t="s">
        <v>149</v>
      </c>
      <c r="I729" s="13" t="n">
        <v>4</v>
      </c>
      <c r="J729" s="13" t="n">
        <v>3</v>
      </c>
      <c r="K729" s="13" t="n">
        <v>107500</v>
      </c>
      <c r="L729" s="13"/>
      <c r="M729" s="13"/>
      <c r="N729" s="13" t="s">
        <v>134</v>
      </c>
    </row>
    <row r="730" customFormat="false" ht="15" hidden="false" customHeight="false" outlineLevel="0" collapsed="false">
      <c r="A730" s="13" t="s">
        <v>945</v>
      </c>
      <c r="B730" s="14" t="n">
        <v>43230</v>
      </c>
      <c r="C730" s="14" t="n">
        <v>44829</v>
      </c>
      <c r="D730" s="13" t="n">
        <v>28</v>
      </c>
      <c r="E730" s="13" t="s">
        <v>136</v>
      </c>
      <c r="F730" s="13" t="s">
        <v>168</v>
      </c>
      <c r="G730" s="13" t="s">
        <v>155</v>
      </c>
      <c r="H730" s="13" t="s">
        <v>146</v>
      </c>
      <c r="I730" s="13" t="n">
        <v>4</v>
      </c>
      <c r="J730" s="13" t="n">
        <v>2</v>
      </c>
      <c r="K730" s="13" t="n">
        <v>78000</v>
      </c>
      <c r="L730" s="13" t="s">
        <v>151</v>
      </c>
      <c r="M730" s="13" t="s">
        <v>141</v>
      </c>
      <c r="N730" s="13" t="s">
        <v>142</v>
      </c>
    </row>
    <row r="731" customFormat="false" ht="15" hidden="false" customHeight="false" outlineLevel="0" collapsed="false">
      <c r="A731" s="13" t="s">
        <v>946</v>
      </c>
      <c r="B731" s="14" t="n">
        <v>43237</v>
      </c>
      <c r="C731" s="14" t="n">
        <v>44677</v>
      </c>
      <c r="D731" s="13" t="n">
        <v>31</v>
      </c>
      <c r="E731" s="13" t="s">
        <v>136</v>
      </c>
      <c r="F731" s="13" t="s">
        <v>137</v>
      </c>
      <c r="G731" s="13" t="s">
        <v>138</v>
      </c>
      <c r="H731" s="13" t="s">
        <v>178</v>
      </c>
      <c r="I731" s="13" t="n">
        <v>4</v>
      </c>
      <c r="J731" s="13" t="n">
        <v>3</v>
      </c>
      <c r="K731" s="13" t="n">
        <v>154500</v>
      </c>
      <c r="L731" s="13" t="s">
        <v>151</v>
      </c>
      <c r="M731" s="13" t="s">
        <v>201</v>
      </c>
      <c r="N731" s="13" t="s">
        <v>134</v>
      </c>
    </row>
    <row r="732" customFormat="false" ht="15" hidden="false" customHeight="false" outlineLevel="0" collapsed="false">
      <c r="A732" s="13" t="s">
        <v>947</v>
      </c>
      <c r="B732" s="14" t="n">
        <v>43241</v>
      </c>
      <c r="C732" s="14" t="n">
        <v>45633</v>
      </c>
      <c r="D732" s="13" t="n">
        <v>34</v>
      </c>
      <c r="E732" s="13" t="s">
        <v>136</v>
      </c>
      <c r="F732" s="13" t="s">
        <v>241</v>
      </c>
      <c r="G732" s="13" t="s">
        <v>386</v>
      </c>
      <c r="H732" s="13" t="s">
        <v>156</v>
      </c>
      <c r="I732" s="13" t="n">
        <v>3</v>
      </c>
      <c r="J732" s="13" t="n">
        <v>1</v>
      </c>
      <c r="K732" s="13" t="n">
        <v>103500</v>
      </c>
      <c r="L732" s="13" t="s">
        <v>151</v>
      </c>
      <c r="M732" s="13" t="s">
        <v>314</v>
      </c>
      <c r="N732" s="13" t="s">
        <v>134</v>
      </c>
    </row>
    <row r="733" customFormat="false" ht="15" hidden="false" customHeight="false" outlineLevel="0" collapsed="false">
      <c r="A733" s="13" t="s">
        <v>948</v>
      </c>
      <c r="B733" s="14" t="n">
        <v>43248</v>
      </c>
      <c r="C733" s="14" t="n">
        <v>44615</v>
      </c>
      <c r="D733" s="13" t="n">
        <v>36</v>
      </c>
      <c r="E733" s="13" t="s">
        <v>136</v>
      </c>
      <c r="F733" s="13" t="s">
        <v>164</v>
      </c>
      <c r="G733" s="13" t="s">
        <v>138</v>
      </c>
      <c r="H733" s="13" t="s">
        <v>139</v>
      </c>
      <c r="I733" s="13" t="n">
        <v>1</v>
      </c>
      <c r="J733" s="13" t="n">
        <v>2</v>
      </c>
      <c r="K733" s="13" t="n">
        <v>48500</v>
      </c>
      <c r="L733" s="13" t="s">
        <v>173</v>
      </c>
      <c r="M733" s="13" t="s">
        <v>310</v>
      </c>
      <c r="N733" s="13" t="s">
        <v>134</v>
      </c>
    </row>
    <row r="734" customFormat="false" ht="15" hidden="false" customHeight="false" outlineLevel="0" collapsed="false">
      <c r="A734" s="13" t="s">
        <v>949</v>
      </c>
      <c r="B734" s="14" t="n">
        <v>43248</v>
      </c>
      <c r="C734" s="14"/>
      <c r="D734" s="13" t="n">
        <v>32</v>
      </c>
      <c r="E734" s="13" t="s">
        <v>136</v>
      </c>
      <c r="F734" s="13" t="s">
        <v>154</v>
      </c>
      <c r="G734" s="13" t="s">
        <v>188</v>
      </c>
      <c r="H734" s="13" t="s">
        <v>139</v>
      </c>
      <c r="I734" s="13" t="n">
        <v>4</v>
      </c>
      <c r="J734" s="13" t="n">
        <v>2</v>
      </c>
      <c r="K734" s="13" t="n">
        <v>42500</v>
      </c>
      <c r="L734" s="13"/>
      <c r="M734" s="13"/>
      <c r="N734" s="13" t="s">
        <v>142</v>
      </c>
    </row>
    <row r="735" customFormat="false" ht="15" hidden="false" customHeight="false" outlineLevel="0" collapsed="false">
      <c r="A735" s="13" t="s">
        <v>950</v>
      </c>
      <c r="B735" s="14" t="n">
        <v>43249</v>
      </c>
      <c r="C735" s="14"/>
      <c r="D735" s="13" t="n">
        <v>41</v>
      </c>
      <c r="E735" s="13" t="s">
        <v>182</v>
      </c>
      <c r="F735" s="13" t="s">
        <v>154</v>
      </c>
      <c r="G735" s="13" t="s">
        <v>224</v>
      </c>
      <c r="H735" s="13" t="s">
        <v>139</v>
      </c>
      <c r="I735" s="13" t="n">
        <v>5</v>
      </c>
      <c r="J735" s="13" t="n">
        <v>4</v>
      </c>
      <c r="K735" s="13" t="n">
        <v>44000</v>
      </c>
      <c r="L735" s="13"/>
      <c r="M735" s="13"/>
      <c r="N735" s="13" t="s">
        <v>214</v>
      </c>
    </row>
    <row r="736" customFormat="false" ht="15" hidden="false" customHeight="false" outlineLevel="0" collapsed="false">
      <c r="A736" s="13" t="s">
        <v>951</v>
      </c>
      <c r="B736" s="14" t="n">
        <v>43250</v>
      </c>
      <c r="C736" s="14"/>
      <c r="D736" s="13" t="n">
        <v>33</v>
      </c>
      <c r="E736" s="13" t="s">
        <v>136</v>
      </c>
      <c r="F736" s="13" t="s">
        <v>161</v>
      </c>
      <c r="G736" s="13" t="s">
        <v>155</v>
      </c>
      <c r="H736" s="13" t="s">
        <v>178</v>
      </c>
      <c r="I736" s="13" t="n">
        <v>2</v>
      </c>
      <c r="J736" s="13" t="n">
        <v>4</v>
      </c>
      <c r="K736" s="13" t="n">
        <v>153000</v>
      </c>
      <c r="L736" s="13"/>
      <c r="M736" s="13"/>
      <c r="N736" s="13" t="s">
        <v>142</v>
      </c>
    </row>
    <row r="737" customFormat="false" ht="15" hidden="false" customHeight="false" outlineLevel="0" collapsed="false">
      <c r="A737" s="13" t="s">
        <v>952</v>
      </c>
      <c r="B737" s="14" t="n">
        <v>43252</v>
      </c>
      <c r="C737" s="14" t="n">
        <v>44824</v>
      </c>
      <c r="D737" s="13" t="n">
        <v>33</v>
      </c>
      <c r="E737" s="13" t="s">
        <v>144</v>
      </c>
      <c r="F737" s="13" t="s">
        <v>170</v>
      </c>
      <c r="G737" s="13" t="s">
        <v>213</v>
      </c>
      <c r="H737" s="13" t="s">
        <v>156</v>
      </c>
      <c r="I737" s="13" t="n">
        <v>3</v>
      </c>
      <c r="J737" s="13" t="n">
        <v>3</v>
      </c>
      <c r="K737" s="13" t="n">
        <v>91500</v>
      </c>
      <c r="L737" s="13" t="s">
        <v>200</v>
      </c>
      <c r="M737" s="13" t="s">
        <v>201</v>
      </c>
      <c r="N737" s="13" t="s">
        <v>142</v>
      </c>
    </row>
    <row r="738" customFormat="false" ht="15" hidden="false" customHeight="false" outlineLevel="0" collapsed="false">
      <c r="A738" s="13" t="s">
        <v>953</v>
      </c>
      <c r="B738" s="14" t="n">
        <v>43257</v>
      </c>
      <c r="C738" s="14" t="n">
        <v>44700</v>
      </c>
      <c r="D738" s="13" t="n">
        <v>27</v>
      </c>
      <c r="E738" s="13" t="s">
        <v>130</v>
      </c>
      <c r="F738" s="13" t="s">
        <v>131</v>
      </c>
      <c r="G738" s="13" t="s">
        <v>132</v>
      </c>
      <c r="H738" s="13" t="s">
        <v>139</v>
      </c>
      <c r="I738" s="13" t="n">
        <v>5</v>
      </c>
      <c r="J738" s="13" t="n">
        <v>1</v>
      </c>
      <c r="K738" s="13" t="n">
        <v>44000</v>
      </c>
      <c r="L738" s="13" t="s">
        <v>173</v>
      </c>
      <c r="M738" s="13"/>
      <c r="N738" s="13" t="s">
        <v>142</v>
      </c>
    </row>
    <row r="739" customFormat="false" ht="15" hidden="false" customHeight="false" outlineLevel="0" collapsed="false">
      <c r="A739" s="13" t="s">
        <v>954</v>
      </c>
      <c r="B739" s="14" t="n">
        <v>43262</v>
      </c>
      <c r="C739" s="14"/>
      <c r="D739" s="13" t="n">
        <v>37</v>
      </c>
      <c r="E739" s="13" t="s">
        <v>144</v>
      </c>
      <c r="F739" s="13" t="s">
        <v>168</v>
      </c>
      <c r="G739" s="13" t="s">
        <v>374</v>
      </c>
      <c r="H739" s="13" t="s">
        <v>178</v>
      </c>
      <c r="I739" s="13" t="n">
        <v>3</v>
      </c>
      <c r="J739" s="13" t="n">
        <v>2</v>
      </c>
      <c r="K739" s="13" t="n">
        <v>163000</v>
      </c>
      <c r="L739" s="13"/>
      <c r="M739" s="13"/>
      <c r="N739" s="13" t="s">
        <v>134</v>
      </c>
    </row>
    <row r="740" customFormat="false" ht="15" hidden="false" customHeight="false" outlineLevel="0" collapsed="false">
      <c r="A740" s="13" t="s">
        <v>955</v>
      </c>
      <c r="B740" s="14" t="n">
        <v>43267</v>
      </c>
      <c r="C740" s="14"/>
      <c r="D740" s="13" t="n">
        <v>29</v>
      </c>
      <c r="E740" s="13" t="s">
        <v>144</v>
      </c>
      <c r="F740" s="13" t="s">
        <v>168</v>
      </c>
      <c r="G740" s="13" t="s">
        <v>148</v>
      </c>
      <c r="H740" s="13" t="s">
        <v>146</v>
      </c>
      <c r="I740" s="13" t="n">
        <v>3</v>
      </c>
      <c r="J740" s="13" t="n">
        <v>4</v>
      </c>
      <c r="K740" s="13" t="n">
        <v>74000</v>
      </c>
      <c r="L740" s="13"/>
      <c r="M740" s="13"/>
      <c r="N740" s="13" t="s">
        <v>142</v>
      </c>
    </row>
    <row r="741" customFormat="false" ht="15" hidden="false" customHeight="false" outlineLevel="0" collapsed="false">
      <c r="A741" s="13" t="s">
        <v>956</v>
      </c>
      <c r="B741" s="14" t="n">
        <v>43267</v>
      </c>
      <c r="C741" s="14"/>
      <c r="D741" s="13" t="n">
        <v>36</v>
      </c>
      <c r="E741" s="13" t="s">
        <v>136</v>
      </c>
      <c r="F741" s="13" t="s">
        <v>137</v>
      </c>
      <c r="G741" s="13" t="s">
        <v>132</v>
      </c>
      <c r="H741" s="13" t="s">
        <v>192</v>
      </c>
      <c r="I741" s="13" t="n">
        <v>3</v>
      </c>
      <c r="J741" s="13"/>
      <c r="K741" s="13" t="n">
        <v>241500</v>
      </c>
      <c r="L741" s="13"/>
      <c r="M741" s="13"/>
      <c r="N741" s="13" t="s">
        <v>134</v>
      </c>
    </row>
    <row r="742" customFormat="false" ht="15" hidden="false" customHeight="false" outlineLevel="0" collapsed="false">
      <c r="A742" s="13" t="s">
        <v>957</v>
      </c>
      <c r="B742" s="14" t="n">
        <v>43269</v>
      </c>
      <c r="C742" s="14"/>
      <c r="D742" s="13" t="n">
        <v>40</v>
      </c>
      <c r="E742" s="13" t="s">
        <v>136</v>
      </c>
      <c r="F742" s="13" t="s">
        <v>168</v>
      </c>
      <c r="G742" s="13" t="s">
        <v>155</v>
      </c>
      <c r="H742" s="13" t="s">
        <v>156</v>
      </c>
      <c r="I742" s="13" t="n">
        <v>3</v>
      </c>
      <c r="J742" s="13" t="n">
        <v>4</v>
      </c>
      <c r="K742" s="13" t="n">
        <v>107500</v>
      </c>
      <c r="L742" s="13"/>
      <c r="M742" s="13"/>
      <c r="N742" s="13" t="s">
        <v>134</v>
      </c>
    </row>
    <row r="743" customFormat="false" ht="15" hidden="false" customHeight="false" outlineLevel="0" collapsed="false">
      <c r="A743" s="13" t="s">
        <v>958</v>
      </c>
      <c r="B743" s="14" t="n">
        <v>43270</v>
      </c>
      <c r="C743" s="14" t="n">
        <v>44620</v>
      </c>
      <c r="D743" s="13" t="n">
        <v>25</v>
      </c>
      <c r="E743" s="13" t="s">
        <v>259</v>
      </c>
      <c r="F743" s="13" t="s">
        <v>170</v>
      </c>
      <c r="G743" s="13" t="s">
        <v>330</v>
      </c>
      <c r="H743" s="13" t="s">
        <v>139</v>
      </c>
      <c r="I743" s="13" t="n">
        <v>4</v>
      </c>
      <c r="J743" s="13" t="n">
        <v>4</v>
      </c>
      <c r="K743" s="13" t="n">
        <v>39500</v>
      </c>
      <c r="L743" s="13" t="s">
        <v>151</v>
      </c>
      <c r="M743" s="13" t="s">
        <v>201</v>
      </c>
      <c r="N743" s="13" t="s">
        <v>134</v>
      </c>
    </row>
    <row r="744" customFormat="false" ht="15" hidden="false" customHeight="false" outlineLevel="0" collapsed="false">
      <c r="A744" s="13" t="s">
        <v>959</v>
      </c>
      <c r="B744" s="14" t="n">
        <v>43270</v>
      </c>
      <c r="C744" s="14"/>
      <c r="D744" s="13" t="n">
        <v>35</v>
      </c>
      <c r="E744" s="13" t="s">
        <v>144</v>
      </c>
      <c r="F744" s="13" t="s">
        <v>241</v>
      </c>
      <c r="G744" s="13" t="s">
        <v>195</v>
      </c>
      <c r="H744" s="13" t="s">
        <v>146</v>
      </c>
      <c r="I744" s="13" t="n">
        <v>3</v>
      </c>
      <c r="J744" s="13" t="n">
        <v>3</v>
      </c>
      <c r="K744" s="13" t="n">
        <v>80000</v>
      </c>
      <c r="L744" s="13"/>
      <c r="M744" s="13"/>
      <c r="N744" s="13" t="s">
        <v>453</v>
      </c>
    </row>
    <row r="745" customFormat="false" ht="15" hidden="false" customHeight="false" outlineLevel="0" collapsed="false">
      <c r="A745" s="13" t="s">
        <v>960</v>
      </c>
      <c r="B745" s="14" t="n">
        <v>43271</v>
      </c>
      <c r="C745" s="14" t="n">
        <v>44583</v>
      </c>
      <c r="D745" s="13" t="n">
        <v>27</v>
      </c>
      <c r="E745" s="13" t="s">
        <v>136</v>
      </c>
      <c r="F745" s="13" t="s">
        <v>170</v>
      </c>
      <c r="G745" s="13" t="s">
        <v>191</v>
      </c>
      <c r="H745" s="13" t="s">
        <v>156</v>
      </c>
      <c r="I745" s="13" t="n">
        <v>3</v>
      </c>
      <c r="J745" s="13" t="n">
        <v>3</v>
      </c>
      <c r="K745" s="13" t="n">
        <v>88000</v>
      </c>
      <c r="L745" s="13" t="s">
        <v>151</v>
      </c>
      <c r="M745" s="13" t="s">
        <v>201</v>
      </c>
      <c r="N745" s="13" t="s">
        <v>134</v>
      </c>
    </row>
    <row r="746" customFormat="false" ht="15" hidden="false" customHeight="false" outlineLevel="0" collapsed="false">
      <c r="A746" s="13" t="s">
        <v>961</v>
      </c>
      <c r="B746" s="14" t="n">
        <v>43274</v>
      </c>
      <c r="C746" s="14"/>
      <c r="D746" s="13" t="n">
        <v>34</v>
      </c>
      <c r="E746" s="13" t="s">
        <v>136</v>
      </c>
      <c r="F746" s="13" t="s">
        <v>145</v>
      </c>
      <c r="G746" s="13" t="s">
        <v>279</v>
      </c>
      <c r="H746" s="13" t="s">
        <v>146</v>
      </c>
      <c r="I746" s="13" t="n">
        <v>3</v>
      </c>
      <c r="J746" s="13" t="n">
        <v>2</v>
      </c>
      <c r="K746" s="13" t="n">
        <v>71500</v>
      </c>
      <c r="L746" s="13"/>
      <c r="M746" s="13"/>
      <c r="N746" s="13" t="s">
        <v>142</v>
      </c>
    </row>
    <row r="747" customFormat="false" ht="15" hidden="false" customHeight="false" outlineLevel="0" collapsed="false">
      <c r="A747" s="13" t="s">
        <v>962</v>
      </c>
      <c r="B747" s="14" t="n">
        <v>43275</v>
      </c>
      <c r="C747" s="14" t="n">
        <v>44695</v>
      </c>
      <c r="D747" s="13" t="n">
        <v>29</v>
      </c>
      <c r="E747" s="13" t="s">
        <v>136</v>
      </c>
      <c r="F747" s="13" t="s">
        <v>137</v>
      </c>
      <c r="G747" s="13" t="s">
        <v>138</v>
      </c>
      <c r="H747" s="13" t="s">
        <v>156</v>
      </c>
      <c r="I747" s="13" t="n">
        <v>4</v>
      </c>
      <c r="J747" s="13" t="n">
        <v>2</v>
      </c>
      <c r="K747" s="13" t="n">
        <v>83000</v>
      </c>
      <c r="L747" s="13" t="s">
        <v>151</v>
      </c>
      <c r="M747" s="13" t="s">
        <v>314</v>
      </c>
      <c r="N747" s="13" t="s">
        <v>142</v>
      </c>
    </row>
    <row r="748" customFormat="false" ht="15" hidden="false" customHeight="false" outlineLevel="0" collapsed="false">
      <c r="A748" s="13" t="s">
        <v>963</v>
      </c>
      <c r="B748" s="14" t="n">
        <v>43283</v>
      </c>
      <c r="C748" s="14" t="n">
        <v>45218</v>
      </c>
      <c r="D748" s="13" t="n">
        <v>38</v>
      </c>
      <c r="E748" s="13" t="s">
        <v>182</v>
      </c>
      <c r="F748" s="13" t="s">
        <v>131</v>
      </c>
      <c r="G748" s="13" t="s">
        <v>191</v>
      </c>
      <c r="H748" s="13" t="s">
        <v>139</v>
      </c>
      <c r="I748" s="13" t="n">
        <v>3</v>
      </c>
      <c r="J748" s="13" t="n">
        <v>1</v>
      </c>
      <c r="K748" s="13" t="n">
        <v>42000</v>
      </c>
      <c r="L748" s="13" t="s">
        <v>140</v>
      </c>
      <c r="M748" s="13" t="s">
        <v>216</v>
      </c>
      <c r="N748" s="13" t="s">
        <v>134</v>
      </c>
    </row>
    <row r="749" customFormat="false" ht="15" hidden="false" customHeight="false" outlineLevel="0" collapsed="false">
      <c r="A749" s="13" t="s">
        <v>964</v>
      </c>
      <c r="B749" s="14" t="n">
        <v>43289</v>
      </c>
      <c r="C749" s="14"/>
      <c r="D749" s="13" t="n">
        <v>46</v>
      </c>
      <c r="E749" s="13" t="s">
        <v>136</v>
      </c>
      <c r="F749" s="13" t="s">
        <v>229</v>
      </c>
      <c r="G749" s="13" t="s">
        <v>155</v>
      </c>
      <c r="H749" s="13" t="s">
        <v>139</v>
      </c>
      <c r="I749" s="13" t="n">
        <v>3</v>
      </c>
      <c r="J749" s="13" t="n">
        <v>3</v>
      </c>
      <c r="K749" s="13" t="n">
        <v>53000</v>
      </c>
      <c r="L749" s="13"/>
      <c r="M749" s="13"/>
      <c r="N749" s="13" t="s">
        <v>142</v>
      </c>
    </row>
    <row r="750" customFormat="false" ht="15" hidden="false" customHeight="false" outlineLevel="0" collapsed="false">
      <c r="A750" s="13" t="s">
        <v>965</v>
      </c>
      <c r="B750" s="14" t="n">
        <v>43293</v>
      </c>
      <c r="C750" s="14" t="n">
        <v>44706</v>
      </c>
      <c r="D750" s="13" t="n">
        <v>35</v>
      </c>
      <c r="E750" s="13" t="s">
        <v>136</v>
      </c>
      <c r="F750" s="13" t="s">
        <v>154</v>
      </c>
      <c r="G750" s="13" t="s">
        <v>171</v>
      </c>
      <c r="H750" s="13" t="s">
        <v>139</v>
      </c>
      <c r="I750" s="13" t="n">
        <v>3</v>
      </c>
      <c r="J750" s="13" t="n">
        <v>1</v>
      </c>
      <c r="K750" s="13" t="n">
        <v>36500</v>
      </c>
      <c r="L750" s="13" t="s">
        <v>151</v>
      </c>
      <c r="M750" s="13" t="s">
        <v>152</v>
      </c>
      <c r="N750" s="13" t="s">
        <v>134</v>
      </c>
    </row>
    <row r="751" customFormat="false" ht="15" hidden="false" customHeight="false" outlineLevel="0" collapsed="false">
      <c r="A751" s="13" t="s">
        <v>966</v>
      </c>
      <c r="B751" s="14" t="n">
        <v>43294</v>
      </c>
      <c r="C751" s="14"/>
      <c r="D751" s="13" t="n">
        <v>36</v>
      </c>
      <c r="E751" s="13" t="s">
        <v>190</v>
      </c>
      <c r="F751" s="13" t="s">
        <v>137</v>
      </c>
      <c r="G751" s="13" t="s">
        <v>171</v>
      </c>
      <c r="H751" s="13" t="s">
        <v>156</v>
      </c>
      <c r="I751" s="13" t="n">
        <v>4</v>
      </c>
      <c r="J751" s="13" t="n">
        <v>1</v>
      </c>
      <c r="K751" s="13" t="n">
        <v>123000</v>
      </c>
      <c r="L751" s="13"/>
      <c r="M751" s="13"/>
      <c r="N751" s="13" t="s">
        <v>134</v>
      </c>
    </row>
    <row r="752" customFormat="false" ht="15" hidden="false" customHeight="false" outlineLevel="0" collapsed="false">
      <c r="A752" s="13" t="s">
        <v>967</v>
      </c>
      <c r="B752" s="14" t="n">
        <v>43295</v>
      </c>
      <c r="C752" s="14" t="n">
        <v>45114</v>
      </c>
      <c r="D752" s="13" t="n">
        <v>26</v>
      </c>
      <c r="E752" s="13" t="s">
        <v>182</v>
      </c>
      <c r="F752" s="13" t="s">
        <v>137</v>
      </c>
      <c r="G752" s="13" t="s">
        <v>148</v>
      </c>
      <c r="H752" s="13" t="s">
        <v>139</v>
      </c>
      <c r="I752" s="13" t="n">
        <v>3</v>
      </c>
      <c r="J752" s="13" t="n">
        <v>1</v>
      </c>
      <c r="K752" s="13" t="n">
        <v>41500</v>
      </c>
      <c r="L752" s="13" t="s">
        <v>173</v>
      </c>
      <c r="M752" s="13" t="s">
        <v>968</v>
      </c>
      <c r="N752" s="13" t="s">
        <v>134</v>
      </c>
    </row>
    <row r="753" customFormat="false" ht="15" hidden="false" customHeight="false" outlineLevel="0" collapsed="false">
      <c r="A753" s="13" t="s">
        <v>969</v>
      </c>
      <c r="B753" s="14" t="n">
        <v>43301</v>
      </c>
      <c r="C753" s="14" t="n">
        <v>45154</v>
      </c>
      <c r="D753" s="13" t="n">
        <v>29</v>
      </c>
      <c r="E753" s="13" t="s">
        <v>144</v>
      </c>
      <c r="F753" s="13" t="s">
        <v>131</v>
      </c>
      <c r="G753" s="13" t="s">
        <v>148</v>
      </c>
      <c r="H753" s="13" t="s">
        <v>149</v>
      </c>
      <c r="I753" s="13" t="n">
        <v>4</v>
      </c>
      <c r="J753" s="13"/>
      <c r="K753" s="13" t="n">
        <v>108000</v>
      </c>
      <c r="L753" s="13"/>
      <c r="M753" s="13" t="s">
        <v>141</v>
      </c>
      <c r="N753" s="13" t="s">
        <v>142</v>
      </c>
    </row>
    <row r="754" customFormat="false" ht="15" hidden="false" customHeight="false" outlineLevel="0" collapsed="false">
      <c r="A754" s="13" t="s">
        <v>970</v>
      </c>
      <c r="B754" s="14" t="n">
        <v>43308</v>
      </c>
      <c r="C754" s="14"/>
      <c r="D754" s="13" t="n">
        <v>38</v>
      </c>
      <c r="E754" s="13" t="s">
        <v>144</v>
      </c>
      <c r="F754" s="13" t="s">
        <v>154</v>
      </c>
      <c r="G754" s="13" t="s">
        <v>155</v>
      </c>
      <c r="H754" s="13" t="s">
        <v>149</v>
      </c>
      <c r="I754" s="13" t="n">
        <v>3</v>
      </c>
      <c r="J754" s="13" t="n">
        <v>2</v>
      </c>
      <c r="K754" s="13" t="n">
        <v>114000</v>
      </c>
      <c r="L754" s="13"/>
      <c r="M754" s="13"/>
      <c r="N754" s="13" t="s">
        <v>142</v>
      </c>
    </row>
    <row r="755" customFormat="false" ht="15" hidden="false" customHeight="false" outlineLevel="0" collapsed="false">
      <c r="A755" s="13" t="s">
        <v>971</v>
      </c>
      <c r="B755" s="14" t="n">
        <v>43309</v>
      </c>
      <c r="C755" s="14"/>
      <c r="D755" s="13" t="n">
        <v>32</v>
      </c>
      <c r="E755" s="13" t="s">
        <v>144</v>
      </c>
      <c r="F755" s="13" t="s">
        <v>164</v>
      </c>
      <c r="G755" s="13" t="s">
        <v>354</v>
      </c>
      <c r="H755" s="13" t="s">
        <v>139</v>
      </c>
      <c r="I755" s="13" t="n">
        <v>3</v>
      </c>
      <c r="J755" s="13" t="n">
        <v>3</v>
      </c>
      <c r="K755" s="13" t="n">
        <v>42000</v>
      </c>
      <c r="L755" s="13"/>
      <c r="M755" s="13"/>
      <c r="N755" s="13" t="s">
        <v>142</v>
      </c>
    </row>
    <row r="756" customFormat="false" ht="15" hidden="false" customHeight="false" outlineLevel="0" collapsed="false">
      <c r="A756" s="13" t="s">
        <v>972</v>
      </c>
      <c r="B756" s="14" t="n">
        <v>43314</v>
      </c>
      <c r="C756" s="14" t="n">
        <v>45026</v>
      </c>
      <c r="D756" s="13" t="n">
        <v>37</v>
      </c>
      <c r="E756" s="13" t="s">
        <v>136</v>
      </c>
      <c r="F756" s="13" t="s">
        <v>137</v>
      </c>
      <c r="G756" s="13" t="s">
        <v>138</v>
      </c>
      <c r="H756" s="13" t="s">
        <v>139</v>
      </c>
      <c r="I756" s="13" t="n">
        <v>4</v>
      </c>
      <c r="J756" s="13" t="n">
        <v>2</v>
      </c>
      <c r="K756" s="13" t="n">
        <v>45000</v>
      </c>
      <c r="L756" s="13" t="s">
        <v>151</v>
      </c>
      <c r="M756" s="13" t="s">
        <v>152</v>
      </c>
      <c r="N756" s="13" t="s">
        <v>142</v>
      </c>
    </row>
    <row r="757" customFormat="false" ht="15" hidden="false" customHeight="false" outlineLevel="0" collapsed="false">
      <c r="A757" s="13" t="s">
        <v>973</v>
      </c>
      <c r="B757" s="14" t="n">
        <v>43316</v>
      </c>
      <c r="C757" s="14"/>
      <c r="D757" s="13" t="n">
        <v>38</v>
      </c>
      <c r="E757" s="13" t="s">
        <v>144</v>
      </c>
      <c r="F757" s="13" t="s">
        <v>168</v>
      </c>
      <c r="G757" s="13" t="s">
        <v>132</v>
      </c>
      <c r="H757" s="13" t="s">
        <v>156</v>
      </c>
      <c r="I757" s="13" t="n">
        <v>3</v>
      </c>
      <c r="J757" s="13" t="n">
        <v>3</v>
      </c>
      <c r="K757" s="13" t="n">
        <v>111000</v>
      </c>
      <c r="L757" s="13"/>
      <c r="M757" s="13"/>
      <c r="N757" s="13" t="s">
        <v>134</v>
      </c>
    </row>
    <row r="758" customFormat="false" ht="15" hidden="false" customHeight="false" outlineLevel="0" collapsed="false">
      <c r="A758" s="13" t="s">
        <v>974</v>
      </c>
      <c r="B758" s="14" t="n">
        <v>43318</v>
      </c>
      <c r="C758" s="14" t="n">
        <v>44683</v>
      </c>
      <c r="D758" s="13" t="n">
        <v>33</v>
      </c>
      <c r="E758" s="13" t="s">
        <v>182</v>
      </c>
      <c r="F758" s="13" t="s">
        <v>241</v>
      </c>
      <c r="G758" s="13" t="s">
        <v>155</v>
      </c>
      <c r="H758" s="13" t="s">
        <v>149</v>
      </c>
      <c r="I758" s="13" t="n">
        <v>2</v>
      </c>
      <c r="J758" s="13" t="n">
        <v>3</v>
      </c>
      <c r="K758" s="13" t="n">
        <v>122500</v>
      </c>
      <c r="L758" s="13" t="s">
        <v>173</v>
      </c>
      <c r="M758" s="13" t="s">
        <v>310</v>
      </c>
      <c r="N758" s="13" t="s">
        <v>142</v>
      </c>
    </row>
    <row r="759" customFormat="false" ht="15" hidden="false" customHeight="false" outlineLevel="0" collapsed="false">
      <c r="A759" s="13" t="s">
        <v>975</v>
      </c>
      <c r="B759" s="14" t="n">
        <v>43320</v>
      </c>
      <c r="C759" s="14"/>
      <c r="D759" s="13" t="n">
        <v>36</v>
      </c>
      <c r="E759" s="13" t="s">
        <v>144</v>
      </c>
      <c r="F759" s="13" t="s">
        <v>168</v>
      </c>
      <c r="G759" s="13" t="s">
        <v>300</v>
      </c>
      <c r="H759" s="13" t="s">
        <v>543</v>
      </c>
      <c r="I759" s="13" t="n">
        <v>3</v>
      </c>
      <c r="J759" s="13" t="n">
        <v>3</v>
      </c>
      <c r="K759" s="13" t="n">
        <v>151000</v>
      </c>
      <c r="L759" s="13"/>
      <c r="M759" s="13"/>
      <c r="N759" s="13" t="s">
        <v>142</v>
      </c>
    </row>
    <row r="760" customFormat="false" ht="15" hidden="false" customHeight="false" outlineLevel="0" collapsed="false">
      <c r="A760" s="13" t="s">
        <v>976</v>
      </c>
      <c r="B760" s="14" t="n">
        <v>43320</v>
      </c>
      <c r="C760" s="14"/>
      <c r="D760" s="13" t="n">
        <v>39</v>
      </c>
      <c r="E760" s="13" t="s">
        <v>144</v>
      </c>
      <c r="F760" s="13" t="s">
        <v>145</v>
      </c>
      <c r="G760" s="13" t="s">
        <v>148</v>
      </c>
      <c r="H760" s="13" t="s">
        <v>146</v>
      </c>
      <c r="I760" s="13" t="n">
        <v>3</v>
      </c>
      <c r="J760" s="13" t="n">
        <v>4</v>
      </c>
      <c r="K760" s="13" t="n">
        <v>66000</v>
      </c>
      <c r="L760" s="13"/>
      <c r="M760" s="13"/>
      <c r="N760" s="13" t="s">
        <v>142</v>
      </c>
    </row>
    <row r="761" customFormat="false" ht="15" hidden="false" customHeight="false" outlineLevel="0" collapsed="false">
      <c r="A761" s="13" t="s">
        <v>977</v>
      </c>
      <c r="B761" s="14" t="n">
        <v>43322</v>
      </c>
      <c r="C761" s="14"/>
      <c r="D761" s="13" t="n">
        <v>40</v>
      </c>
      <c r="E761" s="13" t="s">
        <v>190</v>
      </c>
      <c r="F761" s="13" t="s">
        <v>131</v>
      </c>
      <c r="G761" s="13" t="s">
        <v>155</v>
      </c>
      <c r="H761" s="13" t="s">
        <v>139</v>
      </c>
      <c r="I761" s="13" t="n">
        <v>4</v>
      </c>
      <c r="J761" s="13" t="n">
        <v>3</v>
      </c>
      <c r="K761" s="13" t="n">
        <v>51000</v>
      </c>
      <c r="L761" s="13"/>
      <c r="M761" s="13"/>
      <c r="N761" s="13" t="s">
        <v>142</v>
      </c>
    </row>
    <row r="762" customFormat="false" ht="15" hidden="false" customHeight="false" outlineLevel="0" collapsed="false">
      <c r="A762" s="13" t="s">
        <v>978</v>
      </c>
      <c r="B762" s="14" t="n">
        <v>43322</v>
      </c>
      <c r="C762" s="14" t="n">
        <v>45879</v>
      </c>
      <c r="D762" s="13" t="n">
        <v>33</v>
      </c>
      <c r="E762" s="13" t="s">
        <v>136</v>
      </c>
      <c r="F762" s="13" t="s">
        <v>170</v>
      </c>
      <c r="G762" s="13" t="s">
        <v>155</v>
      </c>
      <c r="H762" s="13" t="s">
        <v>149</v>
      </c>
      <c r="I762" s="13" t="n">
        <v>3</v>
      </c>
      <c r="J762" s="13" t="n">
        <v>1</v>
      </c>
      <c r="K762" s="13" t="n">
        <v>129500</v>
      </c>
      <c r="L762" s="13"/>
      <c r="M762" s="13" t="s">
        <v>254</v>
      </c>
      <c r="N762" s="13" t="s">
        <v>142</v>
      </c>
    </row>
    <row r="763" customFormat="false" ht="15" hidden="false" customHeight="false" outlineLevel="0" collapsed="false">
      <c r="A763" s="13" t="s">
        <v>979</v>
      </c>
      <c r="B763" s="14" t="n">
        <v>43322</v>
      </c>
      <c r="C763" s="14" t="n">
        <v>45501</v>
      </c>
      <c r="D763" s="13" t="n">
        <v>36</v>
      </c>
      <c r="E763" s="13" t="s">
        <v>136</v>
      </c>
      <c r="F763" s="13" t="s">
        <v>229</v>
      </c>
      <c r="G763" s="13" t="s">
        <v>148</v>
      </c>
      <c r="H763" s="13" t="s">
        <v>242</v>
      </c>
      <c r="I763" s="13" t="n">
        <v>4</v>
      </c>
      <c r="J763" s="13" t="n">
        <v>1</v>
      </c>
      <c r="K763" s="13" t="n">
        <v>103000</v>
      </c>
      <c r="L763" s="13" t="s">
        <v>151</v>
      </c>
      <c r="M763" s="13" t="s">
        <v>152</v>
      </c>
      <c r="N763" s="13" t="s">
        <v>157</v>
      </c>
    </row>
    <row r="764" customFormat="false" ht="15" hidden="false" customHeight="false" outlineLevel="0" collapsed="false">
      <c r="A764" s="13" t="s">
        <v>980</v>
      </c>
      <c r="B764" s="14" t="n">
        <v>43331</v>
      </c>
      <c r="C764" s="14"/>
      <c r="D764" s="13" t="n">
        <v>28</v>
      </c>
      <c r="E764" s="13" t="s">
        <v>259</v>
      </c>
      <c r="F764" s="13" t="s">
        <v>239</v>
      </c>
      <c r="G764" s="13" t="s">
        <v>155</v>
      </c>
      <c r="H764" s="13" t="s">
        <v>192</v>
      </c>
      <c r="I764" s="13" t="n">
        <v>3</v>
      </c>
      <c r="J764" s="13" t="n">
        <v>4</v>
      </c>
      <c r="K764" s="13" t="n">
        <v>213000</v>
      </c>
      <c r="L764" s="13"/>
      <c r="M764" s="13"/>
      <c r="N764" s="13" t="s">
        <v>142</v>
      </c>
    </row>
    <row r="765" customFormat="false" ht="15" hidden="false" customHeight="false" outlineLevel="0" collapsed="false">
      <c r="A765" s="13" t="s">
        <v>981</v>
      </c>
      <c r="B765" s="14" t="n">
        <v>43332</v>
      </c>
      <c r="C765" s="14"/>
      <c r="D765" s="13" t="n">
        <v>39</v>
      </c>
      <c r="E765" s="13" t="s">
        <v>130</v>
      </c>
      <c r="F765" s="13" t="s">
        <v>231</v>
      </c>
      <c r="G765" s="13" t="s">
        <v>148</v>
      </c>
      <c r="H765" s="13" t="s">
        <v>146</v>
      </c>
      <c r="I765" s="13" t="n">
        <v>3</v>
      </c>
      <c r="J765" s="13" t="n">
        <v>3</v>
      </c>
      <c r="K765" s="13" t="n">
        <v>70000</v>
      </c>
      <c r="L765" s="13"/>
      <c r="M765" s="13"/>
      <c r="N765" s="13" t="s">
        <v>142</v>
      </c>
    </row>
    <row r="766" customFormat="false" ht="15" hidden="false" customHeight="false" outlineLevel="0" collapsed="false">
      <c r="A766" s="13" t="s">
        <v>982</v>
      </c>
      <c r="B766" s="14" t="n">
        <v>43334</v>
      </c>
      <c r="C766" s="14"/>
      <c r="D766" s="13" t="n">
        <v>43</v>
      </c>
      <c r="E766" s="13" t="s">
        <v>259</v>
      </c>
      <c r="F766" s="13" t="s">
        <v>241</v>
      </c>
      <c r="G766" s="13" t="s">
        <v>155</v>
      </c>
      <c r="H766" s="13" t="s">
        <v>139</v>
      </c>
      <c r="I766" s="13" t="n">
        <v>4</v>
      </c>
      <c r="J766" s="13" t="n">
        <v>1</v>
      </c>
      <c r="K766" s="13" t="n">
        <v>50500</v>
      </c>
      <c r="L766" s="13"/>
      <c r="M766" s="13"/>
      <c r="N766" s="13" t="s">
        <v>142</v>
      </c>
    </row>
    <row r="767" customFormat="false" ht="15" hidden="false" customHeight="false" outlineLevel="0" collapsed="false">
      <c r="A767" s="13" t="s">
        <v>983</v>
      </c>
      <c r="B767" s="14" t="n">
        <v>43334</v>
      </c>
      <c r="C767" s="14" t="n">
        <v>44628</v>
      </c>
      <c r="D767" s="13" t="n">
        <v>36</v>
      </c>
      <c r="E767" s="13" t="s">
        <v>136</v>
      </c>
      <c r="F767" s="13" t="s">
        <v>168</v>
      </c>
      <c r="G767" s="13" t="s">
        <v>132</v>
      </c>
      <c r="H767" s="13" t="s">
        <v>139</v>
      </c>
      <c r="I767" s="13" t="n">
        <v>3</v>
      </c>
      <c r="J767" s="13" t="n">
        <v>3</v>
      </c>
      <c r="K767" s="13" t="n">
        <v>43500</v>
      </c>
      <c r="L767" s="13" t="s">
        <v>151</v>
      </c>
      <c r="M767" s="13" t="s">
        <v>152</v>
      </c>
      <c r="N767" s="13" t="s">
        <v>142</v>
      </c>
    </row>
    <row r="768" customFormat="false" ht="15" hidden="false" customHeight="false" outlineLevel="0" collapsed="false">
      <c r="A768" s="13" t="s">
        <v>984</v>
      </c>
      <c r="B768" s="14" t="n">
        <v>43338</v>
      </c>
      <c r="C768" s="14" t="n">
        <v>45901</v>
      </c>
      <c r="D768" s="13" t="n">
        <v>36</v>
      </c>
      <c r="E768" s="13" t="s">
        <v>144</v>
      </c>
      <c r="F768" s="13" t="s">
        <v>168</v>
      </c>
      <c r="G768" s="13" t="s">
        <v>155</v>
      </c>
      <c r="H768" s="13" t="s">
        <v>178</v>
      </c>
      <c r="I768" s="13" t="n">
        <v>3</v>
      </c>
      <c r="J768" s="13" t="n">
        <v>3</v>
      </c>
      <c r="K768" s="13" t="n">
        <v>149500</v>
      </c>
      <c r="L768" s="13" t="s">
        <v>151</v>
      </c>
      <c r="M768" s="13" t="s">
        <v>159</v>
      </c>
      <c r="N768" s="13" t="s">
        <v>134</v>
      </c>
    </row>
    <row r="769" customFormat="false" ht="15" hidden="false" customHeight="false" outlineLevel="0" collapsed="false">
      <c r="A769" s="13" t="s">
        <v>985</v>
      </c>
      <c r="B769" s="14" t="n">
        <v>43338</v>
      </c>
      <c r="C769" s="14"/>
      <c r="D769" s="13" t="n">
        <v>38</v>
      </c>
      <c r="E769" s="13" t="s">
        <v>144</v>
      </c>
      <c r="F769" s="13" t="s">
        <v>170</v>
      </c>
      <c r="G769" s="13" t="s">
        <v>191</v>
      </c>
      <c r="H769" s="13" t="s">
        <v>146</v>
      </c>
      <c r="I769" s="13" t="n">
        <v>3</v>
      </c>
      <c r="J769" s="13" t="n">
        <v>1</v>
      </c>
      <c r="K769" s="13" t="n">
        <v>71500</v>
      </c>
      <c r="L769" s="13"/>
      <c r="M769" s="13"/>
      <c r="N769" s="13" t="s">
        <v>142</v>
      </c>
    </row>
    <row r="770" customFormat="false" ht="15" hidden="false" customHeight="false" outlineLevel="0" collapsed="false">
      <c r="A770" s="13" t="s">
        <v>986</v>
      </c>
      <c r="B770" s="14" t="n">
        <v>43344</v>
      </c>
      <c r="C770" s="14" t="n">
        <v>44795</v>
      </c>
      <c r="D770" s="13" t="n">
        <v>36</v>
      </c>
      <c r="E770" s="13" t="s">
        <v>144</v>
      </c>
      <c r="F770" s="13" t="s">
        <v>168</v>
      </c>
      <c r="G770" s="13" t="s">
        <v>155</v>
      </c>
      <c r="H770" s="13" t="s">
        <v>139</v>
      </c>
      <c r="I770" s="13" t="n">
        <v>3</v>
      </c>
      <c r="J770" s="13" t="n">
        <v>3</v>
      </c>
      <c r="K770" s="13" t="n">
        <v>44500</v>
      </c>
      <c r="L770" s="13" t="s">
        <v>151</v>
      </c>
      <c r="M770" s="13" t="s">
        <v>159</v>
      </c>
      <c r="N770" s="13" t="s">
        <v>134</v>
      </c>
    </row>
    <row r="771" customFormat="false" ht="15" hidden="false" customHeight="false" outlineLevel="0" collapsed="false">
      <c r="A771" s="13" t="s">
        <v>987</v>
      </c>
      <c r="B771" s="14" t="n">
        <v>43345</v>
      </c>
      <c r="C771" s="14"/>
      <c r="D771" s="13" t="n">
        <v>35</v>
      </c>
      <c r="E771" s="13" t="s">
        <v>182</v>
      </c>
      <c r="F771" s="13" t="s">
        <v>131</v>
      </c>
      <c r="G771" s="13" t="s">
        <v>132</v>
      </c>
      <c r="H771" s="13" t="s">
        <v>139</v>
      </c>
      <c r="I771" s="13" t="n">
        <v>3</v>
      </c>
      <c r="J771" s="13" t="n">
        <v>1</v>
      </c>
      <c r="K771" s="13" t="n">
        <v>39500</v>
      </c>
      <c r="L771" s="13"/>
      <c r="M771" s="13"/>
      <c r="N771" s="13" t="s">
        <v>142</v>
      </c>
    </row>
    <row r="772" customFormat="false" ht="15" hidden="false" customHeight="false" outlineLevel="0" collapsed="false">
      <c r="A772" s="13" t="s">
        <v>988</v>
      </c>
      <c r="B772" s="14" t="n">
        <v>43347</v>
      </c>
      <c r="C772" s="14"/>
      <c r="D772" s="13" t="n">
        <v>49</v>
      </c>
      <c r="E772" s="13" t="s">
        <v>136</v>
      </c>
      <c r="F772" s="13" t="s">
        <v>137</v>
      </c>
      <c r="G772" s="13" t="s">
        <v>132</v>
      </c>
      <c r="H772" s="13" t="s">
        <v>156</v>
      </c>
      <c r="I772" s="13" t="n">
        <v>1</v>
      </c>
      <c r="J772" s="13" t="n">
        <v>3</v>
      </c>
      <c r="K772" s="13" t="n">
        <v>92500</v>
      </c>
      <c r="L772" s="13"/>
      <c r="M772" s="13"/>
      <c r="N772" s="13" t="s">
        <v>142</v>
      </c>
    </row>
    <row r="773" customFormat="false" ht="15" hidden="false" customHeight="false" outlineLevel="0" collapsed="false">
      <c r="A773" s="13" t="s">
        <v>989</v>
      </c>
      <c r="B773" s="14" t="n">
        <v>43351</v>
      </c>
      <c r="C773" s="14"/>
      <c r="D773" s="13" t="n">
        <v>38</v>
      </c>
      <c r="E773" s="13" t="s">
        <v>186</v>
      </c>
      <c r="F773" s="13" t="s">
        <v>154</v>
      </c>
      <c r="G773" s="13" t="s">
        <v>138</v>
      </c>
      <c r="H773" s="13" t="s">
        <v>146</v>
      </c>
      <c r="I773" s="13" t="n">
        <v>3</v>
      </c>
      <c r="J773" s="13" t="n">
        <v>2</v>
      </c>
      <c r="K773" s="13" t="n">
        <v>72500</v>
      </c>
      <c r="L773" s="13"/>
      <c r="M773" s="13"/>
      <c r="N773" s="13" t="s">
        <v>142</v>
      </c>
    </row>
    <row r="774" customFormat="false" ht="15" hidden="false" customHeight="false" outlineLevel="0" collapsed="false">
      <c r="A774" s="13" t="s">
        <v>990</v>
      </c>
      <c r="B774" s="14" t="n">
        <v>43352</v>
      </c>
      <c r="C774" s="14"/>
      <c r="D774" s="13"/>
      <c r="E774" s="13" t="s">
        <v>144</v>
      </c>
      <c r="F774" s="13" t="s">
        <v>164</v>
      </c>
      <c r="G774" s="13" t="s">
        <v>132</v>
      </c>
      <c r="H774" s="13" t="s">
        <v>149</v>
      </c>
      <c r="I774" s="13" t="n">
        <v>4</v>
      </c>
      <c r="J774" s="13" t="n">
        <v>3</v>
      </c>
      <c r="K774" s="13" t="n">
        <v>120500</v>
      </c>
      <c r="L774" s="13"/>
      <c r="M774" s="13"/>
      <c r="N774" s="13" t="s">
        <v>134</v>
      </c>
    </row>
    <row r="775" customFormat="false" ht="15" hidden="false" customHeight="false" outlineLevel="0" collapsed="false">
      <c r="A775" s="13" t="s">
        <v>991</v>
      </c>
      <c r="B775" s="14" t="n">
        <v>43354</v>
      </c>
      <c r="C775" s="14"/>
      <c r="D775" s="13" t="n">
        <v>34</v>
      </c>
      <c r="E775" s="13" t="s">
        <v>163</v>
      </c>
      <c r="F775" s="13" t="s">
        <v>161</v>
      </c>
      <c r="G775" s="13" t="s">
        <v>334</v>
      </c>
      <c r="H775" s="13" t="s">
        <v>156</v>
      </c>
      <c r="I775" s="13" t="n">
        <v>4</v>
      </c>
      <c r="J775" s="13" t="n">
        <v>2</v>
      </c>
      <c r="K775" s="13" t="n">
        <v>106000</v>
      </c>
      <c r="L775" s="13"/>
      <c r="M775" s="13"/>
      <c r="N775" s="13" t="s">
        <v>142</v>
      </c>
    </row>
    <row r="776" customFormat="false" ht="15" hidden="false" customHeight="false" outlineLevel="0" collapsed="false">
      <c r="A776" s="13" t="s">
        <v>992</v>
      </c>
      <c r="B776" s="14" t="n">
        <v>43354</v>
      </c>
      <c r="C776" s="14"/>
      <c r="D776" s="13" t="n">
        <v>40</v>
      </c>
      <c r="E776" s="13" t="s">
        <v>136</v>
      </c>
      <c r="F776" s="13" t="s">
        <v>168</v>
      </c>
      <c r="G776" s="13" t="s">
        <v>148</v>
      </c>
      <c r="H776" s="13" t="s">
        <v>139</v>
      </c>
      <c r="I776" s="13" t="n">
        <v>3</v>
      </c>
      <c r="J776" s="13" t="n">
        <v>1</v>
      </c>
      <c r="K776" s="13" t="n">
        <v>42000</v>
      </c>
      <c r="L776" s="13"/>
      <c r="M776" s="13"/>
      <c r="N776" s="13" t="s">
        <v>142</v>
      </c>
    </row>
    <row r="777" customFormat="false" ht="15" hidden="false" customHeight="false" outlineLevel="0" collapsed="false">
      <c r="A777" s="13" t="s">
        <v>993</v>
      </c>
      <c r="B777" s="14" t="n">
        <v>43357</v>
      </c>
      <c r="C777" s="14"/>
      <c r="D777" s="13" t="n">
        <v>36</v>
      </c>
      <c r="E777" s="13" t="s">
        <v>182</v>
      </c>
      <c r="F777" s="13" t="s">
        <v>137</v>
      </c>
      <c r="G777" s="13" t="s">
        <v>184</v>
      </c>
      <c r="H777" s="13" t="s">
        <v>156</v>
      </c>
      <c r="I777" s="13" t="n">
        <v>3</v>
      </c>
      <c r="J777" s="13" t="n">
        <v>4</v>
      </c>
      <c r="K777" s="13" t="n">
        <v>96500</v>
      </c>
      <c r="L777" s="13"/>
      <c r="M777" s="13"/>
      <c r="N777" s="13" t="s">
        <v>142</v>
      </c>
    </row>
    <row r="778" customFormat="false" ht="15" hidden="false" customHeight="false" outlineLevel="0" collapsed="false">
      <c r="A778" s="13" t="s">
        <v>994</v>
      </c>
      <c r="B778" s="14" t="n">
        <v>43358</v>
      </c>
      <c r="C778" s="14"/>
      <c r="D778" s="13" t="n">
        <v>41</v>
      </c>
      <c r="E778" s="13" t="s">
        <v>259</v>
      </c>
      <c r="F778" s="13" t="s">
        <v>137</v>
      </c>
      <c r="G778" s="13" t="s">
        <v>132</v>
      </c>
      <c r="H778" s="13" t="s">
        <v>146</v>
      </c>
      <c r="I778" s="13" t="n">
        <v>4</v>
      </c>
      <c r="J778" s="13" t="n">
        <v>4</v>
      </c>
      <c r="K778" s="13" t="n">
        <v>65500</v>
      </c>
      <c r="L778" s="13"/>
      <c r="M778" s="13"/>
      <c r="N778" s="13" t="s">
        <v>157</v>
      </c>
    </row>
    <row r="779" customFormat="false" ht="15" hidden="false" customHeight="false" outlineLevel="0" collapsed="false">
      <c r="A779" s="13" t="s">
        <v>995</v>
      </c>
      <c r="B779" s="14" t="n">
        <v>43358</v>
      </c>
      <c r="C779" s="14"/>
      <c r="D779" s="13" t="n">
        <v>39</v>
      </c>
      <c r="E779" s="13" t="s">
        <v>144</v>
      </c>
      <c r="F779" s="13" t="s">
        <v>170</v>
      </c>
      <c r="G779" s="13" t="s">
        <v>148</v>
      </c>
      <c r="H779" s="13" t="s">
        <v>156</v>
      </c>
      <c r="I779" s="13" t="n">
        <v>4</v>
      </c>
      <c r="J779" s="13" t="n">
        <v>4</v>
      </c>
      <c r="K779" s="13" t="n">
        <v>95000</v>
      </c>
      <c r="L779" s="13"/>
      <c r="M779" s="13"/>
      <c r="N779" s="13" t="s">
        <v>134</v>
      </c>
    </row>
    <row r="780" customFormat="false" ht="15" hidden="false" customHeight="false" outlineLevel="0" collapsed="false">
      <c r="A780" s="13" t="s">
        <v>996</v>
      </c>
      <c r="B780" s="14" t="n">
        <v>43360</v>
      </c>
      <c r="C780" s="14" t="n">
        <v>45271</v>
      </c>
      <c r="D780" s="13" t="n">
        <v>27</v>
      </c>
      <c r="E780" s="13" t="s">
        <v>130</v>
      </c>
      <c r="F780" s="13" t="s">
        <v>168</v>
      </c>
      <c r="G780" s="13" t="s">
        <v>138</v>
      </c>
      <c r="H780" s="13" t="s">
        <v>139</v>
      </c>
      <c r="I780" s="13" t="n">
        <v>4</v>
      </c>
      <c r="J780" s="13" t="n">
        <v>3</v>
      </c>
      <c r="K780" s="13" t="n">
        <v>39000</v>
      </c>
      <c r="L780" s="13" t="s">
        <v>151</v>
      </c>
      <c r="M780" s="13" t="s">
        <v>216</v>
      </c>
      <c r="N780" s="13" t="s">
        <v>134</v>
      </c>
    </row>
    <row r="781" customFormat="false" ht="15" hidden="false" customHeight="false" outlineLevel="0" collapsed="false">
      <c r="A781" s="13" t="s">
        <v>997</v>
      </c>
      <c r="B781" s="14" t="n">
        <v>43363</v>
      </c>
      <c r="C781" s="14" t="n">
        <v>45340</v>
      </c>
      <c r="D781" s="13" t="n">
        <v>35</v>
      </c>
      <c r="E781" s="13" t="s">
        <v>136</v>
      </c>
      <c r="F781" s="13" t="s">
        <v>239</v>
      </c>
      <c r="G781" s="13" t="s">
        <v>148</v>
      </c>
      <c r="H781" s="13" t="s">
        <v>146</v>
      </c>
      <c r="I781" s="13" t="n">
        <v>4</v>
      </c>
      <c r="J781" s="13" t="n">
        <v>2</v>
      </c>
      <c r="K781" s="13" t="n">
        <v>64500</v>
      </c>
      <c r="L781" s="13" t="s">
        <v>151</v>
      </c>
      <c r="M781" s="13" t="s">
        <v>201</v>
      </c>
      <c r="N781" s="13" t="s">
        <v>134</v>
      </c>
    </row>
    <row r="782" customFormat="false" ht="15" hidden="false" customHeight="false" outlineLevel="0" collapsed="false">
      <c r="A782" s="13" t="s">
        <v>998</v>
      </c>
      <c r="B782" s="14" t="n">
        <v>43363</v>
      </c>
      <c r="C782" s="14" t="n">
        <v>45056</v>
      </c>
      <c r="D782" s="13" t="n">
        <v>38</v>
      </c>
      <c r="E782" s="13" t="s">
        <v>144</v>
      </c>
      <c r="F782" s="13" t="s">
        <v>154</v>
      </c>
      <c r="G782" s="13" t="s">
        <v>138</v>
      </c>
      <c r="H782" s="13" t="s">
        <v>139</v>
      </c>
      <c r="I782" s="13" t="n">
        <v>3</v>
      </c>
      <c r="J782" s="13" t="n">
        <v>1</v>
      </c>
      <c r="K782" s="13" t="n">
        <v>45000</v>
      </c>
      <c r="L782" s="13" t="s">
        <v>151</v>
      </c>
      <c r="M782" s="13" t="s">
        <v>152</v>
      </c>
      <c r="N782" s="13" t="s">
        <v>142</v>
      </c>
    </row>
    <row r="783" customFormat="false" ht="15" hidden="false" customHeight="false" outlineLevel="0" collapsed="false">
      <c r="A783" s="13" t="s">
        <v>999</v>
      </c>
      <c r="B783" s="14" t="n">
        <v>43364</v>
      </c>
      <c r="C783" s="14"/>
      <c r="D783" s="13" t="n">
        <v>41</v>
      </c>
      <c r="E783" s="13" t="s">
        <v>136</v>
      </c>
      <c r="F783" s="13" t="s">
        <v>168</v>
      </c>
      <c r="G783" s="13" t="s">
        <v>279</v>
      </c>
      <c r="H783" s="13" t="s">
        <v>139</v>
      </c>
      <c r="I783" s="13" t="n">
        <v>1</v>
      </c>
      <c r="J783" s="13" t="n">
        <v>2</v>
      </c>
      <c r="K783" s="13" t="n">
        <v>40000</v>
      </c>
      <c r="L783" s="13"/>
      <c r="M783" s="13"/>
      <c r="N783" s="13" t="s">
        <v>142</v>
      </c>
    </row>
    <row r="784" customFormat="false" ht="15" hidden="false" customHeight="false" outlineLevel="0" collapsed="false">
      <c r="A784" s="13" t="s">
        <v>1000</v>
      </c>
      <c r="B784" s="14" t="n">
        <v>43367</v>
      </c>
      <c r="C784" s="14"/>
      <c r="D784" s="13" t="n">
        <v>37</v>
      </c>
      <c r="E784" s="13" t="s">
        <v>136</v>
      </c>
      <c r="F784" s="13" t="s">
        <v>131</v>
      </c>
      <c r="G784" s="13" t="s">
        <v>138</v>
      </c>
      <c r="H784" s="13" t="s">
        <v>146</v>
      </c>
      <c r="I784" s="13" t="n">
        <v>5</v>
      </c>
      <c r="J784" s="13" t="n">
        <v>2</v>
      </c>
      <c r="K784" s="13" t="n">
        <v>71000</v>
      </c>
      <c r="L784" s="13"/>
      <c r="M784" s="13"/>
      <c r="N784" s="13" t="s">
        <v>142</v>
      </c>
    </row>
    <row r="785" customFormat="false" ht="15" hidden="false" customHeight="false" outlineLevel="0" collapsed="false">
      <c r="A785" s="13" t="s">
        <v>1001</v>
      </c>
      <c r="B785" s="14" t="n">
        <v>43367</v>
      </c>
      <c r="C785" s="14"/>
      <c r="D785" s="13" t="n">
        <v>28</v>
      </c>
      <c r="E785" s="13" t="s">
        <v>163</v>
      </c>
      <c r="F785" s="13" t="s">
        <v>168</v>
      </c>
      <c r="G785" s="13" t="s">
        <v>155</v>
      </c>
      <c r="H785" s="13" t="s">
        <v>156</v>
      </c>
      <c r="I785" s="13" t="n">
        <v>3</v>
      </c>
      <c r="J785" s="13" t="n">
        <v>1</v>
      </c>
      <c r="K785" s="13" t="n">
        <v>113000</v>
      </c>
      <c r="L785" s="13"/>
      <c r="M785" s="13"/>
      <c r="N785" s="13" t="s">
        <v>142</v>
      </c>
    </row>
    <row r="786" customFormat="false" ht="15" hidden="false" customHeight="false" outlineLevel="0" collapsed="false">
      <c r="A786" s="13" t="s">
        <v>1002</v>
      </c>
      <c r="B786" s="14" t="n">
        <v>43369</v>
      </c>
      <c r="C786" s="14" t="n">
        <v>45475</v>
      </c>
      <c r="D786" s="13" t="n">
        <v>30</v>
      </c>
      <c r="E786" s="13" t="s">
        <v>130</v>
      </c>
      <c r="F786" s="13" t="s">
        <v>137</v>
      </c>
      <c r="G786" s="13" t="s">
        <v>138</v>
      </c>
      <c r="H786" s="13" t="s">
        <v>156</v>
      </c>
      <c r="I786" s="13" t="n">
        <v>3</v>
      </c>
      <c r="J786" s="13"/>
      <c r="K786" s="13" t="n">
        <v>104500</v>
      </c>
      <c r="L786" s="13" t="s">
        <v>151</v>
      </c>
      <c r="M786" s="13" t="s">
        <v>216</v>
      </c>
      <c r="N786" s="13" t="s">
        <v>134</v>
      </c>
    </row>
    <row r="787" customFormat="false" ht="15" hidden="false" customHeight="false" outlineLevel="0" collapsed="false">
      <c r="A787" s="13" t="s">
        <v>1003</v>
      </c>
      <c r="B787" s="14" t="n">
        <v>43372</v>
      </c>
      <c r="C787" s="14"/>
      <c r="D787" s="13" t="n">
        <v>46</v>
      </c>
      <c r="E787" s="13" t="s">
        <v>186</v>
      </c>
      <c r="F787" s="13" t="s">
        <v>161</v>
      </c>
      <c r="G787" s="13" t="s">
        <v>155</v>
      </c>
      <c r="H787" s="13" t="s">
        <v>139</v>
      </c>
      <c r="I787" s="13" t="n">
        <v>4</v>
      </c>
      <c r="J787" s="13" t="n">
        <v>3</v>
      </c>
      <c r="K787" s="13" t="n">
        <v>40500</v>
      </c>
      <c r="L787" s="13"/>
      <c r="M787" s="13"/>
      <c r="N787" s="13" t="s">
        <v>142</v>
      </c>
    </row>
    <row r="788" customFormat="false" ht="15" hidden="false" customHeight="false" outlineLevel="0" collapsed="false">
      <c r="A788" s="13" t="s">
        <v>1004</v>
      </c>
      <c r="B788" s="14" t="n">
        <v>43375</v>
      </c>
      <c r="C788" s="14" t="n">
        <v>45758</v>
      </c>
      <c r="D788" s="13" t="n">
        <v>39</v>
      </c>
      <c r="E788" s="13" t="s">
        <v>144</v>
      </c>
      <c r="F788" s="13" t="s">
        <v>137</v>
      </c>
      <c r="G788" s="13" t="s">
        <v>148</v>
      </c>
      <c r="H788" s="13" t="s">
        <v>146</v>
      </c>
      <c r="I788" s="13" t="n">
        <v>3</v>
      </c>
      <c r="J788" s="13" t="n">
        <v>2</v>
      </c>
      <c r="K788" s="13" t="n">
        <v>71000</v>
      </c>
      <c r="L788" s="13" t="s">
        <v>151</v>
      </c>
      <c r="M788" s="13" t="s">
        <v>201</v>
      </c>
      <c r="N788" s="13" t="s">
        <v>142</v>
      </c>
    </row>
    <row r="789" customFormat="false" ht="15" hidden="false" customHeight="false" outlineLevel="0" collapsed="false">
      <c r="A789" s="13" t="s">
        <v>1005</v>
      </c>
      <c r="B789" s="14" t="n">
        <v>43377</v>
      </c>
      <c r="C789" s="14" t="n">
        <v>45160</v>
      </c>
      <c r="D789" s="13" t="n">
        <v>40</v>
      </c>
      <c r="E789" s="13" t="s">
        <v>136</v>
      </c>
      <c r="F789" s="13" t="s">
        <v>241</v>
      </c>
      <c r="G789" s="13" t="s">
        <v>148</v>
      </c>
      <c r="H789" s="13" t="s">
        <v>146</v>
      </c>
      <c r="I789" s="13" t="n">
        <v>4</v>
      </c>
      <c r="J789" s="13" t="n">
        <v>2</v>
      </c>
      <c r="K789" s="13" t="n">
        <v>71000</v>
      </c>
      <c r="L789" s="13" t="s">
        <v>151</v>
      </c>
      <c r="M789" s="13" t="s">
        <v>159</v>
      </c>
      <c r="N789" s="13" t="s">
        <v>142</v>
      </c>
    </row>
    <row r="790" customFormat="false" ht="15" hidden="false" customHeight="false" outlineLevel="0" collapsed="false">
      <c r="A790" s="13" t="s">
        <v>1006</v>
      </c>
      <c r="B790" s="14" t="n">
        <v>43378</v>
      </c>
      <c r="C790" s="14"/>
      <c r="D790" s="13" t="n">
        <v>28</v>
      </c>
      <c r="E790" s="13" t="s">
        <v>136</v>
      </c>
      <c r="F790" s="13" t="s">
        <v>161</v>
      </c>
      <c r="G790" s="13" t="s">
        <v>374</v>
      </c>
      <c r="H790" s="13" t="s">
        <v>139</v>
      </c>
      <c r="I790" s="13" t="n">
        <v>4</v>
      </c>
      <c r="J790" s="13" t="n">
        <v>3</v>
      </c>
      <c r="K790" s="13" t="n">
        <v>52000</v>
      </c>
      <c r="L790" s="13"/>
      <c r="M790" s="13"/>
      <c r="N790" s="13" t="s">
        <v>142</v>
      </c>
    </row>
    <row r="791" customFormat="false" ht="15" hidden="false" customHeight="false" outlineLevel="0" collapsed="false">
      <c r="A791" s="13" t="s">
        <v>1007</v>
      </c>
      <c r="B791" s="14" t="n">
        <v>43378</v>
      </c>
      <c r="C791" s="14"/>
      <c r="D791" s="13" t="n">
        <v>37</v>
      </c>
      <c r="E791" s="13" t="s">
        <v>186</v>
      </c>
      <c r="F791" s="13" t="s">
        <v>145</v>
      </c>
      <c r="G791" s="13" t="s">
        <v>155</v>
      </c>
      <c r="H791" s="13" t="s">
        <v>156</v>
      </c>
      <c r="I791" s="13" t="n">
        <v>4</v>
      </c>
      <c r="J791" s="13" t="n">
        <v>3</v>
      </c>
      <c r="K791" s="13" t="n">
        <v>103500</v>
      </c>
      <c r="L791" s="13"/>
      <c r="M791" s="13"/>
      <c r="N791" s="13" t="s">
        <v>142</v>
      </c>
    </row>
    <row r="792" customFormat="false" ht="15" hidden="false" customHeight="false" outlineLevel="0" collapsed="false">
      <c r="A792" s="13" t="s">
        <v>1008</v>
      </c>
      <c r="B792" s="14" t="n">
        <v>43378</v>
      </c>
      <c r="C792" s="14" t="n">
        <v>45579</v>
      </c>
      <c r="D792" s="13" t="n">
        <v>37</v>
      </c>
      <c r="E792" s="13" t="s">
        <v>144</v>
      </c>
      <c r="F792" s="13" t="s">
        <v>229</v>
      </c>
      <c r="G792" s="13" t="s">
        <v>138</v>
      </c>
      <c r="H792" s="13" t="s">
        <v>146</v>
      </c>
      <c r="I792" s="13" t="n">
        <v>4</v>
      </c>
      <c r="J792" s="13" t="n">
        <v>2</v>
      </c>
      <c r="K792" s="13" t="n">
        <v>73500</v>
      </c>
      <c r="L792" s="13" t="s">
        <v>151</v>
      </c>
      <c r="M792" s="13" t="s">
        <v>159</v>
      </c>
      <c r="N792" s="13" t="s">
        <v>134</v>
      </c>
    </row>
    <row r="793" customFormat="false" ht="15" hidden="false" customHeight="false" outlineLevel="0" collapsed="false">
      <c r="A793" s="13" t="s">
        <v>1009</v>
      </c>
      <c r="B793" s="14" t="n">
        <v>43379</v>
      </c>
      <c r="C793" s="14"/>
      <c r="D793" s="13" t="n">
        <v>37</v>
      </c>
      <c r="E793" s="13" t="s">
        <v>144</v>
      </c>
      <c r="F793" s="13" t="s">
        <v>170</v>
      </c>
      <c r="G793" s="13" t="s">
        <v>155</v>
      </c>
      <c r="H793" s="13" t="s">
        <v>139</v>
      </c>
      <c r="I793" s="13" t="n">
        <v>3</v>
      </c>
      <c r="J793" s="13" t="n">
        <v>2</v>
      </c>
      <c r="K793" s="13" t="n">
        <v>48000</v>
      </c>
      <c r="L793" s="13"/>
      <c r="M793" s="13"/>
      <c r="N793" s="13" t="s">
        <v>134</v>
      </c>
    </row>
    <row r="794" customFormat="false" ht="15" hidden="false" customHeight="false" outlineLevel="0" collapsed="false">
      <c r="A794" s="13" t="s">
        <v>1010</v>
      </c>
      <c r="B794" s="14" t="n">
        <v>43381</v>
      </c>
      <c r="C794" s="14"/>
      <c r="D794" s="13" t="n">
        <v>40</v>
      </c>
      <c r="E794" s="13" t="s">
        <v>144</v>
      </c>
      <c r="F794" s="13" t="s">
        <v>154</v>
      </c>
      <c r="G794" s="13" t="s">
        <v>213</v>
      </c>
      <c r="H794" s="13" t="s">
        <v>149</v>
      </c>
      <c r="I794" s="13" t="n">
        <v>3</v>
      </c>
      <c r="J794" s="13" t="n">
        <v>4</v>
      </c>
      <c r="K794" s="13" t="n">
        <v>136000</v>
      </c>
      <c r="L794" s="13"/>
      <c r="M794" s="13"/>
      <c r="N794" s="13" t="s">
        <v>142</v>
      </c>
    </row>
    <row r="795" customFormat="false" ht="15" hidden="false" customHeight="false" outlineLevel="0" collapsed="false">
      <c r="A795" s="13" t="s">
        <v>1011</v>
      </c>
      <c r="B795" s="14" t="n">
        <v>43390</v>
      </c>
      <c r="C795" s="14"/>
      <c r="D795" s="13" t="n">
        <v>42</v>
      </c>
      <c r="E795" s="13" t="s">
        <v>144</v>
      </c>
      <c r="F795" s="13" t="s">
        <v>241</v>
      </c>
      <c r="G795" s="13" t="s">
        <v>132</v>
      </c>
      <c r="H795" s="13" t="s">
        <v>139</v>
      </c>
      <c r="I795" s="13" t="n">
        <v>5</v>
      </c>
      <c r="J795" s="13" t="n">
        <v>3</v>
      </c>
      <c r="K795" s="13" t="n">
        <v>36000</v>
      </c>
      <c r="L795" s="13"/>
      <c r="M795" s="13"/>
      <c r="N795" s="13" t="s">
        <v>142</v>
      </c>
    </row>
    <row r="796" customFormat="false" ht="15" hidden="false" customHeight="false" outlineLevel="0" collapsed="false">
      <c r="A796" s="13" t="s">
        <v>1012</v>
      </c>
      <c r="B796" s="14" t="n">
        <v>43391</v>
      </c>
      <c r="C796" s="14"/>
      <c r="D796" s="13" t="n">
        <v>40</v>
      </c>
      <c r="E796" s="13" t="s">
        <v>136</v>
      </c>
      <c r="F796" s="13" t="s">
        <v>154</v>
      </c>
      <c r="G796" s="13" t="s">
        <v>132</v>
      </c>
      <c r="H796" s="13" t="s">
        <v>146</v>
      </c>
      <c r="I796" s="13" t="n">
        <v>3</v>
      </c>
      <c r="J796" s="13" t="n">
        <v>2</v>
      </c>
      <c r="K796" s="13" t="n">
        <v>70000</v>
      </c>
      <c r="L796" s="13"/>
      <c r="M796" s="13"/>
      <c r="N796" s="13" t="s">
        <v>142</v>
      </c>
    </row>
    <row r="797" customFormat="false" ht="15" hidden="false" customHeight="false" outlineLevel="0" collapsed="false">
      <c r="A797" s="13" t="s">
        <v>1013</v>
      </c>
      <c r="B797" s="14" t="n">
        <v>43395</v>
      </c>
      <c r="C797" s="14"/>
      <c r="D797" s="13" t="n">
        <v>31</v>
      </c>
      <c r="E797" s="13" t="s">
        <v>144</v>
      </c>
      <c r="F797" s="13" t="s">
        <v>154</v>
      </c>
      <c r="G797" s="13" t="s">
        <v>138</v>
      </c>
      <c r="H797" s="13" t="s">
        <v>343</v>
      </c>
      <c r="I797" s="13" t="n">
        <v>3</v>
      </c>
      <c r="J797" s="13" t="n">
        <v>4</v>
      </c>
      <c r="K797" s="13" t="n">
        <v>113500</v>
      </c>
      <c r="L797" s="13"/>
      <c r="M797" s="13"/>
      <c r="N797" s="13" t="s">
        <v>134</v>
      </c>
    </row>
    <row r="798" customFormat="false" ht="15" hidden="false" customHeight="false" outlineLevel="0" collapsed="false">
      <c r="A798" s="13" t="s">
        <v>1014</v>
      </c>
      <c r="B798" s="14" t="n">
        <v>43397</v>
      </c>
      <c r="C798" s="14"/>
      <c r="D798" s="13" t="n">
        <v>28</v>
      </c>
      <c r="E798" s="13" t="s">
        <v>190</v>
      </c>
      <c r="F798" s="13" t="s">
        <v>170</v>
      </c>
      <c r="G798" s="13" t="s">
        <v>138</v>
      </c>
      <c r="H798" s="13" t="s">
        <v>139</v>
      </c>
      <c r="I798" s="13" t="n">
        <v>5</v>
      </c>
      <c r="J798" s="13" t="n">
        <v>4</v>
      </c>
      <c r="K798" s="13" t="n">
        <v>40500</v>
      </c>
      <c r="L798" s="13"/>
      <c r="M798" s="13"/>
      <c r="N798" s="13" t="s">
        <v>214</v>
      </c>
    </row>
    <row r="799" customFormat="false" ht="15" hidden="false" customHeight="false" outlineLevel="0" collapsed="false">
      <c r="A799" s="13" t="s">
        <v>1015</v>
      </c>
      <c r="B799" s="14" t="n">
        <v>43398</v>
      </c>
      <c r="C799" s="14" t="n">
        <v>45814</v>
      </c>
      <c r="D799" s="13" t="n">
        <v>35</v>
      </c>
      <c r="E799" s="13" t="s">
        <v>136</v>
      </c>
      <c r="F799" s="13" t="s">
        <v>164</v>
      </c>
      <c r="G799" s="13" t="s">
        <v>155</v>
      </c>
      <c r="H799" s="13" t="s">
        <v>242</v>
      </c>
      <c r="I799" s="13" t="n">
        <v>3</v>
      </c>
      <c r="J799" s="13" t="n">
        <v>2</v>
      </c>
      <c r="K799" s="13" t="n">
        <v>81500</v>
      </c>
      <c r="L799" s="13" t="s">
        <v>151</v>
      </c>
      <c r="M799" s="13" t="s">
        <v>141</v>
      </c>
      <c r="N799" s="13" t="s">
        <v>142</v>
      </c>
    </row>
    <row r="800" customFormat="false" ht="15" hidden="false" customHeight="false" outlineLevel="0" collapsed="false">
      <c r="A800" s="13" t="s">
        <v>1016</v>
      </c>
      <c r="B800" s="14" t="n">
        <v>43398</v>
      </c>
      <c r="C800" s="14" t="n">
        <v>44817</v>
      </c>
      <c r="D800" s="13" t="n">
        <v>25</v>
      </c>
      <c r="E800" s="13" t="s">
        <v>136</v>
      </c>
      <c r="F800" s="13" t="s">
        <v>137</v>
      </c>
      <c r="G800" s="13" t="s">
        <v>148</v>
      </c>
      <c r="H800" s="13" t="s">
        <v>156</v>
      </c>
      <c r="I800" s="13" t="n">
        <v>2</v>
      </c>
      <c r="J800" s="13" t="n">
        <v>3</v>
      </c>
      <c r="K800" s="13" t="n">
        <v>95000</v>
      </c>
      <c r="L800" s="13" t="s">
        <v>173</v>
      </c>
      <c r="M800" s="13" t="s">
        <v>273</v>
      </c>
      <c r="N800" s="13" t="s">
        <v>214</v>
      </c>
    </row>
    <row r="801" customFormat="false" ht="15" hidden="false" customHeight="false" outlineLevel="0" collapsed="false">
      <c r="A801" s="13" t="s">
        <v>1017</v>
      </c>
      <c r="B801" s="14" t="n">
        <v>43400</v>
      </c>
      <c r="C801" s="14" t="n">
        <v>45160</v>
      </c>
      <c r="D801" s="13" t="n">
        <v>34</v>
      </c>
      <c r="E801" s="13" t="s">
        <v>163</v>
      </c>
      <c r="F801" s="13" t="s">
        <v>161</v>
      </c>
      <c r="G801" s="13" t="s">
        <v>138</v>
      </c>
      <c r="H801" s="13" t="s">
        <v>139</v>
      </c>
      <c r="I801" s="13" t="n">
        <v>4</v>
      </c>
      <c r="J801" s="13"/>
      <c r="K801" s="13" t="n">
        <v>41000</v>
      </c>
      <c r="L801" s="13" t="s">
        <v>173</v>
      </c>
      <c r="M801" s="13" t="s">
        <v>254</v>
      </c>
      <c r="N801" s="13" t="s">
        <v>142</v>
      </c>
    </row>
    <row r="802" customFormat="false" ht="15" hidden="false" customHeight="false" outlineLevel="0" collapsed="false">
      <c r="A802" s="13" t="s">
        <v>1018</v>
      </c>
      <c r="B802" s="14" t="n">
        <v>43403</v>
      </c>
      <c r="C802" s="14"/>
      <c r="D802" s="13" t="n">
        <v>44</v>
      </c>
      <c r="E802" s="13" t="s">
        <v>136</v>
      </c>
      <c r="F802" s="13" t="s">
        <v>168</v>
      </c>
      <c r="G802" s="13" t="s">
        <v>138</v>
      </c>
      <c r="H802" s="13" t="s">
        <v>139</v>
      </c>
      <c r="I802" s="13" t="n">
        <v>1</v>
      </c>
      <c r="J802" s="13" t="n">
        <v>3</v>
      </c>
      <c r="K802" s="13" t="n">
        <v>45500</v>
      </c>
      <c r="L802" s="13"/>
      <c r="M802" s="13"/>
      <c r="N802" s="13" t="s">
        <v>142</v>
      </c>
    </row>
    <row r="803" customFormat="false" ht="15" hidden="false" customHeight="false" outlineLevel="0" collapsed="false">
      <c r="A803" s="13" t="s">
        <v>1019</v>
      </c>
      <c r="B803" s="14" t="n">
        <v>43403</v>
      </c>
      <c r="C803" s="14" t="n">
        <v>44564</v>
      </c>
      <c r="D803" s="13" t="n">
        <v>28</v>
      </c>
      <c r="E803" s="13" t="s">
        <v>144</v>
      </c>
      <c r="F803" s="13" t="s">
        <v>131</v>
      </c>
      <c r="G803" s="13" t="s">
        <v>447</v>
      </c>
      <c r="H803" s="13" t="s">
        <v>146</v>
      </c>
      <c r="I803" s="13" t="n">
        <v>2</v>
      </c>
      <c r="J803" s="13" t="n">
        <v>1</v>
      </c>
      <c r="K803" s="13" t="n">
        <v>61000</v>
      </c>
      <c r="L803" s="13" t="s">
        <v>151</v>
      </c>
      <c r="M803" s="13" t="s">
        <v>152</v>
      </c>
      <c r="N803" s="13" t="s">
        <v>142</v>
      </c>
    </row>
    <row r="804" customFormat="false" ht="15" hidden="false" customHeight="false" outlineLevel="0" collapsed="false">
      <c r="A804" s="13" t="s">
        <v>1020</v>
      </c>
      <c r="B804" s="14" t="n">
        <v>43404</v>
      </c>
      <c r="C804" s="14" t="n">
        <v>44884</v>
      </c>
      <c r="D804" s="13" t="n">
        <v>37</v>
      </c>
      <c r="E804" s="13" t="s">
        <v>144</v>
      </c>
      <c r="F804" s="13" t="s">
        <v>170</v>
      </c>
      <c r="G804" s="13" t="s">
        <v>132</v>
      </c>
      <c r="H804" s="13" t="s">
        <v>139</v>
      </c>
      <c r="I804" s="13" t="n">
        <v>3</v>
      </c>
      <c r="J804" s="13" t="n">
        <v>1</v>
      </c>
      <c r="K804" s="13" t="n">
        <v>44500</v>
      </c>
      <c r="L804" s="13" t="s">
        <v>151</v>
      </c>
      <c r="M804" s="13" t="s">
        <v>159</v>
      </c>
      <c r="N804" s="13" t="s">
        <v>134</v>
      </c>
    </row>
    <row r="805" customFormat="false" ht="15" hidden="false" customHeight="false" outlineLevel="0" collapsed="false">
      <c r="A805" s="13" t="s">
        <v>1021</v>
      </c>
      <c r="B805" s="14" t="n">
        <v>43404</v>
      </c>
      <c r="C805" s="14"/>
      <c r="D805" s="13" t="n">
        <v>39</v>
      </c>
      <c r="E805" s="13" t="s">
        <v>186</v>
      </c>
      <c r="F805" s="13" t="s">
        <v>239</v>
      </c>
      <c r="G805" s="13" t="s">
        <v>155</v>
      </c>
      <c r="H805" s="13" t="s">
        <v>146</v>
      </c>
      <c r="I805" s="13" t="n">
        <v>3</v>
      </c>
      <c r="J805" s="13" t="n">
        <v>3</v>
      </c>
      <c r="K805" s="13" t="n">
        <v>59000</v>
      </c>
      <c r="L805" s="13"/>
      <c r="M805" s="13"/>
      <c r="N805" s="13" t="s">
        <v>134</v>
      </c>
    </row>
    <row r="806" customFormat="false" ht="15" hidden="false" customHeight="false" outlineLevel="0" collapsed="false">
      <c r="A806" s="13" t="s">
        <v>1022</v>
      </c>
      <c r="B806" s="14" t="n">
        <v>43406</v>
      </c>
      <c r="C806" s="14" t="n">
        <v>45911</v>
      </c>
      <c r="D806" s="13" t="n">
        <v>34</v>
      </c>
      <c r="E806" s="13" t="s">
        <v>136</v>
      </c>
      <c r="F806" s="13" t="s">
        <v>154</v>
      </c>
      <c r="G806" s="13" t="s">
        <v>213</v>
      </c>
      <c r="H806" s="13" t="s">
        <v>139</v>
      </c>
      <c r="I806" s="13" t="n">
        <v>4</v>
      </c>
      <c r="J806" s="13" t="n">
        <v>1</v>
      </c>
      <c r="K806" s="13" t="n">
        <v>42000</v>
      </c>
      <c r="L806" s="13" t="s">
        <v>200</v>
      </c>
      <c r="M806" s="13" t="s">
        <v>203</v>
      </c>
      <c r="N806" s="13" t="s">
        <v>142</v>
      </c>
    </row>
    <row r="807" customFormat="false" ht="15" hidden="false" customHeight="false" outlineLevel="0" collapsed="false">
      <c r="A807" s="13" t="s">
        <v>1023</v>
      </c>
      <c r="B807" s="14" t="n">
        <v>43406</v>
      </c>
      <c r="C807" s="14"/>
      <c r="D807" s="13" t="n">
        <v>36</v>
      </c>
      <c r="E807" s="13" t="s">
        <v>136</v>
      </c>
      <c r="F807" s="13" t="s">
        <v>229</v>
      </c>
      <c r="G807" s="13" t="s">
        <v>354</v>
      </c>
      <c r="H807" s="13" t="s">
        <v>146</v>
      </c>
      <c r="I807" s="13" t="n">
        <v>5</v>
      </c>
      <c r="J807" s="13" t="n">
        <v>4</v>
      </c>
      <c r="K807" s="13" t="n">
        <v>69500</v>
      </c>
      <c r="L807" s="13"/>
      <c r="M807" s="13"/>
      <c r="N807" s="13" t="s">
        <v>142</v>
      </c>
    </row>
    <row r="808" customFormat="false" ht="15" hidden="false" customHeight="false" outlineLevel="0" collapsed="false">
      <c r="A808" s="13" t="s">
        <v>1024</v>
      </c>
      <c r="B808" s="14" t="n">
        <v>43408</v>
      </c>
      <c r="C808" s="14" t="n">
        <v>45164</v>
      </c>
      <c r="D808" s="13" t="n">
        <v>29</v>
      </c>
      <c r="E808" s="13" t="s">
        <v>136</v>
      </c>
      <c r="F808" s="13" t="s">
        <v>168</v>
      </c>
      <c r="G808" s="13" t="s">
        <v>213</v>
      </c>
      <c r="H808" s="13" t="s">
        <v>192</v>
      </c>
      <c r="I808" s="13" t="n">
        <v>4</v>
      </c>
      <c r="J808" s="13" t="n">
        <v>1</v>
      </c>
      <c r="K808" s="13" t="n">
        <v>192000</v>
      </c>
      <c r="L808" s="13" t="s">
        <v>151</v>
      </c>
      <c r="M808" s="13" t="s">
        <v>203</v>
      </c>
      <c r="N808" s="13" t="s">
        <v>134</v>
      </c>
    </row>
    <row r="809" customFormat="false" ht="15" hidden="false" customHeight="false" outlineLevel="0" collapsed="false">
      <c r="A809" s="13" t="s">
        <v>1025</v>
      </c>
      <c r="B809" s="14" t="n">
        <v>43413</v>
      </c>
      <c r="C809" s="14"/>
      <c r="D809" s="13" t="n">
        <v>36</v>
      </c>
      <c r="E809" s="13" t="s">
        <v>136</v>
      </c>
      <c r="F809" s="13" t="s">
        <v>154</v>
      </c>
      <c r="G809" s="13" t="s">
        <v>155</v>
      </c>
      <c r="H809" s="13" t="s">
        <v>139</v>
      </c>
      <c r="I809" s="13" t="n">
        <v>4</v>
      </c>
      <c r="J809" s="13" t="n">
        <v>4</v>
      </c>
      <c r="K809" s="13" t="n">
        <v>40000</v>
      </c>
      <c r="L809" s="13"/>
      <c r="M809" s="13"/>
      <c r="N809" s="13" t="s">
        <v>142</v>
      </c>
    </row>
    <row r="810" customFormat="false" ht="15" hidden="false" customHeight="false" outlineLevel="0" collapsed="false">
      <c r="A810" s="13" t="s">
        <v>1026</v>
      </c>
      <c r="B810" s="14" t="n">
        <v>43414</v>
      </c>
      <c r="C810" s="14"/>
      <c r="D810" s="13" t="n">
        <v>39</v>
      </c>
      <c r="E810" s="13" t="s">
        <v>186</v>
      </c>
      <c r="F810" s="13" t="s">
        <v>154</v>
      </c>
      <c r="G810" s="13" t="s">
        <v>132</v>
      </c>
      <c r="H810" s="13" t="s">
        <v>156</v>
      </c>
      <c r="I810" s="13" t="n">
        <v>3</v>
      </c>
      <c r="J810" s="13" t="n">
        <v>2</v>
      </c>
      <c r="K810" s="13" t="n">
        <v>104500</v>
      </c>
      <c r="L810" s="13"/>
      <c r="M810" s="13"/>
      <c r="N810" s="13" t="s">
        <v>142</v>
      </c>
    </row>
    <row r="811" customFormat="false" ht="15" hidden="false" customHeight="false" outlineLevel="0" collapsed="false">
      <c r="A811" s="13" t="s">
        <v>1027</v>
      </c>
      <c r="B811" s="14" t="n">
        <v>43415</v>
      </c>
      <c r="C811" s="14" t="n">
        <v>45200</v>
      </c>
      <c r="D811" s="13" t="n">
        <v>30</v>
      </c>
      <c r="E811" s="13" t="s">
        <v>144</v>
      </c>
      <c r="F811" s="13" t="s">
        <v>239</v>
      </c>
      <c r="G811" s="13" t="s">
        <v>138</v>
      </c>
      <c r="H811" s="13" t="s">
        <v>146</v>
      </c>
      <c r="I811" s="13" t="n">
        <v>3</v>
      </c>
      <c r="J811" s="13" t="n">
        <v>2</v>
      </c>
      <c r="K811" s="13" t="n">
        <v>79000</v>
      </c>
      <c r="L811" s="13" t="s">
        <v>151</v>
      </c>
      <c r="M811" s="13" t="s">
        <v>159</v>
      </c>
      <c r="N811" s="13" t="s">
        <v>134</v>
      </c>
    </row>
    <row r="812" customFormat="false" ht="15" hidden="false" customHeight="false" outlineLevel="0" collapsed="false">
      <c r="A812" s="13" t="s">
        <v>1028</v>
      </c>
      <c r="B812" s="14" t="n">
        <v>43416</v>
      </c>
      <c r="C812" s="14"/>
      <c r="D812" s="13" t="n">
        <v>36</v>
      </c>
      <c r="E812" s="13" t="s">
        <v>163</v>
      </c>
      <c r="F812" s="13" t="s">
        <v>231</v>
      </c>
      <c r="G812" s="13" t="s">
        <v>155</v>
      </c>
      <c r="H812" s="13" t="s">
        <v>178</v>
      </c>
      <c r="I812" s="13" t="n">
        <v>3</v>
      </c>
      <c r="J812" s="13" t="n">
        <v>4</v>
      </c>
      <c r="K812" s="13" t="n">
        <v>146000</v>
      </c>
      <c r="L812" s="13"/>
      <c r="M812" s="13"/>
      <c r="N812" s="13" t="s">
        <v>142</v>
      </c>
    </row>
    <row r="813" customFormat="false" ht="15" hidden="false" customHeight="false" outlineLevel="0" collapsed="false">
      <c r="A813" s="13" t="s">
        <v>1029</v>
      </c>
      <c r="B813" s="14" t="n">
        <v>43419</v>
      </c>
      <c r="C813" s="14" t="n">
        <v>44708</v>
      </c>
      <c r="D813" s="13" t="n">
        <v>31</v>
      </c>
      <c r="E813" s="13" t="s">
        <v>182</v>
      </c>
      <c r="F813" s="13" t="s">
        <v>168</v>
      </c>
      <c r="G813" s="13" t="s">
        <v>148</v>
      </c>
      <c r="H813" s="13" t="s">
        <v>343</v>
      </c>
      <c r="I813" s="13" t="n">
        <v>2</v>
      </c>
      <c r="J813" s="13" t="n">
        <v>3</v>
      </c>
      <c r="K813" s="13" t="n">
        <v>102000</v>
      </c>
      <c r="L813" s="13" t="s">
        <v>173</v>
      </c>
      <c r="M813" s="13" t="s">
        <v>310</v>
      </c>
      <c r="N813" s="13" t="s">
        <v>142</v>
      </c>
    </row>
    <row r="814" customFormat="false" ht="15" hidden="false" customHeight="false" outlineLevel="0" collapsed="false">
      <c r="A814" s="13" t="s">
        <v>1030</v>
      </c>
      <c r="B814" s="14" t="n">
        <v>43420</v>
      </c>
      <c r="C814" s="14"/>
      <c r="D814" s="13" t="n">
        <v>41</v>
      </c>
      <c r="E814" s="13" t="s">
        <v>136</v>
      </c>
      <c r="F814" s="13" t="s">
        <v>164</v>
      </c>
      <c r="G814" s="13" t="s">
        <v>155</v>
      </c>
      <c r="H814" s="13" t="s">
        <v>133</v>
      </c>
      <c r="I814" s="13" t="n">
        <v>3</v>
      </c>
      <c r="J814" s="13" t="n">
        <v>3</v>
      </c>
      <c r="K814" s="13" t="n">
        <v>67000</v>
      </c>
      <c r="L814" s="13"/>
      <c r="M814" s="13"/>
      <c r="N814" s="13" t="s">
        <v>142</v>
      </c>
    </row>
    <row r="815" customFormat="false" ht="15" hidden="false" customHeight="false" outlineLevel="0" collapsed="false">
      <c r="A815" s="13" t="s">
        <v>1031</v>
      </c>
      <c r="B815" s="14" t="n">
        <v>43425</v>
      </c>
      <c r="C815" s="14"/>
      <c r="D815" s="13" t="n">
        <v>43</v>
      </c>
      <c r="E815" s="13" t="s">
        <v>190</v>
      </c>
      <c r="F815" s="13" t="s">
        <v>229</v>
      </c>
      <c r="G815" s="13" t="s">
        <v>132</v>
      </c>
      <c r="H815" s="13" t="s">
        <v>139</v>
      </c>
      <c r="I815" s="13" t="n">
        <v>3</v>
      </c>
      <c r="J815" s="13" t="n">
        <v>1</v>
      </c>
      <c r="K815" s="13" t="n">
        <v>46500</v>
      </c>
      <c r="L815" s="13"/>
      <c r="M815" s="13"/>
      <c r="N815" s="13" t="s">
        <v>142</v>
      </c>
    </row>
    <row r="816" customFormat="false" ht="15" hidden="false" customHeight="false" outlineLevel="0" collapsed="false">
      <c r="A816" s="13" t="s">
        <v>1032</v>
      </c>
      <c r="B816" s="14" t="n">
        <v>43432</v>
      </c>
      <c r="C816" s="14" t="n">
        <v>45359</v>
      </c>
      <c r="D816" s="13" t="n">
        <v>31</v>
      </c>
      <c r="E816" s="13" t="s">
        <v>136</v>
      </c>
      <c r="F816" s="13" t="s">
        <v>168</v>
      </c>
      <c r="G816" s="13" t="s">
        <v>188</v>
      </c>
      <c r="H816" s="13" t="s">
        <v>192</v>
      </c>
      <c r="I816" s="13" t="n">
        <v>4</v>
      </c>
      <c r="J816" s="13" t="n">
        <v>2</v>
      </c>
      <c r="K816" s="13" t="n">
        <v>241000</v>
      </c>
      <c r="L816" s="13" t="s">
        <v>151</v>
      </c>
      <c r="M816" s="13" t="s">
        <v>201</v>
      </c>
      <c r="N816" s="13" t="s">
        <v>142</v>
      </c>
    </row>
    <row r="817" customFormat="false" ht="15" hidden="false" customHeight="false" outlineLevel="0" collapsed="false">
      <c r="A817" s="13" t="s">
        <v>1033</v>
      </c>
      <c r="B817" s="14" t="n">
        <v>43432</v>
      </c>
      <c r="C817" s="14"/>
      <c r="D817" s="13" t="n">
        <v>31</v>
      </c>
      <c r="E817" s="13" t="s">
        <v>136</v>
      </c>
      <c r="F817" s="13" t="s">
        <v>168</v>
      </c>
      <c r="G817" s="13" t="s">
        <v>213</v>
      </c>
      <c r="H817" s="13" t="s">
        <v>178</v>
      </c>
      <c r="I817" s="13" t="n">
        <v>4</v>
      </c>
      <c r="J817" s="13" t="n">
        <v>4</v>
      </c>
      <c r="K817" s="13" t="n">
        <v>151000</v>
      </c>
      <c r="L817" s="13"/>
      <c r="M817" s="13"/>
      <c r="N817" s="13" t="s">
        <v>142</v>
      </c>
    </row>
    <row r="818" customFormat="false" ht="15" hidden="false" customHeight="false" outlineLevel="0" collapsed="false">
      <c r="A818" s="13" t="s">
        <v>1034</v>
      </c>
      <c r="B818" s="14" t="n">
        <v>43436</v>
      </c>
      <c r="C818" s="14"/>
      <c r="D818" s="13" t="n">
        <v>38</v>
      </c>
      <c r="E818" s="13" t="s">
        <v>182</v>
      </c>
      <c r="F818" s="13" t="s">
        <v>137</v>
      </c>
      <c r="G818" s="13" t="s">
        <v>132</v>
      </c>
      <c r="H818" s="13" t="s">
        <v>178</v>
      </c>
      <c r="I818" s="13" t="n">
        <v>2</v>
      </c>
      <c r="J818" s="13" t="n">
        <v>4</v>
      </c>
      <c r="K818" s="13" t="n">
        <v>150500</v>
      </c>
      <c r="L818" s="13"/>
      <c r="M818" s="13"/>
      <c r="N818" s="13" t="s">
        <v>134</v>
      </c>
    </row>
    <row r="819" customFormat="false" ht="15" hidden="false" customHeight="false" outlineLevel="0" collapsed="false">
      <c r="A819" s="13" t="s">
        <v>1035</v>
      </c>
      <c r="B819" s="14" t="n">
        <v>43438</v>
      </c>
      <c r="C819" s="14"/>
      <c r="D819" s="13" t="n">
        <v>35</v>
      </c>
      <c r="E819" s="13" t="s">
        <v>136</v>
      </c>
      <c r="F819" s="13" t="s">
        <v>154</v>
      </c>
      <c r="G819" s="13" t="s">
        <v>171</v>
      </c>
      <c r="H819" s="13" t="s">
        <v>139</v>
      </c>
      <c r="I819" s="13" t="n">
        <v>3</v>
      </c>
      <c r="J819" s="13" t="n">
        <v>4</v>
      </c>
      <c r="K819" s="13" t="n">
        <v>43500</v>
      </c>
      <c r="L819" s="13"/>
      <c r="M819" s="13"/>
      <c r="N819" s="13" t="s">
        <v>134</v>
      </c>
    </row>
    <row r="820" customFormat="false" ht="15" hidden="false" customHeight="false" outlineLevel="0" collapsed="false">
      <c r="A820" s="13" t="s">
        <v>1036</v>
      </c>
      <c r="B820" s="14" t="n">
        <v>43441</v>
      </c>
      <c r="C820" s="14"/>
      <c r="D820" s="13" t="n">
        <v>37</v>
      </c>
      <c r="E820" s="13" t="s">
        <v>144</v>
      </c>
      <c r="F820" s="13" t="s">
        <v>168</v>
      </c>
      <c r="G820" s="13" t="s">
        <v>138</v>
      </c>
      <c r="H820" s="13" t="s">
        <v>146</v>
      </c>
      <c r="I820" s="13" t="n">
        <v>3</v>
      </c>
      <c r="J820" s="13" t="n">
        <v>4</v>
      </c>
      <c r="K820" s="13" t="n">
        <v>70500</v>
      </c>
      <c r="L820" s="13"/>
      <c r="M820" s="13"/>
      <c r="N820" s="13" t="s">
        <v>134</v>
      </c>
    </row>
    <row r="821" customFormat="false" ht="15" hidden="false" customHeight="false" outlineLevel="0" collapsed="false">
      <c r="A821" s="13" t="s">
        <v>1037</v>
      </c>
      <c r="B821" s="14" t="n">
        <v>43442</v>
      </c>
      <c r="C821" s="14" t="n">
        <v>45055</v>
      </c>
      <c r="D821" s="13" t="n">
        <v>38</v>
      </c>
      <c r="E821" s="13" t="s">
        <v>136</v>
      </c>
      <c r="F821" s="13" t="s">
        <v>164</v>
      </c>
      <c r="G821" s="13" t="s">
        <v>155</v>
      </c>
      <c r="H821" s="13" t="s">
        <v>146</v>
      </c>
      <c r="I821" s="13" t="n">
        <v>3</v>
      </c>
      <c r="J821" s="13" t="n">
        <v>2</v>
      </c>
      <c r="K821" s="13" t="n">
        <v>69500</v>
      </c>
      <c r="L821" s="13" t="s">
        <v>151</v>
      </c>
      <c r="M821" s="13" t="s">
        <v>152</v>
      </c>
      <c r="N821" s="13" t="s">
        <v>142</v>
      </c>
    </row>
    <row r="822" customFormat="false" ht="15" hidden="false" customHeight="false" outlineLevel="0" collapsed="false">
      <c r="A822" s="13" t="s">
        <v>1038</v>
      </c>
      <c r="B822" s="14" t="n">
        <v>43447</v>
      </c>
      <c r="C822" s="14" t="n">
        <v>44590</v>
      </c>
      <c r="D822" s="13" t="n">
        <v>33</v>
      </c>
      <c r="E822" s="13" t="s">
        <v>144</v>
      </c>
      <c r="F822" s="13" t="s">
        <v>131</v>
      </c>
      <c r="G822" s="13" t="s">
        <v>138</v>
      </c>
      <c r="H822" s="13" t="s">
        <v>146</v>
      </c>
      <c r="I822" s="13" t="n">
        <v>2</v>
      </c>
      <c r="J822" s="13" t="n">
        <v>4</v>
      </c>
      <c r="K822" s="13" t="n">
        <v>64500</v>
      </c>
      <c r="L822" s="13" t="s">
        <v>253</v>
      </c>
      <c r="M822" s="13"/>
      <c r="N822" s="13" t="s">
        <v>134</v>
      </c>
    </row>
    <row r="823" customFormat="false" ht="15" hidden="false" customHeight="false" outlineLevel="0" collapsed="false">
      <c r="A823" s="13" t="s">
        <v>1039</v>
      </c>
      <c r="B823" s="14" t="n">
        <v>43448</v>
      </c>
      <c r="C823" s="14"/>
      <c r="D823" s="13" t="n">
        <v>39</v>
      </c>
      <c r="E823" s="13" t="s">
        <v>190</v>
      </c>
      <c r="F823" s="13" t="s">
        <v>231</v>
      </c>
      <c r="G823" s="13" t="s">
        <v>155</v>
      </c>
      <c r="H823" s="13" t="s">
        <v>139</v>
      </c>
      <c r="I823" s="13" t="n">
        <v>1</v>
      </c>
      <c r="J823" s="13" t="n">
        <v>1</v>
      </c>
      <c r="K823" s="13" t="n">
        <v>46000</v>
      </c>
      <c r="L823" s="13"/>
      <c r="M823" s="13"/>
      <c r="N823" s="13" t="s">
        <v>142</v>
      </c>
    </row>
    <row r="824" customFormat="false" ht="15" hidden="false" customHeight="false" outlineLevel="0" collapsed="false">
      <c r="A824" s="13" t="s">
        <v>1040</v>
      </c>
      <c r="B824" s="14" t="n">
        <v>43451</v>
      </c>
      <c r="C824" s="14"/>
      <c r="D824" s="13" t="n">
        <v>29</v>
      </c>
      <c r="E824" s="13" t="s">
        <v>136</v>
      </c>
      <c r="F824" s="13" t="s">
        <v>137</v>
      </c>
      <c r="G824" s="13" t="s">
        <v>148</v>
      </c>
      <c r="H824" s="13" t="s">
        <v>146</v>
      </c>
      <c r="I824" s="13" t="n">
        <v>4</v>
      </c>
      <c r="J824" s="13" t="n">
        <v>2</v>
      </c>
      <c r="K824" s="13" t="n">
        <v>62500</v>
      </c>
      <c r="L824" s="13"/>
      <c r="M824" s="13"/>
      <c r="N824" s="13" t="s">
        <v>142</v>
      </c>
    </row>
    <row r="825" customFormat="false" ht="15" hidden="false" customHeight="false" outlineLevel="0" collapsed="false">
      <c r="A825" s="13" t="s">
        <v>1041</v>
      </c>
      <c r="B825" s="14" t="n">
        <v>43452</v>
      </c>
      <c r="C825" s="14"/>
      <c r="D825" s="13" t="n">
        <v>35</v>
      </c>
      <c r="E825" s="13" t="s">
        <v>182</v>
      </c>
      <c r="F825" s="13" t="s">
        <v>241</v>
      </c>
      <c r="G825" s="13" t="s">
        <v>354</v>
      </c>
      <c r="H825" s="13" t="s">
        <v>139</v>
      </c>
      <c r="I825" s="13" t="n">
        <v>3</v>
      </c>
      <c r="J825" s="13" t="n">
        <v>3</v>
      </c>
      <c r="K825" s="13" t="n">
        <v>35500</v>
      </c>
      <c r="L825" s="13"/>
      <c r="M825" s="13"/>
      <c r="N825" s="13" t="s">
        <v>134</v>
      </c>
    </row>
    <row r="826" customFormat="false" ht="15" hidden="false" customHeight="false" outlineLevel="0" collapsed="false">
      <c r="A826" s="13" t="s">
        <v>1042</v>
      </c>
      <c r="B826" s="14" t="n">
        <v>43457</v>
      </c>
      <c r="C826" s="14"/>
      <c r="D826" s="13" t="n">
        <v>35</v>
      </c>
      <c r="E826" s="13" t="s">
        <v>136</v>
      </c>
      <c r="F826" s="13" t="s">
        <v>241</v>
      </c>
      <c r="G826" s="13" t="s">
        <v>191</v>
      </c>
      <c r="H826" s="13" t="s">
        <v>192</v>
      </c>
      <c r="I826" s="13" t="n">
        <v>3</v>
      </c>
      <c r="J826" s="13" t="n">
        <v>4</v>
      </c>
      <c r="K826" s="13" t="n">
        <v>194000</v>
      </c>
      <c r="L826" s="13"/>
      <c r="M826" s="13"/>
      <c r="N826" s="13" t="s">
        <v>142</v>
      </c>
    </row>
    <row r="827" customFormat="false" ht="15" hidden="false" customHeight="false" outlineLevel="0" collapsed="false">
      <c r="A827" s="13" t="s">
        <v>1043</v>
      </c>
      <c r="B827" s="14" t="n">
        <v>43458</v>
      </c>
      <c r="C827" s="14"/>
      <c r="D827" s="13" t="n">
        <v>37</v>
      </c>
      <c r="E827" s="13" t="s">
        <v>136</v>
      </c>
      <c r="F827" s="13" t="s">
        <v>154</v>
      </c>
      <c r="G827" s="13" t="s">
        <v>155</v>
      </c>
      <c r="H827" s="13" t="s">
        <v>178</v>
      </c>
      <c r="I827" s="13" t="n">
        <v>3</v>
      </c>
      <c r="J827" s="13" t="n">
        <v>3</v>
      </c>
      <c r="K827" s="13" t="n">
        <v>136000</v>
      </c>
      <c r="L827" s="13"/>
      <c r="M827" s="13"/>
      <c r="N827" s="13" t="s">
        <v>142</v>
      </c>
    </row>
    <row r="828" customFormat="false" ht="15" hidden="false" customHeight="false" outlineLevel="0" collapsed="false">
      <c r="A828" s="13" t="s">
        <v>1044</v>
      </c>
      <c r="B828" s="14" t="n">
        <v>43459</v>
      </c>
      <c r="C828" s="14"/>
      <c r="D828" s="13" t="n">
        <v>37</v>
      </c>
      <c r="E828" s="13" t="s">
        <v>136</v>
      </c>
      <c r="F828" s="13" t="s">
        <v>164</v>
      </c>
      <c r="G828" s="13" t="s">
        <v>188</v>
      </c>
      <c r="H828" s="13" t="s">
        <v>156</v>
      </c>
      <c r="I828" s="13" t="n">
        <v>3</v>
      </c>
      <c r="J828" s="13"/>
      <c r="K828" s="13" t="n">
        <v>106500</v>
      </c>
      <c r="L828" s="13"/>
      <c r="M828" s="13"/>
      <c r="N828" s="13" t="s">
        <v>134</v>
      </c>
    </row>
    <row r="829" customFormat="false" ht="15" hidden="false" customHeight="false" outlineLevel="0" collapsed="false">
      <c r="A829" s="13" t="s">
        <v>1045</v>
      </c>
      <c r="B829" s="14" t="n">
        <v>43461</v>
      </c>
      <c r="C829" s="14" t="n">
        <v>44758</v>
      </c>
      <c r="D829" s="13" t="n">
        <v>32</v>
      </c>
      <c r="E829" s="13" t="s">
        <v>190</v>
      </c>
      <c r="F829" s="13" t="s">
        <v>241</v>
      </c>
      <c r="G829" s="13" t="s">
        <v>148</v>
      </c>
      <c r="H829" s="13" t="s">
        <v>242</v>
      </c>
      <c r="I829" s="13" t="n">
        <v>4</v>
      </c>
      <c r="J829" s="13" t="n">
        <v>1</v>
      </c>
      <c r="K829" s="13" t="n">
        <v>93500</v>
      </c>
      <c r="L829" s="13" t="s">
        <v>151</v>
      </c>
      <c r="M829" s="13" t="s">
        <v>216</v>
      </c>
      <c r="N829" s="13" t="s">
        <v>134</v>
      </c>
    </row>
    <row r="830" customFormat="false" ht="15" hidden="false" customHeight="false" outlineLevel="0" collapsed="false">
      <c r="A830" s="13" t="s">
        <v>1046</v>
      </c>
      <c r="B830" s="14" t="n">
        <v>43467</v>
      </c>
      <c r="C830" s="14"/>
      <c r="D830" s="13" t="n">
        <v>29</v>
      </c>
      <c r="E830" s="13" t="s">
        <v>136</v>
      </c>
      <c r="F830" s="13" t="s">
        <v>154</v>
      </c>
      <c r="G830" s="13" t="s">
        <v>138</v>
      </c>
      <c r="H830" s="13" t="s">
        <v>192</v>
      </c>
      <c r="I830" s="13" t="n">
        <v>3</v>
      </c>
      <c r="J830" s="13"/>
      <c r="K830" s="13" t="n">
        <v>159500</v>
      </c>
      <c r="L830" s="13"/>
      <c r="M830" s="13"/>
      <c r="N830" s="13" t="s">
        <v>142</v>
      </c>
    </row>
    <row r="831" customFormat="false" ht="15" hidden="false" customHeight="false" outlineLevel="0" collapsed="false">
      <c r="A831" s="13" t="s">
        <v>1047</v>
      </c>
      <c r="B831" s="14" t="n">
        <v>43469</v>
      </c>
      <c r="C831" s="14"/>
      <c r="D831" s="13" t="n">
        <v>38</v>
      </c>
      <c r="E831" s="13" t="s">
        <v>136</v>
      </c>
      <c r="F831" s="13" t="s">
        <v>161</v>
      </c>
      <c r="G831" s="13" t="s">
        <v>132</v>
      </c>
      <c r="H831" s="13" t="s">
        <v>146</v>
      </c>
      <c r="I831" s="13" t="n">
        <v>3</v>
      </c>
      <c r="J831" s="13" t="n">
        <v>4</v>
      </c>
      <c r="K831" s="13" t="n">
        <v>58500</v>
      </c>
      <c r="L831" s="13"/>
      <c r="M831" s="13"/>
      <c r="N831" s="13" t="s">
        <v>134</v>
      </c>
    </row>
    <row r="832" customFormat="false" ht="15" hidden="false" customHeight="false" outlineLevel="0" collapsed="false">
      <c r="A832" s="13" t="s">
        <v>1048</v>
      </c>
      <c r="B832" s="14" t="n">
        <v>43470</v>
      </c>
      <c r="C832" s="14"/>
      <c r="D832" s="13" t="n">
        <v>39</v>
      </c>
      <c r="E832" s="13" t="s">
        <v>190</v>
      </c>
      <c r="F832" s="13" t="s">
        <v>168</v>
      </c>
      <c r="G832" s="13" t="s">
        <v>148</v>
      </c>
      <c r="H832" s="13" t="s">
        <v>149</v>
      </c>
      <c r="I832" s="13" t="n">
        <v>3</v>
      </c>
      <c r="J832" s="13" t="n">
        <v>3</v>
      </c>
      <c r="K832" s="13" t="n">
        <v>109500</v>
      </c>
      <c r="L832" s="13"/>
      <c r="M832" s="13"/>
      <c r="N832" s="13" t="s">
        <v>134</v>
      </c>
    </row>
    <row r="833" customFormat="false" ht="15" hidden="false" customHeight="false" outlineLevel="0" collapsed="false">
      <c r="A833" s="13" t="s">
        <v>1049</v>
      </c>
      <c r="B833" s="14" t="n">
        <v>43472</v>
      </c>
      <c r="C833" s="14"/>
      <c r="D833" s="13" t="n">
        <v>34</v>
      </c>
      <c r="E833" s="13" t="s">
        <v>136</v>
      </c>
      <c r="F833" s="13" t="s">
        <v>168</v>
      </c>
      <c r="G833" s="13" t="s">
        <v>191</v>
      </c>
      <c r="H833" s="13" t="s">
        <v>139</v>
      </c>
      <c r="I833" s="13" t="n">
        <v>3</v>
      </c>
      <c r="J833" s="13" t="n">
        <v>3</v>
      </c>
      <c r="K833" s="13" t="n">
        <v>38000</v>
      </c>
      <c r="L833" s="13"/>
      <c r="M833" s="13"/>
      <c r="N833" s="13" t="s">
        <v>142</v>
      </c>
    </row>
    <row r="834" customFormat="false" ht="15" hidden="false" customHeight="false" outlineLevel="0" collapsed="false">
      <c r="A834" s="13" t="s">
        <v>1050</v>
      </c>
      <c r="B834" s="14" t="n">
        <v>43472</v>
      </c>
      <c r="C834" s="14"/>
      <c r="D834" s="13" t="n">
        <v>37</v>
      </c>
      <c r="E834" s="13" t="s">
        <v>136</v>
      </c>
      <c r="F834" s="13" t="s">
        <v>161</v>
      </c>
      <c r="G834" s="13" t="s">
        <v>148</v>
      </c>
      <c r="H834" s="13" t="s">
        <v>146</v>
      </c>
      <c r="I834" s="13" t="n">
        <v>4</v>
      </c>
      <c r="J834" s="13" t="n">
        <v>2</v>
      </c>
      <c r="K834" s="13" t="n">
        <v>60000</v>
      </c>
      <c r="L834" s="13"/>
      <c r="M834" s="13"/>
      <c r="N834" s="13" t="s">
        <v>142</v>
      </c>
    </row>
    <row r="835" customFormat="false" ht="15" hidden="false" customHeight="false" outlineLevel="0" collapsed="false">
      <c r="A835" s="13" t="s">
        <v>1051</v>
      </c>
      <c r="B835" s="14" t="n">
        <v>43475</v>
      </c>
      <c r="C835" s="14" t="n">
        <v>45254</v>
      </c>
      <c r="D835" s="13" t="n">
        <v>31</v>
      </c>
      <c r="E835" s="13" t="s">
        <v>136</v>
      </c>
      <c r="F835" s="13" t="s">
        <v>168</v>
      </c>
      <c r="G835" s="13" t="s">
        <v>184</v>
      </c>
      <c r="H835" s="13" t="s">
        <v>139</v>
      </c>
      <c r="I835" s="13" t="n">
        <v>2</v>
      </c>
      <c r="J835" s="13" t="n">
        <v>1</v>
      </c>
      <c r="K835" s="13" t="n">
        <v>45500</v>
      </c>
      <c r="L835" s="13"/>
      <c r="M835" s="13"/>
      <c r="N835" s="13" t="s">
        <v>142</v>
      </c>
    </row>
    <row r="836" customFormat="false" ht="15" hidden="false" customHeight="false" outlineLevel="0" collapsed="false">
      <c r="A836" s="13" t="s">
        <v>1052</v>
      </c>
      <c r="B836" s="14" t="n">
        <v>43478</v>
      </c>
      <c r="C836" s="14" t="n">
        <v>44597</v>
      </c>
      <c r="D836" s="13" t="n">
        <v>28</v>
      </c>
      <c r="E836" s="13" t="s">
        <v>163</v>
      </c>
      <c r="F836" s="13" t="s">
        <v>168</v>
      </c>
      <c r="G836" s="13" t="s">
        <v>148</v>
      </c>
      <c r="H836" s="13" t="s">
        <v>139</v>
      </c>
      <c r="I836" s="13" t="n">
        <v>4</v>
      </c>
      <c r="J836" s="13" t="n">
        <v>1</v>
      </c>
      <c r="K836" s="13" t="n">
        <v>39500</v>
      </c>
      <c r="L836" s="13" t="s">
        <v>151</v>
      </c>
      <c r="M836" s="13" t="s">
        <v>216</v>
      </c>
      <c r="N836" s="13" t="s">
        <v>134</v>
      </c>
    </row>
    <row r="837" customFormat="false" ht="15" hidden="false" customHeight="false" outlineLevel="0" collapsed="false">
      <c r="A837" s="13" t="s">
        <v>1053</v>
      </c>
      <c r="B837" s="14" t="n">
        <v>43483</v>
      </c>
      <c r="C837" s="14"/>
      <c r="D837" s="13" t="n">
        <v>33</v>
      </c>
      <c r="E837" s="13" t="s">
        <v>144</v>
      </c>
      <c r="F837" s="13" t="s">
        <v>168</v>
      </c>
      <c r="G837" s="13" t="s">
        <v>191</v>
      </c>
      <c r="H837" s="13" t="s">
        <v>178</v>
      </c>
      <c r="I837" s="13" t="n">
        <v>4</v>
      </c>
      <c r="J837" s="13" t="n">
        <v>2</v>
      </c>
      <c r="K837" s="13" t="n">
        <v>159000</v>
      </c>
      <c r="L837" s="13"/>
      <c r="M837" s="13"/>
      <c r="N837" s="13" t="s">
        <v>142</v>
      </c>
    </row>
    <row r="838" customFormat="false" ht="15" hidden="false" customHeight="false" outlineLevel="0" collapsed="false">
      <c r="A838" s="13" t="s">
        <v>1054</v>
      </c>
      <c r="B838" s="14" t="n">
        <v>43485</v>
      </c>
      <c r="C838" s="14" t="n">
        <v>45126</v>
      </c>
      <c r="D838" s="13" t="n">
        <v>27</v>
      </c>
      <c r="E838" s="13" t="s">
        <v>182</v>
      </c>
      <c r="F838" s="13" t="s">
        <v>170</v>
      </c>
      <c r="G838" s="13" t="s">
        <v>148</v>
      </c>
      <c r="H838" s="13" t="s">
        <v>149</v>
      </c>
      <c r="I838" s="13" t="n">
        <v>4</v>
      </c>
      <c r="J838" s="13" t="n">
        <v>3</v>
      </c>
      <c r="K838" s="13" t="n">
        <v>122500</v>
      </c>
      <c r="L838" s="13" t="s">
        <v>200</v>
      </c>
      <c r="M838" s="13" t="s">
        <v>201</v>
      </c>
      <c r="N838" s="13" t="s">
        <v>142</v>
      </c>
    </row>
    <row r="839" customFormat="false" ht="15" hidden="false" customHeight="false" outlineLevel="0" collapsed="false">
      <c r="A839" s="13" t="s">
        <v>1055</v>
      </c>
      <c r="B839" s="14" t="n">
        <v>43485</v>
      </c>
      <c r="C839" s="14"/>
      <c r="D839" s="13" t="n">
        <v>33</v>
      </c>
      <c r="E839" s="13" t="s">
        <v>144</v>
      </c>
      <c r="F839" s="13" t="s">
        <v>168</v>
      </c>
      <c r="G839" s="13" t="s">
        <v>195</v>
      </c>
      <c r="H839" s="13" t="s">
        <v>146</v>
      </c>
      <c r="I839" s="13" t="n">
        <v>1</v>
      </c>
      <c r="J839" s="13" t="n">
        <v>3</v>
      </c>
      <c r="K839" s="13" t="n">
        <v>71500</v>
      </c>
      <c r="L839" s="13"/>
      <c r="M839" s="13"/>
      <c r="N839" s="13" t="s">
        <v>142</v>
      </c>
    </row>
    <row r="840" customFormat="false" ht="15" hidden="false" customHeight="false" outlineLevel="0" collapsed="false">
      <c r="A840" s="13" t="s">
        <v>1056</v>
      </c>
      <c r="B840" s="14" t="n">
        <v>43485</v>
      </c>
      <c r="C840" s="14" t="n">
        <v>45742</v>
      </c>
      <c r="D840" s="13" t="n">
        <v>27</v>
      </c>
      <c r="E840" s="13" t="s">
        <v>144</v>
      </c>
      <c r="F840" s="13" t="s">
        <v>131</v>
      </c>
      <c r="G840" s="13" t="s">
        <v>155</v>
      </c>
      <c r="H840" s="13" t="s">
        <v>139</v>
      </c>
      <c r="I840" s="13" t="n">
        <v>4</v>
      </c>
      <c r="J840" s="13" t="n">
        <v>1</v>
      </c>
      <c r="K840" s="13" t="n">
        <v>42000</v>
      </c>
      <c r="L840" s="13" t="s">
        <v>151</v>
      </c>
      <c r="M840" s="13" t="s">
        <v>216</v>
      </c>
      <c r="N840" s="13" t="s">
        <v>134</v>
      </c>
    </row>
    <row r="841" customFormat="false" ht="15" hidden="false" customHeight="false" outlineLevel="0" collapsed="false">
      <c r="A841" s="13" t="s">
        <v>1057</v>
      </c>
      <c r="B841" s="14" t="n">
        <v>43486</v>
      </c>
      <c r="C841" s="14" t="n">
        <v>45745</v>
      </c>
      <c r="D841" s="13" t="n">
        <v>36</v>
      </c>
      <c r="E841" s="13" t="s">
        <v>136</v>
      </c>
      <c r="F841" s="13" t="s">
        <v>168</v>
      </c>
      <c r="G841" s="13" t="s">
        <v>191</v>
      </c>
      <c r="H841" s="13" t="s">
        <v>149</v>
      </c>
      <c r="I841" s="13" t="n">
        <v>4</v>
      </c>
      <c r="J841" s="13" t="n">
        <v>4</v>
      </c>
      <c r="K841" s="13" t="n">
        <v>108500</v>
      </c>
      <c r="L841" s="13" t="s">
        <v>151</v>
      </c>
      <c r="M841" s="13" t="s">
        <v>201</v>
      </c>
      <c r="N841" s="13" t="s">
        <v>142</v>
      </c>
    </row>
    <row r="842" customFormat="false" ht="15" hidden="false" customHeight="false" outlineLevel="0" collapsed="false">
      <c r="A842" s="13" t="s">
        <v>1058</v>
      </c>
      <c r="B842" s="14" t="n">
        <v>43488</v>
      </c>
      <c r="C842" s="14"/>
      <c r="D842" s="13" t="n">
        <v>42</v>
      </c>
      <c r="E842" s="13" t="s">
        <v>259</v>
      </c>
      <c r="F842" s="13" t="s">
        <v>170</v>
      </c>
      <c r="G842" s="13" t="s">
        <v>132</v>
      </c>
      <c r="H842" s="13" t="s">
        <v>146</v>
      </c>
      <c r="I842" s="13" t="n">
        <v>3</v>
      </c>
      <c r="J842" s="13"/>
      <c r="K842" s="13" t="n">
        <v>73000</v>
      </c>
      <c r="L842" s="13"/>
      <c r="M842" s="13"/>
      <c r="N842" s="13" t="s">
        <v>142</v>
      </c>
    </row>
    <row r="843" customFormat="false" ht="15" hidden="false" customHeight="false" outlineLevel="0" collapsed="false">
      <c r="A843" s="13" t="s">
        <v>1059</v>
      </c>
      <c r="B843" s="14" t="n">
        <v>43493</v>
      </c>
      <c r="C843" s="14"/>
      <c r="D843" s="13" t="n">
        <v>39</v>
      </c>
      <c r="E843" s="13" t="s">
        <v>136</v>
      </c>
      <c r="F843" s="13" t="s">
        <v>168</v>
      </c>
      <c r="G843" s="13" t="s">
        <v>138</v>
      </c>
      <c r="H843" s="13" t="s">
        <v>149</v>
      </c>
      <c r="I843" s="13" t="n">
        <v>4</v>
      </c>
      <c r="J843" s="13" t="n">
        <v>1</v>
      </c>
      <c r="K843" s="13" t="n">
        <v>109000</v>
      </c>
      <c r="L843" s="13"/>
      <c r="M843" s="13"/>
      <c r="N843" s="13" t="s">
        <v>142</v>
      </c>
    </row>
    <row r="844" customFormat="false" ht="15" hidden="false" customHeight="false" outlineLevel="0" collapsed="false">
      <c r="A844" s="13" t="s">
        <v>1060</v>
      </c>
      <c r="B844" s="14" t="n">
        <v>43495</v>
      </c>
      <c r="C844" s="14"/>
      <c r="D844" s="13" t="n">
        <v>35</v>
      </c>
      <c r="E844" s="13" t="s">
        <v>144</v>
      </c>
      <c r="F844" s="13" t="s">
        <v>154</v>
      </c>
      <c r="G844" s="13" t="s">
        <v>171</v>
      </c>
      <c r="H844" s="13" t="s">
        <v>156</v>
      </c>
      <c r="I844" s="13" t="n">
        <v>5</v>
      </c>
      <c r="J844" s="13" t="n">
        <v>1</v>
      </c>
      <c r="K844" s="13" t="n">
        <v>107000</v>
      </c>
      <c r="L844" s="13"/>
      <c r="M844" s="13"/>
      <c r="N844" s="13" t="s">
        <v>142</v>
      </c>
    </row>
    <row r="845" customFormat="false" ht="15" hidden="false" customHeight="false" outlineLevel="0" collapsed="false">
      <c r="A845" s="13" t="s">
        <v>1061</v>
      </c>
      <c r="B845" s="14" t="n">
        <v>43497</v>
      </c>
      <c r="C845" s="14" t="n">
        <v>45853</v>
      </c>
      <c r="D845" s="13" t="n">
        <v>33</v>
      </c>
      <c r="E845" s="13" t="s">
        <v>136</v>
      </c>
      <c r="F845" s="13" t="s">
        <v>168</v>
      </c>
      <c r="G845" s="13" t="s">
        <v>138</v>
      </c>
      <c r="H845" s="13" t="s">
        <v>149</v>
      </c>
      <c r="I845" s="13" t="n">
        <v>3</v>
      </c>
      <c r="J845" s="13" t="n">
        <v>2</v>
      </c>
      <c r="K845" s="13" t="n">
        <v>116500</v>
      </c>
      <c r="L845" s="13" t="s">
        <v>151</v>
      </c>
      <c r="M845" s="13" t="s">
        <v>141</v>
      </c>
      <c r="N845" s="13" t="s">
        <v>142</v>
      </c>
    </row>
    <row r="846" customFormat="false" ht="15" hidden="false" customHeight="false" outlineLevel="0" collapsed="false">
      <c r="A846" s="13" t="s">
        <v>1062</v>
      </c>
      <c r="B846" s="14" t="n">
        <v>43499</v>
      </c>
      <c r="C846" s="14" t="n">
        <v>44839</v>
      </c>
      <c r="D846" s="13" t="n">
        <v>25</v>
      </c>
      <c r="E846" s="13" t="s">
        <v>136</v>
      </c>
      <c r="F846" s="13" t="s">
        <v>154</v>
      </c>
      <c r="G846" s="13" t="s">
        <v>138</v>
      </c>
      <c r="H846" s="13" t="s">
        <v>156</v>
      </c>
      <c r="I846" s="13" t="n">
        <v>5</v>
      </c>
      <c r="J846" s="13" t="n">
        <v>2</v>
      </c>
      <c r="K846" s="13" t="n">
        <v>96500</v>
      </c>
      <c r="L846" s="13" t="s">
        <v>151</v>
      </c>
      <c r="M846" s="13" t="s">
        <v>152</v>
      </c>
      <c r="N846" s="13" t="s">
        <v>142</v>
      </c>
    </row>
    <row r="847" customFormat="false" ht="15" hidden="false" customHeight="false" outlineLevel="0" collapsed="false">
      <c r="A847" s="13" t="s">
        <v>1063</v>
      </c>
      <c r="B847" s="14" t="n">
        <v>43502</v>
      </c>
      <c r="C847" s="14" t="n">
        <v>44958</v>
      </c>
      <c r="D847" s="13" t="n">
        <v>32</v>
      </c>
      <c r="E847" s="13" t="s">
        <v>144</v>
      </c>
      <c r="F847" s="13" t="s">
        <v>145</v>
      </c>
      <c r="G847" s="13" t="s">
        <v>155</v>
      </c>
      <c r="H847" s="13" t="s">
        <v>192</v>
      </c>
      <c r="I847" s="13" t="n">
        <v>2</v>
      </c>
      <c r="J847" s="13" t="n">
        <v>3</v>
      </c>
      <c r="K847" s="13" t="n">
        <v>164500</v>
      </c>
      <c r="L847" s="13" t="s">
        <v>173</v>
      </c>
      <c r="M847" s="13" t="s">
        <v>310</v>
      </c>
      <c r="N847" s="13" t="s">
        <v>142</v>
      </c>
    </row>
    <row r="848" customFormat="false" ht="15" hidden="false" customHeight="false" outlineLevel="0" collapsed="false">
      <c r="A848" s="13" t="s">
        <v>1064</v>
      </c>
      <c r="B848" s="14" t="n">
        <v>43503</v>
      </c>
      <c r="C848" s="14"/>
      <c r="D848" s="13" t="n">
        <v>42</v>
      </c>
      <c r="E848" s="13" t="s">
        <v>136</v>
      </c>
      <c r="F848" s="13" t="s">
        <v>168</v>
      </c>
      <c r="G848" s="13" t="s">
        <v>224</v>
      </c>
      <c r="H848" s="13" t="s">
        <v>172</v>
      </c>
      <c r="I848" s="13" t="n">
        <v>3</v>
      </c>
      <c r="J848" s="13" t="n">
        <v>3</v>
      </c>
      <c r="K848" s="13" t="n">
        <v>42500</v>
      </c>
      <c r="L848" s="13"/>
      <c r="M848" s="13"/>
      <c r="N848" s="13" t="s">
        <v>142</v>
      </c>
    </row>
    <row r="849" customFormat="false" ht="15" hidden="false" customHeight="false" outlineLevel="0" collapsed="false">
      <c r="A849" s="13" t="s">
        <v>1065</v>
      </c>
      <c r="B849" s="14" t="n">
        <v>43504</v>
      </c>
      <c r="C849" s="14"/>
      <c r="D849" s="13" t="n">
        <v>38</v>
      </c>
      <c r="E849" s="13" t="s">
        <v>144</v>
      </c>
      <c r="F849" s="13" t="s">
        <v>168</v>
      </c>
      <c r="G849" s="13" t="s">
        <v>155</v>
      </c>
      <c r="H849" s="13" t="s">
        <v>178</v>
      </c>
      <c r="I849" s="13" t="n">
        <v>4</v>
      </c>
      <c r="J849" s="13" t="n">
        <v>4</v>
      </c>
      <c r="K849" s="13" t="n">
        <v>152500</v>
      </c>
      <c r="L849" s="13"/>
      <c r="M849" s="13"/>
      <c r="N849" s="13" t="s">
        <v>142</v>
      </c>
    </row>
    <row r="850" customFormat="false" ht="15" hidden="false" customHeight="false" outlineLevel="0" collapsed="false">
      <c r="A850" s="13" t="s">
        <v>1066</v>
      </c>
      <c r="B850" s="14" t="n">
        <v>43504</v>
      </c>
      <c r="C850" s="14"/>
      <c r="D850" s="13" t="n">
        <v>28</v>
      </c>
      <c r="E850" s="13" t="s">
        <v>163</v>
      </c>
      <c r="F850" s="13" t="s">
        <v>154</v>
      </c>
      <c r="G850" s="13" t="s">
        <v>132</v>
      </c>
      <c r="H850" s="13" t="s">
        <v>156</v>
      </c>
      <c r="I850" s="13" t="n">
        <v>4</v>
      </c>
      <c r="J850" s="13" t="n">
        <v>4</v>
      </c>
      <c r="K850" s="13" t="n">
        <v>97000</v>
      </c>
      <c r="L850" s="13"/>
      <c r="M850" s="13"/>
      <c r="N850" s="13" t="s">
        <v>157</v>
      </c>
    </row>
    <row r="851" customFormat="false" ht="15" hidden="false" customHeight="false" outlineLevel="0" collapsed="false">
      <c r="A851" s="13" t="s">
        <v>1067</v>
      </c>
      <c r="B851" s="14" t="n">
        <v>43508</v>
      </c>
      <c r="C851" s="14"/>
      <c r="D851" s="13" t="n">
        <v>28</v>
      </c>
      <c r="E851" s="13" t="s">
        <v>144</v>
      </c>
      <c r="F851" s="13" t="s">
        <v>229</v>
      </c>
      <c r="G851" s="13" t="s">
        <v>155</v>
      </c>
      <c r="H851" s="13" t="s">
        <v>149</v>
      </c>
      <c r="I851" s="13" t="n">
        <v>3</v>
      </c>
      <c r="J851" s="13" t="n">
        <v>3</v>
      </c>
      <c r="K851" s="13" t="n">
        <v>129500</v>
      </c>
      <c r="L851" s="13"/>
      <c r="M851" s="13"/>
      <c r="N851" s="13" t="s">
        <v>134</v>
      </c>
    </row>
    <row r="852" customFormat="false" ht="15" hidden="false" customHeight="false" outlineLevel="0" collapsed="false">
      <c r="A852" s="13" t="s">
        <v>1068</v>
      </c>
      <c r="B852" s="14" t="n">
        <v>43509</v>
      </c>
      <c r="C852" s="14"/>
      <c r="D852" s="13" t="n">
        <v>37</v>
      </c>
      <c r="E852" s="13" t="s">
        <v>136</v>
      </c>
      <c r="F852" s="13" t="s">
        <v>161</v>
      </c>
      <c r="G852" s="13" t="s">
        <v>138</v>
      </c>
      <c r="H852" s="13" t="s">
        <v>192</v>
      </c>
      <c r="I852" s="13" t="n">
        <v>3</v>
      </c>
      <c r="J852" s="13" t="n">
        <v>4</v>
      </c>
      <c r="K852" s="13" t="n">
        <v>199500</v>
      </c>
      <c r="L852" s="13"/>
      <c r="M852" s="13"/>
      <c r="N852" s="13" t="s">
        <v>142</v>
      </c>
    </row>
    <row r="853" customFormat="false" ht="15" hidden="false" customHeight="false" outlineLevel="0" collapsed="false">
      <c r="A853" s="13" t="s">
        <v>1069</v>
      </c>
      <c r="B853" s="14" t="n">
        <v>43518</v>
      </c>
      <c r="C853" s="14"/>
      <c r="D853" s="13" t="n">
        <v>28</v>
      </c>
      <c r="E853" s="13" t="s">
        <v>136</v>
      </c>
      <c r="F853" s="13" t="s">
        <v>137</v>
      </c>
      <c r="G853" s="13" t="s">
        <v>138</v>
      </c>
      <c r="H853" s="13" t="s">
        <v>139</v>
      </c>
      <c r="I853" s="13" t="n">
        <v>4</v>
      </c>
      <c r="J853" s="13" t="n">
        <v>3</v>
      </c>
      <c r="K853" s="13" t="n">
        <v>39500</v>
      </c>
      <c r="L853" s="13"/>
      <c r="M853" s="13"/>
      <c r="N853" s="13" t="s">
        <v>142</v>
      </c>
    </row>
    <row r="854" customFormat="false" ht="15" hidden="false" customHeight="false" outlineLevel="0" collapsed="false">
      <c r="A854" s="13" t="s">
        <v>1070</v>
      </c>
      <c r="B854" s="14" t="n">
        <v>43519</v>
      </c>
      <c r="C854" s="14" t="n">
        <v>45280</v>
      </c>
      <c r="D854" s="13" t="n">
        <v>26</v>
      </c>
      <c r="E854" s="13" t="s">
        <v>136</v>
      </c>
      <c r="F854" s="13" t="s">
        <v>170</v>
      </c>
      <c r="G854" s="13" t="s">
        <v>148</v>
      </c>
      <c r="H854" s="13" t="s">
        <v>219</v>
      </c>
      <c r="I854" s="13" t="n">
        <v>3</v>
      </c>
      <c r="J854" s="13" t="n">
        <v>3</v>
      </c>
      <c r="K854" s="13" t="n">
        <v>45000</v>
      </c>
      <c r="L854" s="13" t="s">
        <v>151</v>
      </c>
      <c r="M854" s="13" t="s">
        <v>216</v>
      </c>
      <c r="N854" s="13" t="s">
        <v>142</v>
      </c>
    </row>
    <row r="855" customFormat="false" ht="15" hidden="false" customHeight="false" outlineLevel="0" collapsed="false">
      <c r="A855" s="13" t="s">
        <v>1071</v>
      </c>
      <c r="B855" s="14" t="n">
        <v>43521</v>
      </c>
      <c r="C855" s="14"/>
      <c r="D855" s="13" t="n">
        <v>41</v>
      </c>
      <c r="E855" s="13" t="s">
        <v>144</v>
      </c>
      <c r="F855" s="13" t="s">
        <v>170</v>
      </c>
      <c r="G855" s="13" t="s">
        <v>155</v>
      </c>
      <c r="H855" s="13" t="s">
        <v>149</v>
      </c>
      <c r="I855" s="13" t="n">
        <v>3</v>
      </c>
      <c r="J855" s="13" t="n">
        <v>4</v>
      </c>
      <c r="K855" s="13" t="n">
        <v>101500</v>
      </c>
      <c r="L855" s="13"/>
      <c r="M855" s="13"/>
      <c r="N855" s="13" t="s">
        <v>142</v>
      </c>
    </row>
    <row r="856" customFormat="false" ht="15" hidden="false" customHeight="false" outlineLevel="0" collapsed="false">
      <c r="A856" s="13" t="s">
        <v>1072</v>
      </c>
      <c r="B856" s="14" t="n">
        <v>43522</v>
      </c>
      <c r="C856" s="14" t="n">
        <v>45420</v>
      </c>
      <c r="D856" s="13" t="n">
        <v>26</v>
      </c>
      <c r="E856" s="13" t="s">
        <v>144</v>
      </c>
      <c r="F856" s="13" t="s">
        <v>131</v>
      </c>
      <c r="G856" s="13" t="s">
        <v>148</v>
      </c>
      <c r="H856" s="13" t="s">
        <v>149</v>
      </c>
      <c r="I856" s="13" t="n">
        <v>3</v>
      </c>
      <c r="J856" s="13" t="n">
        <v>2</v>
      </c>
      <c r="K856" s="13" t="n">
        <v>120500</v>
      </c>
      <c r="L856" s="13" t="s">
        <v>151</v>
      </c>
      <c r="M856" s="13" t="s">
        <v>216</v>
      </c>
      <c r="N856" s="13" t="s">
        <v>157</v>
      </c>
    </row>
    <row r="857" customFormat="false" ht="15" hidden="false" customHeight="false" outlineLevel="0" collapsed="false">
      <c r="A857" s="13" t="s">
        <v>1073</v>
      </c>
      <c r="B857" s="14" t="n">
        <v>43523</v>
      </c>
      <c r="C857" s="14" t="n">
        <v>45346</v>
      </c>
      <c r="D857" s="13" t="n">
        <v>33</v>
      </c>
      <c r="E857" s="13" t="s">
        <v>259</v>
      </c>
      <c r="F857" s="13" t="s">
        <v>145</v>
      </c>
      <c r="G857" s="13" t="s">
        <v>155</v>
      </c>
      <c r="H857" s="13" t="s">
        <v>139</v>
      </c>
      <c r="I857" s="13" t="n">
        <v>3</v>
      </c>
      <c r="J857" s="13" t="n">
        <v>3</v>
      </c>
      <c r="K857" s="13" t="n">
        <v>51500</v>
      </c>
      <c r="L857" s="13"/>
      <c r="M857" s="13" t="s">
        <v>159</v>
      </c>
      <c r="N857" s="13" t="s">
        <v>453</v>
      </c>
    </row>
    <row r="858" customFormat="false" ht="15" hidden="false" customHeight="false" outlineLevel="0" collapsed="false">
      <c r="A858" s="13" t="s">
        <v>1074</v>
      </c>
      <c r="B858" s="14" t="n">
        <v>43530</v>
      </c>
      <c r="C858" s="14"/>
      <c r="D858" s="13" t="n">
        <v>38</v>
      </c>
      <c r="E858" s="13" t="s">
        <v>144</v>
      </c>
      <c r="F858" s="13" t="s">
        <v>145</v>
      </c>
      <c r="G858" s="13" t="s">
        <v>171</v>
      </c>
      <c r="H858" s="13" t="s">
        <v>146</v>
      </c>
      <c r="I858" s="13" t="n">
        <v>2</v>
      </c>
      <c r="J858" s="13" t="n">
        <v>4</v>
      </c>
      <c r="K858" s="13" t="n">
        <v>70500</v>
      </c>
      <c r="L858" s="13"/>
      <c r="M858" s="13"/>
      <c r="N858" s="13" t="s">
        <v>134</v>
      </c>
    </row>
    <row r="859" customFormat="false" ht="15" hidden="false" customHeight="false" outlineLevel="0" collapsed="false">
      <c r="A859" s="13" t="s">
        <v>1075</v>
      </c>
      <c r="B859" s="14" t="n">
        <v>43531</v>
      </c>
      <c r="C859" s="14"/>
      <c r="D859" s="13" t="n">
        <v>41</v>
      </c>
      <c r="E859" s="13" t="s">
        <v>144</v>
      </c>
      <c r="F859" s="13" t="s">
        <v>229</v>
      </c>
      <c r="G859" s="13" t="s">
        <v>155</v>
      </c>
      <c r="H859" s="13" t="s">
        <v>178</v>
      </c>
      <c r="I859" s="13" t="n">
        <v>3</v>
      </c>
      <c r="J859" s="13" t="n">
        <v>1</v>
      </c>
      <c r="K859" s="13" t="n">
        <v>141000</v>
      </c>
      <c r="L859" s="13"/>
      <c r="M859" s="13"/>
      <c r="N859" s="13" t="s">
        <v>142</v>
      </c>
    </row>
    <row r="860" customFormat="false" ht="15" hidden="false" customHeight="false" outlineLevel="0" collapsed="false">
      <c r="A860" s="13" t="s">
        <v>1076</v>
      </c>
      <c r="B860" s="14" t="n">
        <v>43532</v>
      </c>
      <c r="C860" s="14"/>
      <c r="D860" s="13" t="n">
        <v>28</v>
      </c>
      <c r="E860" s="13" t="s">
        <v>144</v>
      </c>
      <c r="F860" s="13" t="s">
        <v>154</v>
      </c>
      <c r="G860" s="13" t="s">
        <v>155</v>
      </c>
      <c r="H860" s="13" t="s">
        <v>192</v>
      </c>
      <c r="I860" s="13" t="n">
        <v>1</v>
      </c>
      <c r="J860" s="13" t="n">
        <v>4</v>
      </c>
      <c r="K860" s="13" t="n">
        <v>222000</v>
      </c>
      <c r="L860" s="13"/>
      <c r="M860" s="13"/>
      <c r="N860" s="13" t="s">
        <v>142</v>
      </c>
    </row>
    <row r="861" customFormat="false" ht="15" hidden="false" customHeight="false" outlineLevel="0" collapsed="false">
      <c r="A861" s="13" t="s">
        <v>1077</v>
      </c>
      <c r="B861" s="14" t="n">
        <v>43534</v>
      </c>
      <c r="C861" s="14"/>
      <c r="D861" s="13" t="n">
        <v>35</v>
      </c>
      <c r="E861" s="13" t="s">
        <v>136</v>
      </c>
      <c r="F861" s="13" t="s">
        <v>170</v>
      </c>
      <c r="G861" s="13" t="s">
        <v>138</v>
      </c>
      <c r="H861" s="13" t="s">
        <v>192</v>
      </c>
      <c r="I861" s="13" t="n">
        <v>4</v>
      </c>
      <c r="J861" s="13" t="n">
        <v>1</v>
      </c>
      <c r="K861" s="13" t="n">
        <v>228500</v>
      </c>
      <c r="L861" s="13"/>
      <c r="M861" s="13"/>
      <c r="N861" s="13" t="s">
        <v>142</v>
      </c>
    </row>
    <row r="862" customFormat="false" ht="15" hidden="false" customHeight="false" outlineLevel="0" collapsed="false">
      <c r="A862" s="13" t="s">
        <v>1078</v>
      </c>
      <c r="B862" s="14" t="n">
        <v>43540</v>
      </c>
      <c r="C862" s="14" t="n">
        <v>45992</v>
      </c>
      <c r="D862" s="13" t="n">
        <v>42</v>
      </c>
      <c r="E862" s="13" t="s">
        <v>136</v>
      </c>
      <c r="F862" s="13" t="s">
        <v>239</v>
      </c>
      <c r="G862" s="13" t="s">
        <v>155</v>
      </c>
      <c r="H862" s="13" t="s">
        <v>139</v>
      </c>
      <c r="I862" s="13" t="n">
        <v>1</v>
      </c>
      <c r="J862" s="13" t="n">
        <v>2</v>
      </c>
      <c r="K862" s="13" t="n">
        <v>42000</v>
      </c>
      <c r="L862" s="13" t="s">
        <v>173</v>
      </c>
      <c r="M862" s="13" t="s">
        <v>273</v>
      </c>
      <c r="N862" s="13" t="s">
        <v>142</v>
      </c>
    </row>
    <row r="863" customFormat="false" ht="15" hidden="false" customHeight="false" outlineLevel="0" collapsed="false">
      <c r="A863" s="13" t="s">
        <v>1079</v>
      </c>
      <c r="B863" s="14" t="n">
        <v>43542</v>
      </c>
      <c r="C863" s="14"/>
      <c r="D863" s="13" t="n">
        <v>28</v>
      </c>
      <c r="E863" s="13" t="s">
        <v>144</v>
      </c>
      <c r="F863" s="13" t="s">
        <v>229</v>
      </c>
      <c r="G863" s="13" t="s">
        <v>191</v>
      </c>
      <c r="H863" s="13" t="s">
        <v>146</v>
      </c>
      <c r="I863" s="13" t="n">
        <v>3</v>
      </c>
      <c r="J863" s="13" t="n">
        <v>1</v>
      </c>
      <c r="K863" s="13" t="n">
        <v>68000</v>
      </c>
      <c r="L863" s="13"/>
      <c r="M863" s="13"/>
      <c r="N863" s="13" t="s">
        <v>142</v>
      </c>
    </row>
    <row r="864" customFormat="false" ht="15" hidden="false" customHeight="false" outlineLevel="0" collapsed="false">
      <c r="A864" s="13" t="s">
        <v>1080</v>
      </c>
      <c r="B864" s="14" t="n">
        <v>43544</v>
      </c>
      <c r="C864" s="14"/>
      <c r="D864" s="13" t="n">
        <v>31</v>
      </c>
      <c r="E864" s="13" t="s">
        <v>136</v>
      </c>
      <c r="F864" s="13" t="s">
        <v>229</v>
      </c>
      <c r="G864" s="13" t="s">
        <v>155</v>
      </c>
      <c r="H864" s="13" t="s">
        <v>146</v>
      </c>
      <c r="I864" s="13" t="n">
        <v>3</v>
      </c>
      <c r="J864" s="13" t="n">
        <v>3</v>
      </c>
      <c r="K864" s="13" t="n">
        <v>71000</v>
      </c>
      <c r="L864" s="13"/>
      <c r="M864" s="13"/>
      <c r="N864" s="13" t="s">
        <v>142</v>
      </c>
    </row>
    <row r="865" customFormat="false" ht="15" hidden="false" customHeight="false" outlineLevel="0" collapsed="false">
      <c r="A865" s="13" t="s">
        <v>1081</v>
      </c>
      <c r="B865" s="14" t="n">
        <v>43545</v>
      </c>
      <c r="C865" s="14"/>
      <c r="D865" s="13" t="n">
        <v>34</v>
      </c>
      <c r="E865" s="13" t="s">
        <v>136</v>
      </c>
      <c r="F865" s="13" t="s">
        <v>229</v>
      </c>
      <c r="G865" s="13" t="s">
        <v>386</v>
      </c>
      <c r="H865" s="13" t="s">
        <v>146</v>
      </c>
      <c r="I865" s="13" t="n">
        <v>3</v>
      </c>
      <c r="J865" s="13" t="n">
        <v>1</v>
      </c>
      <c r="K865" s="13" t="n">
        <v>73500</v>
      </c>
      <c r="L865" s="13"/>
      <c r="M865" s="13"/>
      <c r="N865" s="13" t="s">
        <v>134</v>
      </c>
    </row>
    <row r="866" customFormat="false" ht="15" hidden="false" customHeight="false" outlineLevel="0" collapsed="false">
      <c r="A866" s="13" t="s">
        <v>1082</v>
      </c>
      <c r="B866" s="14" t="n">
        <v>43548</v>
      </c>
      <c r="C866" s="14" t="n">
        <v>45352</v>
      </c>
      <c r="D866" s="13" t="n">
        <v>32</v>
      </c>
      <c r="E866" s="13" t="s">
        <v>130</v>
      </c>
      <c r="F866" s="13" t="s">
        <v>229</v>
      </c>
      <c r="G866" s="13" t="s">
        <v>138</v>
      </c>
      <c r="H866" s="13" t="s">
        <v>178</v>
      </c>
      <c r="I866" s="13" t="n">
        <v>3</v>
      </c>
      <c r="J866" s="13" t="n">
        <v>3</v>
      </c>
      <c r="K866" s="13" t="n">
        <v>140000</v>
      </c>
      <c r="L866" s="13" t="s">
        <v>151</v>
      </c>
      <c r="M866" s="13" t="s">
        <v>216</v>
      </c>
      <c r="N866" s="13" t="s">
        <v>214</v>
      </c>
    </row>
    <row r="867" customFormat="false" ht="15" hidden="false" customHeight="false" outlineLevel="0" collapsed="false">
      <c r="A867" s="13" t="s">
        <v>1083</v>
      </c>
      <c r="B867" s="14" t="n">
        <v>43551</v>
      </c>
      <c r="C867" s="14" t="n">
        <v>45448</v>
      </c>
      <c r="D867" s="13" t="n">
        <v>32</v>
      </c>
      <c r="E867" s="13" t="s">
        <v>136</v>
      </c>
      <c r="F867" s="13" t="s">
        <v>168</v>
      </c>
      <c r="G867" s="13" t="s">
        <v>191</v>
      </c>
      <c r="H867" s="13" t="s">
        <v>146</v>
      </c>
      <c r="I867" s="13" t="n">
        <v>3</v>
      </c>
      <c r="J867" s="13" t="n">
        <v>1</v>
      </c>
      <c r="K867" s="13" t="n">
        <v>67000</v>
      </c>
      <c r="L867" s="13" t="s">
        <v>173</v>
      </c>
      <c r="M867" s="13" t="s">
        <v>310</v>
      </c>
      <c r="N867" s="13" t="s">
        <v>142</v>
      </c>
    </row>
    <row r="868" customFormat="false" ht="15" hidden="false" customHeight="false" outlineLevel="0" collapsed="false">
      <c r="A868" s="13" t="s">
        <v>1084</v>
      </c>
      <c r="B868" s="14" t="n">
        <v>43554</v>
      </c>
      <c r="C868" s="14"/>
      <c r="D868" s="13" t="n">
        <v>40</v>
      </c>
      <c r="E868" s="13" t="s">
        <v>144</v>
      </c>
      <c r="F868" s="13" t="s">
        <v>168</v>
      </c>
      <c r="G868" s="13" t="s">
        <v>132</v>
      </c>
      <c r="H868" s="13" t="s">
        <v>146</v>
      </c>
      <c r="I868" s="13" t="n">
        <v>3</v>
      </c>
      <c r="J868" s="13" t="n">
        <v>1</v>
      </c>
      <c r="K868" s="13" t="n">
        <v>75000</v>
      </c>
      <c r="L868" s="13"/>
      <c r="M868" s="13"/>
      <c r="N868" s="13" t="s">
        <v>142</v>
      </c>
    </row>
    <row r="869" customFormat="false" ht="15" hidden="false" customHeight="false" outlineLevel="0" collapsed="false">
      <c r="A869" s="13" t="s">
        <v>1085</v>
      </c>
      <c r="B869" s="14" t="n">
        <v>43559</v>
      </c>
      <c r="C869" s="14"/>
      <c r="D869" s="13" t="n">
        <v>35</v>
      </c>
      <c r="E869" s="13" t="s">
        <v>136</v>
      </c>
      <c r="F869" s="13" t="s">
        <v>168</v>
      </c>
      <c r="G869" s="13" t="s">
        <v>155</v>
      </c>
      <c r="H869" s="13" t="s">
        <v>156</v>
      </c>
      <c r="I869" s="13" t="n">
        <v>3</v>
      </c>
      <c r="J869" s="13" t="n">
        <v>2</v>
      </c>
      <c r="K869" s="13" t="n">
        <v>105000</v>
      </c>
      <c r="L869" s="13"/>
      <c r="M869" s="13"/>
      <c r="N869" s="13" t="s">
        <v>142</v>
      </c>
    </row>
    <row r="870" customFormat="false" ht="15" hidden="false" customHeight="false" outlineLevel="0" collapsed="false">
      <c r="A870" s="13" t="s">
        <v>1086</v>
      </c>
      <c r="B870" s="14" t="n">
        <v>43567</v>
      </c>
      <c r="C870" s="14" t="n">
        <v>45343</v>
      </c>
      <c r="D870" s="13" t="n">
        <v>31</v>
      </c>
      <c r="E870" s="13" t="s">
        <v>136</v>
      </c>
      <c r="F870" s="13" t="s">
        <v>231</v>
      </c>
      <c r="G870" s="13" t="s">
        <v>155</v>
      </c>
      <c r="H870" s="13" t="s">
        <v>149</v>
      </c>
      <c r="I870" s="13" t="n">
        <v>4</v>
      </c>
      <c r="J870" s="13" t="n">
        <v>4</v>
      </c>
      <c r="K870" s="13" t="n">
        <v>112500</v>
      </c>
      <c r="L870" s="13" t="s">
        <v>151</v>
      </c>
      <c r="M870" s="13" t="s">
        <v>216</v>
      </c>
      <c r="N870" s="13" t="s">
        <v>142</v>
      </c>
    </row>
    <row r="871" customFormat="false" ht="15" hidden="false" customHeight="false" outlineLevel="0" collapsed="false">
      <c r="A871" s="13" t="s">
        <v>1087</v>
      </c>
      <c r="B871" s="14" t="n">
        <v>43571</v>
      </c>
      <c r="C871" s="14"/>
      <c r="D871" s="13" t="n">
        <v>28</v>
      </c>
      <c r="E871" s="13" t="s">
        <v>136</v>
      </c>
      <c r="F871" s="13" t="s">
        <v>137</v>
      </c>
      <c r="G871" s="13" t="s">
        <v>374</v>
      </c>
      <c r="H871" s="13" t="s">
        <v>156</v>
      </c>
      <c r="I871" s="13" t="n">
        <v>3</v>
      </c>
      <c r="J871" s="13" t="n">
        <v>1</v>
      </c>
      <c r="K871" s="13" t="n">
        <v>124000</v>
      </c>
      <c r="L871" s="13"/>
      <c r="M871" s="13"/>
      <c r="N871" s="13" t="s">
        <v>142</v>
      </c>
    </row>
    <row r="872" customFormat="false" ht="15" hidden="false" customHeight="false" outlineLevel="0" collapsed="false">
      <c r="A872" s="13" t="s">
        <v>1088</v>
      </c>
      <c r="B872" s="14" t="n">
        <v>43575</v>
      </c>
      <c r="C872" s="14"/>
      <c r="D872" s="13" t="n">
        <v>38</v>
      </c>
      <c r="E872" s="13" t="s">
        <v>144</v>
      </c>
      <c r="F872" s="13" t="s">
        <v>161</v>
      </c>
      <c r="G872" s="13" t="s">
        <v>155</v>
      </c>
      <c r="H872" s="13" t="s">
        <v>192</v>
      </c>
      <c r="I872" s="13" t="n">
        <v>2</v>
      </c>
      <c r="J872" s="13" t="n">
        <v>3</v>
      </c>
      <c r="K872" s="13" t="n">
        <v>183500</v>
      </c>
      <c r="L872" s="13"/>
      <c r="M872" s="13"/>
      <c r="N872" s="13" t="s">
        <v>255</v>
      </c>
    </row>
    <row r="873" customFormat="false" ht="15" hidden="false" customHeight="false" outlineLevel="0" collapsed="false">
      <c r="A873" s="13" t="s">
        <v>1089</v>
      </c>
      <c r="B873" s="14" t="n">
        <v>43579</v>
      </c>
      <c r="C873" s="14"/>
      <c r="D873" s="13" t="n">
        <v>39</v>
      </c>
      <c r="E873" s="13" t="s">
        <v>144</v>
      </c>
      <c r="F873" s="13" t="s">
        <v>229</v>
      </c>
      <c r="G873" s="13" t="s">
        <v>334</v>
      </c>
      <c r="H873" s="13" t="s">
        <v>192</v>
      </c>
      <c r="I873" s="13" t="n">
        <v>3</v>
      </c>
      <c r="J873" s="13" t="n">
        <v>4</v>
      </c>
      <c r="K873" s="13" t="n">
        <v>201000</v>
      </c>
      <c r="L873" s="13"/>
      <c r="M873" s="13"/>
      <c r="N873" s="13" t="s">
        <v>142</v>
      </c>
    </row>
    <row r="874" customFormat="false" ht="15" hidden="false" customHeight="false" outlineLevel="0" collapsed="false">
      <c r="A874" s="13" t="s">
        <v>1090</v>
      </c>
      <c r="B874" s="14" t="n">
        <v>43580</v>
      </c>
      <c r="C874" s="14"/>
      <c r="D874" s="13" t="n">
        <v>32</v>
      </c>
      <c r="E874" s="13" t="s">
        <v>144</v>
      </c>
      <c r="F874" s="13" t="s">
        <v>241</v>
      </c>
      <c r="G874" s="13" t="s">
        <v>191</v>
      </c>
      <c r="H874" s="13" t="s">
        <v>149</v>
      </c>
      <c r="I874" s="13" t="n">
        <v>3</v>
      </c>
      <c r="J874" s="13" t="n">
        <v>3</v>
      </c>
      <c r="K874" s="13" t="n">
        <v>123000</v>
      </c>
      <c r="L874" s="13"/>
      <c r="M874" s="13"/>
      <c r="N874" s="13" t="s">
        <v>134</v>
      </c>
    </row>
    <row r="875" customFormat="false" ht="15" hidden="false" customHeight="false" outlineLevel="0" collapsed="false">
      <c r="A875" s="13" t="s">
        <v>1091</v>
      </c>
      <c r="B875" s="14" t="n">
        <v>43584</v>
      </c>
      <c r="C875" s="14"/>
      <c r="D875" s="13" t="n">
        <v>43</v>
      </c>
      <c r="E875" s="13" t="s">
        <v>186</v>
      </c>
      <c r="F875" s="13" t="s">
        <v>137</v>
      </c>
      <c r="G875" s="13" t="s">
        <v>138</v>
      </c>
      <c r="H875" s="13" t="s">
        <v>178</v>
      </c>
      <c r="I875" s="13" t="n">
        <v>3</v>
      </c>
      <c r="J875" s="13" t="n">
        <v>1</v>
      </c>
      <c r="K875" s="13" t="n">
        <v>160000</v>
      </c>
      <c r="L875" s="13"/>
      <c r="M875" s="13"/>
      <c r="N875" s="13" t="s">
        <v>255</v>
      </c>
    </row>
    <row r="876" customFormat="false" ht="15" hidden="false" customHeight="false" outlineLevel="0" collapsed="false">
      <c r="A876" s="13" t="s">
        <v>1092</v>
      </c>
      <c r="B876" s="14" t="n">
        <v>43585</v>
      </c>
      <c r="C876" s="14"/>
      <c r="D876" s="13" t="n">
        <v>34</v>
      </c>
      <c r="E876" s="13" t="s">
        <v>144</v>
      </c>
      <c r="F876" s="13" t="s">
        <v>229</v>
      </c>
      <c r="G876" s="13" t="s">
        <v>132</v>
      </c>
      <c r="H876" s="13" t="s">
        <v>139</v>
      </c>
      <c r="I876" s="13" t="n">
        <v>3</v>
      </c>
      <c r="J876" s="13" t="n">
        <v>2</v>
      </c>
      <c r="K876" s="13" t="n">
        <v>38500</v>
      </c>
      <c r="L876" s="13"/>
      <c r="M876" s="13"/>
      <c r="N876" s="13" t="s">
        <v>142</v>
      </c>
    </row>
    <row r="877" customFormat="false" ht="15" hidden="false" customHeight="false" outlineLevel="0" collapsed="false">
      <c r="A877" s="13" t="s">
        <v>1093</v>
      </c>
      <c r="B877" s="14" t="n">
        <v>43587</v>
      </c>
      <c r="C877" s="14" t="n">
        <v>44757</v>
      </c>
      <c r="D877" s="13" t="n">
        <v>33</v>
      </c>
      <c r="E877" s="13" t="s">
        <v>190</v>
      </c>
      <c r="F877" s="13" t="s">
        <v>241</v>
      </c>
      <c r="G877" s="13" t="s">
        <v>148</v>
      </c>
      <c r="H877" s="13" t="s">
        <v>156</v>
      </c>
      <c r="I877" s="13" t="n">
        <v>3</v>
      </c>
      <c r="J877" s="13" t="n">
        <v>4</v>
      </c>
      <c r="K877" s="13" t="n">
        <v>103500</v>
      </c>
      <c r="L877" s="13" t="s">
        <v>151</v>
      </c>
      <c r="M877" s="13" t="s">
        <v>201</v>
      </c>
      <c r="N877" s="13" t="s">
        <v>134</v>
      </c>
    </row>
    <row r="878" customFormat="false" ht="15" hidden="false" customHeight="false" outlineLevel="0" collapsed="false">
      <c r="A878" s="13" t="s">
        <v>1094</v>
      </c>
      <c r="B878" s="14" t="n">
        <v>43588</v>
      </c>
      <c r="C878" s="14"/>
      <c r="D878" s="13" t="n">
        <v>35</v>
      </c>
      <c r="E878" s="13" t="s">
        <v>136</v>
      </c>
      <c r="F878" s="13" t="s">
        <v>168</v>
      </c>
      <c r="G878" s="13" t="s">
        <v>188</v>
      </c>
      <c r="H878" s="13" t="s">
        <v>139</v>
      </c>
      <c r="I878" s="13" t="n">
        <v>3</v>
      </c>
      <c r="J878" s="13" t="n">
        <v>4</v>
      </c>
      <c r="K878" s="13" t="n">
        <v>44000</v>
      </c>
      <c r="L878" s="13"/>
      <c r="M878" s="13"/>
      <c r="N878" s="13" t="s">
        <v>142</v>
      </c>
    </row>
    <row r="879" customFormat="false" ht="15" hidden="false" customHeight="false" outlineLevel="0" collapsed="false">
      <c r="A879" s="13" t="s">
        <v>1095</v>
      </c>
      <c r="B879" s="14" t="n">
        <v>43595</v>
      </c>
      <c r="C879" s="14" t="n">
        <v>45167</v>
      </c>
      <c r="D879" s="13" t="n">
        <v>34</v>
      </c>
      <c r="E879" s="13" t="s">
        <v>163</v>
      </c>
      <c r="F879" s="13" t="s">
        <v>137</v>
      </c>
      <c r="G879" s="13" t="s">
        <v>132</v>
      </c>
      <c r="H879" s="13" t="s">
        <v>139</v>
      </c>
      <c r="I879" s="13" t="n">
        <v>5</v>
      </c>
      <c r="J879" s="13" t="n">
        <v>3</v>
      </c>
      <c r="K879" s="13" t="n">
        <v>39500</v>
      </c>
      <c r="L879" s="13" t="s">
        <v>173</v>
      </c>
      <c r="M879" s="13" t="s">
        <v>254</v>
      </c>
      <c r="N879" s="13" t="s">
        <v>142</v>
      </c>
    </row>
    <row r="880" customFormat="false" ht="15" hidden="false" customHeight="false" outlineLevel="0" collapsed="false">
      <c r="A880" s="13" t="s">
        <v>1096</v>
      </c>
      <c r="B880" s="14" t="n">
        <v>43595</v>
      </c>
      <c r="C880" s="14"/>
      <c r="D880" s="13" t="n">
        <v>35</v>
      </c>
      <c r="E880" s="13" t="s">
        <v>144</v>
      </c>
      <c r="F880" s="13" t="s">
        <v>241</v>
      </c>
      <c r="G880" s="13" t="s">
        <v>132</v>
      </c>
      <c r="H880" s="13" t="s">
        <v>156</v>
      </c>
      <c r="I880" s="13" t="n">
        <v>2</v>
      </c>
      <c r="J880" s="13" t="n">
        <v>3</v>
      </c>
      <c r="K880" s="13" t="n">
        <v>105000</v>
      </c>
      <c r="L880" s="13"/>
      <c r="M880" s="13"/>
      <c r="N880" s="13" t="s">
        <v>134</v>
      </c>
    </row>
    <row r="881" customFormat="false" ht="15" hidden="false" customHeight="false" outlineLevel="0" collapsed="false">
      <c r="A881" s="13" t="s">
        <v>1097</v>
      </c>
      <c r="B881" s="14" t="n">
        <v>43597</v>
      </c>
      <c r="C881" s="14"/>
      <c r="D881" s="13" t="n">
        <v>48</v>
      </c>
      <c r="E881" s="13" t="s">
        <v>144</v>
      </c>
      <c r="F881" s="13" t="s">
        <v>154</v>
      </c>
      <c r="G881" s="13" t="s">
        <v>213</v>
      </c>
      <c r="H881" s="13" t="s">
        <v>343</v>
      </c>
      <c r="I881" s="13" t="n">
        <v>5</v>
      </c>
      <c r="J881" s="13" t="n">
        <v>3</v>
      </c>
      <c r="K881" s="13" t="n">
        <v>113500</v>
      </c>
      <c r="L881" s="13"/>
      <c r="M881" s="13"/>
      <c r="N881" s="13" t="s">
        <v>142</v>
      </c>
    </row>
    <row r="882" customFormat="false" ht="15" hidden="false" customHeight="false" outlineLevel="0" collapsed="false">
      <c r="A882" s="13" t="s">
        <v>1098</v>
      </c>
      <c r="B882" s="14" t="n">
        <v>43598</v>
      </c>
      <c r="C882" s="14"/>
      <c r="D882" s="13" t="n">
        <v>36</v>
      </c>
      <c r="E882" s="13" t="s">
        <v>136</v>
      </c>
      <c r="F882" s="13" t="s">
        <v>164</v>
      </c>
      <c r="G882" s="13" t="s">
        <v>155</v>
      </c>
      <c r="H882" s="13" t="s">
        <v>178</v>
      </c>
      <c r="I882" s="13" t="n">
        <v>1</v>
      </c>
      <c r="J882" s="13" t="n">
        <v>1</v>
      </c>
      <c r="K882" s="13" t="n">
        <v>133000</v>
      </c>
      <c r="L882" s="13"/>
      <c r="M882" s="13"/>
      <c r="N882" s="13" t="s">
        <v>142</v>
      </c>
    </row>
    <row r="883" customFormat="false" ht="15" hidden="false" customHeight="false" outlineLevel="0" collapsed="false">
      <c r="A883" s="13" t="s">
        <v>1099</v>
      </c>
      <c r="B883" s="14" t="n">
        <v>43599</v>
      </c>
      <c r="C883" s="14" t="n">
        <v>44660</v>
      </c>
      <c r="D883" s="13" t="n">
        <v>33</v>
      </c>
      <c r="E883" s="13" t="s">
        <v>136</v>
      </c>
      <c r="F883" s="13" t="s">
        <v>229</v>
      </c>
      <c r="G883" s="13" t="s">
        <v>191</v>
      </c>
      <c r="H883" s="13" t="s">
        <v>246</v>
      </c>
      <c r="I883" s="13" t="n">
        <v>3</v>
      </c>
      <c r="J883" s="13" t="n">
        <v>1</v>
      </c>
      <c r="K883" s="13" t="n">
        <v>125500</v>
      </c>
      <c r="L883" s="13" t="s">
        <v>151</v>
      </c>
      <c r="M883" s="13" t="s">
        <v>314</v>
      </c>
      <c r="N883" s="13" t="s">
        <v>134</v>
      </c>
    </row>
    <row r="884" customFormat="false" ht="15" hidden="false" customHeight="false" outlineLevel="0" collapsed="false">
      <c r="A884" s="13" t="s">
        <v>1100</v>
      </c>
      <c r="B884" s="14" t="n">
        <v>43600</v>
      </c>
      <c r="C884" s="14"/>
      <c r="D884" s="13" t="n">
        <v>46</v>
      </c>
      <c r="E884" s="13" t="s">
        <v>136</v>
      </c>
      <c r="F884" s="13" t="s">
        <v>241</v>
      </c>
      <c r="G884" s="13" t="s">
        <v>148</v>
      </c>
      <c r="H884" s="13" t="s">
        <v>139</v>
      </c>
      <c r="I884" s="13" t="n">
        <v>4</v>
      </c>
      <c r="J884" s="13" t="n">
        <v>4</v>
      </c>
      <c r="K884" s="13" t="n">
        <v>42500</v>
      </c>
      <c r="L884" s="13"/>
      <c r="M884" s="13"/>
      <c r="N884" s="13" t="s">
        <v>142</v>
      </c>
    </row>
    <row r="885" customFormat="false" ht="15" hidden="false" customHeight="false" outlineLevel="0" collapsed="false">
      <c r="A885" s="13" t="s">
        <v>1101</v>
      </c>
      <c r="B885" s="14" t="n">
        <v>43606</v>
      </c>
      <c r="C885" s="14" t="n">
        <v>45162</v>
      </c>
      <c r="D885" s="13" t="n">
        <v>46</v>
      </c>
      <c r="E885" s="13" t="s">
        <v>136</v>
      </c>
      <c r="F885" s="13" t="s">
        <v>145</v>
      </c>
      <c r="G885" s="13" t="s">
        <v>155</v>
      </c>
      <c r="H885" s="13" t="s">
        <v>146</v>
      </c>
      <c r="I885" s="13" t="n">
        <v>2</v>
      </c>
      <c r="J885" s="13" t="n">
        <v>4</v>
      </c>
      <c r="K885" s="13" t="n">
        <v>69500</v>
      </c>
      <c r="L885" s="13" t="s">
        <v>151</v>
      </c>
      <c r="M885" s="13" t="s">
        <v>201</v>
      </c>
      <c r="N885" s="13" t="s">
        <v>142</v>
      </c>
    </row>
    <row r="886" customFormat="false" ht="15" hidden="false" customHeight="false" outlineLevel="0" collapsed="false">
      <c r="A886" s="13" t="s">
        <v>1102</v>
      </c>
      <c r="B886" s="14" t="n">
        <v>43608</v>
      </c>
      <c r="C886" s="14" t="n">
        <v>45015</v>
      </c>
      <c r="D886" s="13" t="n">
        <v>28</v>
      </c>
      <c r="E886" s="13" t="s">
        <v>144</v>
      </c>
      <c r="F886" s="13" t="s">
        <v>154</v>
      </c>
      <c r="G886" s="13" t="s">
        <v>447</v>
      </c>
      <c r="H886" s="13" t="s">
        <v>149</v>
      </c>
      <c r="I886" s="13" t="n">
        <v>3</v>
      </c>
      <c r="J886" s="13" t="n">
        <v>3</v>
      </c>
      <c r="K886" s="13" t="n">
        <v>105000</v>
      </c>
      <c r="L886" s="13" t="s">
        <v>151</v>
      </c>
      <c r="M886" s="13" t="s">
        <v>159</v>
      </c>
      <c r="N886" s="13" t="s">
        <v>134</v>
      </c>
    </row>
    <row r="887" customFormat="false" ht="15" hidden="false" customHeight="false" outlineLevel="0" collapsed="false">
      <c r="A887" s="13" t="s">
        <v>1103</v>
      </c>
      <c r="B887" s="14" t="n">
        <v>43609</v>
      </c>
      <c r="C887" s="14" t="n">
        <v>45445</v>
      </c>
      <c r="D887" s="13" t="n">
        <v>38</v>
      </c>
      <c r="E887" s="13" t="s">
        <v>136</v>
      </c>
      <c r="F887" s="13" t="s">
        <v>170</v>
      </c>
      <c r="G887" s="13" t="s">
        <v>138</v>
      </c>
      <c r="H887" s="13" t="s">
        <v>139</v>
      </c>
      <c r="I887" s="13" t="n">
        <v>1</v>
      </c>
      <c r="J887" s="13" t="n">
        <v>3</v>
      </c>
      <c r="K887" s="13" t="n">
        <v>39000</v>
      </c>
      <c r="L887" s="13" t="s">
        <v>151</v>
      </c>
      <c r="M887" s="13" t="s">
        <v>141</v>
      </c>
      <c r="N887" s="13" t="s">
        <v>142</v>
      </c>
    </row>
    <row r="888" customFormat="false" ht="15" hidden="false" customHeight="false" outlineLevel="0" collapsed="false">
      <c r="A888" s="13" t="s">
        <v>1104</v>
      </c>
      <c r="B888" s="14" t="n">
        <v>43610</v>
      </c>
      <c r="C888" s="14" t="n">
        <v>44792</v>
      </c>
      <c r="D888" s="13" t="n">
        <v>33</v>
      </c>
      <c r="E888" s="13" t="s">
        <v>136</v>
      </c>
      <c r="F888" s="13" t="s">
        <v>168</v>
      </c>
      <c r="G888" s="13" t="s">
        <v>148</v>
      </c>
      <c r="H888" s="13" t="s">
        <v>178</v>
      </c>
      <c r="I888" s="13" t="n">
        <v>2</v>
      </c>
      <c r="J888" s="13" t="n">
        <v>3</v>
      </c>
      <c r="K888" s="13" t="n">
        <v>129500</v>
      </c>
      <c r="L888" s="13" t="s">
        <v>151</v>
      </c>
      <c r="M888" s="13" t="s">
        <v>216</v>
      </c>
      <c r="N888" s="13" t="s">
        <v>142</v>
      </c>
    </row>
    <row r="889" customFormat="false" ht="15" hidden="false" customHeight="false" outlineLevel="0" collapsed="false">
      <c r="A889" s="13" t="s">
        <v>1105</v>
      </c>
      <c r="B889" s="14" t="n">
        <v>43612</v>
      </c>
      <c r="C889" s="14"/>
      <c r="D889" s="13" t="n">
        <v>37</v>
      </c>
      <c r="E889" s="13" t="s">
        <v>190</v>
      </c>
      <c r="F889" s="13" t="s">
        <v>137</v>
      </c>
      <c r="G889" s="13" t="s">
        <v>132</v>
      </c>
      <c r="H889" s="13" t="s">
        <v>139</v>
      </c>
      <c r="I889" s="13" t="n">
        <v>2</v>
      </c>
      <c r="J889" s="13" t="n">
        <v>3</v>
      </c>
      <c r="K889" s="13" t="n">
        <v>35000</v>
      </c>
      <c r="L889" s="13"/>
      <c r="M889" s="13"/>
      <c r="N889" s="13" t="s">
        <v>142</v>
      </c>
    </row>
    <row r="890" customFormat="false" ht="15" hidden="false" customHeight="false" outlineLevel="0" collapsed="false">
      <c r="A890" s="13" t="s">
        <v>1106</v>
      </c>
      <c r="B890" s="14" t="n">
        <v>43616</v>
      </c>
      <c r="C890" s="14" t="n">
        <v>45412</v>
      </c>
      <c r="D890" s="13" t="n">
        <v>33</v>
      </c>
      <c r="E890" s="13" t="s">
        <v>144</v>
      </c>
      <c r="F890" s="13" t="s">
        <v>241</v>
      </c>
      <c r="G890" s="13" t="s">
        <v>148</v>
      </c>
      <c r="H890" s="13" t="s">
        <v>146</v>
      </c>
      <c r="I890" s="13" t="n">
        <v>4</v>
      </c>
      <c r="J890" s="13" t="n">
        <v>4</v>
      </c>
      <c r="K890" s="13" t="n">
        <v>64500</v>
      </c>
      <c r="L890" s="13" t="s">
        <v>151</v>
      </c>
      <c r="M890" s="13" t="s">
        <v>206</v>
      </c>
      <c r="N890" s="13" t="s">
        <v>134</v>
      </c>
    </row>
    <row r="891" customFormat="false" ht="15" hidden="false" customHeight="false" outlineLevel="0" collapsed="false">
      <c r="A891" s="13" t="s">
        <v>1107</v>
      </c>
      <c r="B891" s="14" t="n">
        <v>43619</v>
      </c>
      <c r="C891" s="14"/>
      <c r="D891" s="13" t="n">
        <v>35</v>
      </c>
      <c r="E891" s="13" t="s">
        <v>136</v>
      </c>
      <c r="F891" s="13" t="s">
        <v>170</v>
      </c>
      <c r="G891" s="13" t="s">
        <v>155</v>
      </c>
      <c r="H891" s="13" t="s">
        <v>139</v>
      </c>
      <c r="I891" s="13" t="n">
        <v>5</v>
      </c>
      <c r="J891" s="13" t="n">
        <v>2</v>
      </c>
      <c r="K891" s="13" t="n">
        <v>42500</v>
      </c>
      <c r="L891" s="13"/>
      <c r="M891" s="13"/>
      <c r="N891" s="13" t="s">
        <v>255</v>
      </c>
    </row>
    <row r="892" customFormat="false" ht="15" hidden="false" customHeight="false" outlineLevel="0" collapsed="false">
      <c r="A892" s="13" t="s">
        <v>1108</v>
      </c>
      <c r="B892" s="14" t="n">
        <v>43620</v>
      </c>
      <c r="C892" s="14" t="n">
        <v>44580</v>
      </c>
      <c r="D892" s="13" t="n">
        <v>33</v>
      </c>
      <c r="E892" s="13" t="s">
        <v>136</v>
      </c>
      <c r="F892" s="13" t="s">
        <v>241</v>
      </c>
      <c r="G892" s="13" t="s">
        <v>138</v>
      </c>
      <c r="H892" s="13" t="s">
        <v>146</v>
      </c>
      <c r="I892" s="13" t="n">
        <v>3</v>
      </c>
      <c r="J892" s="13" t="n">
        <v>1</v>
      </c>
      <c r="K892" s="13" t="n">
        <v>72000</v>
      </c>
      <c r="L892" s="13" t="s">
        <v>151</v>
      </c>
      <c r="M892" s="13" t="s">
        <v>203</v>
      </c>
      <c r="N892" s="13" t="s">
        <v>142</v>
      </c>
    </row>
    <row r="893" customFormat="false" ht="15" hidden="false" customHeight="false" outlineLevel="0" collapsed="false">
      <c r="A893" s="13" t="s">
        <v>1109</v>
      </c>
      <c r="B893" s="14" t="n">
        <v>43628</v>
      </c>
      <c r="C893" s="14" t="n">
        <v>45622</v>
      </c>
      <c r="D893" s="13" t="n">
        <v>33</v>
      </c>
      <c r="E893" s="13" t="s">
        <v>182</v>
      </c>
      <c r="F893" s="13" t="s">
        <v>170</v>
      </c>
      <c r="G893" s="13" t="s">
        <v>138</v>
      </c>
      <c r="H893" s="13" t="s">
        <v>178</v>
      </c>
      <c r="I893" s="13" t="n">
        <v>4</v>
      </c>
      <c r="J893" s="13" t="n">
        <v>4</v>
      </c>
      <c r="K893" s="13" t="n">
        <v>127500</v>
      </c>
      <c r="L893" s="13" t="s">
        <v>151</v>
      </c>
      <c r="M893" s="13" t="s">
        <v>201</v>
      </c>
      <c r="N893" s="13" t="s">
        <v>453</v>
      </c>
    </row>
    <row r="894" customFormat="false" ht="15" hidden="false" customHeight="false" outlineLevel="0" collapsed="false">
      <c r="A894" s="13" t="s">
        <v>1110</v>
      </c>
      <c r="B894" s="14" t="n">
        <v>43632</v>
      </c>
      <c r="C894" s="14"/>
      <c r="D894" s="13" t="n">
        <v>39</v>
      </c>
      <c r="E894" s="13" t="s">
        <v>144</v>
      </c>
      <c r="F894" s="13" t="s">
        <v>131</v>
      </c>
      <c r="G894" s="13" t="s">
        <v>297</v>
      </c>
      <c r="H894" s="13" t="s">
        <v>192</v>
      </c>
      <c r="I894" s="13" t="n">
        <v>4</v>
      </c>
      <c r="J894" s="13" t="n">
        <v>3</v>
      </c>
      <c r="K894" s="13" t="n">
        <v>216000</v>
      </c>
      <c r="L894" s="13"/>
      <c r="M894" s="13"/>
      <c r="N894" s="13" t="s">
        <v>142</v>
      </c>
    </row>
    <row r="895" customFormat="false" ht="15" hidden="false" customHeight="false" outlineLevel="0" collapsed="false">
      <c r="A895" s="13" t="s">
        <v>1111</v>
      </c>
      <c r="B895" s="14" t="n">
        <v>43633</v>
      </c>
      <c r="C895" s="14"/>
      <c r="D895" s="13" t="n">
        <v>43</v>
      </c>
      <c r="E895" s="13" t="s">
        <v>136</v>
      </c>
      <c r="F895" s="13" t="s">
        <v>161</v>
      </c>
      <c r="G895" s="13" t="s">
        <v>334</v>
      </c>
      <c r="H895" s="13" t="s">
        <v>146</v>
      </c>
      <c r="I895" s="13" t="n">
        <v>4</v>
      </c>
      <c r="J895" s="13" t="n">
        <v>4</v>
      </c>
      <c r="K895" s="13" t="n">
        <v>67000</v>
      </c>
      <c r="L895" s="13"/>
      <c r="M895" s="13"/>
      <c r="N895" s="13" t="s">
        <v>157</v>
      </c>
    </row>
    <row r="896" customFormat="false" ht="15" hidden="false" customHeight="false" outlineLevel="0" collapsed="false">
      <c r="A896" s="13" t="s">
        <v>1112</v>
      </c>
      <c r="B896" s="14" t="n">
        <v>43634</v>
      </c>
      <c r="C896" s="14"/>
      <c r="D896" s="13" t="n">
        <v>33</v>
      </c>
      <c r="E896" s="13" t="s">
        <v>144</v>
      </c>
      <c r="F896" s="13" t="s">
        <v>170</v>
      </c>
      <c r="G896" s="13" t="s">
        <v>307</v>
      </c>
      <c r="H896" s="13" t="s">
        <v>139</v>
      </c>
      <c r="I896" s="13" t="n">
        <v>3</v>
      </c>
      <c r="J896" s="13" t="n">
        <v>4</v>
      </c>
      <c r="K896" s="13" t="n">
        <v>40000</v>
      </c>
      <c r="L896" s="13"/>
      <c r="M896" s="13"/>
      <c r="N896" s="13" t="s">
        <v>142</v>
      </c>
    </row>
    <row r="897" customFormat="false" ht="15" hidden="false" customHeight="false" outlineLevel="0" collapsed="false">
      <c r="A897" s="13" t="s">
        <v>1113</v>
      </c>
      <c r="B897" s="14" t="n">
        <v>43635</v>
      </c>
      <c r="C897" s="14"/>
      <c r="D897" s="13" t="n">
        <v>32</v>
      </c>
      <c r="E897" s="13" t="s">
        <v>144</v>
      </c>
      <c r="F897" s="13" t="s">
        <v>241</v>
      </c>
      <c r="G897" s="13" t="s">
        <v>374</v>
      </c>
      <c r="H897" s="13" t="s">
        <v>146</v>
      </c>
      <c r="I897" s="13" t="n">
        <v>3</v>
      </c>
      <c r="J897" s="13" t="n">
        <v>2</v>
      </c>
      <c r="K897" s="13" t="n">
        <v>68500</v>
      </c>
      <c r="L897" s="13"/>
      <c r="M897" s="13"/>
      <c r="N897" s="13" t="s">
        <v>142</v>
      </c>
    </row>
    <row r="898" customFormat="false" ht="15" hidden="false" customHeight="false" outlineLevel="0" collapsed="false">
      <c r="A898" s="13" t="s">
        <v>1114</v>
      </c>
      <c r="B898" s="14" t="n">
        <v>43637</v>
      </c>
      <c r="C898" s="14" t="n">
        <v>45378</v>
      </c>
      <c r="D898" s="13" t="n">
        <v>33</v>
      </c>
      <c r="E898" s="13" t="s">
        <v>136</v>
      </c>
      <c r="F898" s="13" t="s">
        <v>168</v>
      </c>
      <c r="G898" s="13" t="s">
        <v>188</v>
      </c>
      <c r="H898" s="13" t="s">
        <v>178</v>
      </c>
      <c r="I898" s="13" t="n">
        <v>4</v>
      </c>
      <c r="J898" s="13" t="n">
        <v>1</v>
      </c>
      <c r="K898" s="13" t="n">
        <v>138500</v>
      </c>
      <c r="L898" s="13" t="s">
        <v>151</v>
      </c>
      <c r="M898" s="13" t="s">
        <v>216</v>
      </c>
      <c r="N898" s="13" t="s">
        <v>134</v>
      </c>
    </row>
    <row r="899" customFormat="false" ht="15" hidden="false" customHeight="false" outlineLevel="0" collapsed="false">
      <c r="A899" s="13" t="s">
        <v>1115</v>
      </c>
      <c r="B899" s="14" t="n">
        <v>43637</v>
      </c>
      <c r="C899" s="14"/>
      <c r="D899" s="13" t="n">
        <v>51</v>
      </c>
      <c r="E899" s="13" t="s">
        <v>144</v>
      </c>
      <c r="F899" s="13" t="s">
        <v>137</v>
      </c>
      <c r="G899" s="13" t="s">
        <v>148</v>
      </c>
      <c r="H899" s="13" t="s">
        <v>139</v>
      </c>
      <c r="I899" s="13" t="n">
        <v>4</v>
      </c>
      <c r="J899" s="13" t="n">
        <v>3</v>
      </c>
      <c r="K899" s="13" t="n">
        <v>47000</v>
      </c>
      <c r="L899" s="13"/>
      <c r="M899" s="13"/>
      <c r="N899" s="13" t="s">
        <v>453</v>
      </c>
    </row>
    <row r="900" customFormat="false" ht="15" hidden="false" customHeight="false" outlineLevel="0" collapsed="false">
      <c r="A900" s="13" t="s">
        <v>1116</v>
      </c>
      <c r="B900" s="14" t="n">
        <v>43637</v>
      </c>
      <c r="C900" s="14" t="n">
        <v>45136</v>
      </c>
      <c r="D900" s="13" t="n">
        <v>35</v>
      </c>
      <c r="E900" s="13" t="s">
        <v>144</v>
      </c>
      <c r="F900" s="13" t="s">
        <v>168</v>
      </c>
      <c r="G900" s="13" t="s">
        <v>374</v>
      </c>
      <c r="H900" s="13" t="s">
        <v>149</v>
      </c>
      <c r="I900" s="13" t="n">
        <v>3</v>
      </c>
      <c r="J900" s="13" t="n">
        <v>3</v>
      </c>
      <c r="K900" s="13" t="n">
        <v>110500</v>
      </c>
      <c r="L900" s="13" t="s">
        <v>173</v>
      </c>
      <c r="M900" s="13"/>
      <c r="N900" s="13" t="s">
        <v>142</v>
      </c>
    </row>
    <row r="901" customFormat="false" ht="15" hidden="false" customHeight="false" outlineLevel="0" collapsed="false">
      <c r="A901" s="13" t="s">
        <v>1117</v>
      </c>
      <c r="B901" s="14" t="n">
        <v>43638</v>
      </c>
      <c r="C901" s="14"/>
      <c r="D901" s="13" t="n">
        <v>28</v>
      </c>
      <c r="E901" s="13" t="s">
        <v>144</v>
      </c>
      <c r="F901" s="13" t="s">
        <v>241</v>
      </c>
      <c r="G901" s="13" t="s">
        <v>148</v>
      </c>
      <c r="H901" s="13" t="s">
        <v>133</v>
      </c>
      <c r="I901" s="13" t="n">
        <v>5</v>
      </c>
      <c r="J901" s="13" t="n">
        <v>4</v>
      </c>
      <c r="K901" s="13" t="n">
        <v>70000</v>
      </c>
      <c r="L901" s="13"/>
      <c r="M901" s="13"/>
      <c r="N901" s="13" t="s">
        <v>142</v>
      </c>
    </row>
    <row r="902" customFormat="false" ht="15" hidden="false" customHeight="false" outlineLevel="0" collapsed="false">
      <c r="A902" s="13" t="s">
        <v>1118</v>
      </c>
      <c r="B902" s="14" t="n">
        <v>43638</v>
      </c>
      <c r="C902" s="14"/>
      <c r="D902" s="13" t="n">
        <v>32</v>
      </c>
      <c r="E902" s="13" t="s">
        <v>144</v>
      </c>
      <c r="F902" s="13" t="s">
        <v>170</v>
      </c>
      <c r="G902" s="13" t="s">
        <v>195</v>
      </c>
      <c r="H902" s="13" t="s">
        <v>139</v>
      </c>
      <c r="I902" s="13" t="n">
        <v>4</v>
      </c>
      <c r="J902" s="13" t="n">
        <v>3</v>
      </c>
      <c r="K902" s="13" t="n">
        <v>52500</v>
      </c>
      <c r="L902" s="13"/>
      <c r="M902" s="13"/>
      <c r="N902" s="13" t="s">
        <v>142</v>
      </c>
    </row>
    <row r="903" customFormat="false" ht="15" hidden="false" customHeight="false" outlineLevel="0" collapsed="false">
      <c r="A903" s="13" t="s">
        <v>1119</v>
      </c>
      <c r="B903" s="14" t="n">
        <v>43640</v>
      </c>
      <c r="C903" s="14" t="n">
        <v>45525</v>
      </c>
      <c r="D903" s="13" t="n">
        <v>27</v>
      </c>
      <c r="E903" s="13" t="s">
        <v>163</v>
      </c>
      <c r="F903" s="13" t="s">
        <v>170</v>
      </c>
      <c r="G903" s="13" t="s">
        <v>235</v>
      </c>
      <c r="H903" s="13" t="s">
        <v>178</v>
      </c>
      <c r="I903" s="13" t="n">
        <v>5</v>
      </c>
      <c r="J903" s="13" t="n">
        <v>1</v>
      </c>
      <c r="K903" s="13" t="n">
        <v>146500</v>
      </c>
      <c r="L903" s="13" t="s">
        <v>200</v>
      </c>
      <c r="M903" s="13" t="s">
        <v>203</v>
      </c>
      <c r="N903" s="13" t="s">
        <v>142</v>
      </c>
    </row>
    <row r="904" customFormat="false" ht="15" hidden="false" customHeight="false" outlineLevel="0" collapsed="false">
      <c r="A904" s="13" t="s">
        <v>1120</v>
      </c>
      <c r="B904" s="14" t="n">
        <v>43644</v>
      </c>
      <c r="C904" s="14" t="n">
        <v>44755</v>
      </c>
      <c r="D904" s="13" t="n">
        <v>33</v>
      </c>
      <c r="E904" s="13" t="s">
        <v>144</v>
      </c>
      <c r="F904" s="13" t="s">
        <v>145</v>
      </c>
      <c r="G904" s="13" t="s">
        <v>148</v>
      </c>
      <c r="H904" s="13" t="s">
        <v>139</v>
      </c>
      <c r="I904" s="13" t="n">
        <v>5</v>
      </c>
      <c r="J904" s="13" t="n">
        <v>3</v>
      </c>
      <c r="K904" s="13" t="n">
        <v>42000</v>
      </c>
      <c r="L904" s="13" t="s">
        <v>151</v>
      </c>
      <c r="M904" s="13" t="s">
        <v>216</v>
      </c>
      <c r="N904" s="13" t="s">
        <v>134</v>
      </c>
    </row>
    <row r="905" customFormat="false" ht="15" hidden="false" customHeight="false" outlineLevel="0" collapsed="false">
      <c r="A905" s="13" t="s">
        <v>1121</v>
      </c>
      <c r="B905" s="14" t="n">
        <v>43645</v>
      </c>
      <c r="C905" s="14"/>
      <c r="D905" s="13" t="n">
        <v>37</v>
      </c>
      <c r="E905" s="13" t="s">
        <v>186</v>
      </c>
      <c r="F905" s="13" t="s">
        <v>164</v>
      </c>
      <c r="G905" s="13" t="s">
        <v>138</v>
      </c>
      <c r="H905" s="13" t="s">
        <v>192</v>
      </c>
      <c r="I905" s="13"/>
      <c r="J905" s="13"/>
      <c r="K905" s="13" t="n">
        <v>214500</v>
      </c>
      <c r="L905" s="13"/>
      <c r="M905" s="13"/>
      <c r="N905" s="13" t="s">
        <v>142</v>
      </c>
    </row>
    <row r="906" customFormat="false" ht="15" hidden="false" customHeight="false" outlineLevel="0" collapsed="false">
      <c r="A906" s="13" t="s">
        <v>1122</v>
      </c>
      <c r="B906" s="14" t="n">
        <v>43647</v>
      </c>
      <c r="C906" s="14" t="n">
        <v>45520</v>
      </c>
      <c r="D906" s="13" t="n">
        <v>32</v>
      </c>
      <c r="E906" s="13" t="s">
        <v>144</v>
      </c>
      <c r="F906" s="13" t="s">
        <v>131</v>
      </c>
      <c r="G906" s="13" t="s">
        <v>148</v>
      </c>
      <c r="H906" s="13" t="s">
        <v>146</v>
      </c>
      <c r="I906" s="13" t="n">
        <v>4</v>
      </c>
      <c r="J906" s="13" t="n">
        <v>4</v>
      </c>
      <c r="K906" s="13" t="n">
        <v>64000</v>
      </c>
      <c r="L906" s="13" t="s">
        <v>151</v>
      </c>
      <c r="M906" s="13" t="s">
        <v>159</v>
      </c>
      <c r="N906" s="13" t="s">
        <v>142</v>
      </c>
    </row>
    <row r="907" customFormat="false" ht="15" hidden="false" customHeight="false" outlineLevel="0" collapsed="false">
      <c r="A907" s="13" t="s">
        <v>1123</v>
      </c>
      <c r="B907" s="14" t="n">
        <v>43648</v>
      </c>
      <c r="C907" s="14" t="n">
        <v>45755</v>
      </c>
      <c r="D907" s="13" t="n">
        <v>31</v>
      </c>
      <c r="E907" s="13" t="s">
        <v>136</v>
      </c>
      <c r="F907" s="13" t="s">
        <v>137</v>
      </c>
      <c r="G907" s="13" t="s">
        <v>138</v>
      </c>
      <c r="H907" s="13" t="s">
        <v>192</v>
      </c>
      <c r="I907" s="13" t="n">
        <v>3</v>
      </c>
      <c r="J907" s="13" t="n">
        <v>4</v>
      </c>
      <c r="K907" s="13" t="n">
        <v>202500</v>
      </c>
      <c r="L907" s="13" t="s">
        <v>151</v>
      </c>
      <c r="M907" s="13" t="s">
        <v>216</v>
      </c>
      <c r="N907" s="13" t="s">
        <v>142</v>
      </c>
    </row>
    <row r="908" customFormat="false" ht="15" hidden="false" customHeight="false" outlineLevel="0" collapsed="false">
      <c r="A908" s="13" t="s">
        <v>1124</v>
      </c>
      <c r="B908" s="14" t="n">
        <v>43648</v>
      </c>
      <c r="C908" s="14" t="n">
        <v>44933</v>
      </c>
      <c r="D908" s="13" t="n">
        <v>28</v>
      </c>
      <c r="E908" s="13" t="s">
        <v>259</v>
      </c>
      <c r="F908" s="13" t="s">
        <v>161</v>
      </c>
      <c r="G908" s="13" t="s">
        <v>184</v>
      </c>
      <c r="H908" s="13" t="s">
        <v>149</v>
      </c>
      <c r="I908" s="13" t="n">
        <v>4</v>
      </c>
      <c r="J908" s="13" t="n">
        <v>3</v>
      </c>
      <c r="K908" s="13" t="n">
        <v>124000</v>
      </c>
      <c r="L908" s="13" t="s">
        <v>151</v>
      </c>
      <c r="M908" s="13"/>
      <c r="N908" s="13" t="s">
        <v>214</v>
      </c>
    </row>
    <row r="909" customFormat="false" ht="15" hidden="false" customHeight="false" outlineLevel="0" collapsed="false">
      <c r="A909" s="13" t="s">
        <v>1125</v>
      </c>
      <c r="B909" s="14" t="n">
        <v>43651</v>
      </c>
      <c r="C909" s="14" t="n">
        <v>45258</v>
      </c>
      <c r="D909" s="13" t="n">
        <v>42</v>
      </c>
      <c r="E909" s="13" t="s">
        <v>259</v>
      </c>
      <c r="F909" s="13" t="s">
        <v>137</v>
      </c>
      <c r="G909" s="13" t="s">
        <v>191</v>
      </c>
      <c r="H909" s="13" t="s">
        <v>178</v>
      </c>
      <c r="I909" s="13" t="n">
        <v>3</v>
      </c>
      <c r="J909" s="13" t="n">
        <v>3</v>
      </c>
      <c r="K909" s="13" t="n">
        <v>132000</v>
      </c>
      <c r="L909" s="13" t="s">
        <v>200</v>
      </c>
      <c r="M909" s="13" t="s">
        <v>201</v>
      </c>
      <c r="N909" s="13" t="s">
        <v>142</v>
      </c>
    </row>
    <row r="910" customFormat="false" ht="15" hidden="false" customHeight="false" outlineLevel="0" collapsed="false">
      <c r="A910" s="13" t="s">
        <v>1126</v>
      </c>
      <c r="B910" s="14" t="n">
        <v>43651</v>
      </c>
      <c r="C910" s="14"/>
      <c r="D910" s="13" t="n">
        <v>34</v>
      </c>
      <c r="E910" s="13" t="s">
        <v>144</v>
      </c>
      <c r="F910" s="13" t="s">
        <v>137</v>
      </c>
      <c r="G910" s="13" t="s">
        <v>155</v>
      </c>
      <c r="H910" s="13" t="s">
        <v>156</v>
      </c>
      <c r="I910" s="13" t="n">
        <v>5</v>
      </c>
      <c r="J910" s="13" t="n">
        <v>3</v>
      </c>
      <c r="K910" s="13" t="n">
        <v>113500</v>
      </c>
      <c r="L910" s="13"/>
      <c r="M910" s="13"/>
      <c r="N910" s="13" t="s">
        <v>142</v>
      </c>
    </row>
    <row r="911" customFormat="false" ht="15" hidden="false" customHeight="false" outlineLevel="0" collapsed="false">
      <c r="A911" s="13" t="s">
        <v>1127</v>
      </c>
      <c r="B911" s="14" t="n">
        <v>43652</v>
      </c>
      <c r="C911" s="14"/>
      <c r="D911" s="13" t="n">
        <v>33</v>
      </c>
      <c r="E911" s="13" t="s">
        <v>186</v>
      </c>
      <c r="F911" s="13" t="s">
        <v>161</v>
      </c>
      <c r="G911" s="13" t="s">
        <v>438</v>
      </c>
      <c r="H911" s="13" t="s">
        <v>192</v>
      </c>
      <c r="I911" s="13" t="n">
        <v>4</v>
      </c>
      <c r="J911" s="13" t="n">
        <v>3</v>
      </c>
      <c r="K911" s="13" t="n">
        <v>192500</v>
      </c>
      <c r="L911" s="13"/>
      <c r="M911" s="13"/>
      <c r="N911" s="13" t="s">
        <v>142</v>
      </c>
    </row>
    <row r="912" customFormat="false" ht="15" hidden="false" customHeight="false" outlineLevel="0" collapsed="false">
      <c r="A912" s="13" t="s">
        <v>1128</v>
      </c>
      <c r="B912" s="14" t="n">
        <v>43657</v>
      </c>
      <c r="C912" s="14" t="n">
        <v>44978</v>
      </c>
      <c r="D912" s="13" t="n">
        <v>33</v>
      </c>
      <c r="E912" s="13" t="s">
        <v>190</v>
      </c>
      <c r="F912" s="13" t="s">
        <v>168</v>
      </c>
      <c r="G912" s="13" t="s">
        <v>148</v>
      </c>
      <c r="H912" s="13" t="s">
        <v>149</v>
      </c>
      <c r="I912" s="13" t="n">
        <v>3</v>
      </c>
      <c r="J912" s="13" t="n">
        <v>1</v>
      </c>
      <c r="K912" s="13" t="n">
        <v>101500</v>
      </c>
      <c r="L912" s="13" t="s">
        <v>140</v>
      </c>
      <c r="M912" s="13" t="s">
        <v>159</v>
      </c>
      <c r="N912" s="13" t="s">
        <v>134</v>
      </c>
    </row>
    <row r="913" customFormat="false" ht="15" hidden="false" customHeight="false" outlineLevel="0" collapsed="false">
      <c r="A913" s="13" t="s">
        <v>1129</v>
      </c>
      <c r="B913" s="14" t="n">
        <v>43657</v>
      </c>
      <c r="C913" s="14" t="n">
        <v>44692</v>
      </c>
      <c r="D913" s="13" t="n">
        <v>30</v>
      </c>
      <c r="E913" s="13" t="s">
        <v>136</v>
      </c>
      <c r="F913" s="13" t="s">
        <v>168</v>
      </c>
      <c r="G913" s="13" t="s">
        <v>155</v>
      </c>
      <c r="H913" s="13" t="s">
        <v>146</v>
      </c>
      <c r="I913" s="13" t="n">
        <v>5</v>
      </c>
      <c r="J913" s="13" t="n">
        <v>3</v>
      </c>
      <c r="K913" s="13" t="n">
        <v>77500</v>
      </c>
      <c r="L913" s="13" t="s">
        <v>140</v>
      </c>
      <c r="M913" s="13" t="s">
        <v>141</v>
      </c>
      <c r="N913" s="13" t="s">
        <v>134</v>
      </c>
    </row>
    <row r="914" customFormat="false" ht="15" hidden="false" customHeight="false" outlineLevel="0" collapsed="false">
      <c r="A914" s="13" t="s">
        <v>1130</v>
      </c>
      <c r="B914" s="14" t="n">
        <v>43658</v>
      </c>
      <c r="C914" s="14" t="n">
        <v>44622</v>
      </c>
      <c r="D914" s="13" t="n">
        <v>36</v>
      </c>
      <c r="E914" s="13" t="s">
        <v>144</v>
      </c>
      <c r="F914" s="13" t="s">
        <v>131</v>
      </c>
      <c r="G914" s="13" t="s">
        <v>148</v>
      </c>
      <c r="H914" s="13" t="s">
        <v>139</v>
      </c>
      <c r="I914" s="13" t="n">
        <v>2</v>
      </c>
      <c r="J914" s="13" t="n">
        <v>2</v>
      </c>
      <c r="K914" s="13" t="n">
        <v>37500</v>
      </c>
      <c r="L914" s="13" t="s">
        <v>151</v>
      </c>
      <c r="M914" s="13" t="s">
        <v>159</v>
      </c>
      <c r="N914" s="13" t="s">
        <v>134</v>
      </c>
    </row>
    <row r="915" customFormat="false" ht="15" hidden="false" customHeight="false" outlineLevel="0" collapsed="false">
      <c r="A915" s="13" t="s">
        <v>1131</v>
      </c>
      <c r="B915" s="14" t="n">
        <v>43665</v>
      </c>
      <c r="C915" s="14" t="n">
        <v>44568</v>
      </c>
      <c r="D915" s="13" t="n">
        <v>28</v>
      </c>
      <c r="E915" s="13" t="s">
        <v>136</v>
      </c>
      <c r="F915" s="13" t="s">
        <v>161</v>
      </c>
      <c r="G915" s="13" t="s">
        <v>138</v>
      </c>
      <c r="H915" s="13" t="s">
        <v>139</v>
      </c>
      <c r="I915" s="13" t="n">
        <v>4</v>
      </c>
      <c r="J915" s="13" t="n">
        <v>2</v>
      </c>
      <c r="K915" s="13" t="n">
        <v>40000</v>
      </c>
      <c r="L915" s="13" t="s">
        <v>151</v>
      </c>
      <c r="M915" s="13" t="s">
        <v>152</v>
      </c>
      <c r="N915" s="13" t="s">
        <v>134</v>
      </c>
    </row>
    <row r="916" customFormat="false" ht="15" hidden="false" customHeight="false" outlineLevel="0" collapsed="false">
      <c r="A916" s="13" t="s">
        <v>1132</v>
      </c>
      <c r="B916" s="14" t="n">
        <v>43667</v>
      </c>
      <c r="C916" s="14" t="n">
        <v>45190</v>
      </c>
      <c r="D916" s="13" t="n">
        <v>27</v>
      </c>
      <c r="E916" s="13" t="s">
        <v>144</v>
      </c>
      <c r="F916" s="13" t="s">
        <v>161</v>
      </c>
      <c r="G916" s="13" t="s">
        <v>138</v>
      </c>
      <c r="H916" s="13" t="s">
        <v>178</v>
      </c>
      <c r="I916" s="13" t="n">
        <v>3</v>
      </c>
      <c r="J916" s="13" t="n">
        <v>1</v>
      </c>
      <c r="K916" s="13" t="n">
        <v>152500</v>
      </c>
      <c r="L916" s="13" t="s">
        <v>173</v>
      </c>
      <c r="M916" s="13" t="s">
        <v>254</v>
      </c>
      <c r="N916" s="13" t="s">
        <v>134</v>
      </c>
    </row>
    <row r="917" customFormat="false" ht="15" hidden="false" customHeight="false" outlineLevel="0" collapsed="false">
      <c r="A917" s="13" t="s">
        <v>1133</v>
      </c>
      <c r="B917" s="14" t="n">
        <v>43667</v>
      </c>
      <c r="C917" s="14" t="n">
        <v>45286</v>
      </c>
      <c r="D917" s="13" t="n">
        <v>36</v>
      </c>
      <c r="E917" s="13" t="s">
        <v>190</v>
      </c>
      <c r="F917" s="13" t="s">
        <v>145</v>
      </c>
      <c r="G917" s="13" t="s">
        <v>132</v>
      </c>
      <c r="H917" s="13" t="s">
        <v>192</v>
      </c>
      <c r="I917" s="13" t="n">
        <v>3</v>
      </c>
      <c r="J917" s="13" t="n">
        <v>2</v>
      </c>
      <c r="K917" s="13" t="n">
        <v>204000</v>
      </c>
      <c r="L917" s="13" t="s">
        <v>272</v>
      </c>
      <c r="M917" s="13" t="s">
        <v>254</v>
      </c>
      <c r="N917" s="13" t="s">
        <v>134</v>
      </c>
    </row>
    <row r="918" customFormat="false" ht="15" hidden="false" customHeight="false" outlineLevel="0" collapsed="false">
      <c r="A918" s="13" t="s">
        <v>1134</v>
      </c>
      <c r="B918" s="14" t="n">
        <v>43668</v>
      </c>
      <c r="C918" s="14"/>
      <c r="D918" s="13" t="n">
        <v>35</v>
      </c>
      <c r="E918" s="13" t="s">
        <v>259</v>
      </c>
      <c r="F918" s="13" t="s">
        <v>239</v>
      </c>
      <c r="G918" s="13" t="s">
        <v>191</v>
      </c>
      <c r="H918" s="13" t="s">
        <v>139</v>
      </c>
      <c r="I918" s="13" t="n">
        <v>3</v>
      </c>
      <c r="J918" s="13" t="n">
        <v>2</v>
      </c>
      <c r="K918" s="13" t="n">
        <v>47500</v>
      </c>
      <c r="L918" s="13"/>
      <c r="M918" s="13"/>
      <c r="N918" s="13" t="s">
        <v>142</v>
      </c>
    </row>
    <row r="919" customFormat="false" ht="15" hidden="false" customHeight="false" outlineLevel="0" collapsed="false">
      <c r="A919" s="13" t="s">
        <v>1135</v>
      </c>
      <c r="B919" s="14" t="n">
        <v>43670</v>
      </c>
      <c r="C919" s="14" t="n">
        <v>45196</v>
      </c>
      <c r="D919" s="13" t="n">
        <v>31</v>
      </c>
      <c r="E919" s="13" t="s">
        <v>136</v>
      </c>
      <c r="F919" s="13" t="s">
        <v>131</v>
      </c>
      <c r="G919" s="13" t="s">
        <v>138</v>
      </c>
      <c r="H919" s="13" t="s">
        <v>146</v>
      </c>
      <c r="I919" s="13" t="n">
        <v>4</v>
      </c>
      <c r="J919" s="13" t="n">
        <v>1</v>
      </c>
      <c r="K919" s="13" t="n">
        <v>66500</v>
      </c>
      <c r="L919" s="13" t="s">
        <v>173</v>
      </c>
      <c r="M919" s="13" t="s">
        <v>254</v>
      </c>
      <c r="N919" s="13" t="s">
        <v>142</v>
      </c>
    </row>
    <row r="920" customFormat="false" ht="15" hidden="false" customHeight="false" outlineLevel="0" collapsed="false">
      <c r="A920" s="13" t="s">
        <v>1136</v>
      </c>
      <c r="B920" s="14" t="n">
        <v>43671</v>
      </c>
      <c r="C920" s="14"/>
      <c r="D920" s="13" t="n">
        <v>29</v>
      </c>
      <c r="E920" s="13" t="s">
        <v>144</v>
      </c>
      <c r="F920" s="13" t="s">
        <v>168</v>
      </c>
      <c r="G920" s="13" t="s">
        <v>191</v>
      </c>
      <c r="H920" s="13" t="s">
        <v>146</v>
      </c>
      <c r="I920" s="13" t="n">
        <v>3</v>
      </c>
      <c r="J920" s="13" t="n">
        <v>4</v>
      </c>
      <c r="K920" s="13" t="n">
        <v>64500</v>
      </c>
      <c r="L920" s="13"/>
      <c r="M920" s="13"/>
      <c r="N920" s="13" t="s">
        <v>157</v>
      </c>
    </row>
    <row r="921" customFormat="false" ht="15" hidden="false" customHeight="false" outlineLevel="0" collapsed="false">
      <c r="A921" s="13" t="s">
        <v>1137</v>
      </c>
      <c r="B921" s="14" t="n">
        <v>43671</v>
      </c>
      <c r="C921" s="14"/>
      <c r="D921" s="13" t="n">
        <v>31</v>
      </c>
      <c r="E921" s="13" t="s">
        <v>130</v>
      </c>
      <c r="F921" s="13" t="s">
        <v>131</v>
      </c>
      <c r="G921" s="13" t="s">
        <v>132</v>
      </c>
      <c r="H921" s="13" t="s">
        <v>139</v>
      </c>
      <c r="I921" s="13" t="n">
        <v>3</v>
      </c>
      <c r="J921" s="13" t="n">
        <v>4</v>
      </c>
      <c r="K921" s="13" t="n">
        <v>42000</v>
      </c>
      <c r="L921" s="13"/>
      <c r="M921" s="13"/>
      <c r="N921" s="13" t="s">
        <v>134</v>
      </c>
    </row>
    <row r="922" customFormat="false" ht="15" hidden="false" customHeight="false" outlineLevel="0" collapsed="false">
      <c r="A922" s="13" t="s">
        <v>1138</v>
      </c>
      <c r="B922" s="14" t="n">
        <v>43672</v>
      </c>
      <c r="C922" s="14"/>
      <c r="D922" s="13" t="n">
        <v>36</v>
      </c>
      <c r="E922" s="13" t="s">
        <v>144</v>
      </c>
      <c r="F922" s="13" t="s">
        <v>168</v>
      </c>
      <c r="G922" s="13" t="s">
        <v>334</v>
      </c>
      <c r="H922" s="13" t="s">
        <v>139</v>
      </c>
      <c r="I922" s="13" t="n">
        <v>3</v>
      </c>
      <c r="J922" s="13" t="n">
        <v>4</v>
      </c>
      <c r="K922" s="13" t="n">
        <v>41500</v>
      </c>
      <c r="L922" s="13"/>
      <c r="M922" s="13"/>
      <c r="N922" s="13" t="s">
        <v>134</v>
      </c>
    </row>
    <row r="923" customFormat="false" ht="15" hidden="false" customHeight="false" outlineLevel="0" collapsed="false">
      <c r="A923" s="13" t="s">
        <v>1139</v>
      </c>
      <c r="B923" s="14" t="n">
        <v>43673</v>
      </c>
      <c r="C923" s="14"/>
      <c r="D923" s="13" t="n">
        <v>34</v>
      </c>
      <c r="E923" s="13" t="s">
        <v>136</v>
      </c>
      <c r="F923" s="13" t="s">
        <v>164</v>
      </c>
      <c r="G923" s="13" t="s">
        <v>148</v>
      </c>
      <c r="H923" s="13" t="s">
        <v>178</v>
      </c>
      <c r="I923" s="13" t="n">
        <v>4</v>
      </c>
      <c r="J923" s="13" t="n">
        <v>4</v>
      </c>
      <c r="K923" s="13" t="n">
        <v>155500</v>
      </c>
      <c r="L923" s="13"/>
      <c r="M923" s="13"/>
      <c r="N923" s="13" t="s">
        <v>142</v>
      </c>
    </row>
    <row r="924" customFormat="false" ht="15" hidden="false" customHeight="false" outlineLevel="0" collapsed="false">
      <c r="A924" s="13" t="s">
        <v>1140</v>
      </c>
      <c r="B924" s="14" t="n">
        <v>43673</v>
      </c>
      <c r="C924" s="14"/>
      <c r="D924" s="13" t="n">
        <v>39</v>
      </c>
      <c r="E924" s="13" t="s">
        <v>144</v>
      </c>
      <c r="F924" s="13" t="s">
        <v>131</v>
      </c>
      <c r="G924" s="13" t="s">
        <v>148</v>
      </c>
      <c r="H924" s="13" t="s">
        <v>178</v>
      </c>
      <c r="I924" s="13" t="n">
        <v>5</v>
      </c>
      <c r="J924" s="13" t="n">
        <v>4</v>
      </c>
      <c r="K924" s="13" t="n">
        <v>140500</v>
      </c>
      <c r="L924" s="13"/>
      <c r="M924" s="13"/>
      <c r="N924" s="13" t="s">
        <v>142</v>
      </c>
    </row>
    <row r="925" customFormat="false" ht="15" hidden="false" customHeight="false" outlineLevel="0" collapsed="false">
      <c r="A925" s="13" t="s">
        <v>1141</v>
      </c>
      <c r="B925" s="14" t="n">
        <v>43678</v>
      </c>
      <c r="C925" s="14"/>
      <c r="D925" s="13" t="n">
        <v>32</v>
      </c>
      <c r="E925" s="13" t="s">
        <v>130</v>
      </c>
      <c r="F925" s="13" t="s">
        <v>145</v>
      </c>
      <c r="G925" s="13" t="s">
        <v>148</v>
      </c>
      <c r="H925" s="13" t="s">
        <v>178</v>
      </c>
      <c r="I925" s="13" t="n">
        <v>3</v>
      </c>
      <c r="J925" s="13" t="n">
        <v>3</v>
      </c>
      <c r="K925" s="13" t="n">
        <v>158000</v>
      </c>
      <c r="L925" s="13"/>
      <c r="M925" s="13"/>
      <c r="N925" s="13" t="s">
        <v>142</v>
      </c>
    </row>
    <row r="926" customFormat="false" ht="15" hidden="false" customHeight="false" outlineLevel="0" collapsed="false">
      <c r="A926" s="13" t="s">
        <v>1142</v>
      </c>
      <c r="B926" s="14" t="n">
        <v>43681</v>
      </c>
      <c r="C926" s="14"/>
      <c r="D926" s="13" t="n">
        <v>27</v>
      </c>
      <c r="E926" s="13" t="s">
        <v>136</v>
      </c>
      <c r="F926" s="13" t="s">
        <v>137</v>
      </c>
      <c r="G926" s="13" t="s">
        <v>184</v>
      </c>
      <c r="H926" s="13" t="s">
        <v>146</v>
      </c>
      <c r="I926" s="13" t="n">
        <v>2</v>
      </c>
      <c r="J926" s="13" t="n">
        <v>3</v>
      </c>
      <c r="K926" s="13" t="n">
        <v>68500</v>
      </c>
      <c r="L926" s="13"/>
      <c r="M926" s="13"/>
      <c r="N926" s="13" t="s">
        <v>142</v>
      </c>
    </row>
    <row r="927" customFormat="false" ht="15" hidden="false" customHeight="false" outlineLevel="0" collapsed="false">
      <c r="A927" s="13" t="s">
        <v>1143</v>
      </c>
      <c r="B927" s="14" t="n">
        <v>43692</v>
      </c>
      <c r="C927" s="14" t="n">
        <v>46020</v>
      </c>
      <c r="D927" s="13" t="n">
        <v>35</v>
      </c>
      <c r="E927" s="13" t="s">
        <v>144</v>
      </c>
      <c r="F927" s="13" t="s">
        <v>168</v>
      </c>
      <c r="G927" s="13" t="s">
        <v>155</v>
      </c>
      <c r="H927" s="13" t="s">
        <v>178</v>
      </c>
      <c r="I927" s="13" t="n">
        <v>2</v>
      </c>
      <c r="J927" s="13" t="n">
        <v>2</v>
      </c>
      <c r="K927" s="13" t="n">
        <v>139500</v>
      </c>
      <c r="L927" s="13" t="s">
        <v>173</v>
      </c>
      <c r="M927" s="13" t="s">
        <v>310</v>
      </c>
      <c r="N927" s="13" t="s">
        <v>142</v>
      </c>
    </row>
    <row r="928" customFormat="false" ht="15" hidden="false" customHeight="false" outlineLevel="0" collapsed="false">
      <c r="A928" s="13" t="s">
        <v>1144</v>
      </c>
      <c r="B928" s="14" t="n">
        <v>43694</v>
      </c>
      <c r="C928" s="14"/>
      <c r="D928" s="13" t="n">
        <v>36</v>
      </c>
      <c r="E928" s="13" t="s">
        <v>186</v>
      </c>
      <c r="F928" s="13" t="s">
        <v>154</v>
      </c>
      <c r="G928" s="13" t="s">
        <v>188</v>
      </c>
      <c r="H928" s="13" t="s">
        <v>192</v>
      </c>
      <c r="I928" s="13" t="n">
        <v>5</v>
      </c>
      <c r="J928" s="13" t="n">
        <v>3</v>
      </c>
      <c r="K928" s="13" t="n">
        <v>220000</v>
      </c>
      <c r="L928" s="13"/>
      <c r="M928" s="13"/>
      <c r="N928" s="13" t="s">
        <v>142</v>
      </c>
    </row>
    <row r="929" customFormat="false" ht="15" hidden="false" customHeight="false" outlineLevel="0" collapsed="false">
      <c r="A929" s="13" t="s">
        <v>1145</v>
      </c>
      <c r="B929" s="14" t="n">
        <v>43696</v>
      </c>
      <c r="C929" s="14" t="n">
        <v>44565</v>
      </c>
      <c r="D929" s="13" t="n">
        <v>33</v>
      </c>
      <c r="E929" s="13" t="s">
        <v>144</v>
      </c>
      <c r="F929" s="13" t="s">
        <v>137</v>
      </c>
      <c r="G929" s="13" t="s">
        <v>297</v>
      </c>
      <c r="H929" s="13" t="s">
        <v>149</v>
      </c>
      <c r="I929" s="13" t="n">
        <v>4</v>
      </c>
      <c r="J929" s="13" t="n">
        <v>1</v>
      </c>
      <c r="K929" s="13" t="n">
        <v>96500</v>
      </c>
      <c r="L929" s="13" t="s">
        <v>151</v>
      </c>
      <c r="M929" s="13" t="s">
        <v>206</v>
      </c>
      <c r="N929" s="13" t="s">
        <v>134</v>
      </c>
    </row>
    <row r="930" customFormat="false" ht="15" hidden="false" customHeight="false" outlineLevel="0" collapsed="false">
      <c r="A930" s="13" t="s">
        <v>1146</v>
      </c>
      <c r="B930" s="14" t="n">
        <v>43698</v>
      </c>
      <c r="C930" s="14"/>
      <c r="D930" s="13" t="n">
        <v>36</v>
      </c>
      <c r="E930" s="13" t="s">
        <v>186</v>
      </c>
      <c r="F930" s="13" t="s">
        <v>168</v>
      </c>
      <c r="G930" s="13" t="s">
        <v>155</v>
      </c>
      <c r="H930" s="13" t="s">
        <v>146</v>
      </c>
      <c r="I930" s="13" t="n">
        <v>4</v>
      </c>
      <c r="J930" s="13" t="n">
        <v>4</v>
      </c>
      <c r="K930" s="13" t="n">
        <v>68500</v>
      </c>
      <c r="L930" s="13"/>
      <c r="M930" s="13"/>
      <c r="N930" s="13" t="s">
        <v>142</v>
      </c>
    </row>
    <row r="931" customFormat="false" ht="15" hidden="false" customHeight="false" outlineLevel="0" collapsed="false">
      <c r="A931" s="13" t="s">
        <v>1147</v>
      </c>
      <c r="B931" s="14" t="n">
        <v>43702</v>
      </c>
      <c r="C931" s="14"/>
      <c r="D931" s="13" t="n">
        <v>27</v>
      </c>
      <c r="E931" s="13" t="s">
        <v>136</v>
      </c>
      <c r="F931" s="13" t="s">
        <v>137</v>
      </c>
      <c r="G931" s="13" t="s">
        <v>148</v>
      </c>
      <c r="H931" s="13" t="s">
        <v>146</v>
      </c>
      <c r="I931" s="13" t="n">
        <v>3</v>
      </c>
      <c r="J931" s="13" t="n">
        <v>3</v>
      </c>
      <c r="K931" s="13" t="n">
        <v>63000</v>
      </c>
      <c r="L931" s="13"/>
      <c r="M931" s="13"/>
      <c r="N931" s="13" t="s">
        <v>142</v>
      </c>
    </row>
    <row r="932" customFormat="false" ht="15" hidden="false" customHeight="false" outlineLevel="0" collapsed="false">
      <c r="A932" s="13" t="s">
        <v>1148</v>
      </c>
      <c r="B932" s="14" t="n">
        <v>43704</v>
      </c>
      <c r="C932" s="14" t="n">
        <v>45583</v>
      </c>
      <c r="D932" s="13" t="n">
        <v>37</v>
      </c>
      <c r="E932" s="13" t="s">
        <v>163</v>
      </c>
      <c r="F932" s="13" t="s">
        <v>168</v>
      </c>
      <c r="G932" s="13" t="s">
        <v>132</v>
      </c>
      <c r="H932" s="13" t="s">
        <v>411</v>
      </c>
      <c r="I932" s="13" t="n">
        <v>2</v>
      </c>
      <c r="J932" s="13" t="n">
        <v>3</v>
      </c>
      <c r="K932" s="13" t="n">
        <v>62500</v>
      </c>
      <c r="L932" s="13" t="s">
        <v>151</v>
      </c>
      <c r="M932" s="13" t="s">
        <v>203</v>
      </c>
      <c r="N932" s="13" t="s">
        <v>134</v>
      </c>
    </row>
    <row r="933" customFormat="false" ht="15" hidden="false" customHeight="false" outlineLevel="0" collapsed="false">
      <c r="A933" s="13" t="s">
        <v>1149</v>
      </c>
      <c r="B933" s="14" t="n">
        <v>43706</v>
      </c>
      <c r="C933" s="14"/>
      <c r="D933" s="13" t="n">
        <v>27</v>
      </c>
      <c r="E933" s="13" t="s">
        <v>136</v>
      </c>
      <c r="F933" s="13" t="s">
        <v>154</v>
      </c>
      <c r="G933" s="13" t="s">
        <v>334</v>
      </c>
      <c r="H933" s="13" t="s">
        <v>178</v>
      </c>
      <c r="I933" s="13" t="n">
        <v>3</v>
      </c>
      <c r="J933" s="13" t="n">
        <v>3</v>
      </c>
      <c r="K933" s="13" t="n">
        <v>124000</v>
      </c>
      <c r="L933" s="13"/>
      <c r="M933" s="13"/>
      <c r="N933" s="13" t="s">
        <v>142</v>
      </c>
    </row>
    <row r="934" customFormat="false" ht="15" hidden="false" customHeight="false" outlineLevel="0" collapsed="false">
      <c r="A934" s="13" t="s">
        <v>1150</v>
      </c>
      <c r="B934" s="14" t="n">
        <v>43710</v>
      </c>
      <c r="C934" s="14"/>
      <c r="D934" s="13" t="n">
        <v>40</v>
      </c>
      <c r="E934" s="13" t="s">
        <v>136</v>
      </c>
      <c r="F934" s="13" t="s">
        <v>137</v>
      </c>
      <c r="G934" s="13" t="s">
        <v>132</v>
      </c>
      <c r="H934" s="13" t="s">
        <v>146</v>
      </c>
      <c r="I934" s="13" t="n">
        <v>3</v>
      </c>
      <c r="J934" s="13" t="n">
        <v>3</v>
      </c>
      <c r="K934" s="13" t="n">
        <v>68500</v>
      </c>
      <c r="L934" s="13"/>
      <c r="M934" s="13"/>
      <c r="N934" s="13" t="s">
        <v>142</v>
      </c>
    </row>
    <row r="935" customFormat="false" ht="15" hidden="false" customHeight="false" outlineLevel="0" collapsed="false">
      <c r="A935" s="13" t="s">
        <v>1151</v>
      </c>
      <c r="B935" s="14" t="n">
        <v>43710</v>
      </c>
      <c r="C935" s="14"/>
      <c r="D935" s="13" t="n">
        <v>35</v>
      </c>
      <c r="E935" s="13" t="s">
        <v>136</v>
      </c>
      <c r="F935" s="13" t="s">
        <v>168</v>
      </c>
      <c r="G935" s="13" t="s">
        <v>132</v>
      </c>
      <c r="H935" s="13" t="s">
        <v>146</v>
      </c>
      <c r="I935" s="13" t="n">
        <v>3</v>
      </c>
      <c r="J935" s="13" t="n">
        <v>4</v>
      </c>
      <c r="K935" s="13" t="n">
        <v>81000</v>
      </c>
      <c r="L935" s="13"/>
      <c r="M935" s="13"/>
      <c r="N935" s="13" t="s">
        <v>134</v>
      </c>
    </row>
    <row r="936" customFormat="false" ht="15" hidden="false" customHeight="false" outlineLevel="0" collapsed="false">
      <c r="A936" s="13" t="s">
        <v>1152</v>
      </c>
      <c r="B936" s="14" t="n">
        <v>43714</v>
      </c>
      <c r="C936" s="14" t="n">
        <v>45096</v>
      </c>
      <c r="D936" s="13" t="n">
        <v>37</v>
      </c>
      <c r="E936" s="13" t="s">
        <v>144</v>
      </c>
      <c r="F936" s="13" t="s">
        <v>229</v>
      </c>
      <c r="G936" s="13" t="s">
        <v>138</v>
      </c>
      <c r="H936" s="13" t="s">
        <v>139</v>
      </c>
      <c r="I936" s="13" t="n">
        <v>3</v>
      </c>
      <c r="J936" s="13" t="n">
        <v>2</v>
      </c>
      <c r="K936" s="13" t="n">
        <v>42500</v>
      </c>
      <c r="L936" s="13" t="s">
        <v>151</v>
      </c>
      <c r="M936" s="13" t="s">
        <v>314</v>
      </c>
      <c r="N936" s="13" t="s">
        <v>134</v>
      </c>
    </row>
    <row r="937" customFormat="false" ht="15" hidden="false" customHeight="false" outlineLevel="0" collapsed="false">
      <c r="A937" s="13" t="s">
        <v>1153</v>
      </c>
      <c r="B937" s="14" t="n">
        <v>43718</v>
      </c>
      <c r="C937" s="14"/>
      <c r="D937" s="13" t="n">
        <v>27</v>
      </c>
      <c r="E937" s="13" t="s">
        <v>136</v>
      </c>
      <c r="F937" s="13" t="s">
        <v>170</v>
      </c>
      <c r="G937" s="13" t="s">
        <v>374</v>
      </c>
      <c r="H937" s="13" t="s">
        <v>146</v>
      </c>
      <c r="I937" s="13" t="n">
        <v>5</v>
      </c>
      <c r="J937" s="13" t="n">
        <v>4</v>
      </c>
      <c r="K937" s="13" t="n">
        <v>67000</v>
      </c>
      <c r="L937" s="13"/>
      <c r="M937" s="13"/>
      <c r="N937" s="13" t="s">
        <v>142</v>
      </c>
    </row>
    <row r="938" customFormat="false" ht="15" hidden="false" customHeight="false" outlineLevel="0" collapsed="false">
      <c r="A938" s="13" t="s">
        <v>1154</v>
      </c>
      <c r="B938" s="14" t="n">
        <v>43722</v>
      </c>
      <c r="C938" s="14"/>
      <c r="D938" s="13" t="n">
        <v>36</v>
      </c>
      <c r="E938" s="13" t="s">
        <v>136</v>
      </c>
      <c r="F938" s="13" t="s">
        <v>241</v>
      </c>
      <c r="G938" s="13" t="s">
        <v>148</v>
      </c>
      <c r="H938" s="13" t="s">
        <v>139</v>
      </c>
      <c r="I938" s="13" t="n">
        <v>3</v>
      </c>
      <c r="J938" s="13" t="n">
        <v>1</v>
      </c>
      <c r="K938" s="13" t="n">
        <v>37000</v>
      </c>
      <c r="L938" s="13"/>
      <c r="M938" s="13"/>
      <c r="N938" s="13" t="s">
        <v>142</v>
      </c>
    </row>
    <row r="939" customFormat="false" ht="15" hidden="false" customHeight="false" outlineLevel="0" collapsed="false">
      <c r="A939" s="13" t="s">
        <v>1155</v>
      </c>
      <c r="B939" s="14" t="n">
        <v>43723</v>
      </c>
      <c r="C939" s="14"/>
      <c r="D939" s="13" t="n">
        <v>27</v>
      </c>
      <c r="E939" s="13" t="s">
        <v>136</v>
      </c>
      <c r="F939" s="13" t="s">
        <v>168</v>
      </c>
      <c r="G939" s="13" t="s">
        <v>171</v>
      </c>
      <c r="H939" s="13" t="s">
        <v>146</v>
      </c>
      <c r="I939" s="13" t="n">
        <v>4</v>
      </c>
      <c r="J939" s="13" t="n">
        <v>3</v>
      </c>
      <c r="K939" s="13" t="n">
        <v>75000</v>
      </c>
      <c r="L939" s="13"/>
      <c r="M939" s="13"/>
      <c r="N939" s="13" t="s">
        <v>142</v>
      </c>
    </row>
    <row r="940" customFormat="false" ht="15" hidden="false" customHeight="false" outlineLevel="0" collapsed="false">
      <c r="A940" s="13" t="s">
        <v>1156</v>
      </c>
      <c r="B940" s="14" t="n">
        <v>43723</v>
      </c>
      <c r="C940" s="14"/>
      <c r="D940" s="13" t="n">
        <v>40</v>
      </c>
      <c r="E940" s="13" t="s">
        <v>182</v>
      </c>
      <c r="F940" s="13" t="s">
        <v>154</v>
      </c>
      <c r="G940" s="13" t="s">
        <v>138</v>
      </c>
      <c r="H940" s="13" t="s">
        <v>146</v>
      </c>
      <c r="I940" s="13" t="n">
        <v>4</v>
      </c>
      <c r="J940" s="13" t="n">
        <v>3</v>
      </c>
      <c r="K940" s="13" t="n">
        <v>69500</v>
      </c>
      <c r="L940" s="13"/>
      <c r="M940" s="13"/>
      <c r="N940" s="13" t="s">
        <v>142</v>
      </c>
    </row>
    <row r="941" customFormat="false" ht="15" hidden="false" customHeight="false" outlineLevel="0" collapsed="false">
      <c r="A941" s="13" t="s">
        <v>1157</v>
      </c>
      <c r="B941" s="14" t="n">
        <v>43724</v>
      </c>
      <c r="C941" s="14"/>
      <c r="D941" s="13" t="n">
        <v>35</v>
      </c>
      <c r="E941" s="13" t="s">
        <v>144</v>
      </c>
      <c r="F941" s="13" t="s">
        <v>168</v>
      </c>
      <c r="G941" s="13" t="s">
        <v>155</v>
      </c>
      <c r="H941" s="13" t="s">
        <v>172</v>
      </c>
      <c r="I941" s="13" t="n">
        <v>4</v>
      </c>
      <c r="J941" s="13" t="n">
        <v>4</v>
      </c>
      <c r="K941" s="13" t="n">
        <v>41000</v>
      </c>
      <c r="L941" s="13"/>
      <c r="M941" s="13"/>
      <c r="N941" s="13" t="s">
        <v>142</v>
      </c>
    </row>
    <row r="942" customFormat="false" ht="15" hidden="false" customHeight="false" outlineLevel="0" collapsed="false">
      <c r="A942" s="13" t="s">
        <v>1158</v>
      </c>
      <c r="B942" s="14" t="n">
        <v>43727</v>
      </c>
      <c r="C942" s="14" t="n">
        <v>44715</v>
      </c>
      <c r="D942" s="13" t="n">
        <v>25</v>
      </c>
      <c r="E942" s="13" t="s">
        <v>144</v>
      </c>
      <c r="F942" s="13" t="s">
        <v>137</v>
      </c>
      <c r="G942" s="13" t="s">
        <v>155</v>
      </c>
      <c r="H942" s="13" t="s">
        <v>139</v>
      </c>
      <c r="I942" s="13" t="n">
        <v>4</v>
      </c>
      <c r="J942" s="13" t="n">
        <v>2</v>
      </c>
      <c r="K942" s="13" t="n">
        <v>47000</v>
      </c>
      <c r="L942" s="13" t="s">
        <v>200</v>
      </c>
      <c r="M942" s="13" t="s">
        <v>152</v>
      </c>
      <c r="N942" s="13" t="s">
        <v>142</v>
      </c>
    </row>
    <row r="943" customFormat="false" ht="15" hidden="false" customHeight="false" outlineLevel="0" collapsed="false">
      <c r="A943" s="13" t="s">
        <v>1159</v>
      </c>
      <c r="B943" s="14" t="n">
        <v>43730</v>
      </c>
      <c r="C943" s="14"/>
      <c r="D943" s="13" t="n">
        <v>45</v>
      </c>
      <c r="E943" s="13" t="s">
        <v>136</v>
      </c>
      <c r="F943" s="13" t="s">
        <v>168</v>
      </c>
      <c r="G943" s="13" t="s">
        <v>148</v>
      </c>
      <c r="H943" s="13" t="s">
        <v>156</v>
      </c>
      <c r="I943" s="13" t="n">
        <v>2</v>
      </c>
      <c r="J943" s="13" t="n">
        <v>4</v>
      </c>
      <c r="K943" s="13" t="n">
        <v>104500</v>
      </c>
      <c r="L943" s="13"/>
      <c r="M943" s="13"/>
      <c r="N943" s="13" t="s">
        <v>157</v>
      </c>
    </row>
    <row r="944" customFormat="false" ht="15" hidden="false" customHeight="false" outlineLevel="0" collapsed="false">
      <c r="A944" s="13" t="s">
        <v>1160</v>
      </c>
      <c r="B944" s="14" t="n">
        <v>43730</v>
      </c>
      <c r="C944" s="14"/>
      <c r="D944" s="13" t="n">
        <v>34</v>
      </c>
      <c r="E944" s="13" t="s">
        <v>144</v>
      </c>
      <c r="F944" s="13" t="s">
        <v>154</v>
      </c>
      <c r="G944" s="13" t="s">
        <v>297</v>
      </c>
      <c r="H944" s="13" t="s">
        <v>139</v>
      </c>
      <c r="I944" s="13" t="n">
        <v>3</v>
      </c>
      <c r="J944" s="13" t="n">
        <v>4</v>
      </c>
      <c r="K944" s="13" t="n">
        <v>39000</v>
      </c>
      <c r="L944" s="13"/>
      <c r="M944" s="13"/>
      <c r="N944" s="13" t="s">
        <v>134</v>
      </c>
    </row>
    <row r="945" customFormat="false" ht="15" hidden="false" customHeight="false" outlineLevel="0" collapsed="false">
      <c r="A945" s="13" t="s">
        <v>1161</v>
      </c>
      <c r="B945" s="14" t="n">
        <v>43732</v>
      </c>
      <c r="C945" s="14"/>
      <c r="D945" s="13" t="n">
        <v>30</v>
      </c>
      <c r="E945" s="13" t="s">
        <v>144</v>
      </c>
      <c r="F945" s="13" t="s">
        <v>170</v>
      </c>
      <c r="G945" s="13" t="s">
        <v>155</v>
      </c>
      <c r="H945" s="13" t="s">
        <v>156</v>
      </c>
      <c r="I945" s="13" t="n">
        <v>4</v>
      </c>
      <c r="J945" s="13" t="n">
        <v>4</v>
      </c>
      <c r="K945" s="13" t="n">
        <v>105500</v>
      </c>
      <c r="L945" s="13"/>
      <c r="M945" s="13"/>
      <c r="N945" s="13" t="s">
        <v>142</v>
      </c>
    </row>
    <row r="946" customFormat="false" ht="15" hidden="false" customHeight="false" outlineLevel="0" collapsed="false">
      <c r="A946" s="13" t="s">
        <v>1162</v>
      </c>
      <c r="B946" s="14" t="n">
        <v>43734</v>
      </c>
      <c r="C946" s="14"/>
      <c r="D946" s="13" t="n">
        <v>27</v>
      </c>
      <c r="E946" s="13" t="s">
        <v>144</v>
      </c>
      <c r="F946" s="13" t="s">
        <v>154</v>
      </c>
      <c r="G946" s="13" t="s">
        <v>138</v>
      </c>
      <c r="H946" s="13" t="s">
        <v>156</v>
      </c>
      <c r="I946" s="13" t="n">
        <v>3</v>
      </c>
      <c r="J946" s="13" t="n">
        <v>4</v>
      </c>
      <c r="K946" s="13" t="n">
        <v>100000</v>
      </c>
      <c r="L946" s="13"/>
      <c r="M946" s="13"/>
      <c r="N946" s="13" t="s">
        <v>142</v>
      </c>
    </row>
    <row r="947" customFormat="false" ht="15" hidden="false" customHeight="false" outlineLevel="0" collapsed="false">
      <c r="A947" s="13" t="s">
        <v>1163</v>
      </c>
      <c r="B947" s="14" t="n">
        <v>43734</v>
      </c>
      <c r="C947" s="14" t="n">
        <v>45766</v>
      </c>
      <c r="D947" s="13" t="n">
        <v>42</v>
      </c>
      <c r="E947" s="13" t="s">
        <v>136</v>
      </c>
      <c r="F947" s="13" t="s">
        <v>229</v>
      </c>
      <c r="G947" s="13" t="s">
        <v>148</v>
      </c>
      <c r="H947" s="13" t="s">
        <v>178</v>
      </c>
      <c r="I947" s="13" t="n">
        <v>4</v>
      </c>
      <c r="J947" s="13" t="n">
        <v>1</v>
      </c>
      <c r="K947" s="13" t="n">
        <v>167000</v>
      </c>
      <c r="L947" s="13" t="s">
        <v>151</v>
      </c>
      <c r="M947" s="13" t="s">
        <v>314</v>
      </c>
      <c r="N947" s="13" t="s">
        <v>142</v>
      </c>
    </row>
    <row r="948" customFormat="false" ht="15" hidden="false" customHeight="false" outlineLevel="0" collapsed="false">
      <c r="A948" s="13" t="s">
        <v>1164</v>
      </c>
      <c r="B948" s="14" t="n">
        <v>43735</v>
      </c>
      <c r="C948" s="14" t="n">
        <v>44568</v>
      </c>
      <c r="D948" s="13" t="n">
        <v>31</v>
      </c>
      <c r="E948" s="13" t="s">
        <v>186</v>
      </c>
      <c r="F948" s="13" t="s">
        <v>164</v>
      </c>
      <c r="G948" s="13" t="s">
        <v>155</v>
      </c>
      <c r="H948" s="13" t="s">
        <v>139</v>
      </c>
      <c r="I948" s="13" t="n">
        <v>3</v>
      </c>
      <c r="J948" s="13" t="n">
        <v>3</v>
      </c>
      <c r="K948" s="13" t="n">
        <v>40000</v>
      </c>
      <c r="L948" s="13" t="s">
        <v>151</v>
      </c>
      <c r="M948" s="13" t="s">
        <v>159</v>
      </c>
      <c r="N948" s="13" t="s">
        <v>134</v>
      </c>
    </row>
    <row r="949" customFormat="false" ht="15" hidden="false" customHeight="false" outlineLevel="0" collapsed="false">
      <c r="A949" s="13" t="s">
        <v>1165</v>
      </c>
      <c r="B949" s="14" t="n">
        <v>43736</v>
      </c>
      <c r="C949" s="14"/>
      <c r="D949" s="13" t="n">
        <v>34</v>
      </c>
      <c r="E949" s="13" t="s">
        <v>163</v>
      </c>
      <c r="F949" s="13" t="s">
        <v>229</v>
      </c>
      <c r="G949" s="13" t="s">
        <v>138</v>
      </c>
      <c r="H949" s="13" t="s">
        <v>192</v>
      </c>
      <c r="I949" s="13" t="n">
        <v>3</v>
      </c>
      <c r="J949" s="13" t="n">
        <v>4</v>
      </c>
      <c r="K949" s="13" t="n">
        <v>214000</v>
      </c>
      <c r="L949" s="13"/>
      <c r="M949" s="13"/>
      <c r="N949" s="13" t="s">
        <v>142</v>
      </c>
    </row>
    <row r="950" customFormat="false" ht="15" hidden="false" customHeight="false" outlineLevel="0" collapsed="false">
      <c r="A950" s="13" t="s">
        <v>1166</v>
      </c>
      <c r="B950" s="14" t="n">
        <v>43753</v>
      </c>
      <c r="C950" s="14" t="n">
        <v>45049</v>
      </c>
      <c r="D950" s="13" t="n">
        <v>34</v>
      </c>
      <c r="E950" s="13" t="s">
        <v>182</v>
      </c>
      <c r="F950" s="13" t="s">
        <v>168</v>
      </c>
      <c r="G950" s="13" t="s">
        <v>132</v>
      </c>
      <c r="H950" s="13" t="s">
        <v>178</v>
      </c>
      <c r="I950" s="13" t="n">
        <v>4</v>
      </c>
      <c r="J950" s="13" t="n">
        <v>1</v>
      </c>
      <c r="K950" s="13" t="n">
        <v>139000</v>
      </c>
      <c r="L950" s="13" t="s">
        <v>151</v>
      </c>
      <c r="M950" s="13" t="s">
        <v>152</v>
      </c>
      <c r="N950" s="13" t="s">
        <v>134</v>
      </c>
    </row>
    <row r="951" customFormat="false" ht="15" hidden="false" customHeight="false" outlineLevel="0" collapsed="false">
      <c r="A951" s="13" t="s">
        <v>1167</v>
      </c>
      <c r="B951" s="14" t="n">
        <v>43755</v>
      </c>
      <c r="C951" s="14"/>
      <c r="D951" s="13" t="n">
        <v>34</v>
      </c>
      <c r="E951" s="13" t="s">
        <v>144</v>
      </c>
      <c r="F951" s="13" t="s">
        <v>170</v>
      </c>
      <c r="G951" s="13" t="s">
        <v>155</v>
      </c>
      <c r="H951" s="13" t="s">
        <v>146</v>
      </c>
      <c r="I951" s="13" t="n">
        <v>3</v>
      </c>
      <c r="J951" s="13" t="n">
        <v>2</v>
      </c>
      <c r="K951" s="13" t="n">
        <v>66500</v>
      </c>
      <c r="L951" s="13"/>
      <c r="M951" s="13"/>
      <c r="N951" s="13" t="s">
        <v>142</v>
      </c>
    </row>
    <row r="952" customFormat="false" ht="15" hidden="false" customHeight="false" outlineLevel="0" collapsed="false">
      <c r="A952" s="13" t="s">
        <v>1168</v>
      </c>
      <c r="B952" s="14" t="n">
        <v>43756</v>
      </c>
      <c r="C952" s="14" t="n">
        <v>45315</v>
      </c>
      <c r="D952" s="13" t="n">
        <v>38</v>
      </c>
      <c r="E952" s="13" t="s">
        <v>144</v>
      </c>
      <c r="F952" s="13" t="s">
        <v>170</v>
      </c>
      <c r="G952" s="13" t="s">
        <v>155</v>
      </c>
      <c r="H952" s="13" t="s">
        <v>146</v>
      </c>
      <c r="I952" s="13" t="n">
        <v>3</v>
      </c>
      <c r="J952" s="13" t="n">
        <v>3</v>
      </c>
      <c r="K952" s="13" t="n">
        <v>61500</v>
      </c>
      <c r="L952" s="13" t="s">
        <v>151</v>
      </c>
      <c r="M952" s="13" t="s">
        <v>159</v>
      </c>
      <c r="N952" s="13" t="s">
        <v>142</v>
      </c>
    </row>
    <row r="953" customFormat="false" ht="15" hidden="false" customHeight="false" outlineLevel="0" collapsed="false">
      <c r="A953" s="13" t="s">
        <v>1169</v>
      </c>
      <c r="B953" s="14" t="n">
        <v>43763</v>
      </c>
      <c r="C953" s="14"/>
      <c r="D953" s="13" t="n">
        <v>29</v>
      </c>
      <c r="E953" s="13" t="s">
        <v>136</v>
      </c>
      <c r="F953" s="13" t="s">
        <v>168</v>
      </c>
      <c r="G953" s="13" t="s">
        <v>138</v>
      </c>
      <c r="H953" s="13" t="s">
        <v>139</v>
      </c>
      <c r="I953" s="13" t="n">
        <v>2</v>
      </c>
      <c r="J953" s="13" t="n">
        <v>2</v>
      </c>
      <c r="K953" s="13" t="n">
        <v>40000</v>
      </c>
      <c r="L953" s="13"/>
      <c r="M953" s="13"/>
      <c r="N953" s="13" t="s">
        <v>142</v>
      </c>
    </row>
    <row r="954" customFormat="false" ht="15" hidden="false" customHeight="false" outlineLevel="0" collapsed="false">
      <c r="A954" s="13" t="s">
        <v>1170</v>
      </c>
      <c r="B954" s="14" t="n">
        <v>43763</v>
      </c>
      <c r="C954" s="14" t="n">
        <v>44680</v>
      </c>
      <c r="D954" s="13" t="n">
        <v>33</v>
      </c>
      <c r="E954" s="13" t="s">
        <v>144</v>
      </c>
      <c r="F954" s="13" t="s">
        <v>241</v>
      </c>
      <c r="G954" s="13" t="s">
        <v>148</v>
      </c>
      <c r="H954" s="13" t="s">
        <v>156</v>
      </c>
      <c r="I954" s="13" t="n">
        <v>3</v>
      </c>
      <c r="J954" s="13" t="n">
        <v>4</v>
      </c>
      <c r="K954" s="13" t="n">
        <v>89500</v>
      </c>
      <c r="L954" s="13" t="s">
        <v>151</v>
      </c>
      <c r="M954" s="13" t="s">
        <v>201</v>
      </c>
      <c r="N954" s="13" t="s">
        <v>142</v>
      </c>
    </row>
    <row r="955" customFormat="false" ht="15" hidden="false" customHeight="false" outlineLevel="0" collapsed="false">
      <c r="A955" s="13" t="s">
        <v>1171</v>
      </c>
      <c r="B955" s="14" t="n">
        <v>43764</v>
      </c>
      <c r="C955" s="14"/>
      <c r="D955" s="13" t="n">
        <v>39</v>
      </c>
      <c r="E955" s="13" t="s">
        <v>136</v>
      </c>
      <c r="F955" s="13" t="s">
        <v>137</v>
      </c>
      <c r="G955" s="13" t="s">
        <v>155</v>
      </c>
      <c r="H955" s="13" t="s">
        <v>139</v>
      </c>
      <c r="I955" s="13" t="n">
        <v>3</v>
      </c>
      <c r="J955" s="13" t="n">
        <v>3</v>
      </c>
      <c r="K955" s="13" t="n">
        <v>41000</v>
      </c>
      <c r="L955" s="13"/>
      <c r="M955" s="13"/>
      <c r="N955" s="13" t="s">
        <v>134</v>
      </c>
    </row>
    <row r="956" customFormat="false" ht="15" hidden="false" customHeight="false" outlineLevel="0" collapsed="false">
      <c r="A956" s="13" t="s">
        <v>1172</v>
      </c>
      <c r="B956" s="14" t="n">
        <v>43764</v>
      </c>
      <c r="C956" s="14"/>
      <c r="D956" s="13" t="n">
        <v>29</v>
      </c>
      <c r="E956" s="13" t="s">
        <v>136</v>
      </c>
      <c r="F956" s="13" t="s">
        <v>168</v>
      </c>
      <c r="G956" s="13" t="s">
        <v>148</v>
      </c>
      <c r="H956" s="13" t="s">
        <v>146</v>
      </c>
      <c r="I956" s="13" t="n">
        <v>3</v>
      </c>
      <c r="J956" s="13" t="n">
        <v>3</v>
      </c>
      <c r="K956" s="13" t="n">
        <v>67500</v>
      </c>
      <c r="L956" s="13"/>
      <c r="M956" s="13"/>
      <c r="N956" s="13" t="s">
        <v>142</v>
      </c>
    </row>
    <row r="957" customFormat="false" ht="15" hidden="false" customHeight="false" outlineLevel="0" collapsed="false">
      <c r="A957" s="13" t="s">
        <v>1173</v>
      </c>
      <c r="B957" s="14" t="n">
        <v>43764</v>
      </c>
      <c r="C957" s="14" t="n">
        <v>44587</v>
      </c>
      <c r="D957" s="13" t="n">
        <v>32</v>
      </c>
      <c r="E957" s="13" t="s">
        <v>136</v>
      </c>
      <c r="F957" s="13" t="s">
        <v>164</v>
      </c>
      <c r="G957" s="13" t="s">
        <v>155</v>
      </c>
      <c r="H957" s="13" t="s">
        <v>139</v>
      </c>
      <c r="I957" s="13" t="n">
        <v>3</v>
      </c>
      <c r="J957" s="13" t="n">
        <v>2</v>
      </c>
      <c r="K957" s="13" t="n">
        <v>43500</v>
      </c>
      <c r="L957" s="13" t="s">
        <v>151</v>
      </c>
      <c r="M957" s="13" t="s">
        <v>203</v>
      </c>
      <c r="N957" s="13" t="s">
        <v>142</v>
      </c>
    </row>
    <row r="958" customFormat="false" ht="15" hidden="false" customHeight="false" outlineLevel="0" collapsed="false">
      <c r="A958" s="13" t="s">
        <v>1174</v>
      </c>
      <c r="B958" s="14" t="n">
        <v>43770</v>
      </c>
      <c r="C958" s="14"/>
      <c r="D958" s="13" t="n">
        <v>42</v>
      </c>
      <c r="E958" s="13" t="s">
        <v>259</v>
      </c>
      <c r="F958" s="13" t="s">
        <v>137</v>
      </c>
      <c r="G958" s="13" t="s">
        <v>155</v>
      </c>
      <c r="H958" s="13" t="s">
        <v>242</v>
      </c>
      <c r="I958" s="13" t="n">
        <v>4</v>
      </c>
      <c r="J958" s="13" t="n">
        <v>4</v>
      </c>
      <c r="K958" s="13" t="n">
        <v>103000</v>
      </c>
      <c r="L958" s="13"/>
      <c r="M958" s="13"/>
      <c r="N958" s="13" t="s">
        <v>142</v>
      </c>
    </row>
    <row r="959" customFormat="false" ht="15" hidden="false" customHeight="false" outlineLevel="0" collapsed="false">
      <c r="A959" s="13" t="s">
        <v>1175</v>
      </c>
      <c r="B959" s="14" t="n">
        <v>43770</v>
      </c>
      <c r="C959" s="14"/>
      <c r="D959" s="13" t="n">
        <v>29</v>
      </c>
      <c r="E959" s="13" t="s">
        <v>190</v>
      </c>
      <c r="F959" s="13" t="s">
        <v>164</v>
      </c>
      <c r="G959" s="13" t="s">
        <v>138</v>
      </c>
      <c r="H959" s="13" t="s">
        <v>156</v>
      </c>
      <c r="I959" s="13" t="n">
        <v>5</v>
      </c>
      <c r="J959" s="13" t="n">
        <v>4</v>
      </c>
      <c r="K959" s="13" t="n">
        <v>111000</v>
      </c>
      <c r="L959" s="13"/>
      <c r="M959" s="13"/>
      <c r="N959" s="13" t="s">
        <v>142</v>
      </c>
    </row>
    <row r="960" customFormat="false" ht="15" hidden="false" customHeight="false" outlineLevel="0" collapsed="false">
      <c r="A960" s="13" t="s">
        <v>1176</v>
      </c>
      <c r="B960" s="14" t="n">
        <v>43772</v>
      </c>
      <c r="C960" s="14" t="n">
        <v>45639</v>
      </c>
      <c r="D960" s="13" t="n">
        <v>39</v>
      </c>
      <c r="E960" s="13" t="s">
        <v>190</v>
      </c>
      <c r="F960" s="13" t="s">
        <v>168</v>
      </c>
      <c r="G960" s="13" t="s">
        <v>138</v>
      </c>
      <c r="H960" s="13" t="s">
        <v>156</v>
      </c>
      <c r="I960" s="13" t="n">
        <v>2</v>
      </c>
      <c r="J960" s="13" t="n">
        <v>4</v>
      </c>
      <c r="K960" s="13" t="n">
        <v>92500</v>
      </c>
      <c r="L960" s="13" t="s">
        <v>151</v>
      </c>
      <c r="M960" s="13" t="s">
        <v>201</v>
      </c>
      <c r="N960" s="13" t="s">
        <v>142</v>
      </c>
    </row>
    <row r="961" customFormat="false" ht="15" hidden="false" customHeight="false" outlineLevel="0" collapsed="false">
      <c r="A961" s="13" t="s">
        <v>1177</v>
      </c>
      <c r="B961" s="14" t="n">
        <v>43775</v>
      </c>
      <c r="C961" s="14"/>
      <c r="D961" s="13" t="n">
        <v>37</v>
      </c>
      <c r="E961" s="13" t="s">
        <v>130</v>
      </c>
      <c r="F961" s="13" t="s">
        <v>154</v>
      </c>
      <c r="G961" s="13" t="s">
        <v>132</v>
      </c>
      <c r="H961" s="13" t="s">
        <v>178</v>
      </c>
      <c r="I961" s="13" t="n">
        <v>3</v>
      </c>
      <c r="J961" s="13" t="n">
        <v>4</v>
      </c>
      <c r="K961" s="13" t="n">
        <v>137500</v>
      </c>
      <c r="L961" s="13"/>
      <c r="M961" s="13"/>
      <c r="N961" s="13" t="s">
        <v>142</v>
      </c>
    </row>
    <row r="962" customFormat="false" ht="15" hidden="false" customHeight="false" outlineLevel="0" collapsed="false">
      <c r="A962" s="13" t="s">
        <v>1178</v>
      </c>
      <c r="B962" s="14" t="n">
        <v>43776</v>
      </c>
      <c r="C962" s="14"/>
      <c r="D962" s="13" t="n">
        <v>36</v>
      </c>
      <c r="E962" s="13" t="s">
        <v>136</v>
      </c>
      <c r="F962" s="13" t="s">
        <v>231</v>
      </c>
      <c r="G962" s="13" t="s">
        <v>191</v>
      </c>
      <c r="H962" s="13" t="s">
        <v>156</v>
      </c>
      <c r="I962" s="13" t="n">
        <v>3</v>
      </c>
      <c r="J962" s="13" t="n">
        <v>2</v>
      </c>
      <c r="K962" s="13" t="n">
        <v>94500</v>
      </c>
      <c r="L962" s="13"/>
      <c r="M962" s="13"/>
      <c r="N962" s="13" t="s">
        <v>214</v>
      </c>
    </row>
    <row r="963" customFormat="false" ht="15" hidden="false" customHeight="false" outlineLevel="0" collapsed="false">
      <c r="A963" s="13" t="s">
        <v>1179</v>
      </c>
      <c r="B963" s="14" t="n">
        <v>43789</v>
      </c>
      <c r="C963" s="14" t="n">
        <v>45267</v>
      </c>
      <c r="D963" s="13" t="n">
        <v>35</v>
      </c>
      <c r="E963" s="13" t="s">
        <v>144</v>
      </c>
      <c r="F963" s="13" t="s">
        <v>168</v>
      </c>
      <c r="G963" s="13" t="s">
        <v>155</v>
      </c>
      <c r="H963" s="13" t="s">
        <v>146</v>
      </c>
      <c r="I963" s="13" t="n">
        <v>3</v>
      </c>
      <c r="J963" s="13" t="n">
        <v>4</v>
      </c>
      <c r="K963" s="13" t="n">
        <v>56000</v>
      </c>
      <c r="L963" s="13" t="s">
        <v>151</v>
      </c>
      <c r="M963" s="13" t="s">
        <v>201</v>
      </c>
      <c r="N963" s="13" t="s">
        <v>142</v>
      </c>
    </row>
    <row r="964" customFormat="false" ht="15" hidden="false" customHeight="false" outlineLevel="0" collapsed="false">
      <c r="A964" s="13" t="s">
        <v>1180</v>
      </c>
      <c r="B964" s="14" t="n">
        <v>43790</v>
      </c>
      <c r="C964" s="14"/>
      <c r="D964" s="13" t="n">
        <v>37</v>
      </c>
      <c r="E964" s="13" t="s">
        <v>136</v>
      </c>
      <c r="F964" s="13" t="s">
        <v>168</v>
      </c>
      <c r="G964" s="13" t="s">
        <v>138</v>
      </c>
      <c r="H964" s="13" t="s">
        <v>139</v>
      </c>
      <c r="I964" s="13" t="n">
        <v>4</v>
      </c>
      <c r="J964" s="13" t="n">
        <v>1</v>
      </c>
      <c r="K964" s="13" t="n">
        <v>39000</v>
      </c>
      <c r="L964" s="13"/>
      <c r="M964" s="13"/>
      <c r="N964" s="13" t="s">
        <v>134</v>
      </c>
    </row>
    <row r="965" customFormat="false" ht="15" hidden="false" customHeight="false" outlineLevel="0" collapsed="false">
      <c r="A965" s="13" t="s">
        <v>1181</v>
      </c>
      <c r="B965" s="14" t="n">
        <v>43790</v>
      </c>
      <c r="C965" s="14"/>
      <c r="D965" s="13" t="n">
        <v>40</v>
      </c>
      <c r="E965" s="13" t="s">
        <v>182</v>
      </c>
      <c r="F965" s="13" t="s">
        <v>154</v>
      </c>
      <c r="G965" s="13" t="s">
        <v>307</v>
      </c>
      <c r="H965" s="13" t="s">
        <v>156</v>
      </c>
      <c r="I965" s="13" t="n">
        <v>3</v>
      </c>
      <c r="J965" s="13" t="n">
        <v>1</v>
      </c>
      <c r="K965" s="13" t="n">
        <v>83000</v>
      </c>
      <c r="L965" s="13"/>
      <c r="M965" s="13"/>
      <c r="N965" s="13" t="s">
        <v>142</v>
      </c>
    </row>
    <row r="966" customFormat="false" ht="15" hidden="false" customHeight="false" outlineLevel="0" collapsed="false">
      <c r="A966" s="13" t="s">
        <v>1182</v>
      </c>
      <c r="B966" s="14" t="n">
        <v>43792</v>
      </c>
      <c r="C966" s="14"/>
      <c r="D966" s="13" t="n">
        <v>39</v>
      </c>
      <c r="E966" s="13" t="s">
        <v>136</v>
      </c>
      <c r="F966" s="13" t="s">
        <v>154</v>
      </c>
      <c r="G966" s="13" t="s">
        <v>148</v>
      </c>
      <c r="H966" s="13" t="s">
        <v>146</v>
      </c>
      <c r="I966" s="13" t="n">
        <v>4</v>
      </c>
      <c r="J966" s="13" t="n">
        <v>3</v>
      </c>
      <c r="K966" s="13" t="n">
        <v>63000</v>
      </c>
      <c r="L966" s="13"/>
      <c r="M966" s="13"/>
      <c r="N966" s="13" t="s">
        <v>142</v>
      </c>
    </row>
    <row r="967" customFormat="false" ht="15" hidden="false" customHeight="false" outlineLevel="0" collapsed="false">
      <c r="A967" s="13" t="s">
        <v>1183</v>
      </c>
      <c r="B967" s="14" t="n">
        <v>43792</v>
      </c>
      <c r="C967" s="14" t="n">
        <v>44648</v>
      </c>
      <c r="D967" s="13" t="n">
        <v>25</v>
      </c>
      <c r="E967" s="13" t="s">
        <v>144</v>
      </c>
      <c r="F967" s="13" t="s">
        <v>154</v>
      </c>
      <c r="G967" s="13" t="s">
        <v>148</v>
      </c>
      <c r="H967" s="13" t="s">
        <v>146</v>
      </c>
      <c r="I967" s="13" t="n">
        <v>3</v>
      </c>
      <c r="J967" s="13" t="n">
        <v>2</v>
      </c>
      <c r="K967" s="13" t="n">
        <v>68500</v>
      </c>
      <c r="L967" s="13" t="s">
        <v>151</v>
      </c>
      <c r="M967" s="13" t="s">
        <v>206</v>
      </c>
      <c r="N967" s="13" t="s">
        <v>142</v>
      </c>
    </row>
    <row r="968" customFormat="false" ht="15" hidden="false" customHeight="false" outlineLevel="0" collapsed="false">
      <c r="A968" s="13" t="s">
        <v>1184</v>
      </c>
      <c r="B968" s="14" t="n">
        <v>43794</v>
      </c>
      <c r="C968" s="14"/>
      <c r="D968" s="13" t="n">
        <v>34</v>
      </c>
      <c r="E968" s="13" t="s">
        <v>130</v>
      </c>
      <c r="F968" s="13" t="s">
        <v>170</v>
      </c>
      <c r="G968" s="13" t="s">
        <v>132</v>
      </c>
      <c r="H968" s="13" t="s">
        <v>139</v>
      </c>
      <c r="I968" s="13" t="n">
        <v>5</v>
      </c>
      <c r="J968" s="13" t="n">
        <v>3</v>
      </c>
      <c r="K968" s="13" t="n">
        <v>43000</v>
      </c>
      <c r="L968" s="13"/>
      <c r="M968" s="13"/>
      <c r="N968" s="13" t="s">
        <v>134</v>
      </c>
    </row>
    <row r="969" customFormat="false" ht="15" hidden="false" customHeight="false" outlineLevel="0" collapsed="false">
      <c r="A969" s="13" t="s">
        <v>1185</v>
      </c>
      <c r="B969" s="14" t="n">
        <v>43799</v>
      </c>
      <c r="C969" s="14" t="n">
        <v>44790</v>
      </c>
      <c r="D969" s="13" t="n">
        <v>24</v>
      </c>
      <c r="E969" s="13" t="s">
        <v>190</v>
      </c>
      <c r="F969" s="13" t="s">
        <v>137</v>
      </c>
      <c r="G969" s="13" t="s">
        <v>297</v>
      </c>
      <c r="H969" s="13" t="s">
        <v>139</v>
      </c>
      <c r="I969" s="13" t="n">
        <v>3</v>
      </c>
      <c r="J969" s="13" t="n">
        <v>3</v>
      </c>
      <c r="K969" s="13" t="n">
        <v>35000</v>
      </c>
      <c r="L969" s="13" t="s">
        <v>151</v>
      </c>
      <c r="M969" s="13" t="s">
        <v>141</v>
      </c>
      <c r="N969" s="13" t="s">
        <v>214</v>
      </c>
    </row>
    <row r="970" customFormat="false" ht="15" hidden="false" customHeight="false" outlineLevel="0" collapsed="false">
      <c r="A970" s="13" t="s">
        <v>1186</v>
      </c>
      <c r="B970" s="14" t="n">
        <v>43802</v>
      </c>
      <c r="C970" s="14" t="n">
        <v>44734</v>
      </c>
      <c r="D970" s="13" t="n">
        <v>34</v>
      </c>
      <c r="E970" s="13" t="s">
        <v>136</v>
      </c>
      <c r="F970" s="13" t="s">
        <v>168</v>
      </c>
      <c r="G970" s="13" t="s">
        <v>132</v>
      </c>
      <c r="H970" s="13" t="s">
        <v>149</v>
      </c>
      <c r="I970" s="13" t="n">
        <v>4</v>
      </c>
      <c r="J970" s="13" t="n">
        <v>3</v>
      </c>
      <c r="K970" s="13" t="n">
        <v>132500</v>
      </c>
      <c r="L970" s="13" t="s">
        <v>151</v>
      </c>
      <c r="M970" s="13" t="s">
        <v>201</v>
      </c>
      <c r="N970" s="13" t="s">
        <v>142</v>
      </c>
    </row>
    <row r="971" customFormat="false" ht="15" hidden="false" customHeight="false" outlineLevel="0" collapsed="false">
      <c r="A971" s="13" t="s">
        <v>1187</v>
      </c>
      <c r="B971" s="14" t="n">
        <v>43802</v>
      </c>
      <c r="C971" s="14" t="n">
        <v>44837</v>
      </c>
      <c r="D971" s="13" t="n">
        <v>35</v>
      </c>
      <c r="E971" s="13" t="s">
        <v>136</v>
      </c>
      <c r="F971" s="13" t="s">
        <v>168</v>
      </c>
      <c r="G971" s="13" t="s">
        <v>155</v>
      </c>
      <c r="H971" s="13" t="s">
        <v>192</v>
      </c>
      <c r="I971" s="13" t="n">
        <v>4</v>
      </c>
      <c r="J971" s="13" t="n">
        <v>1</v>
      </c>
      <c r="K971" s="13" t="n">
        <v>217000</v>
      </c>
      <c r="L971" s="13" t="s">
        <v>151</v>
      </c>
      <c r="M971" s="13" t="s">
        <v>159</v>
      </c>
      <c r="N971" s="13" t="s">
        <v>134</v>
      </c>
    </row>
    <row r="972" customFormat="false" ht="15" hidden="false" customHeight="false" outlineLevel="0" collapsed="false">
      <c r="A972" s="13" t="s">
        <v>1188</v>
      </c>
      <c r="B972" s="14" t="n">
        <v>43806</v>
      </c>
      <c r="C972" s="14"/>
      <c r="D972" s="13" t="n">
        <v>33</v>
      </c>
      <c r="E972" s="13" t="s">
        <v>144</v>
      </c>
      <c r="F972" s="13" t="s">
        <v>229</v>
      </c>
      <c r="G972" s="13" t="s">
        <v>132</v>
      </c>
      <c r="H972" s="13" t="s">
        <v>242</v>
      </c>
      <c r="I972" s="13" t="n">
        <v>3</v>
      </c>
      <c r="J972" s="13" t="n">
        <v>2</v>
      </c>
      <c r="K972" s="13" t="n">
        <v>92500</v>
      </c>
      <c r="L972" s="13"/>
      <c r="M972" s="13"/>
      <c r="N972" s="13" t="s">
        <v>134</v>
      </c>
    </row>
    <row r="973" customFormat="false" ht="15" hidden="false" customHeight="false" outlineLevel="0" collapsed="false">
      <c r="A973" s="13" t="s">
        <v>1189</v>
      </c>
      <c r="B973" s="14" t="n">
        <v>43807</v>
      </c>
      <c r="C973" s="14"/>
      <c r="D973" s="13" t="n">
        <v>35</v>
      </c>
      <c r="E973" s="13" t="s">
        <v>136</v>
      </c>
      <c r="F973" s="13" t="s">
        <v>168</v>
      </c>
      <c r="G973" s="13" t="s">
        <v>132</v>
      </c>
      <c r="H973" s="13" t="s">
        <v>156</v>
      </c>
      <c r="I973" s="13" t="n">
        <v>4</v>
      </c>
      <c r="J973" s="13" t="n">
        <v>1</v>
      </c>
      <c r="K973" s="13" t="n">
        <v>87000</v>
      </c>
      <c r="L973" s="13"/>
      <c r="M973" s="13"/>
      <c r="N973" s="13" t="s">
        <v>134</v>
      </c>
    </row>
    <row r="974" customFormat="false" ht="15" hidden="false" customHeight="false" outlineLevel="0" collapsed="false">
      <c r="A974" s="13" t="s">
        <v>1190</v>
      </c>
      <c r="B974" s="14" t="n">
        <v>43807</v>
      </c>
      <c r="C974" s="14" t="n">
        <v>44840</v>
      </c>
      <c r="D974" s="13" t="n">
        <v>36</v>
      </c>
      <c r="E974" s="13" t="s">
        <v>144</v>
      </c>
      <c r="F974" s="13" t="s">
        <v>161</v>
      </c>
      <c r="G974" s="13" t="s">
        <v>155</v>
      </c>
      <c r="H974" s="13" t="s">
        <v>219</v>
      </c>
      <c r="I974" s="13" t="n">
        <v>4</v>
      </c>
      <c r="J974" s="13" t="n">
        <v>3</v>
      </c>
      <c r="K974" s="13" t="n">
        <v>42500</v>
      </c>
      <c r="L974" s="13" t="s">
        <v>151</v>
      </c>
      <c r="M974" s="13" t="s">
        <v>159</v>
      </c>
      <c r="N974" s="13" t="s">
        <v>142</v>
      </c>
    </row>
    <row r="975" customFormat="false" ht="15" hidden="false" customHeight="false" outlineLevel="0" collapsed="false">
      <c r="A975" s="13" t="s">
        <v>1191</v>
      </c>
      <c r="B975" s="14" t="n">
        <v>43813</v>
      </c>
      <c r="C975" s="14"/>
      <c r="D975" s="13" t="n">
        <v>38</v>
      </c>
      <c r="E975" s="13" t="s">
        <v>136</v>
      </c>
      <c r="F975" s="13" t="s">
        <v>170</v>
      </c>
      <c r="G975" s="13" t="s">
        <v>155</v>
      </c>
      <c r="H975" s="13" t="s">
        <v>146</v>
      </c>
      <c r="I975" s="13" t="n">
        <v>3</v>
      </c>
      <c r="J975" s="13" t="n">
        <v>2</v>
      </c>
      <c r="K975" s="13" t="n">
        <v>66000</v>
      </c>
      <c r="L975" s="13"/>
      <c r="M975" s="13"/>
      <c r="N975" s="13" t="s">
        <v>142</v>
      </c>
    </row>
    <row r="976" customFormat="false" ht="15" hidden="false" customHeight="false" outlineLevel="0" collapsed="false">
      <c r="A976" s="13" t="s">
        <v>1192</v>
      </c>
      <c r="B976" s="14" t="n">
        <v>43814</v>
      </c>
      <c r="C976" s="14" t="n">
        <v>45622</v>
      </c>
      <c r="D976" s="13" t="n">
        <v>35</v>
      </c>
      <c r="E976" s="13" t="s">
        <v>144</v>
      </c>
      <c r="F976" s="13" t="s">
        <v>145</v>
      </c>
      <c r="G976" s="13" t="s">
        <v>334</v>
      </c>
      <c r="H976" s="13" t="s">
        <v>192</v>
      </c>
      <c r="I976" s="13" t="n">
        <v>2</v>
      </c>
      <c r="J976" s="13" t="n">
        <v>3</v>
      </c>
      <c r="K976" s="13" t="n">
        <v>191500</v>
      </c>
      <c r="L976" s="13" t="s">
        <v>173</v>
      </c>
      <c r="M976" s="13" t="s">
        <v>273</v>
      </c>
      <c r="N976" s="13" t="s">
        <v>142</v>
      </c>
    </row>
    <row r="977" customFormat="false" ht="15" hidden="false" customHeight="false" outlineLevel="0" collapsed="false">
      <c r="A977" s="13" t="s">
        <v>1193</v>
      </c>
      <c r="B977" s="14" t="n">
        <v>43815</v>
      </c>
      <c r="C977" s="14"/>
      <c r="D977" s="13" t="n">
        <v>40</v>
      </c>
      <c r="E977" s="13" t="s">
        <v>136</v>
      </c>
      <c r="F977" s="13" t="s">
        <v>168</v>
      </c>
      <c r="G977" s="13" t="s">
        <v>132</v>
      </c>
      <c r="H977" s="13" t="s">
        <v>192</v>
      </c>
      <c r="I977" s="13" t="n">
        <v>3</v>
      </c>
      <c r="J977" s="13" t="n">
        <v>3</v>
      </c>
      <c r="K977" s="13" t="n">
        <v>193000</v>
      </c>
      <c r="L977" s="13"/>
      <c r="M977" s="13"/>
      <c r="N977" s="13" t="s">
        <v>142</v>
      </c>
    </row>
    <row r="978" customFormat="false" ht="15" hidden="false" customHeight="false" outlineLevel="0" collapsed="false">
      <c r="A978" s="13" t="s">
        <v>1194</v>
      </c>
      <c r="B978" s="14" t="n">
        <v>43817</v>
      </c>
      <c r="C978" s="14" t="n">
        <v>44998</v>
      </c>
      <c r="D978" s="13" t="n">
        <v>24</v>
      </c>
      <c r="E978" s="13" t="s">
        <v>186</v>
      </c>
      <c r="F978" s="13" t="s">
        <v>137</v>
      </c>
      <c r="G978" s="13" t="s">
        <v>138</v>
      </c>
      <c r="H978" s="13" t="s">
        <v>139</v>
      </c>
      <c r="I978" s="13" t="n">
        <v>2</v>
      </c>
      <c r="J978" s="13" t="n">
        <v>4</v>
      </c>
      <c r="K978" s="13" t="n">
        <v>41500</v>
      </c>
      <c r="L978" s="13" t="s">
        <v>173</v>
      </c>
      <c r="M978" s="13" t="s">
        <v>273</v>
      </c>
      <c r="N978" s="13" t="s">
        <v>142</v>
      </c>
    </row>
    <row r="979" customFormat="false" ht="15" hidden="false" customHeight="false" outlineLevel="0" collapsed="false">
      <c r="A979" s="13" t="s">
        <v>1195</v>
      </c>
      <c r="B979" s="14" t="n">
        <v>43819</v>
      </c>
      <c r="C979" s="14" t="n">
        <v>44620</v>
      </c>
      <c r="D979" s="13" t="n">
        <v>29</v>
      </c>
      <c r="E979" s="13" t="s">
        <v>144</v>
      </c>
      <c r="F979" s="13" t="s">
        <v>168</v>
      </c>
      <c r="G979" s="13" t="s">
        <v>148</v>
      </c>
      <c r="H979" s="13" t="s">
        <v>178</v>
      </c>
      <c r="I979" s="13" t="n">
        <v>3</v>
      </c>
      <c r="J979" s="13" t="n">
        <v>3</v>
      </c>
      <c r="K979" s="13" t="n">
        <v>148500</v>
      </c>
      <c r="L979" s="13" t="s">
        <v>140</v>
      </c>
      <c r="M979" s="13" t="s">
        <v>159</v>
      </c>
      <c r="N979" s="13" t="s">
        <v>134</v>
      </c>
    </row>
    <row r="980" customFormat="false" ht="15" hidden="false" customHeight="false" outlineLevel="0" collapsed="false">
      <c r="A980" s="13" t="s">
        <v>1196</v>
      </c>
      <c r="B980" s="14" t="n">
        <v>43820</v>
      </c>
      <c r="C980" s="14"/>
      <c r="D980" s="13" t="n">
        <v>43</v>
      </c>
      <c r="E980" s="13" t="s">
        <v>136</v>
      </c>
      <c r="F980" s="13" t="s">
        <v>137</v>
      </c>
      <c r="G980" s="13" t="s">
        <v>138</v>
      </c>
      <c r="H980" s="13" t="s">
        <v>139</v>
      </c>
      <c r="I980" s="13" t="n">
        <v>3</v>
      </c>
      <c r="J980" s="13" t="n">
        <v>4</v>
      </c>
      <c r="K980" s="13" t="n">
        <v>48000</v>
      </c>
      <c r="L980" s="13"/>
      <c r="M980" s="13"/>
      <c r="N980" s="13" t="s">
        <v>142</v>
      </c>
    </row>
    <row r="981" customFormat="false" ht="15" hidden="false" customHeight="false" outlineLevel="0" collapsed="false">
      <c r="A981" s="13" t="s">
        <v>1197</v>
      </c>
      <c r="B981" s="14" t="n">
        <v>43821</v>
      </c>
      <c r="C981" s="14" t="n">
        <v>44837</v>
      </c>
      <c r="D981" s="13" t="n">
        <v>29</v>
      </c>
      <c r="E981" s="13" t="s">
        <v>144</v>
      </c>
      <c r="F981" s="13" t="s">
        <v>168</v>
      </c>
      <c r="G981" s="13" t="s">
        <v>132</v>
      </c>
      <c r="H981" s="13" t="s">
        <v>192</v>
      </c>
      <c r="I981" s="13" t="n">
        <v>4</v>
      </c>
      <c r="J981" s="13" t="n">
        <v>1</v>
      </c>
      <c r="K981" s="13" t="n">
        <v>182500</v>
      </c>
      <c r="L981" s="13" t="s">
        <v>151</v>
      </c>
      <c r="M981" s="13" t="s">
        <v>152</v>
      </c>
      <c r="N981" s="13" t="s">
        <v>142</v>
      </c>
    </row>
    <row r="982" customFormat="false" ht="15" hidden="false" customHeight="false" outlineLevel="0" collapsed="false">
      <c r="A982" s="13" t="s">
        <v>1198</v>
      </c>
      <c r="B982" s="14" t="n">
        <v>43825</v>
      </c>
      <c r="C982" s="14"/>
      <c r="D982" s="13" t="n">
        <v>27</v>
      </c>
      <c r="E982" s="13" t="s">
        <v>144</v>
      </c>
      <c r="F982" s="13" t="s">
        <v>168</v>
      </c>
      <c r="G982" s="13" t="s">
        <v>155</v>
      </c>
      <c r="H982" s="13" t="s">
        <v>172</v>
      </c>
      <c r="I982" s="13" t="n">
        <v>5</v>
      </c>
      <c r="J982" s="13" t="n">
        <v>4</v>
      </c>
      <c r="K982" s="13" t="n">
        <v>39000</v>
      </c>
      <c r="L982" s="13"/>
      <c r="M982" s="13"/>
      <c r="N982" s="13" t="s">
        <v>134</v>
      </c>
    </row>
    <row r="983" customFormat="false" ht="15" hidden="false" customHeight="false" outlineLevel="0" collapsed="false">
      <c r="A983" s="13" t="s">
        <v>1199</v>
      </c>
      <c r="B983" s="14" t="n">
        <v>43828</v>
      </c>
      <c r="C983" s="14" t="n">
        <v>44657</v>
      </c>
      <c r="D983" s="13" t="n">
        <v>31</v>
      </c>
      <c r="E983" s="13" t="s">
        <v>259</v>
      </c>
      <c r="F983" s="13" t="s">
        <v>137</v>
      </c>
      <c r="G983" s="13" t="s">
        <v>155</v>
      </c>
      <c r="H983" s="13" t="s">
        <v>149</v>
      </c>
      <c r="I983" s="13" t="n">
        <v>3</v>
      </c>
      <c r="J983" s="13" t="n">
        <v>1</v>
      </c>
      <c r="K983" s="13" t="n">
        <v>114500</v>
      </c>
      <c r="L983" s="13" t="s">
        <v>151</v>
      </c>
      <c r="M983" s="13" t="s">
        <v>152</v>
      </c>
      <c r="N983" s="13" t="s">
        <v>255</v>
      </c>
    </row>
    <row r="984" customFormat="false" ht="15" hidden="false" customHeight="false" outlineLevel="0" collapsed="false">
      <c r="A984" s="13" t="s">
        <v>1200</v>
      </c>
      <c r="B984" s="14" t="n">
        <v>43830</v>
      </c>
      <c r="C984" s="14"/>
      <c r="D984" s="13" t="n">
        <v>34</v>
      </c>
      <c r="E984" s="13" t="s">
        <v>144</v>
      </c>
      <c r="F984" s="13" t="s">
        <v>168</v>
      </c>
      <c r="G984" s="13" t="s">
        <v>330</v>
      </c>
      <c r="H984" s="13" t="s">
        <v>192</v>
      </c>
      <c r="I984" s="13" t="n">
        <v>2</v>
      </c>
      <c r="J984" s="13" t="n">
        <v>2</v>
      </c>
      <c r="K984" s="13" t="n">
        <v>198000</v>
      </c>
      <c r="L984" s="13"/>
      <c r="M984" s="13"/>
      <c r="N984" s="13" t="s">
        <v>142</v>
      </c>
    </row>
    <row r="985" customFormat="false" ht="15" hidden="false" customHeight="false" outlineLevel="0" collapsed="false">
      <c r="A985" s="13" t="s">
        <v>1201</v>
      </c>
      <c r="B985" s="14" t="n">
        <v>43836</v>
      </c>
      <c r="C985" s="14"/>
      <c r="D985" s="13" t="n">
        <v>37</v>
      </c>
      <c r="E985" s="13" t="s">
        <v>144</v>
      </c>
      <c r="F985" s="13" t="s">
        <v>168</v>
      </c>
      <c r="G985" s="13" t="s">
        <v>191</v>
      </c>
      <c r="H985" s="13" t="s">
        <v>139</v>
      </c>
      <c r="I985" s="13" t="n">
        <v>4</v>
      </c>
      <c r="J985" s="13" t="n">
        <v>2</v>
      </c>
      <c r="K985" s="13" t="n">
        <v>30500</v>
      </c>
      <c r="L985" s="13"/>
      <c r="M985" s="13"/>
      <c r="N985" s="13" t="s">
        <v>142</v>
      </c>
    </row>
    <row r="986" customFormat="false" ht="15" hidden="false" customHeight="false" outlineLevel="0" collapsed="false">
      <c r="A986" s="13" t="s">
        <v>1202</v>
      </c>
      <c r="B986" s="14" t="n">
        <v>43837</v>
      </c>
      <c r="C986" s="14" t="n">
        <v>44643</v>
      </c>
      <c r="D986" s="13" t="n">
        <v>26</v>
      </c>
      <c r="E986" s="13" t="s">
        <v>163</v>
      </c>
      <c r="F986" s="13" t="s">
        <v>170</v>
      </c>
      <c r="G986" s="13" t="s">
        <v>155</v>
      </c>
      <c r="H986" s="13" t="s">
        <v>139</v>
      </c>
      <c r="I986" s="13" t="n">
        <v>3</v>
      </c>
      <c r="J986" s="13" t="n">
        <v>1</v>
      </c>
      <c r="K986" s="13" t="n">
        <v>42500</v>
      </c>
      <c r="L986" s="13" t="s">
        <v>173</v>
      </c>
      <c r="M986" s="13" t="s">
        <v>254</v>
      </c>
      <c r="N986" s="13" t="s">
        <v>142</v>
      </c>
    </row>
    <row r="987" customFormat="false" ht="15" hidden="false" customHeight="false" outlineLevel="0" collapsed="false">
      <c r="A987" s="13" t="s">
        <v>1203</v>
      </c>
      <c r="B987" s="14" t="n">
        <v>43842</v>
      </c>
      <c r="C987" s="14" t="n">
        <v>44621</v>
      </c>
      <c r="D987" s="13" t="n">
        <v>33</v>
      </c>
      <c r="E987" s="13" t="s">
        <v>136</v>
      </c>
      <c r="F987" s="13" t="s">
        <v>170</v>
      </c>
      <c r="G987" s="13" t="s">
        <v>155</v>
      </c>
      <c r="H987" s="13" t="s">
        <v>242</v>
      </c>
      <c r="I987" s="13" t="n">
        <v>3</v>
      </c>
      <c r="J987" s="13" t="n">
        <v>3</v>
      </c>
      <c r="K987" s="13" t="n">
        <v>117500</v>
      </c>
      <c r="L987" s="13"/>
      <c r="M987" s="13" t="s">
        <v>216</v>
      </c>
      <c r="N987" s="13" t="s">
        <v>142</v>
      </c>
    </row>
    <row r="988" customFormat="false" ht="15" hidden="false" customHeight="false" outlineLevel="0" collapsed="false">
      <c r="A988" s="13" t="s">
        <v>1204</v>
      </c>
      <c r="B988" s="14" t="n">
        <v>43847</v>
      </c>
      <c r="C988" s="14"/>
      <c r="D988" s="13" t="n">
        <v>30</v>
      </c>
      <c r="E988" s="13" t="s">
        <v>144</v>
      </c>
      <c r="F988" s="13" t="s">
        <v>154</v>
      </c>
      <c r="G988" s="13" t="s">
        <v>132</v>
      </c>
      <c r="H988" s="13" t="s">
        <v>146</v>
      </c>
      <c r="I988" s="13" t="n">
        <v>4</v>
      </c>
      <c r="J988" s="13" t="n">
        <v>2</v>
      </c>
      <c r="K988" s="13" t="n">
        <v>72000</v>
      </c>
      <c r="L988" s="13"/>
      <c r="M988" s="13"/>
      <c r="N988" s="13" t="s">
        <v>142</v>
      </c>
    </row>
    <row r="989" customFormat="false" ht="15" hidden="false" customHeight="false" outlineLevel="0" collapsed="false">
      <c r="A989" s="13" t="s">
        <v>1205</v>
      </c>
      <c r="B989" s="14" t="n">
        <v>43849</v>
      </c>
      <c r="C989" s="14"/>
      <c r="D989" s="13" t="n">
        <v>38</v>
      </c>
      <c r="E989" s="13" t="s">
        <v>190</v>
      </c>
      <c r="F989" s="13" t="s">
        <v>137</v>
      </c>
      <c r="G989" s="13" t="s">
        <v>374</v>
      </c>
      <c r="H989" s="13" t="s">
        <v>192</v>
      </c>
      <c r="I989" s="13" t="n">
        <v>3</v>
      </c>
      <c r="J989" s="13" t="n">
        <v>3</v>
      </c>
      <c r="K989" s="13" t="n">
        <v>233000</v>
      </c>
      <c r="L989" s="13"/>
      <c r="M989" s="13"/>
      <c r="N989" s="13" t="s">
        <v>157</v>
      </c>
    </row>
    <row r="990" customFormat="false" ht="15" hidden="false" customHeight="false" outlineLevel="0" collapsed="false">
      <c r="A990" s="13" t="s">
        <v>1206</v>
      </c>
      <c r="B990" s="14" t="n">
        <v>43850</v>
      </c>
      <c r="C990" s="14" t="n">
        <v>45242</v>
      </c>
      <c r="D990" s="13" t="n">
        <v>35</v>
      </c>
      <c r="E990" s="13" t="s">
        <v>136</v>
      </c>
      <c r="F990" s="13" t="s">
        <v>131</v>
      </c>
      <c r="G990" s="13" t="s">
        <v>132</v>
      </c>
      <c r="H990" s="13" t="s">
        <v>146</v>
      </c>
      <c r="I990" s="13" t="n">
        <v>3</v>
      </c>
      <c r="J990" s="13" t="n">
        <v>2</v>
      </c>
      <c r="K990" s="13" t="n">
        <v>66500</v>
      </c>
      <c r="L990" s="13" t="s">
        <v>151</v>
      </c>
      <c r="M990" s="13" t="s">
        <v>216</v>
      </c>
      <c r="N990" s="13" t="s">
        <v>142</v>
      </c>
    </row>
    <row r="991" customFormat="false" ht="15" hidden="false" customHeight="false" outlineLevel="0" collapsed="false">
      <c r="A991" s="13" t="s">
        <v>1207</v>
      </c>
      <c r="B991" s="14" t="n">
        <v>43854</v>
      </c>
      <c r="C991" s="14" t="n">
        <v>45582</v>
      </c>
      <c r="D991" s="13" t="n">
        <v>26</v>
      </c>
      <c r="E991" s="13" t="s">
        <v>144</v>
      </c>
      <c r="F991" s="13" t="s">
        <v>145</v>
      </c>
      <c r="G991" s="13" t="s">
        <v>132</v>
      </c>
      <c r="H991" s="13" t="s">
        <v>139</v>
      </c>
      <c r="I991" s="13" t="n">
        <v>4</v>
      </c>
      <c r="J991" s="13" t="n">
        <v>2</v>
      </c>
      <c r="K991" s="13" t="n">
        <v>44000</v>
      </c>
      <c r="L991" s="13" t="s">
        <v>151</v>
      </c>
      <c r="M991" s="13" t="s">
        <v>216</v>
      </c>
      <c r="N991" s="13" t="s">
        <v>214</v>
      </c>
    </row>
    <row r="992" customFormat="false" ht="15" hidden="false" customHeight="false" outlineLevel="0" collapsed="false">
      <c r="A992" s="13" t="s">
        <v>1208</v>
      </c>
      <c r="B992" s="14" t="n">
        <v>43855</v>
      </c>
      <c r="C992" s="14"/>
      <c r="D992" s="13" t="n">
        <v>30</v>
      </c>
      <c r="E992" s="13" t="s">
        <v>136</v>
      </c>
      <c r="F992" s="13" t="s">
        <v>131</v>
      </c>
      <c r="G992" s="13" t="s">
        <v>155</v>
      </c>
      <c r="H992" s="13" t="s">
        <v>178</v>
      </c>
      <c r="I992" s="13" t="n">
        <v>4</v>
      </c>
      <c r="J992" s="13" t="n">
        <v>2</v>
      </c>
      <c r="K992" s="13" t="n">
        <v>123500</v>
      </c>
      <c r="L992" s="13"/>
      <c r="M992" s="13"/>
      <c r="N992" s="13" t="s">
        <v>142</v>
      </c>
    </row>
    <row r="993" customFormat="false" ht="15" hidden="false" customHeight="false" outlineLevel="0" collapsed="false">
      <c r="A993" s="13" t="s">
        <v>1209</v>
      </c>
      <c r="B993" s="14" t="n">
        <v>43857</v>
      </c>
      <c r="C993" s="14"/>
      <c r="D993" s="13" t="n">
        <v>38</v>
      </c>
      <c r="E993" s="13" t="s">
        <v>144</v>
      </c>
      <c r="F993" s="13" t="s">
        <v>161</v>
      </c>
      <c r="G993" s="13" t="s">
        <v>138</v>
      </c>
      <c r="H993" s="13" t="s">
        <v>156</v>
      </c>
      <c r="I993" s="13" t="n">
        <v>3</v>
      </c>
      <c r="J993" s="13" t="n">
        <v>3</v>
      </c>
      <c r="K993" s="13" t="n">
        <v>88000</v>
      </c>
      <c r="L993" s="13"/>
      <c r="M993" s="13"/>
      <c r="N993" s="13" t="s">
        <v>255</v>
      </c>
    </row>
    <row r="994" customFormat="false" ht="15" hidden="false" customHeight="false" outlineLevel="0" collapsed="false">
      <c r="A994" s="13" t="s">
        <v>1210</v>
      </c>
      <c r="B994" s="14" t="n">
        <v>43858</v>
      </c>
      <c r="C994" s="14"/>
      <c r="D994" s="13" t="n">
        <v>36</v>
      </c>
      <c r="E994" s="13" t="s">
        <v>190</v>
      </c>
      <c r="F994" s="13" t="s">
        <v>168</v>
      </c>
      <c r="G994" s="13" t="s">
        <v>132</v>
      </c>
      <c r="H994" s="13" t="s">
        <v>146</v>
      </c>
      <c r="I994" s="13" t="n">
        <v>5</v>
      </c>
      <c r="J994" s="13" t="n">
        <v>3</v>
      </c>
      <c r="K994" s="13" t="n">
        <v>60500</v>
      </c>
      <c r="L994" s="13"/>
      <c r="M994" s="13"/>
      <c r="N994" s="13" t="s">
        <v>142</v>
      </c>
    </row>
    <row r="995" customFormat="false" ht="15" hidden="false" customHeight="false" outlineLevel="0" collapsed="false">
      <c r="A995" s="13" t="s">
        <v>1211</v>
      </c>
      <c r="B995" s="14" t="n">
        <v>43860</v>
      </c>
      <c r="C995" s="14"/>
      <c r="D995" s="13" t="n">
        <v>33</v>
      </c>
      <c r="E995" s="13" t="s">
        <v>136</v>
      </c>
      <c r="F995" s="13" t="s">
        <v>137</v>
      </c>
      <c r="G995" s="13" t="s">
        <v>148</v>
      </c>
      <c r="H995" s="13" t="s">
        <v>156</v>
      </c>
      <c r="I995" s="13" t="n">
        <v>3</v>
      </c>
      <c r="J995" s="13" t="n">
        <v>2</v>
      </c>
      <c r="K995" s="13" t="n">
        <v>77500</v>
      </c>
      <c r="L995" s="13"/>
      <c r="M995" s="13"/>
      <c r="N995" s="13" t="s">
        <v>142</v>
      </c>
    </row>
    <row r="996" customFormat="false" ht="15" hidden="false" customHeight="false" outlineLevel="0" collapsed="false">
      <c r="A996" s="13" t="s">
        <v>1212</v>
      </c>
      <c r="B996" s="14" t="n">
        <v>43867</v>
      </c>
      <c r="C996" s="14"/>
      <c r="D996" s="13" t="n">
        <v>32</v>
      </c>
      <c r="E996" s="13" t="s">
        <v>144</v>
      </c>
      <c r="F996" s="13" t="s">
        <v>168</v>
      </c>
      <c r="G996" s="13" t="s">
        <v>155</v>
      </c>
      <c r="H996" s="13" t="s">
        <v>178</v>
      </c>
      <c r="I996" s="13" t="n">
        <v>3</v>
      </c>
      <c r="J996" s="13" t="n">
        <v>3</v>
      </c>
      <c r="K996" s="13" t="n">
        <v>145500</v>
      </c>
      <c r="L996" s="13"/>
      <c r="M996" s="13"/>
      <c r="N996" s="13" t="s">
        <v>142</v>
      </c>
    </row>
    <row r="997" customFormat="false" ht="15" hidden="false" customHeight="false" outlineLevel="0" collapsed="false">
      <c r="A997" s="13" t="s">
        <v>1213</v>
      </c>
      <c r="B997" s="14" t="n">
        <v>43870</v>
      </c>
      <c r="C997" s="14" t="n">
        <v>44679</v>
      </c>
      <c r="D997" s="13" t="n">
        <v>32</v>
      </c>
      <c r="E997" s="13" t="s">
        <v>144</v>
      </c>
      <c r="F997" s="13" t="s">
        <v>131</v>
      </c>
      <c r="G997" s="13" t="s">
        <v>138</v>
      </c>
      <c r="H997" s="13" t="s">
        <v>172</v>
      </c>
      <c r="I997" s="13" t="n">
        <v>3</v>
      </c>
      <c r="J997" s="13" t="n">
        <v>3</v>
      </c>
      <c r="K997" s="13" t="n">
        <v>39000</v>
      </c>
      <c r="L997" s="13" t="s">
        <v>151</v>
      </c>
      <c r="M997" s="13" t="s">
        <v>159</v>
      </c>
      <c r="N997" s="13" t="s">
        <v>453</v>
      </c>
    </row>
    <row r="998" customFormat="false" ht="15" hidden="false" customHeight="false" outlineLevel="0" collapsed="false">
      <c r="A998" s="13" t="s">
        <v>1214</v>
      </c>
      <c r="B998" s="14" t="n">
        <v>43872</v>
      </c>
      <c r="C998" s="14"/>
      <c r="D998" s="13" t="n">
        <v>42</v>
      </c>
      <c r="E998" s="13" t="s">
        <v>144</v>
      </c>
      <c r="F998" s="13" t="s">
        <v>131</v>
      </c>
      <c r="G998" s="13" t="s">
        <v>155</v>
      </c>
      <c r="H998" s="13" t="s">
        <v>139</v>
      </c>
      <c r="I998" s="13" t="n">
        <v>3</v>
      </c>
      <c r="J998" s="13" t="n">
        <v>2</v>
      </c>
      <c r="K998" s="13" t="n">
        <v>42000</v>
      </c>
      <c r="L998" s="13"/>
      <c r="M998" s="13"/>
      <c r="N998" s="13" t="s">
        <v>142</v>
      </c>
    </row>
    <row r="999" customFormat="false" ht="15" hidden="false" customHeight="false" outlineLevel="0" collapsed="false">
      <c r="A999" s="13" t="s">
        <v>1215</v>
      </c>
      <c r="B999" s="14" t="n">
        <v>43873</v>
      </c>
      <c r="C999" s="14"/>
      <c r="D999" s="13" t="n">
        <v>39</v>
      </c>
      <c r="E999" s="13" t="s">
        <v>136</v>
      </c>
      <c r="F999" s="13" t="s">
        <v>137</v>
      </c>
      <c r="G999" s="13" t="s">
        <v>184</v>
      </c>
      <c r="H999" s="13" t="s">
        <v>192</v>
      </c>
      <c r="I999" s="13" t="n">
        <v>4</v>
      </c>
      <c r="J999" s="13" t="n">
        <v>1</v>
      </c>
      <c r="K999" s="13" t="n">
        <v>203000</v>
      </c>
      <c r="L999" s="13"/>
      <c r="M999" s="13"/>
      <c r="N999" s="13" t="s">
        <v>142</v>
      </c>
    </row>
    <row r="1000" customFormat="false" ht="15" hidden="false" customHeight="false" outlineLevel="0" collapsed="false">
      <c r="A1000" s="13" t="s">
        <v>1216</v>
      </c>
      <c r="B1000" s="14" t="n">
        <v>43876</v>
      </c>
      <c r="C1000" s="14"/>
      <c r="D1000" s="13" t="n">
        <v>40</v>
      </c>
      <c r="E1000" s="13" t="s">
        <v>144</v>
      </c>
      <c r="F1000" s="13" t="s">
        <v>154</v>
      </c>
      <c r="G1000" s="13" t="s">
        <v>171</v>
      </c>
      <c r="H1000" s="13" t="s">
        <v>146</v>
      </c>
      <c r="I1000" s="13" t="n">
        <v>3</v>
      </c>
      <c r="J1000" s="13" t="n">
        <v>4</v>
      </c>
      <c r="K1000" s="13" t="n">
        <v>67500</v>
      </c>
      <c r="L1000" s="13"/>
      <c r="M1000" s="13"/>
      <c r="N1000" s="13" t="s">
        <v>142</v>
      </c>
    </row>
    <row r="1001" customFormat="false" ht="15" hidden="false" customHeight="false" outlineLevel="0" collapsed="false">
      <c r="A1001" s="13" t="s">
        <v>1217</v>
      </c>
      <c r="B1001" s="14" t="n">
        <v>43882</v>
      </c>
      <c r="C1001" s="14" t="n">
        <v>45887</v>
      </c>
      <c r="D1001" s="13" t="n">
        <v>44</v>
      </c>
      <c r="E1001" s="13" t="s">
        <v>190</v>
      </c>
      <c r="F1001" s="13" t="s">
        <v>145</v>
      </c>
      <c r="G1001" s="13" t="s">
        <v>155</v>
      </c>
      <c r="H1001" s="13" t="s">
        <v>139</v>
      </c>
      <c r="I1001" s="13" t="n">
        <v>2</v>
      </c>
      <c r="J1001" s="13" t="n">
        <v>2</v>
      </c>
      <c r="K1001" s="13" t="n">
        <v>44500</v>
      </c>
      <c r="L1001" s="13" t="s">
        <v>173</v>
      </c>
      <c r="M1001" s="13" t="s">
        <v>273</v>
      </c>
      <c r="N1001" s="13" t="s">
        <v>142</v>
      </c>
    </row>
    <row r="1002" customFormat="false" ht="15" hidden="false" customHeight="false" outlineLevel="0" collapsed="false">
      <c r="A1002" s="13" t="s">
        <v>1218</v>
      </c>
      <c r="B1002" s="14" t="n">
        <v>43883</v>
      </c>
      <c r="C1002" s="14"/>
      <c r="D1002" s="13" t="n">
        <v>30</v>
      </c>
      <c r="E1002" s="13" t="s">
        <v>163</v>
      </c>
      <c r="F1002" s="13" t="s">
        <v>241</v>
      </c>
      <c r="G1002" s="13" t="s">
        <v>155</v>
      </c>
      <c r="H1002" s="13" t="s">
        <v>343</v>
      </c>
      <c r="I1002" s="13" t="n">
        <v>3</v>
      </c>
      <c r="J1002" s="13" t="n">
        <v>3</v>
      </c>
      <c r="K1002" s="13" t="n">
        <v>106000</v>
      </c>
      <c r="L1002" s="13"/>
      <c r="M1002" s="13"/>
      <c r="N1002" s="13" t="s">
        <v>142</v>
      </c>
    </row>
    <row r="1003" customFormat="false" ht="15" hidden="false" customHeight="false" outlineLevel="0" collapsed="false">
      <c r="A1003" s="13" t="s">
        <v>1219</v>
      </c>
      <c r="B1003" s="14" t="n">
        <v>43892</v>
      </c>
      <c r="C1003" s="14"/>
      <c r="D1003" s="13" t="n">
        <v>29</v>
      </c>
      <c r="E1003" s="13" t="s">
        <v>136</v>
      </c>
      <c r="F1003" s="13" t="s">
        <v>137</v>
      </c>
      <c r="G1003" s="13" t="s">
        <v>224</v>
      </c>
      <c r="H1003" s="13" t="s">
        <v>156</v>
      </c>
      <c r="I1003" s="13" t="n">
        <v>4</v>
      </c>
      <c r="J1003" s="13" t="n">
        <v>1</v>
      </c>
      <c r="K1003" s="13" t="n">
        <v>92000</v>
      </c>
      <c r="L1003" s="13"/>
      <c r="M1003" s="13"/>
      <c r="N1003" s="13" t="s">
        <v>142</v>
      </c>
    </row>
    <row r="1004" customFormat="false" ht="15" hidden="false" customHeight="false" outlineLevel="0" collapsed="false">
      <c r="A1004" s="13" t="s">
        <v>1220</v>
      </c>
      <c r="B1004" s="14" t="n">
        <v>43895</v>
      </c>
      <c r="C1004" s="14"/>
      <c r="D1004" s="13" t="n">
        <v>33</v>
      </c>
      <c r="E1004" s="13" t="s">
        <v>144</v>
      </c>
      <c r="F1004" s="13" t="s">
        <v>231</v>
      </c>
      <c r="G1004" s="13" t="s">
        <v>279</v>
      </c>
      <c r="H1004" s="13" t="s">
        <v>172</v>
      </c>
      <c r="I1004" s="13" t="n">
        <v>4</v>
      </c>
      <c r="J1004" s="13" t="n">
        <v>2</v>
      </c>
      <c r="K1004" s="13" t="n">
        <v>36500</v>
      </c>
      <c r="L1004" s="13"/>
      <c r="M1004" s="13"/>
      <c r="N1004" s="13" t="s">
        <v>142</v>
      </c>
    </row>
    <row r="1005" customFormat="false" ht="15" hidden="false" customHeight="false" outlineLevel="0" collapsed="false">
      <c r="A1005" s="13" t="s">
        <v>1221</v>
      </c>
      <c r="B1005" s="14" t="n">
        <v>43900</v>
      </c>
      <c r="C1005" s="14" t="n">
        <v>45438</v>
      </c>
      <c r="D1005" s="13" t="n">
        <v>36</v>
      </c>
      <c r="E1005" s="13" t="s">
        <v>136</v>
      </c>
      <c r="F1005" s="13" t="s">
        <v>241</v>
      </c>
      <c r="G1005" s="13" t="s">
        <v>132</v>
      </c>
      <c r="H1005" s="13" t="s">
        <v>411</v>
      </c>
      <c r="I1005" s="13" t="n">
        <v>3</v>
      </c>
      <c r="J1005" s="13" t="n">
        <v>3</v>
      </c>
      <c r="K1005" s="13" t="n">
        <v>65500</v>
      </c>
      <c r="L1005" s="13" t="s">
        <v>151</v>
      </c>
      <c r="M1005" s="13" t="s">
        <v>201</v>
      </c>
      <c r="N1005" s="13" t="s">
        <v>142</v>
      </c>
    </row>
    <row r="1006" customFormat="false" ht="15" hidden="false" customHeight="false" outlineLevel="0" collapsed="false">
      <c r="A1006" s="13" t="s">
        <v>1222</v>
      </c>
      <c r="B1006" s="14" t="n">
        <v>43900</v>
      </c>
      <c r="C1006" s="14"/>
      <c r="D1006" s="13" t="n">
        <v>28</v>
      </c>
      <c r="E1006" s="13" t="s">
        <v>136</v>
      </c>
      <c r="F1006" s="13" t="s">
        <v>229</v>
      </c>
      <c r="G1006" s="13" t="s">
        <v>224</v>
      </c>
      <c r="H1006" s="13" t="s">
        <v>156</v>
      </c>
      <c r="I1006" s="13" t="n">
        <v>2</v>
      </c>
      <c r="J1006" s="13" t="n">
        <v>3</v>
      </c>
      <c r="K1006" s="13" t="n">
        <v>93500</v>
      </c>
      <c r="L1006" s="13"/>
      <c r="M1006" s="13"/>
      <c r="N1006" s="13" t="s">
        <v>453</v>
      </c>
    </row>
    <row r="1007" customFormat="false" ht="15" hidden="false" customHeight="false" outlineLevel="0" collapsed="false">
      <c r="A1007" s="13" t="s">
        <v>1223</v>
      </c>
      <c r="B1007" s="14" t="n">
        <v>43909</v>
      </c>
      <c r="C1007" s="14" t="n">
        <v>44841</v>
      </c>
      <c r="D1007" s="13" t="n">
        <v>30</v>
      </c>
      <c r="E1007" s="13" t="s">
        <v>136</v>
      </c>
      <c r="F1007" s="13" t="s">
        <v>241</v>
      </c>
      <c r="G1007" s="13" t="s">
        <v>171</v>
      </c>
      <c r="H1007" s="13" t="s">
        <v>178</v>
      </c>
      <c r="I1007" s="13" t="n">
        <v>3</v>
      </c>
      <c r="J1007" s="13" t="n">
        <v>2</v>
      </c>
      <c r="K1007" s="13" t="n">
        <v>121500</v>
      </c>
      <c r="L1007" s="13" t="s">
        <v>151</v>
      </c>
      <c r="M1007" s="13"/>
      <c r="N1007" s="13" t="s">
        <v>142</v>
      </c>
    </row>
    <row r="1008" customFormat="false" ht="15" hidden="false" customHeight="false" outlineLevel="0" collapsed="false">
      <c r="A1008" s="13" t="s">
        <v>1224</v>
      </c>
      <c r="B1008" s="14" t="n">
        <v>43919</v>
      </c>
      <c r="C1008" s="14" t="n">
        <v>44699</v>
      </c>
      <c r="D1008" s="13" t="n">
        <v>31</v>
      </c>
      <c r="E1008" s="13" t="s">
        <v>144</v>
      </c>
      <c r="F1008" s="13" t="s">
        <v>168</v>
      </c>
      <c r="G1008" s="13" t="s">
        <v>138</v>
      </c>
      <c r="H1008" s="13" t="s">
        <v>156</v>
      </c>
      <c r="I1008" s="13" t="n">
        <v>3</v>
      </c>
      <c r="J1008" s="13" t="n">
        <v>1</v>
      </c>
      <c r="K1008" s="13" t="n">
        <v>96500</v>
      </c>
      <c r="L1008" s="13" t="s">
        <v>253</v>
      </c>
      <c r="M1008" s="13" t="s">
        <v>968</v>
      </c>
      <c r="N1008" s="13" t="s">
        <v>134</v>
      </c>
    </row>
    <row r="1009" customFormat="false" ht="15" hidden="false" customHeight="false" outlineLevel="0" collapsed="false">
      <c r="A1009" s="13" t="s">
        <v>1225</v>
      </c>
      <c r="B1009" s="14" t="n">
        <v>43927</v>
      </c>
      <c r="C1009" s="14" t="n">
        <v>44930</v>
      </c>
      <c r="D1009" s="13" t="n">
        <v>35</v>
      </c>
      <c r="E1009" s="13" t="s">
        <v>144</v>
      </c>
      <c r="F1009" s="13" t="s">
        <v>170</v>
      </c>
      <c r="G1009" s="13" t="s">
        <v>138</v>
      </c>
      <c r="H1009" s="13" t="s">
        <v>242</v>
      </c>
      <c r="I1009" s="13" t="n">
        <v>2</v>
      </c>
      <c r="J1009" s="13" t="n">
        <v>3</v>
      </c>
      <c r="K1009" s="13" t="n">
        <v>102000</v>
      </c>
      <c r="L1009" s="13" t="s">
        <v>173</v>
      </c>
      <c r="M1009" s="13" t="s">
        <v>254</v>
      </c>
      <c r="N1009" s="13" t="s">
        <v>134</v>
      </c>
    </row>
    <row r="1010" customFormat="false" ht="15" hidden="false" customHeight="false" outlineLevel="0" collapsed="false">
      <c r="A1010" s="13" t="s">
        <v>1226</v>
      </c>
      <c r="B1010" s="14" t="n">
        <v>43930</v>
      </c>
      <c r="C1010" s="14"/>
      <c r="D1010" s="13" t="n">
        <v>29</v>
      </c>
      <c r="E1010" s="13" t="s">
        <v>136</v>
      </c>
      <c r="F1010" s="13" t="s">
        <v>161</v>
      </c>
      <c r="G1010" s="13" t="s">
        <v>132</v>
      </c>
      <c r="H1010" s="13" t="s">
        <v>280</v>
      </c>
      <c r="I1010" s="13" t="n">
        <v>3</v>
      </c>
      <c r="J1010" s="13" t="n">
        <v>4</v>
      </c>
      <c r="K1010" s="13" t="n">
        <v>116000</v>
      </c>
      <c r="L1010" s="13"/>
      <c r="M1010" s="13"/>
      <c r="N1010" s="13" t="s">
        <v>134</v>
      </c>
    </row>
    <row r="1011" customFormat="false" ht="15" hidden="false" customHeight="false" outlineLevel="0" collapsed="false">
      <c r="A1011" s="13" t="s">
        <v>1227</v>
      </c>
      <c r="B1011" s="14" t="n">
        <v>43930</v>
      </c>
      <c r="C1011" s="14" t="n">
        <v>44591</v>
      </c>
      <c r="D1011" s="13" t="n">
        <v>45</v>
      </c>
      <c r="E1011" s="13" t="s">
        <v>144</v>
      </c>
      <c r="F1011" s="13" t="s">
        <v>161</v>
      </c>
      <c r="G1011" s="13" t="s">
        <v>155</v>
      </c>
      <c r="H1011" s="13" t="s">
        <v>146</v>
      </c>
      <c r="I1011" s="13" t="n">
        <v>4</v>
      </c>
      <c r="J1011" s="13" t="n">
        <v>3</v>
      </c>
      <c r="K1011" s="13" t="n">
        <v>58500</v>
      </c>
      <c r="L1011" s="13" t="s">
        <v>151</v>
      </c>
      <c r="M1011" s="13" t="s">
        <v>201</v>
      </c>
      <c r="N1011" s="13" t="s">
        <v>142</v>
      </c>
    </row>
    <row r="1012" customFormat="false" ht="15" hidden="false" customHeight="false" outlineLevel="0" collapsed="false">
      <c r="A1012" s="13" t="s">
        <v>1228</v>
      </c>
      <c r="B1012" s="14" t="n">
        <v>43932</v>
      </c>
      <c r="C1012" s="14" t="n">
        <v>44951</v>
      </c>
      <c r="D1012" s="13" t="n">
        <v>35</v>
      </c>
      <c r="E1012" s="13" t="s">
        <v>190</v>
      </c>
      <c r="F1012" s="13" t="s">
        <v>137</v>
      </c>
      <c r="G1012" s="13" t="s">
        <v>148</v>
      </c>
      <c r="H1012" s="13" t="s">
        <v>149</v>
      </c>
      <c r="I1012" s="13" t="n">
        <v>3</v>
      </c>
      <c r="J1012" s="13" t="n">
        <v>1</v>
      </c>
      <c r="K1012" s="13" t="n">
        <v>99000</v>
      </c>
      <c r="L1012" s="13" t="s">
        <v>151</v>
      </c>
      <c r="M1012" s="13" t="s">
        <v>203</v>
      </c>
      <c r="N1012" s="13" t="s">
        <v>134</v>
      </c>
    </row>
    <row r="1013" customFormat="false" ht="15" hidden="false" customHeight="false" outlineLevel="0" collapsed="false">
      <c r="A1013" s="13" t="s">
        <v>1229</v>
      </c>
      <c r="B1013" s="14" t="n">
        <v>43944</v>
      </c>
      <c r="C1013" s="14"/>
      <c r="D1013" s="13" t="n">
        <v>39</v>
      </c>
      <c r="E1013" s="13" t="s">
        <v>190</v>
      </c>
      <c r="F1013" s="13" t="s">
        <v>168</v>
      </c>
      <c r="G1013" s="13" t="s">
        <v>132</v>
      </c>
      <c r="H1013" s="13" t="s">
        <v>149</v>
      </c>
      <c r="I1013" s="13" t="n">
        <v>1</v>
      </c>
      <c r="J1013" s="13" t="n">
        <v>4</v>
      </c>
      <c r="K1013" s="13" t="n">
        <v>110000</v>
      </c>
      <c r="L1013" s="13"/>
      <c r="M1013" s="13"/>
      <c r="N1013" s="13" t="s">
        <v>134</v>
      </c>
    </row>
    <row r="1014" customFormat="false" ht="15" hidden="false" customHeight="false" outlineLevel="0" collapsed="false">
      <c r="A1014" s="13" t="s">
        <v>1230</v>
      </c>
      <c r="B1014" s="14" t="n">
        <v>43945</v>
      </c>
      <c r="C1014" s="14"/>
      <c r="D1014" s="13" t="n">
        <v>34</v>
      </c>
      <c r="E1014" s="13" t="s">
        <v>136</v>
      </c>
      <c r="F1014" s="13" t="s">
        <v>168</v>
      </c>
      <c r="G1014" s="13" t="s">
        <v>171</v>
      </c>
      <c r="H1014" s="13" t="s">
        <v>139</v>
      </c>
      <c r="I1014" s="13" t="n">
        <v>3</v>
      </c>
      <c r="J1014" s="13" t="n">
        <v>3</v>
      </c>
      <c r="K1014" s="13" t="n">
        <v>41000</v>
      </c>
      <c r="L1014" s="13"/>
      <c r="M1014" s="13"/>
      <c r="N1014" s="13" t="s">
        <v>142</v>
      </c>
    </row>
    <row r="1015" customFormat="false" ht="15" hidden="false" customHeight="false" outlineLevel="0" collapsed="false">
      <c r="A1015" s="13" t="s">
        <v>1231</v>
      </c>
      <c r="B1015" s="14" t="n">
        <v>43946</v>
      </c>
      <c r="C1015" s="14" t="n">
        <v>45037</v>
      </c>
      <c r="D1015" s="13" t="n">
        <v>35</v>
      </c>
      <c r="E1015" s="13" t="s">
        <v>190</v>
      </c>
      <c r="F1015" s="13" t="s">
        <v>168</v>
      </c>
      <c r="G1015" s="13" t="s">
        <v>155</v>
      </c>
      <c r="H1015" s="13" t="s">
        <v>149</v>
      </c>
      <c r="I1015" s="13" t="n">
        <v>3</v>
      </c>
      <c r="J1015" s="13" t="n">
        <v>2</v>
      </c>
      <c r="K1015" s="13" t="n">
        <v>104000</v>
      </c>
      <c r="L1015" s="13" t="s">
        <v>140</v>
      </c>
      <c r="M1015" s="13" t="s">
        <v>1232</v>
      </c>
      <c r="N1015" s="13" t="s">
        <v>134</v>
      </c>
    </row>
    <row r="1016" customFormat="false" ht="15" hidden="false" customHeight="false" outlineLevel="0" collapsed="false">
      <c r="A1016" s="13" t="s">
        <v>1233</v>
      </c>
      <c r="B1016" s="14" t="n">
        <v>43948</v>
      </c>
      <c r="C1016" s="14"/>
      <c r="D1016" s="13" t="n">
        <v>45</v>
      </c>
      <c r="E1016" s="13" t="s">
        <v>136</v>
      </c>
      <c r="F1016" s="13" t="s">
        <v>241</v>
      </c>
      <c r="G1016" s="13" t="s">
        <v>191</v>
      </c>
      <c r="H1016" s="13" t="s">
        <v>178</v>
      </c>
      <c r="I1016" s="13" t="n">
        <v>3</v>
      </c>
      <c r="J1016" s="13" t="n">
        <v>1</v>
      </c>
      <c r="K1016" s="13" t="n">
        <v>146500</v>
      </c>
      <c r="L1016" s="13"/>
      <c r="M1016" s="13"/>
      <c r="N1016" s="13" t="s">
        <v>214</v>
      </c>
    </row>
    <row r="1017" customFormat="false" ht="15" hidden="false" customHeight="false" outlineLevel="0" collapsed="false">
      <c r="A1017" s="13" t="s">
        <v>1234</v>
      </c>
      <c r="B1017" s="14" t="n">
        <v>43951</v>
      </c>
      <c r="C1017" s="14"/>
      <c r="D1017" s="13" t="n">
        <v>31</v>
      </c>
      <c r="E1017" s="13" t="s">
        <v>182</v>
      </c>
      <c r="F1017" s="13" t="s">
        <v>241</v>
      </c>
      <c r="G1017" s="13" t="s">
        <v>213</v>
      </c>
      <c r="H1017" s="13" t="s">
        <v>192</v>
      </c>
      <c r="I1017" s="13" t="n">
        <v>3</v>
      </c>
      <c r="J1017" s="13" t="n">
        <v>3</v>
      </c>
      <c r="K1017" s="13" t="n">
        <v>184500</v>
      </c>
      <c r="L1017" s="13"/>
      <c r="M1017" s="13"/>
      <c r="N1017" s="13" t="s">
        <v>142</v>
      </c>
    </row>
    <row r="1018" customFormat="false" ht="15" hidden="false" customHeight="false" outlineLevel="0" collapsed="false">
      <c r="A1018" s="13" t="s">
        <v>1235</v>
      </c>
      <c r="B1018" s="14" t="n">
        <v>43954</v>
      </c>
      <c r="C1018" s="14" t="n">
        <v>44663</v>
      </c>
      <c r="D1018" s="13" t="n">
        <v>30</v>
      </c>
      <c r="E1018" s="13" t="s">
        <v>130</v>
      </c>
      <c r="F1018" s="13" t="s">
        <v>154</v>
      </c>
      <c r="G1018" s="13" t="s">
        <v>235</v>
      </c>
      <c r="H1018" s="13" t="s">
        <v>146</v>
      </c>
      <c r="I1018" s="13" t="n">
        <v>3</v>
      </c>
      <c r="J1018" s="13" t="n">
        <v>3</v>
      </c>
      <c r="K1018" s="13" t="n">
        <v>67500</v>
      </c>
      <c r="L1018" s="13" t="s">
        <v>151</v>
      </c>
      <c r="M1018" s="13" t="s">
        <v>314</v>
      </c>
      <c r="N1018" s="13" t="s">
        <v>142</v>
      </c>
    </row>
    <row r="1019" customFormat="false" ht="15" hidden="false" customHeight="false" outlineLevel="0" collapsed="false">
      <c r="A1019" s="13" t="s">
        <v>1236</v>
      </c>
      <c r="B1019" s="14" t="n">
        <v>43965</v>
      </c>
      <c r="C1019" s="14" t="n">
        <v>45774</v>
      </c>
      <c r="D1019" s="13" t="n">
        <v>27</v>
      </c>
      <c r="E1019" s="13" t="s">
        <v>163</v>
      </c>
      <c r="F1019" s="13" t="s">
        <v>131</v>
      </c>
      <c r="G1019" s="13" t="s">
        <v>155</v>
      </c>
      <c r="H1019" s="13" t="s">
        <v>139</v>
      </c>
      <c r="I1019" s="13"/>
      <c r="J1019" s="13" t="n">
        <v>1</v>
      </c>
      <c r="K1019" s="13" t="n">
        <v>46000</v>
      </c>
      <c r="L1019" s="13" t="s">
        <v>151</v>
      </c>
      <c r="M1019" s="13" t="s">
        <v>159</v>
      </c>
      <c r="N1019" s="13" t="s">
        <v>134</v>
      </c>
    </row>
    <row r="1020" customFormat="false" ht="15" hidden="false" customHeight="false" outlineLevel="0" collapsed="false">
      <c r="A1020" s="13" t="s">
        <v>1237</v>
      </c>
      <c r="B1020" s="14" t="n">
        <v>43965</v>
      </c>
      <c r="C1020" s="14" t="n">
        <v>44925</v>
      </c>
      <c r="D1020" s="13" t="n">
        <v>28</v>
      </c>
      <c r="E1020" s="13" t="s">
        <v>130</v>
      </c>
      <c r="F1020" s="13" t="s">
        <v>154</v>
      </c>
      <c r="G1020" s="13" t="s">
        <v>191</v>
      </c>
      <c r="H1020" s="13" t="s">
        <v>156</v>
      </c>
      <c r="I1020" s="13" t="n">
        <v>3</v>
      </c>
      <c r="J1020" s="13" t="n">
        <v>1</v>
      </c>
      <c r="K1020" s="13" t="n">
        <v>87000</v>
      </c>
      <c r="L1020" s="13" t="s">
        <v>151</v>
      </c>
      <c r="M1020" s="13" t="s">
        <v>201</v>
      </c>
      <c r="N1020" s="13" t="s">
        <v>142</v>
      </c>
    </row>
    <row r="1021" customFormat="false" ht="15" hidden="false" customHeight="false" outlineLevel="0" collapsed="false">
      <c r="A1021" s="13" t="s">
        <v>1238</v>
      </c>
      <c r="B1021" s="14" t="n">
        <v>43967</v>
      </c>
      <c r="C1021" s="14"/>
      <c r="D1021" s="13" t="n">
        <v>31</v>
      </c>
      <c r="E1021" s="13" t="s">
        <v>144</v>
      </c>
      <c r="F1021" s="13" t="s">
        <v>170</v>
      </c>
      <c r="G1021" s="13" t="s">
        <v>155</v>
      </c>
      <c r="H1021" s="13" t="s">
        <v>139</v>
      </c>
      <c r="I1021" s="13" t="n">
        <v>4</v>
      </c>
      <c r="J1021" s="13" t="n">
        <v>4</v>
      </c>
      <c r="K1021" s="13" t="n">
        <v>43500</v>
      </c>
      <c r="L1021" s="13"/>
      <c r="M1021" s="13"/>
      <c r="N1021" s="13" t="s">
        <v>134</v>
      </c>
    </row>
    <row r="1022" customFormat="false" ht="15" hidden="false" customHeight="false" outlineLevel="0" collapsed="false">
      <c r="A1022" s="13" t="s">
        <v>1239</v>
      </c>
      <c r="B1022" s="14" t="n">
        <v>43979</v>
      </c>
      <c r="C1022" s="14"/>
      <c r="D1022" s="13" t="n">
        <v>35</v>
      </c>
      <c r="E1022" s="13" t="s">
        <v>144</v>
      </c>
      <c r="F1022" s="13" t="s">
        <v>137</v>
      </c>
      <c r="G1022" s="13" t="s">
        <v>155</v>
      </c>
      <c r="H1022" s="13" t="s">
        <v>156</v>
      </c>
      <c r="I1022" s="13" t="n">
        <v>5</v>
      </c>
      <c r="J1022" s="13" t="n">
        <v>3</v>
      </c>
      <c r="K1022" s="13" t="n">
        <v>100000</v>
      </c>
      <c r="L1022" s="13"/>
      <c r="M1022" s="13"/>
      <c r="N1022" s="13" t="s">
        <v>142</v>
      </c>
    </row>
    <row r="1023" customFormat="false" ht="15" hidden="false" customHeight="false" outlineLevel="0" collapsed="false">
      <c r="A1023" s="13" t="s">
        <v>1240</v>
      </c>
      <c r="B1023" s="14" t="n">
        <v>43989</v>
      </c>
      <c r="C1023" s="14" t="n">
        <v>45038</v>
      </c>
      <c r="D1023" s="13" t="n">
        <v>33</v>
      </c>
      <c r="E1023" s="13" t="s">
        <v>163</v>
      </c>
      <c r="F1023" s="13" t="s">
        <v>154</v>
      </c>
      <c r="G1023" s="13" t="s">
        <v>155</v>
      </c>
      <c r="H1023" s="13" t="s">
        <v>149</v>
      </c>
      <c r="I1023" s="13" t="n">
        <v>3</v>
      </c>
      <c r="J1023" s="13" t="n">
        <v>3</v>
      </c>
      <c r="K1023" s="13" t="n">
        <v>101000</v>
      </c>
      <c r="L1023" s="13" t="s">
        <v>151</v>
      </c>
      <c r="M1023" s="13" t="s">
        <v>216</v>
      </c>
      <c r="N1023" s="13" t="s">
        <v>142</v>
      </c>
    </row>
    <row r="1024" customFormat="false" ht="15" hidden="false" customHeight="false" outlineLevel="0" collapsed="false">
      <c r="A1024" s="13" t="s">
        <v>1241</v>
      </c>
      <c r="B1024" s="14" t="n">
        <v>43995</v>
      </c>
      <c r="C1024" s="14"/>
      <c r="D1024" s="13" t="n">
        <v>34</v>
      </c>
      <c r="E1024" s="13" t="s">
        <v>144</v>
      </c>
      <c r="F1024" s="13" t="s">
        <v>170</v>
      </c>
      <c r="G1024" s="13" t="s">
        <v>132</v>
      </c>
      <c r="H1024" s="13" t="s">
        <v>156</v>
      </c>
      <c r="I1024" s="13" t="n">
        <v>4</v>
      </c>
      <c r="J1024" s="13" t="n">
        <v>3</v>
      </c>
      <c r="K1024" s="13" t="n">
        <v>97000</v>
      </c>
      <c r="L1024" s="13"/>
      <c r="M1024" s="13"/>
      <c r="N1024" s="13" t="s">
        <v>134</v>
      </c>
    </row>
    <row r="1025" customFormat="false" ht="15" hidden="false" customHeight="false" outlineLevel="0" collapsed="false">
      <c r="A1025" s="13" t="s">
        <v>1242</v>
      </c>
      <c r="B1025" s="14" t="n">
        <v>43997</v>
      </c>
      <c r="C1025" s="14" t="n">
        <v>45743</v>
      </c>
      <c r="D1025" s="13" t="n">
        <v>29</v>
      </c>
      <c r="E1025" s="13" t="s">
        <v>136</v>
      </c>
      <c r="F1025" s="13" t="s">
        <v>137</v>
      </c>
      <c r="G1025" s="13" t="s">
        <v>138</v>
      </c>
      <c r="H1025" s="13" t="s">
        <v>149</v>
      </c>
      <c r="I1025" s="13" t="n">
        <v>4</v>
      </c>
      <c r="J1025" s="13" t="n">
        <v>2</v>
      </c>
      <c r="K1025" s="13" t="n">
        <v>119000</v>
      </c>
      <c r="L1025" s="13" t="s">
        <v>151</v>
      </c>
      <c r="M1025" s="13" t="s">
        <v>216</v>
      </c>
      <c r="N1025" s="13" t="s">
        <v>134</v>
      </c>
    </row>
    <row r="1026" customFormat="false" ht="15" hidden="false" customHeight="false" outlineLevel="0" collapsed="false">
      <c r="A1026" s="13" t="s">
        <v>1243</v>
      </c>
      <c r="B1026" s="14" t="n">
        <v>43997</v>
      </c>
      <c r="C1026" s="14"/>
      <c r="D1026" s="13" t="n">
        <v>29</v>
      </c>
      <c r="E1026" s="13" t="s">
        <v>144</v>
      </c>
      <c r="F1026" s="13" t="s">
        <v>241</v>
      </c>
      <c r="G1026" s="13" t="s">
        <v>184</v>
      </c>
      <c r="H1026" s="13" t="s">
        <v>149</v>
      </c>
      <c r="I1026" s="13" t="n">
        <v>4</v>
      </c>
      <c r="J1026" s="13" t="n">
        <v>4</v>
      </c>
      <c r="K1026" s="13" t="n">
        <v>122000</v>
      </c>
      <c r="L1026" s="13"/>
      <c r="M1026" s="13"/>
      <c r="N1026" s="13" t="s">
        <v>142</v>
      </c>
    </row>
    <row r="1027" customFormat="false" ht="15" hidden="false" customHeight="false" outlineLevel="0" collapsed="false">
      <c r="A1027" s="13" t="s">
        <v>1244</v>
      </c>
      <c r="B1027" s="14" t="n">
        <v>44000</v>
      </c>
      <c r="C1027" s="14"/>
      <c r="D1027" s="13" t="n">
        <v>34</v>
      </c>
      <c r="E1027" s="13" t="s">
        <v>136</v>
      </c>
      <c r="F1027" s="13" t="s">
        <v>170</v>
      </c>
      <c r="G1027" s="13" t="s">
        <v>155</v>
      </c>
      <c r="H1027" s="13" t="s">
        <v>146</v>
      </c>
      <c r="I1027" s="13" t="n">
        <v>2</v>
      </c>
      <c r="J1027" s="13" t="n">
        <v>1</v>
      </c>
      <c r="K1027" s="13" t="n">
        <v>62000</v>
      </c>
      <c r="L1027" s="13"/>
      <c r="M1027" s="13"/>
      <c r="N1027" s="13" t="s">
        <v>142</v>
      </c>
    </row>
    <row r="1028" customFormat="false" ht="15" hidden="false" customHeight="false" outlineLevel="0" collapsed="false">
      <c r="A1028" s="13" t="s">
        <v>1245</v>
      </c>
      <c r="B1028" s="14" t="n">
        <v>44003</v>
      </c>
      <c r="C1028" s="14" t="n">
        <v>45396</v>
      </c>
      <c r="D1028" s="13" t="n">
        <v>31</v>
      </c>
      <c r="E1028" s="13" t="s">
        <v>136</v>
      </c>
      <c r="F1028" s="13" t="s">
        <v>241</v>
      </c>
      <c r="G1028" s="13" t="s">
        <v>138</v>
      </c>
      <c r="H1028" s="13" t="s">
        <v>139</v>
      </c>
      <c r="I1028" s="13" t="n">
        <v>3</v>
      </c>
      <c r="J1028" s="13" t="n">
        <v>1</v>
      </c>
      <c r="K1028" s="13" t="n">
        <v>40000</v>
      </c>
      <c r="L1028" s="13" t="s">
        <v>151</v>
      </c>
      <c r="M1028" s="13" t="s">
        <v>159</v>
      </c>
      <c r="N1028" s="13" t="s">
        <v>134</v>
      </c>
    </row>
    <row r="1029" customFormat="false" ht="15" hidden="false" customHeight="false" outlineLevel="0" collapsed="false">
      <c r="A1029" s="13" t="s">
        <v>1246</v>
      </c>
      <c r="B1029" s="14" t="n">
        <v>44003</v>
      </c>
      <c r="C1029" s="14" t="n">
        <v>45743</v>
      </c>
      <c r="D1029" s="13" t="n">
        <v>28</v>
      </c>
      <c r="E1029" s="13" t="s">
        <v>136</v>
      </c>
      <c r="F1029" s="13" t="s">
        <v>137</v>
      </c>
      <c r="G1029" s="13" t="s">
        <v>155</v>
      </c>
      <c r="H1029" s="13" t="s">
        <v>149</v>
      </c>
      <c r="I1029" s="13" t="n">
        <v>3</v>
      </c>
      <c r="J1029" s="13" t="n">
        <v>4</v>
      </c>
      <c r="K1029" s="13" t="n">
        <v>132500</v>
      </c>
      <c r="L1029" s="13" t="s">
        <v>151</v>
      </c>
      <c r="M1029" s="13" t="s">
        <v>203</v>
      </c>
      <c r="N1029" s="13" t="s">
        <v>134</v>
      </c>
    </row>
    <row r="1030" customFormat="false" ht="15" hidden="false" customHeight="false" outlineLevel="0" collapsed="false">
      <c r="A1030" s="13" t="s">
        <v>1247</v>
      </c>
      <c r="B1030" s="14" t="n">
        <v>44008</v>
      </c>
      <c r="C1030" s="14"/>
      <c r="D1030" s="13" t="n">
        <v>37</v>
      </c>
      <c r="E1030" s="13" t="s">
        <v>136</v>
      </c>
      <c r="F1030" s="13" t="s">
        <v>241</v>
      </c>
      <c r="G1030" s="13" t="s">
        <v>334</v>
      </c>
      <c r="H1030" s="13" t="s">
        <v>146</v>
      </c>
      <c r="I1030" s="13"/>
      <c r="J1030" s="13" t="n">
        <v>4</v>
      </c>
      <c r="K1030" s="13" t="n">
        <v>67000</v>
      </c>
      <c r="L1030" s="13"/>
      <c r="M1030" s="13"/>
      <c r="N1030" s="13" t="s">
        <v>134</v>
      </c>
    </row>
    <row r="1031" customFormat="false" ht="15" hidden="false" customHeight="false" outlineLevel="0" collapsed="false">
      <c r="A1031" s="13" t="s">
        <v>1248</v>
      </c>
      <c r="B1031" s="14" t="n">
        <v>44016</v>
      </c>
      <c r="C1031" s="14" t="n">
        <v>44771</v>
      </c>
      <c r="D1031" s="13" t="n">
        <v>35</v>
      </c>
      <c r="E1031" s="13" t="s">
        <v>136</v>
      </c>
      <c r="F1031" s="13" t="s">
        <v>229</v>
      </c>
      <c r="G1031" s="13" t="s">
        <v>132</v>
      </c>
      <c r="H1031" s="13" t="s">
        <v>149</v>
      </c>
      <c r="I1031" s="13" t="n">
        <v>3</v>
      </c>
      <c r="J1031" s="13" t="n">
        <v>3</v>
      </c>
      <c r="K1031" s="13" t="n">
        <v>110000</v>
      </c>
      <c r="L1031" s="13" t="s">
        <v>151</v>
      </c>
      <c r="M1031" s="13" t="s">
        <v>152</v>
      </c>
      <c r="N1031" s="13" t="s">
        <v>134</v>
      </c>
    </row>
    <row r="1032" customFormat="false" ht="15" hidden="false" customHeight="false" outlineLevel="0" collapsed="false">
      <c r="A1032" s="13" t="s">
        <v>1249</v>
      </c>
      <c r="B1032" s="14" t="n">
        <v>44018</v>
      </c>
      <c r="C1032" s="14"/>
      <c r="D1032" s="13" t="n">
        <v>35</v>
      </c>
      <c r="E1032" s="13" t="s">
        <v>136</v>
      </c>
      <c r="F1032" s="13" t="s">
        <v>137</v>
      </c>
      <c r="G1032" s="13" t="s">
        <v>138</v>
      </c>
      <c r="H1032" s="13" t="s">
        <v>146</v>
      </c>
      <c r="I1032" s="13" t="n">
        <v>5</v>
      </c>
      <c r="J1032" s="13" t="n">
        <v>2</v>
      </c>
      <c r="K1032" s="13" t="n">
        <v>67000</v>
      </c>
      <c r="L1032" s="13"/>
      <c r="M1032" s="13"/>
      <c r="N1032" s="13" t="s">
        <v>142</v>
      </c>
    </row>
    <row r="1033" customFormat="false" ht="15" hidden="false" customHeight="false" outlineLevel="0" collapsed="false">
      <c r="A1033" s="13" t="s">
        <v>1250</v>
      </c>
      <c r="B1033" s="14" t="n">
        <v>44018</v>
      </c>
      <c r="C1033" s="14" t="n">
        <v>44707</v>
      </c>
      <c r="D1033" s="13" t="n">
        <v>29</v>
      </c>
      <c r="E1033" s="13" t="s">
        <v>136</v>
      </c>
      <c r="F1033" s="13" t="s">
        <v>168</v>
      </c>
      <c r="G1033" s="13" t="s">
        <v>155</v>
      </c>
      <c r="H1033" s="13" t="s">
        <v>178</v>
      </c>
      <c r="I1033" s="13" t="n">
        <v>4</v>
      </c>
      <c r="J1033" s="13" t="n">
        <v>1</v>
      </c>
      <c r="K1033" s="13" t="n">
        <v>150500</v>
      </c>
      <c r="L1033" s="13" t="s">
        <v>151</v>
      </c>
      <c r="M1033" s="13" t="s">
        <v>159</v>
      </c>
      <c r="N1033" s="13" t="s">
        <v>142</v>
      </c>
    </row>
    <row r="1034" customFormat="false" ht="15" hidden="false" customHeight="false" outlineLevel="0" collapsed="false">
      <c r="A1034" s="13" t="s">
        <v>1251</v>
      </c>
      <c r="B1034" s="14" t="n">
        <v>44022</v>
      </c>
      <c r="C1034" s="14"/>
      <c r="D1034" s="13" t="n">
        <v>33</v>
      </c>
      <c r="E1034" s="13" t="s">
        <v>136</v>
      </c>
      <c r="F1034" s="13" t="s">
        <v>170</v>
      </c>
      <c r="G1034" s="13" t="s">
        <v>155</v>
      </c>
      <c r="H1034" s="13" t="s">
        <v>146</v>
      </c>
      <c r="I1034" s="13" t="n">
        <v>3</v>
      </c>
      <c r="J1034" s="13" t="n">
        <v>3</v>
      </c>
      <c r="K1034" s="13" t="n">
        <v>61500</v>
      </c>
      <c r="L1034" s="13"/>
      <c r="M1034" s="13"/>
      <c r="N1034" s="13" t="s">
        <v>142</v>
      </c>
    </row>
    <row r="1035" customFormat="false" ht="15" hidden="false" customHeight="false" outlineLevel="0" collapsed="false">
      <c r="A1035" s="13" t="s">
        <v>1252</v>
      </c>
      <c r="B1035" s="14" t="n">
        <v>44034</v>
      </c>
      <c r="C1035" s="14" t="n">
        <v>45458</v>
      </c>
      <c r="D1035" s="13" t="n">
        <v>30</v>
      </c>
      <c r="E1035" s="13" t="s">
        <v>144</v>
      </c>
      <c r="F1035" s="13" t="s">
        <v>164</v>
      </c>
      <c r="G1035" s="13" t="s">
        <v>132</v>
      </c>
      <c r="H1035" s="13" t="s">
        <v>156</v>
      </c>
      <c r="I1035" s="13" t="n">
        <v>3</v>
      </c>
      <c r="J1035" s="13" t="n">
        <v>3</v>
      </c>
      <c r="K1035" s="13" t="n">
        <v>87500</v>
      </c>
      <c r="L1035" s="13" t="s">
        <v>151</v>
      </c>
      <c r="M1035" s="13" t="s">
        <v>201</v>
      </c>
      <c r="N1035" s="13" t="s">
        <v>134</v>
      </c>
    </row>
    <row r="1036" customFormat="false" ht="15" hidden="false" customHeight="false" outlineLevel="0" collapsed="false">
      <c r="A1036" s="13" t="s">
        <v>1253</v>
      </c>
      <c r="B1036" s="14" t="n">
        <v>44038</v>
      </c>
      <c r="C1036" s="14" t="n">
        <v>44913</v>
      </c>
      <c r="D1036" s="13" t="n">
        <v>35</v>
      </c>
      <c r="E1036" s="13" t="s">
        <v>136</v>
      </c>
      <c r="F1036" s="13" t="s">
        <v>241</v>
      </c>
      <c r="G1036" s="13" t="s">
        <v>155</v>
      </c>
      <c r="H1036" s="13" t="s">
        <v>156</v>
      </c>
      <c r="I1036" s="13" t="n">
        <v>4</v>
      </c>
      <c r="J1036" s="13" t="n">
        <v>1</v>
      </c>
      <c r="K1036" s="13" t="n">
        <v>85000</v>
      </c>
      <c r="L1036" s="13" t="s">
        <v>151</v>
      </c>
      <c r="M1036" s="13" t="s">
        <v>203</v>
      </c>
      <c r="N1036" s="13" t="s">
        <v>134</v>
      </c>
    </row>
    <row r="1037" customFormat="false" ht="15" hidden="false" customHeight="false" outlineLevel="0" collapsed="false">
      <c r="A1037" s="13" t="s">
        <v>1254</v>
      </c>
      <c r="B1037" s="14" t="n">
        <v>44049</v>
      </c>
      <c r="C1037" s="14" t="n">
        <v>45294</v>
      </c>
      <c r="D1037" s="13" t="n">
        <v>28</v>
      </c>
      <c r="E1037" s="13" t="s">
        <v>144</v>
      </c>
      <c r="F1037" s="13" t="s">
        <v>137</v>
      </c>
      <c r="G1037" s="13" t="s">
        <v>213</v>
      </c>
      <c r="H1037" s="13" t="s">
        <v>156</v>
      </c>
      <c r="I1037" s="13" t="n">
        <v>3</v>
      </c>
      <c r="J1037" s="13" t="n">
        <v>2</v>
      </c>
      <c r="K1037" s="13" t="n">
        <v>105000</v>
      </c>
      <c r="L1037" s="13" t="s">
        <v>151</v>
      </c>
      <c r="M1037" s="13" t="s">
        <v>201</v>
      </c>
      <c r="N1037" s="13" t="s">
        <v>214</v>
      </c>
    </row>
    <row r="1038" customFormat="false" ht="15" hidden="false" customHeight="false" outlineLevel="0" collapsed="false">
      <c r="A1038" s="13" t="s">
        <v>1255</v>
      </c>
      <c r="B1038" s="14" t="n">
        <v>44054</v>
      </c>
      <c r="C1038" s="14" t="n">
        <v>44569</v>
      </c>
      <c r="D1038" s="13" t="n">
        <v>36</v>
      </c>
      <c r="E1038" s="13" t="s">
        <v>163</v>
      </c>
      <c r="F1038" s="13" t="s">
        <v>145</v>
      </c>
      <c r="G1038" s="13" t="s">
        <v>148</v>
      </c>
      <c r="H1038" s="13" t="s">
        <v>149</v>
      </c>
      <c r="I1038" s="13" t="n">
        <v>4</v>
      </c>
      <c r="J1038" s="13" t="n">
        <v>2</v>
      </c>
      <c r="K1038" s="13" t="n">
        <v>101500</v>
      </c>
      <c r="L1038" s="13" t="s">
        <v>151</v>
      </c>
      <c r="M1038" s="13" t="s">
        <v>203</v>
      </c>
      <c r="N1038" s="13" t="s">
        <v>142</v>
      </c>
    </row>
    <row r="1039" customFormat="false" ht="15" hidden="false" customHeight="false" outlineLevel="0" collapsed="false">
      <c r="A1039" s="13" t="s">
        <v>1256</v>
      </c>
      <c r="B1039" s="14" t="n">
        <v>44057</v>
      </c>
      <c r="C1039" s="14" t="n">
        <v>45450</v>
      </c>
      <c r="D1039" s="13" t="n">
        <v>34</v>
      </c>
      <c r="E1039" s="13" t="s">
        <v>136</v>
      </c>
      <c r="F1039" s="13" t="s">
        <v>164</v>
      </c>
      <c r="G1039" s="13" t="s">
        <v>132</v>
      </c>
      <c r="H1039" s="13" t="s">
        <v>139</v>
      </c>
      <c r="I1039" s="13" t="n">
        <v>4</v>
      </c>
      <c r="J1039" s="13" t="n">
        <v>3</v>
      </c>
      <c r="K1039" s="13" t="n">
        <v>35000</v>
      </c>
      <c r="L1039" s="13" t="s">
        <v>151</v>
      </c>
      <c r="M1039" s="13" t="s">
        <v>201</v>
      </c>
      <c r="N1039" s="13" t="s">
        <v>214</v>
      </c>
    </row>
    <row r="1040" customFormat="false" ht="15" hidden="false" customHeight="false" outlineLevel="0" collapsed="false">
      <c r="A1040" s="13" t="s">
        <v>1257</v>
      </c>
      <c r="B1040" s="14" t="n">
        <v>44060</v>
      </c>
      <c r="C1040" s="14" t="n">
        <v>45844</v>
      </c>
      <c r="D1040" s="13" t="n">
        <v>26</v>
      </c>
      <c r="E1040" s="13" t="s">
        <v>144</v>
      </c>
      <c r="F1040" s="13" t="s">
        <v>131</v>
      </c>
      <c r="G1040" s="13" t="s">
        <v>155</v>
      </c>
      <c r="H1040" s="13" t="s">
        <v>139</v>
      </c>
      <c r="I1040" s="13" t="n">
        <v>3</v>
      </c>
      <c r="J1040" s="13" t="n">
        <v>4</v>
      </c>
      <c r="K1040" s="13" t="n">
        <v>34500</v>
      </c>
      <c r="L1040" s="13" t="s">
        <v>151</v>
      </c>
      <c r="M1040" s="13" t="s">
        <v>201</v>
      </c>
      <c r="N1040" s="13" t="s">
        <v>142</v>
      </c>
    </row>
    <row r="1041" customFormat="false" ht="15" hidden="false" customHeight="false" outlineLevel="0" collapsed="false">
      <c r="A1041" s="13" t="s">
        <v>1258</v>
      </c>
      <c r="B1041" s="14" t="n">
        <v>44060</v>
      </c>
      <c r="C1041" s="14" t="n">
        <v>44660</v>
      </c>
      <c r="D1041" s="13" t="n">
        <v>41</v>
      </c>
      <c r="E1041" s="13" t="s">
        <v>190</v>
      </c>
      <c r="F1041" s="13" t="s">
        <v>170</v>
      </c>
      <c r="G1041" s="13" t="s">
        <v>132</v>
      </c>
      <c r="H1041" s="13" t="s">
        <v>139</v>
      </c>
      <c r="I1041" s="13" t="n">
        <v>3</v>
      </c>
      <c r="J1041" s="13" t="n">
        <v>2</v>
      </c>
      <c r="K1041" s="13" t="n">
        <v>46500</v>
      </c>
      <c r="L1041" s="13" t="s">
        <v>151</v>
      </c>
      <c r="M1041" s="13" t="s">
        <v>216</v>
      </c>
      <c r="N1041" s="13" t="s">
        <v>142</v>
      </c>
    </row>
    <row r="1042" customFormat="false" ht="15" hidden="false" customHeight="false" outlineLevel="0" collapsed="false">
      <c r="A1042" s="13" t="s">
        <v>1259</v>
      </c>
      <c r="B1042" s="14" t="n">
        <v>44064</v>
      </c>
      <c r="C1042" s="14"/>
      <c r="D1042" s="13" t="n">
        <v>31</v>
      </c>
      <c r="E1042" s="13" t="s">
        <v>136</v>
      </c>
      <c r="F1042" s="13" t="s">
        <v>241</v>
      </c>
      <c r="G1042" s="13" t="s">
        <v>132</v>
      </c>
      <c r="H1042" s="13" t="s">
        <v>146</v>
      </c>
      <c r="I1042" s="13" t="n">
        <v>3</v>
      </c>
      <c r="J1042" s="13" t="n">
        <v>3</v>
      </c>
      <c r="K1042" s="13" t="n">
        <v>75000</v>
      </c>
      <c r="L1042" s="13"/>
      <c r="M1042" s="13"/>
      <c r="N1042" s="13" t="s">
        <v>134</v>
      </c>
    </row>
    <row r="1043" customFormat="false" ht="15" hidden="false" customHeight="false" outlineLevel="0" collapsed="false">
      <c r="A1043" s="13" t="s">
        <v>1260</v>
      </c>
      <c r="B1043" s="14" t="n">
        <v>44067</v>
      </c>
      <c r="C1043" s="14"/>
      <c r="D1043" s="13" t="n">
        <v>36</v>
      </c>
      <c r="E1043" s="13" t="s">
        <v>163</v>
      </c>
      <c r="F1043" s="13" t="s">
        <v>161</v>
      </c>
      <c r="G1043" s="13" t="s">
        <v>155</v>
      </c>
      <c r="H1043" s="13" t="s">
        <v>149</v>
      </c>
      <c r="I1043" s="13" t="n">
        <v>3</v>
      </c>
      <c r="J1043" s="13" t="n">
        <v>1</v>
      </c>
      <c r="K1043" s="13" t="n">
        <v>110500</v>
      </c>
      <c r="L1043" s="13"/>
      <c r="M1043" s="13"/>
      <c r="N1043" s="13" t="s">
        <v>134</v>
      </c>
    </row>
    <row r="1044" customFormat="false" ht="15" hidden="false" customHeight="false" outlineLevel="0" collapsed="false">
      <c r="A1044" s="13" t="s">
        <v>1261</v>
      </c>
      <c r="B1044" s="14" t="n">
        <v>44067</v>
      </c>
      <c r="C1044" s="14" t="n">
        <v>45338</v>
      </c>
      <c r="D1044" s="13" t="n">
        <v>30</v>
      </c>
      <c r="E1044" s="13" t="s">
        <v>136</v>
      </c>
      <c r="F1044" s="13" t="s">
        <v>137</v>
      </c>
      <c r="G1044" s="13" t="s">
        <v>132</v>
      </c>
      <c r="H1044" s="13" t="s">
        <v>139</v>
      </c>
      <c r="I1044" s="13" t="n">
        <v>5</v>
      </c>
      <c r="J1044" s="13" t="n">
        <v>3</v>
      </c>
      <c r="K1044" s="13" t="n">
        <v>45000</v>
      </c>
      <c r="L1044" s="13" t="s">
        <v>151</v>
      </c>
      <c r="M1044" s="13" t="s">
        <v>141</v>
      </c>
      <c r="N1044" s="13" t="s">
        <v>142</v>
      </c>
    </row>
    <row r="1045" customFormat="false" ht="15" hidden="false" customHeight="false" outlineLevel="0" collapsed="false">
      <c r="A1045" s="13" t="s">
        <v>1262</v>
      </c>
      <c r="B1045" s="14" t="n">
        <v>44069</v>
      </c>
      <c r="C1045" s="14" t="n">
        <v>45407</v>
      </c>
      <c r="D1045" s="13" t="n">
        <v>28</v>
      </c>
      <c r="E1045" s="13" t="s">
        <v>144</v>
      </c>
      <c r="F1045" s="13" t="s">
        <v>154</v>
      </c>
      <c r="G1045" s="13" t="s">
        <v>191</v>
      </c>
      <c r="H1045" s="13" t="s">
        <v>146</v>
      </c>
      <c r="I1045" s="13" t="n">
        <v>3</v>
      </c>
      <c r="J1045" s="13" t="n">
        <v>4</v>
      </c>
      <c r="K1045" s="13" t="n">
        <v>68500</v>
      </c>
      <c r="L1045" s="13"/>
      <c r="M1045" s="13" t="s">
        <v>206</v>
      </c>
      <c r="N1045" s="13" t="s">
        <v>142</v>
      </c>
    </row>
    <row r="1046" customFormat="false" ht="15" hidden="false" customHeight="false" outlineLevel="0" collapsed="false">
      <c r="A1046" s="13" t="s">
        <v>1263</v>
      </c>
      <c r="B1046" s="14" t="n">
        <v>44072</v>
      </c>
      <c r="C1046" s="14" t="n">
        <v>44701</v>
      </c>
      <c r="D1046" s="13" t="n">
        <v>35</v>
      </c>
      <c r="E1046" s="13" t="s">
        <v>163</v>
      </c>
      <c r="F1046" s="13" t="s">
        <v>131</v>
      </c>
      <c r="G1046" s="13" t="s">
        <v>138</v>
      </c>
      <c r="H1046" s="13" t="s">
        <v>156</v>
      </c>
      <c r="I1046" s="13" t="n">
        <v>2</v>
      </c>
      <c r="J1046" s="13" t="n">
        <v>2</v>
      </c>
      <c r="K1046" s="13" t="n">
        <v>85000</v>
      </c>
      <c r="L1046" s="13" t="s">
        <v>151</v>
      </c>
      <c r="M1046" s="13" t="s">
        <v>159</v>
      </c>
      <c r="N1046" s="13" t="s">
        <v>142</v>
      </c>
    </row>
    <row r="1047" customFormat="false" ht="15" hidden="false" customHeight="false" outlineLevel="0" collapsed="false">
      <c r="A1047" s="13" t="s">
        <v>1264</v>
      </c>
      <c r="B1047" s="14" t="n">
        <v>44072</v>
      </c>
      <c r="C1047" s="14" t="n">
        <v>45585</v>
      </c>
      <c r="D1047" s="13" t="n">
        <v>36</v>
      </c>
      <c r="E1047" s="13" t="s">
        <v>144</v>
      </c>
      <c r="F1047" s="13" t="s">
        <v>137</v>
      </c>
      <c r="G1047" s="13" t="s">
        <v>155</v>
      </c>
      <c r="H1047" s="13" t="s">
        <v>139</v>
      </c>
      <c r="I1047" s="13" t="n">
        <v>3</v>
      </c>
      <c r="J1047" s="13" t="n">
        <v>1</v>
      </c>
      <c r="K1047" s="13" t="n">
        <v>43500</v>
      </c>
      <c r="L1047" s="13" t="s">
        <v>272</v>
      </c>
      <c r="M1047" s="13" t="s">
        <v>254</v>
      </c>
      <c r="N1047" s="13" t="s">
        <v>142</v>
      </c>
    </row>
    <row r="1048" customFormat="false" ht="15" hidden="false" customHeight="false" outlineLevel="0" collapsed="false">
      <c r="A1048" s="13" t="s">
        <v>1265</v>
      </c>
      <c r="B1048" s="14" t="n">
        <v>44073</v>
      </c>
      <c r="C1048" s="14"/>
      <c r="D1048" s="13" t="n">
        <v>36</v>
      </c>
      <c r="E1048" s="13" t="s">
        <v>144</v>
      </c>
      <c r="F1048" s="13" t="s">
        <v>164</v>
      </c>
      <c r="G1048" s="13" t="s">
        <v>155</v>
      </c>
      <c r="H1048" s="13" t="s">
        <v>156</v>
      </c>
      <c r="I1048" s="13"/>
      <c r="J1048" s="13" t="n">
        <v>3</v>
      </c>
      <c r="K1048" s="13" t="n">
        <v>101000</v>
      </c>
      <c r="L1048" s="13"/>
      <c r="M1048" s="13"/>
      <c r="N1048" s="13" t="s">
        <v>142</v>
      </c>
    </row>
    <row r="1049" customFormat="false" ht="15" hidden="false" customHeight="false" outlineLevel="0" collapsed="false">
      <c r="A1049" s="13" t="s">
        <v>1266</v>
      </c>
      <c r="B1049" s="14" t="n">
        <v>44084</v>
      </c>
      <c r="C1049" s="14" t="n">
        <v>45601</v>
      </c>
      <c r="D1049" s="13" t="n">
        <v>34</v>
      </c>
      <c r="E1049" s="13" t="s">
        <v>163</v>
      </c>
      <c r="F1049" s="13" t="s">
        <v>137</v>
      </c>
      <c r="G1049" s="13" t="s">
        <v>132</v>
      </c>
      <c r="H1049" s="13" t="s">
        <v>156</v>
      </c>
      <c r="I1049" s="13" t="n">
        <v>3</v>
      </c>
      <c r="J1049" s="13" t="n">
        <v>4</v>
      </c>
      <c r="K1049" s="13" t="n">
        <v>98500</v>
      </c>
      <c r="L1049" s="13" t="s">
        <v>151</v>
      </c>
      <c r="M1049" s="13" t="s">
        <v>159</v>
      </c>
      <c r="N1049" s="13" t="s">
        <v>142</v>
      </c>
    </row>
    <row r="1050" customFormat="false" ht="15" hidden="false" customHeight="false" outlineLevel="0" collapsed="false">
      <c r="A1050" s="13" t="s">
        <v>1267</v>
      </c>
      <c r="B1050" s="14" t="n">
        <v>44092</v>
      </c>
      <c r="C1050" s="14" t="n">
        <v>44654</v>
      </c>
      <c r="D1050" s="13" t="n">
        <v>30</v>
      </c>
      <c r="E1050" s="13" t="s">
        <v>144</v>
      </c>
      <c r="F1050" s="13" t="s">
        <v>229</v>
      </c>
      <c r="G1050" s="13" t="s">
        <v>138</v>
      </c>
      <c r="H1050" s="13" t="s">
        <v>139</v>
      </c>
      <c r="I1050" s="13" t="n">
        <v>4</v>
      </c>
      <c r="J1050" s="13" t="n">
        <v>1</v>
      </c>
      <c r="K1050" s="13" t="n">
        <v>40500</v>
      </c>
      <c r="L1050" s="13" t="s">
        <v>151</v>
      </c>
      <c r="M1050" s="13" t="s">
        <v>206</v>
      </c>
      <c r="N1050" s="13" t="s">
        <v>134</v>
      </c>
    </row>
    <row r="1051" customFormat="false" ht="15" hidden="false" customHeight="false" outlineLevel="0" collapsed="false">
      <c r="A1051" s="13" t="s">
        <v>1268</v>
      </c>
      <c r="B1051" s="14" t="n">
        <v>44097</v>
      </c>
      <c r="C1051" s="14"/>
      <c r="D1051" s="13" t="n">
        <v>31</v>
      </c>
      <c r="E1051" s="13" t="s">
        <v>136</v>
      </c>
      <c r="F1051" s="13" t="s">
        <v>131</v>
      </c>
      <c r="G1051" s="13" t="s">
        <v>132</v>
      </c>
      <c r="H1051" s="13" t="s">
        <v>178</v>
      </c>
      <c r="I1051" s="13" t="n">
        <v>3</v>
      </c>
      <c r="J1051" s="13" t="n">
        <v>4</v>
      </c>
      <c r="K1051" s="13" t="n">
        <v>122000</v>
      </c>
      <c r="L1051" s="13"/>
      <c r="M1051" s="13"/>
      <c r="N1051" s="13" t="s">
        <v>142</v>
      </c>
    </row>
    <row r="1052" customFormat="false" ht="15" hidden="false" customHeight="false" outlineLevel="0" collapsed="false">
      <c r="A1052" s="13" t="s">
        <v>1269</v>
      </c>
      <c r="B1052" s="14" t="n">
        <v>44102</v>
      </c>
      <c r="C1052" s="14" t="n">
        <v>44783</v>
      </c>
      <c r="D1052" s="13" t="n">
        <v>27</v>
      </c>
      <c r="E1052" s="13" t="s">
        <v>136</v>
      </c>
      <c r="F1052" s="13" t="s">
        <v>145</v>
      </c>
      <c r="G1052" s="13" t="s">
        <v>155</v>
      </c>
      <c r="H1052" s="13" t="s">
        <v>192</v>
      </c>
      <c r="I1052" s="13" t="n">
        <v>4</v>
      </c>
      <c r="J1052" s="13" t="n">
        <v>3</v>
      </c>
      <c r="K1052" s="13" t="n">
        <v>217500</v>
      </c>
      <c r="L1052" s="13" t="s">
        <v>151</v>
      </c>
      <c r="M1052" s="13" t="s">
        <v>152</v>
      </c>
      <c r="N1052" s="13" t="s">
        <v>142</v>
      </c>
    </row>
    <row r="1053" customFormat="false" ht="15" hidden="false" customHeight="false" outlineLevel="0" collapsed="false">
      <c r="A1053" s="13" t="s">
        <v>1270</v>
      </c>
      <c r="B1053" s="14" t="n">
        <v>44106</v>
      </c>
      <c r="C1053" s="14"/>
      <c r="D1053" s="13" t="n">
        <v>31</v>
      </c>
      <c r="E1053" s="13" t="s">
        <v>136</v>
      </c>
      <c r="F1053" s="13" t="s">
        <v>229</v>
      </c>
      <c r="G1053" s="13" t="s">
        <v>132</v>
      </c>
      <c r="H1053" s="13" t="s">
        <v>192</v>
      </c>
      <c r="I1053" s="13" t="n">
        <v>3</v>
      </c>
      <c r="J1053" s="13" t="n">
        <v>2</v>
      </c>
      <c r="K1053" s="13" t="n">
        <v>209500</v>
      </c>
      <c r="L1053" s="13"/>
      <c r="M1053" s="13"/>
      <c r="N1053" s="13" t="s">
        <v>134</v>
      </c>
    </row>
    <row r="1054" customFormat="false" ht="15" hidden="false" customHeight="false" outlineLevel="0" collapsed="false">
      <c r="A1054" s="13" t="s">
        <v>1271</v>
      </c>
      <c r="B1054" s="14" t="n">
        <v>44110</v>
      </c>
      <c r="C1054" s="14" t="n">
        <v>44679</v>
      </c>
      <c r="D1054" s="13" t="n">
        <v>32</v>
      </c>
      <c r="E1054" s="13" t="s">
        <v>136</v>
      </c>
      <c r="F1054" s="13" t="s">
        <v>168</v>
      </c>
      <c r="G1054" s="13" t="s">
        <v>213</v>
      </c>
      <c r="H1054" s="13" t="s">
        <v>139</v>
      </c>
      <c r="I1054" s="13" t="n">
        <v>3</v>
      </c>
      <c r="J1054" s="13" t="n">
        <v>1</v>
      </c>
      <c r="K1054" s="13" t="n">
        <v>39000</v>
      </c>
      <c r="L1054" s="13"/>
      <c r="M1054" s="13" t="s">
        <v>201</v>
      </c>
      <c r="N1054" s="13" t="s">
        <v>134</v>
      </c>
    </row>
    <row r="1055" customFormat="false" ht="15" hidden="false" customHeight="false" outlineLevel="0" collapsed="false">
      <c r="A1055" s="13" t="s">
        <v>1272</v>
      </c>
      <c r="B1055" s="14" t="n">
        <v>44114</v>
      </c>
      <c r="C1055" s="14"/>
      <c r="D1055" s="13" t="n">
        <v>34</v>
      </c>
      <c r="E1055" s="13" t="s">
        <v>259</v>
      </c>
      <c r="F1055" s="13" t="s">
        <v>137</v>
      </c>
      <c r="G1055" s="13" t="s">
        <v>191</v>
      </c>
      <c r="H1055" s="13" t="s">
        <v>146</v>
      </c>
      <c r="I1055" s="13" t="n">
        <v>3</v>
      </c>
      <c r="J1055" s="13" t="n">
        <v>2</v>
      </c>
      <c r="K1055" s="13" t="n">
        <v>62000</v>
      </c>
      <c r="L1055" s="13"/>
      <c r="M1055" s="13"/>
      <c r="N1055" s="13" t="s">
        <v>142</v>
      </c>
    </row>
    <row r="1056" customFormat="false" ht="15" hidden="false" customHeight="false" outlineLevel="0" collapsed="false">
      <c r="A1056" s="13" t="s">
        <v>1273</v>
      </c>
      <c r="B1056" s="14" t="n">
        <v>44114</v>
      </c>
      <c r="C1056" s="14" t="n">
        <v>45738</v>
      </c>
      <c r="D1056" s="13" t="n">
        <v>36</v>
      </c>
      <c r="E1056" s="13" t="s">
        <v>130</v>
      </c>
      <c r="F1056" s="13" t="s">
        <v>164</v>
      </c>
      <c r="G1056" s="13" t="s">
        <v>330</v>
      </c>
      <c r="H1056" s="13" t="s">
        <v>156</v>
      </c>
      <c r="I1056" s="13" t="n">
        <v>4</v>
      </c>
      <c r="J1056" s="13" t="n">
        <v>3</v>
      </c>
      <c r="K1056" s="13" t="n">
        <v>86000</v>
      </c>
      <c r="L1056" s="13" t="s">
        <v>151</v>
      </c>
      <c r="M1056" s="13" t="s">
        <v>201</v>
      </c>
      <c r="N1056" s="13" t="s">
        <v>134</v>
      </c>
    </row>
    <row r="1057" customFormat="false" ht="15" hidden="false" customHeight="false" outlineLevel="0" collapsed="false">
      <c r="A1057" s="13" t="s">
        <v>1274</v>
      </c>
      <c r="B1057" s="14" t="n">
        <v>44116</v>
      </c>
      <c r="C1057" s="14"/>
      <c r="D1057" s="13" t="n">
        <v>30</v>
      </c>
      <c r="E1057" s="13" t="s">
        <v>136</v>
      </c>
      <c r="F1057" s="13" t="s">
        <v>229</v>
      </c>
      <c r="G1057" s="13" t="s">
        <v>191</v>
      </c>
      <c r="H1057" s="13" t="s">
        <v>343</v>
      </c>
      <c r="I1057" s="13" t="n">
        <v>3</v>
      </c>
      <c r="J1057" s="13" t="n">
        <v>3</v>
      </c>
      <c r="K1057" s="13" t="n">
        <v>122000</v>
      </c>
      <c r="L1057" s="13"/>
      <c r="M1057" s="13"/>
      <c r="N1057" s="13" t="s">
        <v>142</v>
      </c>
    </row>
    <row r="1058" customFormat="false" ht="15" hidden="false" customHeight="false" outlineLevel="0" collapsed="false">
      <c r="A1058" s="13" t="s">
        <v>1275</v>
      </c>
      <c r="B1058" s="14" t="n">
        <v>44118</v>
      </c>
      <c r="C1058" s="14" t="n">
        <v>45161</v>
      </c>
      <c r="D1058" s="13" t="n">
        <v>36</v>
      </c>
      <c r="E1058" s="13" t="s">
        <v>144</v>
      </c>
      <c r="F1058" s="13" t="s">
        <v>168</v>
      </c>
      <c r="G1058" s="13" t="s">
        <v>307</v>
      </c>
      <c r="H1058" s="13" t="s">
        <v>139</v>
      </c>
      <c r="I1058" s="13" t="n">
        <v>3</v>
      </c>
      <c r="J1058" s="13" t="n">
        <v>4</v>
      </c>
      <c r="K1058" s="13" t="n">
        <v>41500</v>
      </c>
      <c r="L1058" s="13" t="s">
        <v>151</v>
      </c>
      <c r="M1058" s="13" t="s">
        <v>216</v>
      </c>
      <c r="N1058" s="13" t="s">
        <v>134</v>
      </c>
    </row>
    <row r="1059" customFormat="false" ht="15" hidden="false" customHeight="false" outlineLevel="0" collapsed="false">
      <c r="A1059" s="13" t="s">
        <v>1276</v>
      </c>
      <c r="B1059" s="14" t="n">
        <v>44128</v>
      </c>
      <c r="C1059" s="14" t="n">
        <v>44616</v>
      </c>
      <c r="D1059" s="13" t="n">
        <v>32</v>
      </c>
      <c r="E1059" s="13" t="s">
        <v>190</v>
      </c>
      <c r="F1059" s="13" t="s">
        <v>168</v>
      </c>
      <c r="G1059" s="13" t="s">
        <v>155</v>
      </c>
      <c r="H1059" s="13" t="s">
        <v>139</v>
      </c>
      <c r="I1059" s="13" t="n">
        <v>4</v>
      </c>
      <c r="J1059" s="13" t="n">
        <v>1</v>
      </c>
      <c r="K1059" s="13" t="n">
        <v>42500</v>
      </c>
      <c r="L1059" s="13" t="s">
        <v>151</v>
      </c>
      <c r="M1059" s="13" t="s">
        <v>159</v>
      </c>
      <c r="N1059" s="13" t="s">
        <v>134</v>
      </c>
    </row>
    <row r="1060" customFormat="false" ht="15" hidden="false" customHeight="false" outlineLevel="0" collapsed="false">
      <c r="A1060" s="13" t="s">
        <v>1277</v>
      </c>
      <c r="B1060" s="14" t="n">
        <v>44128</v>
      </c>
      <c r="C1060" s="14" t="n">
        <v>45314</v>
      </c>
      <c r="D1060" s="13" t="n">
        <v>24</v>
      </c>
      <c r="E1060" s="13" t="s">
        <v>190</v>
      </c>
      <c r="F1060" s="13" t="s">
        <v>239</v>
      </c>
      <c r="G1060" s="13" t="s">
        <v>188</v>
      </c>
      <c r="H1060" s="13" t="s">
        <v>242</v>
      </c>
      <c r="I1060" s="13" t="n">
        <v>3</v>
      </c>
      <c r="J1060" s="13"/>
      <c r="K1060" s="13" t="n">
        <v>100000</v>
      </c>
      <c r="L1060" s="13" t="s">
        <v>151</v>
      </c>
      <c r="M1060" s="13" t="s">
        <v>206</v>
      </c>
      <c r="N1060" s="13" t="s">
        <v>134</v>
      </c>
    </row>
    <row r="1061" customFormat="false" ht="15" hidden="false" customHeight="false" outlineLevel="0" collapsed="false">
      <c r="A1061" s="13" t="s">
        <v>1278</v>
      </c>
      <c r="B1061" s="14" t="n">
        <v>44131</v>
      </c>
      <c r="C1061" s="14"/>
      <c r="D1061" s="13" t="n">
        <v>34</v>
      </c>
      <c r="E1061" s="13" t="s">
        <v>190</v>
      </c>
      <c r="F1061" s="13" t="s">
        <v>168</v>
      </c>
      <c r="G1061" s="13" t="s">
        <v>132</v>
      </c>
      <c r="H1061" s="13" t="s">
        <v>139</v>
      </c>
      <c r="I1061" s="13" t="n">
        <v>3</v>
      </c>
      <c r="J1061" s="13" t="n">
        <v>3</v>
      </c>
      <c r="K1061" s="13" t="n">
        <v>43500</v>
      </c>
      <c r="L1061" s="13"/>
      <c r="M1061" s="13"/>
      <c r="N1061" s="13" t="s">
        <v>142</v>
      </c>
    </row>
    <row r="1062" customFormat="false" ht="15" hidden="false" customHeight="false" outlineLevel="0" collapsed="false">
      <c r="A1062" s="13" t="s">
        <v>1279</v>
      </c>
      <c r="B1062" s="14" t="n">
        <v>44132</v>
      </c>
      <c r="C1062" s="14" t="n">
        <v>44931</v>
      </c>
      <c r="D1062" s="13" t="n">
        <v>41</v>
      </c>
      <c r="E1062" s="13" t="s">
        <v>136</v>
      </c>
      <c r="F1062" s="13" t="s">
        <v>137</v>
      </c>
      <c r="G1062" s="13" t="s">
        <v>148</v>
      </c>
      <c r="H1062" s="13" t="s">
        <v>219</v>
      </c>
      <c r="I1062" s="13" t="n">
        <v>3</v>
      </c>
      <c r="J1062" s="13" t="n">
        <v>2</v>
      </c>
      <c r="K1062" s="13" t="n">
        <v>45500</v>
      </c>
      <c r="L1062" s="13" t="s">
        <v>173</v>
      </c>
      <c r="M1062" s="13" t="s">
        <v>310</v>
      </c>
      <c r="N1062" s="13" t="s">
        <v>142</v>
      </c>
    </row>
    <row r="1063" customFormat="false" ht="15" hidden="false" customHeight="false" outlineLevel="0" collapsed="false">
      <c r="A1063" s="13" t="s">
        <v>1280</v>
      </c>
      <c r="B1063" s="14" t="n">
        <v>44135</v>
      </c>
      <c r="C1063" s="14" t="n">
        <v>44868</v>
      </c>
      <c r="D1063" s="13" t="n">
        <v>30</v>
      </c>
      <c r="E1063" s="13" t="s">
        <v>136</v>
      </c>
      <c r="F1063" s="13" t="s">
        <v>161</v>
      </c>
      <c r="G1063" s="13" t="s">
        <v>132</v>
      </c>
      <c r="H1063" s="13" t="s">
        <v>192</v>
      </c>
      <c r="I1063" s="13" t="n">
        <v>5</v>
      </c>
      <c r="J1063" s="13" t="n">
        <v>4</v>
      </c>
      <c r="K1063" s="13" t="n">
        <v>227500</v>
      </c>
      <c r="L1063" s="13" t="s">
        <v>151</v>
      </c>
      <c r="M1063" s="13" t="s">
        <v>152</v>
      </c>
      <c r="N1063" s="13" t="s">
        <v>142</v>
      </c>
    </row>
    <row r="1064" customFormat="false" ht="15" hidden="false" customHeight="false" outlineLevel="0" collapsed="false">
      <c r="A1064" s="13" t="s">
        <v>1281</v>
      </c>
      <c r="B1064" s="14" t="n">
        <v>44135</v>
      </c>
      <c r="C1064" s="14"/>
      <c r="D1064" s="13" t="n">
        <v>32</v>
      </c>
      <c r="E1064" s="13" t="s">
        <v>136</v>
      </c>
      <c r="F1064" s="13" t="s">
        <v>131</v>
      </c>
      <c r="G1064" s="13" t="s">
        <v>155</v>
      </c>
      <c r="H1064" s="13" t="s">
        <v>156</v>
      </c>
      <c r="I1064" s="13" t="n">
        <v>3</v>
      </c>
      <c r="J1064" s="13" t="n">
        <v>3</v>
      </c>
      <c r="K1064" s="13" t="n">
        <v>100500</v>
      </c>
      <c r="L1064" s="13"/>
      <c r="M1064" s="13"/>
      <c r="N1064" s="13" t="s">
        <v>142</v>
      </c>
    </row>
    <row r="1065" customFormat="false" ht="15" hidden="false" customHeight="false" outlineLevel="0" collapsed="false">
      <c r="A1065" s="13" t="s">
        <v>1282</v>
      </c>
      <c r="B1065" s="14" t="n">
        <v>44136</v>
      </c>
      <c r="C1065" s="14"/>
      <c r="D1065" s="13" t="n">
        <v>31</v>
      </c>
      <c r="E1065" s="13" t="s">
        <v>136</v>
      </c>
      <c r="F1065" s="13" t="s">
        <v>154</v>
      </c>
      <c r="G1065" s="13" t="s">
        <v>138</v>
      </c>
      <c r="H1065" s="13" t="s">
        <v>149</v>
      </c>
      <c r="I1065" s="13" t="n">
        <v>3</v>
      </c>
      <c r="J1065" s="13" t="n">
        <v>1</v>
      </c>
      <c r="K1065" s="13" t="n">
        <v>102500</v>
      </c>
      <c r="L1065" s="13"/>
      <c r="M1065" s="13"/>
      <c r="N1065" s="13" t="s">
        <v>134</v>
      </c>
    </row>
    <row r="1066" customFormat="false" ht="15" hidden="false" customHeight="false" outlineLevel="0" collapsed="false">
      <c r="A1066" s="13" t="s">
        <v>1283</v>
      </c>
      <c r="B1066" s="14" t="n">
        <v>44138</v>
      </c>
      <c r="C1066" s="14" t="n">
        <v>45260</v>
      </c>
      <c r="D1066" s="13" t="n">
        <v>34</v>
      </c>
      <c r="E1066" s="13" t="s">
        <v>136</v>
      </c>
      <c r="F1066" s="13" t="s">
        <v>168</v>
      </c>
      <c r="G1066" s="13" t="s">
        <v>155</v>
      </c>
      <c r="H1066" s="13" t="s">
        <v>139</v>
      </c>
      <c r="I1066" s="13" t="n">
        <v>3</v>
      </c>
      <c r="J1066" s="13" t="n">
        <v>2</v>
      </c>
      <c r="K1066" s="13" t="n">
        <v>36000</v>
      </c>
      <c r="L1066" s="13" t="s">
        <v>151</v>
      </c>
      <c r="M1066" s="13" t="s">
        <v>201</v>
      </c>
      <c r="N1066" s="13" t="s">
        <v>142</v>
      </c>
    </row>
    <row r="1067" customFormat="false" ht="15" hidden="false" customHeight="false" outlineLevel="0" collapsed="false">
      <c r="A1067" s="13" t="s">
        <v>1284</v>
      </c>
      <c r="B1067" s="14" t="n">
        <v>44140</v>
      </c>
      <c r="C1067" s="14"/>
      <c r="D1067" s="13" t="n">
        <v>34</v>
      </c>
      <c r="E1067" s="13" t="s">
        <v>144</v>
      </c>
      <c r="F1067" s="13" t="s">
        <v>154</v>
      </c>
      <c r="G1067" s="13" t="s">
        <v>148</v>
      </c>
      <c r="H1067" s="13" t="s">
        <v>146</v>
      </c>
      <c r="I1067" s="13" t="n">
        <v>3</v>
      </c>
      <c r="J1067" s="13" t="n">
        <v>3</v>
      </c>
      <c r="K1067" s="13" t="n">
        <v>69500</v>
      </c>
      <c r="L1067" s="13"/>
      <c r="M1067" s="13"/>
      <c r="N1067" s="13" t="s">
        <v>142</v>
      </c>
    </row>
    <row r="1068" customFormat="false" ht="15" hidden="false" customHeight="false" outlineLevel="0" collapsed="false">
      <c r="A1068" s="13" t="s">
        <v>1285</v>
      </c>
      <c r="B1068" s="14" t="n">
        <v>44143</v>
      </c>
      <c r="C1068" s="14" t="n">
        <v>45007</v>
      </c>
      <c r="D1068" s="13" t="n">
        <v>33</v>
      </c>
      <c r="E1068" s="13" t="s">
        <v>182</v>
      </c>
      <c r="F1068" s="13" t="s">
        <v>161</v>
      </c>
      <c r="G1068" s="13" t="s">
        <v>188</v>
      </c>
      <c r="H1068" s="13" t="s">
        <v>139</v>
      </c>
      <c r="I1068" s="13" t="n">
        <v>4</v>
      </c>
      <c r="J1068" s="13" t="n">
        <v>2</v>
      </c>
      <c r="K1068" s="13" t="n">
        <v>42000</v>
      </c>
      <c r="L1068" s="13" t="s">
        <v>151</v>
      </c>
      <c r="M1068" s="13" t="s">
        <v>152</v>
      </c>
      <c r="N1068" s="13" t="s">
        <v>142</v>
      </c>
    </row>
    <row r="1069" customFormat="false" ht="15" hidden="false" customHeight="false" outlineLevel="0" collapsed="false">
      <c r="A1069" s="13" t="s">
        <v>1286</v>
      </c>
      <c r="B1069" s="14" t="n">
        <v>44163</v>
      </c>
      <c r="C1069" s="14"/>
      <c r="D1069" s="13" t="n">
        <v>35</v>
      </c>
      <c r="E1069" s="13" t="s">
        <v>144</v>
      </c>
      <c r="F1069" s="13" t="s">
        <v>137</v>
      </c>
      <c r="G1069" s="13" t="s">
        <v>188</v>
      </c>
      <c r="H1069" s="13" t="s">
        <v>139</v>
      </c>
      <c r="I1069" s="13" t="n">
        <v>4</v>
      </c>
      <c r="J1069" s="13" t="n">
        <v>2</v>
      </c>
      <c r="K1069" s="13" t="n">
        <v>49500</v>
      </c>
      <c r="L1069" s="13"/>
      <c r="M1069" s="13"/>
      <c r="N1069" s="13" t="s">
        <v>142</v>
      </c>
    </row>
    <row r="1070" customFormat="false" ht="15" hidden="false" customHeight="false" outlineLevel="0" collapsed="false">
      <c r="A1070" s="13" t="s">
        <v>1287</v>
      </c>
      <c r="B1070" s="14" t="n">
        <v>44165</v>
      </c>
      <c r="C1070" s="14"/>
      <c r="D1070" s="13" t="n">
        <v>29</v>
      </c>
      <c r="E1070" s="13" t="s">
        <v>130</v>
      </c>
      <c r="F1070" s="13" t="s">
        <v>164</v>
      </c>
      <c r="G1070" s="13" t="s">
        <v>330</v>
      </c>
      <c r="H1070" s="13" t="s">
        <v>139</v>
      </c>
      <c r="I1070" s="13" t="n">
        <v>4</v>
      </c>
      <c r="J1070" s="13" t="n">
        <v>4</v>
      </c>
      <c r="K1070" s="13" t="n">
        <v>42500</v>
      </c>
      <c r="L1070" s="13"/>
      <c r="M1070" s="13"/>
      <c r="N1070" s="13" t="s">
        <v>142</v>
      </c>
    </row>
    <row r="1071" customFormat="false" ht="15" hidden="false" customHeight="false" outlineLevel="0" collapsed="false">
      <c r="A1071" s="13" t="s">
        <v>1288</v>
      </c>
      <c r="B1071" s="14" t="n">
        <v>44168</v>
      </c>
      <c r="C1071" s="14"/>
      <c r="D1071" s="13" t="n">
        <v>32</v>
      </c>
      <c r="E1071" s="13" t="s">
        <v>144</v>
      </c>
      <c r="F1071" s="13" t="s">
        <v>154</v>
      </c>
      <c r="G1071" s="13" t="s">
        <v>132</v>
      </c>
      <c r="H1071" s="13" t="s">
        <v>139</v>
      </c>
      <c r="I1071" s="13" t="n">
        <v>3</v>
      </c>
      <c r="J1071" s="13" t="n">
        <v>4</v>
      </c>
      <c r="K1071" s="13" t="n">
        <v>35500</v>
      </c>
      <c r="L1071" s="13"/>
      <c r="M1071" s="13"/>
      <c r="N1071" s="13" t="s">
        <v>142</v>
      </c>
    </row>
    <row r="1072" customFormat="false" ht="15" hidden="false" customHeight="false" outlineLevel="0" collapsed="false">
      <c r="A1072" s="13" t="s">
        <v>1289</v>
      </c>
      <c r="B1072" s="14" t="n">
        <v>44174</v>
      </c>
      <c r="C1072" s="14"/>
      <c r="D1072" s="13" t="n">
        <v>37</v>
      </c>
      <c r="E1072" s="13" t="s">
        <v>136</v>
      </c>
      <c r="F1072" s="13" t="s">
        <v>170</v>
      </c>
      <c r="G1072" s="13" t="s">
        <v>132</v>
      </c>
      <c r="H1072" s="13" t="s">
        <v>149</v>
      </c>
      <c r="I1072" s="13" t="n">
        <v>3</v>
      </c>
      <c r="J1072" s="13" t="n">
        <v>2</v>
      </c>
      <c r="K1072" s="13" t="n">
        <v>116500</v>
      </c>
      <c r="L1072" s="13"/>
      <c r="M1072" s="13"/>
      <c r="N1072" s="13" t="s">
        <v>142</v>
      </c>
    </row>
    <row r="1073" customFormat="false" ht="15" hidden="false" customHeight="false" outlineLevel="0" collapsed="false">
      <c r="A1073" s="13" t="s">
        <v>1290</v>
      </c>
      <c r="B1073" s="14" t="n">
        <v>44178</v>
      </c>
      <c r="C1073" s="14"/>
      <c r="D1073" s="13" t="n">
        <v>29</v>
      </c>
      <c r="E1073" s="13" t="s">
        <v>136</v>
      </c>
      <c r="F1073" s="13" t="s">
        <v>168</v>
      </c>
      <c r="G1073" s="13" t="s">
        <v>148</v>
      </c>
      <c r="H1073" s="13" t="s">
        <v>139</v>
      </c>
      <c r="I1073" s="13" t="n">
        <v>4</v>
      </c>
      <c r="J1073" s="13" t="n">
        <v>3</v>
      </c>
      <c r="K1073" s="13" t="n">
        <v>39000</v>
      </c>
      <c r="L1073" s="13"/>
      <c r="M1073" s="13"/>
      <c r="N1073" s="13" t="s">
        <v>142</v>
      </c>
    </row>
    <row r="1074" customFormat="false" ht="15" hidden="false" customHeight="false" outlineLevel="0" collapsed="false">
      <c r="A1074" s="13" t="s">
        <v>1291</v>
      </c>
      <c r="B1074" s="14" t="n">
        <v>44180</v>
      </c>
      <c r="C1074" s="14" t="n">
        <v>45551</v>
      </c>
      <c r="D1074" s="13" t="n">
        <v>33</v>
      </c>
      <c r="E1074" s="13" t="s">
        <v>136</v>
      </c>
      <c r="F1074" s="13" t="s">
        <v>161</v>
      </c>
      <c r="G1074" s="13" t="s">
        <v>155</v>
      </c>
      <c r="H1074" s="13" t="s">
        <v>178</v>
      </c>
      <c r="I1074" s="13" t="n">
        <v>5</v>
      </c>
      <c r="J1074" s="13" t="n">
        <v>1</v>
      </c>
      <c r="K1074" s="13" t="n">
        <v>148500</v>
      </c>
      <c r="L1074" s="13" t="s">
        <v>151</v>
      </c>
      <c r="M1074" s="13" t="s">
        <v>159</v>
      </c>
      <c r="N1074" s="13" t="s">
        <v>142</v>
      </c>
    </row>
    <row r="1075" customFormat="false" ht="15" hidden="false" customHeight="false" outlineLevel="0" collapsed="false">
      <c r="A1075" s="13" t="s">
        <v>1292</v>
      </c>
      <c r="B1075" s="14" t="n">
        <v>44181</v>
      </c>
      <c r="C1075" s="14" t="n">
        <v>45403</v>
      </c>
      <c r="D1075" s="13" t="n">
        <v>36</v>
      </c>
      <c r="E1075" s="13" t="s">
        <v>144</v>
      </c>
      <c r="F1075" s="13" t="s">
        <v>241</v>
      </c>
      <c r="G1075" s="13" t="s">
        <v>374</v>
      </c>
      <c r="H1075" s="13" t="s">
        <v>139</v>
      </c>
      <c r="I1075" s="13" t="n">
        <v>3</v>
      </c>
      <c r="J1075" s="13" t="n">
        <v>2</v>
      </c>
      <c r="K1075" s="13" t="n">
        <v>36500</v>
      </c>
      <c r="L1075" s="13" t="s">
        <v>151</v>
      </c>
      <c r="M1075" s="13" t="s">
        <v>201</v>
      </c>
      <c r="N1075" s="13" t="s">
        <v>157</v>
      </c>
    </row>
    <row r="1076" customFormat="false" ht="15" hidden="false" customHeight="false" outlineLevel="0" collapsed="false">
      <c r="A1076" s="13" t="s">
        <v>1293</v>
      </c>
      <c r="B1076" s="14" t="n">
        <v>44182</v>
      </c>
      <c r="C1076" s="14"/>
      <c r="D1076" s="13" t="n">
        <v>32</v>
      </c>
      <c r="E1076" s="13" t="s">
        <v>259</v>
      </c>
      <c r="F1076" s="13" t="s">
        <v>170</v>
      </c>
      <c r="G1076" s="13" t="s">
        <v>138</v>
      </c>
      <c r="H1076" s="13" t="s">
        <v>133</v>
      </c>
      <c r="I1076" s="13" t="n">
        <v>5</v>
      </c>
      <c r="J1076" s="13" t="n">
        <v>4</v>
      </c>
      <c r="K1076" s="13" t="n">
        <v>64000</v>
      </c>
      <c r="L1076" s="13"/>
      <c r="M1076" s="13"/>
      <c r="N1076" s="13" t="s">
        <v>142</v>
      </c>
    </row>
    <row r="1077" customFormat="false" ht="15" hidden="false" customHeight="false" outlineLevel="0" collapsed="false">
      <c r="A1077" s="13" t="s">
        <v>1294</v>
      </c>
      <c r="B1077" s="14" t="n">
        <v>44186</v>
      </c>
      <c r="C1077" s="14" t="n">
        <v>45059</v>
      </c>
      <c r="D1077" s="13" t="n">
        <v>34</v>
      </c>
      <c r="E1077" s="13" t="s">
        <v>136</v>
      </c>
      <c r="F1077" s="13" t="s">
        <v>229</v>
      </c>
      <c r="G1077" s="13" t="s">
        <v>155</v>
      </c>
      <c r="H1077" s="13" t="s">
        <v>146</v>
      </c>
      <c r="I1077" s="13" t="n">
        <v>4</v>
      </c>
      <c r="J1077" s="13" t="n">
        <v>2</v>
      </c>
      <c r="K1077" s="13" t="n">
        <v>62500</v>
      </c>
      <c r="L1077" s="13" t="s">
        <v>151</v>
      </c>
      <c r="M1077" s="13"/>
      <c r="N1077" s="13" t="s">
        <v>142</v>
      </c>
    </row>
    <row r="1078" customFormat="false" ht="15" hidden="false" customHeight="false" outlineLevel="0" collapsed="false">
      <c r="A1078" s="13" t="s">
        <v>1295</v>
      </c>
      <c r="B1078" s="14" t="n">
        <v>44186</v>
      </c>
      <c r="C1078" s="14" t="n">
        <v>44908</v>
      </c>
      <c r="D1078" s="13" t="n">
        <v>26</v>
      </c>
      <c r="E1078" s="13" t="s">
        <v>136</v>
      </c>
      <c r="F1078" s="13" t="s">
        <v>154</v>
      </c>
      <c r="G1078" s="13" t="s">
        <v>148</v>
      </c>
      <c r="H1078" s="13" t="s">
        <v>146</v>
      </c>
      <c r="I1078" s="13" t="n">
        <v>4</v>
      </c>
      <c r="J1078" s="13" t="n">
        <v>2</v>
      </c>
      <c r="K1078" s="13" t="n">
        <v>60000</v>
      </c>
      <c r="L1078" s="13" t="s">
        <v>151</v>
      </c>
      <c r="M1078" s="13" t="s">
        <v>206</v>
      </c>
      <c r="N1078" s="13" t="s">
        <v>134</v>
      </c>
    </row>
    <row r="1079" customFormat="false" ht="15" hidden="false" customHeight="false" outlineLevel="0" collapsed="false">
      <c r="A1079" s="13" t="s">
        <v>1296</v>
      </c>
      <c r="B1079" s="14" t="n">
        <v>44192</v>
      </c>
      <c r="C1079" s="14"/>
      <c r="D1079" s="13" t="n">
        <v>28</v>
      </c>
      <c r="E1079" s="13" t="s">
        <v>144</v>
      </c>
      <c r="F1079" s="13" t="s">
        <v>168</v>
      </c>
      <c r="G1079" s="13" t="s">
        <v>235</v>
      </c>
      <c r="H1079" s="13" t="s">
        <v>156</v>
      </c>
      <c r="I1079" s="13" t="n">
        <v>3</v>
      </c>
      <c r="J1079" s="13" t="n">
        <v>2</v>
      </c>
      <c r="K1079" s="13" t="n">
        <v>86000</v>
      </c>
      <c r="L1079" s="13"/>
      <c r="M1079" s="13"/>
      <c r="N1079" s="13" t="s">
        <v>142</v>
      </c>
    </row>
    <row r="1080" customFormat="false" ht="15" hidden="false" customHeight="false" outlineLevel="0" collapsed="false">
      <c r="A1080" s="13" t="s">
        <v>1297</v>
      </c>
      <c r="B1080" s="14" t="n">
        <v>44193</v>
      </c>
      <c r="C1080" s="14"/>
      <c r="D1080" s="13" t="n">
        <v>27</v>
      </c>
      <c r="E1080" s="13" t="s">
        <v>144</v>
      </c>
      <c r="F1080" s="13" t="s">
        <v>231</v>
      </c>
      <c r="G1080" s="13" t="s">
        <v>307</v>
      </c>
      <c r="H1080" s="13" t="s">
        <v>146</v>
      </c>
      <c r="I1080" s="13" t="n">
        <v>3</v>
      </c>
      <c r="J1080" s="13" t="n">
        <v>3</v>
      </c>
      <c r="K1080" s="13" t="n">
        <v>66000</v>
      </c>
      <c r="L1080" s="13"/>
      <c r="M1080" s="13"/>
      <c r="N1080" s="13" t="s">
        <v>142</v>
      </c>
    </row>
    <row r="1081" customFormat="false" ht="15" hidden="false" customHeight="false" outlineLevel="0" collapsed="false">
      <c r="A1081" s="13" t="s">
        <v>1298</v>
      </c>
      <c r="B1081" s="14" t="n">
        <v>44199</v>
      </c>
      <c r="C1081" s="14" t="n">
        <v>44688</v>
      </c>
      <c r="D1081" s="13" t="n">
        <v>34</v>
      </c>
      <c r="E1081" s="13" t="s">
        <v>190</v>
      </c>
      <c r="F1081" s="13" t="s">
        <v>154</v>
      </c>
      <c r="G1081" s="13" t="s">
        <v>155</v>
      </c>
      <c r="H1081" s="13" t="s">
        <v>146</v>
      </c>
      <c r="I1081" s="13" t="n">
        <v>3</v>
      </c>
      <c r="J1081" s="13" t="n">
        <v>1</v>
      </c>
      <c r="K1081" s="13" t="n">
        <v>57500</v>
      </c>
      <c r="L1081" s="13" t="s">
        <v>151</v>
      </c>
      <c r="M1081" s="13" t="s">
        <v>201</v>
      </c>
      <c r="N1081" s="13" t="s">
        <v>134</v>
      </c>
    </row>
    <row r="1082" customFormat="false" ht="15" hidden="false" customHeight="false" outlineLevel="0" collapsed="false">
      <c r="A1082" s="13" t="s">
        <v>1299</v>
      </c>
      <c r="B1082" s="14" t="n">
        <v>44202</v>
      </c>
      <c r="C1082" s="14"/>
      <c r="D1082" s="13" t="n">
        <v>32</v>
      </c>
      <c r="E1082" s="13" t="s">
        <v>130</v>
      </c>
      <c r="F1082" s="13" t="s">
        <v>168</v>
      </c>
      <c r="G1082" s="13" t="s">
        <v>334</v>
      </c>
      <c r="H1082" s="13" t="s">
        <v>146</v>
      </c>
      <c r="I1082" s="13" t="n">
        <v>3</v>
      </c>
      <c r="J1082" s="13" t="n">
        <v>2</v>
      </c>
      <c r="K1082" s="13" t="n">
        <v>52000</v>
      </c>
      <c r="L1082" s="13"/>
      <c r="M1082" s="13"/>
      <c r="N1082" s="13" t="s">
        <v>142</v>
      </c>
    </row>
    <row r="1083" customFormat="false" ht="15" hidden="false" customHeight="false" outlineLevel="0" collapsed="false">
      <c r="A1083" s="13" t="s">
        <v>1300</v>
      </c>
      <c r="B1083" s="14" t="n">
        <v>44203</v>
      </c>
      <c r="C1083" s="14" t="n">
        <v>45920</v>
      </c>
      <c r="D1083" s="13" t="n">
        <v>36</v>
      </c>
      <c r="E1083" s="13" t="s">
        <v>136</v>
      </c>
      <c r="F1083" s="13" t="s">
        <v>168</v>
      </c>
      <c r="G1083" s="13" t="s">
        <v>195</v>
      </c>
      <c r="H1083" s="13" t="s">
        <v>149</v>
      </c>
      <c r="I1083" s="13" t="n">
        <v>3</v>
      </c>
      <c r="J1083" s="13" t="n">
        <v>1</v>
      </c>
      <c r="K1083" s="13" t="n">
        <v>97000</v>
      </c>
      <c r="L1083" s="13" t="s">
        <v>151</v>
      </c>
      <c r="M1083" s="13" t="s">
        <v>216</v>
      </c>
      <c r="N1083" s="13" t="s">
        <v>142</v>
      </c>
    </row>
    <row r="1084" customFormat="false" ht="15" hidden="false" customHeight="false" outlineLevel="0" collapsed="false">
      <c r="A1084" s="13" t="s">
        <v>1301</v>
      </c>
      <c r="B1084" s="14" t="n">
        <v>44215</v>
      </c>
      <c r="C1084" s="14"/>
      <c r="D1084" s="13" t="n">
        <v>28</v>
      </c>
      <c r="E1084" s="13" t="s">
        <v>136</v>
      </c>
      <c r="F1084" s="13" t="s">
        <v>131</v>
      </c>
      <c r="G1084" s="13" t="s">
        <v>138</v>
      </c>
      <c r="H1084" s="13" t="s">
        <v>146</v>
      </c>
      <c r="I1084" s="13" t="n">
        <v>5</v>
      </c>
      <c r="J1084" s="13" t="n">
        <v>4</v>
      </c>
      <c r="K1084" s="13" t="n">
        <v>60500</v>
      </c>
      <c r="L1084" s="13"/>
      <c r="M1084" s="13"/>
      <c r="N1084" s="13" t="s">
        <v>142</v>
      </c>
    </row>
    <row r="1085" customFormat="false" ht="15" hidden="false" customHeight="false" outlineLevel="0" collapsed="false">
      <c r="A1085" s="13" t="s">
        <v>1302</v>
      </c>
      <c r="B1085" s="14" t="n">
        <v>44217</v>
      </c>
      <c r="C1085" s="14" t="n">
        <v>45833</v>
      </c>
      <c r="D1085" s="13" t="n">
        <v>37</v>
      </c>
      <c r="E1085" s="13" t="s">
        <v>259</v>
      </c>
      <c r="F1085" s="13" t="s">
        <v>241</v>
      </c>
      <c r="G1085" s="13" t="s">
        <v>447</v>
      </c>
      <c r="H1085" s="13" t="s">
        <v>280</v>
      </c>
      <c r="I1085" s="13" t="n">
        <v>3</v>
      </c>
      <c r="J1085" s="13" t="n">
        <v>4</v>
      </c>
      <c r="K1085" s="13" t="n">
        <v>109000</v>
      </c>
      <c r="L1085" s="13" t="s">
        <v>151</v>
      </c>
      <c r="M1085" s="13" t="s">
        <v>216</v>
      </c>
      <c r="N1085" s="13" t="s">
        <v>134</v>
      </c>
    </row>
    <row r="1086" customFormat="false" ht="15" hidden="false" customHeight="false" outlineLevel="0" collapsed="false">
      <c r="A1086" s="13" t="s">
        <v>1303</v>
      </c>
      <c r="B1086" s="14" t="n">
        <v>44220</v>
      </c>
      <c r="C1086" s="14"/>
      <c r="D1086" s="13" t="n">
        <v>31</v>
      </c>
      <c r="E1086" s="13" t="s">
        <v>144</v>
      </c>
      <c r="F1086" s="13" t="s">
        <v>137</v>
      </c>
      <c r="G1086" s="13" t="s">
        <v>148</v>
      </c>
      <c r="H1086" s="13" t="s">
        <v>146</v>
      </c>
      <c r="I1086" s="13" t="n">
        <v>4</v>
      </c>
      <c r="J1086" s="13" t="n">
        <v>2</v>
      </c>
      <c r="K1086" s="13" t="n">
        <v>60500</v>
      </c>
      <c r="L1086" s="13"/>
      <c r="M1086" s="13"/>
      <c r="N1086" s="13" t="s">
        <v>214</v>
      </c>
    </row>
    <row r="1087" customFormat="false" ht="15" hidden="false" customHeight="false" outlineLevel="0" collapsed="false">
      <c r="A1087" s="13" t="s">
        <v>1304</v>
      </c>
      <c r="B1087" s="14" t="n">
        <v>44222</v>
      </c>
      <c r="C1087" s="14" t="n">
        <v>45307</v>
      </c>
      <c r="D1087" s="13" t="n">
        <v>33</v>
      </c>
      <c r="E1087" s="13" t="s">
        <v>144</v>
      </c>
      <c r="F1087" s="13" t="s">
        <v>137</v>
      </c>
      <c r="G1087" s="13" t="s">
        <v>148</v>
      </c>
      <c r="H1087" s="13" t="s">
        <v>139</v>
      </c>
      <c r="I1087" s="13" t="n">
        <v>4</v>
      </c>
      <c r="J1087" s="13" t="n">
        <v>3</v>
      </c>
      <c r="K1087" s="13" t="n">
        <v>41000</v>
      </c>
      <c r="L1087" s="13" t="s">
        <v>151</v>
      </c>
      <c r="M1087" s="13" t="s">
        <v>216</v>
      </c>
      <c r="N1087" s="13" t="s">
        <v>157</v>
      </c>
    </row>
    <row r="1088" customFormat="false" ht="15" hidden="false" customHeight="false" outlineLevel="0" collapsed="false">
      <c r="A1088" s="13" t="s">
        <v>1305</v>
      </c>
      <c r="B1088" s="14" t="n">
        <v>44223</v>
      </c>
      <c r="C1088" s="14"/>
      <c r="D1088" s="13" t="n">
        <v>34</v>
      </c>
      <c r="E1088" s="13" t="s">
        <v>163</v>
      </c>
      <c r="F1088" s="13" t="s">
        <v>137</v>
      </c>
      <c r="G1088" s="13" t="s">
        <v>155</v>
      </c>
      <c r="H1088" s="13" t="s">
        <v>149</v>
      </c>
      <c r="I1088" s="13" t="n">
        <v>3</v>
      </c>
      <c r="J1088" s="13" t="n">
        <v>3</v>
      </c>
      <c r="K1088" s="13" t="n">
        <v>111500</v>
      </c>
      <c r="L1088" s="13"/>
      <c r="M1088" s="13"/>
      <c r="N1088" s="13" t="s">
        <v>134</v>
      </c>
    </row>
    <row r="1089" customFormat="false" ht="15" hidden="false" customHeight="false" outlineLevel="0" collapsed="false">
      <c r="A1089" s="13" t="s">
        <v>1306</v>
      </c>
      <c r="B1089" s="14" t="n">
        <v>44228</v>
      </c>
      <c r="C1089" s="14" t="n">
        <v>44939</v>
      </c>
      <c r="D1089" s="13" t="n">
        <v>30</v>
      </c>
      <c r="E1089" s="13" t="s">
        <v>144</v>
      </c>
      <c r="F1089" s="13" t="s">
        <v>154</v>
      </c>
      <c r="G1089" s="13" t="s">
        <v>297</v>
      </c>
      <c r="H1089" s="13" t="s">
        <v>156</v>
      </c>
      <c r="I1089" s="13" t="n">
        <v>3</v>
      </c>
      <c r="J1089" s="13" t="n">
        <v>3</v>
      </c>
      <c r="K1089" s="13" t="n">
        <v>99000</v>
      </c>
      <c r="L1089" s="13" t="s">
        <v>151</v>
      </c>
      <c r="M1089" s="13" t="s">
        <v>159</v>
      </c>
      <c r="N1089" s="13" t="s">
        <v>134</v>
      </c>
    </row>
    <row r="1090" customFormat="false" ht="15" hidden="false" customHeight="false" outlineLevel="0" collapsed="false">
      <c r="A1090" s="13" t="s">
        <v>1307</v>
      </c>
      <c r="B1090" s="14" t="n">
        <v>44229</v>
      </c>
      <c r="C1090" s="14"/>
      <c r="D1090" s="13" t="n">
        <v>30</v>
      </c>
      <c r="E1090" s="13" t="s">
        <v>136</v>
      </c>
      <c r="F1090" s="13" t="s">
        <v>170</v>
      </c>
      <c r="G1090" s="13" t="s">
        <v>155</v>
      </c>
      <c r="H1090" s="13" t="s">
        <v>156</v>
      </c>
      <c r="I1090" s="13" t="n">
        <v>1</v>
      </c>
      <c r="J1090" s="13" t="n">
        <v>4</v>
      </c>
      <c r="K1090" s="13" t="n">
        <v>96500</v>
      </c>
      <c r="L1090" s="13"/>
      <c r="M1090" s="13"/>
      <c r="N1090" s="13" t="s">
        <v>142</v>
      </c>
    </row>
    <row r="1091" customFormat="false" ht="15" hidden="false" customHeight="false" outlineLevel="0" collapsed="false">
      <c r="A1091" s="13" t="s">
        <v>1308</v>
      </c>
      <c r="B1091" s="14" t="n">
        <v>44232</v>
      </c>
      <c r="C1091" s="14"/>
      <c r="D1091" s="13" t="n">
        <v>34</v>
      </c>
      <c r="E1091" s="13" t="s">
        <v>136</v>
      </c>
      <c r="F1091" s="13" t="s">
        <v>137</v>
      </c>
      <c r="G1091" s="13" t="s">
        <v>148</v>
      </c>
      <c r="H1091" s="13" t="s">
        <v>139</v>
      </c>
      <c r="I1091" s="13"/>
      <c r="J1091" s="13" t="n">
        <v>3</v>
      </c>
      <c r="K1091" s="13" t="n">
        <v>42000</v>
      </c>
      <c r="L1091" s="13"/>
      <c r="M1091" s="13"/>
      <c r="N1091" s="13" t="s">
        <v>453</v>
      </c>
    </row>
    <row r="1092" customFormat="false" ht="15" hidden="false" customHeight="false" outlineLevel="0" collapsed="false">
      <c r="A1092" s="13" t="s">
        <v>1309</v>
      </c>
      <c r="B1092" s="14" t="n">
        <v>44233</v>
      </c>
      <c r="C1092" s="14"/>
      <c r="D1092" s="13" t="n">
        <v>29</v>
      </c>
      <c r="E1092" s="13" t="s">
        <v>136</v>
      </c>
      <c r="F1092" s="13" t="s">
        <v>170</v>
      </c>
      <c r="G1092" s="13" t="s">
        <v>188</v>
      </c>
      <c r="H1092" s="13" t="s">
        <v>146</v>
      </c>
      <c r="I1092" s="13" t="n">
        <v>4</v>
      </c>
      <c r="J1092" s="13" t="n">
        <v>4</v>
      </c>
      <c r="K1092" s="13" t="n">
        <v>73500</v>
      </c>
      <c r="L1092" s="13"/>
      <c r="M1092" s="13"/>
      <c r="N1092" s="13" t="s">
        <v>142</v>
      </c>
    </row>
    <row r="1093" customFormat="false" ht="15" hidden="false" customHeight="false" outlineLevel="0" collapsed="false">
      <c r="A1093" s="13" t="s">
        <v>1310</v>
      </c>
      <c r="B1093" s="14" t="n">
        <v>44234</v>
      </c>
      <c r="C1093" s="14"/>
      <c r="D1093" s="13" t="n">
        <v>45</v>
      </c>
      <c r="E1093" s="13" t="s">
        <v>163</v>
      </c>
      <c r="F1093" s="13" t="s">
        <v>164</v>
      </c>
      <c r="G1093" s="13" t="s">
        <v>195</v>
      </c>
      <c r="H1093" s="13" t="s">
        <v>146</v>
      </c>
      <c r="I1093" s="13" t="n">
        <v>3</v>
      </c>
      <c r="J1093" s="13" t="n">
        <v>3</v>
      </c>
      <c r="K1093" s="13" t="n">
        <v>65500</v>
      </c>
      <c r="L1093" s="13"/>
      <c r="M1093" s="13"/>
      <c r="N1093" s="13" t="s">
        <v>142</v>
      </c>
    </row>
    <row r="1094" customFormat="false" ht="15" hidden="false" customHeight="false" outlineLevel="0" collapsed="false">
      <c r="A1094" s="13" t="s">
        <v>1311</v>
      </c>
      <c r="B1094" s="14" t="n">
        <v>44234</v>
      </c>
      <c r="C1094" s="14" t="n">
        <v>44649</v>
      </c>
      <c r="D1094" s="13" t="n">
        <v>38</v>
      </c>
      <c r="E1094" s="13" t="s">
        <v>144</v>
      </c>
      <c r="F1094" s="13" t="s">
        <v>131</v>
      </c>
      <c r="G1094" s="13" t="s">
        <v>132</v>
      </c>
      <c r="H1094" s="13" t="s">
        <v>146</v>
      </c>
      <c r="I1094" s="13" t="n">
        <v>3</v>
      </c>
      <c r="J1094" s="13" t="n">
        <v>1</v>
      </c>
      <c r="K1094" s="13" t="n">
        <v>64500</v>
      </c>
      <c r="L1094" s="13" t="s">
        <v>151</v>
      </c>
      <c r="M1094" s="13" t="s">
        <v>216</v>
      </c>
      <c r="N1094" s="13" t="s">
        <v>134</v>
      </c>
    </row>
    <row r="1095" customFormat="false" ht="15" hidden="false" customHeight="false" outlineLevel="0" collapsed="false">
      <c r="A1095" s="13" t="s">
        <v>1312</v>
      </c>
      <c r="B1095" s="14" t="n">
        <v>44239</v>
      </c>
      <c r="C1095" s="14"/>
      <c r="D1095" s="13" t="n">
        <v>46</v>
      </c>
      <c r="E1095" s="13" t="s">
        <v>144</v>
      </c>
      <c r="F1095" s="13" t="s">
        <v>168</v>
      </c>
      <c r="G1095" s="13" t="s">
        <v>138</v>
      </c>
      <c r="H1095" s="13" t="s">
        <v>146</v>
      </c>
      <c r="I1095" s="13" t="n">
        <v>4</v>
      </c>
      <c r="J1095" s="13" t="n">
        <v>4</v>
      </c>
      <c r="K1095" s="13" t="n">
        <v>64000</v>
      </c>
      <c r="L1095" s="13"/>
      <c r="M1095" s="13"/>
      <c r="N1095" s="13" t="s">
        <v>255</v>
      </c>
    </row>
    <row r="1096" customFormat="false" ht="15" hidden="false" customHeight="false" outlineLevel="0" collapsed="false">
      <c r="A1096" s="13" t="s">
        <v>1313</v>
      </c>
      <c r="B1096" s="14" t="n">
        <v>44240</v>
      </c>
      <c r="C1096" s="14" t="n">
        <v>45457</v>
      </c>
      <c r="D1096" s="13" t="n">
        <v>28</v>
      </c>
      <c r="E1096" s="13" t="s">
        <v>144</v>
      </c>
      <c r="F1096" s="13" t="s">
        <v>164</v>
      </c>
      <c r="G1096" s="13" t="s">
        <v>155</v>
      </c>
      <c r="H1096" s="13" t="s">
        <v>139</v>
      </c>
      <c r="I1096" s="13" t="n">
        <v>4</v>
      </c>
      <c r="J1096" s="13" t="n">
        <v>3</v>
      </c>
      <c r="K1096" s="13" t="n">
        <v>43500</v>
      </c>
      <c r="L1096" s="13" t="s">
        <v>151</v>
      </c>
      <c r="M1096" s="13" t="s">
        <v>203</v>
      </c>
      <c r="N1096" s="13" t="s">
        <v>142</v>
      </c>
    </row>
    <row r="1097" customFormat="false" ht="15" hidden="false" customHeight="false" outlineLevel="0" collapsed="false">
      <c r="A1097" s="13" t="s">
        <v>1314</v>
      </c>
      <c r="B1097" s="14" t="n">
        <v>44241</v>
      </c>
      <c r="C1097" s="14" t="n">
        <v>44674</v>
      </c>
      <c r="D1097" s="13" t="n">
        <v>29</v>
      </c>
      <c r="E1097" s="13" t="s">
        <v>144</v>
      </c>
      <c r="F1097" s="13" t="s">
        <v>131</v>
      </c>
      <c r="G1097" s="13" t="s">
        <v>132</v>
      </c>
      <c r="H1097" s="13" t="s">
        <v>411</v>
      </c>
      <c r="I1097" s="13" t="n">
        <v>4</v>
      </c>
      <c r="J1097" s="13" t="n">
        <v>4</v>
      </c>
      <c r="K1097" s="13" t="n">
        <v>58000</v>
      </c>
      <c r="L1097" s="13" t="s">
        <v>151</v>
      </c>
      <c r="M1097" s="13" t="s">
        <v>216</v>
      </c>
      <c r="N1097" s="13" t="s">
        <v>142</v>
      </c>
    </row>
    <row r="1098" customFormat="false" ht="15" hidden="false" customHeight="false" outlineLevel="0" collapsed="false">
      <c r="A1098" s="13" t="s">
        <v>1315</v>
      </c>
      <c r="B1098" s="14" t="n">
        <v>44245</v>
      </c>
      <c r="C1098" s="14" t="n">
        <v>45347</v>
      </c>
      <c r="D1098" s="13" t="n">
        <v>26</v>
      </c>
      <c r="E1098" s="13" t="s">
        <v>144</v>
      </c>
      <c r="F1098" s="13" t="s">
        <v>229</v>
      </c>
      <c r="G1098" s="13" t="s">
        <v>138</v>
      </c>
      <c r="H1098" s="13" t="s">
        <v>149</v>
      </c>
      <c r="I1098" s="13" t="n">
        <v>4</v>
      </c>
      <c r="J1098" s="13" t="n">
        <v>3</v>
      </c>
      <c r="K1098" s="13" t="n">
        <v>101500</v>
      </c>
      <c r="L1098" s="13" t="s">
        <v>151</v>
      </c>
      <c r="M1098" s="13" t="s">
        <v>203</v>
      </c>
      <c r="N1098" s="13" t="s">
        <v>142</v>
      </c>
    </row>
    <row r="1099" customFormat="false" ht="15" hidden="false" customHeight="false" outlineLevel="0" collapsed="false">
      <c r="A1099" s="13" t="s">
        <v>1316</v>
      </c>
      <c r="B1099" s="14" t="n">
        <v>44246</v>
      </c>
      <c r="C1099" s="14"/>
      <c r="D1099" s="13" t="n">
        <v>36</v>
      </c>
      <c r="E1099" s="13" t="s">
        <v>136</v>
      </c>
      <c r="F1099" s="13" t="s">
        <v>154</v>
      </c>
      <c r="G1099" s="13" t="s">
        <v>235</v>
      </c>
      <c r="H1099" s="13" t="s">
        <v>156</v>
      </c>
      <c r="I1099" s="13" t="n">
        <v>4</v>
      </c>
      <c r="J1099" s="13" t="n">
        <v>4</v>
      </c>
      <c r="K1099" s="13" t="n">
        <v>100000</v>
      </c>
      <c r="L1099" s="13"/>
      <c r="M1099" s="13"/>
      <c r="N1099" s="13" t="s">
        <v>142</v>
      </c>
    </row>
    <row r="1100" customFormat="false" ht="15" hidden="false" customHeight="false" outlineLevel="0" collapsed="false">
      <c r="A1100" s="13" t="s">
        <v>1317</v>
      </c>
      <c r="B1100" s="14" t="n">
        <v>44247</v>
      </c>
      <c r="C1100" s="14"/>
      <c r="D1100" s="13" t="n">
        <v>36</v>
      </c>
      <c r="E1100" s="13" t="s">
        <v>144</v>
      </c>
      <c r="F1100" s="13" t="s">
        <v>164</v>
      </c>
      <c r="G1100" s="13" t="s">
        <v>235</v>
      </c>
      <c r="H1100" s="13" t="s">
        <v>146</v>
      </c>
      <c r="I1100" s="13" t="n">
        <v>3</v>
      </c>
      <c r="J1100" s="13" t="n">
        <v>3</v>
      </c>
      <c r="K1100" s="13" t="n">
        <v>56000</v>
      </c>
      <c r="L1100" s="13"/>
      <c r="M1100" s="13"/>
      <c r="N1100" s="13" t="s">
        <v>142</v>
      </c>
    </row>
    <row r="1101" customFormat="false" ht="15" hidden="false" customHeight="false" outlineLevel="0" collapsed="false">
      <c r="A1101" s="13" t="s">
        <v>1318</v>
      </c>
      <c r="B1101" s="14" t="n">
        <v>44247</v>
      </c>
      <c r="C1101" s="14" t="n">
        <v>45048</v>
      </c>
      <c r="D1101" s="13" t="n">
        <v>36</v>
      </c>
      <c r="E1101" s="13" t="s">
        <v>144</v>
      </c>
      <c r="F1101" s="13" t="s">
        <v>168</v>
      </c>
      <c r="G1101" s="13" t="s">
        <v>148</v>
      </c>
      <c r="H1101" s="13" t="s">
        <v>139</v>
      </c>
      <c r="I1101" s="13" t="n">
        <v>3</v>
      </c>
      <c r="J1101" s="13" t="n">
        <v>1</v>
      </c>
      <c r="K1101" s="13" t="n">
        <v>43000</v>
      </c>
      <c r="L1101" s="13" t="s">
        <v>151</v>
      </c>
      <c r="M1101" s="13" t="s">
        <v>152</v>
      </c>
      <c r="N1101" s="13" t="s">
        <v>142</v>
      </c>
    </row>
    <row r="1102" customFormat="false" ht="15" hidden="false" customHeight="false" outlineLevel="0" collapsed="false">
      <c r="A1102" s="13" t="s">
        <v>1319</v>
      </c>
      <c r="B1102" s="14" t="n">
        <v>44250</v>
      </c>
      <c r="C1102" s="14" t="n">
        <v>44732</v>
      </c>
      <c r="D1102" s="13" t="n">
        <v>33</v>
      </c>
      <c r="E1102" s="13" t="s">
        <v>186</v>
      </c>
      <c r="F1102" s="13" t="s">
        <v>131</v>
      </c>
      <c r="G1102" s="13" t="s">
        <v>132</v>
      </c>
      <c r="H1102" s="13" t="s">
        <v>146</v>
      </c>
      <c r="I1102" s="13" t="n">
        <v>3</v>
      </c>
      <c r="J1102" s="13" t="n">
        <v>2</v>
      </c>
      <c r="K1102" s="13" t="n">
        <v>60500</v>
      </c>
      <c r="L1102" s="13" t="s">
        <v>253</v>
      </c>
      <c r="M1102" s="13" t="s">
        <v>273</v>
      </c>
      <c r="N1102" s="13" t="s">
        <v>134</v>
      </c>
    </row>
    <row r="1103" customFormat="false" ht="15" hidden="false" customHeight="false" outlineLevel="0" collapsed="false">
      <c r="A1103" s="13" t="s">
        <v>1320</v>
      </c>
      <c r="B1103" s="14" t="n">
        <v>44250</v>
      </c>
      <c r="C1103" s="14" t="n">
        <v>44894</v>
      </c>
      <c r="D1103" s="13" t="n">
        <v>23</v>
      </c>
      <c r="E1103" s="13" t="s">
        <v>144</v>
      </c>
      <c r="F1103" s="13" t="s">
        <v>164</v>
      </c>
      <c r="G1103" s="13" t="s">
        <v>224</v>
      </c>
      <c r="H1103" s="13" t="s">
        <v>146</v>
      </c>
      <c r="I1103" s="13" t="n">
        <v>5</v>
      </c>
      <c r="J1103" s="13" t="n">
        <v>2</v>
      </c>
      <c r="K1103" s="13" t="n">
        <v>59000</v>
      </c>
      <c r="L1103" s="13" t="s">
        <v>151</v>
      </c>
      <c r="M1103" s="13" t="s">
        <v>152</v>
      </c>
      <c r="N1103" s="13" t="s">
        <v>142</v>
      </c>
    </row>
    <row r="1104" customFormat="false" ht="15" hidden="false" customHeight="false" outlineLevel="0" collapsed="false">
      <c r="A1104" s="13" t="s">
        <v>1321</v>
      </c>
      <c r="B1104" s="14" t="n">
        <v>44252</v>
      </c>
      <c r="C1104" s="14" t="n">
        <v>45022</v>
      </c>
      <c r="D1104" s="13" t="n">
        <v>30</v>
      </c>
      <c r="E1104" s="13" t="s">
        <v>144</v>
      </c>
      <c r="F1104" s="13" t="s">
        <v>164</v>
      </c>
      <c r="G1104" s="13" t="s">
        <v>138</v>
      </c>
      <c r="H1104" s="13" t="s">
        <v>219</v>
      </c>
      <c r="I1104" s="13" t="n">
        <v>4</v>
      </c>
      <c r="J1104" s="13" t="n">
        <v>2</v>
      </c>
      <c r="K1104" s="13" t="n">
        <v>36500</v>
      </c>
      <c r="L1104" s="13" t="s">
        <v>140</v>
      </c>
      <c r="M1104" s="13" t="s">
        <v>216</v>
      </c>
      <c r="N1104" s="13" t="s">
        <v>214</v>
      </c>
    </row>
    <row r="1105" customFormat="false" ht="15" hidden="false" customHeight="false" outlineLevel="0" collapsed="false">
      <c r="A1105" s="13" t="s">
        <v>1322</v>
      </c>
      <c r="B1105" s="14" t="n">
        <v>44253</v>
      </c>
      <c r="C1105" s="14"/>
      <c r="D1105" s="13" t="n">
        <v>45</v>
      </c>
      <c r="E1105" s="13" t="s">
        <v>144</v>
      </c>
      <c r="F1105" s="13" t="s">
        <v>154</v>
      </c>
      <c r="G1105" s="13" t="s">
        <v>132</v>
      </c>
      <c r="H1105" s="13" t="s">
        <v>146</v>
      </c>
      <c r="I1105" s="13" t="n">
        <v>4</v>
      </c>
      <c r="J1105" s="13" t="n">
        <v>4</v>
      </c>
      <c r="K1105" s="13" t="n">
        <v>52500</v>
      </c>
      <c r="L1105" s="13"/>
      <c r="M1105" s="13"/>
      <c r="N1105" s="13" t="s">
        <v>142</v>
      </c>
    </row>
    <row r="1106" customFormat="false" ht="15" hidden="false" customHeight="false" outlineLevel="0" collapsed="false">
      <c r="A1106" s="13" t="s">
        <v>1323</v>
      </c>
      <c r="B1106" s="14" t="n">
        <v>44264</v>
      </c>
      <c r="C1106" s="14"/>
      <c r="D1106" s="13" t="n">
        <v>32</v>
      </c>
      <c r="E1106" s="13" t="s">
        <v>190</v>
      </c>
      <c r="F1106" s="13" t="s">
        <v>131</v>
      </c>
      <c r="G1106" s="13" t="s">
        <v>132</v>
      </c>
      <c r="H1106" s="13" t="s">
        <v>146</v>
      </c>
      <c r="I1106" s="13" t="n">
        <v>2</v>
      </c>
      <c r="J1106" s="13" t="n">
        <v>4</v>
      </c>
      <c r="K1106" s="13" t="n">
        <v>58000</v>
      </c>
      <c r="L1106" s="13"/>
      <c r="M1106" s="13"/>
      <c r="N1106" s="13" t="s">
        <v>142</v>
      </c>
    </row>
    <row r="1107" customFormat="false" ht="15" hidden="false" customHeight="false" outlineLevel="0" collapsed="false">
      <c r="A1107" s="13" t="s">
        <v>1324</v>
      </c>
      <c r="B1107" s="14" t="n">
        <v>44265</v>
      </c>
      <c r="C1107" s="14" t="n">
        <v>44681</v>
      </c>
      <c r="D1107" s="13" t="n">
        <v>33</v>
      </c>
      <c r="E1107" s="13" t="s">
        <v>163</v>
      </c>
      <c r="F1107" s="13" t="s">
        <v>168</v>
      </c>
      <c r="G1107" s="13" t="s">
        <v>138</v>
      </c>
      <c r="H1107" s="13" t="s">
        <v>156</v>
      </c>
      <c r="I1107" s="13" t="n">
        <v>3</v>
      </c>
      <c r="J1107" s="13" t="n">
        <v>2</v>
      </c>
      <c r="K1107" s="13" t="n">
        <v>81500</v>
      </c>
      <c r="L1107" s="13" t="s">
        <v>151</v>
      </c>
      <c r="M1107" s="13" t="s">
        <v>152</v>
      </c>
      <c r="N1107" s="13" t="s">
        <v>142</v>
      </c>
    </row>
    <row r="1108" customFormat="false" ht="15" hidden="false" customHeight="false" outlineLevel="0" collapsed="false">
      <c r="A1108" s="13" t="s">
        <v>1325</v>
      </c>
      <c r="B1108" s="14" t="n">
        <v>44269</v>
      </c>
      <c r="C1108" s="14" t="n">
        <v>44687</v>
      </c>
      <c r="D1108" s="13" t="n">
        <v>28</v>
      </c>
      <c r="E1108" s="13" t="s">
        <v>144</v>
      </c>
      <c r="F1108" s="13" t="s">
        <v>131</v>
      </c>
      <c r="G1108" s="13" t="s">
        <v>171</v>
      </c>
      <c r="H1108" s="13" t="s">
        <v>178</v>
      </c>
      <c r="I1108" s="13" t="n">
        <v>4</v>
      </c>
      <c r="J1108" s="13" t="n">
        <v>3</v>
      </c>
      <c r="K1108" s="13" t="n">
        <v>119500</v>
      </c>
      <c r="L1108" s="13" t="s">
        <v>151</v>
      </c>
      <c r="M1108" s="13" t="s">
        <v>201</v>
      </c>
      <c r="N1108" s="13" t="s">
        <v>142</v>
      </c>
    </row>
    <row r="1109" customFormat="false" ht="15" hidden="false" customHeight="false" outlineLevel="0" collapsed="false">
      <c r="A1109" s="13" t="s">
        <v>1326</v>
      </c>
      <c r="B1109" s="14" t="n">
        <v>44272</v>
      </c>
      <c r="C1109" s="14" t="n">
        <v>45300</v>
      </c>
      <c r="D1109" s="13" t="n">
        <v>36</v>
      </c>
      <c r="E1109" s="13" t="s">
        <v>130</v>
      </c>
      <c r="F1109" s="13" t="s">
        <v>229</v>
      </c>
      <c r="G1109" s="13" t="s">
        <v>138</v>
      </c>
      <c r="H1109" s="13" t="s">
        <v>146</v>
      </c>
      <c r="I1109" s="13" t="n">
        <v>3</v>
      </c>
      <c r="J1109" s="13" t="n">
        <v>1</v>
      </c>
      <c r="K1109" s="13" t="n">
        <v>55500</v>
      </c>
      <c r="L1109" s="13" t="s">
        <v>253</v>
      </c>
      <c r="M1109" s="13" t="s">
        <v>174</v>
      </c>
      <c r="N1109" s="13" t="s">
        <v>142</v>
      </c>
    </row>
    <row r="1110" customFormat="false" ht="15" hidden="false" customHeight="false" outlineLevel="0" collapsed="false">
      <c r="A1110" s="13" t="s">
        <v>1327</v>
      </c>
      <c r="B1110" s="14" t="n">
        <v>44274</v>
      </c>
      <c r="C1110" s="14"/>
      <c r="D1110" s="13" t="n">
        <v>35</v>
      </c>
      <c r="E1110" s="13" t="s">
        <v>136</v>
      </c>
      <c r="F1110" s="13" t="s">
        <v>137</v>
      </c>
      <c r="G1110" s="13" t="s">
        <v>132</v>
      </c>
      <c r="H1110" s="13" t="s">
        <v>156</v>
      </c>
      <c r="I1110" s="13" t="n">
        <v>3</v>
      </c>
      <c r="J1110" s="13" t="n">
        <v>4</v>
      </c>
      <c r="K1110" s="13" t="n">
        <v>96500</v>
      </c>
      <c r="L1110" s="13"/>
      <c r="M1110" s="13"/>
      <c r="N1110" s="13" t="s">
        <v>142</v>
      </c>
    </row>
    <row r="1111" customFormat="false" ht="15" hidden="false" customHeight="false" outlineLevel="0" collapsed="false">
      <c r="A1111" s="13" t="s">
        <v>1328</v>
      </c>
      <c r="B1111" s="14" t="n">
        <v>44278</v>
      </c>
      <c r="C1111" s="14" t="n">
        <v>44890</v>
      </c>
      <c r="D1111" s="13" t="n">
        <v>31</v>
      </c>
      <c r="E1111" s="13" t="s">
        <v>144</v>
      </c>
      <c r="F1111" s="13" t="s">
        <v>170</v>
      </c>
      <c r="G1111" s="13" t="s">
        <v>132</v>
      </c>
      <c r="H1111" s="13" t="s">
        <v>139</v>
      </c>
      <c r="I1111" s="13" t="n">
        <v>4</v>
      </c>
      <c r="J1111" s="13" t="n">
        <v>1</v>
      </c>
      <c r="K1111" s="13" t="n">
        <v>38000</v>
      </c>
      <c r="L1111" s="13" t="s">
        <v>151</v>
      </c>
      <c r="M1111" s="13" t="s">
        <v>206</v>
      </c>
      <c r="N1111" s="13" t="s">
        <v>134</v>
      </c>
    </row>
    <row r="1112" customFormat="false" ht="15" hidden="false" customHeight="false" outlineLevel="0" collapsed="false">
      <c r="A1112" s="13" t="s">
        <v>1329</v>
      </c>
      <c r="B1112" s="14" t="n">
        <v>44280</v>
      </c>
      <c r="C1112" s="14"/>
      <c r="D1112" s="13" t="n">
        <v>37</v>
      </c>
      <c r="E1112" s="13" t="s">
        <v>136</v>
      </c>
      <c r="F1112" s="13" t="s">
        <v>131</v>
      </c>
      <c r="G1112" s="13" t="s">
        <v>191</v>
      </c>
      <c r="H1112" s="13" t="s">
        <v>139</v>
      </c>
      <c r="I1112" s="13" t="n">
        <v>3</v>
      </c>
      <c r="J1112" s="13" t="n">
        <v>4</v>
      </c>
      <c r="K1112" s="13" t="n">
        <v>41000</v>
      </c>
      <c r="L1112" s="13"/>
      <c r="M1112" s="13"/>
      <c r="N1112" s="13" t="s">
        <v>142</v>
      </c>
    </row>
    <row r="1113" customFormat="false" ht="15" hidden="false" customHeight="false" outlineLevel="0" collapsed="false">
      <c r="A1113" s="13" t="s">
        <v>1330</v>
      </c>
      <c r="B1113" s="14" t="n">
        <v>44281</v>
      </c>
      <c r="C1113" s="14" t="n">
        <v>44677</v>
      </c>
      <c r="D1113" s="13" t="n">
        <v>28</v>
      </c>
      <c r="E1113" s="13" t="s">
        <v>136</v>
      </c>
      <c r="F1113" s="13" t="s">
        <v>168</v>
      </c>
      <c r="G1113" s="13" t="s">
        <v>155</v>
      </c>
      <c r="H1113" s="13" t="s">
        <v>543</v>
      </c>
      <c r="I1113" s="13" t="n">
        <v>3</v>
      </c>
      <c r="J1113" s="13" t="n">
        <v>2</v>
      </c>
      <c r="K1113" s="13" t="n">
        <v>120000</v>
      </c>
      <c r="L1113" s="13" t="s">
        <v>151</v>
      </c>
      <c r="M1113" s="13" t="s">
        <v>152</v>
      </c>
      <c r="N1113" s="13" t="s">
        <v>142</v>
      </c>
    </row>
    <row r="1114" customFormat="false" ht="15" hidden="false" customHeight="false" outlineLevel="0" collapsed="false">
      <c r="A1114" s="13" t="s">
        <v>1331</v>
      </c>
      <c r="B1114" s="14" t="n">
        <v>44282</v>
      </c>
      <c r="C1114" s="14" t="n">
        <v>45611</v>
      </c>
      <c r="D1114" s="13" t="n">
        <v>35</v>
      </c>
      <c r="E1114" s="13" t="s">
        <v>144</v>
      </c>
      <c r="F1114" s="13" t="s">
        <v>170</v>
      </c>
      <c r="G1114" s="13" t="s">
        <v>148</v>
      </c>
      <c r="H1114" s="13" t="s">
        <v>280</v>
      </c>
      <c r="I1114" s="13" t="n">
        <v>3</v>
      </c>
      <c r="J1114" s="13" t="n">
        <v>2</v>
      </c>
      <c r="K1114" s="13" t="n">
        <v>105000</v>
      </c>
      <c r="L1114" s="13" t="s">
        <v>140</v>
      </c>
      <c r="M1114" s="13" t="s">
        <v>152</v>
      </c>
      <c r="N1114" s="13" t="s">
        <v>142</v>
      </c>
    </row>
    <row r="1115" customFormat="false" ht="15" hidden="false" customHeight="false" outlineLevel="0" collapsed="false">
      <c r="A1115" s="13" t="s">
        <v>1332</v>
      </c>
      <c r="B1115" s="14" t="n">
        <v>44287</v>
      </c>
      <c r="C1115" s="14" t="n">
        <v>44644</v>
      </c>
      <c r="D1115" s="13" t="n">
        <v>30</v>
      </c>
      <c r="E1115" s="13" t="s">
        <v>136</v>
      </c>
      <c r="F1115" s="13" t="s">
        <v>154</v>
      </c>
      <c r="G1115" s="13" t="s">
        <v>148</v>
      </c>
      <c r="H1115" s="13" t="s">
        <v>149</v>
      </c>
      <c r="I1115" s="13" t="n">
        <v>3</v>
      </c>
      <c r="J1115" s="13" t="n">
        <v>2</v>
      </c>
      <c r="K1115" s="13" t="n">
        <v>103500</v>
      </c>
      <c r="L1115" s="13" t="s">
        <v>140</v>
      </c>
      <c r="M1115" s="13" t="s">
        <v>216</v>
      </c>
      <c r="N1115" s="13" t="s">
        <v>142</v>
      </c>
    </row>
    <row r="1116" customFormat="false" ht="15" hidden="false" customHeight="false" outlineLevel="0" collapsed="false">
      <c r="A1116" s="13" t="s">
        <v>1333</v>
      </c>
      <c r="B1116" s="14" t="n">
        <v>44293</v>
      </c>
      <c r="C1116" s="14"/>
      <c r="D1116" s="13" t="n">
        <v>37</v>
      </c>
      <c r="E1116" s="13" t="s">
        <v>259</v>
      </c>
      <c r="F1116" s="13" t="s">
        <v>164</v>
      </c>
      <c r="G1116" s="13" t="s">
        <v>132</v>
      </c>
      <c r="H1116" s="13" t="s">
        <v>178</v>
      </c>
      <c r="I1116" s="13" t="n">
        <v>5</v>
      </c>
      <c r="J1116" s="13" t="n">
        <v>3</v>
      </c>
      <c r="K1116" s="13" t="n">
        <v>138500</v>
      </c>
      <c r="L1116" s="13"/>
      <c r="M1116" s="13"/>
      <c r="N1116" s="13" t="s">
        <v>142</v>
      </c>
    </row>
    <row r="1117" customFormat="false" ht="15" hidden="false" customHeight="false" outlineLevel="0" collapsed="false">
      <c r="A1117" s="13" t="s">
        <v>1334</v>
      </c>
      <c r="B1117" s="14" t="n">
        <v>44297</v>
      </c>
      <c r="C1117" s="14"/>
      <c r="D1117" s="13" t="n">
        <v>33</v>
      </c>
      <c r="E1117" s="13" t="s">
        <v>136</v>
      </c>
      <c r="F1117" s="13" t="s">
        <v>137</v>
      </c>
      <c r="G1117" s="13" t="s">
        <v>132</v>
      </c>
      <c r="H1117" s="13" t="s">
        <v>178</v>
      </c>
      <c r="I1117" s="13" t="n">
        <v>3</v>
      </c>
      <c r="J1117" s="13" t="n">
        <v>2</v>
      </c>
      <c r="K1117" s="13" t="n">
        <v>130500</v>
      </c>
      <c r="L1117" s="13"/>
      <c r="M1117" s="13"/>
      <c r="N1117" s="13" t="s">
        <v>142</v>
      </c>
    </row>
    <row r="1118" customFormat="false" ht="15" hidden="false" customHeight="false" outlineLevel="0" collapsed="false">
      <c r="A1118" s="13" t="s">
        <v>1335</v>
      </c>
      <c r="B1118" s="14" t="n">
        <v>44299</v>
      </c>
      <c r="C1118" s="14"/>
      <c r="D1118" s="13" t="n">
        <v>26</v>
      </c>
      <c r="E1118" s="13" t="s">
        <v>136</v>
      </c>
      <c r="F1118" s="13" t="s">
        <v>161</v>
      </c>
      <c r="G1118" s="13" t="s">
        <v>132</v>
      </c>
      <c r="H1118" s="13" t="s">
        <v>192</v>
      </c>
      <c r="I1118" s="13" t="n">
        <v>4</v>
      </c>
      <c r="J1118" s="13" t="n">
        <v>2</v>
      </c>
      <c r="K1118" s="13" t="n">
        <v>201000</v>
      </c>
      <c r="L1118" s="13"/>
      <c r="M1118" s="13"/>
      <c r="N1118" s="13" t="s">
        <v>142</v>
      </c>
    </row>
    <row r="1119" customFormat="false" ht="15" hidden="false" customHeight="false" outlineLevel="0" collapsed="false">
      <c r="A1119" s="13" t="s">
        <v>1336</v>
      </c>
      <c r="B1119" s="14" t="n">
        <v>44301</v>
      </c>
      <c r="C1119" s="14"/>
      <c r="D1119" s="13" t="n">
        <v>32</v>
      </c>
      <c r="E1119" s="13" t="s">
        <v>136</v>
      </c>
      <c r="F1119" s="13" t="s">
        <v>164</v>
      </c>
      <c r="G1119" s="13" t="s">
        <v>132</v>
      </c>
      <c r="H1119" s="13" t="s">
        <v>149</v>
      </c>
      <c r="I1119" s="13" t="n">
        <v>3</v>
      </c>
      <c r="J1119" s="13" t="n">
        <v>1</v>
      </c>
      <c r="K1119" s="13" t="n">
        <v>101500</v>
      </c>
      <c r="L1119" s="13"/>
      <c r="M1119" s="13"/>
      <c r="N1119" s="13" t="s">
        <v>142</v>
      </c>
    </row>
    <row r="1120" customFormat="false" ht="15" hidden="false" customHeight="false" outlineLevel="0" collapsed="false">
      <c r="A1120" s="13" t="s">
        <v>1337</v>
      </c>
      <c r="B1120" s="14" t="n">
        <v>44302</v>
      </c>
      <c r="C1120" s="14"/>
      <c r="D1120" s="13" t="n">
        <v>30</v>
      </c>
      <c r="E1120" s="13" t="s">
        <v>144</v>
      </c>
      <c r="F1120" s="13" t="s">
        <v>170</v>
      </c>
      <c r="G1120" s="13" t="s">
        <v>138</v>
      </c>
      <c r="H1120" s="13" t="s">
        <v>192</v>
      </c>
      <c r="I1120" s="13" t="n">
        <v>3</v>
      </c>
      <c r="J1120" s="13" t="n">
        <v>2</v>
      </c>
      <c r="K1120" s="13" t="n">
        <v>206500</v>
      </c>
      <c r="L1120" s="13"/>
      <c r="M1120" s="13"/>
      <c r="N1120" s="13" t="s">
        <v>134</v>
      </c>
    </row>
    <row r="1121" customFormat="false" ht="15" hidden="false" customHeight="false" outlineLevel="0" collapsed="false">
      <c r="A1121" s="13" t="s">
        <v>1338</v>
      </c>
      <c r="B1121" s="14" t="n">
        <v>44305</v>
      </c>
      <c r="C1121" s="14" t="n">
        <v>44884</v>
      </c>
      <c r="D1121" s="13" t="n">
        <v>26</v>
      </c>
      <c r="E1121" s="13" t="s">
        <v>144</v>
      </c>
      <c r="F1121" s="13" t="s">
        <v>170</v>
      </c>
      <c r="G1121" s="13" t="s">
        <v>224</v>
      </c>
      <c r="H1121" s="13" t="s">
        <v>139</v>
      </c>
      <c r="I1121" s="13" t="n">
        <v>3</v>
      </c>
      <c r="J1121" s="13" t="n">
        <v>3</v>
      </c>
      <c r="K1121" s="13" t="n">
        <v>46000</v>
      </c>
      <c r="L1121" s="13" t="s">
        <v>173</v>
      </c>
      <c r="M1121" s="13" t="s">
        <v>254</v>
      </c>
      <c r="N1121" s="13" t="s">
        <v>142</v>
      </c>
    </row>
    <row r="1122" customFormat="false" ht="15" hidden="false" customHeight="false" outlineLevel="0" collapsed="false">
      <c r="A1122" s="13" t="s">
        <v>1339</v>
      </c>
      <c r="B1122" s="14" t="n">
        <v>44306</v>
      </c>
      <c r="C1122" s="14"/>
      <c r="D1122" s="13" t="n">
        <v>37</v>
      </c>
      <c r="E1122" s="13" t="s">
        <v>144</v>
      </c>
      <c r="F1122" s="13" t="s">
        <v>229</v>
      </c>
      <c r="G1122" s="13" t="s">
        <v>191</v>
      </c>
      <c r="H1122" s="13" t="s">
        <v>146</v>
      </c>
      <c r="I1122" s="13" t="n">
        <v>3</v>
      </c>
      <c r="J1122" s="13" t="n">
        <v>4</v>
      </c>
      <c r="K1122" s="13" t="n">
        <v>68500</v>
      </c>
      <c r="L1122" s="13"/>
      <c r="M1122" s="13"/>
      <c r="N1122" s="13" t="s">
        <v>142</v>
      </c>
    </row>
    <row r="1123" customFormat="false" ht="15" hidden="false" customHeight="false" outlineLevel="0" collapsed="false">
      <c r="A1123" s="13" t="s">
        <v>1340</v>
      </c>
      <c r="B1123" s="14" t="n">
        <v>44307</v>
      </c>
      <c r="C1123" s="14"/>
      <c r="D1123" s="13" t="n">
        <v>26</v>
      </c>
      <c r="E1123" s="13" t="s">
        <v>136</v>
      </c>
      <c r="F1123" s="13" t="s">
        <v>154</v>
      </c>
      <c r="G1123" s="13" t="s">
        <v>148</v>
      </c>
      <c r="H1123" s="13" t="s">
        <v>139</v>
      </c>
      <c r="I1123" s="13" t="n">
        <v>4</v>
      </c>
      <c r="J1123" s="13" t="n">
        <v>3</v>
      </c>
      <c r="K1123" s="13" t="n">
        <v>40000</v>
      </c>
      <c r="L1123" s="13"/>
      <c r="M1123" s="13"/>
      <c r="N1123" s="13" t="s">
        <v>142</v>
      </c>
    </row>
    <row r="1124" customFormat="false" ht="15" hidden="false" customHeight="false" outlineLevel="0" collapsed="false">
      <c r="A1124" s="13" t="s">
        <v>1341</v>
      </c>
      <c r="B1124" s="14" t="n">
        <v>44313</v>
      </c>
      <c r="C1124" s="14" t="n">
        <v>44838</v>
      </c>
      <c r="D1124" s="13" t="n">
        <v>31</v>
      </c>
      <c r="E1124" s="13" t="s">
        <v>182</v>
      </c>
      <c r="F1124" s="13" t="s">
        <v>239</v>
      </c>
      <c r="G1124" s="13" t="s">
        <v>132</v>
      </c>
      <c r="H1124" s="13" t="s">
        <v>139</v>
      </c>
      <c r="I1124" s="13" t="n">
        <v>3</v>
      </c>
      <c r="J1124" s="13" t="n">
        <v>1</v>
      </c>
      <c r="K1124" s="13" t="n">
        <v>40000</v>
      </c>
      <c r="L1124" s="13" t="s">
        <v>151</v>
      </c>
      <c r="M1124" s="13" t="s">
        <v>314</v>
      </c>
      <c r="N1124" s="13" t="s">
        <v>142</v>
      </c>
    </row>
    <row r="1125" customFormat="false" ht="15" hidden="false" customHeight="false" outlineLevel="0" collapsed="false">
      <c r="A1125" s="13" t="s">
        <v>1342</v>
      </c>
      <c r="B1125" s="14" t="n">
        <v>44314</v>
      </c>
      <c r="C1125" s="14" t="n">
        <v>44947</v>
      </c>
      <c r="D1125" s="13" t="n">
        <v>33</v>
      </c>
      <c r="E1125" s="13" t="s">
        <v>136</v>
      </c>
      <c r="F1125" s="13" t="s">
        <v>145</v>
      </c>
      <c r="G1125" s="13" t="s">
        <v>138</v>
      </c>
      <c r="H1125" s="13" t="s">
        <v>146</v>
      </c>
      <c r="I1125" s="13" t="n">
        <v>4</v>
      </c>
      <c r="J1125" s="13" t="n">
        <v>1</v>
      </c>
      <c r="K1125" s="13" t="n">
        <v>66000</v>
      </c>
      <c r="L1125" s="13" t="s">
        <v>151</v>
      </c>
      <c r="M1125" s="13" t="s">
        <v>762</v>
      </c>
      <c r="N1125" s="13" t="s">
        <v>134</v>
      </c>
    </row>
    <row r="1126" customFormat="false" ht="15" hidden="false" customHeight="false" outlineLevel="0" collapsed="false">
      <c r="A1126" s="13" t="s">
        <v>1343</v>
      </c>
      <c r="B1126" s="14" t="n">
        <v>44314</v>
      </c>
      <c r="C1126" s="14"/>
      <c r="D1126" s="13" t="n">
        <v>36</v>
      </c>
      <c r="E1126" s="13" t="s">
        <v>136</v>
      </c>
      <c r="F1126" s="13" t="s">
        <v>164</v>
      </c>
      <c r="G1126" s="13" t="s">
        <v>155</v>
      </c>
      <c r="H1126" s="13" t="s">
        <v>146</v>
      </c>
      <c r="I1126" s="13" t="n">
        <v>5</v>
      </c>
      <c r="J1126" s="13" t="n">
        <v>3</v>
      </c>
      <c r="K1126" s="13" t="n">
        <v>60000</v>
      </c>
      <c r="L1126" s="13"/>
      <c r="M1126" s="13"/>
      <c r="N1126" s="13" t="s">
        <v>142</v>
      </c>
    </row>
    <row r="1127" customFormat="false" ht="15" hidden="false" customHeight="false" outlineLevel="0" collapsed="false">
      <c r="A1127" s="13" t="s">
        <v>1344</v>
      </c>
      <c r="B1127" s="14" t="n">
        <v>44315</v>
      </c>
      <c r="C1127" s="14"/>
      <c r="D1127" s="13" t="n">
        <v>38</v>
      </c>
      <c r="E1127" s="13" t="s">
        <v>136</v>
      </c>
      <c r="F1127" s="13" t="s">
        <v>164</v>
      </c>
      <c r="G1127" s="13" t="s">
        <v>132</v>
      </c>
      <c r="H1127" s="13" t="s">
        <v>156</v>
      </c>
      <c r="I1127" s="13" t="n">
        <v>4</v>
      </c>
      <c r="J1127" s="13" t="n">
        <v>1</v>
      </c>
      <c r="K1127" s="13" t="n">
        <v>88500</v>
      </c>
      <c r="L1127" s="13"/>
      <c r="M1127" s="13"/>
      <c r="N1127" s="13" t="s">
        <v>142</v>
      </c>
    </row>
    <row r="1128" customFormat="false" ht="15" hidden="false" customHeight="false" outlineLevel="0" collapsed="false">
      <c r="A1128" s="13" t="s">
        <v>1345</v>
      </c>
      <c r="B1128" s="14" t="n">
        <v>44315</v>
      </c>
      <c r="C1128" s="14"/>
      <c r="D1128" s="13" t="n">
        <v>34</v>
      </c>
      <c r="E1128" s="13" t="s">
        <v>130</v>
      </c>
      <c r="F1128" s="13" t="s">
        <v>168</v>
      </c>
      <c r="G1128" s="13" t="s">
        <v>155</v>
      </c>
      <c r="H1128" s="13" t="s">
        <v>146</v>
      </c>
      <c r="I1128" s="13" t="n">
        <v>4</v>
      </c>
      <c r="J1128" s="13" t="n">
        <v>3</v>
      </c>
      <c r="K1128" s="13" t="n">
        <v>60000</v>
      </c>
      <c r="L1128" s="13"/>
      <c r="M1128" s="13"/>
      <c r="N1128" s="13" t="s">
        <v>142</v>
      </c>
    </row>
    <row r="1129" customFormat="false" ht="15" hidden="false" customHeight="false" outlineLevel="0" collapsed="false">
      <c r="A1129" s="13" t="s">
        <v>1346</v>
      </c>
      <c r="B1129" s="14" t="n">
        <v>44321</v>
      </c>
      <c r="C1129" s="14" t="n">
        <v>45035</v>
      </c>
      <c r="D1129" s="13" t="n">
        <v>27</v>
      </c>
      <c r="E1129" s="13" t="s">
        <v>144</v>
      </c>
      <c r="F1129" s="13" t="s">
        <v>241</v>
      </c>
      <c r="G1129" s="13" t="s">
        <v>138</v>
      </c>
      <c r="H1129" s="13" t="s">
        <v>139</v>
      </c>
      <c r="I1129" s="13" t="n">
        <v>4</v>
      </c>
      <c r="J1129" s="13" t="n">
        <v>3</v>
      </c>
      <c r="K1129" s="13" t="n">
        <v>38000</v>
      </c>
      <c r="L1129" s="13" t="s">
        <v>151</v>
      </c>
      <c r="M1129" s="13" t="s">
        <v>201</v>
      </c>
      <c r="N1129" s="13" t="s">
        <v>142</v>
      </c>
    </row>
    <row r="1130" customFormat="false" ht="15" hidden="false" customHeight="false" outlineLevel="0" collapsed="false">
      <c r="A1130" s="13" t="s">
        <v>1347</v>
      </c>
      <c r="B1130" s="14" t="n">
        <v>44327</v>
      </c>
      <c r="C1130" s="14"/>
      <c r="D1130" s="13" t="n">
        <v>39</v>
      </c>
      <c r="E1130" s="13" t="s">
        <v>136</v>
      </c>
      <c r="F1130" s="13" t="s">
        <v>137</v>
      </c>
      <c r="G1130" s="13" t="s">
        <v>155</v>
      </c>
      <c r="H1130" s="13" t="s">
        <v>146</v>
      </c>
      <c r="I1130" s="13" t="n">
        <v>3</v>
      </c>
      <c r="J1130" s="13" t="n">
        <v>1</v>
      </c>
      <c r="K1130" s="13" t="n">
        <v>60000</v>
      </c>
      <c r="L1130" s="13"/>
      <c r="M1130" s="13"/>
      <c r="N1130" s="13" t="s">
        <v>142</v>
      </c>
    </row>
    <row r="1131" customFormat="false" ht="15" hidden="false" customHeight="false" outlineLevel="0" collapsed="false">
      <c r="A1131" s="13" t="s">
        <v>1348</v>
      </c>
      <c r="B1131" s="14" t="n">
        <v>44327</v>
      </c>
      <c r="C1131" s="14" t="n">
        <v>44678</v>
      </c>
      <c r="D1131" s="13" t="n">
        <v>31</v>
      </c>
      <c r="E1131" s="13" t="s">
        <v>144</v>
      </c>
      <c r="F1131" s="13" t="s">
        <v>137</v>
      </c>
      <c r="G1131" s="13" t="s">
        <v>132</v>
      </c>
      <c r="H1131" s="13" t="s">
        <v>146</v>
      </c>
      <c r="I1131" s="13" t="n">
        <v>3</v>
      </c>
      <c r="J1131" s="13" t="n">
        <v>2</v>
      </c>
      <c r="K1131" s="13" t="n">
        <v>73000</v>
      </c>
      <c r="L1131" s="13" t="s">
        <v>173</v>
      </c>
      <c r="M1131" s="13" t="s">
        <v>310</v>
      </c>
      <c r="N1131" s="13" t="s">
        <v>134</v>
      </c>
    </row>
    <row r="1132" customFormat="false" ht="15" hidden="false" customHeight="false" outlineLevel="0" collapsed="false">
      <c r="A1132" s="13" t="s">
        <v>1349</v>
      </c>
      <c r="B1132" s="14" t="n">
        <v>44331</v>
      </c>
      <c r="C1132" s="14"/>
      <c r="D1132" s="13" t="n">
        <v>35</v>
      </c>
      <c r="E1132" s="13" t="s">
        <v>136</v>
      </c>
      <c r="F1132" s="13" t="s">
        <v>168</v>
      </c>
      <c r="G1132" s="13" t="s">
        <v>213</v>
      </c>
      <c r="H1132" s="13" t="s">
        <v>149</v>
      </c>
      <c r="I1132" s="13" t="n">
        <v>5</v>
      </c>
      <c r="J1132" s="13" t="n">
        <v>3</v>
      </c>
      <c r="K1132" s="13" t="n">
        <v>136500</v>
      </c>
      <c r="L1132" s="13"/>
      <c r="M1132" s="13"/>
      <c r="N1132" s="13" t="s">
        <v>142</v>
      </c>
    </row>
    <row r="1133" customFormat="false" ht="15" hidden="false" customHeight="false" outlineLevel="0" collapsed="false">
      <c r="A1133" s="13" t="s">
        <v>1350</v>
      </c>
      <c r="B1133" s="14" t="n">
        <v>44331</v>
      </c>
      <c r="C1133" s="14" t="n">
        <v>45355</v>
      </c>
      <c r="D1133" s="13" t="n">
        <v>31</v>
      </c>
      <c r="E1133" s="13" t="s">
        <v>136</v>
      </c>
      <c r="F1133" s="13" t="s">
        <v>137</v>
      </c>
      <c r="G1133" s="13" t="s">
        <v>132</v>
      </c>
      <c r="H1133" s="13" t="s">
        <v>149</v>
      </c>
      <c r="I1133" s="13" t="n">
        <v>3</v>
      </c>
      <c r="J1133" s="13" t="n">
        <v>2</v>
      </c>
      <c r="K1133" s="13" t="n">
        <v>110000</v>
      </c>
      <c r="L1133" s="13" t="s">
        <v>151</v>
      </c>
      <c r="M1133" s="13" t="s">
        <v>206</v>
      </c>
      <c r="N1133" s="13" t="s">
        <v>134</v>
      </c>
    </row>
    <row r="1134" customFormat="false" ht="15" hidden="false" customHeight="false" outlineLevel="0" collapsed="false">
      <c r="A1134" s="13" t="s">
        <v>1351</v>
      </c>
      <c r="B1134" s="14" t="n">
        <v>44334</v>
      </c>
      <c r="C1134" s="14"/>
      <c r="D1134" s="13" t="n">
        <v>34</v>
      </c>
      <c r="E1134" s="13" t="s">
        <v>136</v>
      </c>
      <c r="F1134" s="13" t="s">
        <v>137</v>
      </c>
      <c r="G1134" s="13" t="s">
        <v>155</v>
      </c>
      <c r="H1134" s="13" t="s">
        <v>192</v>
      </c>
      <c r="I1134" s="13" t="n">
        <v>4</v>
      </c>
      <c r="J1134" s="13" t="n">
        <v>4</v>
      </c>
      <c r="K1134" s="13" t="n">
        <v>168500</v>
      </c>
      <c r="L1134" s="13"/>
      <c r="M1134" s="13"/>
      <c r="N1134" s="13" t="s">
        <v>142</v>
      </c>
    </row>
    <row r="1135" customFormat="false" ht="15" hidden="false" customHeight="false" outlineLevel="0" collapsed="false">
      <c r="A1135" s="13" t="s">
        <v>1352</v>
      </c>
      <c r="B1135" s="14" t="n">
        <v>44341</v>
      </c>
      <c r="C1135" s="14"/>
      <c r="D1135" s="13" t="n">
        <v>38</v>
      </c>
      <c r="E1135" s="13" t="s">
        <v>136</v>
      </c>
      <c r="F1135" s="13" t="s">
        <v>170</v>
      </c>
      <c r="G1135" s="13" t="s">
        <v>1353</v>
      </c>
      <c r="H1135" s="13" t="s">
        <v>192</v>
      </c>
      <c r="I1135" s="13" t="n">
        <v>3</v>
      </c>
      <c r="J1135" s="13" t="n">
        <v>3</v>
      </c>
      <c r="K1135" s="13" t="n">
        <v>197000</v>
      </c>
      <c r="L1135" s="13"/>
      <c r="M1135" s="13"/>
      <c r="N1135" s="13" t="s">
        <v>142</v>
      </c>
    </row>
    <row r="1136" customFormat="false" ht="15" hidden="false" customHeight="false" outlineLevel="0" collapsed="false">
      <c r="A1136" s="13" t="s">
        <v>1354</v>
      </c>
      <c r="B1136" s="14" t="n">
        <v>44341</v>
      </c>
      <c r="C1136" s="14" t="n">
        <v>44786</v>
      </c>
      <c r="D1136" s="13" t="n">
        <v>32</v>
      </c>
      <c r="E1136" s="13" t="s">
        <v>144</v>
      </c>
      <c r="F1136" s="13" t="s">
        <v>170</v>
      </c>
      <c r="G1136" s="13" t="s">
        <v>138</v>
      </c>
      <c r="H1136" s="13" t="s">
        <v>156</v>
      </c>
      <c r="I1136" s="13" t="n">
        <v>3</v>
      </c>
      <c r="J1136" s="13" t="n">
        <v>3</v>
      </c>
      <c r="K1136" s="13" t="n">
        <v>95500</v>
      </c>
      <c r="L1136" s="13" t="s">
        <v>151</v>
      </c>
      <c r="M1136" s="13" t="s">
        <v>152</v>
      </c>
      <c r="N1136" s="13" t="s">
        <v>134</v>
      </c>
    </row>
    <row r="1137" customFormat="false" ht="15" hidden="false" customHeight="false" outlineLevel="0" collapsed="false">
      <c r="A1137" s="13" t="s">
        <v>1355</v>
      </c>
      <c r="B1137" s="14" t="n">
        <v>44342</v>
      </c>
      <c r="C1137" s="14" t="n">
        <v>44732</v>
      </c>
      <c r="D1137" s="13" t="n">
        <v>29</v>
      </c>
      <c r="E1137" s="13" t="s">
        <v>144</v>
      </c>
      <c r="F1137" s="13" t="s">
        <v>137</v>
      </c>
      <c r="G1137" s="13" t="s">
        <v>138</v>
      </c>
      <c r="H1137" s="13" t="s">
        <v>139</v>
      </c>
      <c r="I1137" s="13" t="n">
        <v>4</v>
      </c>
      <c r="J1137" s="13" t="n">
        <v>1</v>
      </c>
      <c r="K1137" s="13" t="n">
        <v>35000</v>
      </c>
      <c r="L1137" s="13" t="s">
        <v>151</v>
      </c>
      <c r="M1137" s="13" t="s">
        <v>201</v>
      </c>
      <c r="N1137" s="13" t="s">
        <v>134</v>
      </c>
    </row>
    <row r="1138" customFormat="false" ht="15" hidden="false" customHeight="false" outlineLevel="0" collapsed="false">
      <c r="A1138" s="13" t="s">
        <v>1356</v>
      </c>
      <c r="B1138" s="14" t="n">
        <v>44342</v>
      </c>
      <c r="C1138" s="14" t="n">
        <v>44821</v>
      </c>
      <c r="D1138" s="13" t="n">
        <v>36</v>
      </c>
      <c r="E1138" s="13" t="s">
        <v>136</v>
      </c>
      <c r="F1138" s="13" t="s">
        <v>145</v>
      </c>
      <c r="G1138" s="13" t="s">
        <v>148</v>
      </c>
      <c r="H1138" s="13" t="s">
        <v>166</v>
      </c>
      <c r="I1138" s="13" t="n">
        <v>5</v>
      </c>
      <c r="J1138" s="13" t="n">
        <v>3</v>
      </c>
      <c r="K1138" s="13" t="n">
        <v>101000</v>
      </c>
      <c r="L1138" s="13" t="s">
        <v>151</v>
      </c>
      <c r="M1138" s="13" t="s">
        <v>216</v>
      </c>
      <c r="N1138" s="13" t="s">
        <v>134</v>
      </c>
    </row>
    <row r="1139" customFormat="false" ht="15" hidden="false" customHeight="false" outlineLevel="0" collapsed="false">
      <c r="A1139" s="13" t="s">
        <v>1357</v>
      </c>
      <c r="B1139" s="14" t="n">
        <v>44342</v>
      </c>
      <c r="C1139" s="14"/>
      <c r="D1139" s="13" t="n">
        <v>37</v>
      </c>
      <c r="E1139" s="13" t="s">
        <v>144</v>
      </c>
      <c r="F1139" s="13" t="s">
        <v>168</v>
      </c>
      <c r="G1139" s="13" t="s">
        <v>148</v>
      </c>
      <c r="H1139" s="13" t="s">
        <v>411</v>
      </c>
      <c r="I1139" s="13" t="n">
        <v>3</v>
      </c>
      <c r="J1139" s="13" t="n">
        <v>4</v>
      </c>
      <c r="K1139" s="13" t="n">
        <v>61500</v>
      </c>
      <c r="L1139" s="13"/>
      <c r="M1139" s="13"/>
      <c r="N1139" s="13" t="s">
        <v>142</v>
      </c>
    </row>
    <row r="1140" customFormat="false" ht="15" hidden="false" customHeight="false" outlineLevel="0" collapsed="false">
      <c r="A1140" s="13" t="s">
        <v>1358</v>
      </c>
      <c r="B1140" s="14" t="n">
        <v>44348</v>
      </c>
      <c r="C1140" s="14" t="n">
        <v>45738</v>
      </c>
      <c r="D1140" s="13" t="n">
        <v>34</v>
      </c>
      <c r="E1140" s="13" t="s">
        <v>136</v>
      </c>
      <c r="F1140" s="13" t="s">
        <v>241</v>
      </c>
      <c r="G1140" s="13" t="s">
        <v>155</v>
      </c>
      <c r="H1140" s="13" t="s">
        <v>156</v>
      </c>
      <c r="I1140" s="13" t="n">
        <v>3</v>
      </c>
      <c r="J1140" s="13" t="n">
        <v>3</v>
      </c>
      <c r="K1140" s="13" t="n">
        <v>87500</v>
      </c>
      <c r="L1140" s="13" t="s">
        <v>151</v>
      </c>
      <c r="M1140" s="13"/>
      <c r="N1140" s="13" t="s">
        <v>142</v>
      </c>
    </row>
    <row r="1141" customFormat="false" ht="15" hidden="false" customHeight="false" outlineLevel="0" collapsed="false">
      <c r="A1141" s="13" t="s">
        <v>1359</v>
      </c>
      <c r="B1141" s="14" t="n">
        <v>44350</v>
      </c>
      <c r="C1141" s="14"/>
      <c r="D1141" s="13" t="n">
        <v>34</v>
      </c>
      <c r="E1141" s="13" t="s">
        <v>144</v>
      </c>
      <c r="F1141" s="13" t="s">
        <v>137</v>
      </c>
      <c r="G1141" s="13" t="s">
        <v>132</v>
      </c>
      <c r="H1141" s="13" t="s">
        <v>149</v>
      </c>
      <c r="I1141" s="13" t="n">
        <v>3</v>
      </c>
      <c r="J1141" s="13" t="n">
        <v>3</v>
      </c>
      <c r="K1141" s="13" t="n">
        <v>100000</v>
      </c>
      <c r="L1141" s="13"/>
      <c r="M1141" s="13"/>
      <c r="N1141" s="13" t="s">
        <v>142</v>
      </c>
    </row>
    <row r="1142" customFormat="false" ht="15" hidden="false" customHeight="false" outlineLevel="0" collapsed="false">
      <c r="A1142" s="13" t="s">
        <v>1360</v>
      </c>
      <c r="B1142" s="14" t="n">
        <v>44352</v>
      </c>
      <c r="C1142" s="14" t="n">
        <v>44943</v>
      </c>
      <c r="D1142" s="13" t="n">
        <v>35</v>
      </c>
      <c r="E1142" s="13" t="s">
        <v>130</v>
      </c>
      <c r="F1142" s="13" t="s">
        <v>154</v>
      </c>
      <c r="G1142" s="13" t="s">
        <v>155</v>
      </c>
      <c r="H1142" s="13" t="s">
        <v>149</v>
      </c>
      <c r="I1142" s="13" t="n">
        <v>3</v>
      </c>
      <c r="J1142" s="13" t="n">
        <v>4</v>
      </c>
      <c r="K1142" s="13" t="n">
        <v>119500</v>
      </c>
      <c r="L1142" s="13" t="s">
        <v>151</v>
      </c>
      <c r="M1142" s="13" t="s">
        <v>216</v>
      </c>
      <c r="N1142" s="13" t="s">
        <v>142</v>
      </c>
    </row>
    <row r="1143" customFormat="false" ht="15" hidden="false" customHeight="false" outlineLevel="0" collapsed="false">
      <c r="A1143" s="13" t="s">
        <v>1361</v>
      </c>
      <c r="B1143" s="14" t="n">
        <v>44354</v>
      </c>
      <c r="C1143" s="14" t="n">
        <v>45601</v>
      </c>
      <c r="D1143" s="13" t="n">
        <v>26</v>
      </c>
      <c r="E1143" s="13" t="s">
        <v>163</v>
      </c>
      <c r="F1143" s="13" t="s">
        <v>168</v>
      </c>
      <c r="G1143" s="13" t="s">
        <v>297</v>
      </c>
      <c r="H1143" s="13" t="s">
        <v>146</v>
      </c>
      <c r="I1143" s="13" t="n">
        <v>4</v>
      </c>
      <c r="J1143" s="13" t="n">
        <v>2</v>
      </c>
      <c r="K1143" s="13" t="n">
        <v>57500</v>
      </c>
      <c r="L1143" s="13" t="s">
        <v>151</v>
      </c>
      <c r="M1143" s="13"/>
      <c r="N1143" s="13" t="s">
        <v>134</v>
      </c>
    </row>
    <row r="1144" customFormat="false" ht="15" hidden="false" customHeight="false" outlineLevel="0" collapsed="false">
      <c r="A1144" s="13" t="s">
        <v>1362</v>
      </c>
      <c r="B1144" s="14" t="n">
        <v>44355</v>
      </c>
      <c r="C1144" s="14"/>
      <c r="D1144" s="13" t="n">
        <v>30</v>
      </c>
      <c r="E1144" s="13" t="s">
        <v>182</v>
      </c>
      <c r="F1144" s="13" t="s">
        <v>170</v>
      </c>
      <c r="G1144" s="13" t="s">
        <v>138</v>
      </c>
      <c r="H1144" s="13" t="s">
        <v>146</v>
      </c>
      <c r="I1144" s="13" t="n">
        <v>2</v>
      </c>
      <c r="J1144" s="13" t="n">
        <v>1</v>
      </c>
      <c r="K1144" s="13" t="n">
        <v>62000</v>
      </c>
      <c r="L1144" s="13"/>
      <c r="M1144" s="13"/>
      <c r="N1144" s="13" t="s">
        <v>214</v>
      </c>
    </row>
    <row r="1145" customFormat="false" ht="15" hidden="false" customHeight="false" outlineLevel="0" collapsed="false">
      <c r="A1145" s="13" t="s">
        <v>1363</v>
      </c>
      <c r="B1145" s="14" t="n">
        <v>44359</v>
      </c>
      <c r="C1145" s="14"/>
      <c r="D1145" s="13" t="n">
        <v>40</v>
      </c>
      <c r="E1145" s="13" t="s">
        <v>136</v>
      </c>
      <c r="F1145" s="13" t="s">
        <v>168</v>
      </c>
      <c r="G1145" s="13" t="s">
        <v>438</v>
      </c>
      <c r="H1145" s="13" t="s">
        <v>139</v>
      </c>
      <c r="I1145" s="13" t="n">
        <v>3</v>
      </c>
      <c r="J1145" s="13" t="n">
        <v>4</v>
      </c>
      <c r="K1145" s="13" t="n">
        <v>38000</v>
      </c>
      <c r="L1145" s="13"/>
      <c r="M1145" s="13"/>
      <c r="N1145" s="13" t="s">
        <v>142</v>
      </c>
    </row>
    <row r="1146" customFormat="false" ht="15" hidden="false" customHeight="false" outlineLevel="0" collapsed="false">
      <c r="A1146" s="13" t="s">
        <v>1364</v>
      </c>
      <c r="B1146" s="14" t="n">
        <v>44360</v>
      </c>
      <c r="C1146" s="14" t="n">
        <v>44873</v>
      </c>
      <c r="D1146" s="13" t="n">
        <v>30</v>
      </c>
      <c r="E1146" s="13" t="s">
        <v>136</v>
      </c>
      <c r="F1146" s="13" t="s">
        <v>168</v>
      </c>
      <c r="G1146" s="13" t="s">
        <v>132</v>
      </c>
      <c r="H1146" s="13" t="s">
        <v>246</v>
      </c>
      <c r="I1146" s="13" t="n">
        <v>3</v>
      </c>
      <c r="J1146" s="13" t="n">
        <v>2</v>
      </c>
      <c r="K1146" s="13" t="n">
        <v>124500</v>
      </c>
      <c r="L1146" s="13" t="s">
        <v>151</v>
      </c>
      <c r="M1146" s="13" t="s">
        <v>201</v>
      </c>
      <c r="N1146" s="13" t="s">
        <v>142</v>
      </c>
    </row>
    <row r="1147" customFormat="false" ht="15" hidden="false" customHeight="false" outlineLevel="0" collapsed="false">
      <c r="A1147" s="13" t="s">
        <v>1365</v>
      </c>
      <c r="B1147" s="14" t="n">
        <v>44363</v>
      </c>
      <c r="C1147" s="14"/>
      <c r="D1147" s="13" t="n">
        <v>32</v>
      </c>
      <c r="E1147" s="13" t="s">
        <v>144</v>
      </c>
      <c r="F1147" s="13" t="s">
        <v>137</v>
      </c>
      <c r="G1147" s="13" t="s">
        <v>132</v>
      </c>
      <c r="H1147" s="13" t="s">
        <v>246</v>
      </c>
      <c r="I1147" s="13" t="n">
        <v>4</v>
      </c>
      <c r="J1147" s="13" t="n">
        <v>1</v>
      </c>
      <c r="K1147" s="13" t="n">
        <v>130000</v>
      </c>
      <c r="L1147" s="13"/>
      <c r="M1147" s="13"/>
      <c r="N1147" s="13" t="s">
        <v>142</v>
      </c>
    </row>
    <row r="1148" customFormat="false" ht="15" hidden="false" customHeight="false" outlineLevel="0" collapsed="false">
      <c r="A1148" s="13" t="s">
        <v>1366</v>
      </c>
      <c r="B1148" s="14" t="n">
        <v>44363</v>
      </c>
      <c r="C1148" s="14"/>
      <c r="D1148" s="13" t="n">
        <v>40</v>
      </c>
      <c r="E1148" s="13" t="s">
        <v>136</v>
      </c>
      <c r="F1148" s="13" t="s">
        <v>164</v>
      </c>
      <c r="G1148" s="13" t="s">
        <v>148</v>
      </c>
      <c r="H1148" s="13" t="s">
        <v>156</v>
      </c>
      <c r="I1148" s="13" t="n">
        <v>3</v>
      </c>
      <c r="J1148" s="13" t="n">
        <v>4</v>
      </c>
      <c r="K1148" s="13" t="n">
        <v>106000</v>
      </c>
      <c r="L1148" s="13"/>
      <c r="M1148" s="13"/>
      <c r="N1148" s="13" t="s">
        <v>142</v>
      </c>
    </row>
    <row r="1149" customFormat="false" ht="15" hidden="false" customHeight="false" outlineLevel="0" collapsed="false">
      <c r="A1149" s="13" t="s">
        <v>1367</v>
      </c>
      <c r="B1149" s="14" t="n">
        <v>44364</v>
      </c>
      <c r="C1149" s="14" t="n">
        <v>45410</v>
      </c>
      <c r="D1149" s="13" t="n">
        <v>37</v>
      </c>
      <c r="E1149" s="13" t="s">
        <v>144</v>
      </c>
      <c r="F1149" s="13" t="s">
        <v>137</v>
      </c>
      <c r="G1149" s="13" t="s">
        <v>138</v>
      </c>
      <c r="H1149" s="13" t="s">
        <v>149</v>
      </c>
      <c r="I1149" s="13" t="n">
        <v>3</v>
      </c>
      <c r="J1149" s="13" t="n">
        <v>3</v>
      </c>
      <c r="K1149" s="13" t="n">
        <v>129000</v>
      </c>
      <c r="L1149" s="13" t="s">
        <v>173</v>
      </c>
      <c r="M1149" s="13" t="s">
        <v>310</v>
      </c>
      <c r="N1149" s="13" t="s">
        <v>134</v>
      </c>
    </row>
    <row r="1150" customFormat="false" ht="15" hidden="false" customHeight="false" outlineLevel="0" collapsed="false">
      <c r="A1150" s="13" t="s">
        <v>1368</v>
      </c>
      <c r="B1150" s="14" t="n">
        <v>44373</v>
      </c>
      <c r="C1150" s="14"/>
      <c r="D1150" s="13" t="n">
        <v>35</v>
      </c>
      <c r="E1150" s="13" t="s">
        <v>136</v>
      </c>
      <c r="F1150" s="13" t="s">
        <v>137</v>
      </c>
      <c r="G1150" s="13" t="s">
        <v>330</v>
      </c>
      <c r="H1150" s="13" t="s">
        <v>219</v>
      </c>
      <c r="I1150" s="13" t="n">
        <v>5</v>
      </c>
      <c r="J1150" s="13" t="n">
        <v>4</v>
      </c>
      <c r="K1150" s="13" t="n">
        <v>38000</v>
      </c>
      <c r="L1150" s="13"/>
      <c r="M1150" s="13"/>
      <c r="N1150" s="13" t="s">
        <v>142</v>
      </c>
    </row>
    <row r="1151" customFormat="false" ht="15" hidden="false" customHeight="false" outlineLevel="0" collapsed="false">
      <c r="A1151" s="13" t="s">
        <v>1369</v>
      </c>
      <c r="B1151" s="14" t="n">
        <v>44374</v>
      </c>
      <c r="C1151" s="14" t="n">
        <v>44577</v>
      </c>
      <c r="D1151" s="13" t="n">
        <v>33</v>
      </c>
      <c r="E1151" s="13" t="s">
        <v>136</v>
      </c>
      <c r="F1151" s="13" t="s">
        <v>170</v>
      </c>
      <c r="G1151" s="13" t="s">
        <v>138</v>
      </c>
      <c r="H1151" s="13" t="s">
        <v>156</v>
      </c>
      <c r="I1151" s="13" t="n">
        <v>4</v>
      </c>
      <c r="J1151" s="13" t="n">
        <v>1</v>
      </c>
      <c r="K1151" s="13" t="n">
        <v>95000</v>
      </c>
      <c r="L1151" s="13" t="s">
        <v>173</v>
      </c>
      <c r="M1151" s="13" t="s">
        <v>273</v>
      </c>
      <c r="N1151" s="13" t="s">
        <v>142</v>
      </c>
    </row>
    <row r="1152" customFormat="false" ht="15" hidden="false" customHeight="false" outlineLevel="0" collapsed="false">
      <c r="A1152" s="13" t="s">
        <v>1370</v>
      </c>
      <c r="B1152" s="14" t="n">
        <v>44375</v>
      </c>
      <c r="C1152" s="14" t="n">
        <v>45209</v>
      </c>
      <c r="D1152" s="13" t="n">
        <v>33</v>
      </c>
      <c r="E1152" s="13" t="s">
        <v>163</v>
      </c>
      <c r="F1152" s="13" t="s">
        <v>154</v>
      </c>
      <c r="G1152" s="13" t="s">
        <v>155</v>
      </c>
      <c r="H1152" s="13" t="s">
        <v>146</v>
      </c>
      <c r="I1152" s="13" t="n">
        <v>4</v>
      </c>
      <c r="J1152" s="13" t="n">
        <v>3</v>
      </c>
      <c r="K1152" s="13" t="n">
        <v>61500</v>
      </c>
      <c r="L1152" s="13" t="s">
        <v>173</v>
      </c>
      <c r="M1152" s="13" t="s">
        <v>254</v>
      </c>
      <c r="N1152" s="13" t="s">
        <v>134</v>
      </c>
    </row>
    <row r="1153" customFormat="false" ht="15" hidden="false" customHeight="false" outlineLevel="0" collapsed="false">
      <c r="A1153" s="13" t="s">
        <v>1371</v>
      </c>
      <c r="B1153" s="14" t="n">
        <v>44376</v>
      </c>
      <c r="C1153" s="14"/>
      <c r="D1153" s="13" t="n">
        <v>33</v>
      </c>
      <c r="E1153" s="13" t="s">
        <v>259</v>
      </c>
      <c r="F1153" s="13" t="s">
        <v>145</v>
      </c>
      <c r="G1153" s="13" t="s">
        <v>138</v>
      </c>
      <c r="H1153" s="13" t="s">
        <v>178</v>
      </c>
      <c r="I1153" s="13" t="n">
        <v>4</v>
      </c>
      <c r="J1153" s="13" t="n">
        <v>4</v>
      </c>
      <c r="K1153" s="13" t="n">
        <v>137500</v>
      </c>
      <c r="L1153" s="13"/>
      <c r="M1153" s="13"/>
      <c r="N1153" s="13" t="s">
        <v>142</v>
      </c>
    </row>
    <row r="1154" customFormat="false" ht="15" hidden="false" customHeight="false" outlineLevel="0" collapsed="false">
      <c r="A1154" s="13" t="s">
        <v>1372</v>
      </c>
      <c r="B1154" s="14" t="n">
        <v>44377</v>
      </c>
      <c r="C1154" s="14"/>
      <c r="D1154" s="13" t="n">
        <v>38</v>
      </c>
      <c r="E1154" s="13" t="s">
        <v>144</v>
      </c>
      <c r="F1154" s="13" t="s">
        <v>137</v>
      </c>
      <c r="G1154" s="13" t="s">
        <v>191</v>
      </c>
      <c r="H1154" s="13" t="s">
        <v>146</v>
      </c>
      <c r="I1154" s="13" t="n">
        <v>3</v>
      </c>
      <c r="J1154" s="13" t="n">
        <v>3</v>
      </c>
      <c r="K1154" s="13" t="n">
        <v>65500</v>
      </c>
      <c r="L1154" s="13"/>
      <c r="M1154" s="13"/>
      <c r="N1154" s="13" t="s">
        <v>142</v>
      </c>
    </row>
    <row r="1155" customFormat="false" ht="15" hidden="false" customHeight="false" outlineLevel="0" collapsed="false">
      <c r="A1155" s="13" t="s">
        <v>1373</v>
      </c>
      <c r="B1155" s="14" t="n">
        <v>44379</v>
      </c>
      <c r="C1155" s="14" t="n">
        <v>45448</v>
      </c>
      <c r="D1155" s="13" t="n">
        <v>37</v>
      </c>
      <c r="E1155" s="13" t="s">
        <v>136</v>
      </c>
      <c r="F1155" s="13" t="s">
        <v>168</v>
      </c>
      <c r="G1155" s="13" t="s">
        <v>155</v>
      </c>
      <c r="H1155" s="13" t="s">
        <v>146</v>
      </c>
      <c r="I1155" s="13" t="n">
        <v>4</v>
      </c>
      <c r="J1155" s="13" t="n">
        <v>2</v>
      </c>
      <c r="K1155" s="13" t="n">
        <v>67000</v>
      </c>
      <c r="L1155" s="13" t="s">
        <v>151</v>
      </c>
      <c r="M1155" s="13"/>
      <c r="N1155" s="13" t="s">
        <v>142</v>
      </c>
    </row>
    <row r="1156" customFormat="false" ht="15" hidden="false" customHeight="false" outlineLevel="0" collapsed="false">
      <c r="A1156" s="13" t="s">
        <v>1374</v>
      </c>
      <c r="B1156" s="14" t="n">
        <v>44380</v>
      </c>
      <c r="C1156" s="14"/>
      <c r="D1156" s="13" t="n">
        <v>34</v>
      </c>
      <c r="E1156" s="13" t="s">
        <v>186</v>
      </c>
      <c r="F1156" s="13" t="s">
        <v>168</v>
      </c>
      <c r="G1156" s="13" t="s">
        <v>148</v>
      </c>
      <c r="H1156" s="13" t="s">
        <v>146</v>
      </c>
      <c r="I1156" s="13" t="n">
        <v>3</v>
      </c>
      <c r="J1156" s="13" t="n">
        <v>4</v>
      </c>
      <c r="K1156" s="13" t="n">
        <v>62000</v>
      </c>
      <c r="L1156" s="13"/>
      <c r="M1156" s="13"/>
      <c r="N1156" s="13" t="s">
        <v>142</v>
      </c>
    </row>
    <row r="1157" customFormat="false" ht="15" hidden="false" customHeight="false" outlineLevel="0" collapsed="false">
      <c r="A1157" s="13" t="s">
        <v>1375</v>
      </c>
      <c r="B1157" s="14" t="n">
        <v>44381</v>
      </c>
      <c r="C1157" s="14" t="n">
        <v>45072</v>
      </c>
      <c r="D1157" s="13" t="n">
        <v>32</v>
      </c>
      <c r="E1157" s="13" t="s">
        <v>136</v>
      </c>
      <c r="F1157" s="13" t="s">
        <v>170</v>
      </c>
      <c r="G1157" s="13" t="s">
        <v>132</v>
      </c>
      <c r="H1157" s="13" t="s">
        <v>146</v>
      </c>
      <c r="I1157" s="13" t="n">
        <v>3</v>
      </c>
      <c r="J1157" s="13" t="n">
        <v>1</v>
      </c>
      <c r="K1157" s="13" t="n">
        <v>51500</v>
      </c>
      <c r="L1157" s="13" t="s">
        <v>151</v>
      </c>
      <c r="M1157" s="13" t="s">
        <v>203</v>
      </c>
      <c r="N1157" s="13" t="s">
        <v>142</v>
      </c>
    </row>
    <row r="1158" customFormat="false" ht="15" hidden="false" customHeight="false" outlineLevel="0" collapsed="false">
      <c r="A1158" s="13" t="s">
        <v>1376</v>
      </c>
      <c r="B1158" s="14" t="n">
        <v>44384</v>
      </c>
      <c r="C1158" s="14"/>
      <c r="D1158" s="13" t="n">
        <v>27</v>
      </c>
      <c r="E1158" s="13" t="s">
        <v>136</v>
      </c>
      <c r="F1158" s="13" t="s">
        <v>241</v>
      </c>
      <c r="G1158" s="13" t="s">
        <v>138</v>
      </c>
      <c r="H1158" s="13" t="s">
        <v>178</v>
      </c>
      <c r="I1158" s="13" t="n">
        <v>3</v>
      </c>
      <c r="J1158" s="13" t="n">
        <v>3</v>
      </c>
      <c r="K1158" s="13" t="n">
        <v>157500</v>
      </c>
      <c r="L1158" s="13"/>
      <c r="M1158" s="13"/>
      <c r="N1158" s="13" t="s">
        <v>142</v>
      </c>
    </row>
    <row r="1159" customFormat="false" ht="15" hidden="false" customHeight="false" outlineLevel="0" collapsed="false">
      <c r="A1159" s="13" t="s">
        <v>1377</v>
      </c>
      <c r="B1159" s="14" t="n">
        <v>44387</v>
      </c>
      <c r="C1159" s="14" t="n">
        <v>44758</v>
      </c>
      <c r="D1159" s="13" t="n">
        <v>27</v>
      </c>
      <c r="E1159" s="13" t="s">
        <v>136</v>
      </c>
      <c r="F1159" s="13" t="s">
        <v>241</v>
      </c>
      <c r="G1159" s="13" t="s">
        <v>297</v>
      </c>
      <c r="H1159" s="13" t="s">
        <v>192</v>
      </c>
      <c r="I1159" s="13" t="n">
        <v>5</v>
      </c>
      <c r="J1159" s="13" t="n">
        <v>3</v>
      </c>
      <c r="K1159" s="13" t="n">
        <v>202500</v>
      </c>
      <c r="L1159" s="13" t="s">
        <v>151</v>
      </c>
      <c r="M1159" s="13" t="s">
        <v>206</v>
      </c>
      <c r="N1159" s="13" t="s">
        <v>134</v>
      </c>
    </row>
    <row r="1160" customFormat="false" ht="15" hidden="false" customHeight="false" outlineLevel="0" collapsed="false">
      <c r="A1160" s="13" t="s">
        <v>1378</v>
      </c>
      <c r="B1160" s="14" t="n">
        <v>44387</v>
      </c>
      <c r="C1160" s="14" t="n">
        <v>44587</v>
      </c>
      <c r="D1160" s="13" t="n">
        <v>25</v>
      </c>
      <c r="E1160" s="13" t="s">
        <v>136</v>
      </c>
      <c r="F1160" s="13" t="s">
        <v>131</v>
      </c>
      <c r="G1160" s="13" t="s">
        <v>155</v>
      </c>
      <c r="H1160" s="13" t="s">
        <v>139</v>
      </c>
      <c r="I1160" s="13" t="n">
        <v>4</v>
      </c>
      <c r="J1160" s="13" t="n">
        <v>2</v>
      </c>
      <c r="K1160" s="13" t="n">
        <v>38500</v>
      </c>
      <c r="L1160" s="13" t="s">
        <v>151</v>
      </c>
      <c r="M1160" s="13" t="s">
        <v>216</v>
      </c>
      <c r="N1160" s="13" t="s">
        <v>142</v>
      </c>
    </row>
    <row r="1161" customFormat="false" ht="15" hidden="false" customHeight="false" outlineLevel="0" collapsed="false">
      <c r="A1161" s="13" t="s">
        <v>1379</v>
      </c>
      <c r="B1161" s="14" t="n">
        <v>44388</v>
      </c>
      <c r="C1161" s="14" t="n">
        <v>45382</v>
      </c>
      <c r="D1161" s="13" t="n">
        <v>37</v>
      </c>
      <c r="E1161" s="13" t="s">
        <v>136</v>
      </c>
      <c r="F1161" s="13" t="s">
        <v>154</v>
      </c>
      <c r="G1161" s="13" t="s">
        <v>184</v>
      </c>
      <c r="H1161" s="13" t="s">
        <v>149</v>
      </c>
      <c r="I1161" s="13" t="n">
        <v>4</v>
      </c>
      <c r="J1161" s="13" t="n">
        <v>4</v>
      </c>
      <c r="K1161" s="13" t="n">
        <v>109500</v>
      </c>
      <c r="L1161" s="13" t="s">
        <v>151</v>
      </c>
      <c r="M1161" s="13" t="s">
        <v>201</v>
      </c>
      <c r="N1161" s="13" t="s">
        <v>134</v>
      </c>
    </row>
    <row r="1162" customFormat="false" ht="15" hidden="false" customHeight="false" outlineLevel="0" collapsed="false">
      <c r="A1162" s="13" t="s">
        <v>1380</v>
      </c>
      <c r="B1162" s="14" t="n">
        <v>44389</v>
      </c>
      <c r="C1162" s="14" t="n">
        <v>45022</v>
      </c>
      <c r="D1162" s="13" t="n">
        <v>37</v>
      </c>
      <c r="E1162" s="13" t="s">
        <v>144</v>
      </c>
      <c r="F1162" s="13" t="s">
        <v>145</v>
      </c>
      <c r="G1162" s="13" t="s">
        <v>235</v>
      </c>
      <c r="H1162" s="13" t="s">
        <v>192</v>
      </c>
      <c r="I1162" s="13" t="n">
        <v>4</v>
      </c>
      <c r="J1162" s="13" t="n">
        <v>2</v>
      </c>
      <c r="K1162" s="13" t="n">
        <v>195000</v>
      </c>
      <c r="L1162" s="13" t="s">
        <v>151</v>
      </c>
      <c r="M1162" s="13" t="s">
        <v>206</v>
      </c>
      <c r="N1162" s="13" t="s">
        <v>157</v>
      </c>
    </row>
    <row r="1163" customFormat="false" ht="15" hidden="false" customHeight="false" outlineLevel="0" collapsed="false">
      <c r="A1163" s="13" t="s">
        <v>1381</v>
      </c>
      <c r="B1163" s="14" t="n">
        <v>44395</v>
      </c>
      <c r="C1163" s="14"/>
      <c r="D1163" s="13" t="n">
        <v>28</v>
      </c>
      <c r="E1163" s="13" t="s">
        <v>259</v>
      </c>
      <c r="F1163" s="13" t="s">
        <v>168</v>
      </c>
      <c r="G1163" s="13" t="s">
        <v>171</v>
      </c>
      <c r="H1163" s="13" t="s">
        <v>146</v>
      </c>
      <c r="I1163" s="13" t="n">
        <v>4</v>
      </c>
      <c r="J1163" s="13" t="n">
        <v>2</v>
      </c>
      <c r="K1163" s="13" t="n">
        <v>64000</v>
      </c>
      <c r="L1163" s="13"/>
      <c r="M1163" s="13"/>
      <c r="N1163" s="13" t="s">
        <v>142</v>
      </c>
    </row>
    <row r="1164" customFormat="false" ht="15" hidden="false" customHeight="false" outlineLevel="0" collapsed="false">
      <c r="A1164" s="13" t="s">
        <v>1382</v>
      </c>
      <c r="B1164" s="14" t="n">
        <v>44395</v>
      </c>
      <c r="C1164" s="14" t="n">
        <v>44832</v>
      </c>
      <c r="D1164" s="13" t="n">
        <v>32</v>
      </c>
      <c r="E1164" s="13" t="s">
        <v>144</v>
      </c>
      <c r="F1164" s="13" t="s">
        <v>168</v>
      </c>
      <c r="G1164" s="13" t="s">
        <v>148</v>
      </c>
      <c r="H1164" s="13" t="s">
        <v>156</v>
      </c>
      <c r="I1164" s="13" t="n">
        <v>1</v>
      </c>
      <c r="J1164" s="13" t="n">
        <v>2</v>
      </c>
      <c r="K1164" s="13" t="n">
        <v>79500</v>
      </c>
      <c r="L1164" s="13" t="s">
        <v>151</v>
      </c>
      <c r="M1164" s="13" t="s">
        <v>159</v>
      </c>
      <c r="N1164" s="13" t="s">
        <v>453</v>
      </c>
    </row>
    <row r="1165" customFormat="false" ht="15" hidden="false" customHeight="false" outlineLevel="0" collapsed="false">
      <c r="A1165" s="13" t="s">
        <v>1383</v>
      </c>
      <c r="B1165" s="14" t="n">
        <v>44397</v>
      </c>
      <c r="C1165" s="14"/>
      <c r="D1165" s="13" t="n">
        <v>40</v>
      </c>
      <c r="E1165" s="13" t="s">
        <v>144</v>
      </c>
      <c r="F1165" s="13" t="s">
        <v>170</v>
      </c>
      <c r="G1165" s="13" t="s">
        <v>132</v>
      </c>
      <c r="H1165" s="13" t="s">
        <v>178</v>
      </c>
      <c r="I1165" s="13" t="n">
        <v>4</v>
      </c>
      <c r="J1165" s="13" t="n">
        <v>4</v>
      </c>
      <c r="K1165" s="13" t="n">
        <v>156000</v>
      </c>
      <c r="L1165" s="13"/>
      <c r="M1165" s="13"/>
      <c r="N1165" s="13" t="s">
        <v>134</v>
      </c>
    </row>
    <row r="1166" customFormat="false" ht="15" hidden="false" customHeight="false" outlineLevel="0" collapsed="false">
      <c r="A1166" s="13" t="s">
        <v>1384</v>
      </c>
      <c r="B1166" s="14" t="n">
        <v>44400</v>
      </c>
      <c r="C1166" s="14" t="n">
        <v>45376</v>
      </c>
      <c r="D1166" s="13" t="n">
        <v>34</v>
      </c>
      <c r="E1166" s="13" t="s">
        <v>186</v>
      </c>
      <c r="F1166" s="13" t="s">
        <v>131</v>
      </c>
      <c r="G1166" s="13" t="s">
        <v>148</v>
      </c>
      <c r="H1166" s="13" t="s">
        <v>156</v>
      </c>
      <c r="I1166" s="13" t="n">
        <v>4</v>
      </c>
      <c r="J1166" s="13" t="n">
        <v>3</v>
      </c>
      <c r="K1166" s="13" t="n">
        <v>92000</v>
      </c>
      <c r="L1166" s="13" t="s">
        <v>151</v>
      </c>
      <c r="M1166" s="13" t="s">
        <v>159</v>
      </c>
      <c r="N1166" s="13" t="s">
        <v>134</v>
      </c>
    </row>
    <row r="1167" customFormat="false" ht="15" hidden="false" customHeight="false" outlineLevel="0" collapsed="false">
      <c r="A1167" s="13" t="s">
        <v>1385</v>
      </c>
      <c r="B1167" s="14" t="n">
        <v>44404</v>
      </c>
      <c r="C1167" s="14" t="n">
        <v>45653</v>
      </c>
      <c r="D1167" s="13" t="n">
        <v>27</v>
      </c>
      <c r="E1167" s="13" t="s">
        <v>136</v>
      </c>
      <c r="F1167" s="13" t="s">
        <v>137</v>
      </c>
      <c r="G1167" s="13" t="s">
        <v>148</v>
      </c>
      <c r="H1167" s="13" t="s">
        <v>156</v>
      </c>
      <c r="I1167" s="13" t="n">
        <v>4</v>
      </c>
      <c r="J1167" s="13" t="n">
        <v>2</v>
      </c>
      <c r="K1167" s="13" t="n">
        <v>106000</v>
      </c>
      <c r="L1167" s="13" t="s">
        <v>151</v>
      </c>
      <c r="M1167" s="13" t="s">
        <v>159</v>
      </c>
      <c r="N1167" s="13" t="s">
        <v>453</v>
      </c>
    </row>
    <row r="1168" customFormat="false" ht="15" hidden="false" customHeight="false" outlineLevel="0" collapsed="false">
      <c r="A1168" s="13" t="s">
        <v>1386</v>
      </c>
      <c r="B1168" s="14" t="n">
        <v>44406</v>
      </c>
      <c r="C1168" s="14"/>
      <c r="D1168" s="13" t="n">
        <v>31</v>
      </c>
      <c r="E1168" s="13" t="s">
        <v>144</v>
      </c>
      <c r="F1168" s="13" t="s">
        <v>168</v>
      </c>
      <c r="G1168" s="13" t="s">
        <v>132</v>
      </c>
      <c r="H1168" s="13" t="s">
        <v>178</v>
      </c>
      <c r="I1168" s="13" t="n">
        <v>3</v>
      </c>
      <c r="J1168" s="13" t="n">
        <v>3</v>
      </c>
      <c r="K1168" s="13" t="n">
        <v>141500</v>
      </c>
      <c r="L1168" s="13"/>
      <c r="M1168" s="13"/>
      <c r="N1168" s="13" t="s">
        <v>142</v>
      </c>
    </row>
    <row r="1169" customFormat="false" ht="15" hidden="false" customHeight="false" outlineLevel="0" collapsed="false">
      <c r="A1169" s="13" t="s">
        <v>1387</v>
      </c>
      <c r="B1169" s="14" t="n">
        <v>44406</v>
      </c>
      <c r="C1169" s="14" t="n">
        <v>44827</v>
      </c>
      <c r="D1169" s="13" t="n">
        <v>32</v>
      </c>
      <c r="E1169" s="13" t="s">
        <v>136</v>
      </c>
      <c r="F1169" s="13" t="s">
        <v>145</v>
      </c>
      <c r="G1169" s="13" t="s">
        <v>334</v>
      </c>
      <c r="H1169" s="13" t="s">
        <v>156</v>
      </c>
      <c r="I1169" s="13" t="n">
        <v>3</v>
      </c>
      <c r="J1169" s="13" t="n">
        <v>3</v>
      </c>
      <c r="K1169" s="13" t="n">
        <v>90000</v>
      </c>
      <c r="L1169" s="13" t="s">
        <v>151</v>
      </c>
      <c r="M1169" s="13" t="s">
        <v>216</v>
      </c>
      <c r="N1169" s="13" t="s">
        <v>142</v>
      </c>
    </row>
    <row r="1170" customFormat="false" ht="15" hidden="false" customHeight="false" outlineLevel="0" collapsed="false">
      <c r="A1170" s="13" t="s">
        <v>1388</v>
      </c>
      <c r="B1170" s="14" t="n">
        <v>44407</v>
      </c>
      <c r="C1170" s="14"/>
      <c r="D1170" s="13" t="n">
        <v>38</v>
      </c>
      <c r="E1170" s="13" t="s">
        <v>136</v>
      </c>
      <c r="F1170" s="13" t="s">
        <v>239</v>
      </c>
      <c r="G1170" s="13" t="s">
        <v>148</v>
      </c>
      <c r="H1170" s="13" t="s">
        <v>149</v>
      </c>
      <c r="I1170" s="13" t="n">
        <v>3</v>
      </c>
      <c r="J1170" s="13" t="n">
        <v>3</v>
      </c>
      <c r="K1170" s="13" t="n">
        <v>108500</v>
      </c>
      <c r="L1170" s="13"/>
      <c r="M1170" s="13"/>
      <c r="N1170" s="13" t="s">
        <v>134</v>
      </c>
    </row>
    <row r="1171" customFormat="false" ht="15" hidden="false" customHeight="false" outlineLevel="0" collapsed="false">
      <c r="A1171" s="13" t="s">
        <v>1389</v>
      </c>
      <c r="B1171" s="14" t="n">
        <v>44408</v>
      </c>
      <c r="C1171" s="14" t="n">
        <v>45855</v>
      </c>
      <c r="D1171" s="13" t="n">
        <v>35</v>
      </c>
      <c r="E1171" s="13" t="s">
        <v>144</v>
      </c>
      <c r="F1171" s="13" t="s">
        <v>168</v>
      </c>
      <c r="G1171" s="13" t="s">
        <v>148</v>
      </c>
      <c r="H1171" s="13" t="s">
        <v>178</v>
      </c>
      <c r="I1171" s="13" t="n">
        <v>5</v>
      </c>
      <c r="J1171" s="13" t="n">
        <v>3</v>
      </c>
      <c r="K1171" s="13" t="n">
        <v>149000</v>
      </c>
      <c r="L1171" s="13" t="s">
        <v>151</v>
      </c>
      <c r="M1171" s="13" t="s">
        <v>201</v>
      </c>
      <c r="N1171" s="13" t="s">
        <v>142</v>
      </c>
    </row>
    <row r="1172" customFormat="false" ht="15" hidden="false" customHeight="false" outlineLevel="0" collapsed="false">
      <c r="A1172" s="13" t="s">
        <v>1390</v>
      </c>
      <c r="B1172" s="14" t="n">
        <v>44412</v>
      </c>
      <c r="C1172" s="14" t="n">
        <v>44994</v>
      </c>
      <c r="D1172" s="13" t="n">
        <v>33</v>
      </c>
      <c r="E1172" s="13" t="s">
        <v>144</v>
      </c>
      <c r="F1172" s="13" t="s">
        <v>154</v>
      </c>
      <c r="G1172" s="13" t="s">
        <v>155</v>
      </c>
      <c r="H1172" s="13" t="s">
        <v>146</v>
      </c>
      <c r="I1172" s="13" t="n">
        <v>5</v>
      </c>
      <c r="J1172" s="13" t="n">
        <v>3</v>
      </c>
      <c r="K1172" s="13" t="n">
        <v>67500</v>
      </c>
      <c r="L1172" s="13" t="s">
        <v>151</v>
      </c>
      <c r="M1172" s="13" t="s">
        <v>141</v>
      </c>
      <c r="N1172" s="13" t="s">
        <v>157</v>
      </c>
    </row>
    <row r="1173" customFormat="false" ht="15" hidden="false" customHeight="false" outlineLevel="0" collapsed="false">
      <c r="A1173" s="13" t="s">
        <v>1391</v>
      </c>
      <c r="B1173" s="14" t="n">
        <v>44413</v>
      </c>
      <c r="C1173" s="14" t="n">
        <v>45906</v>
      </c>
      <c r="D1173" s="13" t="n">
        <v>34</v>
      </c>
      <c r="E1173" s="13" t="s">
        <v>144</v>
      </c>
      <c r="F1173" s="13" t="s">
        <v>131</v>
      </c>
      <c r="G1173" s="13" t="s">
        <v>155</v>
      </c>
      <c r="H1173" s="13" t="s">
        <v>178</v>
      </c>
      <c r="I1173" s="13" t="n">
        <v>1</v>
      </c>
      <c r="J1173" s="13" t="n">
        <v>3</v>
      </c>
      <c r="K1173" s="13" t="n">
        <v>141500</v>
      </c>
      <c r="L1173" s="13" t="s">
        <v>173</v>
      </c>
      <c r="M1173" s="13" t="s">
        <v>254</v>
      </c>
      <c r="N1173" s="13" t="s">
        <v>142</v>
      </c>
    </row>
    <row r="1174" customFormat="false" ht="15" hidden="false" customHeight="false" outlineLevel="0" collapsed="false">
      <c r="A1174" s="13" t="s">
        <v>1392</v>
      </c>
      <c r="B1174" s="14" t="n">
        <v>44416</v>
      </c>
      <c r="C1174" s="14" t="n">
        <v>44839</v>
      </c>
      <c r="D1174" s="13" t="n">
        <v>34</v>
      </c>
      <c r="E1174" s="13" t="s">
        <v>144</v>
      </c>
      <c r="F1174" s="13" t="s">
        <v>137</v>
      </c>
      <c r="G1174" s="13" t="s">
        <v>155</v>
      </c>
      <c r="H1174" s="13" t="s">
        <v>139</v>
      </c>
      <c r="I1174" s="13" t="n">
        <v>3</v>
      </c>
      <c r="J1174" s="13" t="n">
        <v>3</v>
      </c>
      <c r="K1174" s="13" t="n">
        <v>37500</v>
      </c>
      <c r="L1174" s="13" t="s">
        <v>151</v>
      </c>
      <c r="M1174" s="13" t="s">
        <v>159</v>
      </c>
      <c r="N1174" s="13" t="s">
        <v>134</v>
      </c>
    </row>
    <row r="1175" customFormat="false" ht="15" hidden="false" customHeight="false" outlineLevel="0" collapsed="false">
      <c r="A1175" s="13" t="s">
        <v>1393</v>
      </c>
      <c r="B1175" s="14" t="n">
        <v>44416</v>
      </c>
      <c r="C1175" s="14" t="n">
        <v>45160</v>
      </c>
      <c r="D1175" s="13" t="n">
        <v>29</v>
      </c>
      <c r="E1175" s="13" t="s">
        <v>136</v>
      </c>
      <c r="F1175" s="13" t="s">
        <v>145</v>
      </c>
      <c r="G1175" s="13" t="s">
        <v>148</v>
      </c>
      <c r="H1175" s="13" t="s">
        <v>156</v>
      </c>
      <c r="I1175" s="13" t="n">
        <v>4</v>
      </c>
      <c r="J1175" s="13" t="n">
        <v>2</v>
      </c>
      <c r="K1175" s="13" t="n">
        <v>102000</v>
      </c>
      <c r="L1175" s="13" t="s">
        <v>173</v>
      </c>
      <c r="M1175" s="13" t="s">
        <v>254</v>
      </c>
      <c r="N1175" s="13" t="s">
        <v>142</v>
      </c>
    </row>
    <row r="1176" customFormat="false" ht="15" hidden="false" customHeight="false" outlineLevel="0" collapsed="false">
      <c r="A1176" s="13" t="s">
        <v>1394</v>
      </c>
      <c r="B1176" s="14" t="n">
        <v>44420</v>
      </c>
      <c r="C1176" s="14"/>
      <c r="D1176" s="13" t="n">
        <v>36</v>
      </c>
      <c r="E1176" s="13" t="s">
        <v>190</v>
      </c>
      <c r="F1176" s="13" t="s">
        <v>131</v>
      </c>
      <c r="G1176" s="13" t="s">
        <v>138</v>
      </c>
      <c r="H1176" s="13" t="s">
        <v>156</v>
      </c>
      <c r="I1176" s="13"/>
      <c r="J1176" s="13"/>
      <c r="K1176" s="13" t="n">
        <v>110000</v>
      </c>
      <c r="L1176" s="13"/>
      <c r="M1176" s="13"/>
      <c r="N1176" s="13" t="s">
        <v>142</v>
      </c>
    </row>
    <row r="1177" customFormat="false" ht="15" hidden="false" customHeight="false" outlineLevel="0" collapsed="false">
      <c r="A1177" s="13" t="s">
        <v>1395</v>
      </c>
      <c r="B1177" s="14" t="n">
        <v>44427</v>
      </c>
      <c r="C1177" s="14"/>
      <c r="D1177" s="13" t="n">
        <v>32</v>
      </c>
      <c r="E1177" s="13" t="s">
        <v>136</v>
      </c>
      <c r="F1177" s="13" t="s">
        <v>137</v>
      </c>
      <c r="G1177" s="13" t="s">
        <v>171</v>
      </c>
      <c r="H1177" s="13" t="s">
        <v>178</v>
      </c>
      <c r="I1177" s="13" t="n">
        <v>4</v>
      </c>
      <c r="J1177" s="13" t="n">
        <v>4</v>
      </c>
      <c r="K1177" s="13" t="n">
        <v>143500</v>
      </c>
      <c r="L1177" s="13"/>
      <c r="M1177" s="13"/>
      <c r="N1177" s="13" t="s">
        <v>142</v>
      </c>
    </row>
    <row r="1178" customFormat="false" ht="15" hidden="false" customHeight="false" outlineLevel="0" collapsed="false">
      <c r="A1178" s="13" t="s">
        <v>1396</v>
      </c>
      <c r="B1178" s="14" t="n">
        <v>44428</v>
      </c>
      <c r="C1178" s="14"/>
      <c r="D1178" s="13" t="n">
        <v>36</v>
      </c>
      <c r="E1178" s="13" t="s">
        <v>136</v>
      </c>
      <c r="F1178" s="13" t="s">
        <v>164</v>
      </c>
      <c r="G1178" s="13" t="s">
        <v>155</v>
      </c>
      <c r="H1178" s="13" t="s">
        <v>146</v>
      </c>
      <c r="I1178" s="13" t="n">
        <v>5</v>
      </c>
      <c r="J1178" s="13" t="n">
        <v>3</v>
      </c>
      <c r="K1178" s="13" t="n">
        <v>52000</v>
      </c>
      <c r="L1178" s="13"/>
      <c r="M1178" s="13"/>
      <c r="N1178" s="13" t="s">
        <v>142</v>
      </c>
    </row>
    <row r="1179" customFormat="false" ht="15" hidden="false" customHeight="false" outlineLevel="0" collapsed="false">
      <c r="A1179" s="13" t="s">
        <v>1397</v>
      </c>
      <c r="B1179" s="14" t="n">
        <v>44431</v>
      </c>
      <c r="C1179" s="14"/>
      <c r="D1179" s="13" t="n">
        <v>25</v>
      </c>
      <c r="E1179" s="13" t="s">
        <v>144</v>
      </c>
      <c r="F1179" s="13" t="s">
        <v>168</v>
      </c>
      <c r="G1179" s="13" t="s">
        <v>155</v>
      </c>
      <c r="H1179" s="13" t="s">
        <v>192</v>
      </c>
      <c r="I1179" s="13" t="n">
        <v>4</v>
      </c>
      <c r="J1179" s="13" t="n">
        <v>4</v>
      </c>
      <c r="K1179" s="13" t="n">
        <v>200000</v>
      </c>
      <c r="L1179" s="13"/>
      <c r="M1179" s="13"/>
      <c r="N1179" s="13" t="s">
        <v>142</v>
      </c>
    </row>
    <row r="1180" customFormat="false" ht="15" hidden="false" customHeight="false" outlineLevel="0" collapsed="false">
      <c r="A1180" s="13" t="s">
        <v>1398</v>
      </c>
      <c r="B1180" s="14" t="n">
        <v>44433</v>
      </c>
      <c r="C1180" s="14" t="n">
        <v>44679</v>
      </c>
      <c r="D1180" s="13" t="n">
        <v>32</v>
      </c>
      <c r="E1180" s="13" t="s">
        <v>130</v>
      </c>
      <c r="F1180" s="13" t="s">
        <v>161</v>
      </c>
      <c r="G1180" s="13" t="s">
        <v>155</v>
      </c>
      <c r="H1180" s="13" t="s">
        <v>149</v>
      </c>
      <c r="I1180" s="13" t="n">
        <v>4</v>
      </c>
      <c r="J1180" s="13" t="n">
        <v>4</v>
      </c>
      <c r="K1180" s="13" t="n">
        <v>106000</v>
      </c>
      <c r="L1180" s="13" t="s">
        <v>173</v>
      </c>
      <c r="M1180" s="13" t="s">
        <v>254</v>
      </c>
      <c r="N1180" s="13" t="s">
        <v>142</v>
      </c>
    </row>
    <row r="1181" customFormat="false" ht="15" hidden="false" customHeight="false" outlineLevel="0" collapsed="false">
      <c r="A1181" s="13" t="s">
        <v>1399</v>
      </c>
      <c r="B1181" s="14" t="n">
        <v>44433</v>
      </c>
      <c r="C1181" s="14"/>
      <c r="D1181" s="13" t="n">
        <v>30</v>
      </c>
      <c r="E1181" s="13" t="s">
        <v>182</v>
      </c>
      <c r="F1181" s="13" t="s">
        <v>154</v>
      </c>
      <c r="G1181" s="13" t="s">
        <v>213</v>
      </c>
      <c r="H1181" s="13" t="s">
        <v>192</v>
      </c>
      <c r="I1181" s="13" t="n">
        <v>1</v>
      </c>
      <c r="J1181" s="13" t="n">
        <v>3</v>
      </c>
      <c r="K1181" s="13" t="n">
        <v>218500</v>
      </c>
      <c r="L1181" s="13"/>
      <c r="M1181" s="13"/>
      <c r="N1181" s="13" t="s">
        <v>134</v>
      </c>
    </row>
    <row r="1182" customFormat="false" ht="15" hidden="false" customHeight="false" outlineLevel="0" collapsed="false">
      <c r="A1182" s="13" t="s">
        <v>1400</v>
      </c>
      <c r="B1182" s="14" t="n">
        <v>44442</v>
      </c>
      <c r="C1182" s="14" t="n">
        <v>45890</v>
      </c>
      <c r="D1182" s="13" t="n">
        <v>36</v>
      </c>
      <c r="E1182" s="13" t="s">
        <v>144</v>
      </c>
      <c r="F1182" s="13" t="s">
        <v>168</v>
      </c>
      <c r="G1182" s="13" t="s">
        <v>138</v>
      </c>
      <c r="H1182" s="13" t="s">
        <v>139</v>
      </c>
      <c r="I1182" s="13" t="n">
        <v>2</v>
      </c>
      <c r="J1182" s="13" t="n">
        <v>2</v>
      </c>
      <c r="K1182" s="13" t="n">
        <v>37000</v>
      </c>
      <c r="L1182" s="13" t="s">
        <v>173</v>
      </c>
      <c r="M1182" s="13" t="s">
        <v>273</v>
      </c>
      <c r="N1182" s="13" t="s">
        <v>142</v>
      </c>
    </row>
    <row r="1183" customFormat="false" ht="15" hidden="false" customHeight="false" outlineLevel="0" collapsed="false">
      <c r="A1183" s="13" t="s">
        <v>1401</v>
      </c>
      <c r="B1183" s="14" t="n">
        <v>44443</v>
      </c>
      <c r="C1183" s="14"/>
      <c r="D1183" s="13" t="n">
        <v>25</v>
      </c>
      <c r="E1183" s="13" t="s">
        <v>144</v>
      </c>
      <c r="F1183" s="13" t="s">
        <v>168</v>
      </c>
      <c r="G1183" s="13" t="s">
        <v>132</v>
      </c>
      <c r="H1183" s="13" t="s">
        <v>156</v>
      </c>
      <c r="I1183" s="13" t="n">
        <v>4</v>
      </c>
      <c r="J1183" s="13" t="n">
        <v>4</v>
      </c>
      <c r="K1183" s="13" t="n">
        <v>84000</v>
      </c>
      <c r="L1183" s="13"/>
      <c r="M1183" s="13"/>
      <c r="N1183" s="13" t="s">
        <v>142</v>
      </c>
    </row>
    <row r="1184" customFormat="false" ht="15" hidden="false" customHeight="false" outlineLevel="0" collapsed="false">
      <c r="A1184" s="13" t="s">
        <v>1402</v>
      </c>
      <c r="B1184" s="14" t="n">
        <v>44444</v>
      </c>
      <c r="C1184" s="14"/>
      <c r="D1184" s="13" t="n">
        <v>35</v>
      </c>
      <c r="E1184" s="13" t="s">
        <v>144</v>
      </c>
      <c r="F1184" s="13" t="s">
        <v>131</v>
      </c>
      <c r="G1184" s="13" t="s">
        <v>195</v>
      </c>
      <c r="H1184" s="13" t="s">
        <v>411</v>
      </c>
      <c r="I1184" s="13" t="n">
        <v>3</v>
      </c>
      <c r="J1184" s="13" t="n">
        <v>2</v>
      </c>
      <c r="K1184" s="13" t="n">
        <v>60500</v>
      </c>
      <c r="L1184" s="13"/>
      <c r="M1184" s="13"/>
      <c r="N1184" s="13" t="s">
        <v>142</v>
      </c>
    </row>
    <row r="1185" customFormat="false" ht="15" hidden="false" customHeight="false" outlineLevel="0" collapsed="false">
      <c r="A1185" s="13" t="s">
        <v>1403</v>
      </c>
      <c r="B1185" s="14" t="n">
        <v>44445</v>
      </c>
      <c r="C1185" s="14"/>
      <c r="D1185" s="13" t="n">
        <v>29</v>
      </c>
      <c r="E1185" s="13" t="s">
        <v>163</v>
      </c>
      <c r="F1185" s="13" t="s">
        <v>164</v>
      </c>
      <c r="G1185" s="13" t="s">
        <v>148</v>
      </c>
      <c r="H1185" s="13" t="s">
        <v>192</v>
      </c>
      <c r="I1185" s="13" t="n">
        <v>4</v>
      </c>
      <c r="J1185" s="13" t="n">
        <v>1</v>
      </c>
      <c r="K1185" s="13" t="n">
        <v>223500</v>
      </c>
      <c r="L1185" s="13"/>
      <c r="M1185" s="13"/>
      <c r="N1185" s="13" t="s">
        <v>134</v>
      </c>
    </row>
    <row r="1186" customFormat="false" ht="15" hidden="false" customHeight="false" outlineLevel="0" collapsed="false">
      <c r="A1186" s="13" t="s">
        <v>1404</v>
      </c>
      <c r="B1186" s="14" t="n">
        <v>44452</v>
      </c>
      <c r="C1186" s="14" t="n">
        <v>45723</v>
      </c>
      <c r="D1186" s="13" t="n">
        <v>32</v>
      </c>
      <c r="E1186" s="13" t="s">
        <v>136</v>
      </c>
      <c r="F1186" s="13" t="s">
        <v>137</v>
      </c>
      <c r="G1186" s="13" t="s">
        <v>138</v>
      </c>
      <c r="H1186" s="13" t="s">
        <v>149</v>
      </c>
      <c r="I1186" s="13" t="n">
        <v>3</v>
      </c>
      <c r="J1186" s="13" t="n">
        <v>2</v>
      </c>
      <c r="K1186" s="13" t="n">
        <v>117000</v>
      </c>
      <c r="L1186" s="13" t="s">
        <v>173</v>
      </c>
      <c r="M1186" s="13" t="s">
        <v>273</v>
      </c>
      <c r="N1186" s="13" t="s">
        <v>134</v>
      </c>
    </row>
    <row r="1187" customFormat="false" ht="15" hidden="false" customHeight="false" outlineLevel="0" collapsed="false">
      <c r="A1187" s="13" t="s">
        <v>1405</v>
      </c>
      <c r="B1187" s="14" t="n">
        <v>44460</v>
      </c>
      <c r="C1187" s="14" t="n">
        <v>44814</v>
      </c>
      <c r="D1187" s="13" t="n">
        <v>27</v>
      </c>
      <c r="E1187" s="13" t="s">
        <v>144</v>
      </c>
      <c r="F1187" s="13" t="s">
        <v>239</v>
      </c>
      <c r="G1187" s="13" t="s">
        <v>191</v>
      </c>
      <c r="H1187" s="13" t="s">
        <v>139</v>
      </c>
      <c r="I1187" s="13" t="n">
        <v>2</v>
      </c>
      <c r="J1187" s="13" t="n">
        <v>4</v>
      </c>
      <c r="K1187" s="13" t="n">
        <v>41500</v>
      </c>
      <c r="L1187" s="13" t="s">
        <v>173</v>
      </c>
      <c r="M1187" s="13" t="s">
        <v>273</v>
      </c>
      <c r="N1187" s="13" t="s">
        <v>134</v>
      </c>
    </row>
    <row r="1188" customFormat="false" ht="15" hidden="false" customHeight="false" outlineLevel="0" collapsed="false">
      <c r="A1188" s="13" t="s">
        <v>1406</v>
      </c>
      <c r="B1188" s="14" t="n">
        <v>44461</v>
      </c>
      <c r="C1188" s="14" t="n">
        <v>45020</v>
      </c>
      <c r="D1188" s="13" t="n">
        <v>23</v>
      </c>
      <c r="E1188" s="13" t="s">
        <v>136</v>
      </c>
      <c r="F1188" s="13" t="s">
        <v>154</v>
      </c>
      <c r="G1188" s="13" t="s">
        <v>132</v>
      </c>
      <c r="H1188" s="13" t="s">
        <v>178</v>
      </c>
      <c r="I1188" s="13" t="n">
        <v>2</v>
      </c>
      <c r="J1188" s="13" t="n">
        <v>2</v>
      </c>
      <c r="K1188" s="13" t="n">
        <v>170000</v>
      </c>
      <c r="L1188" s="13" t="s">
        <v>200</v>
      </c>
      <c r="M1188" s="13" t="s">
        <v>152</v>
      </c>
      <c r="N1188" s="13" t="s">
        <v>142</v>
      </c>
    </row>
    <row r="1189" customFormat="false" ht="15" hidden="false" customHeight="false" outlineLevel="0" collapsed="false">
      <c r="A1189" s="13" t="s">
        <v>1407</v>
      </c>
      <c r="B1189" s="14" t="n">
        <v>44463</v>
      </c>
      <c r="C1189" s="14" t="n">
        <v>45252</v>
      </c>
      <c r="D1189" s="13" t="n">
        <v>38</v>
      </c>
      <c r="E1189" s="13" t="s">
        <v>144</v>
      </c>
      <c r="F1189" s="13" t="s">
        <v>154</v>
      </c>
      <c r="G1189" s="13" t="s">
        <v>155</v>
      </c>
      <c r="H1189" s="13" t="s">
        <v>146</v>
      </c>
      <c r="I1189" s="13" t="n">
        <v>3</v>
      </c>
      <c r="J1189" s="13" t="n">
        <v>2</v>
      </c>
      <c r="K1189" s="13" t="n">
        <v>57000</v>
      </c>
      <c r="L1189" s="13" t="s">
        <v>173</v>
      </c>
      <c r="M1189" s="13" t="s">
        <v>310</v>
      </c>
      <c r="N1189" s="13" t="s">
        <v>214</v>
      </c>
    </row>
    <row r="1190" customFormat="false" ht="15" hidden="false" customHeight="false" outlineLevel="0" collapsed="false">
      <c r="A1190" s="13" t="s">
        <v>1408</v>
      </c>
      <c r="B1190" s="14" t="n">
        <v>44464</v>
      </c>
      <c r="C1190" s="14" t="n">
        <v>45490</v>
      </c>
      <c r="D1190" s="13" t="n">
        <v>33</v>
      </c>
      <c r="E1190" s="13" t="s">
        <v>130</v>
      </c>
      <c r="F1190" s="13" t="s">
        <v>241</v>
      </c>
      <c r="G1190" s="13" t="s">
        <v>155</v>
      </c>
      <c r="H1190" s="13" t="s">
        <v>146</v>
      </c>
      <c r="I1190" s="13" t="n">
        <v>1</v>
      </c>
      <c r="J1190" s="13" t="n">
        <v>4</v>
      </c>
      <c r="K1190" s="13" t="n">
        <v>56500</v>
      </c>
      <c r="L1190" s="13" t="s">
        <v>173</v>
      </c>
      <c r="M1190" s="13" t="s">
        <v>254</v>
      </c>
      <c r="N1190" s="13" t="s">
        <v>134</v>
      </c>
    </row>
    <row r="1191" customFormat="false" ht="15" hidden="false" customHeight="false" outlineLevel="0" collapsed="false">
      <c r="A1191" s="13" t="s">
        <v>1409</v>
      </c>
      <c r="B1191" s="14" t="n">
        <v>44468</v>
      </c>
      <c r="C1191" s="14"/>
      <c r="D1191" s="13" t="n">
        <v>31</v>
      </c>
      <c r="E1191" s="13" t="s">
        <v>136</v>
      </c>
      <c r="F1191" s="13" t="s">
        <v>164</v>
      </c>
      <c r="G1191" s="13" t="s">
        <v>132</v>
      </c>
      <c r="H1191" s="13" t="s">
        <v>219</v>
      </c>
      <c r="I1191" s="13" t="n">
        <v>2</v>
      </c>
      <c r="J1191" s="13" t="n">
        <v>4</v>
      </c>
      <c r="K1191" s="13" t="n">
        <v>34500</v>
      </c>
      <c r="L1191" s="13"/>
      <c r="M1191" s="13"/>
      <c r="N1191" s="13" t="s">
        <v>142</v>
      </c>
    </row>
    <row r="1192" customFormat="false" ht="15" hidden="false" customHeight="false" outlineLevel="0" collapsed="false">
      <c r="A1192" s="13" t="s">
        <v>1410</v>
      </c>
      <c r="B1192" s="14" t="n">
        <v>44475</v>
      </c>
      <c r="C1192" s="14"/>
      <c r="D1192" s="13" t="n">
        <v>36</v>
      </c>
      <c r="E1192" s="13" t="s">
        <v>163</v>
      </c>
      <c r="F1192" s="13" t="s">
        <v>161</v>
      </c>
      <c r="G1192" s="13" t="s">
        <v>148</v>
      </c>
      <c r="H1192" s="13" t="s">
        <v>146</v>
      </c>
      <c r="I1192" s="13" t="n">
        <v>2</v>
      </c>
      <c r="J1192" s="13" t="n">
        <v>1</v>
      </c>
      <c r="K1192" s="13" t="n">
        <v>62500</v>
      </c>
      <c r="L1192" s="13"/>
      <c r="M1192" s="13"/>
      <c r="N1192" s="13" t="s">
        <v>142</v>
      </c>
    </row>
    <row r="1193" customFormat="false" ht="15" hidden="false" customHeight="false" outlineLevel="0" collapsed="false">
      <c r="A1193" s="13" t="s">
        <v>1411</v>
      </c>
      <c r="B1193" s="14" t="n">
        <v>44478</v>
      </c>
      <c r="C1193" s="14"/>
      <c r="D1193" s="13" t="n">
        <v>25</v>
      </c>
      <c r="E1193" s="13" t="s">
        <v>130</v>
      </c>
      <c r="F1193" s="13" t="s">
        <v>131</v>
      </c>
      <c r="G1193" s="13" t="s">
        <v>155</v>
      </c>
      <c r="H1193" s="13" t="s">
        <v>178</v>
      </c>
      <c r="I1193" s="13" t="n">
        <v>3</v>
      </c>
      <c r="J1193" s="13" t="n">
        <v>1</v>
      </c>
      <c r="K1193" s="13" t="n">
        <v>125500</v>
      </c>
      <c r="L1193" s="13"/>
      <c r="M1193" s="13"/>
      <c r="N1193" s="13" t="s">
        <v>142</v>
      </c>
    </row>
    <row r="1194" customFormat="false" ht="15" hidden="false" customHeight="false" outlineLevel="0" collapsed="false">
      <c r="A1194" s="13" t="s">
        <v>1412</v>
      </c>
      <c r="B1194" s="14" t="n">
        <v>44479</v>
      </c>
      <c r="C1194" s="14" t="n">
        <v>44647</v>
      </c>
      <c r="D1194" s="13" t="n">
        <v>28</v>
      </c>
      <c r="E1194" s="13" t="s">
        <v>144</v>
      </c>
      <c r="F1194" s="13" t="s">
        <v>145</v>
      </c>
      <c r="G1194" s="13" t="s">
        <v>138</v>
      </c>
      <c r="H1194" s="13" t="s">
        <v>146</v>
      </c>
      <c r="I1194" s="13" t="n">
        <v>5</v>
      </c>
      <c r="J1194" s="13" t="n">
        <v>3</v>
      </c>
      <c r="K1194" s="13" t="n">
        <v>54000</v>
      </c>
      <c r="L1194" s="13" t="s">
        <v>151</v>
      </c>
      <c r="M1194" s="13"/>
      <c r="N1194" s="13" t="s">
        <v>142</v>
      </c>
    </row>
    <row r="1195" customFormat="false" ht="15" hidden="false" customHeight="false" outlineLevel="0" collapsed="false">
      <c r="A1195" s="13" t="s">
        <v>1413</v>
      </c>
      <c r="B1195" s="14" t="n">
        <v>44480</v>
      </c>
      <c r="C1195" s="14" t="n">
        <v>45785</v>
      </c>
      <c r="D1195" s="13" t="n">
        <v>37</v>
      </c>
      <c r="E1195" s="13" t="s">
        <v>136</v>
      </c>
      <c r="F1195" s="13" t="s">
        <v>145</v>
      </c>
      <c r="G1195" s="13" t="s">
        <v>132</v>
      </c>
      <c r="H1195" s="13" t="s">
        <v>139</v>
      </c>
      <c r="I1195" s="13" t="n">
        <v>5</v>
      </c>
      <c r="J1195" s="13" t="n">
        <v>1</v>
      </c>
      <c r="K1195" s="13" t="n">
        <v>42000</v>
      </c>
      <c r="L1195" s="13" t="s">
        <v>151</v>
      </c>
      <c r="M1195" s="13" t="s">
        <v>216</v>
      </c>
      <c r="N1195" s="13" t="s">
        <v>142</v>
      </c>
    </row>
    <row r="1196" customFormat="false" ht="15" hidden="false" customHeight="false" outlineLevel="0" collapsed="false">
      <c r="A1196" s="13" t="s">
        <v>1414</v>
      </c>
      <c r="B1196" s="14" t="n">
        <v>44480</v>
      </c>
      <c r="C1196" s="14"/>
      <c r="D1196" s="13" t="n">
        <v>30</v>
      </c>
      <c r="E1196" s="13" t="s">
        <v>136</v>
      </c>
      <c r="F1196" s="13" t="s">
        <v>161</v>
      </c>
      <c r="G1196" s="13" t="s">
        <v>191</v>
      </c>
      <c r="H1196" s="13" t="s">
        <v>178</v>
      </c>
      <c r="I1196" s="13" t="n">
        <v>3</v>
      </c>
      <c r="J1196" s="13" t="n">
        <v>4</v>
      </c>
      <c r="K1196" s="13" t="n">
        <v>134000</v>
      </c>
      <c r="L1196" s="13"/>
      <c r="M1196" s="13"/>
      <c r="N1196" s="13" t="s">
        <v>142</v>
      </c>
    </row>
    <row r="1197" customFormat="false" ht="15" hidden="false" customHeight="false" outlineLevel="0" collapsed="false">
      <c r="A1197" s="13" t="s">
        <v>1415</v>
      </c>
      <c r="B1197" s="14" t="n">
        <v>44483</v>
      </c>
      <c r="C1197" s="14"/>
      <c r="D1197" s="13" t="n">
        <v>34</v>
      </c>
      <c r="E1197" s="13" t="s">
        <v>144</v>
      </c>
      <c r="F1197" s="13" t="s">
        <v>168</v>
      </c>
      <c r="G1197" s="13" t="s">
        <v>155</v>
      </c>
      <c r="H1197" s="13" t="s">
        <v>146</v>
      </c>
      <c r="I1197" s="13" t="n">
        <v>3</v>
      </c>
      <c r="J1197" s="13" t="n">
        <v>4</v>
      </c>
      <c r="K1197" s="13" t="n">
        <v>70500</v>
      </c>
      <c r="L1197" s="13"/>
      <c r="M1197" s="13"/>
      <c r="N1197" s="13" t="s">
        <v>142</v>
      </c>
    </row>
    <row r="1198" customFormat="false" ht="15" hidden="false" customHeight="false" outlineLevel="0" collapsed="false">
      <c r="A1198" s="13" t="s">
        <v>1416</v>
      </c>
      <c r="B1198" s="14" t="n">
        <v>44485</v>
      </c>
      <c r="C1198" s="14"/>
      <c r="D1198" s="13" t="n">
        <v>39</v>
      </c>
      <c r="E1198" s="13" t="s">
        <v>136</v>
      </c>
      <c r="F1198" s="13" t="s">
        <v>168</v>
      </c>
      <c r="G1198" s="13" t="s">
        <v>148</v>
      </c>
      <c r="H1198" s="13" t="s">
        <v>139</v>
      </c>
      <c r="I1198" s="13" t="n">
        <v>3</v>
      </c>
      <c r="J1198" s="13" t="n">
        <v>3</v>
      </c>
      <c r="K1198" s="13" t="n">
        <v>44500</v>
      </c>
      <c r="L1198" s="13"/>
      <c r="M1198" s="13"/>
      <c r="N1198" s="13" t="s">
        <v>453</v>
      </c>
    </row>
    <row r="1199" customFormat="false" ht="15" hidden="false" customHeight="false" outlineLevel="0" collapsed="false">
      <c r="A1199" s="13" t="s">
        <v>1417</v>
      </c>
      <c r="B1199" s="14" t="n">
        <v>44485</v>
      </c>
      <c r="C1199" s="14" t="n">
        <v>45692</v>
      </c>
      <c r="D1199" s="13" t="n">
        <v>31</v>
      </c>
      <c r="E1199" s="13" t="s">
        <v>136</v>
      </c>
      <c r="F1199" s="13" t="s">
        <v>164</v>
      </c>
      <c r="G1199" s="13" t="s">
        <v>138</v>
      </c>
      <c r="H1199" s="13" t="s">
        <v>149</v>
      </c>
      <c r="I1199" s="13" t="n">
        <v>2</v>
      </c>
      <c r="J1199" s="13" t="n">
        <v>3</v>
      </c>
      <c r="K1199" s="13" t="n">
        <v>98500</v>
      </c>
      <c r="L1199" s="13" t="s">
        <v>151</v>
      </c>
      <c r="M1199" s="13" t="s">
        <v>216</v>
      </c>
      <c r="N1199" s="13" t="s">
        <v>134</v>
      </c>
    </row>
    <row r="1200" customFormat="false" ht="15" hidden="false" customHeight="false" outlineLevel="0" collapsed="false">
      <c r="A1200" s="13" t="s">
        <v>1418</v>
      </c>
      <c r="B1200" s="14" t="n">
        <v>44491</v>
      </c>
      <c r="C1200" s="14" t="n">
        <v>45732</v>
      </c>
      <c r="D1200" s="13" t="n">
        <v>32</v>
      </c>
      <c r="E1200" s="13" t="s">
        <v>144</v>
      </c>
      <c r="F1200" s="13" t="s">
        <v>137</v>
      </c>
      <c r="G1200" s="13" t="s">
        <v>213</v>
      </c>
      <c r="H1200" s="13" t="s">
        <v>139</v>
      </c>
      <c r="I1200" s="13"/>
      <c r="J1200" s="13" t="n">
        <v>1</v>
      </c>
      <c r="K1200" s="13" t="n">
        <v>40500</v>
      </c>
      <c r="L1200" s="13" t="s">
        <v>151</v>
      </c>
      <c r="M1200" s="13" t="s">
        <v>216</v>
      </c>
      <c r="N1200" s="13" t="s">
        <v>142</v>
      </c>
    </row>
    <row r="1201" customFormat="false" ht="15" hidden="false" customHeight="false" outlineLevel="0" collapsed="false">
      <c r="A1201" s="13" t="s">
        <v>1419</v>
      </c>
      <c r="B1201" s="14" t="n">
        <v>44492</v>
      </c>
      <c r="C1201" s="14"/>
      <c r="D1201" s="13" t="n">
        <v>32</v>
      </c>
      <c r="E1201" s="13" t="s">
        <v>136</v>
      </c>
      <c r="F1201" s="13" t="s">
        <v>137</v>
      </c>
      <c r="G1201" s="13" t="s">
        <v>447</v>
      </c>
      <c r="H1201" s="13" t="s">
        <v>156</v>
      </c>
      <c r="I1201" s="13" t="n">
        <v>1</v>
      </c>
      <c r="J1201" s="13" t="n">
        <v>4</v>
      </c>
      <c r="K1201" s="13" t="n">
        <v>91500</v>
      </c>
      <c r="L1201" s="13"/>
      <c r="M1201" s="13"/>
      <c r="N1201" s="13" t="s">
        <v>142</v>
      </c>
    </row>
    <row r="1202" customFormat="false" ht="15" hidden="false" customHeight="false" outlineLevel="0" collapsed="false">
      <c r="A1202" s="13" t="s">
        <v>1420</v>
      </c>
      <c r="B1202" s="14" t="n">
        <v>44492</v>
      </c>
      <c r="C1202" s="14"/>
      <c r="D1202" s="13" t="n">
        <v>35</v>
      </c>
      <c r="E1202" s="13" t="s">
        <v>259</v>
      </c>
      <c r="F1202" s="13" t="s">
        <v>241</v>
      </c>
      <c r="G1202" s="13" t="s">
        <v>438</v>
      </c>
      <c r="H1202" s="13" t="s">
        <v>146</v>
      </c>
      <c r="I1202" s="13" t="n">
        <v>4</v>
      </c>
      <c r="J1202" s="13" t="n">
        <v>4</v>
      </c>
      <c r="K1202" s="13" t="n">
        <v>54500</v>
      </c>
      <c r="L1202" s="13"/>
      <c r="M1202" s="13"/>
      <c r="N1202" s="13" t="s">
        <v>142</v>
      </c>
    </row>
    <row r="1203" customFormat="false" ht="15" hidden="false" customHeight="false" outlineLevel="0" collapsed="false">
      <c r="A1203" s="13" t="s">
        <v>1421</v>
      </c>
      <c r="B1203" s="14" t="n">
        <v>44492</v>
      </c>
      <c r="C1203" s="14"/>
      <c r="D1203" s="13" t="n">
        <v>35</v>
      </c>
      <c r="E1203" s="13" t="s">
        <v>259</v>
      </c>
      <c r="F1203" s="13" t="s">
        <v>154</v>
      </c>
      <c r="G1203" s="13" t="s">
        <v>279</v>
      </c>
      <c r="H1203" s="13" t="s">
        <v>139</v>
      </c>
      <c r="I1203" s="13" t="n">
        <v>1</v>
      </c>
      <c r="J1203" s="13" t="n">
        <v>3</v>
      </c>
      <c r="K1203" s="13" t="n">
        <v>51000</v>
      </c>
      <c r="L1203" s="13"/>
      <c r="M1203" s="13"/>
      <c r="N1203" s="13" t="s">
        <v>142</v>
      </c>
    </row>
    <row r="1204" customFormat="false" ht="15" hidden="false" customHeight="false" outlineLevel="0" collapsed="false">
      <c r="A1204" s="13" t="s">
        <v>1422</v>
      </c>
      <c r="B1204" s="14" t="n">
        <v>44492</v>
      </c>
      <c r="C1204" s="14" t="n">
        <v>44997</v>
      </c>
      <c r="D1204" s="13" t="n">
        <v>28</v>
      </c>
      <c r="E1204" s="13" t="s">
        <v>136</v>
      </c>
      <c r="F1204" s="13" t="s">
        <v>231</v>
      </c>
      <c r="G1204" s="13" t="s">
        <v>138</v>
      </c>
      <c r="H1204" s="13" t="s">
        <v>411</v>
      </c>
      <c r="I1204" s="13" t="n">
        <v>2</v>
      </c>
      <c r="J1204" s="13" t="n">
        <v>2</v>
      </c>
      <c r="K1204" s="13" t="n">
        <v>64500</v>
      </c>
      <c r="L1204" s="13" t="s">
        <v>173</v>
      </c>
      <c r="M1204" s="13" t="s">
        <v>174</v>
      </c>
      <c r="N1204" s="13" t="s">
        <v>142</v>
      </c>
    </row>
    <row r="1205" customFormat="false" ht="15" hidden="false" customHeight="false" outlineLevel="0" collapsed="false">
      <c r="A1205" s="13" t="s">
        <v>1423</v>
      </c>
      <c r="B1205" s="14" t="n">
        <v>44495</v>
      </c>
      <c r="C1205" s="14"/>
      <c r="D1205" s="13" t="n">
        <v>41</v>
      </c>
      <c r="E1205" s="13" t="s">
        <v>136</v>
      </c>
      <c r="F1205" s="13" t="s">
        <v>154</v>
      </c>
      <c r="G1205" s="13" t="s">
        <v>132</v>
      </c>
      <c r="H1205" s="13" t="s">
        <v>146</v>
      </c>
      <c r="I1205" s="13" t="n">
        <v>3</v>
      </c>
      <c r="J1205" s="13" t="n">
        <v>4</v>
      </c>
      <c r="K1205" s="13" t="n">
        <v>60500</v>
      </c>
      <c r="L1205" s="13"/>
      <c r="M1205" s="13"/>
      <c r="N1205" s="13" t="s">
        <v>134</v>
      </c>
    </row>
    <row r="1206" customFormat="false" ht="15" hidden="false" customHeight="false" outlineLevel="0" collapsed="false">
      <c r="A1206" s="13" t="s">
        <v>1424</v>
      </c>
      <c r="B1206" s="14" t="n">
        <v>44495</v>
      </c>
      <c r="C1206" s="14" t="n">
        <v>45274</v>
      </c>
      <c r="D1206" s="13" t="n">
        <v>30</v>
      </c>
      <c r="E1206" s="13" t="s">
        <v>259</v>
      </c>
      <c r="F1206" s="13" t="s">
        <v>161</v>
      </c>
      <c r="G1206" s="13" t="s">
        <v>148</v>
      </c>
      <c r="H1206" s="13" t="s">
        <v>146</v>
      </c>
      <c r="I1206" s="13" t="n">
        <v>4</v>
      </c>
      <c r="J1206" s="13" t="n">
        <v>2</v>
      </c>
      <c r="K1206" s="13" t="n">
        <v>71500</v>
      </c>
      <c r="L1206" s="13" t="s">
        <v>173</v>
      </c>
      <c r="M1206" s="13" t="s">
        <v>254</v>
      </c>
      <c r="N1206" s="13" t="s">
        <v>255</v>
      </c>
    </row>
    <row r="1207" customFormat="false" ht="15" hidden="false" customHeight="false" outlineLevel="0" collapsed="false">
      <c r="A1207" s="13" t="s">
        <v>1425</v>
      </c>
      <c r="B1207" s="14" t="n">
        <v>44495</v>
      </c>
      <c r="C1207" s="14" t="n">
        <v>45342</v>
      </c>
      <c r="D1207" s="13" t="n">
        <v>27</v>
      </c>
      <c r="E1207" s="13" t="s">
        <v>144</v>
      </c>
      <c r="F1207" s="13" t="s">
        <v>164</v>
      </c>
      <c r="G1207" s="13" t="s">
        <v>132</v>
      </c>
      <c r="H1207" s="13" t="s">
        <v>156</v>
      </c>
      <c r="I1207" s="13" t="n">
        <v>3</v>
      </c>
      <c r="J1207" s="13" t="n">
        <v>3</v>
      </c>
      <c r="K1207" s="13" t="n">
        <v>93000</v>
      </c>
      <c r="L1207" s="13" t="s">
        <v>151</v>
      </c>
      <c r="M1207" s="13" t="s">
        <v>152</v>
      </c>
      <c r="N1207" s="13" t="s">
        <v>134</v>
      </c>
    </row>
    <row r="1208" customFormat="false" ht="15" hidden="false" customHeight="false" outlineLevel="0" collapsed="false">
      <c r="A1208" s="13" t="s">
        <v>1426</v>
      </c>
      <c r="B1208" s="14" t="n">
        <v>44497</v>
      </c>
      <c r="C1208" s="14" t="n">
        <v>44608</v>
      </c>
      <c r="D1208" s="13" t="n">
        <v>27</v>
      </c>
      <c r="E1208" s="13" t="s">
        <v>190</v>
      </c>
      <c r="F1208" s="13" t="s">
        <v>137</v>
      </c>
      <c r="G1208" s="13" t="s">
        <v>191</v>
      </c>
      <c r="H1208" s="13" t="s">
        <v>146</v>
      </c>
      <c r="I1208" s="13" t="n">
        <v>1</v>
      </c>
      <c r="J1208" s="13" t="n">
        <v>3</v>
      </c>
      <c r="K1208" s="13" t="n">
        <v>62500</v>
      </c>
      <c r="L1208" s="13" t="s">
        <v>151</v>
      </c>
      <c r="M1208" s="13" t="s">
        <v>201</v>
      </c>
      <c r="N1208" s="13" t="s">
        <v>134</v>
      </c>
    </row>
    <row r="1209" customFormat="false" ht="15" hidden="false" customHeight="false" outlineLevel="0" collapsed="false">
      <c r="A1209" s="13" t="s">
        <v>1427</v>
      </c>
      <c r="B1209" s="14" t="n">
        <v>44498</v>
      </c>
      <c r="C1209" s="14" t="n">
        <v>44959</v>
      </c>
      <c r="D1209" s="13" t="n">
        <v>34</v>
      </c>
      <c r="E1209" s="13" t="s">
        <v>136</v>
      </c>
      <c r="F1209" s="13" t="s">
        <v>168</v>
      </c>
      <c r="G1209" s="13" t="s">
        <v>447</v>
      </c>
      <c r="H1209" s="13" t="s">
        <v>139</v>
      </c>
      <c r="I1209" s="13" t="n">
        <v>3</v>
      </c>
      <c r="J1209" s="13" t="n">
        <v>2</v>
      </c>
      <c r="K1209" s="13" t="n">
        <v>44500</v>
      </c>
      <c r="L1209" s="13" t="s">
        <v>151</v>
      </c>
      <c r="M1209" s="13" t="s">
        <v>201</v>
      </c>
      <c r="N1209" s="13" t="s">
        <v>142</v>
      </c>
    </row>
    <row r="1210" customFormat="false" ht="15" hidden="false" customHeight="false" outlineLevel="0" collapsed="false">
      <c r="A1210" s="13" t="s">
        <v>1428</v>
      </c>
      <c r="B1210" s="14" t="n">
        <v>44501</v>
      </c>
      <c r="C1210" s="14"/>
      <c r="D1210" s="13" t="n">
        <v>34</v>
      </c>
      <c r="E1210" s="13" t="s">
        <v>144</v>
      </c>
      <c r="F1210" s="13" t="s">
        <v>161</v>
      </c>
      <c r="G1210" s="13" t="s">
        <v>213</v>
      </c>
      <c r="H1210" s="13" t="s">
        <v>156</v>
      </c>
      <c r="I1210" s="13" t="n">
        <v>3</v>
      </c>
      <c r="J1210" s="13"/>
      <c r="K1210" s="13" t="n">
        <v>93500</v>
      </c>
      <c r="L1210" s="13"/>
      <c r="M1210" s="13"/>
      <c r="N1210" s="13" t="s">
        <v>142</v>
      </c>
    </row>
    <row r="1211" customFormat="false" ht="15" hidden="false" customHeight="false" outlineLevel="0" collapsed="false">
      <c r="A1211" s="13" t="s">
        <v>1429</v>
      </c>
      <c r="B1211" s="14" t="n">
        <v>44514</v>
      </c>
      <c r="C1211" s="14"/>
      <c r="D1211" s="13" t="n">
        <v>35</v>
      </c>
      <c r="E1211" s="13" t="s">
        <v>136</v>
      </c>
      <c r="F1211" s="13" t="s">
        <v>168</v>
      </c>
      <c r="G1211" s="13" t="s">
        <v>191</v>
      </c>
      <c r="H1211" s="13" t="s">
        <v>192</v>
      </c>
      <c r="I1211" s="13" t="n">
        <v>3</v>
      </c>
      <c r="J1211" s="13" t="n">
        <v>3</v>
      </c>
      <c r="K1211" s="13" t="n">
        <v>201500</v>
      </c>
      <c r="L1211" s="13"/>
      <c r="M1211" s="13"/>
      <c r="N1211" s="13" t="s">
        <v>134</v>
      </c>
    </row>
    <row r="1212" customFormat="false" ht="15" hidden="false" customHeight="false" outlineLevel="0" collapsed="false">
      <c r="A1212" s="13" t="s">
        <v>1430</v>
      </c>
      <c r="B1212" s="14" t="n">
        <v>44518</v>
      </c>
      <c r="C1212" s="14" t="n">
        <v>44659</v>
      </c>
      <c r="D1212" s="13" t="n">
        <v>21</v>
      </c>
      <c r="E1212" s="13" t="s">
        <v>190</v>
      </c>
      <c r="F1212" s="13" t="s">
        <v>137</v>
      </c>
      <c r="G1212" s="13" t="s">
        <v>235</v>
      </c>
      <c r="H1212" s="13" t="s">
        <v>178</v>
      </c>
      <c r="I1212" s="13" t="n">
        <v>5</v>
      </c>
      <c r="J1212" s="13" t="n">
        <v>2</v>
      </c>
      <c r="K1212" s="13" t="n">
        <v>139000</v>
      </c>
      <c r="L1212" s="13" t="s">
        <v>151</v>
      </c>
      <c r="M1212" s="13" t="s">
        <v>216</v>
      </c>
      <c r="N1212" s="13" t="s">
        <v>134</v>
      </c>
    </row>
    <row r="1213" customFormat="false" ht="15" hidden="false" customHeight="false" outlineLevel="0" collapsed="false">
      <c r="A1213" s="13" t="s">
        <v>1431</v>
      </c>
      <c r="B1213" s="14" t="n">
        <v>44519</v>
      </c>
      <c r="C1213" s="14" t="n">
        <v>45954</v>
      </c>
      <c r="D1213" s="13" t="n">
        <v>34</v>
      </c>
      <c r="E1213" s="13" t="s">
        <v>186</v>
      </c>
      <c r="F1213" s="13" t="s">
        <v>145</v>
      </c>
      <c r="G1213" s="13" t="s">
        <v>155</v>
      </c>
      <c r="H1213" s="13" t="s">
        <v>146</v>
      </c>
      <c r="I1213" s="13" t="n">
        <v>2</v>
      </c>
      <c r="J1213" s="13" t="n">
        <v>1</v>
      </c>
      <c r="K1213" s="13" t="n">
        <v>55000</v>
      </c>
      <c r="L1213" s="13" t="s">
        <v>173</v>
      </c>
      <c r="M1213" s="13" t="s">
        <v>273</v>
      </c>
      <c r="N1213" s="13" t="s">
        <v>142</v>
      </c>
    </row>
    <row r="1214" customFormat="false" ht="15" hidden="false" customHeight="false" outlineLevel="0" collapsed="false">
      <c r="A1214" s="13" t="s">
        <v>1432</v>
      </c>
      <c r="B1214" s="14" t="n">
        <v>44519</v>
      </c>
      <c r="C1214" s="14"/>
      <c r="D1214" s="13" t="n">
        <v>33</v>
      </c>
      <c r="E1214" s="13" t="s">
        <v>144</v>
      </c>
      <c r="F1214" s="13" t="s">
        <v>164</v>
      </c>
      <c r="G1214" s="13" t="s">
        <v>155</v>
      </c>
      <c r="H1214" s="13" t="s">
        <v>149</v>
      </c>
      <c r="I1214" s="13" t="n">
        <v>3</v>
      </c>
      <c r="J1214" s="13" t="n">
        <v>4</v>
      </c>
      <c r="K1214" s="13" t="n">
        <v>115000</v>
      </c>
      <c r="L1214" s="13"/>
      <c r="M1214" s="13"/>
      <c r="N1214" s="13" t="s">
        <v>142</v>
      </c>
    </row>
    <row r="1215" customFormat="false" ht="15" hidden="false" customHeight="false" outlineLevel="0" collapsed="false">
      <c r="A1215" s="13" t="s">
        <v>1433</v>
      </c>
      <c r="B1215" s="14" t="n">
        <v>44519</v>
      </c>
      <c r="C1215" s="14" t="n">
        <v>45266</v>
      </c>
      <c r="D1215" s="13" t="n">
        <v>24</v>
      </c>
      <c r="E1215" s="13" t="s">
        <v>136</v>
      </c>
      <c r="F1215" s="13" t="s">
        <v>145</v>
      </c>
      <c r="G1215" s="13" t="s">
        <v>132</v>
      </c>
      <c r="H1215" s="13" t="s">
        <v>139</v>
      </c>
      <c r="I1215" s="13" t="n">
        <v>5</v>
      </c>
      <c r="J1215" s="13" t="n">
        <v>1</v>
      </c>
      <c r="K1215" s="13" t="n">
        <v>40500</v>
      </c>
      <c r="L1215" s="13" t="s">
        <v>272</v>
      </c>
      <c r="M1215" s="13" t="s">
        <v>254</v>
      </c>
      <c r="N1215" s="13" t="s">
        <v>214</v>
      </c>
    </row>
    <row r="1216" customFormat="false" ht="15" hidden="false" customHeight="false" outlineLevel="0" collapsed="false">
      <c r="A1216" s="13" t="s">
        <v>1434</v>
      </c>
      <c r="B1216" s="14" t="n">
        <v>44520</v>
      </c>
      <c r="C1216" s="14" t="n">
        <v>44725</v>
      </c>
      <c r="D1216" s="13" t="n">
        <v>26</v>
      </c>
      <c r="E1216" s="13" t="s">
        <v>259</v>
      </c>
      <c r="F1216" s="13" t="s">
        <v>154</v>
      </c>
      <c r="G1216" s="13" t="s">
        <v>213</v>
      </c>
      <c r="H1216" s="13" t="s">
        <v>149</v>
      </c>
      <c r="I1216" s="13" t="n">
        <v>3</v>
      </c>
      <c r="J1216" s="13" t="n">
        <v>1</v>
      </c>
      <c r="K1216" s="13" t="n">
        <v>109500</v>
      </c>
      <c r="L1216" s="13" t="s">
        <v>151</v>
      </c>
      <c r="M1216" s="13" t="s">
        <v>152</v>
      </c>
      <c r="N1216" s="13" t="s">
        <v>142</v>
      </c>
    </row>
    <row r="1217" customFormat="false" ht="15" hidden="false" customHeight="false" outlineLevel="0" collapsed="false">
      <c r="A1217" s="13" t="s">
        <v>1435</v>
      </c>
      <c r="B1217" s="14" t="n">
        <v>44526</v>
      </c>
      <c r="C1217" s="14"/>
      <c r="D1217" s="13" t="n">
        <v>37</v>
      </c>
      <c r="E1217" s="13" t="s">
        <v>136</v>
      </c>
      <c r="F1217" s="13" t="s">
        <v>137</v>
      </c>
      <c r="G1217" s="13" t="s">
        <v>155</v>
      </c>
      <c r="H1217" s="13" t="s">
        <v>139</v>
      </c>
      <c r="I1217" s="13" t="n">
        <v>3</v>
      </c>
      <c r="J1217" s="13" t="n">
        <v>3</v>
      </c>
      <c r="K1217" s="13" t="n">
        <v>43500</v>
      </c>
      <c r="L1217" s="13"/>
      <c r="M1217" s="13"/>
      <c r="N1217" s="13" t="s">
        <v>214</v>
      </c>
    </row>
    <row r="1218" customFormat="false" ht="15" hidden="false" customHeight="false" outlineLevel="0" collapsed="false">
      <c r="A1218" s="13" t="s">
        <v>1436</v>
      </c>
      <c r="B1218" s="14" t="n">
        <v>44537</v>
      </c>
      <c r="C1218" s="14"/>
      <c r="D1218" s="13" t="n">
        <v>39</v>
      </c>
      <c r="E1218" s="13" t="s">
        <v>144</v>
      </c>
      <c r="F1218" s="13" t="s">
        <v>170</v>
      </c>
      <c r="G1218" s="13" t="s">
        <v>138</v>
      </c>
      <c r="H1218" s="13" t="s">
        <v>139</v>
      </c>
      <c r="I1218" s="13" t="n">
        <v>4</v>
      </c>
      <c r="J1218" s="13" t="n">
        <v>1</v>
      </c>
      <c r="K1218" s="13" t="n">
        <v>35000</v>
      </c>
      <c r="L1218" s="13"/>
      <c r="M1218" s="13"/>
      <c r="N1218" s="13" t="s">
        <v>134</v>
      </c>
    </row>
    <row r="1219" customFormat="false" ht="15" hidden="false" customHeight="false" outlineLevel="0" collapsed="false">
      <c r="A1219" s="13" t="s">
        <v>1437</v>
      </c>
      <c r="B1219" s="14" t="n">
        <v>44538</v>
      </c>
      <c r="C1219" s="14" t="n">
        <v>44596</v>
      </c>
      <c r="D1219" s="13" t="n">
        <v>24</v>
      </c>
      <c r="E1219" s="13" t="s">
        <v>144</v>
      </c>
      <c r="F1219" s="13" t="s">
        <v>229</v>
      </c>
      <c r="G1219" s="13" t="s">
        <v>132</v>
      </c>
      <c r="H1219" s="13" t="s">
        <v>156</v>
      </c>
      <c r="I1219" s="13" t="n">
        <v>3</v>
      </c>
      <c r="J1219" s="13" t="n">
        <v>3</v>
      </c>
      <c r="K1219" s="13" t="n">
        <v>87500</v>
      </c>
      <c r="L1219" s="13" t="s">
        <v>151</v>
      </c>
      <c r="M1219" s="13" t="s">
        <v>206</v>
      </c>
      <c r="N1219" s="13" t="s">
        <v>142</v>
      </c>
    </row>
    <row r="1220" customFormat="false" ht="15" hidden="false" customHeight="false" outlineLevel="0" collapsed="false">
      <c r="A1220" s="13" t="s">
        <v>1438</v>
      </c>
      <c r="B1220" s="14" t="n">
        <v>44539</v>
      </c>
      <c r="C1220" s="14" t="n">
        <v>44968</v>
      </c>
      <c r="D1220" s="13" t="n">
        <v>22</v>
      </c>
      <c r="E1220" s="13" t="s">
        <v>136</v>
      </c>
      <c r="F1220" s="13" t="s">
        <v>145</v>
      </c>
      <c r="G1220" s="13" t="s">
        <v>184</v>
      </c>
      <c r="H1220" s="13" t="s">
        <v>146</v>
      </c>
      <c r="I1220" s="13" t="n">
        <v>5</v>
      </c>
      <c r="J1220" s="13" t="n">
        <v>3</v>
      </c>
      <c r="K1220" s="13" t="n">
        <v>56000</v>
      </c>
      <c r="L1220" s="13" t="s">
        <v>151</v>
      </c>
      <c r="M1220" s="13" t="s">
        <v>159</v>
      </c>
      <c r="N1220" s="13" t="s">
        <v>134</v>
      </c>
    </row>
    <row r="1221" customFormat="false" ht="15" hidden="false" customHeight="false" outlineLevel="0" collapsed="false">
      <c r="A1221" s="13" t="s">
        <v>1439</v>
      </c>
      <c r="B1221" s="14" t="n">
        <v>44540</v>
      </c>
      <c r="C1221" s="14" t="n">
        <v>45969</v>
      </c>
      <c r="D1221" s="13" t="n">
        <v>32</v>
      </c>
      <c r="E1221" s="13" t="s">
        <v>163</v>
      </c>
      <c r="F1221" s="13" t="s">
        <v>168</v>
      </c>
      <c r="G1221" s="13" t="s">
        <v>148</v>
      </c>
      <c r="H1221" s="13" t="s">
        <v>146</v>
      </c>
      <c r="I1221" s="13" t="n">
        <v>4</v>
      </c>
      <c r="J1221" s="13" t="n">
        <v>3</v>
      </c>
      <c r="K1221" s="13" t="n">
        <v>58500</v>
      </c>
      <c r="L1221" s="13" t="s">
        <v>151</v>
      </c>
      <c r="M1221" s="13"/>
      <c r="N1221" s="13" t="s">
        <v>142</v>
      </c>
    </row>
    <row r="1222" customFormat="false" ht="15" hidden="false" customHeight="false" outlineLevel="0" collapsed="false">
      <c r="A1222" s="13" t="s">
        <v>1440</v>
      </c>
      <c r="B1222" s="14" t="n">
        <v>44540</v>
      </c>
      <c r="C1222" s="14"/>
      <c r="D1222" s="13" t="n">
        <v>33</v>
      </c>
      <c r="E1222" s="13" t="s">
        <v>136</v>
      </c>
      <c r="F1222" s="13" t="s">
        <v>137</v>
      </c>
      <c r="G1222" s="13" t="s">
        <v>191</v>
      </c>
      <c r="H1222" s="13" t="s">
        <v>139</v>
      </c>
      <c r="I1222" s="13" t="n">
        <v>4</v>
      </c>
      <c r="J1222" s="13" t="n">
        <v>3</v>
      </c>
      <c r="K1222" s="13" t="n">
        <v>41000</v>
      </c>
      <c r="L1222" s="13"/>
      <c r="M1222" s="13"/>
      <c r="N1222" s="13" t="s">
        <v>142</v>
      </c>
    </row>
    <row r="1223" customFormat="false" ht="15" hidden="false" customHeight="false" outlineLevel="0" collapsed="false">
      <c r="A1223" s="13" t="s">
        <v>1441</v>
      </c>
      <c r="B1223" s="14" t="n">
        <v>44542</v>
      </c>
      <c r="C1223" s="14" t="n">
        <v>44901</v>
      </c>
      <c r="D1223" s="13" t="n">
        <v>27</v>
      </c>
      <c r="E1223" s="13" t="s">
        <v>144</v>
      </c>
      <c r="F1223" s="13" t="s">
        <v>131</v>
      </c>
      <c r="G1223" s="13" t="s">
        <v>297</v>
      </c>
      <c r="H1223" s="13" t="s">
        <v>139</v>
      </c>
      <c r="I1223" s="13" t="n">
        <v>3</v>
      </c>
      <c r="J1223" s="13" t="n">
        <v>2</v>
      </c>
      <c r="K1223" s="13" t="n">
        <v>42000</v>
      </c>
      <c r="L1223" s="13" t="s">
        <v>151</v>
      </c>
      <c r="M1223" s="13" t="s">
        <v>201</v>
      </c>
      <c r="N1223" s="13" t="s">
        <v>214</v>
      </c>
    </row>
    <row r="1224" customFormat="false" ht="15" hidden="false" customHeight="false" outlineLevel="0" collapsed="false">
      <c r="A1224" s="13" t="s">
        <v>1442</v>
      </c>
      <c r="B1224" s="14" t="n">
        <v>44549</v>
      </c>
      <c r="C1224" s="14"/>
      <c r="D1224" s="13" t="n">
        <v>28</v>
      </c>
      <c r="E1224" s="13" t="s">
        <v>136</v>
      </c>
      <c r="F1224" s="13" t="s">
        <v>168</v>
      </c>
      <c r="G1224" s="13" t="s">
        <v>447</v>
      </c>
      <c r="H1224" s="13" t="s">
        <v>139</v>
      </c>
      <c r="I1224" s="13" t="n">
        <v>4</v>
      </c>
      <c r="J1224" s="13" t="n">
        <v>4</v>
      </c>
      <c r="K1224" s="13" t="n">
        <v>39000</v>
      </c>
      <c r="L1224" s="13"/>
      <c r="M1224" s="13"/>
      <c r="N1224" s="13" t="s">
        <v>142</v>
      </c>
    </row>
    <row r="1225" customFormat="false" ht="15" hidden="false" customHeight="false" outlineLevel="0" collapsed="false">
      <c r="A1225" s="13" t="s">
        <v>1443</v>
      </c>
      <c r="B1225" s="14" t="n">
        <v>44549</v>
      </c>
      <c r="C1225" s="14"/>
      <c r="D1225" s="13" t="n">
        <v>25</v>
      </c>
      <c r="E1225" s="13" t="s">
        <v>130</v>
      </c>
      <c r="F1225" s="13" t="s">
        <v>239</v>
      </c>
      <c r="G1225" s="13" t="s">
        <v>148</v>
      </c>
      <c r="H1225" s="13" t="s">
        <v>192</v>
      </c>
      <c r="I1225" s="13" t="n">
        <v>3</v>
      </c>
      <c r="J1225" s="13" t="n">
        <v>3</v>
      </c>
      <c r="K1225" s="13" t="n">
        <v>190000</v>
      </c>
      <c r="L1225" s="13"/>
      <c r="M1225" s="13"/>
      <c r="N1225" s="13" t="s">
        <v>134</v>
      </c>
    </row>
    <row r="1226" customFormat="false" ht="15" hidden="false" customHeight="false" outlineLevel="0" collapsed="false">
      <c r="A1226" s="13" t="s">
        <v>1444</v>
      </c>
      <c r="B1226" s="14" t="n">
        <v>44559</v>
      </c>
      <c r="C1226" s="14" t="n">
        <v>45503</v>
      </c>
      <c r="D1226" s="13" t="n">
        <v>32</v>
      </c>
      <c r="E1226" s="13" t="s">
        <v>144</v>
      </c>
      <c r="F1226" s="13" t="s">
        <v>229</v>
      </c>
      <c r="G1226" s="13" t="s">
        <v>132</v>
      </c>
      <c r="H1226" s="13" t="s">
        <v>139</v>
      </c>
      <c r="I1226" s="13" t="n">
        <v>4</v>
      </c>
      <c r="J1226" s="13" t="n">
        <v>3</v>
      </c>
      <c r="K1226" s="13" t="n">
        <v>43500</v>
      </c>
      <c r="L1226" s="13" t="s">
        <v>151</v>
      </c>
      <c r="M1226" s="13" t="s">
        <v>201</v>
      </c>
      <c r="N1226" s="13" t="s">
        <v>142</v>
      </c>
    </row>
    <row r="1227" customFormat="false" ht="15" hidden="false" customHeight="false" outlineLevel="0" collapsed="false">
      <c r="A1227" s="13" t="s">
        <v>1445</v>
      </c>
      <c r="B1227" s="14" t="n">
        <v>44559</v>
      </c>
      <c r="C1227" s="14"/>
      <c r="D1227" s="13" t="n">
        <v>30</v>
      </c>
      <c r="E1227" s="13" t="s">
        <v>144</v>
      </c>
      <c r="F1227" s="13" t="s">
        <v>239</v>
      </c>
      <c r="G1227" s="13" t="s">
        <v>191</v>
      </c>
      <c r="H1227" s="13" t="s">
        <v>192</v>
      </c>
      <c r="I1227" s="13" t="n">
        <v>3</v>
      </c>
      <c r="J1227" s="13" t="n">
        <v>3</v>
      </c>
      <c r="K1227" s="13" t="n">
        <v>161500</v>
      </c>
      <c r="L1227" s="13"/>
      <c r="M1227" s="13"/>
      <c r="N1227" s="13" t="s">
        <v>142</v>
      </c>
    </row>
    <row r="1228" customFormat="false" ht="15" hidden="false" customHeight="false" outlineLevel="0" collapsed="false">
      <c r="A1228" s="13" t="s">
        <v>1446</v>
      </c>
      <c r="B1228" s="14" t="n">
        <v>44563</v>
      </c>
      <c r="C1228" s="14"/>
      <c r="D1228" s="13" t="n">
        <v>25</v>
      </c>
      <c r="E1228" s="13" t="s">
        <v>136</v>
      </c>
      <c r="F1228" s="13" t="s">
        <v>161</v>
      </c>
      <c r="G1228" s="13" t="s">
        <v>148</v>
      </c>
      <c r="H1228" s="13" t="s">
        <v>139</v>
      </c>
      <c r="I1228" s="13" t="n">
        <v>3</v>
      </c>
      <c r="J1228" s="13" t="n">
        <v>3</v>
      </c>
      <c r="K1228" s="13" t="n">
        <v>35000</v>
      </c>
      <c r="L1228" s="13"/>
      <c r="M1228" s="13"/>
      <c r="N1228" s="13" t="s">
        <v>142</v>
      </c>
    </row>
    <row r="1229" customFormat="false" ht="15" hidden="false" customHeight="false" outlineLevel="0" collapsed="false">
      <c r="A1229" s="13" t="s">
        <v>1447</v>
      </c>
      <c r="B1229" s="14" t="n">
        <v>44564</v>
      </c>
      <c r="C1229" s="14" t="n">
        <v>45533</v>
      </c>
      <c r="D1229" s="13" t="n">
        <v>27</v>
      </c>
      <c r="E1229" s="13" t="s">
        <v>144</v>
      </c>
      <c r="F1229" s="13" t="s">
        <v>131</v>
      </c>
      <c r="G1229" s="13" t="s">
        <v>138</v>
      </c>
      <c r="H1229" s="13" t="s">
        <v>139</v>
      </c>
      <c r="I1229" s="13" t="n">
        <v>3</v>
      </c>
      <c r="J1229" s="13" t="n">
        <v>3</v>
      </c>
      <c r="K1229" s="13" t="n">
        <v>46500</v>
      </c>
      <c r="L1229" s="13" t="s">
        <v>173</v>
      </c>
      <c r="M1229" s="13" t="s">
        <v>273</v>
      </c>
      <c r="N1229" s="13" t="s">
        <v>134</v>
      </c>
    </row>
    <row r="1230" customFormat="false" ht="15" hidden="false" customHeight="false" outlineLevel="0" collapsed="false">
      <c r="A1230" s="13" t="s">
        <v>1448</v>
      </c>
      <c r="B1230" s="14" t="n">
        <v>44566</v>
      </c>
      <c r="C1230" s="14"/>
      <c r="D1230" s="13" t="n">
        <v>33</v>
      </c>
      <c r="E1230" s="13" t="s">
        <v>136</v>
      </c>
      <c r="F1230" s="13" t="s">
        <v>164</v>
      </c>
      <c r="G1230" s="13" t="s">
        <v>132</v>
      </c>
      <c r="H1230" s="13" t="s">
        <v>149</v>
      </c>
      <c r="I1230" s="13" t="n">
        <v>4</v>
      </c>
      <c r="J1230" s="13" t="n">
        <v>3</v>
      </c>
      <c r="K1230" s="13" t="n">
        <v>96000</v>
      </c>
      <c r="L1230" s="13"/>
      <c r="M1230" s="13"/>
      <c r="N1230" s="13" t="s">
        <v>142</v>
      </c>
    </row>
    <row r="1231" customFormat="false" ht="15" hidden="false" customHeight="false" outlineLevel="0" collapsed="false">
      <c r="A1231" s="13" t="s">
        <v>1449</v>
      </c>
      <c r="B1231" s="14" t="n">
        <v>44568</v>
      </c>
      <c r="C1231" s="14"/>
      <c r="D1231" s="13" t="n">
        <v>30</v>
      </c>
      <c r="E1231" s="13" t="s">
        <v>136</v>
      </c>
      <c r="F1231" s="13" t="s">
        <v>231</v>
      </c>
      <c r="G1231" s="13" t="s">
        <v>138</v>
      </c>
      <c r="H1231" s="13" t="s">
        <v>156</v>
      </c>
      <c r="I1231" s="13" t="n">
        <v>3</v>
      </c>
      <c r="J1231" s="13" t="n">
        <v>2</v>
      </c>
      <c r="K1231" s="13" t="n">
        <v>92000</v>
      </c>
      <c r="L1231" s="13"/>
      <c r="M1231" s="13"/>
      <c r="N1231" s="13" t="s">
        <v>142</v>
      </c>
    </row>
    <row r="1232" customFormat="false" ht="15" hidden="false" customHeight="false" outlineLevel="0" collapsed="false">
      <c r="A1232" s="13" t="s">
        <v>1450</v>
      </c>
      <c r="B1232" s="14" t="n">
        <v>44577</v>
      </c>
      <c r="C1232" s="14" t="n">
        <v>44758</v>
      </c>
      <c r="D1232" s="13" t="n">
        <v>37</v>
      </c>
      <c r="E1232" s="13" t="s">
        <v>136</v>
      </c>
      <c r="F1232" s="13" t="s">
        <v>241</v>
      </c>
      <c r="G1232" s="13" t="s">
        <v>155</v>
      </c>
      <c r="H1232" s="13" t="s">
        <v>219</v>
      </c>
      <c r="I1232" s="13" t="n">
        <v>4</v>
      </c>
      <c r="J1232" s="13" t="n">
        <v>1</v>
      </c>
      <c r="K1232" s="13" t="n">
        <v>39000</v>
      </c>
      <c r="L1232" s="13" t="s">
        <v>151</v>
      </c>
      <c r="M1232" s="13" t="s">
        <v>152</v>
      </c>
      <c r="N1232" s="13" t="s">
        <v>134</v>
      </c>
    </row>
    <row r="1233" customFormat="false" ht="15" hidden="false" customHeight="false" outlineLevel="0" collapsed="false">
      <c r="A1233" s="13" t="s">
        <v>1451</v>
      </c>
      <c r="B1233" s="14" t="n">
        <v>44577</v>
      </c>
      <c r="C1233" s="14" t="n">
        <v>45246</v>
      </c>
      <c r="D1233" s="13" t="n">
        <v>30</v>
      </c>
      <c r="E1233" s="13" t="s">
        <v>144</v>
      </c>
      <c r="F1233" s="13" t="s">
        <v>145</v>
      </c>
      <c r="G1233" s="13" t="s">
        <v>171</v>
      </c>
      <c r="H1233" s="13" t="s">
        <v>146</v>
      </c>
      <c r="I1233" s="13" t="n">
        <v>5</v>
      </c>
      <c r="J1233" s="13" t="n">
        <v>4</v>
      </c>
      <c r="K1233" s="13" t="n">
        <v>70500</v>
      </c>
      <c r="L1233" s="13" t="s">
        <v>151</v>
      </c>
      <c r="M1233" s="13" t="s">
        <v>201</v>
      </c>
      <c r="N1233" s="13" t="s">
        <v>134</v>
      </c>
    </row>
    <row r="1234" customFormat="false" ht="15" hidden="false" customHeight="false" outlineLevel="0" collapsed="false">
      <c r="A1234" s="13" t="s">
        <v>1452</v>
      </c>
      <c r="B1234" s="14" t="n">
        <v>44578</v>
      </c>
      <c r="C1234" s="14"/>
      <c r="D1234" s="13" t="n">
        <v>32</v>
      </c>
      <c r="E1234" s="13" t="s">
        <v>190</v>
      </c>
      <c r="F1234" s="13" t="s">
        <v>161</v>
      </c>
      <c r="G1234" s="13" t="s">
        <v>191</v>
      </c>
      <c r="H1234" s="13" t="s">
        <v>139</v>
      </c>
      <c r="I1234" s="13" t="n">
        <v>5</v>
      </c>
      <c r="J1234" s="13" t="n">
        <v>2</v>
      </c>
      <c r="K1234" s="13" t="n">
        <v>43000</v>
      </c>
      <c r="L1234" s="13"/>
      <c r="M1234" s="13"/>
      <c r="N1234" s="13" t="s">
        <v>142</v>
      </c>
    </row>
    <row r="1235" customFormat="false" ht="15" hidden="false" customHeight="false" outlineLevel="0" collapsed="false">
      <c r="A1235" s="13" t="s">
        <v>1453</v>
      </c>
      <c r="B1235" s="14" t="n">
        <v>44579</v>
      </c>
      <c r="C1235" s="14" t="n">
        <v>44829</v>
      </c>
      <c r="D1235" s="13" t="n">
        <v>35</v>
      </c>
      <c r="E1235" s="13" t="s">
        <v>163</v>
      </c>
      <c r="F1235" s="13" t="s">
        <v>231</v>
      </c>
      <c r="G1235" s="13" t="s">
        <v>132</v>
      </c>
      <c r="H1235" s="13" t="s">
        <v>146</v>
      </c>
      <c r="I1235" s="13" t="n">
        <v>3</v>
      </c>
      <c r="J1235" s="13" t="n">
        <v>1</v>
      </c>
      <c r="K1235" s="13" t="n">
        <v>58000</v>
      </c>
      <c r="L1235" s="13" t="s">
        <v>151</v>
      </c>
      <c r="M1235" s="13" t="s">
        <v>159</v>
      </c>
      <c r="N1235" s="13" t="s">
        <v>134</v>
      </c>
    </row>
    <row r="1236" customFormat="false" ht="15" hidden="false" customHeight="false" outlineLevel="0" collapsed="false">
      <c r="A1236" s="13" t="s">
        <v>1454</v>
      </c>
      <c r="B1236" s="14" t="n">
        <v>44581</v>
      </c>
      <c r="C1236" s="14"/>
      <c r="D1236" s="13" t="n">
        <v>35</v>
      </c>
      <c r="E1236" s="13" t="s">
        <v>144</v>
      </c>
      <c r="F1236" s="13" t="s">
        <v>170</v>
      </c>
      <c r="G1236" s="13" t="s">
        <v>447</v>
      </c>
      <c r="H1236" s="13" t="s">
        <v>146</v>
      </c>
      <c r="I1236" s="13" t="n">
        <v>2</v>
      </c>
      <c r="J1236" s="13" t="n">
        <v>4</v>
      </c>
      <c r="K1236" s="13" t="n">
        <v>53500</v>
      </c>
      <c r="L1236" s="13"/>
      <c r="M1236" s="13"/>
      <c r="N1236" s="13" t="s">
        <v>142</v>
      </c>
    </row>
    <row r="1237" customFormat="false" ht="15" hidden="false" customHeight="false" outlineLevel="0" collapsed="false">
      <c r="A1237" s="13" t="s">
        <v>1455</v>
      </c>
      <c r="B1237" s="14" t="n">
        <v>44583</v>
      </c>
      <c r="C1237" s="14"/>
      <c r="D1237" s="13" t="n">
        <v>37</v>
      </c>
      <c r="E1237" s="13" t="s">
        <v>130</v>
      </c>
      <c r="F1237" s="13" t="s">
        <v>241</v>
      </c>
      <c r="G1237" s="13" t="s">
        <v>132</v>
      </c>
      <c r="H1237" s="13" t="s">
        <v>156</v>
      </c>
      <c r="I1237" s="13" t="n">
        <v>4</v>
      </c>
      <c r="J1237" s="13" t="n">
        <v>4</v>
      </c>
      <c r="K1237" s="13" t="n">
        <v>103500</v>
      </c>
      <c r="L1237" s="13"/>
      <c r="M1237" s="13"/>
      <c r="N1237" s="13" t="s">
        <v>134</v>
      </c>
    </row>
    <row r="1238" customFormat="false" ht="15" hidden="false" customHeight="false" outlineLevel="0" collapsed="false">
      <c r="A1238" s="13" t="s">
        <v>1456</v>
      </c>
      <c r="B1238" s="14" t="n">
        <v>44585</v>
      </c>
      <c r="C1238" s="14"/>
      <c r="D1238" s="13" t="n">
        <v>33</v>
      </c>
      <c r="E1238" s="13" t="s">
        <v>136</v>
      </c>
      <c r="F1238" s="13" t="s">
        <v>241</v>
      </c>
      <c r="G1238" s="13" t="s">
        <v>213</v>
      </c>
      <c r="H1238" s="13" t="s">
        <v>149</v>
      </c>
      <c r="I1238" s="13" t="n">
        <v>4</v>
      </c>
      <c r="J1238" s="13" t="n">
        <v>4</v>
      </c>
      <c r="K1238" s="13" t="n">
        <v>102500</v>
      </c>
      <c r="L1238" s="13"/>
      <c r="M1238" s="13"/>
      <c r="N1238" s="13" t="s">
        <v>142</v>
      </c>
    </row>
    <row r="1239" customFormat="false" ht="15" hidden="false" customHeight="false" outlineLevel="0" collapsed="false">
      <c r="A1239" s="13" t="s">
        <v>1457</v>
      </c>
      <c r="B1239" s="14" t="n">
        <v>44587</v>
      </c>
      <c r="C1239" s="14" t="n">
        <v>45263</v>
      </c>
      <c r="D1239" s="13" t="n">
        <v>26</v>
      </c>
      <c r="E1239" s="13" t="s">
        <v>259</v>
      </c>
      <c r="F1239" s="13" t="s">
        <v>168</v>
      </c>
      <c r="G1239" s="13" t="s">
        <v>155</v>
      </c>
      <c r="H1239" s="13" t="s">
        <v>139</v>
      </c>
      <c r="I1239" s="13"/>
      <c r="J1239" s="13" t="n">
        <v>2</v>
      </c>
      <c r="K1239" s="13" t="n">
        <v>34000</v>
      </c>
      <c r="L1239" s="13" t="s">
        <v>151</v>
      </c>
      <c r="M1239" s="13" t="s">
        <v>152</v>
      </c>
      <c r="N1239" s="13" t="s">
        <v>157</v>
      </c>
    </row>
    <row r="1240" customFormat="false" ht="15" hidden="false" customHeight="false" outlineLevel="0" collapsed="false">
      <c r="A1240" s="13" t="s">
        <v>1458</v>
      </c>
      <c r="B1240" s="14" t="n">
        <v>44588</v>
      </c>
      <c r="C1240" s="14"/>
      <c r="D1240" s="13" t="n">
        <v>37</v>
      </c>
      <c r="E1240" s="13" t="s">
        <v>190</v>
      </c>
      <c r="F1240" s="13" t="s">
        <v>154</v>
      </c>
      <c r="G1240" s="13" t="s">
        <v>191</v>
      </c>
      <c r="H1240" s="13" t="s">
        <v>156</v>
      </c>
      <c r="I1240" s="13" t="n">
        <v>3</v>
      </c>
      <c r="J1240" s="13" t="n">
        <v>3</v>
      </c>
      <c r="K1240" s="13" t="n">
        <v>105000</v>
      </c>
      <c r="L1240" s="13"/>
      <c r="M1240" s="13"/>
      <c r="N1240" s="13" t="s">
        <v>134</v>
      </c>
    </row>
    <row r="1241" customFormat="false" ht="15" hidden="false" customHeight="false" outlineLevel="0" collapsed="false">
      <c r="A1241" s="13" t="s">
        <v>1459</v>
      </c>
      <c r="B1241" s="14" t="n">
        <v>44590</v>
      </c>
      <c r="C1241" s="14"/>
      <c r="D1241" s="13" t="n">
        <v>25</v>
      </c>
      <c r="E1241" s="13" t="s">
        <v>136</v>
      </c>
      <c r="F1241" s="13" t="s">
        <v>154</v>
      </c>
      <c r="G1241" s="13" t="s">
        <v>138</v>
      </c>
      <c r="H1241" s="13" t="s">
        <v>192</v>
      </c>
      <c r="I1241" s="13" t="n">
        <v>3</v>
      </c>
      <c r="J1241" s="13" t="n">
        <v>3</v>
      </c>
      <c r="K1241" s="13" t="n">
        <v>167500</v>
      </c>
      <c r="L1241" s="13"/>
      <c r="M1241" s="13"/>
      <c r="N1241" s="13" t="s">
        <v>142</v>
      </c>
    </row>
    <row r="1242" customFormat="false" ht="15" hidden="false" customHeight="false" outlineLevel="0" collapsed="false">
      <c r="A1242" s="13" t="s">
        <v>1460</v>
      </c>
      <c r="B1242" s="14" t="n">
        <v>44591</v>
      </c>
      <c r="C1242" s="14"/>
      <c r="D1242" s="13" t="n">
        <v>32</v>
      </c>
      <c r="E1242" s="13" t="s">
        <v>136</v>
      </c>
      <c r="F1242" s="13" t="s">
        <v>164</v>
      </c>
      <c r="G1242" s="13" t="s">
        <v>155</v>
      </c>
      <c r="H1242" s="13" t="s">
        <v>146</v>
      </c>
      <c r="I1242" s="13" t="n">
        <v>5</v>
      </c>
      <c r="J1242" s="13" t="n">
        <v>2</v>
      </c>
      <c r="K1242" s="13" t="n">
        <v>56000</v>
      </c>
      <c r="L1242" s="13"/>
      <c r="M1242" s="13"/>
      <c r="N1242" s="13" t="s">
        <v>134</v>
      </c>
    </row>
    <row r="1243" customFormat="false" ht="15" hidden="false" customHeight="false" outlineLevel="0" collapsed="false">
      <c r="A1243" s="13" t="s">
        <v>1461</v>
      </c>
      <c r="B1243" s="14" t="n">
        <v>44594</v>
      </c>
      <c r="C1243" s="14" t="n">
        <v>44665</v>
      </c>
      <c r="D1243" s="13" t="n">
        <v>25</v>
      </c>
      <c r="E1243" s="13" t="s">
        <v>144</v>
      </c>
      <c r="F1243" s="13" t="s">
        <v>239</v>
      </c>
      <c r="G1243" s="13" t="s">
        <v>188</v>
      </c>
      <c r="H1243" s="13" t="s">
        <v>156</v>
      </c>
      <c r="I1243" s="13" t="n">
        <v>3</v>
      </c>
      <c r="J1243" s="13" t="n">
        <v>3</v>
      </c>
      <c r="K1243" s="13" t="n">
        <v>102500</v>
      </c>
      <c r="L1243" s="13" t="s">
        <v>151</v>
      </c>
      <c r="M1243" s="13" t="s">
        <v>216</v>
      </c>
      <c r="N1243" s="13" t="s">
        <v>142</v>
      </c>
    </row>
    <row r="1244" customFormat="false" ht="15" hidden="false" customHeight="false" outlineLevel="0" collapsed="false">
      <c r="A1244" s="13" t="s">
        <v>1462</v>
      </c>
      <c r="B1244" s="14" t="n">
        <v>44594</v>
      </c>
      <c r="C1244" s="14" t="n">
        <v>44652</v>
      </c>
      <c r="D1244" s="13" t="n">
        <v>28</v>
      </c>
      <c r="E1244" s="13" t="s">
        <v>144</v>
      </c>
      <c r="F1244" s="13" t="s">
        <v>131</v>
      </c>
      <c r="G1244" s="13" t="s">
        <v>171</v>
      </c>
      <c r="H1244" s="13" t="s">
        <v>146</v>
      </c>
      <c r="I1244" s="13" t="n">
        <v>4</v>
      </c>
      <c r="J1244" s="13" t="n">
        <v>3</v>
      </c>
      <c r="K1244" s="13" t="n">
        <v>54000</v>
      </c>
      <c r="L1244" s="13" t="s">
        <v>151</v>
      </c>
      <c r="M1244" s="13" t="s">
        <v>159</v>
      </c>
      <c r="N1244" s="13" t="s">
        <v>142</v>
      </c>
    </row>
    <row r="1245" customFormat="false" ht="15" hidden="false" customHeight="false" outlineLevel="0" collapsed="false">
      <c r="A1245" s="13" t="s">
        <v>1463</v>
      </c>
      <c r="B1245" s="14" t="n">
        <v>44596</v>
      </c>
      <c r="C1245" s="14"/>
      <c r="D1245" s="13" t="n">
        <v>32</v>
      </c>
      <c r="E1245" s="13" t="s">
        <v>144</v>
      </c>
      <c r="F1245" s="13" t="s">
        <v>137</v>
      </c>
      <c r="G1245" s="13" t="s">
        <v>132</v>
      </c>
      <c r="H1245" s="13" t="s">
        <v>146</v>
      </c>
      <c r="I1245" s="13" t="n">
        <v>4</v>
      </c>
      <c r="J1245" s="13" t="n">
        <v>4</v>
      </c>
      <c r="K1245" s="13" t="n">
        <v>73000</v>
      </c>
      <c r="L1245" s="13"/>
      <c r="M1245" s="13"/>
      <c r="N1245" s="13" t="s">
        <v>142</v>
      </c>
    </row>
    <row r="1246" customFormat="false" ht="15" hidden="false" customHeight="false" outlineLevel="0" collapsed="false">
      <c r="A1246" s="13" t="s">
        <v>1464</v>
      </c>
      <c r="B1246" s="14" t="n">
        <v>44597</v>
      </c>
      <c r="C1246" s="14" t="n">
        <v>44952</v>
      </c>
      <c r="D1246" s="13" t="n">
        <v>33</v>
      </c>
      <c r="E1246" s="13" t="s">
        <v>144</v>
      </c>
      <c r="F1246" s="13" t="s">
        <v>164</v>
      </c>
      <c r="G1246" s="13" t="s">
        <v>138</v>
      </c>
      <c r="H1246" s="13" t="s">
        <v>166</v>
      </c>
      <c r="I1246" s="13" t="n">
        <v>3</v>
      </c>
      <c r="J1246" s="13" t="n">
        <v>2</v>
      </c>
      <c r="K1246" s="13" t="n">
        <v>110000</v>
      </c>
      <c r="L1246" s="13" t="s">
        <v>140</v>
      </c>
      <c r="M1246" s="13" t="s">
        <v>206</v>
      </c>
      <c r="N1246" s="13" t="s">
        <v>142</v>
      </c>
    </row>
    <row r="1247" customFormat="false" ht="15" hidden="false" customHeight="false" outlineLevel="0" collapsed="false">
      <c r="A1247" s="13" t="s">
        <v>1465</v>
      </c>
      <c r="B1247" s="14" t="n">
        <v>44600</v>
      </c>
      <c r="C1247" s="14" t="n">
        <v>44635</v>
      </c>
      <c r="D1247" s="13" t="n">
        <v>21</v>
      </c>
      <c r="E1247" s="13" t="s">
        <v>144</v>
      </c>
      <c r="F1247" s="13" t="s">
        <v>131</v>
      </c>
      <c r="G1247" s="13" t="s">
        <v>148</v>
      </c>
      <c r="H1247" s="13" t="s">
        <v>139</v>
      </c>
      <c r="I1247" s="13" t="n">
        <v>3</v>
      </c>
      <c r="J1247" s="13" t="n">
        <v>1</v>
      </c>
      <c r="K1247" s="13" t="n">
        <v>32000</v>
      </c>
      <c r="L1247" s="13" t="s">
        <v>151</v>
      </c>
      <c r="M1247" s="13" t="s">
        <v>314</v>
      </c>
      <c r="N1247" s="13" t="s">
        <v>142</v>
      </c>
    </row>
    <row r="1248" customFormat="false" ht="15" hidden="false" customHeight="false" outlineLevel="0" collapsed="false">
      <c r="A1248" s="13" t="s">
        <v>1466</v>
      </c>
      <c r="B1248" s="14" t="n">
        <v>44602</v>
      </c>
      <c r="C1248" s="14"/>
      <c r="D1248" s="13" t="n">
        <v>34</v>
      </c>
      <c r="E1248" s="13" t="s">
        <v>130</v>
      </c>
      <c r="F1248" s="13" t="s">
        <v>168</v>
      </c>
      <c r="G1248" s="13" t="s">
        <v>138</v>
      </c>
      <c r="H1248" s="13" t="s">
        <v>156</v>
      </c>
      <c r="I1248" s="13" t="n">
        <v>3</v>
      </c>
      <c r="J1248" s="13" t="n">
        <v>1</v>
      </c>
      <c r="K1248" s="13" t="n">
        <v>93000</v>
      </c>
      <c r="L1248" s="13"/>
      <c r="M1248" s="13"/>
      <c r="N1248" s="13" t="s">
        <v>142</v>
      </c>
    </row>
    <row r="1249" customFormat="false" ht="15" hidden="false" customHeight="false" outlineLevel="0" collapsed="false">
      <c r="A1249" s="13" t="s">
        <v>1467</v>
      </c>
      <c r="B1249" s="14" t="n">
        <v>44603</v>
      </c>
      <c r="C1249" s="14"/>
      <c r="D1249" s="13" t="n">
        <v>39</v>
      </c>
      <c r="E1249" s="13" t="s">
        <v>144</v>
      </c>
      <c r="F1249" s="13" t="s">
        <v>168</v>
      </c>
      <c r="G1249" s="13" t="s">
        <v>191</v>
      </c>
      <c r="H1249" s="13" t="s">
        <v>156</v>
      </c>
      <c r="I1249" s="13" t="n">
        <v>4</v>
      </c>
      <c r="J1249" s="13" t="n">
        <v>2</v>
      </c>
      <c r="K1249" s="13" t="n">
        <v>104000</v>
      </c>
      <c r="L1249" s="13"/>
      <c r="M1249" s="13"/>
      <c r="N1249" s="13" t="s">
        <v>142</v>
      </c>
    </row>
    <row r="1250" customFormat="false" ht="15" hidden="false" customHeight="false" outlineLevel="0" collapsed="false">
      <c r="A1250" s="13" t="s">
        <v>1468</v>
      </c>
      <c r="B1250" s="14" t="n">
        <v>44603</v>
      </c>
      <c r="C1250" s="14" t="n">
        <v>45556</v>
      </c>
      <c r="D1250" s="13" t="n">
        <v>40</v>
      </c>
      <c r="E1250" s="13" t="s">
        <v>186</v>
      </c>
      <c r="F1250" s="13" t="s">
        <v>154</v>
      </c>
      <c r="G1250" s="13" t="s">
        <v>334</v>
      </c>
      <c r="H1250" s="13" t="s">
        <v>139</v>
      </c>
      <c r="I1250" s="13" t="n">
        <v>4</v>
      </c>
      <c r="J1250" s="13" t="n">
        <v>3</v>
      </c>
      <c r="K1250" s="13" t="n">
        <v>41500</v>
      </c>
      <c r="L1250" s="13" t="s">
        <v>173</v>
      </c>
      <c r="M1250" s="13"/>
      <c r="N1250" s="13" t="s">
        <v>142</v>
      </c>
    </row>
    <row r="1251" customFormat="false" ht="15" hidden="false" customHeight="false" outlineLevel="0" collapsed="false">
      <c r="A1251" s="13" t="s">
        <v>1469</v>
      </c>
      <c r="B1251" s="14" t="n">
        <v>44604</v>
      </c>
      <c r="C1251" s="14" t="n">
        <v>45287</v>
      </c>
      <c r="D1251" s="13" t="n">
        <v>29</v>
      </c>
      <c r="E1251" s="13" t="s">
        <v>163</v>
      </c>
      <c r="F1251" s="13" t="s">
        <v>170</v>
      </c>
      <c r="G1251" s="13" t="s">
        <v>155</v>
      </c>
      <c r="H1251" s="13" t="s">
        <v>139</v>
      </c>
      <c r="I1251" s="13" t="n">
        <v>3</v>
      </c>
      <c r="J1251" s="13" t="n">
        <v>2</v>
      </c>
      <c r="K1251" s="13" t="n">
        <v>42500</v>
      </c>
      <c r="L1251" s="13" t="s">
        <v>151</v>
      </c>
      <c r="M1251" s="13" t="s">
        <v>216</v>
      </c>
      <c r="N1251" s="13" t="s">
        <v>142</v>
      </c>
    </row>
    <row r="1252" customFormat="false" ht="15" hidden="false" customHeight="false" outlineLevel="0" collapsed="false">
      <c r="A1252" s="13" t="s">
        <v>1470</v>
      </c>
      <c r="B1252" s="14" t="n">
        <v>44606</v>
      </c>
      <c r="C1252" s="14" t="n">
        <v>44705</v>
      </c>
      <c r="D1252" s="13" t="n">
        <v>36</v>
      </c>
      <c r="E1252" s="13" t="s">
        <v>130</v>
      </c>
      <c r="F1252" s="13" t="s">
        <v>154</v>
      </c>
      <c r="G1252" s="13" t="s">
        <v>138</v>
      </c>
      <c r="H1252" s="13" t="s">
        <v>276</v>
      </c>
      <c r="I1252" s="13" t="n">
        <v>5</v>
      </c>
      <c r="J1252" s="13" t="n">
        <v>2</v>
      </c>
      <c r="K1252" s="13" t="n">
        <v>163500</v>
      </c>
      <c r="L1252" s="13" t="s">
        <v>151</v>
      </c>
      <c r="M1252" s="13" t="s">
        <v>159</v>
      </c>
      <c r="N1252" s="13" t="s">
        <v>142</v>
      </c>
    </row>
    <row r="1253" customFormat="false" ht="15" hidden="false" customHeight="false" outlineLevel="0" collapsed="false">
      <c r="A1253" s="13" t="s">
        <v>1471</v>
      </c>
      <c r="B1253" s="14" t="n">
        <v>44609</v>
      </c>
      <c r="C1253" s="14"/>
      <c r="D1253" s="13" t="n">
        <v>29</v>
      </c>
      <c r="E1253" s="13" t="s">
        <v>144</v>
      </c>
      <c r="F1253" s="13" t="s">
        <v>241</v>
      </c>
      <c r="G1253" s="13" t="s">
        <v>155</v>
      </c>
      <c r="H1253" s="13" t="s">
        <v>156</v>
      </c>
      <c r="I1253" s="13" t="n">
        <v>5</v>
      </c>
      <c r="J1253" s="13" t="n">
        <v>4</v>
      </c>
      <c r="K1253" s="13" t="n">
        <v>110500</v>
      </c>
      <c r="L1253" s="13"/>
      <c r="M1253" s="13"/>
      <c r="N1253" s="13" t="s">
        <v>142</v>
      </c>
    </row>
    <row r="1254" customFormat="false" ht="15" hidden="false" customHeight="false" outlineLevel="0" collapsed="false">
      <c r="A1254" s="13" t="s">
        <v>1472</v>
      </c>
      <c r="B1254" s="14" t="n">
        <v>44611</v>
      </c>
      <c r="C1254" s="14" t="n">
        <v>45040</v>
      </c>
      <c r="D1254" s="13" t="n">
        <v>30</v>
      </c>
      <c r="E1254" s="13" t="s">
        <v>144</v>
      </c>
      <c r="F1254" s="13" t="s">
        <v>137</v>
      </c>
      <c r="G1254" s="13" t="s">
        <v>138</v>
      </c>
      <c r="H1254" s="13" t="s">
        <v>172</v>
      </c>
      <c r="I1254" s="13" t="n">
        <v>5</v>
      </c>
      <c r="J1254" s="13" t="n">
        <v>1</v>
      </c>
      <c r="K1254" s="13" t="n">
        <v>37000</v>
      </c>
      <c r="L1254" s="13" t="s">
        <v>151</v>
      </c>
      <c r="M1254" s="13" t="s">
        <v>152</v>
      </c>
      <c r="N1254" s="13" t="s">
        <v>214</v>
      </c>
    </row>
    <row r="1255" customFormat="false" ht="15" hidden="false" customHeight="false" outlineLevel="0" collapsed="false">
      <c r="A1255" s="13" t="s">
        <v>1473</v>
      </c>
      <c r="B1255" s="14" t="n">
        <v>44615</v>
      </c>
      <c r="C1255" s="14" t="n">
        <v>44698</v>
      </c>
      <c r="D1255" s="13" t="n">
        <v>31</v>
      </c>
      <c r="E1255" s="13" t="s">
        <v>163</v>
      </c>
      <c r="F1255" s="13" t="s">
        <v>170</v>
      </c>
      <c r="G1255" s="13" t="s">
        <v>155</v>
      </c>
      <c r="H1255" s="13" t="s">
        <v>149</v>
      </c>
      <c r="I1255" s="13" t="n">
        <v>3</v>
      </c>
      <c r="J1255" s="13" t="n">
        <v>4</v>
      </c>
      <c r="K1255" s="13" t="n">
        <v>101500</v>
      </c>
      <c r="L1255" s="13" t="s">
        <v>253</v>
      </c>
      <c r="M1255" s="13" t="s">
        <v>254</v>
      </c>
      <c r="N1255" s="13" t="s">
        <v>142</v>
      </c>
    </row>
    <row r="1256" customFormat="false" ht="15" hidden="false" customHeight="false" outlineLevel="0" collapsed="false">
      <c r="A1256" s="13" t="s">
        <v>1474</v>
      </c>
      <c r="B1256" s="14" t="n">
        <v>44617</v>
      </c>
      <c r="C1256" s="14" t="n">
        <v>45471</v>
      </c>
      <c r="D1256" s="13" t="n">
        <v>26</v>
      </c>
      <c r="E1256" s="13" t="s">
        <v>136</v>
      </c>
      <c r="F1256" s="13" t="s">
        <v>145</v>
      </c>
      <c r="G1256" s="13" t="s">
        <v>213</v>
      </c>
      <c r="H1256" s="13" t="s">
        <v>139</v>
      </c>
      <c r="I1256" s="13" t="n">
        <v>3</v>
      </c>
      <c r="J1256" s="13" t="n">
        <v>1</v>
      </c>
      <c r="K1256" s="13" t="n">
        <v>37500</v>
      </c>
      <c r="L1256" s="13" t="s">
        <v>253</v>
      </c>
      <c r="M1256" s="13" t="s">
        <v>273</v>
      </c>
      <c r="N1256" s="13" t="s">
        <v>142</v>
      </c>
    </row>
    <row r="1257" customFormat="false" ht="15" hidden="false" customHeight="false" outlineLevel="0" collapsed="false">
      <c r="A1257" s="13" t="s">
        <v>1475</v>
      </c>
      <c r="B1257" s="14" t="n">
        <v>44621</v>
      </c>
      <c r="C1257" s="14" t="n">
        <v>45010</v>
      </c>
      <c r="D1257" s="13" t="n">
        <v>29</v>
      </c>
      <c r="E1257" s="13" t="s">
        <v>130</v>
      </c>
      <c r="F1257" s="13" t="s">
        <v>241</v>
      </c>
      <c r="G1257" s="13" t="s">
        <v>132</v>
      </c>
      <c r="H1257" s="13" t="s">
        <v>146</v>
      </c>
      <c r="I1257" s="13" t="n">
        <v>3</v>
      </c>
      <c r="J1257" s="13" t="n">
        <v>4</v>
      </c>
      <c r="K1257" s="13" t="n">
        <v>67500</v>
      </c>
      <c r="L1257" s="13" t="s">
        <v>151</v>
      </c>
      <c r="M1257" s="13" t="s">
        <v>216</v>
      </c>
      <c r="N1257" s="13" t="s">
        <v>134</v>
      </c>
    </row>
    <row r="1258" customFormat="false" ht="15" hidden="false" customHeight="false" outlineLevel="0" collapsed="false">
      <c r="A1258" s="13" t="s">
        <v>1476</v>
      </c>
      <c r="B1258" s="14" t="n">
        <v>44621</v>
      </c>
      <c r="C1258" s="14" t="n">
        <v>45574</v>
      </c>
      <c r="D1258" s="13" t="n">
        <v>26</v>
      </c>
      <c r="E1258" s="13" t="s">
        <v>136</v>
      </c>
      <c r="F1258" s="13" t="s">
        <v>170</v>
      </c>
      <c r="G1258" s="13" t="s">
        <v>155</v>
      </c>
      <c r="H1258" s="13" t="s">
        <v>139</v>
      </c>
      <c r="I1258" s="13" t="n">
        <v>3</v>
      </c>
      <c r="J1258" s="13" t="n">
        <v>3</v>
      </c>
      <c r="K1258" s="13" t="n">
        <v>37000</v>
      </c>
      <c r="L1258" s="13" t="s">
        <v>151</v>
      </c>
      <c r="M1258" s="13"/>
      <c r="N1258" s="13" t="s">
        <v>142</v>
      </c>
    </row>
    <row r="1259" customFormat="false" ht="15" hidden="false" customHeight="false" outlineLevel="0" collapsed="false">
      <c r="A1259" s="13" t="s">
        <v>1477</v>
      </c>
      <c r="B1259" s="14" t="n">
        <v>44621</v>
      </c>
      <c r="C1259" s="14"/>
      <c r="D1259" s="13" t="n">
        <v>37</v>
      </c>
      <c r="E1259" s="13" t="s">
        <v>144</v>
      </c>
      <c r="F1259" s="13" t="s">
        <v>164</v>
      </c>
      <c r="G1259" s="13" t="s">
        <v>138</v>
      </c>
      <c r="H1259" s="13" t="s">
        <v>178</v>
      </c>
      <c r="I1259" s="13" t="n">
        <v>4</v>
      </c>
      <c r="J1259" s="13" t="n">
        <v>3</v>
      </c>
      <c r="K1259" s="13" t="n">
        <v>131500</v>
      </c>
      <c r="L1259" s="13"/>
      <c r="M1259" s="13"/>
      <c r="N1259" s="13" t="s">
        <v>142</v>
      </c>
    </row>
    <row r="1260" customFormat="false" ht="15" hidden="false" customHeight="false" outlineLevel="0" collapsed="false">
      <c r="A1260" s="13" t="s">
        <v>1478</v>
      </c>
      <c r="B1260" s="14" t="n">
        <v>44622</v>
      </c>
      <c r="C1260" s="14"/>
      <c r="D1260" s="13" t="n">
        <v>33</v>
      </c>
      <c r="E1260" s="13" t="s">
        <v>136</v>
      </c>
      <c r="F1260" s="13" t="s">
        <v>168</v>
      </c>
      <c r="G1260" s="13" t="s">
        <v>138</v>
      </c>
      <c r="H1260" s="13" t="s">
        <v>156</v>
      </c>
      <c r="I1260" s="13" t="n">
        <v>5</v>
      </c>
      <c r="J1260" s="13" t="n">
        <v>2</v>
      </c>
      <c r="K1260" s="13" t="n">
        <v>83000</v>
      </c>
      <c r="L1260" s="13"/>
      <c r="M1260" s="13"/>
      <c r="N1260" s="13" t="s">
        <v>142</v>
      </c>
    </row>
    <row r="1261" customFormat="false" ht="15" hidden="false" customHeight="false" outlineLevel="0" collapsed="false">
      <c r="A1261" s="13" t="s">
        <v>1479</v>
      </c>
      <c r="B1261" s="14" t="n">
        <v>44623</v>
      </c>
      <c r="C1261" s="14" t="n">
        <v>45111</v>
      </c>
      <c r="D1261" s="13" t="n">
        <v>43</v>
      </c>
      <c r="E1261" s="13" t="s">
        <v>163</v>
      </c>
      <c r="F1261" s="13" t="s">
        <v>168</v>
      </c>
      <c r="G1261" s="13" t="s">
        <v>330</v>
      </c>
      <c r="H1261" s="13" t="s">
        <v>149</v>
      </c>
      <c r="I1261" s="13" t="n">
        <v>3</v>
      </c>
      <c r="J1261" s="13" t="n">
        <v>2</v>
      </c>
      <c r="K1261" s="13" t="n">
        <v>92000</v>
      </c>
      <c r="L1261" s="13" t="s">
        <v>140</v>
      </c>
      <c r="M1261" s="13" t="s">
        <v>314</v>
      </c>
      <c r="N1261" s="13" t="s">
        <v>142</v>
      </c>
    </row>
    <row r="1262" customFormat="false" ht="15" hidden="false" customHeight="false" outlineLevel="0" collapsed="false">
      <c r="A1262" s="13" t="s">
        <v>1480</v>
      </c>
      <c r="B1262" s="14" t="n">
        <v>44623</v>
      </c>
      <c r="C1262" s="14" t="n">
        <v>45228</v>
      </c>
      <c r="D1262" s="13" t="n">
        <v>29</v>
      </c>
      <c r="E1262" s="13" t="s">
        <v>136</v>
      </c>
      <c r="F1262" s="13" t="s">
        <v>168</v>
      </c>
      <c r="G1262" s="13" t="s">
        <v>297</v>
      </c>
      <c r="H1262" s="13" t="s">
        <v>146</v>
      </c>
      <c r="I1262" s="13" t="n">
        <v>3</v>
      </c>
      <c r="J1262" s="13" t="n">
        <v>4</v>
      </c>
      <c r="K1262" s="13" t="n">
        <v>64000</v>
      </c>
      <c r="L1262" s="13" t="s">
        <v>173</v>
      </c>
      <c r="M1262" s="13" t="s">
        <v>254</v>
      </c>
      <c r="N1262" s="13" t="s">
        <v>134</v>
      </c>
    </row>
    <row r="1263" customFormat="false" ht="15" hidden="false" customHeight="false" outlineLevel="0" collapsed="false">
      <c r="A1263" s="13" t="s">
        <v>1481</v>
      </c>
      <c r="B1263" s="14" t="n">
        <v>44623</v>
      </c>
      <c r="C1263" s="14" t="n">
        <v>45207</v>
      </c>
      <c r="D1263" s="13" t="n">
        <v>31</v>
      </c>
      <c r="E1263" s="13" t="s">
        <v>136</v>
      </c>
      <c r="F1263" s="13" t="s">
        <v>137</v>
      </c>
      <c r="G1263" s="13" t="s">
        <v>195</v>
      </c>
      <c r="H1263" s="13" t="s">
        <v>146</v>
      </c>
      <c r="I1263" s="13" t="n">
        <v>4</v>
      </c>
      <c r="J1263" s="13" t="n">
        <v>4</v>
      </c>
      <c r="K1263" s="13" t="n">
        <v>55000</v>
      </c>
      <c r="L1263" s="13" t="s">
        <v>173</v>
      </c>
      <c r="M1263" s="13" t="s">
        <v>310</v>
      </c>
      <c r="N1263" s="13" t="s">
        <v>453</v>
      </c>
    </row>
    <row r="1264" customFormat="false" ht="15" hidden="false" customHeight="false" outlineLevel="0" collapsed="false">
      <c r="A1264" s="13" t="s">
        <v>1482</v>
      </c>
      <c r="B1264" s="14" t="n">
        <v>44624</v>
      </c>
      <c r="C1264" s="14" t="n">
        <v>44916</v>
      </c>
      <c r="D1264" s="13" t="n">
        <v>39</v>
      </c>
      <c r="E1264" s="13" t="s">
        <v>163</v>
      </c>
      <c r="F1264" s="13" t="s">
        <v>137</v>
      </c>
      <c r="G1264" s="13" t="s">
        <v>132</v>
      </c>
      <c r="H1264" s="13" t="s">
        <v>139</v>
      </c>
      <c r="I1264" s="13" t="n">
        <v>5</v>
      </c>
      <c r="J1264" s="13" t="n">
        <v>4</v>
      </c>
      <c r="K1264" s="13" t="n">
        <v>34500</v>
      </c>
      <c r="L1264" s="13" t="s">
        <v>151</v>
      </c>
      <c r="M1264" s="13" t="s">
        <v>216</v>
      </c>
      <c r="N1264" s="13" t="s">
        <v>134</v>
      </c>
    </row>
    <row r="1265" customFormat="false" ht="15" hidden="false" customHeight="false" outlineLevel="0" collapsed="false">
      <c r="A1265" s="13" t="s">
        <v>1483</v>
      </c>
      <c r="B1265" s="14" t="n">
        <v>44624</v>
      </c>
      <c r="C1265" s="14" t="n">
        <v>45361</v>
      </c>
      <c r="D1265" s="13" t="n">
        <v>33</v>
      </c>
      <c r="E1265" s="13" t="s">
        <v>186</v>
      </c>
      <c r="F1265" s="13" t="s">
        <v>168</v>
      </c>
      <c r="G1265" s="13" t="s">
        <v>155</v>
      </c>
      <c r="H1265" s="13" t="s">
        <v>178</v>
      </c>
      <c r="I1265" s="13" t="n">
        <v>4</v>
      </c>
      <c r="J1265" s="13" t="n">
        <v>1</v>
      </c>
      <c r="K1265" s="13" t="n">
        <v>144000</v>
      </c>
      <c r="L1265" s="13" t="s">
        <v>151</v>
      </c>
      <c r="M1265" s="13" t="s">
        <v>201</v>
      </c>
      <c r="N1265" s="13" t="s">
        <v>142</v>
      </c>
    </row>
    <row r="1266" customFormat="false" ht="15" hidden="false" customHeight="false" outlineLevel="0" collapsed="false">
      <c r="A1266" s="13" t="s">
        <v>1484</v>
      </c>
      <c r="B1266" s="14" t="n">
        <v>44624</v>
      </c>
      <c r="C1266" s="14" t="n">
        <v>45525</v>
      </c>
      <c r="D1266" s="13" t="n">
        <v>35</v>
      </c>
      <c r="E1266" s="13" t="s">
        <v>190</v>
      </c>
      <c r="F1266" s="13" t="s">
        <v>170</v>
      </c>
      <c r="G1266" s="13" t="s">
        <v>138</v>
      </c>
      <c r="H1266" s="13" t="s">
        <v>139</v>
      </c>
      <c r="I1266" s="13" t="n">
        <v>4</v>
      </c>
      <c r="J1266" s="13" t="n">
        <v>3</v>
      </c>
      <c r="K1266" s="13" t="n">
        <v>38000</v>
      </c>
      <c r="L1266" s="13" t="s">
        <v>151</v>
      </c>
      <c r="M1266" s="13" t="s">
        <v>201</v>
      </c>
      <c r="N1266" s="13" t="s">
        <v>134</v>
      </c>
    </row>
    <row r="1267" customFormat="false" ht="15" hidden="false" customHeight="false" outlineLevel="0" collapsed="false">
      <c r="A1267" s="13" t="s">
        <v>1485</v>
      </c>
      <c r="B1267" s="14" t="n">
        <v>44626</v>
      </c>
      <c r="C1267" s="14" t="n">
        <v>44934</v>
      </c>
      <c r="D1267" s="13" t="n">
        <v>23</v>
      </c>
      <c r="E1267" s="13" t="s">
        <v>259</v>
      </c>
      <c r="F1267" s="13" t="s">
        <v>168</v>
      </c>
      <c r="G1267" s="13" t="s">
        <v>195</v>
      </c>
      <c r="H1267" s="13" t="s">
        <v>156</v>
      </c>
      <c r="I1267" s="13" t="n">
        <v>2</v>
      </c>
      <c r="J1267" s="13" t="n">
        <v>4</v>
      </c>
      <c r="K1267" s="13" t="n">
        <v>95500</v>
      </c>
      <c r="L1267" s="13" t="s">
        <v>173</v>
      </c>
      <c r="M1267" s="13" t="s">
        <v>273</v>
      </c>
      <c r="N1267" s="13" t="s">
        <v>453</v>
      </c>
    </row>
    <row r="1268" customFormat="false" ht="15" hidden="false" customHeight="false" outlineLevel="0" collapsed="false">
      <c r="A1268" s="13" t="s">
        <v>1486</v>
      </c>
      <c r="B1268" s="14" t="n">
        <v>44626</v>
      </c>
      <c r="C1268" s="14"/>
      <c r="D1268" s="13" t="n">
        <v>36</v>
      </c>
      <c r="E1268" s="13" t="s">
        <v>182</v>
      </c>
      <c r="F1268" s="13" t="s">
        <v>241</v>
      </c>
      <c r="G1268" s="13" t="s">
        <v>279</v>
      </c>
      <c r="H1268" s="13" t="s">
        <v>139</v>
      </c>
      <c r="I1268" s="13" t="n">
        <v>4</v>
      </c>
      <c r="J1268" s="13" t="n">
        <v>4</v>
      </c>
      <c r="K1268" s="13" t="n">
        <v>42000</v>
      </c>
      <c r="L1268" s="13"/>
      <c r="M1268" s="13"/>
      <c r="N1268" s="13" t="s">
        <v>142</v>
      </c>
    </row>
    <row r="1269" customFormat="false" ht="15" hidden="false" customHeight="false" outlineLevel="0" collapsed="false">
      <c r="A1269" s="13" t="s">
        <v>1487</v>
      </c>
      <c r="B1269" s="14" t="n">
        <v>44627</v>
      </c>
      <c r="C1269" s="14" t="n">
        <v>45244</v>
      </c>
      <c r="D1269" s="13" t="n">
        <v>25</v>
      </c>
      <c r="E1269" s="13" t="s">
        <v>144</v>
      </c>
      <c r="F1269" s="13" t="s">
        <v>137</v>
      </c>
      <c r="G1269" s="13" t="s">
        <v>155</v>
      </c>
      <c r="H1269" s="13" t="s">
        <v>139</v>
      </c>
      <c r="I1269" s="13" t="n">
        <v>5</v>
      </c>
      <c r="J1269" s="13" t="n">
        <v>4</v>
      </c>
      <c r="K1269" s="13" t="n">
        <v>40500</v>
      </c>
      <c r="L1269" s="13" t="s">
        <v>151</v>
      </c>
      <c r="M1269" s="13" t="s">
        <v>203</v>
      </c>
      <c r="N1269" s="13" t="s">
        <v>142</v>
      </c>
    </row>
    <row r="1270" customFormat="false" ht="15" hidden="false" customHeight="false" outlineLevel="0" collapsed="false">
      <c r="A1270" s="13" t="s">
        <v>1488</v>
      </c>
      <c r="B1270" s="14" t="n">
        <v>44628</v>
      </c>
      <c r="C1270" s="14" t="n">
        <v>45795</v>
      </c>
      <c r="D1270" s="13" t="n">
        <v>33</v>
      </c>
      <c r="E1270" s="13" t="s">
        <v>144</v>
      </c>
      <c r="F1270" s="13" t="s">
        <v>170</v>
      </c>
      <c r="G1270" s="13" t="s">
        <v>155</v>
      </c>
      <c r="H1270" s="13" t="s">
        <v>139</v>
      </c>
      <c r="I1270" s="13" t="n">
        <v>3</v>
      </c>
      <c r="J1270" s="13" t="n">
        <v>4</v>
      </c>
      <c r="K1270" s="13" t="n">
        <v>43500</v>
      </c>
      <c r="L1270" s="13" t="s">
        <v>151</v>
      </c>
      <c r="M1270" s="13" t="s">
        <v>216</v>
      </c>
      <c r="N1270" s="13" t="s">
        <v>142</v>
      </c>
    </row>
    <row r="1271" customFormat="false" ht="15" hidden="false" customHeight="false" outlineLevel="0" collapsed="false">
      <c r="A1271" s="13" t="s">
        <v>1489</v>
      </c>
      <c r="B1271" s="14" t="n">
        <v>44630</v>
      </c>
      <c r="C1271" s="14" t="n">
        <v>45289</v>
      </c>
      <c r="D1271" s="13" t="n">
        <v>25</v>
      </c>
      <c r="E1271" s="13" t="s">
        <v>136</v>
      </c>
      <c r="F1271" s="13" t="s">
        <v>154</v>
      </c>
      <c r="G1271" s="13" t="s">
        <v>191</v>
      </c>
      <c r="H1271" s="13" t="s">
        <v>146</v>
      </c>
      <c r="I1271" s="13" t="n">
        <v>3</v>
      </c>
      <c r="J1271" s="13" t="n">
        <v>1</v>
      </c>
      <c r="K1271" s="13" t="n">
        <v>65500</v>
      </c>
      <c r="L1271" s="13" t="s">
        <v>151</v>
      </c>
      <c r="M1271" s="13" t="s">
        <v>203</v>
      </c>
      <c r="N1271" s="13" t="s">
        <v>142</v>
      </c>
    </row>
    <row r="1272" customFormat="false" ht="15" hidden="false" customHeight="false" outlineLevel="0" collapsed="false">
      <c r="A1272" s="13" t="s">
        <v>1490</v>
      </c>
      <c r="B1272" s="14" t="n">
        <v>44631</v>
      </c>
      <c r="C1272" s="14" t="n">
        <v>45017</v>
      </c>
      <c r="D1272" s="13" t="n">
        <v>35</v>
      </c>
      <c r="E1272" s="13" t="s">
        <v>163</v>
      </c>
      <c r="F1272" s="13" t="s">
        <v>137</v>
      </c>
      <c r="G1272" s="13" t="s">
        <v>148</v>
      </c>
      <c r="H1272" s="13" t="s">
        <v>139</v>
      </c>
      <c r="I1272" s="13" t="n">
        <v>3</v>
      </c>
      <c r="J1272" s="13" t="n">
        <v>1</v>
      </c>
      <c r="K1272" s="13" t="n">
        <v>36500</v>
      </c>
      <c r="L1272" s="13"/>
      <c r="M1272" s="13" t="s">
        <v>203</v>
      </c>
      <c r="N1272" s="13" t="s">
        <v>142</v>
      </c>
    </row>
    <row r="1273" customFormat="false" ht="15" hidden="false" customHeight="false" outlineLevel="0" collapsed="false">
      <c r="A1273" s="13" t="s">
        <v>1491</v>
      </c>
      <c r="B1273" s="14" t="n">
        <v>44636</v>
      </c>
      <c r="C1273" s="14"/>
      <c r="D1273" s="13" t="n">
        <v>35</v>
      </c>
      <c r="E1273" s="13" t="s">
        <v>144</v>
      </c>
      <c r="F1273" s="13" t="s">
        <v>164</v>
      </c>
      <c r="G1273" s="13" t="s">
        <v>155</v>
      </c>
      <c r="H1273" s="13" t="s">
        <v>178</v>
      </c>
      <c r="I1273" s="13" t="n">
        <v>2</v>
      </c>
      <c r="J1273" s="13" t="n">
        <v>3</v>
      </c>
      <c r="K1273" s="13" t="n">
        <v>132500</v>
      </c>
      <c r="L1273" s="13"/>
      <c r="M1273" s="13"/>
      <c r="N1273" s="13" t="s">
        <v>142</v>
      </c>
    </row>
    <row r="1274" customFormat="false" ht="15" hidden="false" customHeight="false" outlineLevel="0" collapsed="false">
      <c r="A1274" s="13" t="s">
        <v>1492</v>
      </c>
      <c r="B1274" s="14" t="n">
        <v>44636</v>
      </c>
      <c r="C1274" s="14"/>
      <c r="D1274" s="13" t="n">
        <v>25</v>
      </c>
      <c r="E1274" s="13" t="s">
        <v>259</v>
      </c>
      <c r="F1274" s="13" t="s">
        <v>164</v>
      </c>
      <c r="G1274" s="13" t="s">
        <v>148</v>
      </c>
      <c r="H1274" s="13" t="s">
        <v>156</v>
      </c>
      <c r="I1274" s="13" t="n">
        <v>3</v>
      </c>
      <c r="J1274" s="13" t="n">
        <v>2</v>
      </c>
      <c r="K1274" s="13" t="n">
        <v>92500</v>
      </c>
      <c r="L1274" s="13"/>
      <c r="M1274" s="13"/>
      <c r="N1274" s="13" t="s">
        <v>157</v>
      </c>
    </row>
    <row r="1275" customFormat="false" ht="15" hidden="false" customHeight="false" outlineLevel="0" collapsed="false">
      <c r="A1275" s="13" t="s">
        <v>1493</v>
      </c>
      <c r="B1275" s="14" t="n">
        <v>44636</v>
      </c>
      <c r="C1275" s="14" t="n">
        <v>44729</v>
      </c>
      <c r="D1275" s="13" t="n">
        <v>24</v>
      </c>
      <c r="E1275" s="13" t="s">
        <v>136</v>
      </c>
      <c r="F1275" s="13" t="s">
        <v>164</v>
      </c>
      <c r="G1275" s="13" t="s">
        <v>374</v>
      </c>
      <c r="H1275" s="13" t="s">
        <v>139</v>
      </c>
      <c r="I1275" s="13" t="n">
        <v>4</v>
      </c>
      <c r="J1275" s="13" t="n">
        <v>1</v>
      </c>
      <c r="K1275" s="13" t="n">
        <v>36000</v>
      </c>
      <c r="L1275" s="13" t="s">
        <v>151</v>
      </c>
      <c r="M1275" s="13" t="s">
        <v>201</v>
      </c>
      <c r="N1275" s="13" t="s">
        <v>142</v>
      </c>
    </row>
    <row r="1276" customFormat="false" ht="15" hidden="false" customHeight="false" outlineLevel="0" collapsed="false">
      <c r="A1276" s="13" t="s">
        <v>1494</v>
      </c>
      <c r="B1276" s="14" t="n">
        <v>44638</v>
      </c>
      <c r="C1276" s="14" t="n">
        <v>44936</v>
      </c>
      <c r="D1276" s="13" t="n">
        <v>31</v>
      </c>
      <c r="E1276" s="13" t="s">
        <v>136</v>
      </c>
      <c r="F1276" s="13" t="s">
        <v>170</v>
      </c>
      <c r="G1276" s="13" t="s">
        <v>155</v>
      </c>
      <c r="H1276" s="13" t="s">
        <v>139</v>
      </c>
      <c r="I1276" s="13" t="n">
        <v>4</v>
      </c>
      <c r="J1276" s="13" t="n">
        <v>3</v>
      </c>
      <c r="K1276" s="13" t="n">
        <v>39500</v>
      </c>
      <c r="L1276" s="13" t="s">
        <v>151</v>
      </c>
      <c r="M1276" s="13" t="s">
        <v>141</v>
      </c>
      <c r="N1276" s="13" t="s">
        <v>142</v>
      </c>
    </row>
    <row r="1277" customFormat="false" ht="15" hidden="false" customHeight="false" outlineLevel="0" collapsed="false">
      <c r="A1277" s="13" t="s">
        <v>1495</v>
      </c>
      <c r="B1277" s="14" t="n">
        <v>44639</v>
      </c>
      <c r="C1277" s="14" t="n">
        <v>45107</v>
      </c>
      <c r="D1277" s="13" t="n">
        <v>25</v>
      </c>
      <c r="E1277" s="13" t="s">
        <v>136</v>
      </c>
      <c r="F1277" s="13" t="s">
        <v>161</v>
      </c>
      <c r="G1277" s="13" t="s">
        <v>148</v>
      </c>
      <c r="H1277" s="13" t="s">
        <v>146</v>
      </c>
      <c r="I1277" s="13" t="n">
        <v>3</v>
      </c>
      <c r="J1277" s="13" t="n">
        <v>2</v>
      </c>
      <c r="K1277" s="13" t="n">
        <v>56500</v>
      </c>
      <c r="L1277" s="13" t="s">
        <v>151</v>
      </c>
      <c r="M1277" s="13" t="s">
        <v>152</v>
      </c>
      <c r="N1277" s="13" t="s">
        <v>134</v>
      </c>
    </row>
    <row r="1278" customFormat="false" ht="15" hidden="false" customHeight="false" outlineLevel="0" collapsed="false">
      <c r="A1278" s="13" t="s">
        <v>1496</v>
      </c>
      <c r="B1278" s="14" t="n">
        <v>44639</v>
      </c>
      <c r="C1278" s="14" t="n">
        <v>44891</v>
      </c>
      <c r="D1278" s="13" t="n">
        <v>29</v>
      </c>
      <c r="E1278" s="13" t="s">
        <v>136</v>
      </c>
      <c r="F1278" s="13" t="s">
        <v>229</v>
      </c>
      <c r="G1278" s="13" t="s">
        <v>138</v>
      </c>
      <c r="H1278" s="13" t="s">
        <v>178</v>
      </c>
      <c r="I1278" s="13" t="n">
        <v>3</v>
      </c>
      <c r="J1278" s="13" t="n">
        <v>1</v>
      </c>
      <c r="K1278" s="13" t="n">
        <v>136500</v>
      </c>
      <c r="L1278" s="13" t="s">
        <v>140</v>
      </c>
      <c r="M1278" s="13" t="s">
        <v>201</v>
      </c>
      <c r="N1278" s="13" t="s">
        <v>142</v>
      </c>
    </row>
    <row r="1279" customFormat="false" ht="15" hidden="false" customHeight="false" outlineLevel="0" collapsed="false">
      <c r="A1279" s="13" t="s">
        <v>1497</v>
      </c>
      <c r="B1279" s="14" t="n">
        <v>44642</v>
      </c>
      <c r="C1279" s="14" t="n">
        <v>45520</v>
      </c>
      <c r="D1279" s="13" t="n">
        <v>29</v>
      </c>
      <c r="E1279" s="13" t="s">
        <v>144</v>
      </c>
      <c r="F1279" s="13" t="s">
        <v>131</v>
      </c>
      <c r="G1279" s="13" t="s">
        <v>155</v>
      </c>
      <c r="H1279" s="13" t="s">
        <v>139</v>
      </c>
      <c r="I1279" s="13" t="n">
        <v>3</v>
      </c>
      <c r="J1279" s="13" t="n">
        <v>3</v>
      </c>
      <c r="K1279" s="13" t="n">
        <v>39000</v>
      </c>
      <c r="L1279" s="13" t="s">
        <v>151</v>
      </c>
      <c r="M1279" s="13" t="s">
        <v>159</v>
      </c>
      <c r="N1279" s="13" t="s">
        <v>134</v>
      </c>
    </row>
    <row r="1280" customFormat="false" ht="15" hidden="false" customHeight="false" outlineLevel="0" collapsed="false">
      <c r="A1280" s="13" t="s">
        <v>1498</v>
      </c>
      <c r="B1280" s="14" t="n">
        <v>44643</v>
      </c>
      <c r="C1280" s="14" t="n">
        <v>45121</v>
      </c>
      <c r="D1280" s="13" t="n">
        <v>24</v>
      </c>
      <c r="E1280" s="13" t="s">
        <v>136</v>
      </c>
      <c r="F1280" s="13" t="s">
        <v>164</v>
      </c>
      <c r="G1280" s="13" t="s">
        <v>155</v>
      </c>
      <c r="H1280" s="13" t="s">
        <v>156</v>
      </c>
      <c r="I1280" s="13" t="n">
        <v>3</v>
      </c>
      <c r="J1280" s="13" t="n">
        <v>3</v>
      </c>
      <c r="K1280" s="13" t="n">
        <v>88000</v>
      </c>
      <c r="L1280" s="13" t="s">
        <v>151</v>
      </c>
      <c r="M1280" s="13" t="s">
        <v>762</v>
      </c>
      <c r="N1280" s="13" t="s">
        <v>134</v>
      </c>
    </row>
    <row r="1281" customFormat="false" ht="15" hidden="false" customHeight="false" outlineLevel="0" collapsed="false">
      <c r="A1281" s="13" t="s">
        <v>1499</v>
      </c>
      <c r="B1281" s="14" t="n">
        <v>44646</v>
      </c>
      <c r="C1281" s="14"/>
      <c r="D1281" s="13" t="n">
        <v>32</v>
      </c>
      <c r="E1281" s="13" t="s">
        <v>182</v>
      </c>
      <c r="F1281" s="13" t="s">
        <v>145</v>
      </c>
      <c r="G1281" s="13" t="s">
        <v>155</v>
      </c>
      <c r="H1281" s="13" t="s">
        <v>139</v>
      </c>
      <c r="I1281" s="13" t="n">
        <v>3</v>
      </c>
      <c r="J1281" s="13" t="n">
        <v>2</v>
      </c>
      <c r="K1281" s="13" t="n">
        <v>46000</v>
      </c>
      <c r="L1281" s="13"/>
      <c r="M1281" s="13"/>
      <c r="N1281" s="13" t="s">
        <v>142</v>
      </c>
    </row>
    <row r="1282" customFormat="false" ht="15" hidden="false" customHeight="false" outlineLevel="0" collapsed="false">
      <c r="A1282" s="13" t="s">
        <v>1500</v>
      </c>
      <c r="B1282" s="14" t="n">
        <v>44647</v>
      </c>
      <c r="C1282" s="14"/>
      <c r="D1282" s="13" t="n">
        <v>36</v>
      </c>
      <c r="E1282" s="13" t="s">
        <v>136</v>
      </c>
      <c r="F1282" s="13" t="s">
        <v>168</v>
      </c>
      <c r="G1282" s="13" t="s">
        <v>148</v>
      </c>
      <c r="H1282" s="13" t="s">
        <v>192</v>
      </c>
      <c r="I1282" s="13" t="n">
        <v>4</v>
      </c>
      <c r="J1282" s="13" t="n">
        <v>4</v>
      </c>
      <c r="K1282" s="13" t="n">
        <v>221500</v>
      </c>
      <c r="L1282" s="13"/>
      <c r="M1282" s="13"/>
      <c r="N1282" s="13" t="s">
        <v>142</v>
      </c>
    </row>
    <row r="1283" customFormat="false" ht="15" hidden="false" customHeight="false" outlineLevel="0" collapsed="false">
      <c r="A1283" s="13" t="s">
        <v>1501</v>
      </c>
      <c r="B1283" s="14" t="n">
        <v>44652</v>
      </c>
      <c r="C1283" s="14"/>
      <c r="D1283" s="13" t="n">
        <v>37</v>
      </c>
      <c r="E1283" s="13" t="s">
        <v>186</v>
      </c>
      <c r="F1283" s="13" t="s">
        <v>168</v>
      </c>
      <c r="G1283" s="13" t="s">
        <v>191</v>
      </c>
      <c r="H1283" s="13" t="s">
        <v>139</v>
      </c>
      <c r="I1283" s="13" t="n">
        <v>4</v>
      </c>
      <c r="J1283" s="13" t="n">
        <v>1</v>
      </c>
      <c r="K1283" s="13" t="n">
        <v>46500</v>
      </c>
      <c r="L1283" s="13"/>
      <c r="M1283" s="13"/>
      <c r="N1283" s="13" t="s">
        <v>142</v>
      </c>
    </row>
    <row r="1284" customFormat="false" ht="15" hidden="false" customHeight="false" outlineLevel="0" collapsed="false">
      <c r="A1284" s="13" t="s">
        <v>1502</v>
      </c>
      <c r="B1284" s="14" t="n">
        <v>44653</v>
      </c>
      <c r="C1284" s="14"/>
      <c r="D1284" s="13" t="n">
        <v>30</v>
      </c>
      <c r="E1284" s="13" t="s">
        <v>144</v>
      </c>
      <c r="F1284" s="13" t="s">
        <v>168</v>
      </c>
      <c r="G1284" s="13" t="s">
        <v>191</v>
      </c>
      <c r="H1284" s="13" t="s">
        <v>139</v>
      </c>
      <c r="I1284" s="13" t="n">
        <v>3</v>
      </c>
      <c r="J1284" s="13" t="n">
        <v>4</v>
      </c>
      <c r="K1284" s="13" t="n">
        <v>45500</v>
      </c>
      <c r="L1284" s="13"/>
      <c r="M1284" s="13"/>
      <c r="N1284" s="13" t="s">
        <v>134</v>
      </c>
    </row>
    <row r="1285" customFormat="false" ht="15" hidden="false" customHeight="false" outlineLevel="0" collapsed="false">
      <c r="A1285" s="13" t="s">
        <v>1503</v>
      </c>
      <c r="B1285" s="14" t="n">
        <v>44655</v>
      </c>
      <c r="C1285" s="14"/>
      <c r="D1285" s="13" t="n">
        <v>35</v>
      </c>
      <c r="E1285" s="13" t="s">
        <v>144</v>
      </c>
      <c r="F1285" s="13" t="s">
        <v>145</v>
      </c>
      <c r="G1285" s="13" t="s">
        <v>213</v>
      </c>
      <c r="H1285" s="13" t="s">
        <v>156</v>
      </c>
      <c r="I1285" s="13" t="n">
        <v>4</v>
      </c>
      <c r="J1285" s="13" t="n">
        <v>4</v>
      </c>
      <c r="K1285" s="13" t="n">
        <v>111500</v>
      </c>
      <c r="L1285" s="13"/>
      <c r="M1285" s="13"/>
      <c r="N1285" s="13" t="s">
        <v>142</v>
      </c>
    </row>
    <row r="1286" customFormat="false" ht="15" hidden="false" customHeight="false" outlineLevel="0" collapsed="false">
      <c r="A1286" s="13" t="s">
        <v>1504</v>
      </c>
      <c r="B1286" s="14" t="n">
        <v>44656</v>
      </c>
      <c r="C1286" s="14"/>
      <c r="D1286" s="13" t="n">
        <v>29</v>
      </c>
      <c r="E1286" s="13" t="s">
        <v>144</v>
      </c>
      <c r="F1286" s="13" t="s">
        <v>231</v>
      </c>
      <c r="G1286" s="13" t="s">
        <v>148</v>
      </c>
      <c r="H1286" s="13" t="s">
        <v>146</v>
      </c>
      <c r="I1286" s="13" t="n">
        <v>4</v>
      </c>
      <c r="J1286" s="13" t="n">
        <v>3</v>
      </c>
      <c r="K1286" s="13" t="n">
        <v>64000</v>
      </c>
      <c r="L1286" s="13"/>
      <c r="M1286" s="13"/>
      <c r="N1286" s="13" t="s">
        <v>134</v>
      </c>
    </row>
    <row r="1287" customFormat="false" ht="15" hidden="false" customHeight="false" outlineLevel="0" collapsed="false">
      <c r="A1287" s="13" t="s">
        <v>1505</v>
      </c>
      <c r="B1287" s="14" t="n">
        <v>44656</v>
      </c>
      <c r="C1287" s="14"/>
      <c r="D1287" s="13" t="n">
        <v>34</v>
      </c>
      <c r="E1287" s="13" t="s">
        <v>186</v>
      </c>
      <c r="F1287" s="13" t="s">
        <v>137</v>
      </c>
      <c r="G1287" s="13" t="s">
        <v>224</v>
      </c>
      <c r="H1287" s="13" t="s">
        <v>178</v>
      </c>
      <c r="I1287" s="13" t="n">
        <v>4</v>
      </c>
      <c r="J1287" s="13" t="n">
        <v>1</v>
      </c>
      <c r="K1287" s="13" t="n">
        <v>165500</v>
      </c>
      <c r="L1287" s="13"/>
      <c r="M1287" s="13"/>
      <c r="N1287" s="13" t="s">
        <v>142</v>
      </c>
    </row>
    <row r="1288" customFormat="false" ht="15" hidden="false" customHeight="false" outlineLevel="0" collapsed="false">
      <c r="A1288" s="13" t="s">
        <v>1506</v>
      </c>
      <c r="B1288" s="14" t="n">
        <v>44658</v>
      </c>
      <c r="C1288" s="14" t="n">
        <v>45022</v>
      </c>
      <c r="D1288" s="13" t="n">
        <v>23</v>
      </c>
      <c r="E1288" s="13" t="s">
        <v>136</v>
      </c>
      <c r="F1288" s="13" t="s">
        <v>229</v>
      </c>
      <c r="G1288" s="13" t="s">
        <v>155</v>
      </c>
      <c r="H1288" s="13" t="s">
        <v>149</v>
      </c>
      <c r="I1288" s="13" t="n">
        <v>4</v>
      </c>
      <c r="J1288" s="13" t="n">
        <v>4</v>
      </c>
      <c r="K1288" s="13" t="n">
        <v>105000</v>
      </c>
      <c r="L1288" s="13" t="s">
        <v>151</v>
      </c>
      <c r="M1288" s="13" t="s">
        <v>141</v>
      </c>
      <c r="N1288" s="13" t="s">
        <v>134</v>
      </c>
    </row>
    <row r="1289" customFormat="false" ht="15" hidden="false" customHeight="false" outlineLevel="0" collapsed="false">
      <c r="A1289" s="13" t="s">
        <v>1507</v>
      </c>
      <c r="B1289" s="14" t="n">
        <v>44660</v>
      </c>
      <c r="C1289" s="14" t="n">
        <v>45090</v>
      </c>
      <c r="D1289" s="13" t="n">
        <v>33</v>
      </c>
      <c r="E1289" s="13" t="s">
        <v>186</v>
      </c>
      <c r="F1289" s="13" t="s">
        <v>154</v>
      </c>
      <c r="G1289" s="13" t="s">
        <v>148</v>
      </c>
      <c r="H1289" s="13" t="s">
        <v>149</v>
      </c>
      <c r="I1289" s="13" t="n">
        <v>3</v>
      </c>
      <c r="J1289" s="13" t="n">
        <v>4</v>
      </c>
      <c r="K1289" s="13" t="n">
        <v>103500</v>
      </c>
      <c r="L1289" s="13" t="s">
        <v>151</v>
      </c>
      <c r="M1289" s="13" t="s">
        <v>201</v>
      </c>
      <c r="N1289" s="13" t="s">
        <v>142</v>
      </c>
    </row>
    <row r="1290" customFormat="false" ht="15" hidden="false" customHeight="false" outlineLevel="0" collapsed="false">
      <c r="A1290" s="13" t="s">
        <v>1508</v>
      </c>
      <c r="B1290" s="14" t="n">
        <v>44661</v>
      </c>
      <c r="C1290" s="14"/>
      <c r="D1290" s="13" t="n">
        <v>32</v>
      </c>
      <c r="E1290" s="13" t="s">
        <v>144</v>
      </c>
      <c r="F1290" s="13" t="s">
        <v>241</v>
      </c>
      <c r="G1290" s="13" t="s">
        <v>138</v>
      </c>
      <c r="H1290" s="13" t="s">
        <v>276</v>
      </c>
      <c r="I1290" s="13" t="n">
        <v>5</v>
      </c>
      <c r="J1290" s="13" t="n">
        <v>4</v>
      </c>
      <c r="K1290" s="13" t="n">
        <v>191000</v>
      </c>
      <c r="L1290" s="13"/>
      <c r="M1290" s="13"/>
      <c r="N1290" s="13" t="s">
        <v>142</v>
      </c>
    </row>
    <row r="1291" customFormat="false" ht="15" hidden="false" customHeight="false" outlineLevel="0" collapsed="false">
      <c r="A1291" s="13" t="s">
        <v>1509</v>
      </c>
      <c r="B1291" s="14" t="n">
        <v>44663</v>
      </c>
      <c r="C1291" s="14" t="n">
        <v>45059</v>
      </c>
      <c r="D1291" s="13" t="n">
        <v>24</v>
      </c>
      <c r="E1291" s="13" t="s">
        <v>136</v>
      </c>
      <c r="F1291" s="13" t="s">
        <v>131</v>
      </c>
      <c r="G1291" s="13" t="s">
        <v>171</v>
      </c>
      <c r="H1291" s="13" t="s">
        <v>146</v>
      </c>
      <c r="I1291" s="13" t="n">
        <v>3</v>
      </c>
      <c r="J1291" s="13" t="n">
        <v>2</v>
      </c>
      <c r="K1291" s="13" t="n">
        <v>57000</v>
      </c>
      <c r="L1291" s="13" t="s">
        <v>151</v>
      </c>
      <c r="M1291" s="13" t="s">
        <v>152</v>
      </c>
      <c r="N1291" s="13" t="s">
        <v>214</v>
      </c>
    </row>
    <row r="1292" customFormat="false" ht="15" hidden="false" customHeight="false" outlineLevel="0" collapsed="false">
      <c r="A1292" s="13" t="s">
        <v>1510</v>
      </c>
      <c r="B1292" s="14" t="n">
        <v>44664</v>
      </c>
      <c r="C1292" s="14"/>
      <c r="D1292" s="13" t="n">
        <v>40</v>
      </c>
      <c r="E1292" s="13" t="s">
        <v>259</v>
      </c>
      <c r="F1292" s="13" t="s">
        <v>168</v>
      </c>
      <c r="G1292" s="13" t="s">
        <v>138</v>
      </c>
      <c r="H1292" s="13" t="s">
        <v>139</v>
      </c>
      <c r="I1292" s="13" t="n">
        <v>4</v>
      </c>
      <c r="J1292" s="13" t="n">
        <v>4</v>
      </c>
      <c r="K1292" s="13" t="n">
        <v>38500</v>
      </c>
      <c r="L1292" s="13"/>
      <c r="M1292" s="13"/>
      <c r="N1292" s="13" t="s">
        <v>134</v>
      </c>
    </row>
    <row r="1293" customFormat="false" ht="15" hidden="false" customHeight="false" outlineLevel="0" collapsed="false">
      <c r="A1293" s="13" t="s">
        <v>1511</v>
      </c>
      <c r="B1293" s="14" t="n">
        <v>44664</v>
      </c>
      <c r="C1293" s="14"/>
      <c r="D1293" s="13" t="n">
        <v>42</v>
      </c>
      <c r="E1293" s="13" t="s">
        <v>144</v>
      </c>
      <c r="F1293" s="13" t="s">
        <v>168</v>
      </c>
      <c r="G1293" s="13" t="s">
        <v>132</v>
      </c>
      <c r="H1293" s="13" t="s">
        <v>146</v>
      </c>
      <c r="I1293" s="13" t="n">
        <v>2</v>
      </c>
      <c r="J1293" s="13" t="n">
        <v>4</v>
      </c>
      <c r="K1293" s="13" t="n">
        <v>74500</v>
      </c>
      <c r="L1293" s="13"/>
      <c r="M1293" s="13"/>
      <c r="N1293" s="13" t="s">
        <v>142</v>
      </c>
    </row>
    <row r="1294" customFormat="false" ht="15" hidden="false" customHeight="false" outlineLevel="0" collapsed="false">
      <c r="A1294" s="13" t="s">
        <v>1512</v>
      </c>
      <c r="B1294" s="14" t="n">
        <v>44667</v>
      </c>
      <c r="C1294" s="14" t="n">
        <v>45255</v>
      </c>
      <c r="D1294" s="13" t="n">
        <v>27</v>
      </c>
      <c r="E1294" s="13" t="s">
        <v>136</v>
      </c>
      <c r="F1294" s="13" t="s">
        <v>239</v>
      </c>
      <c r="G1294" s="13" t="s">
        <v>138</v>
      </c>
      <c r="H1294" s="13" t="s">
        <v>139</v>
      </c>
      <c r="I1294" s="13" t="n">
        <v>3</v>
      </c>
      <c r="J1294" s="13" t="n">
        <v>2</v>
      </c>
      <c r="K1294" s="13" t="n">
        <v>32500</v>
      </c>
      <c r="L1294" s="13" t="s">
        <v>173</v>
      </c>
      <c r="M1294" s="13" t="s">
        <v>254</v>
      </c>
      <c r="N1294" s="13" t="s">
        <v>142</v>
      </c>
    </row>
    <row r="1295" customFormat="false" ht="15" hidden="false" customHeight="false" outlineLevel="0" collapsed="false">
      <c r="A1295" s="13" t="s">
        <v>1513</v>
      </c>
      <c r="B1295" s="14" t="n">
        <v>44667</v>
      </c>
      <c r="C1295" s="14" t="n">
        <v>44698</v>
      </c>
      <c r="D1295" s="13" t="n">
        <v>31</v>
      </c>
      <c r="E1295" s="13" t="s">
        <v>136</v>
      </c>
      <c r="F1295" s="13" t="s">
        <v>229</v>
      </c>
      <c r="G1295" s="13" t="s">
        <v>155</v>
      </c>
      <c r="H1295" s="13" t="s">
        <v>139</v>
      </c>
      <c r="I1295" s="13" t="n">
        <v>3</v>
      </c>
      <c r="J1295" s="13" t="n">
        <v>2</v>
      </c>
      <c r="K1295" s="13" t="n">
        <v>33000</v>
      </c>
      <c r="L1295" s="13" t="s">
        <v>151</v>
      </c>
      <c r="M1295" s="13" t="s">
        <v>152</v>
      </c>
      <c r="N1295" s="13" t="s">
        <v>134</v>
      </c>
    </row>
    <row r="1296" customFormat="false" ht="15" hidden="false" customHeight="false" outlineLevel="0" collapsed="false">
      <c r="A1296" s="13" t="s">
        <v>1514</v>
      </c>
      <c r="B1296" s="14" t="n">
        <v>44670</v>
      </c>
      <c r="C1296" s="14" t="n">
        <v>45718</v>
      </c>
      <c r="D1296" s="13" t="n">
        <v>36</v>
      </c>
      <c r="E1296" s="13" t="s">
        <v>186</v>
      </c>
      <c r="F1296" s="13" t="s">
        <v>229</v>
      </c>
      <c r="G1296" s="13" t="s">
        <v>138</v>
      </c>
      <c r="H1296" s="13" t="s">
        <v>146</v>
      </c>
      <c r="I1296" s="13" t="n">
        <v>4</v>
      </c>
      <c r="J1296" s="13" t="n">
        <v>4</v>
      </c>
      <c r="K1296" s="13" t="n">
        <v>61500</v>
      </c>
      <c r="L1296" s="13" t="s">
        <v>151</v>
      </c>
      <c r="M1296" s="13" t="s">
        <v>206</v>
      </c>
      <c r="N1296" s="13" t="s">
        <v>142</v>
      </c>
    </row>
    <row r="1297" customFormat="false" ht="15" hidden="false" customHeight="false" outlineLevel="0" collapsed="false">
      <c r="A1297" s="13" t="s">
        <v>1515</v>
      </c>
      <c r="B1297" s="14" t="n">
        <v>44673</v>
      </c>
      <c r="C1297" s="14" t="n">
        <v>45165</v>
      </c>
      <c r="D1297" s="13" t="n">
        <v>33</v>
      </c>
      <c r="E1297" s="13" t="s">
        <v>130</v>
      </c>
      <c r="F1297" s="13" t="s">
        <v>168</v>
      </c>
      <c r="G1297" s="13" t="s">
        <v>138</v>
      </c>
      <c r="H1297" s="13" t="s">
        <v>139</v>
      </c>
      <c r="I1297" s="13" t="n">
        <v>5</v>
      </c>
      <c r="J1297" s="13" t="n">
        <v>1</v>
      </c>
      <c r="K1297" s="13" t="n">
        <v>45500</v>
      </c>
      <c r="L1297" s="13" t="s">
        <v>151</v>
      </c>
      <c r="M1297" s="13" t="s">
        <v>216</v>
      </c>
      <c r="N1297" s="13" t="s">
        <v>142</v>
      </c>
    </row>
    <row r="1298" customFormat="false" ht="15" hidden="false" customHeight="false" outlineLevel="0" collapsed="false">
      <c r="A1298" s="13" t="s">
        <v>1516</v>
      </c>
      <c r="B1298" s="14" t="n">
        <v>44673</v>
      </c>
      <c r="C1298" s="14" t="n">
        <v>45744</v>
      </c>
      <c r="D1298" s="13" t="n">
        <v>32</v>
      </c>
      <c r="E1298" s="13" t="s">
        <v>144</v>
      </c>
      <c r="F1298" s="13" t="s">
        <v>168</v>
      </c>
      <c r="G1298" s="13" t="s">
        <v>155</v>
      </c>
      <c r="H1298" s="13" t="s">
        <v>139</v>
      </c>
      <c r="I1298" s="13" t="n">
        <v>2</v>
      </c>
      <c r="J1298" s="13" t="n">
        <v>3</v>
      </c>
      <c r="K1298" s="13" t="n">
        <v>38500</v>
      </c>
      <c r="L1298" s="13" t="s">
        <v>173</v>
      </c>
      <c r="M1298" s="13" t="s">
        <v>273</v>
      </c>
      <c r="N1298" s="13" t="s">
        <v>134</v>
      </c>
    </row>
    <row r="1299" customFormat="false" ht="15" hidden="false" customHeight="false" outlineLevel="0" collapsed="false">
      <c r="A1299" s="13" t="s">
        <v>1517</v>
      </c>
      <c r="B1299" s="14" t="n">
        <v>44674</v>
      </c>
      <c r="C1299" s="14"/>
      <c r="D1299" s="13" t="n">
        <v>31</v>
      </c>
      <c r="E1299" s="13" t="s">
        <v>136</v>
      </c>
      <c r="F1299" s="13" t="s">
        <v>170</v>
      </c>
      <c r="G1299" s="13" t="s">
        <v>148</v>
      </c>
      <c r="H1299" s="13" t="s">
        <v>156</v>
      </c>
      <c r="I1299" s="13" t="n">
        <v>3</v>
      </c>
      <c r="J1299" s="13" t="n">
        <v>4</v>
      </c>
      <c r="K1299" s="13" t="n">
        <v>105500</v>
      </c>
      <c r="L1299" s="13"/>
      <c r="M1299" s="13"/>
      <c r="N1299" s="13" t="s">
        <v>142</v>
      </c>
    </row>
    <row r="1300" customFormat="false" ht="15" hidden="false" customHeight="false" outlineLevel="0" collapsed="false">
      <c r="A1300" s="13" t="s">
        <v>1518</v>
      </c>
      <c r="B1300" s="14" t="n">
        <v>44679</v>
      </c>
      <c r="C1300" s="14"/>
      <c r="D1300" s="13" t="n">
        <v>32</v>
      </c>
      <c r="E1300" s="13" t="s">
        <v>130</v>
      </c>
      <c r="F1300" s="13" t="s">
        <v>168</v>
      </c>
      <c r="G1300" s="13" t="s">
        <v>132</v>
      </c>
      <c r="H1300" s="13" t="s">
        <v>139</v>
      </c>
      <c r="I1300" s="13" t="n">
        <v>4</v>
      </c>
      <c r="J1300" s="13" t="n">
        <v>3</v>
      </c>
      <c r="K1300" s="13" t="n">
        <v>37500</v>
      </c>
      <c r="L1300" s="13"/>
      <c r="M1300" s="13"/>
      <c r="N1300" s="13" t="s">
        <v>134</v>
      </c>
    </row>
    <row r="1301" customFormat="false" ht="15" hidden="false" customHeight="false" outlineLevel="0" collapsed="false">
      <c r="A1301" s="13" t="s">
        <v>1519</v>
      </c>
      <c r="B1301" s="14" t="n">
        <v>44682</v>
      </c>
      <c r="C1301" s="14"/>
      <c r="D1301" s="13" t="n">
        <v>31</v>
      </c>
      <c r="E1301" s="13" t="s">
        <v>144</v>
      </c>
      <c r="F1301" s="13" t="s">
        <v>154</v>
      </c>
      <c r="G1301" s="13" t="s">
        <v>195</v>
      </c>
      <c r="H1301" s="13" t="s">
        <v>178</v>
      </c>
      <c r="I1301" s="13" t="n">
        <v>4</v>
      </c>
      <c r="J1301" s="13" t="n">
        <v>3</v>
      </c>
      <c r="K1301" s="13" t="n">
        <v>132000</v>
      </c>
      <c r="L1301" s="13"/>
      <c r="M1301" s="13"/>
      <c r="N1301" s="13" t="s">
        <v>142</v>
      </c>
    </row>
    <row r="1302" customFormat="false" ht="15" hidden="false" customHeight="false" outlineLevel="0" collapsed="false">
      <c r="A1302" s="13" t="s">
        <v>1520</v>
      </c>
      <c r="B1302" s="14" t="n">
        <v>44683</v>
      </c>
      <c r="C1302" s="14" t="n">
        <v>45737</v>
      </c>
      <c r="D1302" s="13" t="n">
        <v>40</v>
      </c>
      <c r="E1302" s="13" t="s">
        <v>136</v>
      </c>
      <c r="F1302" s="13" t="s">
        <v>241</v>
      </c>
      <c r="G1302" s="13" t="s">
        <v>188</v>
      </c>
      <c r="H1302" s="13" t="s">
        <v>139</v>
      </c>
      <c r="I1302" s="13" t="n">
        <v>3</v>
      </c>
      <c r="J1302" s="13" t="n">
        <v>2</v>
      </c>
      <c r="K1302" s="13" t="n">
        <v>40000</v>
      </c>
      <c r="L1302" s="13" t="s">
        <v>200</v>
      </c>
      <c r="M1302" s="13" t="s">
        <v>203</v>
      </c>
      <c r="N1302" s="13" t="s">
        <v>134</v>
      </c>
    </row>
    <row r="1303" customFormat="false" ht="15" hidden="false" customHeight="false" outlineLevel="0" collapsed="false">
      <c r="A1303" s="13" t="s">
        <v>1521</v>
      </c>
      <c r="B1303" s="14" t="n">
        <v>44683</v>
      </c>
      <c r="C1303" s="14" t="n">
        <v>45116</v>
      </c>
      <c r="D1303" s="13" t="n">
        <v>24</v>
      </c>
      <c r="E1303" s="13" t="s">
        <v>144</v>
      </c>
      <c r="F1303" s="13" t="s">
        <v>154</v>
      </c>
      <c r="G1303" s="13" t="s">
        <v>138</v>
      </c>
      <c r="H1303" s="13" t="s">
        <v>139</v>
      </c>
      <c r="I1303" s="13" t="n">
        <v>3</v>
      </c>
      <c r="J1303" s="13" t="n">
        <v>4</v>
      </c>
      <c r="K1303" s="13" t="n">
        <v>32000</v>
      </c>
      <c r="L1303" s="13" t="s">
        <v>173</v>
      </c>
      <c r="M1303" s="13" t="s">
        <v>273</v>
      </c>
      <c r="N1303" s="13" t="s">
        <v>157</v>
      </c>
    </row>
    <row r="1304" customFormat="false" ht="15" hidden="false" customHeight="false" outlineLevel="0" collapsed="false">
      <c r="A1304" s="13" t="s">
        <v>1522</v>
      </c>
      <c r="B1304" s="14" t="n">
        <v>44686</v>
      </c>
      <c r="C1304" s="14"/>
      <c r="D1304" s="13" t="n">
        <v>32</v>
      </c>
      <c r="E1304" s="13" t="s">
        <v>136</v>
      </c>
      <c r="F1304" s="13" t="s">
        <v>239</v>
      </c>
      <c r="G1304" s="13" t="s">
        <v>155</v>
      </c>
      <c r="H1304" s="13" t="s">
        <v>156</v>
      </c>
      <c r="I1304" s="13" t="n">
        <v>2</v>
      </c>
      <c r="J1304" s="13" t="n">
        <v>4</v>
      </c>
      <c r="K1304" s="13" t="n">
        <v>84000</v>
      </c>
      <c r="L1304" s="13"/>
      <c r="M1304" s="13"/>
      <c r="N1304" s="13" t="s">
        <v>142</v>
      </c>
    </row>
    <row r="1305" customFormat="false" ht="15" hidden="false" customHeight="false" outlineLevel="0" collapsed="false">
      <c r="A1305" s="13" t="s">
        <v>1523</v>
      </c>
      <c r="B1305" s="14" t="n">
        <v>44689</v>
      </c>
      <c r="C1305" s="14"/>
      <c r="D1305" s="13" t="n">
        <v>34</v>
      </c>
      <c r="E1305" s="13" t="s">
        <v>136</v>
      </c>
      <c r="F1305" s="13" t="s">
        <v>229</v>
      </c>
      <c r="G1305" s="13" t="s">
        <v>447</v>
      </c>
      <c r="H1305" s="13" t="s">
        <v>149</v>
      </c>
      <c r="I1305" s="13" t="n">
        <v>5</v>
      </c>
      <c r="J1305" s="13" t="n">
        <v>3</v>
      </c>
      <c r="K1305" s="13" t="n">
        <v>98500</v>
      </c>
      <c r="L1305" s="13"/>
      <c r="M1305" s="13"/>
      <c r="N1305" s="13" t="s">
        <v>214</v>
      </c>
    </row>
    <row r="1306" customFormat="false" ht="15" hidden="false" customHeight="false" outlineLevel="0" collapsed="false">
      <c r="A1306" s="13" t="s">
        <v>1524</v>
      </c>
      <c r="B1306" s="14" t="n">
        <v>44689</v>
      </c>
      <c r="C1306" s="14"/>
      <c r="D1306" s="13" t="n">
        <v>28</v>
      </c>
      <c r="E1306" s="13" t="s">
        <v>144</v>
      </c>
      <c r="F1306" s="13" t="s">
        <v>170</v>
      </c>
      <c r="G1306" s="13" t="s">
        <v>148</v>
      </c>
      <c r="H1306" s="13" t="s">
        <v>149</v>
      </c>
      <c r="I1306" s="13" t="n">
        <v>4</v>
      </c>
      <c r="J1306" s="13" t="n">
        <v>3</v>
      </c>
      <c r="K1306" s="13" t="n">
        <v>105000</v>
      </c>
      <c r="L1306" s="13"/>
      <c r="M1306" s="13"/>
      <c r="N1306" s="13" t="s">
        <v>134</v>
      </c>
    </row>
    <row r="1307" customFormat="false" ht="15" hidden="false" customHeight="false" outlineLevel="0" collapsed="false">
      <c r="A1307" s="13" t="s">
        <v>1525</v>
      </c>
      <c r="B1307" s="14" t="n">
        <v>44690</v>
      </c>
      <c r="C1307" s="14"/>
      <c r="D1307" s="13" t="n">
        <v>36</v>
      </c>
      <c r="E1307" s="13" t="s">
        <v>136</v>
      </c>
      <c r="F1307" s="13" t="s">
        <v>161</v>
      </c>
      <c r="G1307" s="13" t="s">
        <v>155</v>
      </c>
      <c r="H1307" s="13" t="s">
        <v>178</v>
      </c>
      <c r="I1307" s="13" t="n">
        <v>2</v>
      </c>
      <c r="J1307" s="13" t="n">
        <v>3</v>
      </c>
      <c r="K1307" s="13" t="n">
        <v>140000</v>
      </c>
      <c r="L1307" s="13"/>
      <c r="M1307" s="13"/>
      <c r="N1307" s="13" t="s">
        <v>214</v>
      </c>
    </row>
    <row r="1308" customFormat="false" ht="15" hidden="false" customHeight="false" outlineLevel="0" collapsed="false">
      <c r="A1308" s="13" t="s">
        <v>1526</v>
      </c>
      <c r="B1308" s="14" t="n">
        <v>44691</v>
      </c>
      <c r="C1308" s="14"/>
      <c r="D1308" s="13" t="n">
        <v>31</v>
      </c>
      <c r="E1308" s="13" t="s">
        <v>136</v>
      </c>
      <c r="F1308" s="13" t="s">
        <v>170</v>
      </c>
      <c r="G1308" s="13" t="s">
        <v>297</v>
      </c>
      <c r="H1308" s="13" t="s">
        <v>146</v>
      </c>
      <c r="I1308" s="13" t="n">
        <v>5</v>
      </c>
      <c r="J1308" s="13"/>
      <c r="K1308" s="13" t="n">
        <v>59000</v>
      </c>
      <c r="L1308" s="13"/>
      <c r="M1308" s="13"/>
      <c r="N1308" s="13" t="s">
        <v>142</v>
      </c>
    </row>
    <row r="1309" customFormat="false" ht="15" hidden="false" customHeight="false" outlineLevel="0" collapsed="false">
      <c r="A1309" s="13" t="s">
        <v>1527</v>
      </c>
      <c r="B1309" s="14" t="n">
        <v>44695</v>
      </c>
      <c r="C1309" s="14"/>
      <c r="D1309" s="13" t="n">
        <v>39</v>
      </c>
      <c r="E1309" s="13" t="s">
        <v>136</v>
      </c>
      <c r="F1309" s="13" t="s">
        <v>170</v>
      </c>
      <c r="G1309" s="13" t="s">
        <v>132</v>
      </c>
      <c r="H1309" s="13" t="s">
        <v>139</v>
      </c>
      <c r="I1309" s="13" t="n">
        <v>3</v>
      </c>
      <c r="J1309" s="13" t="n">
        <v>4</v>
      </c>
      <c r="K1309" s="13" t="n">
        <v>42000</v>
      </c>
      <c r="L1309" s="13"/>
      <c r="M1309" s="13"/>
      <c r="N1309" s="13" t="s">
        <v>142</v>
      </c>
    </row>
    <row r="1310" customFormat="false" ht="15" hidden="false" customHeight="false" outlineLevel="0" collapsed="false">
      <c r="A1310" s="13" t="s">
        <v>1528</v>
      </c>
      <c r="B1310" s="14" t="n">
        <v>44697</v>
      </c>
      <c r="C1310" s="14"/>
      <c r="D1310" s="13" t="n">
        <v>25</v>
      </c>
      <c r="E1310" s="13" t="s">
        <v>182</v>
      </c>
      <c r="F1310" s="13" t="s">
        <v>154</v>
      </c>
      <c r="G1310" s="13" t="s">
        <v>132</v>
      </c>
      <c r="H1310" s="13" t="s">
        <v>139</v>
      </c>
      <c r="I1310" s="13" t="n">
        <v>3</v>
      </c>
      <c r="J1310" s="13" t="n">
        <v>4</v>
      </c>
      <c r="K1310" s="13" t="n">
        <v>35000</v>
      </c>
      <c r="L1310" s="13"/>
      <c r="M1310" s="13"/>
      <c r="N1310" s="13" t="s">
        <v>142</v>
      </c>
    </row>
    <row r="1311" customFormat="false" ht="15" hidden="false" customHeight="false" outlineLevel="0" collapsed="false">
      <c r="A1311" s="13" t="s">
        <v>1529</v>
      </c>
      <c r="B1311" s="14" t="n">
        <v>44698</v>
      </c>
      <c r="C1311" s="14"/>
      <c r="D1311" s="13"/>
      <c r="E1311" s="13" t="s">
        <v>144</v>
      </c>
      <c r="F1311" s="13" t="s">
        <v>170</v>
      </c>
      <c r="G1311" s="13" t="s">
        <v>138</v>
      </c>
      <c r="H1311" s="13" t="s">
        <v>192</v>
      </c>
      <c r="I1311" s="13" t="n">
        <v>4</v>
      </c>
      <c r="J1311" s="13" t="n">
        <v>3</v>
      </c>
      <c r="K1311" s="13" t="n">
        <v>201500</v>
      </c>
      <c r="L1311" s="13"/>
      <c r="M1311" s="13"/>
      <c r="N1311" s="13" t="s">
        <v>134</v>
      </c>
    </row>
    <row r="1312" customFormat="false" ht="15" hidden="false" customHeight="false" outlineLevel="0" collapsed="false">
      <c r="A1312" s="13" t="s">
        <v>1530</v>
      </c>
      <c r="B1312" s="14" t="n">
        <v>44699</v>
      </c>
      <c r="C1312" s="14"/>
      <c r="D1312" s="13" t="n">
        <v>38</v>
      </c>
      <c r="E1312" s="13" t="s">
        <v>163</v>
      </c>
      <c r="F1312" s="13" t="s">
        <v>168</v>
      </c>
      <c r="G1312" s="13" t="s">
        <v>148</v>
      </c>
      <c r="H1312" s="13" t="s">
        <v>156</v>
      </c>
      <c r="I1312" s="13" t="n">
        <v>4</v>
      </c>
      <c r="J1312" s="13" t="n">
        <v>3</v>
      </c>
      <c r="K1312" s="13" t="n">
        <v>104000</v>
      </c>
      <c r="L1312" s="13"/>
      <c r="M1312" s="13"/>
      <c r="N1312" s="13" t="s">
        <v>142</v>
      </c>
    </row>
    <row r="1313" customFormat="false" ht="15" hidden="false" customHeight="false" outlineLevel="0" collapsed="false">
      <c r="A1313" s="13" t="s">
        <v>1531</v>
      </c>
      <c r="B1313" s="14" t="n">
        <v>44701</v>
      </c>
      <c r="C1313" s="14"/>
      <c r="D1313" s="13" t="n">
        <v>41</v>
      </c>
      <c r="E1313" s="13" t="s">
        <v>186</v>
      </c>
      <c r="F1313" s="13" t="s">
        <v>168</v>
      </c>
      <c r="G1313" s="13" t="s">
        <v>155</v>
      </c>
      <c r="H1313" s="13" t="s">
        <v>192</v>
      </c>
      <c r="I1313" s="13" t="n">
        <v>3</v>
      </c>
      <c r="J1313" s="13" t="n">
        <v>3</v>
      </c>
      <c r="K1313" s="13" t="n">
        <v>191500</v>
      </c>
      <c r="L1313" s="13"/>
      <c r="M1313" s="13"/>
      <c r="N1313" s="13" t="s">
        <v>157</v>
      </c>
    </row>
    <row r="1314" customFormat="false" ht="15" hidden="false" customHeight="false" outlineLevel="0" collapsed="false">
      <c r="A1314" s="13" t="s">
        <v>1532</v>
      </c>
      <c r="B1314" s="14" t="n">
        <v>44702</v>
      </c>
      <c r="C1314" s="14"/>
      <c r="D1314" s="13" t="n">
        <v>35</v>
      </c>
      <c r="E1314" s="13" t="s">
        <v>136</v>
      </c>
      <c r="F1314" s="13" t="s">
        <v>137</v>
      </c>
      <c r="G1314" s="13" t="s">
        <v>138</v>
      </c>
      <c r="H1314" s="13" t="s">
        <v>178</v>
      </c>
      <c r="I1314" s="13" t="n">
        <v>4</v>
      </c>
      <c r="J1314" s="13" t="n">
        <v>4</v>
      </c>
      <c r="K1314" s="13" t="n">
        <v>121500</v>
      </c>
      <c r="L1314" s="13"/>
      <c r="M1314" s="13"/>
      <c r="N1314" s="13" t="s">
        <v>142</v>
      </c>
    </row>
    <row r="1315" customFormat="false" ht="15" hidden="false" customHeight="false" outlineLevel="0" collapsed="false">
      <c r="A1315" s="13" t="s">
        <v>1533</v>
      </c>
      <c r="B1315" s="14" t="n">
        <v>44702</v>
      </c>
      <c r="C1315" s="14"/>
      <c r="D1315" s="13" t="n">
        <v>28</v>
      </c>
      <c r="E1315" s="13" t="s">
        <v>144</v>
      </c>
      <c r="F1315" s="13" t="s">
        <v>168</v>
      </c>
      <c r="G1315" s="13" t="s">
        <v>155</v>
      </c>
      <c r="H1315" s="13" t="s">
        <v>166</v>
      </c>
      <c r="I1315" s="13" t="n">
        <v>1</v>
      </c>
      <c r="J1315" s="13" t="n">
        <v>1</v>
      </c>
      <c r="K1315" s="13" t="n">
        <v>104000</v>
      </c>
      <c r="L1315" s="13"/>
      <c r="M1315" s="13"/>
      <c r="N1315" s="13" t="s">
        <v>142</v>
      </c>
    </row>
    <row r="1316" customFormat="false" ht="15" hidden="false" customHeight="false" outlineLevel="0" collapsed="false">
      <c r="A1316" s="13" t="s">
        <v>1534</v>
      </c>
      <c r="B1316" s="14" t="n">
        <v>44705</v>
      </c>
      <c r="C1316" s="14"/>
      <c r="D1316" s="13" t="n">
        <v>30</v>
      </c>
      <c r="E1316" s="13" t="s">
        <v>259</v>
      </c>
      <c r="F1316" s="13" t="s">
        <v>137</v>
      </c>
      <c r="G1316" s="13" t="s">
        <v>155</v>
      </c>
      <c r="H1316" s="13" t="s">
        <v>149</v>
      </c>
      <c r="I1316" s="13" t="n">
        <v>4</v>
      </c>
      <c r="J1316" s="13" t="n">
        <v>3</v>
      </c>
      <c r="K1316" s="13" t="n">
        <v>122500</v>
      </c>
      <c r="L1316" s="13"/>
      <c r="M1316" s="13"/>
      <c r="N1316" s="13" t="s">
        <v>142</v>
      </c>
    </row>
    <row r="1317" customFormat="false" ht="15" hidden="false" customHeight="false" outlineLevel="0" collapsed="false">
      <c r="A1317" s="13" t="s">
        <v>1535</v>
      </c>
      <c r="B1317" s="14" t="n">
        <v>44706</v>
      </c>
      <c r="C1317" s="14"/>
      <c r="D1317" s="13" t="n">
        <v>27</v>
      </c>
      <c r="E1317" s="13" t="s">
        <v>136</v>
      </c>
      <c r="F1317" s="13" t="s">
        <v>168</v>
      </c>
      <c r="G1317" s="13" t="s">
        <v>191</v>
      </c>
      <c r="H1317" s="13" t="s">
        <v>219</v>
      </c>
      <c r="I1317" s="13" t="n">
        <v>4</v>
      </c>
      <c r="J1317" s="13" t="n">
        <v>2</v>
      </c>
      <c r="K1317" s="13" t="n">
        <v>40500</v>
      </c>
      <c r="L1317" s="13"/>
      <c r="M1317" s="13"/>
      <c r="N1317" s="13" t="s">
        <v>142</v>
      </c>
    </row>
    <row r="1318" customFormat="false" ht="15" hidden="false" customHeight="false" outlineLevel="0" collapsed="false">
      <c r="A1318" s="13" t="s">
        <v>1536</v>
      </c>
      <c r="B1318" s="14" t="n">
        <v>44707</v>
      </c>
      <c r="C1318" s="14" t="n">
        <v>45253</v>
      </c>
      <c r="D1318" s="13" t="n">
        <v>22</v>
      </c>
      <c r="E1318" s="13" t="s">
        <v>136</v>
      </c>
      <c r="F1318" s="13" t="s">
        <v>168</v>
      </c>
      <c r="G1318" s="13" t="s">
        <v>224</v>
      </c>
      <c r="H1318" s="13" t="s">
        <v>246</v>
      </c>
      <c r="I1318" s="13" t="n">
        <v>1</v>
      </c>
      <c r="J1318" s="13" t="n">
        <v>2</v>
      </c>
      <c r="K1318" s="13" t="n">
        <v>126500</v>
      </c>
      <c r="L1318" s="13" t="s">
        <v>173</v>
      </c>
      <c r="M1318" s="13" t="s">
        <v>273</v>
      </c>
      <c r="N1318" s="13" t="s">
        <v>142</v>
      </c>
    </row>
    <row r="1319" customFormat="false" ht="15" hidden="false" customHeight="false" outlineLevel="0" collapsed="false">
      <c r="A1319" s="13" t="s">
        <v>1537</v>
      </c>
      <c r="B1319" s="14" t="n">
        <v>44710</v>
      </c>
      <c r="C1319" s="14" t="n">
        <v>45587</v>
      </c>
      <c r="D1319" s="13" t="n">
        <v>34</v>
      </c>
      <c r="E1319" s="13" t="s">
        <v>163</v>
      </c>
      <c r="F1319" s="13" t="s">
        <v>131</v>
      </c>
      <c r="G1319" s="13" t="s">
        <v>155</v>
      </c>
      <c r="H1319" s="13" t="s">
        <v>178</v>
      </c>
      <c r="I1319" s="13" t="n">
        <v>1</v>
      </c>
      <c r="J1319" s="13" t="n">
        <v>2</v>
      </c>
      <c r="K1319" s="13" t="n">
        <v>139000</v>
      </c>
      <c r="L1319" s="13" t="s">
        <v>151</v>
      </c>
      <c r="M1319" s="13" t="s">
        <v>152</v>
      </c>
      <c r="N1319" s="13" t="s">
        <v>134</v>
      </c>
    </row>
    <row r="1320" customFormat="false" ht="15" hidden="false" customHeight="false" outlineLevel="0" collapsed="false">
      <c r="A1320" s="13" t="s">
        <v>1538</v>
      </c>
      <c r="B1320" s="14" t="n">
        <v>44712</v>
      </c>
      <c r="C1320" s="14"/>
      <c r="D1320" s="13" t="n">
        <v>29</v>
      </c>
      <c r="E1320" s="13" t="s">
        <v>136</v>
      </c>
      <c r="F1320" s="13" t="s">
        <v>241</v>
      </c>
      <c r="G1320" s="13" t="s">
        <v>155</v>
      </c>
      <c r="H1320" s="13" t="s">
        <v>146</v>
      </c>
      <c r="I1320" s="13" t="n">
        <v>4</v>
      </c>
      <c r="J1320" s="13" t="n">
        <v>4</v>
      </c>
      <c r="K1320" s="13" t="n">
        <v>69000</v>
      </c>
      <c r="L1320" s="13"/>
      <c r="M1320" s="13"/>
      <c r="N1320" s="13" t="s">
        <v>142</v>
      </c>
    </row>
    <row r="1321" customFormat="false" ht="15" hidden="false" customHeight="false" outlineLevel="0" collapsed="false">
      <c r="A1321" s="13" t="s">
        <v>1539</v>
      </c>
      <c r="B1321" s="14" t="n">
        <v>44713</v>
      </c>
      <c r="C1321" s="14"/>
      <c r="D1321" s="13" t="n">
        <v>33</v>
      </c>
      <c r="E1321" s="13" t="s">
        <v>144</v>
      </c>
      <c r="F1321" s="13" t="s">
        <v>231</v>
      </c>
      <c r="G1321" s="13" t="s">
        <v>155</v>
      </c>
      <c r="H1321" s="13" t="s">
        <v>146</v>
      </c>
      <c r="I1321" s="13" t="n">
        <v>3</v>
      </c>
      <c r="J1321" s="13" t="n">
        <v>4</v>
      </c>
      <c r="K1321" s="13" t="n">
        <v>57000</v>
      </c>
      <c r="L1321" s="13"/>
      <c r="M1321" s="13"/>
      <c r="N1321" s="13" t="s">
        <v>142</v>
      </c>
    </row>
    <row r="1322" customFormat="false" ht="15" hidden="false" customHeight="false" outlineLevel="0" collapsed="false">
      <c r="A1322" s="13" t="s">
        <v>1540</v>
      </c>
      <c r="B1322" s="14" t="n">
        <v>44717</v>
      </c>
      <c r="C1322" s="14"/>
      <c r="D1322" s="13" t="n">
        <v>39</v>
      </c>
      <c r="E1322" s="13" t="s">
        <v>144</v>
      </c>
      <c r="F1322" s="13" t="s">
        <v>161</v>
      </c>
      <c r="G1322" s="13" t="s">
        <v>155</v>
      </c>
      <c r="H1322" s="13" t="s">
        <v>146</v>
      </c>
      <c r="I1322" s="13" t="n">
        <v>5</v>
      </c>
      <c r="J1322" s="13" t="n">
        <v>4</v>
      </c>
      <c r="K1322" s="13" t="n">
        <v>51000</v>
      </c>
      <c r="L1322" s="13"/>
      <c r="M1322" s="13"/>
      <c r="N1322" s="13" t="s">
        <v>142</v>
      </c>
    </row>
    <row r="1323" customFormat="false" ht="15" hidden="false" customHeight="false" outlineLevel="0" collapsed="false">
      <c r="A1323" s="13" t="s">
        <v>1541</v>
      </c>
      <c r="B1323" s="14" t="n">
        <v>44719</v>
      </c>
      <c r="C1323" s="14"/>
      <c r="D1323" s="13" t="n">
        <v>26</v>
      </c>
      <c r="E1323" s="13" t="s">
        <v>130</v>
      </c>
      <c r="F1323" s="13" t="s">
        <v>164</v>
      </c>
      <c r="G1323" s="13" t="s">
        <v>132</v>
      </c>
      <c r="H1323" s="13" t="s">
        <v>156</v>
      </c>
      <c r="I1323" s="13" t="n">
        <v>4</v>
      </c>
      <c r="J1323" s="13" t="n">
        <v>3</v>
      </c>
      <c r="K1323" s="13" t="n">
        <v>95500</v>
      </c>
      <c r="L1323" s="13"/>
      <c r="M1323" s="13"/>
      <c r="N1323" s="13" t="s">
        <v>142</v>
      </c>
    </row>
    <row r="1324" customFormat="false" ht="15" hidden="false" customHeight="false" outlineLevel="0" collapsed="false">
      <c r="A1324" s="13" t="s">
        <v>1542</v>
      </c>
      <c r="B1324" s="14" t="n">
        <v>44722</v>
      </c>
      <c r="C1324" s="14"/>
      <c r="D1324" s="13" t="n">
        <v>35</v>
      </c>
      <c r="E1324" s="13" t="s">
        <v>144</v>
      </c>
      <c r="F1324" s="13" t="s">
        <v>168</v>
      </c>
      <c r="G1324" s="13" t="s">
        <v>191</v>
      </c>
      <c r="H1324" s="13" t="s">
        <v>139</v>
      </c>
      <c r="I1324" s="13" t="n">
        <v>3</v>
      </c>
      <c r="J1324" s="13" t="n">
        <v>3</v>
      </c>
      <c r="K1324" s="13" t="n">
        <v>45000</v>
      </c>
      <c r="L1324" s="13"/>
      <c r="M1324" s="13"/>
      <c r="N1324" s="13" t="s">
        <v>142</v>
      </c>
    </row>
    <row r="1325" customFormat="false" ht="15" hidden="false" customHeight="false" outlineLevel="0" collapsed="false">
      <c r="A1325" s="13" t="s">
        <v>1543</v>
      </c>
      <c r="B1325" s="14" t="n">
        <v>44725</v>
      </c>
      <c r="C1325" s="14" t="n">
        <v>45482</v>
      </c>
      <c r="D1325" s="13" t="n">
        <v>25</v>
      </c>
      <c r="E1325" s="13" t="s">
        <v>136</v>
      </c>
      <c r="F1325" s="13" t="s">
        <v>145</v>
      </c>
      <c r="G1325" s="13" t="s">
        <v>155</v>
      </c>
      <c r="H1325" s="13" t="s">
        <v>192</v>
      </c>
      <c r="I1325" s="13" t="n">
        <v>3</v>
      </c>
      <c r="J1325" s="13" t="n">
        <v>3</v>
      </c>
      <c r="K1325" s="13" t="n">
        <v>185000</v>
      </c>
      <c r="L1325" s="13" t="s">
        <v>151</v>
      </c>
      <c r="M1325" s="13" t="s">
        <v>159</v>
      </c>
      <c r="N1325" s="13" t="s">
        <v>142</v>
      </c>
    </row>
    <row r="1326" customFormat="false" ht="15" hidden="false" customHeight="false" outlineLevel="0" collapsed="false">
      <c r="A1326" s="13" t="s">
        <v>1544</v>
      </c>
      <c r="B1326" s="14" t="n">
        <v>44725</v>
      </c>
      <c r="C1326" s="14"/>
      <c r="D1326" s="13" t="n">
        <v>30</v>
      </c>
      <c r="E1326" s="13" t="s">
        <v>136</v>
      </c>
      <c r="F1326" s="13" t="s">
        <v>168</v>
      </c>
      <c r="G1326" s="13" t="s">
        <v>155</v>
      </c>
      <c r="H1326" s="13" t="s">
        <v>146</v>
      </c>
      <c r="I1326" s="13" t="n">
        <v>3</v>
      </c>
      <c r="J1326" s="13" t="n">
        <v>4</v>
      </c>
      <c r="K1326" s="13" t="n">
        <v>61000</v>
      </c>
      <c r="L1326" s="13"/>
      <c r="M1326" s="13"/>
      <c r="N1326" s="13" t="s">
        <v>134</v>
      </c>
    </row>
    <row r="1327" customFormat="false" ht="15" hidden="false" customHeight="false" outlineLevel="0" collapsed="false">
      <c r="A1327" s="13" t="s">
        <v>1545</v>
      </c>
      <c r="B1327" s="14" t="n">
        <v>44727</v>
      </c>
      <c r="C1327" s="14" t="n">
        <v>45270</v>
      </c>
      <c r="D1327" s="13" t="n">
        <v>26</v>
      </c>
      <c r="E1327" s="13" t="s">
        <v>163</v>
      </c>
      <c r="F1327" s="13" t="s">
        <v>154</v>
      </c>
      <c r="G1327" s="13" t="s">
        <v>155</v>
      </c>
      <c r="H1327" s="13" t="s">
        <v>139</v>
      </c>
      <c r="I1327" s="13" t="n">
        <v>3</v>
      </c>
      <c r="J1327" s="13" t="n">
        <v>1</v>
      </c>
      <c r="K1327" s="13" t="n">
        <v>35500</v>
      </c>
      <c r="L1327" s="13" t="s">
        <v>151</v>
      </c>
      <c r="M1327" s="13" t="s">
        <v>201</v>
      </c>
      <c r="N1327" s="13" t="s">
        <v>142</v>
      </c>
    </row>
    <row r="1328" customFormat="false" ht="15" hidden="false" customHeight="false" outlineLevel="0" collapsed="false">
      <c r="A1328" s="13" t="s">
        <v>1546</v>
      </c>
      <c r="B1328" s="14" t="n">
        <v>44731</v>
      </c>
      <c r="C1328" s="14" t="n">
        <v>45493</v>
      </c>
      <c r="D1328" s="13" t="n">
        <v>31</v>
      </c>
      <c r="E1328" s="13" t="s">
        <v>144</v>
      </c>
      <c r="F1328" s="13" t="s">
        <v>161</v>
      </c>
      <c r="G1328" s="13" t="s">
        <v>132</v>
      </c>
      <c r="H1328" s="13" t="s">
        <v>166</v>
      </c>
      <c r="I1328" s="13" t="n">
        <v>4</v>
      </c>
      <c r="J1328" s="13" t="n">
        <v>2</v>
      </c>
      <c r="K1328" s="13" t="n">
        <v>82000</v>
      </c>
      <c r="L1328" s="13" t="s">
        <v>151</v>
      </c>
      <c r="M1328" s="13" t="s">
        <v>206</v>
      </c>
      <c r="N1328" s="13" t="s">
        <v>157</v>
      </c>
    </row>
    <row r="1329" customFormat="false" ht="15" hidden="false" customHeight="false" outlineLevel="0" collapsed="false">
      <c r="A1329" s="13" t="s">
        <v>1547</v>
      </c>
      <c r="B1329" s="14" t="n">
        <v>44733</v>
      </c>
      <c r="C1329" s="14" t="n">
        <v>44872</v>
      </c>
      <c r="D1329" s="13" t="n">
        <v>24</v>
      </c>
      <c r="E1329" s="13" t="s">
        <v>190</v>
      </c>
      <c r="F1329" s="13" t="s">
        <v>145</v>
      </c>
      <c r="G1329" s="13" t="s">
        <v>148</v>
      </c>
      <c r="H1329" s="13" t="s">
        <v>139</v>
      </c>
      <c r="I1329" s="13" t="n">
        <v>4</v>
      </c>
      <c r="J1329" s="13" t="n">
        <v>2</v>
      </c>
      <c r="K1329" s="13" t="n">
        <v>41500</v>
      </c>
      <c r="L1329" s="13" t="s">
        <v>151</v>
      </c>
      <c r="M1329" s="13" t="s">
        <v>216</v>
      </c>
      <c r="N1329" s="13" t="s">
        <v>142</v>
      </c>
    </row>
    <row r="1330" customFormat="false" ht="15" hidden="false" customHeight="false" outlineLevel="0" collapsed="false">
      <c r="A1330" s="13" t="s">
        <v>1548</v>
      </c>
      <c r="B1330" s="14" t="n">
        <v>44734</v>
      </c>
      <c r="C1330" s="14"/>
      <c r="D1330" s="13" t="n">
        <v>34</v>
      </c>
      <c r="E1330" s="13" t="s">
        <v>136</v>
      </c>
      <c r="F1330" s="13" t="s">
        <v>170</v>
      </c>
      <c r="G1330" s="13" t="s">
        <v>132</v>
      </c>
      <c r="H1330" s="13" t="s">
        <v>192</v>
      </c>
      <c r="I1330" s="13" t="n">
        <v>4</v>
      </c>
      <c r="J1330" s="13" t="n">
        <v>3</v>
      </c>
      <c r="K1330" s="13" t="n">
        <v>217000</v>
      </c>
      <c r="L1330" s="13"/>
      <c r="M1330" s="13"/>
      <c r="N1330" s="13" t="s">
        <v>142</v>
      </c>
    </row>
    <row r="1331" customFormat="false" ht="15" hidden="false" customHeight="false" outlineLevel="0" collapsed="false">
      <c r="A1331" s="13" t="s">
        <v>1549</v>
      </c>
      <c r="B1331" s="14" t="n">
        <v>44737</v>
      </c>
      <c r="C1331" s="14"/>
      <c r="D1331" s="13" t="n">
        <v>28</v>
      </c>
      <c r="E1331" s="13" t="s">
        <v>136</v>
      </c>
      <c r="F1331" s="13" t="s">
        <v>231</v>
      </c>
      <c r="G1331" s="13" t="s">
        <v>138</v>
      </c>
      <c r="H1331" s="13" t="s">
        <v>192</v>
      </c>
      <c r="I1331" s="13" t="n">
        <v>2</v>
      </c>
      <c r="J1331" s="13" t="n">
        <v>4</v>
      </c>
      <c r="K1331" s="13" t="n">
        <v>189000</v>
      </c>
      <c r="L1331" s="13"/>
      <c r="M1331" s="13"/>
      <c r="N1331" s="13" t="s">
        <v>255</v>
      </c>
    </row>
    <row r="1332" customFormat="false" ht="15" hidden="false" customHeight="false" outlineLevel="0" collapsed="false">
      <c r="A1332" s="13" t="s">
        <v>1550</v>
      </c>
      <c r="B1332" s="14" t="n">
        <v>44746</v>
      </c>
      <c r="C1332" s="14" t="n">
        <v>45099</v>
      </c>
      <c r="D1332" s="13" t="n">
        <v>30</v>
      </c>
      <c r="E1332" s="13" t="s">
        <v>144</v>
      </c>
      <c r="F1332" s="13" t="s">
        <v>168</v>
      </c>
      <c r="G1332" s="13" t="s">
        <v>148</v>
      </c>
      <c r="H1332" s="13" t="s">
        <v>149</v>
      </c>
      <c r="I1332" s="13" t="n">
        <v>3</v>
      </c>
      <c r="J1332" s="13" t="n">
        <v>4</v>
      </c>
      <c r="K1332" s="13" t="n">
        <v>97500</v>
      </c>
      <c r="L1332" s="13" t="s">
        <v>173</v>
      </c>
      <c r="M1332" s="13" t="s">
        <v>254</v>
      </c>
      <c r="N1332" s="13" t="s">
        <v>142</v>
      </c>
    </row>
    <row r="1333" customFormat="false" ht="15" hidden="false" customHeight="false" outlineLevel="0" collapsed="false">
      <c r="A1333" s="13" t="s">
        <v>1551</v>
      </c>
      <c r="B1333" s="14" t="n">
        <v>44749</v>
      </c>
      <c r="C1333" s="14"/>
      <c r="D1333" s="13" t="n">
        <v>32</v>
      </c>
      <c r="E1333" s="13" t="s">
        <v>136</v>
      </c>
      <c r="F1333" s="13" t="s">
        <v>239</v>
      </c>
      <c r="G1333" s="13" t="s">
        <v>191</v>
      </c>
      <c r="H1333" s="13" t="s">
        <v>139</v>
      </c>
      <c r="I1333" s="13" t="n">
        <v>1</v>
      </c>
      <c r="J1333" s="13" t="n">
        <v>3</v>
      </c>
      <c r="K1333" s="13" t="n">
        <v>34500</v>
      </c>
      <c r="L1333" s="13"/>
      <c r="M1333" s="13"/>
      <c r="N1333" s="13" t="s">
        <v>142</v>
      </c>
    </row>
    <row r="1334" customFormat="false" ht="15" hidden="false" customHeight="false" outlineLevel="0" collapsed="false">
      <c r="A1334" s="13" t="s">
        <v>1552</v>
      </c>
      <c r="B1334" s="14" t="n">
        <v>44753</v>
      </c>
      <c r="C1334" s="14" t="n">
        <v>45663</v>
      </c>
      <c r="D1334" s="13" t="n">
        <v>31</v>
      </c>
      <c r="E1334" s="13" t="s">
        <v>136</v>
      </c>
      <c r="F1334" s="13" t="s">
        <v>161</v>
      </c>
      <c r="G1334" s="13" t="s">
        <v>132</v>
      </c>
      <c r="H1334" s="13" t="s">
        <v>178</v>
      </c>
      <c r="I1334" s="13" t="n">
        <v>3</v>
      </c>
      <c r="J1334" s="13" t="n">
        <v>3</v>
      </c>
      <c r="K1334" s="13" t="n">
        <v>154500</v>
      </c>
      <c r="L1334" s="13" t="s">
        <v>200</v>
      </c>
      <c r="M1334" s="13" t="s">
        <v>159</v>
      </c>
      <c r="N1334" s="13" t="s">
        <v>142</v>
      </c>
    </row>
    <row r="1335" customFormat="false" ht="15" hidden="false" customHeight="false" outlineLevel="0" collapsed="false">
      <c r="A1335" s="13" t="s">
        <v>1553</v>
      </c>
      <c r="B1335" s="14" t="n">
        <v>44754</v>
      </c>
      <c r="C1335" s="14"/>
      <c r="D1335" s="13" t="n">
        <v>39</v>
      </c>
      <c r="E1335" s="13" t="s">
        <v>136</v>
      </c>
      <c r="F1335" s="13" t="s">
        <v>168</v>
      </c>
      <c r="G1335" s="13" t="s">
        <v>138</v>
      </c>
      <c r="H1335" s="13" t="s">
        <v>139</v>
      </c>
      <c r="I1335" s="13" t="n">
        <v>4</v>
      </c>
      <c r="J1335" s="13" t="n">
        <v>3</v>
      </c>
      <c r="K1335" s="13" t="n">
        <v>35500</v>
      </c>
      <c r="L1335" s="13"/>
      <c r="M1335" s="13"/>
      <c r="N1335" s="13" t="s">
        <v>142</v>
      </c>
    </row>
    <row r="1336" customFormat="false" ht="15" hidden="false" customHeight="false" outlineLevel="0" collapsed="false">
      <c r="A1336" s="13" t="s">
        <v>1554</v>
      </c>
      <c r="B1336" s="14" t="n">
        <v>44755</v>
      </c>
      <c r="C1336" s="14"/>
      <c r="D1336" s="13" t="n">
        <v>33</v>
      </c>
      <c r="E1336" s="13" t="s">
        <v>182</v>
      </c>
      <c r="F1336" s="13" t="s">
        <v>137</v>
      </c>
      <c r="G1336" s="13" t="s">
        <v>155</v>
      </c>
      <c r="H1336" s="13" t="s">
        <v>242</v>
      </c>
      <c r="I1336" s="13" t="n">
        <v>4</v>
      </c>
      <c r="J1336" s="13" t="n">
        <v>1</v>
      </c>
      <c r="K1336" s="13" t="n">
        <v>91500</v>
      </c>
      <c r="L1336" s="13"/>
      <c r="M1336" s="13"/>
      <c r="N1336" s="13" t="s">
        <v>142</v>
      </c>
    </row>
    <row r="1337" customFormat="false" ht="15" hidden="false" customHeight="false" outlineLevel="0" collapsed="false">
      <c r="A1337" s="13" t="s">
        <v>1555</v>
      </c>
      <c r="B1337" s="14" t="n">
        <v>44756</v>
      </c>
      <c r="C1337" s="14"/>
      <c r="D1337" s="13" t="n">
        <v>30</v>
      </c>
      <c r="E1337" s="13" t="s">
        <v>144</v>
      </c>
      <c r="F1337" s="13" t="s">
        <v>170</v>
      </c>
      <c r="G1337" s="13" t="s">
        <v>447</v>
      </c>
      <c r="H1337" s="13" t="s">
        <v>139</v>
      </c>
      <c r="I1337" s="13" t="n">
        <v>2</v>
      </c>
      <c r="J1337" s="13"/>
      <c r="K1337" s="13" t="n">
        <v>40000</v>
      </c>
      <c r="L1337" s="13"/>
      <c r="M1337" s="13"/>
      <c r="N1337" s="13" t="s">
        <v>134</v>
      </c>
    </row>
    <row r="1338" customFormat="false" ht="15" hidden="false" customHeight="false" outlineLevel="0" collapsed="false">
      <c r="A1338" s="13" t="s">
        <v>1556</v>
      </c>
      <c r="B1338" s="14" t="n">
        <v>44756</v>
      </c>
      <c r="C1338" s="14" t="n">
        <v>45011</v>
      </c>
      <c r="D1338" s="13" t="n">
        <v>26</v>
      </c>
      <c r="E1338" s="13" t="s">
        <v>144</v>
      </c>
      <c r="F1338" s="13" t="s">
        <v>137</v>
      </c>
      <c r="G1338" s="13" t="s">
        <v>148</v>
      </c>
      <c r="H1338" s="13" t="s">
        <v>343</v>
      </c>
      <c r="I1338" s="13" t="n">
        <v>3</v>
      </c>
      <c r="J1338" s="13" t="n">
        <v>3</v>
      </c>
      <c r="K1338" s="13" t="n">
        <v>114000</v>
      </c>
      <c r="L1338" s="13" t="s">
        <v>151</v>
      </c>
      <c r="M1338" s="13" t="s">
        <v>152</v>
      </c>
      <c r="N1338" s="13" t="s">
        <v>142</v>
      </c>
    </row>
    <row r="1339" customFormat="false" ht="15" hidden="false" customHeight="false" outlineLevel="0" collapsed="false">
      <c r="A1339" s="13" t="s">
        <v>1557</v>
      </c>
      <c r="B1339" s="14" t="n">
        <v>44757</v>
      </c>
      <c r="C1339" s="14"/>
      <c r="D1339" s="13" t="n">
        <v>38</v>
      </c>
      <c r="E1339" s="13" t="s">
        <v>190</v>
      </c>
      <c r="F1339" s="13" t="s">
        <v>168</v>
      </c>
      <c r="G1339" s="13" t="s">
        <v>138</v>
      </c>
      <c r="H1339" s="13" t="s">
        <v>149</v>
      </c>
      <c r="I1339" s="13" t="n">
        <v>3</v>
      </c>
      <c r="J1339" s="13" t="n">
        <v>4</v>
      </c>
      <c r="K1339" s="13" t="n">
        <v>103000</v>
      </c>
      <c r="L1339" s="13"/>
      <c r="M1339" s="13"/>
      <c r="N1339" s="13" t="s">
        <v>142</v>
      </c>
    </row>
    <row r="1340" customFormat="false" ht="15" hidden="false" customHeight="false" outlineLevel="0" collapsed="false">
      <c r="A1340" s="13" t="s">
        <v>1558</v>
      </c>
      <c r="B1340" s="14" t="n">
        <v>44757</v>
      </c>
      <c r="C1340" s="14" t="n">
        <v>44814</v>
      </c>
      <c r="D1340" s="13" t="n">
        <v>25</v>
      </c>
      <c r="E1340" s="13" t="s">
        <v>144</v>
      </c>
      <c r="F1340" s="13" t="s">
        <v>168</v>
      </c>
      <c r="G1340" s="13" t="s">
        <v>155</v>
      </c>
      <c r="H1340" s="13" t="s">
        <v>146</v>
      </c>
      <c r="I1340" s="13" t="n">
        <v>3</v>
      </c>
      <c r="J1340" s="13" t="n">
        <v>4</v>
      </c>
      <c r="K1340" s="13" t="n">
        <v>53000</v>
      </c>
      <c r="L1340" s="13" t="s">
        <v>151</v>
      </c>
      <c r="M1340" s="13" t="s">
        <v>152</v>
      </c>
      <c r="N1340" s="13" t="s">
        <v>134</v>
      </c>
    </row>
    <row r="1341" customFormat="false" ht="15" hidden="false" customHeight="false" outlineLevel="0" collapsed="false">
      <c r="A1341" s="13" t="s">
        <v>1559</v>
      </c>
      <c r="B1341" s="14" t="n">
        <v>44759</v>
      </c>
      <c r="C1341" s="14"/>
      <c r="D1341" s="13" t="n">
        <v>29</v>
      </c>
      <c r="E1341" s="13" t="s">
        <v>190</v>
      </c>
      <c r="F1341" s="13" t="s">
        <v>137</v>
      </c>
      <c r="G1341" s="13" t="s">
        <v>148</v>
      </c>
      <c r="H1341" s="13" t="s">
        <v>139</v>
      </c>
      <c r="I1341" s="13" t="n">
        <v>4</v>
      </c>
      <c r="J1341" s="13" t="n">
        <v>4</v>
      </c>
      <c r="K1341" s="13" t="n">
        <v>36500</v>
      </c>
      <c r="L1341" s="13"/>
      <c r="M1341" s="13"/>
      <c r="N1341" s="13" t="s">
        <v>157</v>
      </c>
    </row>
    <row r="1342" customFormat="false" ht="15" hidden="false" customHeight="false" outlineLevel="0" collapsed="false">
      <c r="A1342" s="13" t="s">
        <v>1560</v>
      </c>
      <c r="B1342" s="14" t="n">
        <v>44761</v>
      </c>
      <c r="C1342" s="14" t="n">
        <v>45243</v>
      </c>
      <c r="D1342" s="13" t="n">
        <v>31</v>
      </c>
      <c r="E1342" s="13" t="s">
        <v>136</v>
      </c>
      <c r="F1342" s="13" t="s">
        <v>137</v>
      </c>
      <c r="G1342" s="13" t="s">
        <v>138</v>
      </c>
      <c r="H1342" s="13" t="s">
        <v>246</v>
      </c>
      <c r="I1342" s="13" t="n">
        <v>5</v>
      </c>
      <c r="J1342" s="13" t="n">
        <v>4</v>
      </c>
      <c r="K1342" s="13" t="n">
        <v>119500</v>
      </c>
      <c r="L1342" s="13" t="s">
        <v>173</v>
      </c>
      <c r="M1342" s="13" t="s">
        <v>254</v>
      </c>
      <c r="N1342" s="13" t="s">
        <v>134</v>
      </c>
    </row>
    <row r="1343" customFormat="false" ht="15" hidden="false" customHeight="false" outlineLevel="0" collapsed="false">
      <c r="A1343" s="13" t="s">
        <v>1561</v>
      </c>
      <c r="B1343" s="14" t="n">
        <v>44764</v>
      </c>
      <c r="C1343" s="14"/>
      <c r="D1343" s="13" t="n">
        <v>34</v>
      </c>
      <c r="E1343" s="13" t="s">
        <v>163</v>
      </c>
      <c r="F1343" s="13" t="s">
        <v>161</v>
      </c>
      <c r="G1343" s="13" t="s">
        <v>297</v>
      </c>
      <c r="H1343" s="13" t="s">
        <v>192</v>
      </c>
      <c r="I1343" s="13" t="n">
        <v>3</v>
      </c>
      <c r="J1343" s="13" t="n">
        <v>4</v>
      </c>
      <c r="K1343" s="13" t="n">
        <v>186000</v>
      </c>
      <c r="L1343" s="13"/>
      <c r="M1343" s="13"/>
      <c r="N1343" s="13" t="s">
        <v>142</v>
      </c>
    </row>
    <row r="1344" customFormat="false" ht="15" hidden="false" customHeight="false" outlineLevel="0" collapsed="false">
      <c r="A1344" s="13" t="s">
        <v>1562</v>
      </c>
      <c r="B1344" s="14" t="n">
        <v>44766</v>
      </c>
      <c r="C1344" s="14"/>
      <c r="D1344" s="13" t="n">
        <v>33</v>
      </c>
      <c r="E1344" s="13" t="s">
        <v>144</v>
      </c>
      <c r="F1344" s="13" t="s">
        <v>168</v>
      </c>
      <c r="G1344" s="13" t="s">
        <v>155</v>
      </c>
      <c r="H1344" s="13" t="s">
        <v>139</v>
      </c>
      <c r="I1344" s="13" t="n">
        <v>5</v>
      </c>
      <c r="J1344" s="13" t="n">
        <v>4</v>
      </c>
      <c r="K1344" s="13" t="n">
        <v>35500</v>
      </c>
      <c r="L1344" s="13"/>
      <c r="M1344" s="13"/>
      <c r="N1344" s="13" t="s">
        <v>142</v>
      </c>
    </row>
    <row r="1345" customFormat="false" ht="15" hidden="false" customHeight="false" outlineLevel="0" collapsed="false">
      <c r="A1345" s="13" t="s">
        <v>1563</v>
      </c>
      <c r="B1345" s="14" t="n">
        <v>44766</v>
      </c>
      <c r="C1345" s="14" t="n">
        <v>45119</v>
      </c>
      <c r="D1345" s="13" t="n">
        <v>24</v>
      </c>
      <c r="E1345" s="13" t="s">
        <v>144</v>
      </c>
      <c r="F1345" s="13" t="s">
        <v>137</v>
      </c>
      <c r="G1345" s="13" t="s">
        <v>132</v>
      </c>
      <c r="H1345" s="13" t="s">
        <v>192</v>
      </c>
      <c r="I1345" s="13" t="n">
        <v>3</v>
      </c>
      <c r="J1345" s="13" t="n">
        <v>3</v>
      </c>
      <c r="K1345" s="13" t="n">
        <v>193500</v>
      </c>
      <c r="L1345" s="13" t="s">
        <v>151</v>
      </c>
      <c r="M1345" s="13"/>
      <c r="N1345" s="13" t="s">
        <v>142</v>
      </c>
    </row>
    <row r="1346" customFormat="false" ht="15" hidden="false" customHeight="false" outlineLevel="0" collapsed="false">
      <c r="A1346" s="13" t="s">
        <v>1564</v>
      </c>
      <c r="B1346" s="14" t="n">
        <v>44767</v>
      </c>
      <c r="C1346" s="14" t="n">
        <v>44815</v>
      </c>
      <c r="D1346" s="13" t="n">
        <v>25</v>
      </c>
      <c r="E1346" s="13" t="s">
        <v>182</v>
      </c>
      <c r="F1346" s="13" t="s">
        <v>154</v>
      </c>
      <c r="G1346" s="13" t="s">
        <v>148</v>
      </c>
      <c r="H1346" s="13" t="s">
        <v>156</v>
      </c>
      <c r="I1346" s="13" t="n">
        <v>3</v>
      </c>
      <c r="J1346" s="13" t="n">
        <v>1</v>
      </c>
      <c r="K1346" s="13" t="n">
        <v>84000</v>
      </c>
      <c r="L1346" s="13" t="s">
        <v>151</v>
      </c>
      <c r="M1346" s="13" t="s">
        <v>203</v>
      </c>
      <c r="N1346" s="13" t="s">
        <v>134</v>
      </c>
    </row>
    <row r="1347" customFormat="false" ht="15" hidden="false" customHeight="false" outlineLevel="0" collapsed="false">
      <c r="A1347" s="13" t="s">
        <v>1565</v>
      </c>
      <c r="B1347" s="14" t="n">
        <v>44770</v>
      </c>
      <c r="C1347" s="14"/>
      <c r="D1347" s="13" t="n">
        <v>24</v>
      </c>
      <c r="E1347" s="13" t="s">
        <v>136</v>
      </c>
      <c r="F1347" s="13" t="s">
        <v>161</v>
      </c>
      <c r="G1347" s="13" t="s">
        <v>148</v>
      </c>
      <c r="H1347" s="13" t="s">
        <v>146</v>
      </c>
      <c r="I1347" s="13" t="n">
        <v>2</v>
      </c>
      <c r="J1347" s="13" t="n">
        <v>4</v>
      </c>
      <c r="K1347" s="13" t="n">
        <v>59000</v>
      </c>
      <c r="L1347" s="13"/>
      <c r="M1347" s="13"/>
      <c r="N1347" s="13" t="s">
        <v>142</v>
      </c>
    </row>
    <row r="1348" customFormat="false" ht="15" hidden="false" customHeight="false" outlineLevel="0" collapsed="false">
      <c r="A1348" s="13" t="s">
        <v>1566</v>
      </c>
      <c r="B1348" s="14" t="n">
        <v>44771</v>
      </c>
      <c r="C1348" s="14"/>
      <c r="D1348" s="13" t="n">
        <v>24</v>
      </c>
      <c r="E1348" s="13" t="s">
        <v>136</v>
      </c>
      <c r="F1348" s="13" t="s">
        <v>137</v>
      </c>
      <c r="G1348" s="13" t="s">
        <v>195</v>
      </c>
      <c r="H1348" s="13" t="s">
        <v>146</v>
      </c>
      <c r="I1348" s="13" t="n">
        <v>3</v>
      </c>
      <c r="J1348" s="13" t="n">
        <v>4</v>
      </c>
      <c r="K1348" s="13" t="n">
        <v>65000</v>
      </c>
      <c r="L1348" s="13"/>
      <c r="M1348" s="13"/>
      <c r="N1348" s="13" t="s">
        <v>142</v>
      </c>
    </row>
    <row r="1349" customFormat="false" ht="15" hidden="false" customHeight="false" outlineLevel="0" collapsed="false">
      <c r="A1349" s="13" t="s">
        <v>1567</v>
      </c>
      <c r="B1349" s="14" t="n">
        <v>44772</v>
      </c>
      <c r="C1349" s="14" t="n">
        <v>44961</v>
      </c>
      <c r="D1349" s="13" t="n">
        <v>22</v>
      </c>
      <c r="E1349" s="13" t="s">
        <v>163</v>
      </c>
      <c r="F1349" s="13" t="s">
        <v>168</v>
      </c>
      <c r="G1349" s="13" t="s">
        <v>138</v>
      </c>
      <c r="H1349" s="13" t="s">
        <v>139</v>
      </c>
      <c r="I1349" s="13" t="n">
        <v>2</v>
      </c>
      <c r="J1349" s="13" t="n">
        <v>3</v>
      </c>
      <c r="K1349" s="13" t="n">
        <v>42000</v>
      </c>
      <c r="L1349" s="13" t="s">
        <v>173</v>
      </c>
      <c r="M1349" s="13" t="s">
        <v>310</v>
      </c>
      <c r="N1349" s="13" t="s">
        <v>142</v>
      </c>
    </row>
    <row r="1350" customFormat="false" ht="15" hidden="false" customHeight="false" outlineLevel="0" collapsed="false">
      <c r="A1350" s="13" t="s">
        <v>1568</v>
      </c>
      <c r="B1350" s="14" t="n">
        <v>44772</v>
      </c>
      <c r="C1350" s="14"/>
      <c r="D1350" s="13" t="n">
        <v>34</v>
      </c>
      <c r="E1350" s="13" t="s">
        <v>136</v>
      </c>
      <c r="F1350" s="13" t="s">
        <v>241</v>
      </c>
      <c r="G1350" s="13" t="s">
        <v>155</v>
      </c>
      <c r="H1350" s="13" t="s">
        <v>146</v>
      </c>
      <c r="I1350" s="13" t="n">
        <v>2</v>
      </c>
      <c r="J1350" s="13" t="n">
        <v>3</v>
      </c>
      <c r="K1350" s="13" t="n">
        <v>50000</v>
      </c>
      <c r="L1350" s="13"/>
      <c r="M1350" s="13"/>
      <c r="N1350" s="13" t="s">
        <v>142</v>
      </c>
    </row>
    <row r="1351" customFormat="false" ht="15" hidden="false" customHeight="false" outlineLevel="0" collapsed="false">
      <c r="A1351" s="13" t="s">
        <v>1569</v>
      </c>
      <c r="B1351" s="14" t="n">
        <v>44774</v>
      </c>
      <c r="C1351" s="14" t="n">
        <v>44871</v>
      </c>
      <c r="D1351" s="13" t="n">
        <v>27</v>
      </c>
      <c r="E1351" s="13" t="s">
        <v>136</v>
      </c>
      <c r="F1351" s="13" t="s">
        <v>154</v>
      </c>
      <c r="G1351" s="13" t="s">
        <v>148</v>
      </c>
      <c r="H1351" s="13" t="s">
        <v>156</v>
      </c>
      <c r="I1351" s="13" t="n">
        <v>5</v>
      </c>
      <c r="J1351" s="13" t="n">
        <v>1</v>
      </c>
      <c r="K1351" s="13" t="n">
        <v>97000</v>
      </c>
      <c r="L1351" s="13" t="s">
        <v>173</v>
      </c>
      <c r="M1351" s="13" t="s">
        <v>273</v>
      </c>
      <c r="N1351" s="13" t="s">
        <v>142</v>
      </c>
    </row>
    <row r="1352" customFormat="false" ht="15" hidden="false" customHeight="false" outlineLevel="0" collapsed="false">
      <c r="A1352" s="13" t="s">
        <v>1570</v>
      </c>
      <c r="B1352" s="14" t="n">
        <v>44775</v>
      </c>
      <c r="C1352" s="14" t="n">
        <v>44921</v>
      </c>
      <c r="D1352" s="13" t="n">
        <v>21</v>
      </c>
      <c r="E1352" s="13" t="s">
        <v>136</v>
      </c>
      <c r="F1352" s="13" t="s">
        <v>161</v>
      </c>
      <c r="G1352" s="13" t="s">
        <v>195</v>
      </c>
      <c r="H1352" s="13" t="s">
        <v>146</v>
      </c>
      <c r="I1352" s="13" t="n">
        <v>4</v>
      </c>
      <c r="J1352" s="13" t="n">
        <v>2</v>
      </c>
      <c r="K1352" s="13" t="n">
        <v>60000</v>
      </c>
      <c r="L1352" s="13" t="s">
        <v>151</v>
      </c>
      <c r="M1352" s="13" t="s">
        <v>159</v>
      </c>
      <c r="N1352" s="13" t="s">
        <v>142</v>
      </c>
    </row>
    <row r="1353" customFormat="false" ht="15" hidden="false" customHeight="false" outlineLevel="0" collapsed="false">
      <c r="A1353" s="13" t="s">
        <v>1571</v>
      </c>
      <c r="B1353" s="14" t="n">
        <v>44776</v>
      </c>
      <c r="C1353" s="14"/>
      <c r="D1353" s="13" t="n">
        <v>31</v>
      </c>
      <c r="E1353" s="13" t="s">
        <v>259</v>
      </c>
      <c r="F1353" s="13" t="s">
        <v>137</v>
      </c>
      <c r="G1353" s="13" t="s">
        <v>148</v>
      </c>
      <c r="H1353" s="13" t="s">
        <v>139</v>
      </c>
      <c r="I1353" s="13" t="n">
        <v>3</v>
      </c>
      <c r="J1353" s="13" t="n">
        <v>4</v>
      </c>
      <c r="K1353" s="13" t="n">
        <v>38000</v>
      </c>
      <c r="L1353" s="13"/>
      <c r="M1353" s="13"/>
      <c r="N1353" s="13" t="s">
        <v>142</v>
      </c>
    </row>
    <row r="1354" customFormat="false" ht="15" hidden="false" customHeight="false" outlineLevel="0" collapsed="false">
      <c r="A1354" s="13" t="s">
        <v>1572</v>
      </c>
      <c r="B1354" s="14" t="n">
        <v>44777</v>
      </c>
      <c r="C1354" s="14"/>
      <c r="D1354" s="13" t="n">
        <v>31</v>
      </c>
      <c r="E1354" s="13" t="s">
        <v>136</v>
      </c>
      <c r="F1354" s="13" t="s">
        <v>161</v>
      </c>
      <c r="G1354" s="13" t="s">
        <v>138</v>
      </c>
      <c r="H1354" s="13" t="s">
        <v>149</v>
      </c>
      <c r="I1354" s="13" t="n">
        <v>3</v>
      </c>
      <c r="J1354" s="13" t="n">
        <v>4</v>
      </c>
      <c r="K1354" s="13" t="n">
        <v>96000</v>
      </c>
      <c r="L1354" s="13"/>
      <c r="M1354" s="13"/>
      <c r="N1354" s="13" t="s">
        <v>142</v>
      </c>
    </row>
    <row r="1355" customFormat="false" ht="15" hidden="false" customHeight="false" outlineLevel="0" collapsed="false">
      <c r="A1355" s="13" t="s">
        <v>1573</v>
      </c>
      <c r="B1355" s="14" t="n">
        <v>44777</v>
      </c>
      <c r="C1355" s="14" t="n">
        <v>45638</v>
      </c>
      <c r="D1355" s="13" t="n">
        <v>40</v>
      </c>
      <c r="E1355" s="13" t="s">
        <v>144</v>
      </c>
      <c r="F1355" s="13" t="s">
        <v>137</v>
      </c>
      <c r="G1355" s="13" t="s">
        <v>155</v>
      </c>
      <c r="H1355" s="13" t="s">
        <v>146</v>
      </c>
      <c r="I1355" s="13" t="n">
        <v>3</v>
      </c>
      <c r="J1355" s="13" t="n">
        <v>3</v>
      </c>
      <c r="K1355" s="13" t="n">
        <v>51500</v>
      </c>
      <c r="L1355" s="13" t="s">
        <v>151</v>
      </c>
      <c r="M1355" s="13" t="s">
        <v>216</v>
      </c>
      <c r="N1355" s="13" t="s">
        <v>142</v>
      </c>
    </row>
    <row r="1356" customFormat="false" ht="15" hidden="false" customHeight="false" outlineLevel="0" collapsed="false">
      <c r="A1356" s="13" t="s">
        <v>1574</v>
      </c>
      <c r="B1356" s="14" t="n">
        <v>44780</v>
      </c>
      <c r="C1356" s="14" t="n">
        <v>45815</v>
      </c>
      <c r="D1356" s="13" t="n">
        <v>35</v>
      </c>
      <c r="E1356" s="13" t="s">
        <v>144</v>
      </c>
      <c r="F1356" s="13" t="s">
        <v>168</v>
      </c>
      <c r="G1356" s="13" t="s">
        <v>148</v>
      </c>
      <c r="H1356" s="13" t="s">
        <v>139</v>
      </c>
      <c r="I1356" s="13" t="n">
        <v>2</v>
      </c>
      <c r="J1356" s="13" t="n">
        <v>3</v>
      </c>
      <c r="K1356" s="13" t="n">
        <v>38500</v>
      </c>
      <c r="L1356" s="13" t="s">
        <v>151</v>
      </c>
      <c r="M1356" s="13" t="s">
        <v>216</v>
      </c>
      <c r="N1356" s="13" t="s">
        <v>453</v>
      </c>
    </row>
    <row r="1357" customFormat="false" ht="15" hidden="false" customHeight="false" outlineLevel="0" collapsed="false">
      <c r="A1357" s="13" t="s">
        <v>1575</v>
      </c>
      <c r="B1357" s="14" t="n">
        <v>44780</v>
      </c>
      <c r="C1357" s="14" t="n">
        <v>45247</v>
      </c>
      <c r="D1357" s="13" t="n">
        <v>33</v>
      </c>
      <c r="E1357" s="13" t="s">
        <v>144</v>
      </c>
      <c r="F1357" s="13" t="s">
        <v>168</v>
      </c>
      <c r="G1357" s="13" t="s">
        <v>155</v>
      </c>
      <c r="H1357" s="13" t="s">
        <v>178</v>
      </c>
      <c r="I1357" s="13" t="n">
        <v>4</v>
      </c>
      <c r="J1357" s="13" t="n">
        <v>1</v>
      </c>
      <c r="K1357" s="13" t="n">
        <v>148500</v>
      </c>
      <c r="L1357" s="13" t="s">
        <v>151</v>
      </c>
      <c r="M1357" s="13" t="s">
        <v>201</v>
      </c>
      <c r="N1357" s="13" t="s">
        <v>142</v>
      </c>
    </row>
    <row r="1358" customFormat="false" ht="15" hidden="false" customHeight="false" outlineLevel="0" collapsed="false">
      <c r="A1358" s="13" t="s">
        <v>1576</v>
      </c>
      <c r="B1358" s="14" t="n">
        <v>44781</v>
      </c>
      <c r="C1358" s="14" t="n">
        <v>45632</v>
      </c>
      <c r="D1358" s="13" t="n">
        <v>41</v>
      </c>
      <c r="E1358" s="13" t="s">
        <v>144</v>
      </c>
      <c r="F1358" s="13" t="s">
        <v>168</v>
      </c>
      <c r="G1358" s="13" t="s">
        <v>155</v>
      </c>
      <c r="H1358" s="13" t="s">
        <v>156</v>
      </c>
      <c r="I1358" s="13" t="n">
        <v>5</v>
      </c>
      <c r="J1358" s="13" t="n">
        <v>1</v>
      </c>
      <c r="K1358" s="13" t="n">
        <v>78000</v>
      </c>
      <c r="L1358" s="13" t="s">
        <v>253</v>
      </c>
      <c r="M1358" s="13"/>
      <c r="N1358" s="13" t="s">
        <v>214</v>
      </c>
    </row>
    <row r="1359" customFormat="false" ht="15" hidden="false" customHeight="false" outlineLevel="0" collapsed="false">
      <c r="A1359" s="13" t="s">
        <v>1577</v>
      </c>
      <c r="B1359" s="14" t="n">
        <v>44782</v>
      </c>
      <c r="C1359" s="14"/>
      <c r="D1359" s="13" t="n">
        <v>36</v>
      </c>
      <c r="E1359" s="13" t="s">
        <v>186</v>
      </c>
      <c r="F1359" s="13" t="s">
        <v>137</v>
      </c>
      <c r="G1359" s="13" t="s">
        <v>191</v>
      </c>
      <c r="H1359" s="13" t="s">
        <v>139</v>
      </c>
      <c r="I1359" s="13" t="n">
        <v>3</v>
      </c>
      <c r="J1359" s="13" t="n">
        <v>4</v>
      </c>
      <c r="K1359" s="13" t="n">
        <v>37500</v>
      </c>
      <c r="L1359" s="13"/>
      <c r="M1359" s="13"/>
      <c r="N1359" s="13" t="s">
        <v>453</v>
      </c>
    </row>
    <row r="1360" customFormat="false" ht="15" hidden="false" customHeight="false" outlineLevel="0" collapsed="false">
      <c r="A1360" s="13" t="s">
        <v>1578</v>
      </c>
      <c r="B1360" s="14" t="n">
        <v>44782</v>
      </c>
      <c r="C1360" s="14" t="n">
        <v>45359</v>
      </c>
      <c r="D1360" s="13" t="n">
        <v>26</v>
      </c>
      <c r="E1360" s="13" t="s">
        <v>136</v>
      </c>
      <c r="F1360" s="13" t="s">
        <v>137</v>
      </c>
      <c r="G1360" s="13" t="s">
        <v>138</v>
      </c>
      <c r="H1360" s="13" t="s">
        <v>146</v>
      </c>
      <c r="I1360" s="13" t="n">
        <v>4</v>
      </c>
      <c r="J1360" s="13" t="n">
        <v>1</v>
      </c>
      <c r="K1360" s="13" t="n">
        <v>64000</v>
      </c>
      <c r="L1360" s="13" t="s">
        <v>151</v>
      </c>
      <c r="M1360" s="13" t="s">
        <v>216</v>
      </c>
      <c r="N1360" s="13" t="s">
        <v>142</v>
      </c>
    </row>
    <row r="1361" customFormat="false" ht="15" hidden="false" customHeight="false" outlineLevel="0" collapsed="false">
      <c r="A1361" s="13" t="s">
        <v>1579</v>
      </c>
      <c r="B1361" s="14" t="n">
        <v>44786</v>
      </c>
      <c r="C1361" s="14"/>
      <c r="D1361" s="13" t="n">
        <v>27</v>
      </c>
      <c r="E1361" s="13" t="s">
        <v>259</v>
      </c>
      <c r="F1361" s="13" t="s">
        <v>161</v>
      </c>
      <c r="G1361" s="13" t="s">
        <v>148</v>
      </c>
      <c r="H1361" s="13" t="s">
        <v>149</v>
      </c>
      <c r="I1361" s="13" t="n">
        <v>5</v>
      </c>
      <c r="J1361" s="13" t="n">
        <v>3</v>
      </c>
      <c r="K1361" s="13" t="n">
        <v>114500</v>
      </c>
      <c r="L1361" s="13"/>
      <c r="M1361" s="13"/>
      <c r="N1361" s="13" t="s">
        <v>142</v>
      </c>
    </row>
    <row r="1362" customFormat="false" ht="15" hidden="false" customHeight="false" outlineLevel="0" collapsed="false">
      <c r="A1362" s="13" t="s">
        <v>1580</v>
      </c>
      <c r="B1362" s="14" t="n">
        <v>44786</v>
      </c>
      <c r="C1362" s="14" t="n">
        <v>45361</v>
      </c>
      <c r="D1362" s="13" t="n">
        <v>38</v>
      </c>
      <c r="E1362" s="13" t="s">
        <v>136</v>
      </c>
      <c r="F1362" s="13" t="s">
        <v>239</v>
      </c>
      <c r="G1362" s="13" t="s">
        <v>132</v>
      </c>
      <c r="H1362" s="13" t="s">
        <v>156</v>
      </c>
      <c r="I1362" s="13" t="n">
        <v>3</v>
      </c>
      <c r="J1362" s="13" t="n">
        <v>4</v>
      </c>
      <c r="K1362" s="13" t="n">
        <v>78500</v>
      </c>
      <c r="L1362" s="13" t="s">
        <v>140</v>
      </c>
      <c r="M1362" s="13" t="s">
        <v>159</v>
      </c>
      <c r="N1362" s="13" t="s">
        <v>134</v>
      </c>
    </row>
    <row r="1363" customFormat="false" ht="15" hidden="false" customHeight="false" outlineLevel="0" collapsed="false">
      <c r="A1363" s="13" t="s">
        <v>1581</v>
      </c>
      <c r="B1363" s="14" t="n">
        <v>44787</v>
      </c>
      <c r="C1363" s="14"/>
      <c r="D1363" s="13" t="n">
        <v>43</v>
      </c>
      <c r="E1363" s="13" t="s">
        <v>182</v>
      </c>
      <c r="F1363" s="13" t="s">
        <v>161</v>
      </c>
      <c r="G1363" s="13" t="s">
        <v>132</v>
      </c>
      <c r="H1363" s="13" t="s">
        <v>146</v>
      </c>
      <c r="I1363" s="13" t="n">
        <v>4</v>
      </c>
      <c r="J1363" s="13" t="n">
        <v>4</v>
      </c>
      <c r="K1363" s="13" t="n">
        <v>61500</v>
      </c>
      <c r="L1363" s="13"/>
      <c r="M1363" s="13"/>
      <c r="N1363" s="13" t="s">
        <v>142</v>
      </c>
    </row>
    <row r="1364" customFormat="false" ht="15" hidden="false" customHeight="false" outlineLevel="0" collapsed="false">
      <c r="A1364" s="13" t="s">
        <v>1582</v>
      </c>
      <c r="B1364" s="14" t="n">
        <v>44787</v>
      </c>
      <c r="C1364" s="14" t="n">
        <v>44807</v>
      </c>
      <c r="D1364" s="13" t="n">
        <v>37</v>
      </c>
      <c r="E1364" s="13" t="s">
        <v>136</v>
      </c>
      <c r="F1364" s="13" t="s">
        <v>239</v>
      </c>
      <c r="G1364" s="13" t="s">
        <v>374</v>
      </c>
      <c r="H1364" s="13" t="s">
        <v>149</v>
      </c>
      <c r="I1364" s="13" t="n">
        <v>3</v>
      </c>
      <c r="J1364" s="13" t="n">
        <v>4</v>
      </c>
      <c r="K1364" s="13" t="n">
        <v>86000</v>
      </c>
      <c r="L1364" s="13" t="s">
        <v>151</v>
      </c>
      <c r="M1364" s="13" t="s">
        <v>201</v>
      </c>
      <c r="N1364" s="13" t="s">
        <v>142</v>
      </c>
    </row>
    <row r="1365" customFormat="false" ht="15" hidden="false" customHeight="false" outlineLevel="0" collapsed="false">
      <c r="A1365" s="13" t="s">
        <v>1583</v>
      </c>
      <c r="B1365" s="14" t="n">
        <v>44787</v>
      </c>
      <c r="C1365" s="14" t="n">
        <v>45231</v>
      </c>
      <c r="D1365" s="13" t="n">
        <v>39</v>
      </c>
      <c r="E1365" s="13" t="s">
        <v>163</v>
      </c>
      <c r="F1365" s="13" t="s">
        <v>170</v>
      </c>
      <c r="G1365" s="13" t="s">
        <v>171</v>
      </c>
      <c r="H1365" s="13" t="s">
        <v>146</v>
      </c>
      <c r="I1365" s="13" t="n">
        <v>4</v>
      </c>
      <c r="J1365" s="13" t="n">
        <v>1</v>
      </c>
      <c r="K1365" s="13" t="n">
        <v>69500</v>
      </c>
      <c r="L1365" s="13" t="s">
        <v>151</v>
      </c>
      <c r="M1365" s="13" t="s">
        <v>206</v>
      </c>
      <c r="N1365" s="13" t="s">
        <v>134</v>
      </c>
    </row>
    <row r="1366" customFormat="false" ht="15" hidden="false" customHeight="false" outlineLevel="0" collapsed="false">
      <c r="A1366" s="13" t="s">
        <v>1584</v>
      </c>
      <c r="B1366" s="14" t="n">
        <v>44788</v>
      </c>
      <c r="C1366" s="14"/>
      <c r="D1366" s="13" t="n">
        <v>44</v>
      </c>
      <c r="E1366" s="13" t="s">
        <v>136</v>
      </c>
      <c r="F1366" s="13" t="s">
        <v>168</v>
      </c>
      <c r="G1366" s="13" t="s">
        <v>138</v>
      </c>
      <c r="H1366" s="13" t="s">
        <v>139</v>
      </c>
      <c r="I1366" s="13" t="n">
        <v>3</v>
      </c>
      <c r="J1366" s="13" t="n">
        <v>4</v>
      </c>
      <c r="K1366" s="13" t="n">
        <v>37500</v>
      </c>
      <c r="L1366" s="13"/>
      <c r="M1366" s="13"/>
      <c r="N1366" s="13" t="s">
        <v>214</v>
      </c>
    </row>
    <row r="1367" customFormat="false" ht="15" hidden="false" customHeight="false" outlineLevel="0" collapsed="false">
      <c r="A1367" s="13" t="s">
        <v>1585</v>
      </c>
      <c r="B1367" s="14" t="n">
        <v>44789</v>
      </c>
      <c r="C1367" s="14" t="n">
        <v>45390</v>
      </c>
      <c r="D1367" s="13" t="n">
        <v>37</v>
      </c>
      <c r="E1367" s="13" t="s">
        <v>144</v>
      </c>
      <c r="F1367" s="13" t="s">
        <v>164</v>
      </c>
      <c r="G1367" s="13" t="s">
        <v>191</v>
      </c>
      <c r="H1367" s="13" t="s">
        <v>139</v>
      </c>
      <c r="I1367" s="13" t="n">
        <v>1</v>
      </c>
      <c r="J1367" s="13" t="n">
        <v>4</v>
      </c>
      <c r="K1367" s="13" t="n">
        <v>40500</v>
      </c>
      <c r="L1367" s="13" t="s">
        <v>140</v>
      </c>
      <c r="M1367" s="13" t="s">
        <v>159</v>
      </c>
      <c r="N1367" s="13" t="s">
        <v>142</v>
      </c>
    </row>
    <row r="1368" customFormat="false" ht="15" hidden="false" customHeight="false" outlineLevel="0" collapsed="false">
      <c r="A1368" s="13" t="s">
        <v>1586</v>
      </c>
      <c r="B1368" s="14" t="n">
        <v>44792</v>
      </c>
      <c r="C1368" s="14"/>
      <c r="D1368" s="13" t="n">
        <v>31</v>
      </c>
      <c r="E1368" s="13" t="s">
        <v>144</v>
      </c>
      <c r="F1368" s="13" t="s">
        <v>137</v>
      </c>
      <c r="G1368" s="13" t="s">
        <v>191</v>
      </c>
      <c r="H1368" s="13" t="s">
        <v>178</v>
      </c>
      <c r="I1368" s="13" t="n">
        <v>3</v>
      </c>
      <c r="J1368" s="13" t="n">
        <v>2</v>
      </c>
      <c r="K1368" s="13" t="n">
        <v>131500</v>
      </c>
      <c r="L1368" s="13"/>
      <c r="M1368" s="13"/>
      <c r="N1368" s="13" t="s">
        <v>142</v>
      </c>
    </row>
    <row r="1369" customFormat="false" ht="15" hidden="false" customHeight="false" outlineLevel="0" collapsed="false">
      <c r="A1369" s="13" t="s">
        <v>1587</v>
      </c>
      <c r="B1369" s="14" t="n">
        <v>44795</v>
      </c>
      <c r="C1369" s="14" t="n">
        <v>45186</v>
      </c>
      <c r="D1369" s="13" t="n">
        <v>30</v>
      </c>
      <c r="E1369" s="13" t="s">
        <v>144</v>
      </c>
      <c r="F1369" s="13" t="s">
        <v>168</v>
      </c>
      <c r="G1369" s="13" t="s">
        <v>138</v>
      </c>
      <c r="H1369" s="13" t="s">
        <v>139</v>
      </c>
      <c r="I1369" s="13" t="n">
        <v>3</v>
      </c>
      <c r="J1369" s="13" t="n">
        <v>2</v>
      </c>
      <c r="K1369" s="13" t="n">
        <v>33000</v>
      </c>
      <c r="L1369" s="13" t="s">
        <v>173</v>
      </c>
      <c r="M1369" s="13" t="s">
        <v>273</v>
      </c>
      <c r="N1369" s="13" t="s">
        <v>134</v>
      </c>
    </row>
    <row r="1370" customFormat="false" ht="15" hidden="false" customHeight="false" outlineLevel="0" collapsed="false">
      <c r="A1370" s="13" t="s">
        <v>1588</v>
      </c>
      <c r="B1370" s="14" t="n">
        <v>44797</v>
      </c>
      <c r="C1370" s="14"/>
      <c r="D1370" s="13" t="n">
        <v>32</v>
      </c>
      <c r="E1370" s="13" t="s">
        <v>136</v>
      </c>
      <c r="F1370" s="13" t="s">
        <v>137</v>
      </c>
      <c r="G1370" s="13" t="s">
        <v>155</v>
      </c>
      <c r="H1370" s="13" t="s">
        <v>156</v>
      </c>
      <c r="I1370" s="13" t="n">
        <v>3</v>
      </c>
      <c r="J1370" s="13" t="n">
        <v>4</v>
      </c>
      <c r="K1370" s="13" t="n">
        <v>113500</v>
      </c>
      <c r="L1370" s="13"/>
      <c r="M1370" s="13"/>
      <c r="N1370" s="13" t="s">
        <v>134</v>
      </c>
    </row>
    <row r="1371" customFormat="false" ht="15" hidden="false" customHeight="false" outlineLevel="0" collapsed="false">
      <c r="A1371" s="13" t="s">
        <v>1589</v>
      </c>
      <c r="B1371" s="14" t="n">
        <v>44799</v>
      </c>
      <c r="C1371" s="14" t="n">
        <v>44921</v>
      </c>
      <c r="D1371" s="13" t="n">
        <v>28</v>
      </c>
      <c r="E1371" s="13" t="s">
        <v>144</v>
      </c>
      <c r="F1371" s="13" t="s">
        <v>137</v>
      </c>
      <c r="G1371" s="13" t="s">
        <v>148</v>
      </c>
      <c r="H1371" s="13" t="s">
        <v>139</v>
      </c>
      <c r="I1371" s="13" t="n">
        <v>4</v>
      </c>
      <c r="J1371" s="13" t="n">
        <v>1</v>
      </c>
      <c r="K1371" s="13" t="n">
        <v>40000</v>
      </c>
      <c r="L1371" s="13" t="s">
        <v>151</v>
      </c>
      <c r="M1371" s="13" t="s">
        <v>206</v>
      </c>
      <c r="N1371" s="13" t="s">
        <v>142</v>
      </c>
    </row>
    <row r="1372" customFormat="false" ht="15" hidden="false" customHeight="false" outlineLevel="0" collapsed="false">
      <c r="A1372" s="13" t="s">
        <v>1590</v>
      </c>
      <c r="B1372" s="14" t="n">
        <v>44800</v>
      </c>
      <c r="C1372" s="14" t="n">
        <v>45021</v>
      </c>
      <c r="D1372" s="13" t="n">
        <v>27</v>
      </c>
      <c r="E1372" s="13" t="s">
        <v>136</v>
      </c>
      <c r="F1372" s="13" t="s">
        <v>170</v>
      </c>
      <c r="G1372" s="13" t="s">
        <v>307</v>
      </c>
      <c r="H1372" s="13" t="s">
        <v>146</v>
      </c>
      <c r="I1372" s="13" t="n">
        <v>5</v>
      </c>
      <c r="J1372" s="13" t="n">
        <v>2</v>
      </c>
      <c r="K1372" s="13" t="n">
        <v>58000</v>
      </c>
      <c r="L1372" s="13" t="s">
        <v>151</v>
      </c>
      <c r="M1372" s="13" t="s">
        <v>203</v>
      </c>
      <c r="N1372" s="13" t="s">
        <v>142</v>
      </c>
    </row>
    <row r="1373" customFormat="false" ht="15" hidden="false" customHeight="false" outlineLevel="0" collapsed="false">
      <c r="A1373" s="13" t="s">
        <v>1591</v>
      </c>
      <c r="B1373" s="14" t="n">
        <v>44804</v>
      </c>
      <c r="C1373" s="14" t="n">
        <v>45251</v>
      </c>
      <c r="D1373" s="13" t="n">
        <v>29</v>
      </c>
      <c r="E1373" s="13" t="s">
        <v>144</v>
      </c>
      <c r="F1373" s="13" t="s">
        <v>137</v>
      </c>
      <c r="G1373" s="13" t="s">
        <v>148</v>
      </c>
      <c r="H1373" s="13" t="s">
        <v>146</v>
      </c>
      <c r="I1373" s="13" t="n">
        <v>3</v>
      </c>
      <c r="J1373" s="13" t="n">
        <v>1</v>
      </c>
      <c r="K1373" s="13" t="n">
        <v>49000</v>
      </c>
      <c r="L1373" s="13" t="s">
        <v>173</v>
      </c>
      <c r="M1373" s="13" t="s">
        <v>254</v>
      </c>
      <c r="N1373" s="13" t="s">
        <v>142</v>
      </c>
    </row>
    <row r="1374" customFormat="false" ht="15" hidden="false" customHeight="false" outlineLevel="0" collapsed="false">
      <c r="A1374" s="13" t="s">
        <v>1592</v>
      </c>
      <c r="B1374" s="14" t="n">
        <v>44804</v>
      </c>
      <c r="C1374" s="14" t="n">
        <v>44906</v>
      </c>
      <c r="D1374" s="13" t="n">
        <v>37</v>
      </c>
      <c r="E1374" s="13" t="s">
        <v>144</v>
      </c>
      <c r="F1374" s="13" t="s">
        <v>154</v>
      </c>
      <c r="G1374" s="13" t="s">
        <v>191</v>
      </c>
      <c r="H1374" s="13" t="s">
        <v>139</v>
      </c>
      <c r="I1374" s="13" t="n">
        <v>3</v>
      </c>
      <c r="J1374" s="13" t="n">
        <v>1</v>
      </c>
      <c r="K1374" s="13" t="n">
        <v>44500</v>
      </c>
      <c r="L1374" s="13" t="s">
        <v>151</v>
      </c>
      <c r="M1374" s="13" t="s">
        <v>203</v>
      </c>
      <c r="N1374" s="13" t="s">
        <v>142</v>
      </c>
    </row>
    <row r="1375" customFormat="false" ht="15" hidden="false" customHeight="false" outlineLevel="0" collapsed="false">
      <c r="A1375" s="13" t="s">
        <v>1593</v>
      </c>
      <c r="B1375" s="14" t="n">
        <v>44806</v>
      </c>
      <c r="C1375" s="14" t="n">
        <v>45089</v>
      </c>
      <c r="D1375" s="13" t="n">
        <v>42</v>
      </c>
      <c r="E1375" s="13" t="s">
        <v>144</v>
      </c>
      <c r="F1375" s="13" t="s">
        <v>154</v>
      </c>
      <c r="G1375" s="13" t="s">
        <v>334</v>
      </c>
      <c r="H1375" s="13" t="s">
        <v>139</v>
      </c>
      <c r="I1375" s="13" t="n">
        <v>3</v>
      </c>
      <c r="J1375" s="13" t="n">
        <v>4</v>
      </c>
      <c r="K1375" s="13" t="n">
        <v>34500</v>
      </c>
      <c r="L1375" s="13" t="s">
        <v>173</v>
      </c>
      <c r="M1375" s="13" t="s">
        <v>273</v>
      </c>
      <c r="N1375" s="13" t="s">
        <v>142</v>
      </c>
    </row>
    <row r="1376" customFormat="false" ht="15" hidden="false" customHeight="false" outlineLevel="0" collapsed="false">
      <c r="A1376" s="13" t="s">
        <v>1594</v>
      </c>
      <c r="B1376" s="14" t="n">
        <v>44807</v>
      </c>
      <c r="C1376" s="14"/>
      <c r="D1376" s="13" t="n">
        <v>36</v>
      </c>
      <c r="E1376" s="13" t="s">
        <v>144</v>
      </c>
      <c r="F1376" s="13" t="s">
        <v>154</v>
      </c>
      <c r="G1376" s="13" t="s">
        <v>155</v>
      </c>
      <c r="H1376" s="13" t="s">
        <v>219</v>
      </c>
      <c r="I1376" s="13" t="n">
        <v>4</v>
      </c>
      <c r="J1376" s="13" t="n">
        <v>3</v>
      </c>
      <c r="K1376" s="13" t="n">
        <v>38500</v>
      </c>
      <c r="L1376" s="13"/>
      <c r="M1376" s="13"/>
      <c r="N1376" s="13" t="s">
        <v>157</v>
      </c>
    </row>
    <row r="1377" customFormat="false" ht="15" hidden="false" customHeight="false" outlineLevel="0" collapsed="false">
      <c r="A1377" s="13" t="s">
        <v>1595</v>
      </c>
      <c r="B1377" s="14" t="n">
        <v>44813</v>
      </c>
      <c r="C1377" s="14"/>
      <c r="D1377" s="13" t="n">
        <v>27</v>
      </c>
      <c r="E1377" s="13" t="s">
        <v>136</v>
      </c>
      <c r="F1377" s="13" t="s">
        <v>131</v>
      </c>
      <c r="G1377" s="13" t="s">
        <v>138</v>
      </c>
      <c r="H1377" s="13" t="s">
        <v>149</v>
      </c>
      <c r="I1377" s="13" t="n">
        <v>3</v>
      </c>
      <c r="J1377" s="13" t="n">
        <v>2</v>
      </c>
      <c r="K1377" s="13" t="n">
        <v>115000</v>
      </c>
      <c r="L1377" s="13"/>
      <c r="M1377" s="13"/>
      <c r="N1377" s="13" t="s">
        <v>142</v>
      </c>
    </row>
    <row r="1378" customFormat="false" ht="15" hidden="false" customHeight="false" outlineLevel="0" collapsed="false">
      <c r="A1378" s="13" t="s">
        <v>1596</v>
      </c>
      <c r="B1378" s="14" t="n">
        <v>44813</v>
      </c>
      <c r="C1378" s="14" t="n">
        <v>45575</v>
      </c>
      <c r="D1378" s="13" t="n">
        <v>27</v>
      </c>
      <c r="E1378" s="13" t="s">
        <v>136</v>
      </c>
      <c r="F1378" s="13" t="s">
        <v>137</v>
      </c>
      <c r="G1378" s="13" t="s">
        <v>213</v>
      </c>
      <c r="H1378" s="13" t="s">
        <v>139</v>
      </c>
      <c r="I1378" s="13" t="n">
        <v>3</v>
      </c>
      <c r="J1378" s="13" t="n">
        <v>3</v>
      </c>
      <c r="K1378" s="13" t="n">
        <v>43000</v>
      </c>
      <c r="L1378" s="13" t="s">
        <v>151</v>
      </c>
      <c r="M1378" s="13" t="s">
        <v>159</v>
      </c>
      <c r="N1378" s="13" t="s">
        <v>134</v>
      </c>
    </row>
    <row r="1379" customFormat="false" ht="15" hidden="false" customHeight="false" outlineLevel="0" collapsed="false">
      <c r="A1379" s="13" t="s">
        <v>1597</v>
      </c>
      <c r="B1379" s="14" t="n">
        <v>44813</v>
      </c>
      <c r="C1379" s="14" t="n">
        <v>45744</v>
      </c>
      <c r="D1379" s="13" t="n">
        <v>31</v>
      </c>
      <c r="E1379" s="13" t="s">
        <v>144</v>
      </c>
      <c r="F1379" s="13" t="s">
        <v>170</v>
      </c>
      <c r="G1379" s="13" t="s">
        <v>138</v>
      </c>
      <c r="H1379" s="13" t="s">
        <v>146</v>
      </c>
      <c r="I1379" s="13" t="n">
        <v>2</v>
      </c>
      <c r="J1379" s="13" t="n">
        <v>2</v>
      </c>
      <c r="K1379" s="13" t="n">
        <v>58500</v>
      </c>
      <c r="L1379" s="13" t="s">
        <v>173</v>
      </c>
      <c r="M1379" s="13" t="s">
        <v>273</v>
      </c>
      <c r="N1379" s="13" t="s">
        <v>142</v>
      </c>
    </row>
    <row r="1380" customFormat="false" ht="15" hidden="false" customHeight="false" outlineLevel="0" collapsed="false">
      <c r="A1380" s="13" t="s">
        <v>1598</v>
      </c>
      <c r="B1380" s="14" t="n">
        <v>44814</v>
      </c>
      <c r="C1380" s="14" t="n">
        <v>45072</v>
      </c>
      <c r="D1380" s="13" t="n">
        <v>31</v>
      </c>
      <c r="E1380" s="13" t="s">
        <v>136</v>
      </c>
      <c r="F1380" s="13" t="s">
        <v>145</v>
      </c>
      <c r="G1380" s="13" t="s">
        <v>148</v>
      </c>
      <c r="H1380" s="13" t="s">
        <v>242</v>
      </c>
      <c r="I1380" s="13" t="n">
        <v>2</v>
      </c>
      <c r="J1380" s="13" t="n">
        <v>3</v>
      </c>
      <c r="K1380" s="13" t="n">
        <v>94000</v>
      </c>
      <c r="L1380" s="13" t="s">
        <v>173</v>
      </c>
      <c r="M1380" s="13" t="s">
        <v>818</v>
      </c>
      <c r="N1380" s="13" t="s">
        <v>142</v>
      </c>
    </row>
    <row r="1381" customFormat="false" ht="15" hidden="false" customHeight="false" outlineLevel="0" collapsed="false">
      <c r="A1381" s="13" t="s">
        <v>1599</v>
      </c>
      <c r="B1381" s="14" t="n">
        <v>44815</v>
      </c>
      <c r="C1381" s="14"/>
      <c r="D1381" s="13" t="n">
        <v>35</v>
      </c>
      <c r="E1381" s="13" t="s">
        <v>259</v>
      </c>
      <c r="F1381" s="13" t="s">
        <v>154</v>
      </c>
      <c r="G1381" s="13" t="s">
        <v>191</v>
      </c>
      <c r="H1381" s="13" t="s">
        <v>146</v>
      </c>
      <c r="I1381" s="13" t="n">
        <v>3</v>
      </c>
      <c r="J1381" s="13" t="n">
        <v>2</v>
      </c>
      <c r="K1381" s="13" t="n">
        <v>64000</v>
      </c>
      <c r="L1381" s="13"/>
      <c r="M1381" s="13"/>
      <c r="N1381" s="13" t="s">
        <v>142</v>
      </c>
    </row>
    <row r="1382" customFormat="false" ht="15" hidden="false" customHeight="false" outlineLevel="0" collapsed="false">
      <c r="A1382" s="13" t="s">
        <v>1600</v>
      </c>
      <c r="B1382" s="14" t="n">
        <v>44815</v>
      </c>
      <c r="C1382" s="14"/>
      <c r="D1382" s="13" t="n">
        <v>34</v>
      </c>
      <c r="E1382" s="13" t="s">
        <v>144</v>
      </c>
      <c r="F1382" s="13" t="s">
        <v>168</v>
      </c>
      <c r="G1382" s="13" t="s">
        <v>213</v>
      </c>
      <c r="H1382" s="13" t="s">
        <v>178</v>
      </c>
      <c r="I1382" s="13" t="n">
        <v>2</v>
      </c>
      <c r="J1382" s="13" t="n">
        <v>4</v>
      </c>
      <c r="K1382" s="13" t="n">
        <v>135000</v>
      </c>
      <c r="L1382" s="13"/>
      <c r="M1382" s="13"/>
      <c r="N1382" s="13" t="s">
        <v>134</v>
      </c>
    </row>
    <row r="1383" customFormat="false" ht="15" hidden="false" customHeight="false" outlineLevel="0" collapsed="false">
      <c r="A1383" s="13" t="s">
        <v>1601</v>
      </c>
      <c r="B1383" s="14" t="n">
        <v>44815</v>
      </c>
      <c r="C1383" s="14"/>
      <c r="D1383" s="13" t="n">
        <v>41</v>
      </c>
      <c r="E1383" s="13" t="s">
        <v>130</v>
      </c>
      <c r="F1383" s="13" t="s">
        <v>168</v>
      </c>
      <c r="G1383" s="13" t="s">
        <v>148</v>
      </c>
      <c r="H1383" s="13" t="s">
        <v>149</v>
      </c>
      <c r="I1383" s="13" t="n">
        <v>4</v>
      </c>
      <c r="J1383" s="13" t="n">
        <v>2</v>
      </c>
      <c r="K1383" s="13" t="n">
        <v>82000</v>
      </c>
      <c r="L1383" s="13"/>
      <c r="M1383" s="13"/>
      <c r="N1383" s="13" t="s">
        <v>134</v>
      </c>
    </row>
    <row r="1384" customFormat="false" ht="15" hidden="false" customHeight="false" outlineLevel="0" collapsed="false">
      <c r="A1384" s="13" t="s">
        <v>1602</v>
      </c>
      <c r="B1384" s="14" t="n">
        <v>44820</v>
      </c>
      <c r="C1384" s="14" t="n">
        <v>45772</v>
      </c>
      <c r="D1384" s="13" t="n">
        <v>35</v>
      </c>
      <c r="E1384" s="13" t="s">
        <v>136</v>
      </c>
      <c r="F1384" s="13" t="s">
        <v>137</v>
      </c>
      <c r="G1384" s="13" t="s">
        <v>148</v>
      </c>
      <c r="H1384" s="13" t="s">
        <v>178</v>
      </c>
      <c r="I1384" s="13" t="n">
        <v>5</v>
      </c>
      <c r="J1384" s="13" t="n">
        <v>2</v>
      </c>
      <c r="K1384" s="13" t="n">
        <v>134000</v>
      </c>
      <c r="L1384" s="13" t="s">
        <v>151</v>
      </c>
      <c r="M1384" s="13" t="s">
        <v>201</v>
      </c>
      <c r="N1384" s="13" t="s">
        <v>142</v>
      </c>
    </row>
    <row r="1385" customFormat="false" ht="15" hidden="false" customHeight="false" outlineLevel="0" collapsed="false">
      <c r="A1385" s="13" t="s">
        <v>1603</v>
      </c>
      <c r="B1385" s="14" t="n">
        <v>44820</v>
      </c>
      <c r="C1385" s="14" t="n">
        <v>45215</v>
      </c>
      <c r="D1385" s="13" t="n">
        <v>36</v>
      </c>
      <c r="E1385" s="13" t="s">
        <v>144</v>
      </c>
      <c r="F1385" s="13" t="s">
        <v>145</v>
      </c>
      <c r="G1385" s="13" t="s">
        <v>132</v>
      </c>
      <c r="H1385" s="13" t="s">
        <v>133</v>
      </c>
      <c r="I1385" s="13" t="n">
        <v>3</v>
      </c>
      <c r="J1385" s="13" t="n">
        <v>4</v>
      </c>
      <c r="K1385" s="13" t="n">
        <v>57000</v>
      </c>
      <c r="L1385" s="13" t="s">
        <v>151</v>
      </c>
      <c r="M1385" s="13" t="s">
        <v>152</v>
      </c>
      <c r="N1385" s="13" t="s">
        <v>142</v>
      </c>
    </row>
    <row r="1386" customFormat="false" ht="15" hidden="false" customHeight="false" outlineLevel="0" collapsed="false">
      <c r="A1386" s="13" t="s">
        <v>1604</v>
      </c>
      <c r="B1386" s="14" t="n">
        <v>44826</v>
      </c>
      <c r="C1386" s="14"/>
      <c r="D1386" s="13" t="n">
        <v>35</v>
      </c>
      <c r="E1386" s="13" t="s">
        <v>144</v>
      </c>
      <c r="F1386" s="13" t="s">
        <v>241</v>
      </c>
      <c r="G1386" s="13" t="s">
        <v>213</v>
      </c>
      <c r="H1386" s="13" t="s">
        <v>192</v>
      </c>
      <c r="I1386" s="13" t="n">
        <v>4</v>
      </c>
      <c r="J1386" s="13" t="n">
        <v>4</v>
      </c>
      <c r="K1386" s="13" t="n">
        <v>196000</v>
      </c>
      <c r="L1386" s="13"/>
      <c r="M1386" s="13"/>
      <c r="N1386" s="13" t="s">
        <v>142</v>
      </c>
    </row>
    <row r="1387" customFormat="false" ht="15" hidden="false" customHeight="false" outlineLevel="0" collapsed="false">
      <c r="A1387" s="13" t="s">
        <v>1605</v>
      </c>
      <c r="B1387" s="14" t="n">
        <v>44828</v>
      </c>
      <c r="C1387" s="14"/>
      <c r="D1387" s="13" t="n">
        <v>37</v>
      </c>
      <c r="E1387" s="13" t="s">
        <v>136</v>
      </c>
      <c r="F1387" s="13" t="s">
        <v>170</v>
      </c>
      <c r="G1387" s="13" t="s">
        <v>155</v>
      </c>
      <c r="H1387" s="13" t="s">
        <v>192</v>
      </c>
      <c r="I1387" s="13" t="n">
        <v>3</v>
      </c>
      <c r="J1387" s="13" t="n">
        <v>3</v>
      </c>
      <c r="K1387" s="13" t="n">
        <v>164000</v>
      </c>
      <c r="L1387" s="13"/>
      <c r="M1387" s="13"/>
      <c r="N1387" s="13" t="s">
        <v>142</v>
      </c>
    </row>
    <row r="1388" customFormat="false" ht="15" hidden="false" customHeight="false" outlineLevel="0" collapsed="false">
      <c r="A1388" s="13" t="s">
        <v>1606</v>
      </c>
      <c r="B1388" s="14" t="n">
        <v>44830</v>
      </c>
      <c r="C1388" s="14"/>
      <c r="D1388" s="13" t="n">
        <v>30</v>
      </c>
      <c r="E1388" s="13" t="s">
        <v>144</v>
      </c>
      <c r="F1388" s="13" t="s">
        <v>145</v>
      </c>
      <c r="G1388" s="13" t="s">
        <v>132</v>
      </c>
      <c r="H1388" s="13" t="s">
        <v>156</v>
      </c>
      <c r="I1388" s="13" t="n">
        <v>2</v>
      </c>
      <c r="J1388" s="13" t="n">
        <v>2</v>
      </c>
      <c r="K1388" s="13" t="n">
        <v>91000</v>
      </c>
      <c r="L1388" s="13"/>
      <c r="M1388" s="13"/>
      <c r="N1388" s="13" t="s">
        <v>142</v>
      </c>
    </row>
    <row r="1389" customFormat="false" ht="15" hidden="false" customHeight="false" outlineLevel="0" collapsed="false">
      <c r="A1389" s="13" t="s">
        <v>1607</v>
      </c>
      <c r="B1389" s="14" t="n">
        <v>44835</v>
      </c>
      <c r="C1389" s="14" t="n">
        <v>45941</v>
      </c>
      <c r="D1389" s="13" t="n">
        <v>31</v>
      </c>
      <c r="E1389" s="13" t="s">
        <v>136</v>
      </c>
      <c r="F1389" s="13" t="s">
        <v>161</v>
      </c>
      <c r="G1389" s="13" t="s">
        <v>148</v>
      </c>
      <c r="H1389" s="13" t="s">
        <v>149</v>
      </c>
      <c r="I1389" s="13" t="n">
        <v>3</v>
      </c>
      <c r="J1389" s="13" t="n">
        <v>4</v>
      </c>
      <c r="K1389" s="13" t="n">
        <v>102500</v>
      </c>
      <c r="L1389" s="13" t="s">
        <v>151</v>
      </c>
      <c r="M1389" s="13" t="s">
        <v>206</v>
      </c>
      <c r="N1389" s="13" t="s">
        <v>142</v>
      </c>
    </row>
    <row r="1390" customFormat="false" ht="15" hidden="false" customHeight="false" outlineLevel="0" collapsed="false">
      <c r="A1390" s="13" t="s">
        <v>1608</v>
      </c>
      <c r="B1390" s="14" t="n">
        <v>44836</v>
      </c>
      <c r="C1390" s="14"/>
      <c r="D1390" s="13" t="n">
        <v>39</v>
      </c>
      <c r="E1390" s="13" t="s">
        <v>136</v>
      </c>
      <c r="F1390" s="13" t="s">
        <v>231</v>
      </c>
      <c r="G1390" s="13" t="s">
        <v>155</v>
      </c>
      <c r="H1390" s="13" t="s">
        <v>139</v>
      </c>
      <c r="I1390" s="13" t="n">
        <v>4</v>
      </c>
      <c r="J1390" s="13" t="n">
        <v>4</v>
      </c>
      <c r="K1390" s="13" t="n">
        <v>38000</v>
      </c>
      <c r="L1390" s="13"/>
      <c r="M1390" s="13"/>
      <c r="N1390" s="13" t="s">
        <v>134</v>
      </c>
    </row>
    <row r="1391" customFormat="false" ht="15" hidden="false" customHeight="false" outlineLevel="0" collapsed="false">
      <c r="A1391" s="13" t="s">
        <v>1609</v>
      </c>
      <c r="B1391" s="14" t="n">
        <v>44836</v>
      </c>
      <c r="C1391" s="14"/>
      <c r="D1391" s="13" t="n">
        <v>25</v>
      </c>
      <c r="E1391" s="13" t="s">
        <v>190</v>
      </c>
      <c r="F1391" s="13" t="s">
        <v>154</v>
      </c>
      <c r="G1391" s="13" t="s">
        <v>155</v>
      </c>
      <c r="H1391" s="13" t="s">
        <v>192</v>
      </c>
      <c r="I1391" s="13" t="n">
        <v>3</v>
      </c>
      <c r="J1391" s="13" t="n">
        <v>3</v>
      </c>
      <c r="K1391" s="13" t="n">
        <v>164000</v>
      </c>
      <c r="L1391" s="13"/>
      <c r="M1391" s="13"/>
      <c r="N1391" s="13" t="s">
        <v>134</v>
      </c>
    </row>
    <row r="1392" customFormat="false" ht="15" hidden="false" customHeight="false" outlineLevel="0" collapsed="false">
      <c r="A1392" s="13" t="s">
        <v>1610</v>
      </c>
      <c r="B1392" s="14" t="n">
        <v>44836</v>
      </c>
      <c r="C1392" s="14"/>
      <c r="D1392" s="13" t="n">
        <v>27</v>
      </c>
      <c r="E1392" s="13" t="s">
        <v>130</v>
      </c>
      <c r="F1392" s="13" t="s">
        <v>168</v>
      </c>
      <c r="G1392" s="13" t="s">
        <v>155</v>
      </c>
      <c r="H1392" s="13" t="s">
        <v>139</v>
      </c>
      <c r="I1392" s="13" t="n">
        <v>3</v>
      </c>
      <c r="J1392" s="13" t="n">
        <v>3</v>
      </c>
      <c r="K1392" s="13" t="n">
        <v>35500</v>
      </c>
      <c r="L1392" s="13"/>
      <c r="M1392" s="13"/>
      <c r="N1392" s="13" t="s">
        <v>142</v>
      </c>
    </row>
    <row r="1393" customFormat="false" ht="15" hidden="false" customHeight="false" outlineLevel="0" collapsed="false">
      <c r="A1393" s="13" t="s">
        <v>1611</v>
      </c>
      <c r="B1393" s="14" t="n">
        <v>44837</v>
      </c>
      <c r="C1393" s="14" t="n">
        <v>45467</v>
      </c>
      <c r="D1393" s="13" t="n">
        <v>38</v>
      </c>
      <c r="E1393" s="13" t="s">
        <v>136</v>
      </c>
      <c r="F1393" s="13" t="s">
        <v>164</v>
      </c>
      <c r="G1393" s="13" t="s">
        <v>307</v>
      </c>
      <c r="H1393" s="13" t="s">
        <v>149</v>
      </c>
      <c r="I1393" s="13" t="n">
        <v>3</v>
      </c>
      <c r="J1393" s="13" t="n">
        <v>3</v>
      </c>
      <c r="K1393" s="13" t="n">
        <v>107000</v>
      </c>
      <c r="L1393" s="13" t="s">
        <v>151</v>
      </c>
      <c r="M1393" s="13" t="s">
        <v>216</v>
      </c>
      <c r="N1393" s="13" t="s">
        <v>142</v>
      </c>
    </row>
    <row r="1394" customFormat="false" ht="15" hidden="false" customHeight="false" outlineLevel="0" collapsed="false">
      <c r="A1394" s="13" t="s">
        <v>1612</v>
      </c>
      <c r="B1394" s="14" t="n">
        <v>44837</v>
      </c>
      <c r="C1394" s="14"/>
      <c r="D1394" s="13" t="n">
        <v>36</v>
      </c>
      <c r="E1394" s="13" t="s">
        <v>136</v>
      </c>
      <c r="F1394" s="13" t="s">
        <v>229</v>
      </c>
      <c r="G1394" s="13" t="s">
        <v>132</v>
      </c>
      <c r="H1394" s="13" t="s">
        <v>139</v>
      </c>
      <c r="I1394" s="13" t="n">
        <v>4</v>
      </c>
      <c r="J1394" s="13" t="n">
        <v>3</v>
      </c>
      <c r="K1394" s="13" t="n">
        <v>50500</v>
      </c>
      <c r="L1394" s="13"/>
      <c r="M1394" s="13"/>
      <c r="N1394" s="13" t="s">
        <v>142</v>
      </c>
    </row>
    <row r="1395" customFormat="false" ht="15" hidden="false" customHeight="false" outlineLevel="0" collapsed="false">
      <c r="A1395" s="13" t="s">
        <v>1613</v>
      </c>
      <c r="B1395" s="14" t="n">
        <v>44840</v>
      </c>
      <c r="C1395" s="14" t="n">
        <v>45142</v>
      </c>
      <c r="D1395" s="13" t="n">
        <v>27</v>
      </c>
      <c r="E1395" s="13" t="s">
        <v>190</v>
      </c>
      <c r="F1395" s="13" t="s">
        <v>231</v>
      </c>
      <c r="G1395" s="13" t="s">
        <v>155</v>
      </c>
      <c r="H1395" s="13" t="s">
        <v>149</v>
      </c>
      <c r="I1395" s="13" t="n">
        <v>3</v>
      </c>
      <c r="J1395" s="13" t="n">
        <v>4</v>
      </c>
      <c r="K1395" s="13" t="n">
        <v>102000</v>
      </c>
      <c r="L1395" s="13" t="s">
        <v>151</v>
      </c>
      <c r="M1395" s="13" t="s">
        <v>152</v>
      </c>
      <c r="N1395" s="13" t="s">
        <v>134</v>
      </c>
    </row>
    <row r="1396" customFormat="false" ht="15" hidden="false" customHeight="false" outlineLevel="0" collapsed="false">
      <c r="A1396" s="13" t="s">
        <v>1614</v>
      </c>
      <c r="B1396" s="14" t="n">
        <v>44844</v>
      </c>
      <c r="C1396" s="14"/>
      <c r="D1396" s="13" t="n">
        <v>28</v>
      </c>
      <c r="E1396" s="13" t="s">
        <v>136</v>
      </c>
      <c r="F1396" s="13" t="s">
        <v>168</v>
      </c>
      <c r="G1396" s="13" t="s">
        <v>354</v>
      </c>
      <c r="H1396" s="13" t="s">
        <v>156</v>
      </c>
      <c r="I1396" s="13" t="n">
        <v>3</v>
      </c>
      <c r="J1396" s="13" t="n">
        <v>2</v>
      </c>
      <c r="K1396" s="13" t="n">
        <v>101500</v>
      </c>
      <c r="L1396" s="13"/>
      <c r="M1396" s="13"/>
      <c r="N1396" s="13" t="s">
        <v>142</v>
      </c>
    </row>
    <row r="1397" customFormat="false" ht="15" hidden="false" customHeight="false" outlineLevel="0" collapsed="false">
      <c r="A1397" s="13" t="s">
        <v>1615</v>
      </c>
      <c r="B1397" s="14" t="n">
        <v>44846</v>
      </c>
      <c r="C1397" s="14" t="n">
        <v>44924</v>
      </c>
      <c r="D1397" s="13" t="n">
        <v>37</v>
      </c>
      <c r="E1397" s="13" t="s">
        <v>144</v>
      </c>
      <c r="F1397" s="13" t="s">
        <v>145</v>
      </c>
      <c r="G1397" s="13" t="s">
        <v>155</v>
      </c>
      <c r="H1397" s="13" t="s">
        <v>146</v>
      </c>
      <c r="I1397" s="13" t="n">
        <v>3</v>
      </c>
      <c r="J1397" s="13" t="n">
        <v>3</v>
      </c>
      <c r="K1397" s="13" t="n">
        <v>62500</v>
      </c>
      <c r="L1397" s="13" t="s">
        <v>151</v>
      </c>
      <c r="M1397" s="13" t="s">
        <v>216</v>
      </c>
      <c r="N1397" s="13" t="s">
        <v>214</v>
      </c>
    </row>
    <row r="1398" customFormat="false" ht="15" hidden="false" customHeight="false" outlineLevel="0" collapsed="false">
      <c r="A1398" s="13" t="s">
        <v>1616</v>
      </c>
      <c r="B1398" s="14" t="n">
        <v>44846</v>
      </c>
      <c r="C1398" s="14" t="n">
        <v>45817</v>
      </c>
      <c r="D1398" s="13" t="n">
        <v>31</v>
      </c>
      <c r="E1398" s="13" t="s">
        <v>144</v>
      </c>
      <c r="F1398" s="13" t="s">
        <v>168</v>
      </c>
      <c r="G1398" s="13" t="s">
        <v>155</v>
      </c>
      <c r="H1398" s="13" t="s">
        <v>139</v>
      </c>
      <c r="I1398" s="13" t="n">
        <v>4</v>
      </c>
      <c r="J1398" s="13" t="n">
        <v>1</v>
      </c>
      <c r="K1398" s="13" t="n">
        <v>43500</v>
      </c>
      <c r="L1398" s="13" t="s">
        <v>151</v>
      </c>
      <c r="M1398" s="13" t="s">
        <v>141</v>
      </c>
      <c r="N1398" s="13" t="s">
        <v>134</v>
      </c>
    </row>
    <row r="1399" customFormat="false" ht="15" hidden="false" customHeight="false" outlineLevel="0" collapsed="false">
      <c r="A1399" s="13" t="s">
        <v>1617</v>
      </c>
      <c r="B1399" s="14" t="n">
        <v>44847</v>
      </c>
      <c r="C1399" s="14" t="n">
        <v>45761</v>
      </c>
      <c r="D1399" s="13" t="n">
        <v>39</v>
      </c>
      <c r="E1399" s="13" t="s">
        <v>144</v>
      </c>
      <c r="F1399" s="13" t="s">
        <v>137</v>
      </c>
      <c r="G1399" s="13" t="s">
        <v>155</v>
      </c>
      <c r="H1399" s="13" t="s">
        <v>146</v>
      </c>
      <c r="I1399" s="13" t="n">
        <v>5</v>
      </c>
      <c r="J1399" s="13" t="n">
        <v>3</v>
      </c>
      <c r="K1399" s="13" t="n">
        <v>49000</v>
      </c>
      <c r="L1399" s="13" t="s">
        <v>173</v>
      </c>
      <c r="M1399" s="13" t="s">
        <v>310</v>
      </c>
      <c r="N1399" s="13" t="s">
        <v>142</v>
      </c>
    </row>
    <row r="1400" customFormat="false" ht="15" hidden="false" customHeight="false" outlineLevel="0" collapsed="false">
      <c r="A1400" s="13" t="s">
        <v>1618</v>
      </c>
      <c r="B1400" s="14" t="n">
        <v>44848</v>
      </c>
      <c r="C1400" s="14" t="n">
        <v>46006</v>
      </c>
      <c r="D1400" s="13" t="n">
        <v>35</v>
      </c>
      <c r="E1400" s="13" t="s">
        <v>136</v>
      </c>
      <c r="F1400" s="13" t="s">
        <v>168</v>
      </c>
      <c r="G1400" s="13" t="s">
        <v>155</v>
      </c>
      <c r="H1400" s="13" t="s">
        <v>146</v>
      </c>
      <c r="I1400" s="13" t="n">
        <v>5</v>
      </c>
      <c r="J1400" s="13" t="n">
        <v>3</v>
      </c>
      <c r="K1400" s="13" t="n">
        <v>48000</v>
      </c>
      <c r="L1400" s="13" t="s">
        <v>272</v>
      </c>
      <c r="M1400" s="13" t="s">
        <v>254</v>
      </c>
      <c r="N1400" s="13" t="s">
        <v>142</v>
      </c>
    </row>
    <row r="1401" customFormat="false" ht="15" hidden="false" customHeight="false" outlineLevel="0" collapsed="false">
      <c r="A1401" s="13" t="s">
        <v>1619</v>
      </c>
      <c r="B1401" s="14" t="n">
        <v>44849</v>
      </c>
      <c r="C1401" s="14" t="n">
        <v>45605</v>
      </c>
      <c r="D1401" s="13" t="n">
        <v>34</v>
      </c>
      <c r="E1401" s="13" t="s">
        <v>136</v>
      </c>
      <c r="F1401" s="13" t="s">
        <v>145</v>
      </c>
      <c r="G1401" s="13" t="s">
        <v>191</v>
      </c>
      <c r="H1401" s="13" t="s">
        <v>146</v>
      </c>
      <c r="I1401" s="13" t="n">
        <v>3</v>
      </c>
      <c r="J1401" s="13" t="n">
        <v>3</v>
      </c>
      <c r="K1401" s="13" t="n">
        <v>59500</v>
      </c>
      <c r="L1401" s="13" t="s">
        <v>151</v>
      </c>
      <c r="M1401" s="13" t="s">
        <v>201</v>
      </c>
      <c r="N1401" s="13" t="s">
        <v>142</v>
      </c>
    </row>
    <row r="1402" customFormat="false" ht="15" hidden="false" customHeight="false" outlineLevel="0" collapsed="false">
      <c r="A1402" s="13" t="s">
        <v>1620</v>
      </c>
      <c r="B1402" s="14" t="n">
        <v>44850</v>
      </c>
      <c r="C1402" s="14" t="n">
        <v>45105</v>
      </c>
      <c r="D1402" s="13" t="n">
        <v>30</v>
      </c>
      <c r="E1402" s="13" t="s">
        <v>136</v>
      </c>
      <c r="F1402" s="13" t="s">
        <v>168</v>
      </c>
      <c r="G1402" s="13" t="s">
        <v>138</v>
      </c>
      <c r="H1402" s="13" t="s">
        <v>192</v>
      </c>
      <c r="I1402" s="13" t="n">
        <v>3</v>
      </c>
      <c r="J1402" s="13" t="n">
        <v>1</v>
      </c>
      <c r="K1402" s="13" t="n">
        <v>176500</v>
      </c>
      <c r="L1402" s="13" t="s">
        <v>173</v>
      </c>
      <c r="M1402" s="13" t="s">
        <v>310</v>
      </c>
      <c r="N1402" s="13" t="s">
        <v>134</v>
      </c>
    </row>
    <row r="1403" customFormat="false" ht="15" hidden="false" customHeight="false" outlineLevel="0" collapsed="false">
      <c r="A1403" s="13" t="s">
        <v>1621</v>
      </c>
      <c r="B1403" s="14" t="n">
        <v>44851</v>
      </c>
      <c r="C1403" s="14"/>
      <c r="D1403" s="13" t="n">
        <v>30</v>
      </c>
      <c r="E1403" s="13" t="s">
        <v>186</v>
      </c>
      <c r="F1403" s="13" t="s">
        <v>131</v>
      </c>
      <c r="G1403" s="13" t="s">
        <v>155</v>
      </c>
      <c r="H1403" s="13" t="s">
        <v>146</v>
      </c>
      <c r="I1403" s="13" t="n">
        <v>1</v>
      </c>
      <c r="J1403" s="13" t="n">
        <v>4</v>
      </c>
      <c r="K1403" s="13" t="n">
        <v>56000</v>
      </c>
      <c r="L1403" s="13"/>
      <c r="M1403" s="13"/>
      <c r="N1403" s="13" t="s">
        <v>142</v>
      </c>
    </row>
    <row r="1404" customFormat="false" ht="15" hidden="false" customHeight="false" outlineLevel="0" collapsed="false">
      <c r="A1404" s="13" t="s">
        <v>1622</v>
      </c>
      <c r="B1404" s="14" t="n">
        <v>44852</v>
      </c>
      <c r="C1404" s="14"/>
      <c r="D1404" s="13" t="n">
        <v>29</v>
      </c>
      <c r="E1404" s="13" t="s">
        <v>144</v>
      </c>
      <c r="F1404" s="13" t="s">
        <v>145</v>
      </c>
      <c r="G1404" s="13" t="s">
        <v>191</v>
      </c>
      <c r="H1404" s="13" t="s">
        <v>178</v>
      </c>
      <c r="I1404" s="13" t="n">
        <v>3</v>
      </c>
      <c r="J1404" s="13" t="n">
        <v>3</v>
      </c>
      <c r="K1404" s="13" t="n">
        <v>126000</v>
      </c>
      <c r="L1404" s="13"/>
      <c r="M1404" s="13"/>
      <c r="N1404" s="13" t="s">
        <v>142</v>
      </c>
    </row>
    <row r="1405" customFormat="false" ht="15" hidden="false" customHeight="false" outlineLevel="0" collapsed="false">
      <c r="A1405" s="13" t="s">
        <v>1623</v>
      </c>
      <c r="B1405" s="14" t="n">
        <v>44856</v>
      </c>
      <c r="C1405" s="14"/>
      <c r="D1405" s="13" t="n">
        <v>29</v>
      </c>
      <c r="E1405" s="13" t="s">
        <v>144</v>
      </c>
      <c r="F1405" s="13" t="s">
        <v>164</v>
      </c>
      <c r="G1405" s="13" t="s">
        <v>138</v>
      </c>
      <c r="H1405" s="13" t="s">
        <v>146</v>
      </c>
      <c r="I1405" s="13" t="n">
        <v>3</v>
      </c>
      <c r="J1405" s="13" t="n">
        <v>3</v>
      </c>
      <c r="K1405" s="13" t="n">
        <v>64000</v>
      </c>
      <c r="L1405" s="13"/>
      <c r="M1405" s="13"/>
      <c r="N1405" s="13" t="s">
        <v>142</v>
      </c>
    </row>
    <row r="1406" customFormat="false" ht="15" hidden="false" customHeight="false" outlineLevel="0" collapsed="false">
      <c r="A1406" s="13" t="s">
        <v>1624</v>
      </c>
      <c r="B1406" s="14" t="n">
        <v>44858</v>
      </c>
      <c r="C1406" s="14"/>
      <c r="D1406" s="13" t="n">
        <v>41</v>
      </c>
      <c r="E1406" s="13" t="s">
        <v>136</v>
      </c>
      <c r="F1406" s="13" t="s">
        <v>137</v>
      </c>
      <c r="G1406" s="13" t="s">
        <v>297</v>
      </c>
      <c r="H1406" s="13" t="s">
        <v>178</v>
      </c>
      <c r="I1406" s="13" t="n">
        <v>4</v>
      </c>
      <c r="J1406" s="13" t="n">
        <v>3</v>
      </c>
      <c r="K1406" s="13" t="n">
        <v>162500</v>
      </c>
      <c r="L1406" s="13"/>
      <c r="M1406" s="13"/>
      <c r="N1406" s="13" t="s">
        <v>142</v>
      </c>
    </row>
    <row r="1407" customFormat="false" ht="15" hidden="false" customHeight="false" outlineLevel="0" collapsed="false">
      <c r="A1407" s="13" t="s">
        <v>1625</v>
      </c>
      <c r="B1407" s="14" t="n">
        <v>44858</v>
      </c>
      <c r="C1407" s="14" t="n">
        <v>45123</v>
      </c>
      <c r="D1407" s="13" t="n">
        <v>35</v>
      </c>
      <c r="E1407" s="13" t="s">
        <v>186</v>
      </c>
      <c r="F1407" s="13" t="s">
        <v>145</v>
      </c>
      <c r="G1407" s="13" t="s">
        <v>213</v>
      </c>
      <c r="H1407" s="13" t="s">
        <v>280</v>
      </c>
      <c r="I1407" s="13" t="n">
        <v>4</v>
      </c>
      <c r="J1407" s="13" t="n">
        <v>4</v>
      </c>
      <c r="K1407" s="13" t="n">
        <v>84500</v>
      </c>
      <c r="L1407" s="13" t="s">
        <v>253</v>
      </c>
      <c r="M1407" s="13" t="s">
        <v>254</v>
      </c>
      <c r="N1407" s="13" t="s">
        <v>214</v>
      </c>
    </row>
    <row r="1408" customFormat="false" ht="15" hidden="false" customHeight="false" outlineLevel="0" collapsed="false">
      <c r="A1408" s="13" t="s">
        <v>1626</v>
      </c>
      <c r="B1408" s="14" t="n">
        <v>44860</v>
      </c>
      <c r="C1408" s="14"/>
      <c r="D1408" s="13" t="n">
        <v>39</v>
      </c>
      <c r="E1408" s="13" t="s">
        <v>259</v>
      </c>
      <c r="F1408" s="13" t="s">
        <v>154</v>
      </c>
      <c r="G1408" s="13" t="s">
        <v>148</v>
      </c>
      <c r="H1408" s="13" t="s">
        <v>543</v>
      </c>
      <c r="I1408" s="13" t="n">
        <v>4</v>
      </c>
      <c r="J1408" s="13" t="n">
        <v>3</v>
      </c>
      <c r="K1408" s="13" t="n">
        <v>119500</v>
      </c>
      <c r="L1408" s="13"/>
      <c r="M1408" s="13"/>
      <c r="N1408" s="13" t="s">
        <v>142</v>
      </c>
    </row>
    <row r="1409" customFormat="false" ht="15" hidden="false" customHeight="false" outlineLevel="0" collapsed="false">
      <c r="A1409" s="13" t="s">
        <v>1627</v>
      </c>
      <c r="B1409" s="14" t="n">
        <v>44862</v>
      </c>
      <c r="C1409" s="14" t="n">
        <v>45025</v>
      </c>
      <c r="D1409" s="13" t="n">
        <v>27</v>
      </c>
      <c r="E1409" s="13" t="s">
        <v>182</v>
      </c>
      <c r="F1409" s="13" t="s">
        <v>137</v>
      </c>
      <c r="G1409" s="13" t="s">
        <v>132</v>
      </c>
      <c r="H1409" s="13" t="s">
        <v>149</v>
      </c>
      <c r="I1409" s="13" t="n">
        <v>4</v>
      </c>
      <c r="J1409" s="13" t="n">
        <v>3</v>
      </c>
      <c r="K1409" s="13" t="n">
        <v>106500</v>
      </c>
      <c r="L1409" s="13" t="s">
        <v>200</v>
      </c>
      <c r="M1409" s="13" t="s">
        <v>152</v>
      </c>
      <c r="N1409" s="13" t="s">
        <v>142</v>
      </c>
    </row>
    <row r="1410" customFormat="false" ht="15" hidden="false" customHeight="false" outlineLevel="0" collapsed="false">
      <c r="A1410" s="13" t="s">
        <v>1628</v>
      </c>
      <c r="B1410" s="14" t="n">
        <v>44862</v>
      </c>
      <c r="C1410" s="14" t="n">
        <v>45175</v>
      </c>
      <c r="D1410" s="13" t="n">
        <v>29</v>
      </c>
      <c r="E1410" s="13" t="s">
        <v>144</v>
      </c>
      <c r="F1410" s="13" t="s">
        <v>161</v>
      </c>
      <c r="G1410" s="13" t="s">
        <v>297</v>
      </c>
      <c r="H1410" s="13" t="s">
        <v>156</v>
      </c>
      <c r="I1410" s="13" t="n">
        <v>2</v>
      </c>
      <c r="J1410" s="13" t="n">
        <v>4</v>
      </c>
      <c r="K1410" s="13" t="n">
        <v>81000</v>
      </c>
      <c r="L1410" s="13" t="s">
        <v>173</v>
      </c>
      <c r="M1410" s="13" t="s">
        <v>310</v>
      </c>
      <c r="N1410" s="13" t="s">
        <v>134</v>
      </c>
    </row>
    <row r="1411" customFormat="false" ht="15" hidden="false" customHeight="false" outlineLevel="0" collapsed="false">
      <c r="A1411" s="13" t="s">
        <v>1629</v>
      </c>
      <c r="B1411" s="14" t="n">
        <v>44865</v>
      </c>
      <c r="C1411" s="14" t="n">
        <v>45033</v>
      </c>
      <c r="D1411" s="13" t="n">
        <v>21</v>
      </c>
      <c r="E1411" s="13" t="s">
        <v>130</v>
      </c>
      <c r="F1411" s="13" t="s">
        <v>168</v>
      </c>
      <c r="G1411" s="13" t="s">
        <v>171</v>
      </c>
      <c r="H1411" s="13" t="s">
        <v>178</v>
      </c>
      <c r="I1411" s="13" t="n">
        <v>3</v>
      </c>
      <c r="J1411" s="13" t="n">
        <v>2</v>
      </c>
      <c r="K1411" s="13" t="n">
        <v>127000</v>
      </c>
      <c r="L1411" s="13" t="s">
        <v>151</v>
      </c>
      <c r="M1411" s="13" t="s">
        <v>152</v>
      </c>
      <c r="N1411" s="13" t="s">
        <v>214</v>
      </c>
    </row>
    <row r="1412" customFormat="false" ht="15" hidden="false" customHeight="false" outlineLevel="0" collapsed="false">
      <c r="A1412" s="13" t="s">
        <v>1630</v>
      </c>
      <c r="B1412" s="14" t="n">
        <v>44867</v>
      </c>
      <c r="C1412" s="14" t="n">
        <v>44923</v>
      </c>
      <c r="D1412" s="13" t="n">
        <v>28</v>
      </c>
      <c r="E1412" s="13" t="s">
        <v>130</v>
      </c>
      <c r="F1412" s="13" t="s">
        <v>161</v>
      </c>
      <c r="G1412" s="13" t="s">
        <v>155</v>
      </c>
      <c r="H1412" s="13" t="s">
        <v>156</v>
      </c>
      <c r="I1412" s="13" t="n">
        <v>4</v>
      </c>
      <c r="J1412" s="13" t="n">
        <v>1</v>
      </c>
      <c r="K1412" s="13" t="n">
        <v>86500</v>
      </c>
      <c r="L1412" s="13" t="s">
        <v>151</v>
      </c>
      <c r="M1412" s="13" t="s">
        <v>159</v>
      </c>
      <c r="N1412" s="13" t="s">
        <v>142</v>
      </c>
    </row>
    <row r="1413" customFormat="false" ht="15" hidden="false" customHeight="false" outlineLevel="0" collapsed="false">
      <c r="A1413" s="13" t="s">
        <v>1631</v>
      </c>
      <c r="B1413" s="14" t="n">
        <v>44868</v>
      </c>
      <c r="C1413" s="14" t="n">
        <v>45955</v>
      </c>
      <c r="D1413" s="13" t="n">
        <v>31</v>
      </c>
      <c r="E1413" s="13" t="s">
        <v>144</v>
      </c>
      <c r="F1413" s="13" t="s">
        <v>145</v>
      </c>
      <c r="G1413" s="13" t="s">
        <v>138</v>
      </c>
      <c r="H1413" s="13" t="s">
        <v>178</v>
      </c>
      <c r="I1413" s="13" t="n">
        <v>3</v>
      </c>
      <c r="J1413" s="13" t="n">
        <v>2</v>
      </c>
      <c r="K1413" s="13" t="n">
        <v>120000</v>
      </c>
      <c r="L1413" s="13" t="s">
        <v>151</v>
      </c>
      <c r="M1413" s="13" t="s">
        <v>206</v>
      </c>
      <c r="N1413" s="13" t="s">
        <v>142</v>
      </c>
    </row>
    <row r="1414" customFormat="false" ht="15" hidden="false" customHeight="false" outlineLevel="0" collapsed="false">
      <c r="A1414" s="13" t="s">
        <v>1632</v>
      </c>
      <c r="B1414" s="14" t="n">
        <v>44868</v>
      </c>
      <c r="C1414" s="14"/>
      <c r="D1414" s="13" t="n">
        <v>24</v>
      </c>
      <c r="E1414" s="13" t="s">
        <v>136</v>
      </c>
      <c r="F1414" s="13" t="s">
        <v>137</v>
      </c>
      <c r="G1414" s="13" t="s">
        <v>213</v>
      </c>
      <c r="H1414" s="13" t="s">
        <v>156</v>
      </c>
      <c r="I1414" s="13" t="n">
        <v>4</v>
      </c>
      <c r="J1414" s="13" t="n">
        <v>4</v>
      </c>
      <c r="K1414" s="13" t="n">
        <v>92000</v>
      </c>
      <c r="L1414" s="13"/>
      <c r="M1414" s="13"/>
      <c r="N1414" s="13" t="s">
        <v>142</v>
      </c>
    </row>
    <row r="1415" customFormat="false" ht="15" hidden="false" customHeight="false" outlineLevel="0" collapsed="false">
      <c r="A1415" s="13" t="s">
        <v>1633</v>
      </c>
      <c r="B1415" s="14" t="n">
        <v>44869</v>
      </c>
      <c r="C1415" s="14" t="n">
        <v>45479</v>
      </c>
      <c r="D1415" s="13" t="n">
        <v>29</v>
      </c>
      <c r="E1415" s="13" t="s">
        <v>136</v>
      </c>
      <c r="F1415" s="13" t="s">
        <v>168</v>
      </c>
      <c r="G1415" s="13" t="s">
        <v>155</v>
      </c>
      <c r="H1415" s="13" t="s">
        <v>146</v>
      </c>
      <c r="I1415" s="13" t="n">
        <v>4</v>
      </c>
      <c r="J1415" s="13" t="n">
        <v>2</v>
      </c>
      <c r="K1415" s="13" t="n">
        <v>55500</v>
      </c>
      <c r="L1415" s="13" t="s">
        <v>151</v>
      </c>
      <c r="M1415" s="13" t="s">
        <v>203</v>
      </c>
      <c r="N1415" s="13" t="s">
        <v>142</v>
      </c>
    </row>
    <row r="1416" customFormat="false" ht="15" hidden="false" customHeight="false" outlineLevel="0" collapsed="false">
      <c r="A1416" s="13" t="s">
        <v>1634</v>
      </c>
      <c r="B1416" s="14" t="n">
        <v>44871</v>
      </c>
      <c r="C1416" s="14" t="n">
        <v>45763</v>
      </c>
      <c r="D1416" s="13" t="n">
        <v>23</v>
      </c>
      <c r="E1416" s="13" t="s">
        <v>186</v>
      </c>
      <c r="F1416" s="13" t="s">
        <v>168</v>
      </c>
      <c r="G1416" s="13" t="s">
        <v>191</v>
      </c>
      <c r="H1416" s="13" t="s">
        <v>146</v>
      </c>
      <c r="I1416" s="13" t="n">
        <v>4</v>
      </c>
      <c r="J1416" s="13" t="n">
        <v>3</v>
      </c>
      <c r="K1416" s="13" t="n">
        <v>61500</v>
      </c>
      <c r="L1416" s="13" t="s">
        <v>272</v>
      </c>
      <c r="M1416" s="13" t="s">
        <v>310</v>
      </c>
      <c r="N1416" s="13" t="s">
        <v>142</v>
      </c>
    </row>
    <row r="1417" customFormat="false" ht="15" hidden="false" customHeight="false" outlineLevel="0" collapsed="false">
      <c r="A1417" s="13" t="s">
        <v>1635</v>
      </c>
      <c r="B1417" s="14" t="n">
        <v>44875</v>
      </c>
      <c r="C1417" s="14" t="n">
        <v>45042</v>
      </c>
      <c r="D1417" s="13" t="n">
        <v>30</v>
      </c>
      <c r="E1417" s="13" t="s">
        <v>144</v>
      </c>
      <c r="F1417" s="13" t="s">
        <v>168</v>
      </c>
      <c r="G1417" s="13" t="s">
        <v>300</v>
      </c>
      <c r="H1417" s="13" t="s">
        <v>411</v>
      </c>
      <c r="I1417" s="13" t="n">
        <v>3</v>
      </c>
      <c r="J1417" s="13" t="n">
        <v>3</v>
      </c>
      <c r="K1417" s="13" t="n">
        <v>70500</v>
      </c>
      <c r="L1417" s="13" t="s">
        <v>151</v>
      </c>
      <c r="M1417" s="13" t="s">
        <v>201</v>
      </c>
      <c r="N1417" s="13" t="s">
        <v>134</v>
      </c>
    </row>
    <row r="1418" customFormat="false" ht="15" hidden="false" customHeight="false" outlineLevel="0" collapsed="false">
      <c r="A1418" s="13" t="s">
        <v>1636</v>
      </c>
      <c r="B1418" s="14" t="n">
        <v>44878</v>
      </c>
      <c r="C1418" s="14" t="n">
        <v>45575</v>
      </c>
      <c r="D1418" s="13" t="n">
        <v>36</v>
      </c>
      <c r="E1418" s="13" t="s">
        <v>163</v>
      </c>
      <c r="F1418" s="13" t="s">
        <v>137</v>
      </c>
      <c r="G1418" s="13" t="s">
        <v>213</v>
      </c>
      <c r="H1418" s="13" t="s">
        <v>178</v>
      </c>
      <c r="I1418" s="13" t="n">
        <v>3</v>
      </c>
      <c r="J1418" s="13" t="n">
        <v>2</v>
      </c>
      <c r="K1418" s="13" t="n">
        <v>119500</v>
      </c>
      <c r="L1418" s="13" t="s">
        <v>151</v>
      </c>
      <c r="M1418" s="13" t="s">
        <v>201</v>
      </c>
      <c r="N1418" s="13" t="s">
        <v>134</v>
      </c>
    </row>
    <row r="1419" customFormat="false" ht="15" hidden="false" customHeight="false" outlineLevel="0" collapsed="false">
      <c r="A1419" s="13" t="s">
        <v>1637</v>
      </c>
      <c r="B1419" s="14" t="n">
        <v>44880</v>
      </c>
      <c r="C1419" s="14" t="n">
        <v>45493</v>
      </c>
      <c r="D1419" s="13" t="n">
        <v>30</v>
      </c>
      <c r="E1419" s="13" t="s">
        <v>144</v>
      </c>
      <c r="F1419" s="13" t="s">
        <v>161</v>
      </c>
      <c r="G1419" s="13" t="s">
        <v>155</v>
      </c>
      <c r="H1419" s="13" t="s">
        <v>172</v>
      </c>
      <c r="I1419" s="13" t="n">
        <v>2</v>
      </c>
      <c r="J1419" s="13" t="n">
        <v>3</v>
      </c>
      <c r="K1419" s="13" t="n">
        <v>39500</v>
      </c>
      <c r="L1419" s="13" t="s">
        <v>151</v>
      </c>
      <c r="M1419" s="13" t="s">
        <v>201</v>
      </c>
      <c r="N1419" s="13" t="s">
        <v>134</v>
      </c>
    </row>
    <row r="1420" customFormat="false" ht="15" hidden="false" customHeight="false" outlineLevel="0" collapsed="false">
      <c r="A1420" s="13" t="s">
        <v>1638</v>
      </c>
      <c r="B1420" s="14" t="n">
        <v>44881</v>
      </c>
      <c r="C1420" s="14"/>
      <c r="D1420" s="13" t="n">
        <v>31</v>
      </c>
      <c r="E1420" s="13" t="s">
        <v>144</v>
      </c>
      <c r="F1420" s="13" t="s">
        <v>168</v>
      </c>
      <c r="G1420" s="13" t="s">
        <v>213</v>
      </c>
      <c r="H1420" s="13" t="s">
        <v>146</v>
      </c>
      <c r="I1420" s="13" t="n">
        <v>1</v>
      </c>
      <c r="J1420" s="13" t="n">
        <v>3</v>
      </c>
      <c r="K1420" s="13" t="n">
        <v>57500</v>
      </c>
      <c r="L1420" s="13"/>
      <c r="M1420" s="13"/>
      <c r="N1420" s="13" t="s">
        <v>134</v>
      </c>
    </row>
    <row r="1421" customFormat="false" ht="15" hidden="false" customHeight="false" outlineLevel="0" collapsed="false">
      <c r="A1421" s="13" t="s">
        <v>1639</v>
      </c>
      <c r="B1421" s="14" t="n">
        <v>44882</v>
      </c>
      <c r="C1421" s="14" t="n">
        <v>45122</v>
      </c>
      <c r="D1421" s="13" t="n">
        <v>31</v>
      </c>
      <c r="E1421" s="13" t="s">
        <v>136</v>
      </c>
      <c r="F1421" s="13" t="s">
        <v>229</v>
      </c>
      <c r="G1421" s="13" t="s">
        <v>155</v>
      </c>
      <c r="H1421" s="13" t="s">
        <v>192</v>
      </c>
      <c r="I1421" s="13" t="n">
        <v>2</v>
      </c>
      <c r="J1421" s="13" t="n">
        <v>1</v>
      </c>
      <c r="K1421" s="13" t="n">
        <v>170000</v>
      </c>
      <c r="L1421" s="13" t="s">
        <v>140</v>
      </c>
      <c r="M1421" s="13" t="s">
        <v>201</v>
      </c>
      <c r="N1421" s="13" t="s">
        <v>134</v>
      </c>
    </row>
    <row r="1422" customFormat="false" ht="15" hidden="false" customHeight="false" outlineLevel="0" collapsed="false">
      <c r="A1422" s="13" t="s">
        <v>1640</v>
      </c>
      <c r="B1422" s="14" t="n">
        <v>44886</v>
      </c>
      <c r="C1422" s="14"/>
      <c r="D1422" s="13" t="n">
        <v>32</v>
      </c>
      <c r="E1422" s="13" t="s">
        <v>136</v>
      </c>
      <c r="F1422" s="13" t="s">
        <v>164</v>
      </c>
      <c r="G1422" s="13" t="s">
        <v>148</v>
      </c>
      <c r="H1422" s="13" t="s">
        <v>156</v>
      </c>
      <c r="I1422" s="13" t="n">
        <v>2</v>
      </c>
      <c r="J1422" s="13" t="n">
        <v>3</v>
      </c>
      <c r="K1422" s="13" t="n">
        <v>97500</v>
      </c>
      <c r="L1422" s="13"/>
      <c r="M1422" s="13"/>
      <c r="N1422" s="13" t="s">
        <v>142</v>
      </c>
    </row>
    <row r="1423" customFormat="false" ht="15" hidden="false" customHeight="false" outlineLevel="0" collapsed="false">
      <c r="A1423" s="13" t="s">
        <v>1641</v>
      </c>
      <c r="B1423" s="14" t="n">
        <v>44890</v>
      </c>
      <c r="C1423" s="14" t="n">
        <v>45415</v>
      </c>
      <c r="D1423" s="13" t="n">
        <v>37</v>
      </c>
      <c r="E1423" s="13" t="s">
        <v>163</v>
      </c>
      <c r="F1423" s="13" t="s">
        <v>154</v>
      </c>
      <c r="G1423" s="13" t="s">
        <v>138</v>
      </c>
      <c r="H1423" s="13" t="s">
        <v>146</v>
      </c>
      <c r="I1423" s="13" t="n">
        <v>5</v>
      </c>
      <c r="J1423" s="13" t="n">
        <v>3</v>
      </c>
      <c r="K1423" s="13" t="n">
        <v>62500</v>
      </c>
      <c r="L1423" s="13" t="s">
        <v>151</v>
      </c>
      <c r="M1423" s="13" t="s">
        <v>1642</v>
      </c>
      <c r="N1423" s="13" t="s">
        <v>134</v>
      </c>
    </row>
    <row r="1424" customFormat="false" ht="15" hidden="false" customHeight="false" outlineLevel="0" collapsed="false">
      <c r="A1424" s="13" t="s">
        <v>1643</v>
      </c>
      <c r="B1424" s="14" t="n">
        <v>44894</v>
      </c>
      <c r="C1424" s="14"/>
      <c r="D1424" s="13" t="n">
        <v>28</v>
      </c>
      <c r="E1424" s="13" t="s">
        <v>144</v>
      </c>
      <c r="F1424" s="13" t="s">
        <v>137</v>
      </c>
      <c r="G1424" s="13" t="s">
        <v>213</v>
      </c>
      <c r="H1424" s="13" t="s">
        <v>149</v>
      </c>
      <c r="I1424" s="13" t="n">
        <v>4</v>
      </c>
      <c r="J1424" s="13" t="n">
        <v>4</v>
      </c>
      <c r="K1424" s="13" t="n">
        <v>100500</v>
      </c>
      <c r="L1424" s="13"/>
      <c r="M1424" s="13"/>
      <c r="N1424" s="13" t="s">
        <v>134</v>
      </c>
    </row>
    <row r="1425" customFormat="false" ht="15" hidden="false" customHeight="false" outlineLevel="0" collapsed="false">
      <c r="A1425" s="13" t="s">
        <v>1644</v>
      </c>
      <c r="B1425" s="14" t="n">
        <v>44895</v>
      </c>
      <c r="C1425" s="14"/>
      <c r="D1425" s="13" t="n">
        <v>35</v>
      </c>
      <c r="E1425" s="13" t="s">
        <v>190</v>
      </c>
      <c r="F1425" s="13" t="s">
        <v>164</v>
      </c>
      <c r="G1425" s="13" t="s">
        <v>138</v>
      </c>
      <c r="H1425" s="13" t="s">
        <v>133</v>
      </c>
      <c r="I1425" s="13" t="n">
        <v>4</v>
      </c>
      <c r="J1425" s="13" t="n">
        <v>2</v>
      </c>
      <c r="K1425" s="13" t="n">
        <v>64000</v>
      </c>
      <c r="L1425" s="13"/>
      <c r="M1425" s="13"/>
      <c r="N1425" s="13" t="s">
        <v>142</v>
      </c>
    </row>
    <row r="1426" customFormat="false" ht="15" hidden="false" customHeight="false" outlineLevel="0" collapsed="false">
      <c r="A1426" s="13" t="s">
        <v>1645</v>
      </c>
      <c r="B1426" s="14" t="n">
        <v>44898</v>
      </c>
      <c r="C1426" s="14" t="n">
        <v>45315</v>
      </c>
      <c r="D1426" s="13" t="n">
        <v>29</v>
      </c>
      <c r="E1426" s="13" t="s">
        <v>136</v>
      </c>
      <c r="F1426" s="13" t="s">
        <v>168</v>
      </c>
      <c r="G1426" s="13" t="s">
        <v>191</v>
      </c>
      <c r="H1426" s="13" t="s">
        <v>139</v>
      </c>
      <c r="I1426" s="13" t="n">
        <v>4</v>
      </c>
      <c r="J1426" s="13" t="n">
        <v>2</v>
      </c>
      <c r="K1426" s="13" t="n">
        <v>32500</v>
      </c>
      <c r="L1426" s="13" t="s">
        <v>151</v>
      </c>
      <c r="M1426" s="13" t="s">
        <v>159</v>
      </c>
      <c r="N1426" s="13" t="s">
        <v>142</v>
      </c>
    </row>
    <row r="1427" customFormat="false" ht="15" hidden="false" customHeight="false" outlineLevel="0" collapsed="false">
      <c r="A1427" s="13" t="s">
        <v>1646</v>
      </c>
      <c r="B1427" s="14" t="n">
        <v>44900</v>
      </c>
      <c r="C1427" s="14" t="n">
        <v>45274</v>
      </c>
      <c r="D1427" s="13" t="n">
        <v>23</v>
      </c>
      <c r="E1427" s="13" t="s">
        <v>144</v>
      </c>
      <c r="F1427" s="13" t="s">
        <v>131</v>
      </c>
      <c r="G1427" s="13" t="s">
        <v>148</v>
      </c>
      <c r="H1427" s="13" t="s">
        <v>178</v>
      </c>
      <c r="I1427" s="13" t="n">
        <v>2</v>
      </c>
      <c r="J1427" s="13" t="n">
        <v>2</v>
      </c>
      <c r="K1427" s="13" t="n">
        <v>128500</v>
      </c>
      <c r="L1427" s="13" t="s">
        <v>173</v>
      </c>
      <c r="M1427" s="13" t="s">
        <v>254</v>
      </c>
      <c r="N1427" s="13" t="s">
        <v>142</v>
      </c>
    </row>
    <row r="1428" customFormat="false" ht="15" hidden="false" customHeight="false" outlineLevel="0" collapsed="false">
      <c r="A1428" s="13" t="s">
        <v>1647</v>
      </c>
      <c r="B1428" s="14" t="n">
        <v>44903</v>
      </c>
      <c r="C1428" s="14" t="n">
        <v>44938</v>
      </c>
      <c r="D1428" s="13" t="n">
        <v>30</v>
      </c>
      <c r="E1428" s="13" t="s">
        <v>130</v>
      </c>
      <c r="F1428" s="13" t="s">
        <v>168</v>
      </c>
      <c r="G1428" s="13" t="s">
        <v>195</v>
      </c>
      <c r="H1428" s="13" t="s">
        <v>139</v>
      </c>
      <c r="I1428" s="13" t="n">
        <v>5</v>
      </c>
      <c r="J1428" s="13" t="n">
        <v>1</v>
      </c>
      <c r="K1428" s="13" t="n">
        <v>38500</v>
      </c>
      <c r="L1428" s="13" t="s">
        <v>151</v>
      </c>
      <c r="M1428" s="13" t="s">
        <v>216</v>
      </c>
      <c r="N1428" s="13" t="s">
        <v>134</v>
      </c>
    </row>
    <row r="1429" customFormat="false" ht="15" hidden="false" customHeight="false" outlineLevel="0" collapsed="false">
      <c r="A1429" s="13" t="s">
        <v>1648</v>
      </c>
      <c r="B1429" s="14" t="n">
        <v>44905</v>
      </c>
      <c r="C1429" s="14"/>
      <c r="D1429" s="13" t="n">
        <v>36</v>
      </c>
      <c r="E1429" s="13" t="s">
        <v>144</v>
      </c>
      <c r="F1429" s="13" t="s">
        <v>164</v>
      </c>
      <c r="G1429" s="13" t="s">
        <v>148</v>
      </c>
      <c r="H1429" s="13" t="s">
        <v>192</v>
      </c>
      <c r="I1429" s="13" t="n">
        <v>4</v>
      </c>
      <c r="J1429" s="13" t="n">
        <v>3</v>
      </c>
      <c r="K1429" s="13" t="n">
        <v>150500</v>
      </c>
      <c r="L1429" s="13"/>
      <c r="M1429" s="13"/>
      <c r="N1429" s="13" t="s">
        <v>214</v>
      </c>
    </row>
    <row r="1430" customFormat="false" ht="15" hidden="false" customHeight="false" outlineLevel="0" collapsed="false">
      <c r="A1430" s="13" t="s">
        <v>1649</v>
      </c>
      <c r="B1430" s="14" t="n">
        <v>44905</v>
      </c>
      <c r="C1430" s="14"/>
      <c r="D1430" s="13" t="n">
        <v>39</v>
      </c>
      <c r="E1430" s="13" t="s">
        <v>144</v>
      </c>
      <c r="F1430" s="13" t="s">
        <v>170</v>
      </c>
      <c r="G1430" s="13" t="s">
        <v>191</v>
      </c>
      <c r="H1430" s="13" t="s">
        <v>146</v>
      </c>
      <c r="I1430" s="13" t="n">
        <v>3</v>
      </c>
      <c r="J1430" s="13" t="n">
        <v>1</v>
      </c>
      <c r="K1430" s="13" t="n">
        <v>71500</v>
      </c>
      <c r="L1430" s="13"/>
      <c r="M1430" s="13"/>
      <c r="N1430" s="13" t="s">
        <v>142</v>
      </c>
    </row>
    <row r="1431" customFormat="false" ht="15" hidden="false" customHeight="false" outlineLevel="0" collapsed="false">
      <c r="A1431" s="13" t="s">
        <v>1650</v>
      </c>
      <c r="B1431" s="14" t="n">
        <v>44905</v>
      </c>
      <c r="C1431" s="14"/>
      <c r="D1431" s="13" t="n">
        <v>25</v>
      </c>
      <c r="E1431" s="13" t="s">
        <v>136</v>
      </c>
      <c r="F1431" s="13" t="s">
        <v>168</v>
      </c>
      <c r="G1431" s="13" t="s">
        <v>213</v>
      </c>
      <c r="H1431" s="13" t="s">
        <v>156</v>
      </c>
      <c r="I1431" s="13" t="n">
        <v>3</v>
      </c>
      <c r="J1431" s="13" t="n">
        <v>4</v>
      </c>
      <c r="K1431" s="13" t="n">
        <v>88500</v>
      </c>
      <c r="L1431" s="13"/>
      <c r="M1431" s="13"/>
      <c r="N1431" s="13" t="s">
        <v>142</v>
      </c>
    </row>
    <row r="1432" customFormat="false" ht="15" hidden="false" customHeight="false" outlineLevel="0" collapsed="false">
      <c r="A1432" s="13" t="s">
        <v>1651</v>
      </c>
      <c r="B1432" s="14" t="n">
        <v>44906</v>
      </c>
      <c r="C1432" s="14"/>
      <c r="D1432" s="13" t="n">
        <v>29</v>
      </c>
      <c r="E1432" s="13" t="s">
        <v>144</v>
      </c>
      <c r="F1432" s="13" t="s">
        <v>154</v>
      </c>
      <c r="G1432" s="13" t="s">
        <v>132</v>
      </c>
      <c r="H1432" s="13" t="s">
        <v>146</v>
      </c>
      <c r="I1432" s="13" t="n">
        <v>4</v>
      </c>
      <c r="J1432" s="13" t="n">
        <v>3</v>
      </c>
      <c r="K1432" s="13" t="n">
        <v>57000</v>
      </c>
      <c r="L1432" s="13"/>
      <c r="M1432" s="13"/>
      <c r="N1432" s="13" t="s">
        <v>142</v>
      </c>
    </row>
    <row r="1433" customFormat="false" ht="15" hidden="false" customHeight="false" outlineLevel="0" collapsed="false">
      <c r="A1433" s="13" t="s">
        <v>1652</v>
      </c>
      <c r="B1433" s="14" t="n">
        <v>44907</v>
      </c>
      <c r="C1433" s="14"/>
      <c r="D1433" s="13" t="n">
        <v>32</v>
      </c>
      <c r="E1433" s="13" t="s">
        <v>190</v>
      </c>
      <c r="F1433" s="13" t="s">
        <v>137</v>
      </c>
      <c r="G1433" s="13" t="s">
        <v>195</v>
      </c>
      <c r="H1433" s="13" t="s">
        <v>146</v>
      </c>
      <c r="I1433" s="13" t="n">
        <v>3</v>
      </c>
      <c r="J1433" s="13" t="n">
        <v>2</v>
      </c>
      <c r="K1433" s="13" t="n">
        <v>65000</v>
      </c>
      <c r="L1433" s="13"/>
      <c r="M1433" s="13"/>
      <c r="N1433" s="13" t="s">
        <v>142</v>
      </c>
    </row>
    <row r="1434" customFormat="false" ht="15" hidden="false" customHeight="false" outlineLevel="0" collapsed="false">
      <c r="A1434" s="13" t="s">
        <v>1653</v>
      </c>
      <c r="B1434" s="14" t="n">
        <v>44908</v>
      </c>
      <c r="C1434" s="14" t="n">
        <v>45654</v>
      </c>
      <c r="D1434" s="13" t="n">
        <v>23</v>
      </c>
      <c r="E1434" s="13" t="s">
        <v>130</v>
      </c>
      <c r="F1434" s="13" t="s">
        <v>241</v>
      </c>
      <c r="G1434" s="13" t="s">
        <v>330</v>
      </c>
      <c r="H1434" s="13" t="s">
        <v>178</v>
      </c>
      <c r="I1434" s="13" t="n">
        <v>3</v>
      </c>
      <c r="J1434" s="13" t="n">
        <v>2</v>
      </c>
      <c r="K1434" s="13" t="n">
        <v>142500</v>
      </c>
      <c r="L1434" s="13" t="s">
        <v>151</v>
      </c>
      <c r="M1434" s="13" t="s">
        <v>203</v>
      </c>
      <c r="N1434" s="13" t="s">
        <v>134</v>
      </c>
    </row>
    <row r="1435" customFormat="false" ht="15" hidden="false" customHeight="false" outlineLevel="0" collapsed="false">
      <c r="A1435" s="13" t="s">
        <v>1654</v>
      </c>
      <c r="B1435" s="14" t="n">
        <v>44909</v>
      </c>
      <c r="C1435" s="14"/>
      <c r="D1435" s="13" t="n">
        <v>30</v>
      </c>
      <c r="E1435" s="13" t="s">
        <v>144</v>
      </c>
      <c r="F1435" s="13" t="s">
        <v>170</v>
      </c>
      <c r="G1435" s="13" t="s">
        <v>155</v>
      </c>
      <c r="H1435" s="13" t="s">
        <v>133</v>
      </c>
      <c r="I1435" s="13" t="n">
        <v>4</v>
      </c>
      <c r="J1435" s="13" t="n">
        <v>4</v>
      </c>
      <c r="K1435" s="13" t="n">
        <v>61500</v>
      </c>
      <c r="L1435" s="13"/>
      <c r="M1435" s="13"/>
      <c r="N1435" s="13" t="s">
        <v>134</v>
      </c>
    </row>
    <row r="1436" customFormat="false" ht="15" hidden="false" customHeight="false" outlineLevel="0" collapsed="false">
      <c r="A1436" s="13" t="s">
        <v>1655</v>
      </c>
      <c r="B1436" s="14" t="n">
        <v>44909</v>
      </c>
      <c r="C1436" s="14"/>
      <c r="D1436" s="13" t="n">
        <v>34</v>
      </c>
      <c r="E1436" s="13" t="s">
        <v>136</v>
      </c>
      <c r="F1436" s="13" t="s">
        <v>241</v>
      </c>
      <c r="G1436" s="13" t="s">
        <v>235</v>
      </c>
      <c r="H1436" s="13" t="s">
        <v>192</v>
      </c>
      <c r="I1436" s="13" t="n">
        <v>2</v>
      </c>
      <c r="J1436" s="13" t="n">
        <v>4</v>
      </c>
      <c r="K1436" s="13" t="n">
        <v>191500</v>
      </c>
      <c r="L1436" s="13"/>
      <c r="M1436" s="13"/>
      <c r="N1436" s="13" t="s">
        <v>142</v>
      </c>
    </row>
    <row r="1437" customFormat="false" ht="15" hidden="false" customHeight="false" outlineLevel="0" collapsed="false">
      <c r="A1437" s="13" t="s">
        <v>1656</v>
      </c>
      <c r="B1437" s="14" t="n">
        <v>44910</v>
      </c>
      <c r="C1437" s="14" t="n">
        <v>45552</v>
      </c>
      <c r="D1437" s="13" t="n">
        <v>40</v>
      </c>
      <c r="E1437" s="13" t="s">
        <v>259</v>
      </c>
      <c r="F1437" s="13" t="s">
        <v>131</v>
      </c>
      <c r="G1437" s="13" t="s">
        <v>138</v>
      </c>
      <c r="H1437" s="13" t="s">
        <v>156</v>
      </c>
      <c r="I1437" s="13" t="n">
        <v>5</v>
      </c>
      <c r="J1437" s="13" t="n">
        <v>1</v>
      </c>
      <c r="K1437" s="13" t="n">
        <v>88000</v>
      </c>
      <c r="L1437" s="13" t="s">
        <v>173</v>
      </c>
      <c r="M1437" s="13" t="s">
        <v>254</v>
      </c>
      <c r="N1437" s="13" t="s">
        <v>142</v>
      </c>
    </row>
    <row r="1438" customFormat="false" ht="15" hidden="false" customHeight="false" outlineLevel="0" collapsed="false">
      <c r="A1438" s="13" t="s">
        <v>1657</v>
      </c>
      <c r="B1438" s="14" t="n">
        <v>44910</v>
      </c>
      <c r="C1438" s="14"/>
      <c r="D1438" s="13" t="n">
        <v>34</v>
      </c>
      <c r="E1438" s="13" t="s">
        <v>144</v>
      </c>
      <c r="F1438" s="13" t="s">
        <v>137</v>
      </c>
      <c r="G1438" s="13" t="s">
        <v>148</v>
      </c>
      <c r="H1438" s="13" t="s">
        <v>178</v>
      </c>
      <c r="I1438" s="13" t="n">
        <v>3</v>
      </c>
      <c r="J1438" s="13" t="n">
        <v>2</v>
      </c>
      <c r="K1438" s="13" t="n">
        <v>111000</v>
      </c>
      <c r="L1438" s="13"/>
      <c r="M1438" s="13"/>
      <c r="N1438" s="13" t="s">
        <v>142</v>
      </c>
    </row>
    <row r="1439" customFormat="false" ht="15" hidden="false" customHeight="false" outlineLevel="0" collapsed="false">
      <c r="A1439" s="13" t="s">
        <v>1658</v>
      </c>
      <c r="B1439" s="14" t="n">
        <v>44911</v>
      </c>
      <c r="C1439" s="14" t="n">
        <v>45065</v>
      </c>
      <c r="D1439" s="13" t="n">
        <v>23</v>
      </c>
      <c r="E1439" s="13" t="s">
        <v>136</v>
      </c>
      <c r="F1439" s="13" t="s">
        <v>161</v>
      </c>
      <c r="G1439" s="13" t="s">
        <v>224</v>
      </c>
      <c r="H1439" s="13" t="s">
        <v>139</v>
      </c>
      <c r="I1439" s="13" t="n">
        <v>3</v>
      </c>
      <c r="J1439" s="13" t="n">
        <v>4</v>
      </c>
      <c r="K1439" s="13" t="n">
        <v>32500</v>
      </c>
      <c r="L1439" s="13" t="s">
        <v>151</v>
      </c>
      <c r="M1439" s="13" t="s">
        <v>201</v>
      </c>
      <c r="N1439" s="13" t="s">
        <v>142</v>
      </c>
    </row>
    <row r="1440" customFormat="false" ht="15" hidden="false" customHeight="false" outlineLevel="0" collapsed="false">
      <c r="A1440" s="13" t="s">
        <v>1659</v>
      </c>
      <c r="B1440" s="14" t="n">
        <v>44912</v>
      </c>
      <c r="C1440" s="14"/>
      <c r="D1440" s="13" t="n">
        <v>35</v>
      </c>
      <c r="E1440" s="13" t="s">
        <v>144</v>
      </c>
      <c r="F1440" s="13" t="s">
        <v>168</v>
      </c>
      <c r="G1440" s="13" t="s">
        <v>138</v>
      </c>
      <c r="H1440" s="13" t="s">
        <v>139</v>
      </c>
      <c r="I1440" s="13" t="n">
        <v>3</v>
      </c>
      <c r="J1440" s="13" t="n">
        <v>2</v>
      </c>
      <c r="K1440" s="13" t="n">
        <v>37000</v>
      </c>
      <c r="L1440" s="13"/>
      <c r="M1440" s="13"/>
      <c r="N1440" s="13" t="s">
        <v>142</v>
      </c>
    </row>
    <row r="1441" customFormat="false" ht="15" hidden="false" customHeight="false" outlineLevel="0" collapsed="false">
      <c r="A1441" s="13" t="s">
        <v>1660</v>
      </c>
      <c r="B1441" s="14" t="n">
        <v>44914</v>
      </c>
      <c r="C1441" s="14" t="n">
        <v>44936</v>
      </c>
      <c r="D1441" s="13" t="n">
        <v>33</v>
      </c>
      <c r="E1441" s="13" t="s">
        <v>144</v>
      </c>
      <c r="F1441" s="13" t="s">
        <v>241</v>
      </c>
      <c r="G1441" s="13" t="s">
        <v>279</v>
      </c>
      <c r="H1441" s="13" t="s">
        <v>146</v>
      </c>
      <c r="I1441" s="13" t="n">
        <v>4</v>
      </c>
      <c r="J1441" s="13" t="n">
        <v>2</v>
      </c>
      <c r="K1441" s="13" t="n">
        <v>68500</v>
      </c>
      <c r="L1441" s="13" t="s">
        <v>140</v>
      </c>
      <c r="M1441" s="13" t="s">
        <v>762</v>
      </c>
      <c r="N1441" s="13" t="s">
        <v>142</v>
      </c>
    </row>
    <row r="1442" customFormat="false" ht="15" hidden="false" customHeight="false" outlineLevel="0" collapsed="false">
      <c r="A1442" s="13" t="s">
        <v>1661</v>
      </c>
      <c r="B1442" s="14" t="n">
        <v>44914</v>
      </c>
      <c r="C1442" s="14" t="n">
        <v>45691</v>
      </c>
      <c r="D1442" s="13" t="n">
        <v>23</v>
      </c>
      <c r="E1442" s="13" t="s">
        <v>190</v>
      </c>
      <c r="F1442" s="13" t="s">
        <v>137</v>
      </c>
      <c r="G1442" s="13" t="s">
        <v>148</v>
      </c>
      <c r="H1442" s="13" t="s">
        <v>178</v>
      </c>
      <c r="I1442" s="13" t="n">
        <v>4</v>
      </c>
      <c r="J1442" s="13" t="n">
        <v>3</v>
      </c>
      <c r="K1442" s="13" t="n">
        <v>116500</v>
      </c>
      <c r="L1442" s="13" t="s">
        <v>151</v>
      </c>
      <c r="M1442" s="13" t="s">
        <v>216</v>
      </c>
      <c r="N1442" s="13" t="s">
        <v>157</v>
      </c>
    </row>
    <row r="1443" customFormat="false" ht="15" hidden="false" customHeight="false" outlineLevel="0" collapsed="false">
      <c r="A1443" s="13" t="s">
        <v>1662</v>
      </c>
      <c r="B1443" s="14" t="n">
        <v>44914</v>
      </c>
      <c r="C1443" s="14"/>
      <c r="D1443" s="13" t="n">
        <v>34</v>
      </c>
      <c r="E1443" s="13" t="s">
        <v>190</v>
      </c>
      <c r="F1443" s="13" t="s">
        <v>229</v>
      </c>
      <c r="G1443" s="13" t="s">
        <v>213</v>
      </c>
      <c r="H1443" s="13" t="s">
        <v>146</v>
      </c>
      <c r="I1443" s="13" t="n">
        <v>4</v>
      </c>
      <c r="J1443" s="13" t="n">
        <v>4</v>
      </c>
      <c r="K1443" s="13" t="n">
        <v>65500</v>
      </c>
      <c r="L1443" s="13"/>
      <c r="M1443" s="13"/>
      <c r="N1443" s="13" t="s">
        <v>134</v>
      </c>
    </row>
    <row r="1444" customFormat="false" ht="15" hidden="false" customHeight="false" outlineLevel="0" collapsed="false">
      <c r="A1444" s="13" t="s">
        <v>1663</v>
      </c>
      <c r="B1444" s="14" t="n">
        <v>44917</v>
      </c>
      <c r="C1444" s="14"/>
      <c r="D1444" s="13" t="n">
        <v>41</v>
      </c>
      <c r="E1444" s="13" t="s">
        <v>186</v>
      </c>
      <c r="F1444" s="13" t="s">
        <v>137</v>
      </c>
      <c r="G1444" s="13" t="s">
        <v>307</v>
      </c>
      <c r="H1444" s="13" t="s">
        <v>149</v>
      </c>
      <c r="I1444" s="13" t="n">
        <v>3</v>
      </c>
      <c r="J1444" s="13" t="n">
        <v>3</v>
      </c>
      <c r="K1444" s="13" t="n">
        <v>92500</v>
      </c>
      <c r="L1444" s="13"/>
      <c r="M1444" s="13"/>
      <c r="N1444" s="13" t="s">
        <v>142</v>
      </c>
    </row>
    <row r="1445" customFormat="false" ht="15" hidden="false" customHeight="false" outlineLevel="0" collapsed="false">
      <c r="A1445" s="13" t="s">
        <v>1664</v>
      </c>
      <c r="B1445" s="14" t="n">
        <v>44918</v>
      </c>
      <c r="C1445" s="14" t="n">
        <v>45090</v>
      </c>
      <c r="D1445" s="13" t="n">
        <v>32</v>
      </c>
      <c r="E1445" s="13" t="s">
        <v>136</v>
      </c>
      <c r="F1445" s="13" t="s">
        <v>154</v>
      </c>
      <c r="G1445" s="13" t="s">
        <v>334</v>
      </c>
      <c r="H1445" s="13" t="s">
        <v>149</v>
      </c>
      <c r="I1445" s="13"/>
      <c r="J1445" s="13" t="n">
        <v>3</v>
      </c>
      <c r="K1445" s="13" t="n">
        <v>103500</v>
      </c>
      <c r="L1445" s="13" t="s">
        <v>151</v>
      </c>
      <c r="M1445" s="13" t="s">
        <v>159</v>
      </c>
      <c r="N1445" s="13" t="s">
        <v>134</v>
      </c>
    </row>
    <row r="1446" customFormat="false" ht="15" hidden="false" customHeight="false" outlineLevel="0" collapsed="false">
      <c r="A1446" s="13" t="s">
        <v>1665</v>
      </c>
      <c r="B1446" s="14" t="n">
        <v>44918</v>
      </c>
      <c r="C1446" s="14"/>
      <c r="D1446" s="13" t="n">
        <v>32</v>
      </c>
      <c r="E1446" s="13" t="s">
        <v>136</v>
      </c>
      <c r="F1446" s="13" t="s">
        <v>131</v>
      </c>
      <c r="G1446" s="13" t="s">
        <v>155</v>
      </c>
      <c r="H1446" s="13" t="s">
        <v>139</v>
      </c>
      <c r="I1446" s="13" t="n">
        <v>4</v>
      </c>
      <c r="J1446" s="13" t="n">
        <v>3</v>
      </c>
      <c r="K1446" s="13" t="n">
        <v>43500</v>
      </c>
      <c r="L1446" s="13"/>
      <c r="M1446" s="13"/>
      <c r="N1446" s="13" t="s">
        <v>142</v>
      </c>
    </row>
    <row r="1447" customFormat="false" ht="15" hidden="false" customHeight="false" outlineLevel="0" collapsed="false">
      <c r="A1447" s="13" t="s">
        <v>1666</v>
      </c>
      <c r="B1447" s="14" t="n">
        <v>44922</v>
      </c>
      <c r="C1447" s="14" t="n">
        <v>45411</v>
      </c>
      <c r="D1447" s="13" t="n">
        <v>26</v>
      </c>
      <c r="E1447" s="13" t="s">
        <v>136</v>
      </c>
      <c r="F1447" s="13" t="s">
        <v>239</v>
      </c>
      <c r="G1447" s="13" t="s">
        <v>138</v>
      </c>
      <c r="H1447" s="13" t="s">
        <v>146</v>
      </c>
      <c r="I1447" s="13" t="n">
        <v>3</v>
      </c>
      <c r="J1447" s="13" t="n">
        <v>3</v>
      </c>
      <c r="K1447" s="13" t="n">
        <v>57000</v>
      </c>
      <c r="L1447" s="13" t="s">
        <v>151</v>
      </c>
      <c r="M1447" s="13" t="s">
        <v>141</v>
      </c>
      <c r="N1447" s="13" t="s">
        <v>142</v>
      </c>
    </row>
    <row r="1448" customFormat="false" ht="15" hidden="false" customHeight="false" outlineLevel="0" collapsed="false">
      <c r="A1448" s="13" t="s">
        <v>1667</v>
      </c>
      <c r="B1448" s="14" t="n">
        <v>44923</v>
      </c>
      <c r="C1448" s="14" t="n">
        <v>45613</v>
      </c>
      <c r="D1448" s="13" t="n">
        <v>27</v>
      </c>
      <c r="E1448" s="13" t="s">
        <v>186</v>
      </c>
      <c r="F1448" s="13" t="s">
        <v>154</v>
      </c>
      <c r="G1448" s="13" t="s">
        <v>132</v>
      </c>
      <c r="H1448" s="13" t="s">
        <v>139</v>
      </c>
      <c r="I1448" s="13" t="n">
        <v>3</v>
      </c>
      <c r="J1448" s="13" t="n">
        <v>2</v>
      </c>
      <c r="K1448" s="13" t="n">
        <v>30000</v>
      </c>
      <c r="L1448" s="13" t="s">
        <v>151</v>
      </c>
      <c r="M1448" s="13" t="s">
        <v>201</v>
      </c>
      <c r="N1448" s="13" t="s">
        <v>142</v>
      </c>
    </row>
    <row r="1449" customFormat="false" ht="15" hidden="false" customHeight="false" outlineLevel="0" collapsed="false">
      <c r="A1449" s="13" t="s">
        <v>1668</v>
      </c>
      <c r="B1449" s="14" t="n">
        <v>44925</v>
      </c>
      <c r="C1449" s="14" t="n">
        <v>45267</v>
      </c>
      <c r="D1449" s="13" t="n">
        <v>40</v>
      </c>
      <c r="E1449" s="13" t="s">
        <v>136</v>
      </c>
      <c r="F1449" s="13" t="s">
        <v>161</v>
      </c>
      <c r="G1449" s="13" t="s">
        <v>138</v>
      </c>
      <c r="H1449" s="13" t="s">
        <v>146</v>
      </c>
      <c r="I1449" s="13" t="n">
        <v>3</v>
      </c>
      <c r="J1449" s="13" t="n">
        <v>3</v>
      </c>
      <c r="K1449" s="13" t="n">
        <v>70000</v>
      </c>
      <c r="L1449" s="13" t="s">
        <v>151</v>
      </c>
      <c r="M1449" s="13"/>
      <c r="N1449" s="13" t="s">
        <v>142</v>
      </c>
    </row>
    <row r="1450" customFormat="false" ht="15" hidden="false" customHeight="false" outlineLevel="0" collapsed="false">
      <c r="A1450" s="13" t="s">
        <v>1669</v>
      </c>
      <c r="B1450" s="14" t="n">
        <v>44929</v>
      </c>
      <c r="C1450" s="14"/>
      <c r="D1450" s="13" t="n">
        <v>32</v>
      </c>
      <c r="E1450" s="13" t="s">
        <v>136</v>
      </c>
      <c r="F1450" s="13" t="s">
        <v>137</v>
      </c>
      <c r="G1450" s="13" t="s">
        <v>132</v>
      </c>
      <c r="H1450" s="13" t="s">
        <v>139</v>
      </c>
      <c r="I1450" s="13" t="n">
        <v>3</v>
      </c>
      <c r="J1450" s="13" t="n">
        <v>4</v>
      </c>
      <c r="K1450" s="13" t="n">
        <v>34500</v>
      </c>
      <c r="L1450" s="13"/>
      <c r="M1450" s="13"/>
      <c r="N1450" s="13" t="s">
        <v>142</v>
      </c>
    </row>
    <row r="1451" customFormat="false" ht="15" hidden="false" customHeight="false" outlineLevel="0" collapsed="false">
      <c r="A1451" s="13" t="s">
        <v>1670</v>
      </c>
      <c r="B1451" s="14" t="n">
        <v>44932</v>
      </c>
      <c r="C1451" s="14" t="n">
        <v>45336</v>
      </c>
      <c r="D1451" s="13" t="n">
        <v>34</v>
      </c>
      <c r="E1451" s="13" t="s">
        <v>144</v>
      </c>
      <c r="F1451" s="13" t="s">
        <v>170</v>
      </c>
      <c r="G1451" s="13" t="s">
        <v>224</v>
      </c>
      <c r="H1451" s="13" t="s">
        <v>156</v>
      </c>
      <c r="I1451" s="13" t="n">
        <v>3</v>
      </c>
      <c r="J1451" s="13" t="n">
        <v>2</v>
      </c>
      <c r="K1451" s="13" t="n">
        <v>111500</v>
      </c>
      <c r="L1451" s="13" t="s">
        <v>151</v>
      </c>
      <c r="M1451" s="13" t="s">
        <v>203</v>
      </c>
      <c r="N1451" s="13" t="s">
        <v>134</v>
      </c>
    </row>
    <row r="1452" customFormat="false" ht="15" hidden="false" customHeight="false" outlineLevel="0" collapsed="false">
      <c r="A1452" s="13" t="s">
        <v>1671</v>
      </c>
      <c r="B1452" s="14" t="n">
        <v>44938</v>
      </c>
      <c r="C1452" s="14"/>
      <c r="D1452" s="13" t="n">
        <v>38</v>
      </c>
      <c r="E1452" s="13" t="s">
        <v>144</v>
      </c>
      <c r="F1452" s="13" t="s">
        <v>161</v>
      </c>
      <c r="G1452" s="13" t="s">
        <v>148</v>
      </c>
      <c r="H1452" s="13" t="s">
        <v>146</v>
      </c>
      <c r="I1452" s="13" t="n">
        <v>4</v>
      </c>
      <c r="J1452" s="13" t="n">
        <v>4</v>
      </c>
      <c r="K1452" s="13" t="n">
        <v>69000</v>
      </c>
      <c r="L1452" s="13"/>
      <c r="M1452" s="13"/>
      <c r="N1452" s="13" t="s">
        <v>142</v>
      </c>
    </row>
    <row r="1453" customFormat="false" ht="15" hidden="false" customHeight="false" outlineLevel="0" collapsed="false">
      <c r="A1453" s="13" t="s">
        <v>1672</v>
      </c>
      <c r="B1453" s="14" t="n">
        <v>44940</v>
      </c>
      <c r="C1453" s="14"/>
      <c r="D1453" s="13" t="n">
        <v>36</v>
      </c>
      <c r="E1453" s="13" t="s">
        <v>136</v>
      </c>
      <c r="F1453" s="13" t="s">
        <v>145</v>
      </c>
      <c r="G1453" s="13" t="s">
        <v>155</v>
      </c>
      <c r="H1453" s="13" t="s">
        <v>156</v>
      </c>
      <c r="I1453" s="13" t="n">
        <v>4</v>
      </c>
      <c r="J1453" s="13" t="n">
        <v>3</v>
      </c>
      <c r="K1453" s="13" t="n">
        <v>110500</v>
      </c>
      <c r="L1453" s="13"/>
      <c r="M1453" s="13"/>
      <c r="N1453" s="13" t="s">
        <v>142</v>
      </c>
    </row>
    <row r="1454" customFormat="false" ht="15" hidden="false" customHeight="false" outlineLevel="0" collapsed="false">
      <c r="A1454" s="13" t="s">
        <v>1673</v>
      </c>
      <c r="B1454" s="14" t="n">
        <v>44942</v>
      </c>
      <c r="C1454" s="14"/>
      <c r="D1454" s="13" t="n">
        <v>33</v>
      </c>
      <c r="E1454" s="13" t="s">
        <v>136</v>
      </c>
      <c r="F1454" s="13" t="s">
        <v>137</v>
      </c>
      <c r="G1454" s="13" t="s">
        <v>148</v>
      </c>
      <c r="H1454" s="13" t="s">
        <v>146</v>
      </c>
      <c r="I1454" s="13" t="n">
        <v>5</v>
      </c>
      <c r="J1454" s="13" t="n">
        <v>4</v>
      </c>
      <c r="K1454" s="13" t="n">
        <v>60500</v>
      </c>
      <c r="L1454" s="13"/>
      <c r="M1454" s="13"/>
      <c r="N1454" s="13" t="s">
        <v>142</v>
      </c>
    </row>
    <row r="1455" customFormat="false" ht="15" hidden="false" customHeight="false" outlineLevel="0" collapsed="false">
      <c r="A1455" s="13" t="s">
        <v>1674</v>
      </c>
      <c r="B1455" s="14" t="n">
        <v>44943</v>
      </c>
      <c r="C1455" s="14"/>
      <c r="D1455" s="13" t="n">
        <v>34</v>
      </c>
      <c r="E1455" s="13" t="s">
        <v>144</v>
      </c>
      <c r="F1455" s="13" t="s">
        <v>239</v>
      </c>
      <c r="G1455" s="13" t="s">
        <v>195</v>
      </c>
      <c r="H1455" s="13" t="s">
        <v>166</v>
      </c>
      <c r="I1455" s="13" t="n">
        <v>3</v>
      </c>
      <c r="J1455" s="13" t="n">
        <v>3</v>
      </c>
      <c r="K1455" s="13" t="n">
        <v>110000</v>
      </c>
      <c r="L1455" s="13"/>
      <c r="M1455" s="13"/>
      <c r="N1455" s="13" t="s">
        <v>157</v>
      </c>
    </row>
    <row r="1456" customFormat="false" ht="15" hidden="false" customHeight="false" outlineLevel="0" collapsed="false">
      <c r="A1456" s="13" t="s">
        <v>1675</v>
      </c>
      <c r="B1456" s="14" t="n">
        <v>44943</v>
      </c>
      <c r="C1456" s="14" t="n">
        <v>45585</v>
      </c>
      <c r="D1456" s="13" t="n">
        <v>23</v>
      </c>
      <c r="E1456" s="13" t="s">
        <v>144</v>
      </c>
      <c r="F1456" s="13" t="s">
        <v>164</v>
      </c>
      <c r="G1456" s="13" t="s">
        <v>138</v>
      </c>
      <c r="H1456" s="13" t="s">
        <v>146</v>
      </c>
      <c r="I1456" s="13" t="n">
        <v>3</v>
      </c>
      <c r="J1456" s="13" t="n">
        <v>2</v>
      </c>
      <c r="K1456" s="13" t="n">
        <v>58000</v>
      </c>
      <c r="L1456" s="13" t="s">
        <v>151</v>
      </c>
      <c r="M1456" s="13" t="s">
        <v>762</v>
      </c>
      <c r="N1456" s="13" t="s">
        <v>142</v>
      </c>
    </row>
    <row r="1457" customFormat="false" ht="15" hidden="false" customHeight="false" outlineLevel="0" collapsed="false">
      <c r="A1457" s="13" t="s">
        <v>1676</v>
      </c>
      <c r="B1457" s="14" t="n">
        <v>44943</v>
      </c>
      <c r="C1457" s="14"/>
      <c r="D1457" s="13" t="n">
        <v>27</v>
      </c>
      <c r="E1457" s="13" t="s">
        <v>136</v>
      </c>
      <c r="F1457" s="13" t="s">
        <v>241</v>
      </c>
      <c r="G1457" s="13" t="s">
        <v>155</v>
      </c>
      <c r="H1457" s="13" t="s">
        <v>146</v>
      </c>
      <c r="I1457" s="13" t="n">
        <v>4</v>
      </c>
      <c r="J1457" s="13" t="n">
        <v>4</v>
      </c>
      <c r="K1457" s="13" t="n">
        <v>67500</v>
      </c>
      <c r="L1457" s="13"/>
      <c r="M1457" s="13"/>
      <c r="N1457" s="13" t="s">
        <v>142</v>
      </c>
    </row>
    <row r="1458" customFormat="false" ht="15" hidden="false" customHeight="false" outlineLevel="0" collapsed="false">
      <c r="A1458" s="13" t="s">
        <v>1677</v>
      </c>
      <c r="B1458" s="14" t="n">
        <v>44944</v>
      </c>
      <c r="C1458" s="14" t="n">
        <v>45620</v>
      </c>
      <c r="D1458" s="13" t="n">
        <v>31</v>
      </c>
      <c r="E1458" s="13" t="s">
        <v>144</v>
      </c>
      <c r="F1458" s="13" t="s">
        <v>145</v>
      </c>
      <c r="G1458" s="13" t="s">
        <v>132</v>
      </c>
      <c r="H1458" s="13" t="s">
        <v>192</v>
      </c>
      <c r="I1458" s="13" t="n">
        <v>4</v>
      </c>
      <c r="J1458" s="13" t="n">
        <v>4</v>
      </c>
      <c r="K1458" s="13" t="n">
        <v>179500</v>
      </c>
      <c r="L1458" s="13" t="s">
        <v>151</v>
      </c>
      <c r="M1458" s="13" t="s">
        <v>206</v>
      </c>
      <c r="N1458" s="13" t="s">
        <v>142</v>
      </c>
    </row>
    <row r="1459" customFormat="false" ht="15" hidden="false" customHeight="false" outlineLevel="0" collapsed="false">
      <c r="A1459" s="13" t="s">
        <v>1678</v>
      </c>
      <c r="B1459" s="14" t="n">
        <v>44945</v>
      </c>
      <c r="C1459" s="14" t="n">
        <v>45083</v>
      </c>
      <c r="D1459" s="13" t="n">
        <v>35</v>
      </c>
      <c r="E1459" s="13" t="s">
        <v>186</v>
      </c>
      <c r="F1459" s="13" t="s">
        <v>164</v>
      </c>
      <c r="G1459" s="13" t="s">
        <v>374</v>
      </c>
      <c r="H1459" s="13" t="s">
        <v>242</v>
      </c>
      <c r="I1459" s="13" t="n">
        <v>5</v>
      </c>
      <c r="J1459" s="13" t="n">
        <v>2</v>
      </c>
      <c r="K1459" s="13" t="n">
        <v>98000</v>
      </c>
      <c r="L1459" s="13" t="s">
        <v>151</v>
      </c>
      <c r="M1459" s="13" t="s">
        <v>203</v>
      </c>
      <c r="N1459" s="13" t="s">
        <v>134</v>
      </c>
    </row>
    <row r="1460" customFormat="false" ht="15" hidden="false" customHeight="false" outlineLevel="0" collapsed="false">
      <c r="A1460" s="13" t="s">
        <v>1679</v>
      </c>
      <c r="B1460" s="14" t="n">
        <v>44945</v>
      </c>
      <c r="C1460" s="14"/>
      <c r="D1460" s="13" t="n">
        <v>45</v>
      </c>
      <c r="E1460" s="13" t="s">
        <v>163</v>
      </c>
      <c r="F1460" s="13" t="s">
        <v>154</v>
      </c>
      <c r="G1460" s="13" t="s">
        <v>138</v>
      </c>
      <c r="H1460" s="13" t="s">
        <v>139</v>
      </c>
      <c r="I1460" s="13" t="n">
        <v>3</v>
      </c>
      <c r="J1460" s="13" t="n">
        <v>3</v>
      </c>
      <c r="K1460" s="13" t="n">
        <v>42000</v>
      </c>
      <c r="L1460" s="13"/>
      <c r="M1460" s="13"/>
      <c r="N1460" s="13" t="s">
        <v>134</v>
      </c>
    </row>
    <row r="1461" customFormat="false" ht="15" hidden="false" customHeight="false" outlineLevel="0" collapsed="false">
      <c r="A1461" s="13" t="s">
        <v>1680</v>
      </c>
      <c r="B1461" s="14" t="n">
        <v>44947</v>
      </c>
      <c r="C1461" s="14"/>
      <c r="D1461" s="13" t="n">
        <v>30</v>
      </c>
      <c r="E1461" s="13" t="s">
        <v>136</v>
      </c>
      <c r="F1461" s="13" t="s">
        <v>154</v>
      </c>
      <c r="G1461" s="13" t="s">
        <v>132</v>
      </c>
      <c r="H1461" s="13" t="s">
        <v>146</v>
      </c>
      <c r="I1461" s="13" t="n">
        <v>1</v>
      </c>
      <c r="J1461" s="13" t="n">
        <v>4</v>
      </c>
      <c r="K1461" s="13" t="n">
        <v>57000</v>
      </c>
      <c r="L1461" s="13"/>
      <c r="M1461" s="13"/>
      <c r="N1461" s="13" t="s">
        <v>142</v>
      </c>
    </row>
    <row r="1462" customFormat="false" ht="15" hidden="false" customHeight="false" outlineLevel="0" collapsed="false">
      <c r="A1462" s="13" t="s">
        <v>1681</v>
      </c>
      <c r="B1462" s="14" t="n">
        <v>44948</v>
      </c>
      <c r="C1462" s="14"/>
      <c r="D1462" s="13" t="n">
        <v>39</v>
      </c>
      <c r="E1462" s="13" t="s">
        <v>136</v>
      </c>
      <c r="F1462" s="13" t="s">
        <v>131</v>
      </c>
      <c r="G1462" s="13" t="s">
        <v>138</v>
      </c>
      <c r="H1462" s="13" t="s">
        <v>149</v>
      </c>
      <c r="I1462" s="13" t="n">
        <v>5</v>
      </c>
      <c r="J1462" s="13" t="n">
        <v>3</v>
      </c>
      <c r="K1462" s="13" t="n">
        <v>89500</v>
      </c>
      <c r="L1462" s="13"/>
      <c r="M1462" s="13"/>
      <c r="N1462" s="13" t="s">
        <v>142</v>
      </c>
    </row>
    <row r="1463" customFormat="false" ht="15" hidden="false" customHeight="false" outlineLevel="0" collapsed="false">
      <c r="A1463" s="13" t="s">
        <v>1682</v>
      </c>
      <c r="B1463" s="14" t="n">
        <v>44949</v>
      </c>
      <c r="C1463" s="14"/>
      <c r="D1463" s="13" t="n">
        <v>37</v>
      </c>
      <c r="E1463" s="13" t="s">
        <v>163</v>
      </c>
      <c r="F1463" s="13" t="s">
        <v>168</v>
      </c>
      <c r="G1463" s="13" t="s">
        <v>155</v>
      </c>
      <c r="H1463" s="13" t="s">
        <v>156</v>
      </c>
      <c r="I1463" s="13" t="n">
        <v>3</v>
      </c>
      <c r="J1463" s="13" t="n">
        <v>2</v>
      </c>
      <c r="K1463" s="13" t="n">
        <v>96000</v>
      </c>
      <c r="L1463" s="13"/>
      <c r="M1463" s="13"/>
      <c r="N1463" s="13" t="s">
        <v>142</v>
      </c>
    </row>
    <row r="1464" customFormat="false" ht="15" hidden="false" customHeight="false" outlineLevel="0" collapsed="false">
      <c r="A1464" s="13" t="s">
        <v>1683</v>
      </c>
      <c r="B1464" s="14" t="n">
        <v>44954</v>
      </c>
      <c r="C1464" s="14" t="n">
        <v>45450</v>
      </c>
      <c r="D1464" s="13" t="n">
        <v>28</v>
      </c>
      <c r="E1464" s="13" t="s">
        <v>136</v>
      </c>
      <c r="F1464" s="13" t="s">
        <v>145</v>
      </c>
      <c r="G1464" s="13" t="s">
        <v>148</v>
      </c>
      <c r="H1464" s="13" t="s">
        <v>146</v>
      </c>
      <c r="I1464" s="13" t="n">
        <v>3</v>
      </c>
      <c r="J1464" s="13" t="n">
        <v>2</v>
      </c>
      <c r="K1464" s="13" t="n">
        <v>61000</v>
      </c>
      <c r="L1464" s="13" t="s">
        <v>151</v>
      </c>
      <c r="M1464" s="13" t="s">
        <v>206</v>
      </c>
      <c r="N1464" s="13" t="s">
        <v>142</v>
      </c>
    </row>
    <row r="1465" customFormat="false" ht="15" hidden="false" customHeight="false" outlineLevel="0" collapsed="false">
      <c r="A1465" s="13" t="s">
        <v>1684</v>
      </c>
      <c r="B1465" s="14" t="n">
        <v>44956</v>
      </c>
      <c r="C1465" s="14"/>
      <c r="D1465" s="13" t="n">
        <v>31</v>
      </c>
      <c r="E1465" s="13" t="s">
        <v>144</v>
      </c>
      <c r="F1465" s="13" t="s">
        <v>137</v>
      </c>
      <c r="G1465" s="13" t="s">
        <v>155</v>
      </c>
      <c r="H1465" s="13" t="s">
        <v>156</v>
      </c>
      <c r="I1465" s="13" t="n">
        <v>4</v>
      </c>
      <c r="J1465" s="13" t="n">
        <v>3</v>
      </c>
      <c r="K1465" s="13" t="n">
        <v>93500</v>
      </c>
      <c r="L1465" s="13"/>
      <c r="M1465" s="13"/>
      <c r="N1465" s="13" t="s">
        <v>142</v>
      </c>
    </row>
    <row r="1466" customFormat="false" ht="15" hidden="false" customHeight="false" outlineLevel="0" collapsed="false">
      <c r="A1466" s="13" t="s">
        <v>1685</v>
      </c>
      <c r="B1466" s="14" t="n">
        <v>44956</v>
      </c>
      <c r="C1466" s="14" t="n">
        <v>45738</v>
      </c>
      <c r="D1466" s="13" t="n">
        <v>25</v>
      </c>
      <c r="E1466" s="13" t="s">
        <v>136</v>
      </c>
      <c r="F1466" s="13" t="s">
        <v>229</v>
      </c>
      <c r="G1466" s="13" t="s">
        <v>438</v>
      </c>
      <c r="H1466" s="13" t="s">
        <v>149</v>
      </c>
      <c r="I1466" s="13" t="n">
        <v>4</v>
      </c>
      <c r="J1466" s="13" t="n">
        <v>3</v>
      </c>
      <c r="K1466" s="13" t="n">
        <v>112000</v>
      </c>
      <c r="L1466" s="13" t="s">
        <v>173</v>
      </c>
      <c r="M1466" s="13" t="s">
        <v>273</v>
      </c>
      <c r="N1466" s="13" t="s">
        <v>142</v>
      </c>
    </row>
    <row r="1467" customFormat="false" ht="15" hidden="false" customHeight="false" outlineLevel="0" collapsed="false">
      <c r="A1467" s="13" t="s">
        <v>1686</v>
      </c>
      <c r="B1467" s="14" t="n">
        <v>44960</v>
      </c>
      <c r="C1467" s="14" t="n">
        <v>45256</v>
      </c>
      <c r="D1467" s="13" t="n">
        <v>35</v>
      </c>
      <c r="E1467" s="13" t="s">
        <v>136</v>
      </c>
      <c r="F1467" s="13" t="s">
        <v>239</v>
      </c>
      <c r="G1467" s="13" t="s">
        <v>155</v>
      </c>
      <c r="H1467" s="13" t="s">
        <v>192</v>
      </c>
      <c r="I1467" s="13" t="n">
        <v>3</v>
      </c>
      <c r="J1467" s="13" t="n">
        <v>1</v>
      </c>
      <c r="K1467" s="13" t="n">
        <v>172500</v>
      </c>
      <c r="L1467" s="13" t="s">
        <v>272</v>
      </c>
      <c r="M1467" s="13" t="s">
        <v>254</v>
      </c>
      <c r="N1467" s="13" t="s">
        <v>142</v>
      </c>
    </row>
    <row r="1468" customFormat="false" ht="15" hidden="false" customHeight="false" outlineLevel="0" collapsed="false">
      <c r="A1468" s="13" t="s">
        <v>1687</v>
      </c>
      <c r="B1468" s="14" t="n">
        <v>44963</v>
      </c>
      <c r="C1468" s="14"/>
      <c r="D1468" s="13" t="n">
        <v>41</v>
      </c>
      <c r="E1468" s="13" t="s">
        <v>259</v>
      </c>
      <c r="F1468" s="13" t="s">
        <v>229</v>
      </c>
      <c r="G1468" s="13" t="s">
        <v>1353</v>
      </c>
      <c r="H1468" s="13" t="s">
        <v>172</v>
      </c>
      <c r="I1468" s="13" t="n">
        <v>4</v>
      </c>
      <c r="J1468" s="13" t="n">
        <v>3</v>
      </c>
      <c r="K1468" s="13" t="n">
        <v>31500</v>
      </c>
      <c r="L1468" s="13"/>
      <c r="M1468" s="13"/>
      <c r="N1468" s="13" t="s">
        <v>142</v>
      </c>
    </row>
    <row r="1469" customFormat="false" ht="15" hidden="false" customHeight="false" outlineLevel="0" collapsed="false">
      <c r="A1469" s="13" t="s">
        <v>1688</v>
      </c>
      <c r="B1469" s="14" t="n">
        <v>44965</v>
      </c>
      <c r="C1469" s="14"/>
      <c r="D1469" s="13" t="n">
        <v>31</v>
      </c>
      <c r="E1469" s="13" t="s">
        <v>144</v>
      </c>
      <c r="F1469" s="13" t="s">
        <v>168</v>
      </c>
      <c r="G1469" s="13" t="s">
        <v>184</v>
      </c>
      <c r="H1469" s="13" t="s">
        <v>192</v>
      </c>
      <c r="I1469" s="13" t="n">
        <v>3</v>
      </c>
      <c r="J1469" s="13" t="n">
        <v>3</v>
      </c>
      <c r="K1469" s="13" t="n">
        <v>159500</v>
      </c>
      <c r="L1469" s="13"/>
      <c r="M1469" s="13"/>
      <c r="N1469" s="13" t="s">
        <v>134</v>
      </c>
    </row>
    <row r="1470" customFormat="false" ht="15" hidden="false" customHeight="false" outlineLevel="0" collapsed="false">
      <c r="A1470" s="13" t="s">
        <v>1689</v>
      </c>
      <c r="B1470" s="14" t="n">
        <v>44966</v>
      </c>
      <c r="C1470" s="14"/>
      <c r="D1470" s="13" t="n">
        <v>32</v>
      </c>
      <c r="E1470" s="13" t="s">
        <v>130</v>
      </c>
      <c r="F1470" s="13" t="s">
        <v>229</v>
      </c>
      <c r="G1470" s="13" t="s">
        <v>132</v>
      </c>
      <c r="H1470" s="13" t="s">
        <v>146</v>
      </c>
      <c r="I1470" s="13" t="n">
        <v>3</v>
      </c>
      <c r="J1470" s="13" t="n">
        <v>4</v>
      </c>
      <c r="K1470" s="13" t="n">
        <v>56500</v>
      </c>
      <c r="L1470" s="13"/>
      <c r="M1470" s="13"/>
      <c r="N1470" s="13" t="s">
        <v>255</v>
      </c>
    </row>
    <row r="1471" customFormat="false" ht="15" hidden="false" customHeight="false" outlineLevel="0" collapsed="false">
      <c r="A1471" s="13" t="s">
        <v>1690</v>
      </c>
      <c r="B1471" s="14" t="n">
        <v>44967</v>
      </c>
      <c r="C1471" s="14"/>
      <c r="D1471" s="13" t="n">
        <v>36</v>
      </c>
      <c r="E1471" s="13" t="s">
        <v>136</v>
      </c>
      <c r="F1471" s="13" t="s">
        <v>137</v>
      </c>
      <c r="G1471" s="13" t="s">
        <v>132</v>
      </c>
      <c r="H1471" s="13" t="s">
        <v>156</v>
      </c>
      <c r="I1471" s="13" t="n">
        <v>4</v>
      </c>
      <c r="J1471" s="13" t="n">
        <v>3</v>
      </c>
      <c r="K1471" s="13" t="n">
        <v>78500</v>
      </c>
      <c r="L1471" s="13"/>
      <c r="M1471" s="13"/>
      <c r="N1471" s="13" t="s">
        <v>142</v>
      </c>
    </row>
    <row r="1472" customFormat="false" ht="15" hidden="false" customHeight="false" outlineLevel="0" collapsed="false">
      <c r="A1472" s="13" t="s">
        <v>1691</v>
      </c>
      <c r="B1472" s="14" t="n">
        <v>44972</v>
      </c>
      <c r="C1472" s="14"/>
      <c r="D1472" s="13" t="n">
        <v>36</v>
      </c>
      <c r="E1472" s="13" t="s">
        <v>136</v>
      </c>
      <c r="F1472" s="13" t="s">
        <v>161</v>
      </c>
      <c r="G1472" s="13" t="s">
        <v>155</v>
      </c>
      <c r="H1472" s="13" t="s">
        <v>146</v>
      </c>
      <c r="I1472" s="13" t="n">
        <v>4</v>
      </c>
      <c r="J1472" s="13" t="n">
        <v>4</v>
      </c>
      <c r="K1472" s="13" t="n">
        <v>58500</v>
      </c>
      <c r="L1472" s="13"/>
      <c r="M1472" s="13"/>
      <c r="N1472" s="13" t="s">
        <v>134</v>
      </c>
    </row>
    <row r="1473" customFormat="false" ht="15" hidden="false" customHeight="false" outlineLevel="0" collapsed="false">
      <c r="A1473" s="13" t="s">
        <v>1692</v>
      </c>
      <c r="B1473" s="14" t="n">
        <v>44974</v>
      </c>
      <c r="C1473" s="14" t="n">
        <v>45226</v>
      </c>
      <c r="D1473" s="13" t="n">
        <v>26</v>
      </c>
      <c r="E1473" s="13" t="s">
        <v>144</v>
      </c>
      <c r="F1473" s="13" t="s">
        <v>137</v>
      </c>
      <c r="G1473" s="13" t="s">
        <v>138</v>
      </c>
      <c r="H1473" s="13" t="s">
        <v>146</v>
      </c>
      <c r="I1473" s="13" t="n">
        <v>4</v>
      </c>
      <c r="J1473" s="13" t="n">
        <v>4</v>
      </c>
      <c r="K1473" s="13" t="n">
        <v>59500</v>
      </c>
      <c r="L1473" s="13" t="s">
        <v>173</v>
      </c>
      <c r="M1473" s="13" t="s">
        <v>254</v>
      </c>
      <c r="N1473" s="13" t="s">
        <v>134</v>
      </c>
    </row>
    <row r="1474" customFormat="false" ht="15" hidden="false" customHeight="false" outlineLevel="0" collapsed="false">
      <c r="A1474" s="13" t="s">
        <v>1693</v>
      </c>
      <c r="B1474" s="14" t="n">
        <v>44976</v>
      </c>
      <c r="C1474" s="14" t="n">
        <v>45361</v>
      </c>
      <c r="D1474" s="13" t="n">
        <v>33</v>
      </c>
      <c r="E1474" s="13" t="s">
        <v>136</v>
      </c>
      <c r="F1474" s="13" t="s">
        <v>164</v>
      </c>
      <c r="G1474" s="13" t="s">
        <v>132</v>
      </c>
      <c r="H1474" s="13" t="s">
        <v>146</v>
      </c>
      <c r="I1474" s="13" t="n">
        <v>3</v>
      </c>
      <c r="J1474" s="13" t="n">
        <v>2</v>
      </c>
      <c r="K1474" s="13" t="n">
        <v>51000</v>
      </c>
      <c r="L1474" s="13" t="s">
        <v>253</v>
      </c>
      <c r="M1474" s="13" t="s">
        <v>310</v>
      </c>
      <c r="N1474" s="13" t="s">
        <v>134</v>
      </c>
    </row>
    <row r="1475" customFormat="false" ht="15" hidden="false" customHeight="false" outlineLevel="0" collapsed="false">
      <c r="A1475" s="13" t="s">
        <v>1694</v>
      </c>
      <c r="B1475" s="14" t="n">
        <v>44978</v>
      </c>
      <c r="C1475" s="14" t="n">
        <v>45332</v>
      </c>
      <c r="D1475" s="13" t="n">
        <v>29</v>
      </c>
      <c r="E1475" s="13" t="s">
        <v>144</v>
      </c>
      <c r="F1475" s="13" t="s">
        <v>137</v>
      </c>
      <c r="G1475" s="13" t="s">
        <v>155</v>
      </c>
      <c r="H1475" s="13" t="s">
        <v>280</v>
      </c>
      <c r="I1475" s="13" t="n">
        <v>3</v>
      </c>
      <c r="J1475" s="13" t="n">
        <v>3</v>
      </c>
      <c r="K1475" s="13" t="n">
        <v>108000</v>
      </c>
      <c r="L1475" s="13" t="s">
        <v>151</v>
      </c>
      <c r="M1475" s="13" t="s">
        <v>206</v>
      </c>
      <c r="N1475" s="13" t="s">
        <v>142</v>
      </c>
    </row>
    <row r="1476" customFormat="false" ht="15" hidden="false" customHeight="false" outlineLevel="0" collapsed="false">
      <c r="A1476" s="13" t="s">
        <v>1695</v>
      </c>
      <c r="B1476" s="14" t="n">
        <v>44979</v>
      </c>
      <c r="C1476" s="14"/>
      <c r="D1476" s="13" t="n">
        <v>39</v>
      </c>
      <c r="E1476" s="13" t="s">
        <v>144</v>
      </c>
      <c r="F1476" s="13" t="s">
        <v>161</v>
      </c>
      <c r="G1476" s="13" t="s">
        <v>155</v>
      </c>
      <c r="H1476" s="13" t="s">
        <v>146</v>
      </c>
      <c r="I1476" s="13" t="n">
        <v>4</v>
      </c>
      <c r="J1476" s="13" t="n">
        <v>3</v>
      </c>
      <c r="K1476" s="13" t="n">
        <v>54500</v>
      </c>
      <c r="L1476" s="13"/>
      <c r="M1476" s="13"/>
      <c r="N1476" s="13" t="s">
        <v>142</v>
      </c>
    </row>
    <row r="1477" customFormat="false" ht="15" hidden="false" customHeight="false" outlineLevel="0" collapsed="false">
      <c r="A1477" s="13" t="s">
        <v>1696</v>
      </c>
      <c r="B1477" s="14" t="n">
        <v>44979</v>
      </c>
      <c r="C1477" s="14" t="n">
        <v>45312</v>
      </c>
      <c r="D1477" s="13" t="n">
        <v>34</v>
      </c>
      <c r="E1477" s="13" t="s">
        <v>163</v>
      </c>
      <c r="F1477" s="13" t="s">
        <v>137</v>
      </c>
      <c r="G1477" s="13" t="s">
        <v>148</v>
      </c>
      <c r="H1477" s="13" t="s">
        <v>149</v>
      </c>
      <c r="I1477" s="13" t="n">
        <v>4</v>
      </c>
      <c r="J1477" s="13" t="n">
        <v>4</v>
      </c>
      <c r="K1477" s="13" t="n">
        <v>84500</v>
      </c>
      <c r="L1477" s="13" t="s">
        <v>253</v>
      </c>
      <c r="M1477" s="13" t="s">
        <v>273</v>
      </c>
      <c r="N1477" s="13" t="s">
        <v>134</v>
      </c>
    </row>
    <row r="1478" customFormat="false" ht="15" hidden="false" customHeight="false" outlineLevel="0" collapsed="false">
      <c r="A1478" s="13" t="s">
        <v>1697</v>
      </c>
      <c r="B1478" s="14" t="n">
        <v>44981</v>
      </c>
      <c r="C1478" s="14" t="n">
        <v>45760</v>
      </c>
      <c r="D1478" s="13" t="n">
        <v>26</v>
      </c>
      <c r="E1478" s="13" t="s">
        <v>186</v>
      </c>
      <c r="F1478" s="13" t="s">
        <v>154</v>
      </c>
      <c r="G1478" s="13" t="s">
        <v>148</v>
      </c>
      <c r="H1478" s="13" t="s">
        <v>139</v>
      </c>
      <c r="I1478" s="13" t="n">
        <v>4</v>
      </c>
      <c r="J1478" s="13" t="n">
        <v>3</v>
      </c>
      <c r="K1478" s="13" t="n">
        <v>40500</v>
      </c>
      <c r="L1478" s="13" t="s">
        <v>151</v>
      </c>
      <c r="M1478" s="13" t="s">
        <v>216</v>
      </c>
      <c r="N1478" s="13" t="s">
        <v>142</v>
      </c>
    </row>
    <row r="1479" customFormat="false" ht="15" hidden="false" customHeight="false" outlineLevel="0" collapsed="false">
      <c r="A1479" s="13" t="s">
        <v>1698</v>
      </c>
      <c r="B1479" s="14" t="n">
        <v>44982</v>
      </c>
      <c r="C1479" s="14" t="n">
        <v>45647</v>
      </c>
      <c r="D1479" s="13" t="n">
        <v>32</v>
      </c>
      <c r="E1479" s="13" t="s">
        <v>186</v>
      </c>
      <c r="F1479" s="13" t="s">
        <v>137</v>
      </c>
      <c r="G1479" s="13" t="s">
        <v>334</v>
      </c>
      <c r="H1479" s="13" t="s">
        <v>139</v>
      </c>
      <c r="I1479" s="13" t="n">
        <v>4</v>
      </c>
      <c r="J1479" s="13" t="n">
        <v>2</v>
      </c>
      <c r="K1479" s="13" t="n">
        <v>36500</v>
      </c>
      <c r="L1479" s="13" t="s">
        <v>200</v>
      </c>
      <c r="M1479" s="13" t="s">
        <v>152</v>
      </c>
      <c r="N1479" s="13" t="s">
        <v>142</v>
      </c>
    </row>
    <row r="1480" customFormat="false" ht="15" hidden="false" customHeight="false" outlineLevel="0" collapsed="false">
      <c r="A1480" s="13" t="s">
        <v>1699</v>
      </c>
      <c r="B1480" s="14" t="n">
        <v>44984</v>
      </c>
      <c r="C1480" s="14" t="n">
        <v>45233</v>
      </c>
      <c r="D1480" s="13" t="n">
        <v>35</v>
      </c>
      <c r="E1480" s="13" t="s">
        <v>163</v>
      </c>
      <c r="F1480" s="13" t="s">
        <v>145</v>
      </c>
      <c r="G1480" s="13" t="s">
        <v>148</v>
      </c>
      <c r="H1480" s="13" t="s">
        <v>139</v>
      </c>
      <c r="I1480" s="13" t="n">
        <v>3</v>
      </c>
      <c r="J1480" s="13" t="n">
        <v>1</v>
      </c>
      <c r="K1480" s="13" t="n">
        <v>39500</v>
      </c>
      <c r="L1480" s="13" t="s">
        <v>272</v>
      </c>
      <c r="M1480" s="13" t="s">
        <v>273</v>
      </c>
      <c r="N1480" s="13" t="s">
        <v>142</v>
      </c>
    </row>
    <row r="1481" customFormat="false" ht="15" hidden="false" customHeight="false" outlineLevel="0" collapsed="false">
      <c r="A1481" s="13" t="s">
        <v>1700</v>
      </c>
      <c r="B1481" s="14" t="n">
        <v>44984</v>
      </c>
      <c r="C1481" s="14"/>
      <c r="D1481" s="13" t="n">
        <v>33</v>
      </c>
      <c r="E1481" s="13" t="s">
        <v>144</v>
      </c>
      <c r="F1481" s="13" t="s">
        <v>229</v>
      </c>
      <c r="G1481" s="13" t="s">
        <v>438</v>
      </c>
      <c r="H1481" s="13" t="s">
        <v>139</v>
      </c>
      <c r="I1481" s="13" t="n">
        <v>3</v>
      </c>
      <c r="J1481" s="13" t="n">
        <v>2</v>
      </c>
      <c r="K1481" s="13" t="n">
        <v>41000</v>
      </c>
      <c r="L1481" s="13"/>
      <c r="M1481" s="13"/>
      <c r="N1481" s="13" t="s">
        <v>142</v>
      </c>
    </row>
    <row r="1482" customFormat="false" ht="15" hidden="false" customHeight="false" outlineLevel="0" collapsed="false">
      <c r="A1482" s="13" t="s">
        <v>1701</v>
      </c>
      <c r="B1482" s="14" t="n">
        <v>44984</v>
      </c>
      <c r="C1482" s="14" t="n">
        <v>45129</v>
      </c>
      <c r="D1482" s="13" t="n">
        <v>24</v>
      </c>
      <c r="E1482" s="13" t="s">
        <v>130</v>
      </c>
      <c r="F1482" s="13" t="s">
        <v>145</v>
      </c>
      <c r="G1482" s="13" t="s">
        <v>155</v>
      </c>
      <c r="H1482" s="13" t="s">
        <v>219</v>
      </c>
      <c r="I1482" s="13" t="n">
        <v>2</v>
      </c>
      <c r="J1482" s="13" t="n">
        <v>4</v>
      </c>
      <c r="K1482" s="13" t="n">
        <v>33000</v>
      </c>
      <c r="L1482" s="13" t="s">
        <v>173</v>
      </c>
      <c r="M1482" s="13" t="s">
        <v>254</v>
      </c>
      <c r="N1482" s="13" t="s">
        <v>134</v>
      </c>
    </row>
    <row r="1483" customFormat="false" ht="15" hidden="false" customHeight="false" outlineLevel="0" collapsed="false">
      <c r="A1483" s="13" t="s">
        <v>1702</v>
      </c>
      <c r="B1483" s="14" t="n">
        <v>44989</v>
      </c>
      <c r="C1483" s="14"/>
      <c r="D1483" s="13" t="n">
        <v>24</v>
      </c>
      <c r="E1483" s="13" t="s">
        <v>144</v>
      </c>
      <c r="F1483" s="13" t="s">
        <v>161</v>
      </c>
      <c r="G1483" s="13" t="s">
        <v>148</v>
      </c>
      <c r="H1483" s="13" t="s">
        <v>146</v>
      </c>
      <c r="I1483" s="13" t="n">
        <v>4</v>
      </c>
      <c r="J1483" s="13" t="n">
        <v>3</v>
      </c>
      <c r="K1483" s="13" t="n">
        <v>60500</v>
      </c>
      <c r="L1483" s="13"/>
      <c r="M1483" s="13"/>
      <c r="N1483" s="13" t="s">
        <v>134</v>
      </c>
    </row>
    <row r="1484" customFormat="false" ht="15" hidden="false" customHeight="false" outlineLevel="0" collapsed="false">
      <c r="A1484" s="13" t="s">
        <v>1703</v>
      </c>
      <c r="B1484" s="14" t="n">
        <v>44990</v>
      </c>
      <c r="C1484" s="14"/>
      <c r="D1484" s="13" t="n">
        <v>28</v>
      </c>
      <c r="E1484" s="13" t="s">
        <v>144</v>
      </c>
      <c r="F1484" s="13" t="s">
        <v>137</v>
      </c>
      <c r="G1484" s="13" t="s">
        <v>132</v>
      </c>
      <c r="H1484" s="13" t="s">
        <v>156</v>
      </c>
      <c r="I1484" s="13" t="n">
        <v>4</v>
      </c>
      <c r="J1484" s="13" t="n">
        <v>3</v>
      </c>
      <c r="K1484" s="13" t="n">
        <v>113500</v>
      </c>
      <c r="L1484" s="13"/>
      <c r="M1484" s="13"/>
      <c r="N1484" s="13" t="s">
        <v>142</v>
      </c>
    </row>
    <row r="1485" customFormat="false" ht="15" hidden="false" customHeight="false" outlineLevel="0" collapsed="false">
      <c r="A1485" s="13" t="s">
        <v>1704</v>
      </c>
      <c r="B1485" s="14" t="n">
        <v>44992</v>
      </c>
      <c r="C1485" s="14"/>
      <c r="D1485" s="13" t="n">
        <v>29</v>
      </c>
      <c r="E1485" s="13" t="s">
        <v>144</v>
      </c>
      <c r="F1485" s="13" t="s">
        <v>168</v>
      </c>
      <c r="G1485" s="13" t="s">
        <v>132</v>
      </c>
      <c r="H1485" s="13" t="s">
        <v>178</v>
      </c>
      <c r="I1485" s="13" t="n">
        <v>3</v>
      </c>
      <c r="J1485" s="13" t="n">
        <v>3</v>
      </c>
      <c r="K1485" s="13" t="n">
        <v>149500</v>
      </c>
      <c r="L1485" s="13"/>
      <c r="M1485" s="13"/>
      <c r="N1485" s="13" t="s">
        <v>142</v>
      </c>
    </row>
    <row r="1486" customFormat="false" ht="15" hidden="false" customHeight="false" outlineLevel="0" collapsed="false">
      <c r="A1486" s="13" t="s">
        <v>1705</v>
      </c>
      <c r="B1486" s="14" t="n">
        <v>44993</v>
      </c>
      <c r="C1486" s="14" t="n">
        <v>45196</v>
      </c>
      <c r="D1486" s="13" t="n">
        <v>26</v>
      </c>
      <c r="E1486" s="13" t="s">
        <v>144</v>
      </c>
      <c r="F1486" s="13" t="s">
        <v>229</v>
      </c>
      <c r="G1486" s="13" t="s">
        <v>148</v>
      </c>
      <c r="H1486" s="13" t="s">
        <v>276</v>
      </c>
      <c r="I1486" s="13" t="n">
        <v>2</v>
      </c>
      <c r="J1486" s="13" t="n">
        <v>1</v>
      </c>
      <c r="K1486" s="13" t="n">
        <v>180500</v>
      </c>
      <c r="L1486" s="13" t="s">
        <v>173</v>
      </c>
      <c r="M1486" s="13" t="s">
        <v>254</v>
      </c>
      <c r="N1486" s="13" t="s">
        <v>134</v>
      </c>
    </row>
    <row r="1487" customFormat="false" ht="15" hidden="false" customHeight="false" outlineLevel="0" collapsed="false">
      <c r="A1487" s="13" t="s">
        <v>1706</v>
      </c>
      <c r="B1487" s="14" t="n">
        <v>44997</v>
      </c>
      <c r="C1487" s="14" t="n">
        <v>45336</v>
      </c>
      <c r="D1487" s="13" t="n">
        <v>22</v>
      </c>
      <c r="E1487" s="13" t="s">
        <v>182</v>
      </c>
      <c r="F1487" s="13" t="s">
        <v>168</v>
      </c>
      <c r="G1487" s="13" t="s">
        <v>148</v>
      </c>
      <c r="H1487" s="13" t="s">
        <v>166</v>
      </c>
      <c r="I1487" s="13" t="n">
        <v>5</v>
      </c>
      <c r="J1487" s="13" t="n">
        <v>2</v>
      </c>
      <c r="K1487" s="13" t="n">
        <v>97000</v>
      </c>
      <c r="L1487" s="13" t="s">
        <v>151</v>
      </c>
      <c r="M1487" s="13" t="s">
        <v>201</v>
      </c>
      <c r="N1487" s="13" t="s">
        <v>142</v>
      </c>
    </row>
    <row r="1488" customFormat="false" ht="15" hidden="false" customHeight="false" outlineLevel="0" collapsed="false">
      <c r="A1488" s="13" t="s">
        <v>1707</v>
      </c>
      <c r="B1488" s="14" t="n">
        <v>44997</v>
      </c>
      <c r="C1488" s="14"/>
      <c r="D1488" s="13" t="n">
        <v>34</v>
      </c>
      <c r="E1488" s="13" t="s">
        <v>136</v>
      </c>
      <c r="F1488" s="13" t="s">
        <v>170</v>
      </c>
      <c r="G1488" s="13" t="s">
        <v>155</v>
      </c>
      <c r="H1488" s="13" t="s">
        <v>178</v>
      </c>
      <c r="I1488" s="13" t="n">
        <v>2</v>
      </c>
      <c r="J1488" s="13" t="n">
        <v>3</v>
      </c>
      <c r="K1488" s="13" t="n">
        <v>140000</v>
      </c>
      <c r="L1488" s="13"/>
      <c r="M1488" s="13"/>
      <c r="N1488" s="13" t="s">
        <v>142</v>
      </c>
    </row>
    <row r="1489" customFormat="false" ht="15" hidden="false" customHeight="false" outlineLevel="0" collapsed="false">
      <c r="A1489" s="13" t="s">
        <v>1708</v>
      </c>
      <c r="B1489" s="14" t="n">
        <v>45001</v>
      </c>
      <c r="C1489" s="14"/>
      <c r="D1489" s="13" t="n">
        <v>34</v>
      </c>
      <c r="E1489" s="13" t="s">
        <v>144</v>
      </c>
      <c r="F1489" s="13" t="s">
        <v>170</v>
      </c>
      <c r="G1489" s="13" t="s">
        <v>155</v>
      </c>
      <c r="H1489" s="13" t="s">
        <v>146</v>
      </c>
      <c r="I1489" s="13" t="n">
        <v>3</v>
      </c>
      <c r="J1489" s="13" t="n">
        <v>2</v>
      </c>
      <c r="K1489" s="13" t="n">
        <v>64500</v>
      </c>
      <c r="L1489" s="13"/>
      <c r="M1489" s="13"/>
      <c r="N1489" s="13" t="s">
        <v>142</v>
      </c>
    </row>
    <row r="1490" customFormat="false" ht="15" hidden="false" customHeight="false" outlineLevel="0" collapsed="false">
      <c r="A1490" s="13" t="s">
        <v>1709</v>
      </c>
      <c r="B1490" s="14" t="n">
        <v>45009</v>
      </c>
      <c r="C1490" s="14" t="n">
        <v>45825</v>
      </c>
      <c r="D1490" s="13" t="n">
        <v>27</v>
      </c>
      <c r="E1490" s="13" t="s">
        <v>136</v>
      </c>
      <c r="F1490" s="13" t="s">
        <v>137</v>
      </c>
      <c r="G1490" s="13" t="s">
        <v>184</v>
      </c>
      <c r="H1490" s="13" t="s">
        <v>149</v>
      </c>
      <c r="I1490" s="13" t="n">
        <v>4</v>
      </c>
      <c r="J1490" s="13" t="n">
        <v>4</v>
      </c>
      <c r="K1490" s="13" t="n">
        <v>96000</v>
      </c>
      <c r="L1490" s="13" t="s">
        <v>151</v>
      </c>
      <c r="M1490" s="13" t="s">
        <v>216</v>
      </c>
      <c r="N1490" s="13" t="s">
        <v>134</v>
      </c>
    </row>
    <row r="1491" customFormat="false" ht="15" hidden="false" customHeight="false" outlineLevel="0" collapsed="false">
      <c r="A1491" s="13" t="s">
        <v>1710</v>
      </c>
      <c r="B1491" s="14" t="n">
        <v>45010</v>
      </c>
      <c r="C1491" s="14"/>
      <c r="D1491" s="13" t="n">
        <v>36</v>
      </c>
      <c r="E1491" s="13" t="s">
        <v>163</v>
      </c>
      <c r="F1491" s="13" t="s">
        <v>170</v>
      </c>
      <c r="G1491" s="13" t="s">
        <v>374</v>
      </c>
      <c r="H1491" s="13" t="s">
        <v>178</v>
      </c>
      <c r="I1491" s="13" t="n">
        <v>3</v>
      </c>
      <c r="J1491" s="13" t="n">
        <v>4</v>
      </c>
      <c r="K1491" s="13" t="n">
        <v>132000</v>
      </c>
      <c r="L1491" s="13"/>
      <c r="M1491" s="13"/>
      <c r="N1491" s="13" t="s">
        <v>134</v>
      </c>
    </row>
    <row r="1492" customFormat="false" ht="15" hidden="false" customHeight="false" outlineLevel="0" collapsed="false">
      <c r="A1492" s="13" t="s">
        <v>1711</v>
      </c>
      <c r="B1492" s="14" t="n">
        <v>45011</v>
      </c>
      <c r="C1492" s="14"/>
      <c r="D1492" s="13" t="n">
        <v>33</v>
      </c>
      <c r="E1492" s="13" t="s">
        <v>182</v>
      </c>
      <c r="F1492" s="13" t="s">
        <v>145</v>
      </c>
      <c r="G1492" s="13" t="s">
        <v>138</v>
      </c>
      <c r="H1492" s="13" t="s">
        <v>149</v>
      </c>
      <c r="I1492" s="13" t="n">
        <v>3</v>
      </c>
      <c r="J1492" s="13" t="n">
        <v>4</v>
      </c>
      <c r="K1492" s="13" t="n">
        <v>87500</v>
      </c>
      <c r="L1492" s="13"/>
      <c r="M1492" s="13"/>
      <c r="N1492" s="13" t="s">
        <v>142</v>
      </c>
    </row>
    <row r="1493" customFormat="false" ht="15" hidden="false" customHeight="false" outlineLevel="0" collapsed="false">
      <c r="A1493" s="13" t="s">
        <v>1712</v>
      </c>
      <c r="B1493" s="14" t="n">
        <v>45012</v>
      </c>
      <c r="C1493" s="14" t="n">
        <v>45257</v>
      </c>
      <c r="D1493" s="13" t="n">
        <v>27</v>
      </c>
      <c r="E1493" s="13" t="s">
        <v>136</v>
      </c>
      <c r="F1493" s="13" t="s">
        <v>168</v>
      </c>
      <c r="G1493" s="13" t="s">
        <v>155</v>
      </c>
      <c r="H1493" s="13" t="s">
        <v>146</v>
      </c>
      <c r="I1493" s="13" t="n">
        <v>3</v>
      </c>
      <c r="J1493" s="13" t="n">
        <v>3</v>
      </c>
      <c r="K1493" s="13" t="n">
        <v>66000</v>
      </c>
      <c r="L1493" s="13" t="s">
        <v>151</v>
      </c>
      <c r="M1493" s="13" t="s">
        <v>201</v>
      </c>
      <c r="N1493" s="13" t="s">
        <v>214</v>
      </c>
    </row>
    <row r="1494" customFormat="false" ht="15" hidden="false" customHeight="false" outlineLevel="0" collapsed="false">
      <c r="A1494" s="13" t="s">
        <v>1713</v>
      </c>
      <c r="B1494" s="14" t="n">
        <v>45012</v>
      </c>
      <c r="C1494" s="14"/>
      <c r="D1494" s="13" t="n">
        <v>34</v>
      </c>
      <c r="E1494" s="13" t="s">
        <v>136</v>
      </c>
      <c r="F1494" s="13" t="s">
        <v>154</v>
      </c>
      <c r="G1494" s="13" t="s">
        <v>330</v>
      </c>
      <c r="H1494" s="13" t="s">
        <v>149</v>
      </c>
      <c r="I1494" s="13" t="n">
        <v>2</v>
      </c>
      <c r="J1494" s="13" t="n">
        <v>3</v>
      </c>
      <c r="K1494" s="13" t="n">
        <v>99000</v>
      </c>
      <c r="L1494" s="13"/>
      <c r="M1494" s="13"/>
      <c r="N1494" s="13" t="s">
        <v>142</v>
      </c>
    </row>
    <row r="1495" customFormat="false" ht="15" hidden="false" customHeight="false" outlineLevel="0" collapsed="false">
      <c r="A1495" s="13" t="s">
        <v>1714</v>
      </c>
      <c r="B1495" s="14" t="n">
        <v>45018</v>
      </c>
      <c r="C1495" s="14"/>
      <c r="D1495" s="13" t="n">
        <v>29</v>
      </c>
      <c r="E1495" s="13" t="s">
        <v>136</v>
      </c>
      <c r="F1495" s="13" t="s">
        <v>170</v>
      </c>
      <c r="G1495" s="13" t="s">
        <v>155</v>
      </c>
      <c r="H1495" s="13" t="s">
        <v>149</v>
      </c>
      <c r="I1495" s="13" t="n">
        <v>3</v>
      </c>
      <c r="J1495" s="13" t="n">
        <v>3</v>
      </c>
      <c r="K1495" s="13" t="n">
        <v>104500</v>
      </c>
      <c r="L1495" s="13"/>
      <c r="M1495" s="13"/>
      <c r="N1495" s="13" t="s">
        <v>142</v>
      </c>
    </row>
    <row r="1496" customFormat="false" ht="15" hidden="false" customHeight="false" outlineLevel="0" collapsed="false">
      <c r="A1496" s="13" t="s">
        <v>1715</v>
      </c>
      <c r="B1496" s="14" t="n">
        <v>45019</v>
      </c>
      <c r="C1496" s="14"/>
      <c r="D1496" s="13" t="n">
        <v>34</v>
      </c>
      <c r="E1496" s="13" t="s">
        <v>144</v>
      </c>
      <c r="F1496" s="13" t="s">
        <v>161</v>
      </c>
      <c r="G1496" s="13" t="s">
        <v>191</v>
      </c>
      <c r="H1496" s="13" t="s">
        <v>192</v>
      </c>
      <c r="I1496" s="13" t="n">
        <v>4</v>
      </c>
      <c r="J1496" s="13" t="n">
        <v>3</v>
      </c>
      <c r="K1496" s="13" t="n">
        <v>215000</v>
      </c>
      <c r="L1496" s="13"/>
      <c r="M1496" s="13"/>
      <c r="N1496" s="13" t="s">
        <v>142</v>
      </c>
    </row>
    <row r="1497" customFormat="false" ht="15" hidden="false" customHeight="false" outlineLevel="0" collapsed="false">
      <c r="A1497" s="13" t="s">
        <v>1716</v>
      </c>
      <c r="B1497" s="14" t="n">
        <v>45020</v>
      </c>
      <c r="C1497" s="14" t="n">
        <v>45081</v>
      </c>
      <c r="D1497" s="13" t="n">
        <v>22</v>
      </c>
      <c r="E1497" s="13" t="s">
        <v>144</v>
      </c>
      <c r="F1497" s="13" t="s">
        <v>168</v>
      </c>
      <c r="G1497" s="13" t="s">
        <v>138</v>
      </c>
      <c r="H1497" s="13" t="s">
        <v>149</v>
      </c>
      <c r="I1497" s="13" t="n">
        <v>3</v>
      </c>
      <c r="J1497" s="13" t="n">
        <v>3</v>
      </c>
      <c r="K1497" s="13" t="n">
        <v>106500</v>
      </c>
      <c r="L1497" s="13" t="s">
        <v>151</v>
      </c>
      <c r="M1497" s="13" t="s">
        <v>314</v>
      </c>
      <c r="N1497" s="13" t="s">
        <v>214</v>
      </c>
    </row>
    <row r="1498" customFormat="false" ht="15" hidden="false" customHeight="false" outlineLevel="0" collapsed="false">
      <c r="A1498" s="13" t="s">
        <v>1717</v>
      </c>
      <c r="B1498" s="14" t="n">
        <v>45020</v>
      </c>
      <c r="C1498" s="14" t="n">
        <v>45092</v>
      </c>
      <c r="D1498" s="13" t="n">
        <v>28</v>
      </c>
      <c r="E1498" s="13" t="s">
        <v>144</v>
      </c>
      <c r="F1498" s="13" t="s">
        <v>241</v>
      </c>
      <c r="G1498" s="13" t="s">
        <v>148</v>
      </c>
      <c r="H1498" s="13" t="s">
        <v>156</v>
      </c>
      <c r="I1498" s="13" t="n">
        <v>3</v>
      </c>
      <c r="J1498" s="13" t="n">
        <v>2</v>
      </c>
      <c r="K1498" s="13" t="n">
        <v>84500</v>
      </c>
      <c r="L1498" s="13" t="s">
        <v>151</v>
      </c>
      <c r="M1498" s="13" t="s">
        <v>201</v>
      </c>
      <c r="N1498" s="13" t="s">
        <v>134</v>
      </c>
    </row>
    <row r="1499" customFormat="false" ht="15" hidden="false" customHeight="false" outlineLevel="0" collapsed="false">
      <c r="A1499" s="13" t="s">
        <v>1718</v>
      </c>
      <c r="B1499" s="14" t="n">
        <v>45022</v>
      </c>
      <c r="C1499" s="14" t="n">
        <v>45263</v>
      </c>
      <c r="D1499" s="13" t="n">
        <v>22</v>
      </c>
      <c r="E1499" s="13" t="s">
        <v>136</v>
      </c>
      <c r="F1499" s="13" t="s">
        <v>131</v>
      </c>
      <c r="G1499" s="13" t="s">
        <v>213</v>
      </c>
      <c r="H1499" s="13" t="s">
        <v>219</v>
      </c>
      <c r="I1499" s="13" t="n">
        <v>3</v>
      </c>
      <c r="J1499" s="13" t="n">
        <v>4</v>
      </c>
      <c r="K1499" s="13" t="n">
        <v>38000</v>
      </c>
      <c r="L1499" s="13" t="s">
        <v>151</v>
      </c>
      <c r="M1499" s="13" t="s">
        <v>152</v>
      </c>
      <c r="N1499" s="13" t="s">
        <v>142</v>
      </c>
    </row>
    <row r="1500" customFormat="false" ht="15" hidden="false" customHeight="false" outlineLevel="0" collapsed="false">
      <c r="A1500" s="13" t="s">
        <v>1719</v>
      </c>
      <c r="B1500" s="14" t="n">
        <v>45023</v>
      </c>
      <c r="C1500" s="14"/>
      <c r="D1500" s="13" t="n">
        <v>34</v>
      </c>
      <c r="E1500" s="13" t="s">
        <v>186</v>
      </c>
      <c r="F1500" s="13" t="s">
        <v>137</v>
      </c>
      <c r="G1500" s="13" t="s">
        <v>138</v>
      </c>
      <c r="H1500" s="13" t="s">
        <v>139</v>
      </c>
      <c r="I1500" s="13" t="n">
        <v>3</v>
      </c>
      <c r="J1500" s="13" t="n">
        <v>1</v>
      </c>
      <c r="K1500" s="13" t="n">
        <v>40500</v>
      </c>
      <c r="L1500" s="13"/>
      <c r="M1500" s="13"/>
      <c r="N1500" s="13" t="s">
        <v>134</v>
      </c>
    </row>
    <row r="1501" customFormat="false" ht="15" hidden="false" customHeight="false" outlineLevel="0" collapsed="false">
      <c r="A1501" s="13" t="s">
        <v>1720</v>
      </c>
      <c r="B1501" s="14" t="n">
        <v>45025</v>
      </c>
      <c r="C1501" s="14" t="n">
        <v>45761</v>
      </c>
      <c r="D1501" s="13" t="n">
        <v>38</v>
      </c>
      <c r="E1501" s="13" t="s">
        <v>136</v>
      </c>
      <c r="F1501" s="13" t="s">
        <v>145</v>
      </c>
      <c r="G1501" s="13" t="s">
        <v>224</v>
      </c>
      <c r="H1501" s="13" t="s">
        <v>139</v>
      </c>
      <c r="I1501" s="13" t="n">
        <v>3</v>
      </c>
      <c r="J1501" s="13" t="n">
        <v>2</v>
      </c>
      <c r="K1501" s="13" t="n">
        <v>34500</v>
      </c>
      <c r="L1501" s="13" t="s">
        <v>151</v>
      </c>
      <c r="M1501" s="13" t="s">
        <v>216</v>
      </c>
      <c r="N1501" s="13" t="s">
        <v>142</v>
      </c>
    </row>
    <row r="1502" customFormat="false" ht="15" hidden="false" customHeight="false" outlineLevel="0" collapsed="false">
      <c r="A1502" s="13" t="s">
        <v>1721</v>
      </c>
      <c r="B1502" s="14" t="n">
        <v>45025</v>
      </c>
      <c r="C1502" s="14" t="n">
        <v>45300</v>
      </c>
      <c r="D1502" s="13" t="n">
        <v>39</v>
      </c>
      <c r="E1502" s="13" t="s">
        <v>136</v>
      </c>
      <c r="F1502" s="13" t="s">
        <v>154</v>
      </c>
      <c r="G1502" s="13" t="s">
        <v>184</v>
      </c>
      <c r="H1502" s="13" t="s">
        <v>149</v>
      </c>
      <c r="I1502" s="13" t="n">
        <v>4</v>
      </c>
      <c r="J1502" s="13" t="n">
        <v>1</v>
      </c>
      <c r="K1502" s="13" t="n">
        <v>118500</v>
      </c>
      <c r="L1502" s="13" t="s">
        <v>151</v>
      </c>
      <c r="M1502" s="13" t="s">
        <v>206</v>
      </c>
      <c r="N1502" s="13" t="s">
        <v>157</v>
      </c>
    </row>
    <row r="1503" customFormat="false" ht="15" hidden="false" customHeight="false" outlineLevel="0" collapsed="false">
      <c r="A1503" s="13" t="s">
        <v>1722</v>
      </c>
      <c r="B1503" s="14" t="n">
        <v>45026</v>
      </c>
      <c r="C1503" s="14"/>
      <c r="D1503" s="13" t="n">
        <v>31</v>
      </c>
      <c r="E1503" s="13" t="s">
        <v>136</v>
      </c>
      <c r="F1503" s="13" t="s">
        <v>161</v>
      </c>
      <c r="G1503" s="13" t="s">
        <v>235</v>
      </c>
      <c r="H1503" s="13" t="s">
        <v>139</v>
      </c>
      <c r="I1503" s="13" t="n">
        <v>3</v>
      </c>
      <c r="J1503" s="13" t="n">
        <v>4</v>
      </c>
      <c r="K1503" s="13" t="n">
        <v>41500</v>
      </c>
      <c r="L1503" s="13"/>
      <c r="M1503" s="13"/>
      <c r="N1503" s="13" t="s">
        <v>142</v>
      </c>
    </row>
    <row r="1504" customFormat="false" ht="15" hidden="false" customHeight="false" outlineLevel="0" collapsed="false">
      <c r="A1504" s="13" t="s">
        <v>1723</v>
      </c>
      <c r="B1504" s="14" t="n">
        <v>45028</v>
      </c>
      <c r="C1504" s="14" t="n">
        <v>45918</v>
      </c>
      <c r="D1504" s="13" t="n">
        <v>25</v>
      </c>
      <c r="E1504" s="13" t="s">
        <v>144</v>
      </c>
      <c r="F1504" s="13" t="s">
        <v>154</v>
      </c>
      <c r="G1504" s="13" t="s">
        <v>374</v>
      </c>
      <c r="H1504" s="13" t="s">
        <v>149</v>
      </c>
      <c r="I1504" s="13" t="n">
        <v>4</v>
      </c>
      <c r="J1504" s="13" t="n">
        <v>2</v>
      </c>
      <c r="K1504" s="13" t="n">
        <v>111500</v>
      </c>
      <c r="L1504" s="13" t="s">
        <v>151</v>
      </c>
      <c r="M1504" s="13" t="s">
        <v>216</v>
      </c>
      <c r="N1504" s="13" t="s">
        <v>142</v>
      </c>
    </row>
    <row r="1505" customFormat="false" ht="15" hidden="false" customHeight="false" outlineLevel="0" collapsed="false">
      <c r="A1505" s="13" t="s">
        <v>1724</v>
      </c>
      <c r="B1505" s="14" t="n">
        <v>45033</v>
      </c>
      <c r="C1505" s="14" t="n">
        <v>45570</v>
      </c>
      <c r="D1505" s="13" t="n">
        <v>35</v>
      </c>
      <c r="E1505" s="13" t="s">
        <v>136</v>
      </c>
      <c r="F1505" s="13" t="s">
        <v>168</v>
      </c>
      <c r="G1505" s="13" t="s">
        <v>138</v>
      </c>
      <c r="H1505" s="13" t="s">
        <v>139</v>
      </c>
      <c r="I1505" s="13" t="n">
        <v>4</v>
      </c>
      <c r="J1505" s="13" t="n">
        <v>1</v>
      </c>
      <c r="K1505" s="13" t="n">
        <v>35000</v>
      </c>
      <c r="L1505" s="13" t="s">
        <v>151</v>
      </c>
      <c r="M1505" s="13" t="s">
        <v>141</v>
      </c>
      <c r="N1505" s="13" t="s">
        <v>142</v>
      </c>
    </row>
    <row r="1506" customFormat="false" ht="15" hidden="false" customHeight="false" outlineLevel="0" collapsed="false">
      <c r="A1506" s="13" t="s">
        <v>1725</v>
      </c>
      <c r="B1506" s="14" t="n">
        <v>45037</v>
      </c>
      <c r="C1506" s="14" t="n">
        <v>45319</v>
      </c>
      <c r="D1506" s="13" t="n">
        <v>33</v>
      </c>
      <c r="E1506" s="13" t="s">
        <v>144</v>
      </c>
      <c r="F1506" s="13" t="s">
        <v>137</v>
      </c>
      <c r="G1506" s="13" t="s">
        <v>138</v>
      </c>
      <c r="H1506" s="13" t="s">
        <v>139</v>
      </c>
      <c r="I1506" s="13" t="n">
        <v>2</v>
      </c>
      <c r="J1506" s="13" t="n">
        <v>4</v>
      </c>
      <c r="K1506" s="13" t="n">
        <v>34500</v>
      </c>
      <c r="L1506" s="13" t="s">
        <v>151</v>
      </c>
      <c r="M1506" s="13" t="s">
        <v>201</v>
      </c>
      <c r="N1506" s="13" t="s">
        <v>142</v>
      </c>
    </row>
    <row r="1507" customFormat="false" ht="15" hidden="false" customHeight="false" outlineLevel="0" collapsed="false">
      <c r="A1507" s="13" t="s">
        <v>1726</v>
      </c>
      <c r="B1507" s="14" t="n">
        <v>45037</v>
      </c>
      <c r="C1507" s="14" t="n">
        <v>45179</v>
      </c>
      <c r="D1507" s="13" t="n">
        <v>25</v>
      </c>
      <c r="E1507" s="13" t="s">
        <v>136</v>
      </c>
      <c r="F1507" s="13" t="s">
        <v>137</v>
      </c>
      <c r="G1507" s="13" t="s">
        <v>155</v>
      </c>
      <c r="H1507" s="13" t="s">
        <v>178</v>
      </c>
      <c r="I1507" s="13" t="n">
        <v>3</v>
      </c>
      <c r="J1507" s="13" t="n">
        <v>2</v>
      </c>
      <c r="K1507" s="13" t="n">
        <v>149000</v>
      </c>
      <c r="L1507" s="13" t="s">
        <v>173</v>
      </c>
      <c r="M1507" s="13" t="s">
        <v>254</v>
      </c>
      <c r="N1507" s="13" t="s">
        <v>134</v>
      </c>
    </row>
    <row r="1508" customFormat="false" ht="15" hidden="false" customHeight="false" outlineLevel="0" collapsed="false">
      <c r="A1508" s="13" t="s">
        <v>1727</v>
      </c>
      <c r="B1508" s="14" t="n">
        <v>45039</v>
      </c>
      <c r="C1508" s="14" t="n">
        <v>45068</v>
      </c>
      <c r="D1508" s="13" t="n">
        <v>34</v>
      </c>
      <c r="E1508" s="13" t="s">
        <v>136</v>
      </c>
      <c r="F1508" s="13" t="s">
        <v>154</v>
      </c>
      <c r="G1508" s="13" t="s">
        <v>184</v>
      </c>
      <c r="H1508" s="13" t="s">
        <v>172</v>
      </c>
      <c r="I1508" s="13" t="n">
        <v>3</v>
      </c>
      <c r="J1508" s="13" t="n">
        <v>1</v>
      </c>
      <c r="K1508" s="13" t="n">
        <v>38000</v>
      </c>
      <c r="L1508" s="13" t="s">
        <v>151</v>
      </c>
      <c r="M1508" s="13" t="s">
        <v>152</v>
      </c>
      <c r="N1508" s="13" t="s">
        <v>134</v>
      </c>
    </row>
    <row r="1509" customFormat="false" ht="15" hidden="false" customHeight="false" outlineLevel="0" collapsed="false">
      <c r="A1509" s="13" t="s">
        <v>1728</v>
      </c>
      <c r="B1509" s="14" t="n">
        <v>45043</v>
      </c>
      <c r="C1509" s="14" t="n">
        <v>45598</v>
      </c>
      <c r="D1509" s="13" t="n">
        <v>32</v>
      </c>
      <c r="E1509" s="13" t="s">
        <v>136</v>
      </c>
      <c r="F1509" s="13" t="s">
        <v>137</v>
      </c>
      <c r="G1509" s="13" t="s">
        <v>213</v>
      </c>
      <c r="H1509" s="13" t="s">
        <v>178</v>
      </c>
      <c r="I1509" s="13" t="n">
        <v>3</v>
      </c>
      <c r="J1509" s="13" t="n">
        <v>1</v>
      </c>
      <c r="K1509" s="13" t="n">
        <v>126500</v>
      </c>
      <c r="L1509" s="13" t="s">
        <v>200</v>
      </c>
      <c r="M1509" s="13" t="s">
        <v>314</v>
      </c>
      <c r="N1509" s="13" t="s">
        <v>142</v>
      </c>
    </row>
    <row r="1510" customFormat="false" ht="15" hidden="false" customHeight="false" outlineLevel="0" collapsed="false">
      <c r="A1510" s="13" t="s">
        <v>1729</v>
      </c>
      <c r="B1510" s="14" t="n">
        <v>45043</v>
      </c>
      <c r="C1510" s="14"/>
      <c r="D1510" s="13" t="n">
        <v>38</v>
      </c>
      <c r="E1510" s="13" t="s">
        <v>144</v>
      </c>
      <c r="F1510" s="13" t="s">
        <v>168</v>
      </c>
      <c r="G1510" s="13" t="s">
        <v>138</v>
      </c>
      <c r="H1510" s="13" t="s">
        <v>156</v>
      </c>
      <c r="I1510" s="13" t="n">
        <v>3</v>
      </c>
      <c r="J1510" s="13" t="n">
        <v>3</v>
      </c>
      <c r="K1510" s="13" t="n">
        <v>93000</v>
      </c>
      <c r="L1510" s="13"/>
      <c r="M1510" s="13"/>
      <c r="N1510" s="13" t="s">
        <v>453</v>
      </c>
    </row>
    <row r="1511" customFormat="false" ht="15" hidden="false" customHeight="false" outlineLevel="0" collapsed="false">
      <c r="A1511" s="13" t="s">
        <v>1730</v>
      </c>
      <c r="B1511" s="14" t="n">
        <v>45047</v>
      </c>
      <c r="C1511" s="14" t="n">
        <v>45293</v>
      </c>
      <c r="D1511" s="13" t="n">
        <v>26</v>
      </c>
      <c r="E1511" s="13" t="s">
        <v>136</v>
      </c>
      <c r="F1511" s="13" t="s">
        <v>168</v>
      </c>
      <c r="G1511" s="13" t="s">
        <v>447</v>
      </c>
      <c r="H1511" s="13" t="s">
        <v>139</v>
      </c>
      <c r="I1511" s="13" t="n">
        <v>3</v>
      </c>
      <c r="J1511" s="13" t="n">
        <v>2</v>
      </c>
      <c r="K1511" s="13" t="n">
        <v>39000</v>
      </c>
      <c r="L1511" s="13" t="s">
        <v>151</v>
      </c>
      <c r="M1511" s="13" t="s">
        <v>206</v>
      </c>
      <c r="N1511" s="13" t="s">
        <v>142</v>
      </c>
    </row>
    <row r="1512" customFormat="false" ht="15" hidden="false" customHeight="false" outlineLevel="0" collapsed="false">
      <c r="A1512" s="13" t="s">
        <v>1731</v>
      </c>
      <c r="B1512" s="14" t="n">
        <v>45048</v>
      </c>
      <c r="C1512" s="14"/>
      <c r="D1512" s="13" t="n">
        <v>27</v>
      </c>
      <c r="E1512" s="13" t="s">
        <v>136</v>
      </c>
      <c r="F1512" s="13" t="s">
        <v>229</v>
      </c>
      <c r="G1512" s="13" t="s">
        <v>224</v>
      </c>
      <c r="H1512" s="13" t="s">
        <v>139</v>
      </c>
      <c r="I1512" s="13" t="n">
        <v>2</v>
      </c>
      <c r="J1512" s="13" t="n">
        <v>2</v>
      </c>
      <c r="K1512" s="13" t="n">
        <v>43000</v>
      </c>
      <c r="L1512" s="13"/>
      <c r="M1512" s="13"/>
      <c r="N1512" s="13" t="s">
        <v>142</v>
      </c>
    </row>
    <row r="1513" customFormat="false" ht="15" hidden="false" customHeight="false" outlineLevel="0" collapsed="false">
      <c r="A1513" s="13" t="s">
        <v>1732</v>
      </c>
      <c r="B1513" s="14" t="n">
        <v>45050</v>
      </c>
      <c r="C1513" s="14"/>
      <c r="D1513" s="13" t="n">
        <v>30</v>
      </c>
      <c r="E1513" s="13" t="s">
        <v>144</v>
      </c>
      <c r="F1513" s="13" t="s">
        <v>168</v>
      </c>
      <c r="G1513" s="13" t="s">
        <v>155</v>
      </c>
      <c r="H1513" s="13" t="s">
        <v>156</v>
      </c>
      <c r="I1513" s="13" t="n">
        <v>3</v>
      </c>
      <c r="J1513" s="13" t="n">
        <v>2</v>
      </c>
      <c r="K1513" s="13" t="n">
        <v>91500</v>
      </c>
      <c r="L1513" s="13"/>
      <c r="M1513" s="13"/>
      <c r="N1513" s="13" t="s">
        <v>142</v>
      </c>
    </row>
    <row r="1514" customFormat="false" ht="15" hidden="false" customHeight="false" outlineLevel="0" collapsed="false">
      <c r="A1514" s="13" t="s">
        <v>1733</v>
      </c>
      <c r="B1514" s="14" t="n">
        <v>45057</v>
      </c>
      <c r="C1514" s="14"/>
      <c r="D1514" s="13" t="n">
        <v>30</v>
      </c>
      <c r="E1514" s="13" t="s">
        <v>144</v>
      </c>
      <c r="F1514" s="13" t="s">
        <v>241</v>
      </c>
      <c r="G1514" s="13" t="s">
        <v>132</v>
      </c>
      <c r="H1514" s="13" t="s">
        <v>139</v>
      </c>
      <c r="I1514" s="13" t="n">
        <v>4</v>
      </c>
      <c r="J1514" s="13" t="n">
        <v>2</v>
      </c>
      <c r="K1514" s="13" t="n">
        <v>40000</v>
      </c>
      <c r="L1514" s="13"/>
      <c r="M1514" s="13"/>
      <c r="N1514" s="13" t="s">
        <v>134</v>
      </c>
    </row>
    <row r="1515" customFormat="false" ht="15" hidden="false" customHeight="false" outlineLevel="0" collapsed="false">
      <c r="A1515" s="13" t="s">
        <v>1734</v>
      </c>
      <c r="B1515" s="14" t="n">
        <v>45057</v>
      </c>
      <c r="C1515" s="14" t="n">
        <v>45183</v>
      </c>
      <c r="D1515" s="13" t="n">
        <v>32</v>
      </c>
      <c r="E1515" s="13" t="s">
        <v>144</v>
      </c>
      <c r="F1515" s="13" t="s">
        <v>161</v>
      </c>
      <c r="G1515" s="13" t="s">
        <v>138</v>
      </c>
      <c r="H1515" s="13" t="s">
        <v>156</v>
      </c>
      <c r="I1515" s="13" t="n">
        <v>3</v>
      </c>
      <c r="J1515" s="13" t="n">
        <v>3</v>
      </c>
      <c r="K1515" s="13" t="n">
        <v>82000</v>
      </c>
      <c r="L1515" s="13" t="s">
        <v>151</v>
      </c>
      <c r="M1515" s="13" t="s">
        <v>152</v>
      </c>
      <c r="N1515" s="13" t="s">
        <v>134</v>
      </c>
    </row>
    <row r="1516" customFormat="false" ht="15" hidden="false" customHeight="false" outlineLevel="0" collapsed="false">
      <c r="A1516" s="13" t="s">
        <v>1735</v>
      </c>
      <c r="B1516" s="14" t="n">
        <v>45063</v>
      </c>
      <c r="C1516" s="14" t="n">
        <v>45577</v>
      </c>
      <c r="D1516" s="13" t="n">
        <v>30</v>
      </c>
      <c r="E1516" s="13" t="s">
        <v>144</v>
      </c>
      <c r="F1516" s="13" t="s">
        <v>154</v>
      </c>
      <c r="G1516" s="13" t="s">
        <v>138</v>
      </c>
      <c r="H1516" s="13" t="s">
        <v>156</v>
      </c>
      <c r="I1516" s="13" t="n">
        <v>5</v>
      </c>
      <c r="J1516" s="13" t="n">
        <v>1</v>
      </c>
      <c r="K1516" s="13" t="n">
        <v>110000</v>
      </c>
      <c r="L1516" s="13" t="s">
        <v>151</v>
      </c>
      <c r="M1516" s="13" t="s">
        <v>152</v>
      </c>
      <c r="N1516" s="13" t="s">
        <v>134</v>
      </c>
    </row>
    <row r="1517" customFormat="false" ht="15" hidden="false" customHeight="false" outlineLevel="0" collapsed="false">
      <c r="A1517" s="13" t="s">
        <v>1736</v>
      </c>
      <c r="B1517" s="14" t="n">
        <v>45063</v>
      </c>
      <c r="C1517" s="14"/>
      <c r="D1517" s="13" t="n">
        <v>32</v>
      </c>
      <c r="E1517" s="13" t="s">
        <v>130</v>
      </c>
      <c r="F1517" s="13" t="s">
        <v>229</v>
      </c>
      <c r="G1517" s="13" t="s">
        <v>132</v>
      </c>
      <c r="H1517" s="13" t="s">
        <v>139</v>
      </c>
      <c r="I1517" s="13" t="n">
        <v>3</v>
      </c>
      <c r="J1517" s="13" t="n">
        <v>1</v>
      </c>
      <c r="K1517" s="13" t="n">
        <v>39500</v>
      </c>
      <c r="L1517" s="13"/>
      <c r="M1517" s="13"/>
      <c r="N1517" s="13" t="s">
        <v>142</v>
      </c>
    </row>
    <row r="1518" customFormat="false" ht="15" hidden="false" customHeight="false" outlineLevel="0" collapsed="false">
      <c r="A1518" s="13" t="s">
        <v>1737</v>
      </c>
      <c r="B1518" s="14" t="n">
        <v>45063</v>
      </c>
      <c r="C1518" s="14" t="n">
        <v>45857</v>
      </c>
      <c r="D1518" s="13" t="n">
        <v>36</v>
      </c>
      <c r="E1518" s="13" t="s">
        <v>136</v>
      </c>
      <c r="F1518" s="13" t="s">
        <v>241</v>
      </c>
      <c r="G1518" s="13" t="s">
        <v>213</v>
      </c>
      <c r="H1518" s="13" t="s">
        <v>139</v>
      </c>
      <c r="I1518" s="13" t="n">
        <v>4</v>
      </c>
      <c r="J1518" s="13" t="n">
        <v>1</v>
      </c>
      <c r="K1518" s="13" t="n">
        <v>38000</v>
      </c>
      <c r="L1518" s="13" t="s">
        <v>151</v>
      </c>
      <c r="M1518" s="13" t="s">
        <v>152</v>
      </c>
      <c r="N1518" s="13" t="s">
        <v>142</v>
      </c>
    </row>
    <row r="1519" customFormat="false" ht="15" hidden="false" customHeight="false" outlineLevel="0" collapsed="false">
      <c r="A1519" s="13" t="s">
        <v>1738</v>
      </c>
      <c r="B1519" s="14" t="n">
        <v>45065</v>
      </c>
      <c r="C1519" s="14"/>
      <c r="D1519" s="13" t="n">
        <v>29</v>
      </c>
      <c r="E1519" s="13" t="s">
        <v>144</v>
      </c>
      <c r="F1519" s="13" t="s">
        <v>154</v>
      </c>
      <c r="G1519" s="13" t="s">
        <v>155</v>
      </c>
      <c r="H1519" s="13" t="s">
        <v>149</v>
      </c>
      <c r="I1519" s="13" t="n">
        <v>3</v>
      </c>
      <c r="J1519" s="13" t="n">
        <v>3</v>
      </c>
      <c r="K1519" s="13" t="n">
        <v>98500</v>
      </c>
      <c r="L1519" s="13"/>
      <c r="M1519" s="13"/>
      <c r="N1519" s="13" t="s">
        <v>142</v>
      </c>
    </row>
    <row r="1520" customFormat="false" ht="15" hidden="false" customHeight="false" outlineLevel="0" collapsed="false">
      <c r="A1520" s="13" t="s">
        <v>1739</v>
      </c>
      <c r="B1520" s="14" t="n">
        <v>45065</v>
      </c>
      <c r="C1520" s="14" t="n">
        <v>45378</v>
      </c>
      <c r="D1520" s="13" t="n">
        <v>26</v>
      </c>
      <c r="E1520" s="13" t="s">
        <v>144</v>
      </c>
      <c r="F1520" s="13" t="s">
        <v>137</v>
      </c>
      <c r="G1520" s="13" t="s">
        <v>138</v>
      </c>
      <c r="H1520" s="13" t="s">
        <v>139</v>
      </c>
      <c r="I1520" s="13" t="n">
        <v>1</v>
      </c>
      <c r="J1520" s="13" t="n">
        <v>4</v>
      </c>
      <c r="K1520" s="13" t="n">
        <v>37000</v>
      </c>
      <c r="L1520" s="13" t="s">
        <v>253</v>
      </c>
      <c r="M1520" s="13" t="s">
        <v>273</v>
      </c>
      <c r="N1520" s="13" t="s">
        <v>134</v>
      </c>
    </row>
    <row r="1521" customFormat="false" ht="15" hidden="false" customHeight="false" outlineLevel="0" collapsed="false">
      <c r="A1521" s="13" t="s">
        <v>1740</v>
      </c>
      <c r="B1521" s="14" t="n">
        <v>45066</v>
      </c>
      <c r="C1521" s="14" t="n">
        <v>45659</v>
      </c>
      <c r="D1521" s="13" t="n">
        <v>36</v>
      </c>
      <c r="E1521" s="13" t="s">
        <v>144</v>
      </c>
      <c r="F1521" s="13" t="s">
        <v>170</v>
      </c>
      <c r="G1521" s="13" t="s">
        <v>297</v>
      </c>
      <c r="H1521" s="13" t="s">
        <v>149</v>
      </c>
      <c r="I1521" s="13" t="n">
        <v>2</v>
      </c>
      <c r="J1521" s="13" t="n">
        <v>4</v>
      </c>
      <c r="K1521" s="13" t="n">
        <v>109500</v>
      </c>
      <c r="L1521" s="13" t="s">
        <v>151</v>
      </c>
      <c r="M1521" s="13" t="s">
        <v>203</v>
      </c>
      <c r="N1521" s="13" t="s">
        <v>453</v>
      </c>
    </row>
    <row r="1522" customFormat="false" ht="15" hidden="false" customHeight="false" outlineLevel="0" collapsed="false">
      <c r="A1522" s="13" t="s">
        <v>1741</v>
      </c>
      <c r="B1522" s="14" t="n">
        <v>45069</v>
      </c>
      <c r="C1522" s="14"/>
      <c r="D1522" s="13" t="n">
        <v>27</v>
      </c>
      <c r="E1522" s="13" t="s">
        <v>136</v>
      </c>
      <c r="F1522" s="13" t="s">
        <v>239</v>
      </c>
      <c r="G1522" s="13" t="s">
        <v>155</v>
      </c>
      <c r="H1522" s="13" t="s">
        <v>149</v>
      </c>
      <c r="I1522" s="13" t="n">
        <v>2</v>
      </c>
      <c r="J1522" s="13" t="n">
        <v>4</v>
      </c>
      <c r="K1522" s="13" t="n">
        <v>87000</v>
      </c>
      <c r="L1522" s="13"/>
      <c r="M1522" s="13"/>
      <c r="N1522" s="13" t="s">
        <v>142</v>
      </c>
    </row>
    <row r="1523" customFormat="false" ht="15" hidden="false" customHeight="false" outlineLevel="0" collapsed="false">
      <c r="A1523" s="13" t="s">
        <v>1742</v>
      </c>
      <c r="B1523" s="14" t="n">
        <v>45070</v>
      </c>
      <c r="C1523" s="14" t="n">
        <v>45441</v>
      </c>
      <c r="D1523" s="13" t="n">
        <v>26</v>
      </c>
      <c r="E1523" s="13" t="s">
        <v>136</v>
      </c>
      <c r="F1523" s="13" t="s">
        <v>131</v>
      </c>
      <c r="G1523" s="13" t="s">
        <v>132</v>
      </c>
      <c r="H1523" s="13" t="s">
        <v>149</v>
      </c>
      <c r="I1523" s="13" t="n">
        <v>5</v>
      </c>
      <c r="J1523" s="13" t="n">
        <v>4</v>
      </c>
      <c r="K1523" s="13" t="n">
        <v>125000</v>
      </c>
      <c r="L1523" s="13" t="s">
        <v>151</v>
      </c>
      <c r="M1523" s="13" t="s">
        <v>216</v>
      </c>
      <c r="N1523" s="13" t="s">
        <v>142</v>
      </c>
    </row>
    <row r="1524" customFormat="false" ht="15" hidden="false" customHeight="false" outlineLevel="0" collapsed="false">
      <c r="A1524" s="13" t="s">
        <v>1743</v>
      </c>
      <c r="B1524" s="14" t="n">
        <v>45073</v>
      </c>
      <c r="C1524" s="14"/>
      <c r="D1524" s="13" t="n">
        <v>29</v>
      </c>
      <c r="E1524" s="13" t="s">
        <v>136</v>
      </c>
      <c r="F1524" s="13" t="s">
        <v>164</v>
      </c>
      <c r="G1524" s="13" t="s">
        <v>138</v>
      </c>
      <c r="H1524" s="13" t="s">
        <v>543</v>
      </c>
      <c r="I1524" s="13" t="n">
        <v>3</v>
      </c>
      <c r="J1524" s="13" t="n">
        <v>4</v>
      </c>
      <c r="K1524" s="13" t="n">
        <v>129000</v>
      </c>
      <c r="L1524" s="13"/>
      <c r="M1524" s="13"/>
      <c r="N1524" s="13" t="s">
        <v>142</v>
      </c>
    </row>
    <row r="1525" customFormat="false" ht="15" hidden="false" customHeight="false" outlineLevel="0" collapsed="false">
      <c r="A1525" s="13" t="s">
        <v>1744</v>
      </c>
      <c r="B1525" s="14" t="n">
        <v>45078</v>
      </c>
      <c r="C1525" s="14" t="n">
        <v>45348</v>
      </c>
      <c r="D1525" s="13" t="n">
        <v>28</v>
      </c>
      <c r="E1525" s="13" t="s">
        <v>182</v>
      </c>
      <c r="F1525" s="13" t="s">
        <v>168</v>
      </c>
      <c r="G1525" s="13" t="s">
        <v>148</v>
      </c>
      <c r="H1525" s="13" t="s">
        <v>146</v>
      </c>
      <c r="I1525" s="13" t="n">
        <v>4</v>
      </c>
      <c r="J1525" s="13" t="n">
        <v>3</v>
      </c>
      <c r="K1525" s="13" t="n">
        <v>70500</v>
      </c>
      <c r="L1525" s="13" t="s">
        <v>151</v>
      </c>
      <c r="M1525" s="13" t="s">
        <v>201</v>
      </c>
      <c r="N1525" s="13" t="s">
        <v>134</v>
      </c>
    </row>
    <row r="1526" customFormat="false" ht="15" hidden="false" customHeight="false" outlineLevel="0" collapsed="false">
      <c r="A1526" s="13" t="s">
        <v>1745</v>
      </c>
      <c r="B1526" s="14" t="n">
        <v>45080</v>
      </c>
      <c r="C1526" s="14"/>
      <c r="D1526" s="13" t="n">
        <v>39</v>
      </c>
      <c r="E1526" s="13" t="s">
        <v>136</v>
      </c>
      <c r="F1526" s="13" t="s">
        <v>145</v>
      </c>
      <c r="G1526" s="13" t="s">
        <v>279</v>
      </c>
      <c r="H1526" s="13" t="s">
        <v>192</v>
      </c>
      <c r="I1526" s="13" t="n">
        <v>3</v>
      </c>
      <c r="J1526" s="13" t="n">
        <v>3</v>
      </c>
      <c r="K1526" s="13" t="n">
        <v>166000</v>
      </c>
      <c r="L1526" s="13"/>
      <c r="M1526" s="13"/>
      <c r="N1526" s="13" t="s">
        <v>134</v>
      </c>
    </row>
    <row r="1527" customFormat="false" ht="15" hidden="false" customHeight="false" outlineLevel="0" collapsed="false">
      <c r="A1527" s="13" t="s">
        <v>1746</v>
      </c>
      <c r="B1527" s="14" t="n">
        <v>45082</v>
      </c>
      <c r="C1527" s="14" t="n">
        <v>45737</v>
      </c>
      <c r="D1527" s="13" t="n">
        <v>23</v>
      </c>
      <c r="E1527" s="13" t="s">
        <v>144</v>
      </c>
      <c r="F1527" s="13" t="s">
        <v>168</v>
      </c>
      <c r="G1527" s="13" t="s">
        <v>132</v>
      </c>
      <c r="H1527" s="13" t="s">
        <v>139</v>
      </c>
      <c r="I1527" s="13" t="n">
        <v>1</v>
      </c>
      <c r="J1527" s="13" t="n">
        <v>2</v>
      </c>
      <c r="K1527" s="13" t="n">
        <v>32000</v>
      </c>
      <c r="L1527" s="13" t="s">
        <v>173</v>
      </c>
      <c r="M1527" s="13" t="s">
        <v>310</v>
      </c>
      <c r="N1527" s="13" t="s">
        <v>134</v>
      </c>
    </row>
    <row r="1528" customFormat="false" ht="15" hidden="false" customHeight="false" outlineLevel="0" collapsed="false">
      <c r="A1528" s="13" t="s">
        <v>1747</v>
      </c>
      <c r="B1528" s="14" t="n">
        <v>45085</v>
      </c>
      <c r="C1528" s="14"/>
      <c r="D1528" s="13" t="n">
        <v>34</v>
      </c>
      <c r="E1528" s="13" t="s">
        <v>144</v>
      </c>
      <c r="F1528" s="13" t="s">
        <v>239</v>
      </c>
      <c r="G1528" s="13" t="s">
        <v>148</v>
      </c>
      <c r="H1528" s="13" t="s">
        <v>139</v>
      </c>
      <c r="I1528" s="13" t="n">
        <v>4</v>
      </c>
      <c r="J1528" s="13" t="n">
        <v>4</v>
      </c>
      <c r="K1528" s="13" t="n">
        <v>33500</v>
      </c>
      <c r="L1528" s="13"/>
      <c r="M1528" s="13"/>
      <c r="N1528" s="13" t="s">
        <v>157</v>
      </c>
    </row>
    <row r="1529" customFormat="false" ht="15" hidden="false" customHeight="false" outlineLevel="0" collapsed="false">
      <c r="A1529" s="13" t="s">
        <v>1748</v>
      </c>
      <c r="B1529" s="14" t="n">
        <v>45085</v>
      </c>
      <c r="C1529" s="14"/>
      <c r="D1529" s="13" t="n">
        <v>33</v>
      </c>
      <c r="E1529" s="13" t="s">
        <v>144</v>
      </c>
      <c r="F1529" s="13" t="s">
        <v>241</v>
      </c>
      <c r="G1529" s="13" t="s">
        <v>374</v>
      </c>
      <c r="H1529" s="13" t="s">
        <v>156</v>
      </c>
      <c r="I1529" s="13" t="n">
        <v>4</v>
      </c>
      <c r="J1529" s="13" t="n">
        <v>4</v>
      </c>
      <c r="K1529" s="13" t="n">
        <v>92000</v>
      </c>
      <c r="L1529" s="13"/>
      <c r="M1529" s="13"/>
      <c r="N1529" s="13" t="s">
        <v>214</v>
      </c>
    </row>
    <row r="1530" customFormat="false" ht="15" hidden="false" customHeight="false" outlineLevel="0" collapsed="false">
      <c r="A1530" s="13" t="s">
        <v>1749</v>
      </c>
      <c r="B1530" s="14" t="n">
        <v>45085</v>
      </c>
      <c r="C1530" s="14" t="n">
        <v>45573</v>
      </c>
      <c r="D1530" s="13" t="n">
        <v>26</v>
      </c>
      <c r="E1530" s="13" t="s">
        <v>182</v>
      </c>
      <c r="F1530" s="13" t="s">
        <v>154</v>
      </c>
      <c r="G1530" s="13" t="s">
        <v>374</v>
      </c>
      <c r="H1530" s="13" t="s">
        <v>139</v>
      </c>
      <c r="I1530" s="13" t="n">
        <v>3</v>
      </c>
      <c r="J1530" s="13" t="n">
        <v>1</v>
      </c>
      <c r="K1530" s="13" t="n">
        <v>39500</v>
      </c>
      <c r="L1530" s="13" t="s">
        <v>151</v>
      </c>
      <c r="M1530" s="13" t="s">
        <v>159</v>
      </c>
      <c r="N1530" s="13" t="s">
        <v>255</v>
      </c>
    </row>
    <row r="1531" customFormat="false" ht="15" hidden="false" customHeight="false" outlineLevel="0" collapsed="false">
      <c r="A1531" s="13" t="s">
        <v>1750</v>
      </c>
      <c r="B1531" s="14" t="n">
        <v>45086</v>
      </c>
      <c r="C1531" s="14"/>
      <c r="D1531" s="13" t="n">
        <v>33</v>
      </c>
      <c r="E1531" s="13" t="s">
        <v>136</v>
      </c>
      <c r="F1531" s="13" t="s">
        <v>170</v>
      </c>
      <c r="G1531" s="13" t="s">
        <v>330</v>
      </c>
      <c r="H1531" s="13" t="s">
        <v>156</v>
      </c>
      <c r="I1531" s="13" t="n">
        <v>4</v>
      </c>
      <c r="J1531" s="13" t="n">
        <v>4</v>
      </c>
      <c r="K1531" s="13" t="n">
        <v>95500</v>
      </c>
      <c r="L1531" s="13"/>
      <c r="M1531" s="13"/>
      <c r="N1531" s="13" t="s">
        <v>142</v>
      </c>
    </row>
    <row r="1532" customFormat="false" ht="15" hidden="false" customHeight="false" outlineLevel="0" collapsed="false">
      <c r="A1532" s="13" t="s">
        <v>1751</v>
      </c>
      <c r="B1532" s="14" t="n">
        <v>45087</v>
      </c>
      <c r="C1532" s="14"/>
      <c r="D1532" s="13" t="n">
        <v>35</v>
      </c>
      <c r="E1532" s="13" t="s">
        <v>136</v>
      </c>
      <c r="F1532" s="13" t="s">
        <v>168</v>
      </c>
      <c r="G1532" s="13" t="s">
        <v>307</v>
      </c>
      <c r="H1532" s="13" t="s">
        <v>133</v>
      </c>
      <c r="I1532" s="13" t="n">
        <v>3</v>
      </c>
      <c r="J1532" s="13" t="n">
        <v>4</v>
      </c>
      <c r="K1532" s="13" t="n">
        <v>73000</v>
      </c>
      <c r="L1532" s="13"/>
      <c r="M1532" s="13"/>
      <c r="N1532" s="13" t="s">
        <v>142</v>
      </c>
    </row>
    <row r="1533" customFormat="false" ht="15" hidden="false" customHeight="false" outlineLevel="0" collapsed="false">
      <c r="A1533" s="13" t="s">
        <v>1752</v>
      </c>
      <c r="B1533" s="14" t="n">
        <v>45088</v>
      </c>
      <c r="C1533" s="14" t="n">
        <v>45154</v>
      </c>
      <c r="D1533" s="13" t="n">
        <v>35</v>
      </c>
      <c r="E1533" s="13" t="s">
        <v>144</v>
      </c>
      <c r="F1533" s="13" t="s">
        <v>164</v>
      </c>
      <c r="G1533" s="13" t="s">
        <v>148</v>
      </c>
      <c r="H1533" s="13" t="s">
        <v>149</v>
      </c>
      <c r="I1533" s="13" t="n">
        <v>5</v>
      </c>
      <c r="J1533" s="13" t="n">
        <v>3</v>
      </c>
      <c r="K1533" s="13" t="n">
        <v>98500</v>
      </c>
      <c r="L1533" s="13" t="s">
        <v>151</v>
      </c>
      <c r="M1533" s="13" t="s">
        <v>141</v>
      </c>
      <c r="N1533" s="13" t="s">
        <v>142</v>
      </c>
    </row>
    <row r="1534" customFormat="false" ht="15" hidden="false" customHeight="false" outlineLevel="0" collapsed="false">
      <c r="A1534" s="13" t="s">
        <v>1753</v>
      </c>
      <c r="B1534" s="14" t="n">
        <v>45089</v>
      </c>
      <c r="C1534" s="14"/>
      <c r="D1534" s="13" t="n">
        <v>33</v>
      </c>
      <c r="E1534" s="13" t="s">
        <v>136</v>
      </c>
      <c r="F1534" s="13" t="s">
        <v>137</v>
      </c>
      <c r="G1534" s="13" t="s">
        <v>184</v>
      </c>
      <c r="H1534" s="13" t="s">
        <v>146</v>
      </c>
      <c r="I1534" s="13" t="n">
        <v>5</v>
      </c>
      <c r="J1534" s="13" t="n">
        <v>4</v>
      </c>
      <c r="K1534" s="13" t="n">
        <v>51000</v>
      </c>
      <c r="L1534" s="13"/>
      <c r="M1534" s="13"/>
      <c r="N1534" s="13" t="s">
        <v>214</v>
      </c>
    </row>
    <row r="1535" customFormat="false" ht="15" hidden="false" customHeight="false" outlineLevel="0" collapsed="false">
      <c r="A1535" s="13" t="s">
        <v>1754</v>
      </c>
      <c r="B1535" s="14" t="n">
        <v>45093</v>
      </c>
      <c r="C1535" s="14" t="n">
        <v>45284</v>
      </c>
      <c r="D1535" s="13" t="n">
        <v>26</v>
      </c>
      <c r="E1535" s="13" t="s">
        <v>136</v>
      </c>
      <c r="F1535" s="13" t="s">
        <v>131</v>
      </c>
      <c r="G1535" s="13" t="s">
        <v>213</v>
      </c>
      <c r="H1535" s="13" t="s">
        <v>146</v>
      </c>
      <c r="I1535" s="13" t="n">
        <v>5</v>
      </c>
      <c r="J1535" s="13" t="n">
        <v>1</v>
      </c>
      <c r="K1535" s="13" t="n">
        <v>56000</v>
      </c>
      <c r="L1535" s="13" t="s">
        <v>151</v>
      </c>
      <c r="M1535" s="13" t="s">
        <v>159</v>
      </c>
      <c r="N1535" s="13" t="s">
        <v>134</v>
      </c>
    </row>
    <row r="1536" customFormat="false" ht="15" hidden="false" customHeight="false" outlineLevel="0" collapsed="false">
      <c r="A1536" s="13" t="s">
        <v>1755</v>
      </c>
      <c r="B1536" s="14" t="n">
        <v>45094</v>
      </c>
      <c r="C1536" s="14"/>
      <c r="D1536" s="13" t="n">
        <v>40</v>
      </c>
      <c r="E1536" s="13" t="s">
        <v>186</v>
      </c>
      <c r="F1536" s="13" t="s">
        <v>137</v>
      </c>
      <c r="G1536" s="13" t="s">
        <v>155</v>
      </c>
      <c r="H1536" s="13" t="s">
        <v>156</v>
      </c>
      <c r="I1536" s="13" t="n">
        <v>3</v>
      </c>
      <c r="J1536" s="13" t="n">
        <v>3</v>
      </c>
      <c r="K1536" s="13" t="n">
        <v>82000</v>
      </c>
      <c r="L1536" s="13"/>
      <c r="M1536" s="13"/>
      <c r="N1536" s="13" t="s">
        <v>142</v>
      </c>
    </row>
    <row r="1537" customFormat="false" ht="15" hidden="false" customHeight="false" outlineLevel="0" collapsed="false">
      <c r="A1537" s="13" t="s">
        <v>1756</v>
      </c>
      <c r="B1537" s="14" t="n">
        <v>45095</v>
      </c>
      <c r="C1537" s="14" t="n">
        <v>45626</v>
      </c>
      <c r="D1537" s="13" t="n">
        <v>31</v>
      </c>
      <c r="E1537" s="13" t="s">
        <v>144</v>
      </c>
      <c r="F1537" s="13" t="s">
        <v>239</v>
      </c>
      <c r="G1537" s="13" t="s">
        <v>235</v>
      </c>
      <c r="H1537" s="13" t="s">
        <v>192</v>
      </c>
      <c r="I1537" s="13" t="n">
        <v>4</v>
      </c>
      <c r="J1537" s="13" t="n">
        <v>2</v>
      </c>
      <c r="K1537" s="13" t="n">
        <v>183500</v>
      </c>
      <c r="L1537" s="13" t="s">
        <v>151</v>
      </c>
      <c r="M1537" s="13" t="s">
        <v>203</v>
      </c>
      <c r="N1537" s="13" t="s">
        <v>214</v>
      </c>
    </row>
    <row r="1538" customFormat="false" ht="15" hidden="false" customHeight="false" outlineLevel="0" collapsed="false">
      <c r="A1538" s="13" t="s">
        <v>1757</v>
      </c>
      <c r="B1538" s="14" t="n">
        <v>45098</v>
      </c>
      <c r="C1538" s="14"/>
      <c r="D1538" s="13" t="n">
        <v>36</v>
      </c>
      <c r="E1538" s="13" t="s">
        <v>144</v>
      </c>
      <c r="F1538" s="13" t="s">
        <v>154</v>
      </c>
      <c r="G1538" s="13" t="s">
        <v>155</v>
      </c>
      <c r="H1538" s="13" t="s">
        <v>139</v>
      </c>
      <c r="I1538" s="13" t="n">
        <v>4</v>
      </c>
      <c r="J1538" s="13" t="n">
        <v>4</v>
      </c>
      <c r="K1538" s="13" t="n">
        <v>37000</v>
      </c>
      <c r="L1538" s="13"/>
      <c r="M1538" s="13"/>
      <c r="N1538" s="13" t="s">
        <v>255</v>
      </c>
    </row>
    <row r="1539" customFormat="false" ht="15" hidden="false" customHeight="false" outlineLevel="0" collapsed="false">
      <c r="A1539" s="13" t="s">
        <v>1758</v>
      </c>
      <c r="B1539" s="14" t="n">
        <v>45100</v>
      </c>
      <c r="C1539" s="14" t="n">
        <v>45923</v>
      </c>
      <c r="D1539" s="13" t="n">
        <v>33</v>
      </c>
      <c r="E1539" s="13" t="s">
        <v>182</v>
      </c>
      <c r="F1539" s="13" t="s">
        <v>241</v>
      </c>
      <c r="G1539" s="13" t="s">
        <v>155</v>
      </c>
      <c r="H1539" s="13" t="s">
        <v>139</v>
      </c>
      <c r="I1539" s="13" t="n">
        <v>3</v>
      </c>
      <c r="J1539" s="13" t="n">
        <v>2</v>
      </c>
      <c r="K1539" s="13" t="n">
        <v>35500</v>
      </c>
      <c r="L1539" s="13" t="s">
        <v>173</v>
      </c>
      <c r="M1539" s="13"/>
      <c r="N1539" s="13" t="s">
        <v>142</v>
      </c>
    </row>
    <row r="1540" customFormat="false" ht="15" hidden="false" customHeight="false" outlineLevel="0" collapsed="false">
      <c r="A1540" s="13" t="s">
        <v>1759</v>
      </c>
      <c r="B1540" s="14" t="n">
        <v>45101</v>
      </c>
      <c r="C1540" s="14"/>
      <c r="D1540" s="13" t="n">
        <v>33</v>
      </c>
      <c r="E1540" s="13" t="s">
        <v>144</v>
      </c>
      <c r="F1540" s="13" t="s">
        <v>170</v>
      </c>
      <c r="G1540" s="13" t="s">
        <v>334</v>
      </c>
      <c r="H1540" s="13" t="s">
        <v>139</v>
      </c>
      <c r="I1540" s="13" t="n">
        <v>3</v>
      </c>
      <c r="J1540" s="13" t="n">
        <v>2</v>
      </c>
      <c r="K1540" s="13" t="n">
        <v>37000</v>
      </c>
      <c r="L1540" s="13"/>
      <c r="M1540" s="13"/>
      <c r="N1540" s="13" t="s">
        <v>134</v>
      </c>
    </row>
    <row r="1541" customFormat="false" ht="15" hidden="false" customHeight="false" outlineLevel="0" collapsed="false">
      <c r="A1541" s="13" t="s">
        <v>1760</v>
      </c>
      <c r="B1541" s="14" t="n">
        <v>45105</v>
      </c>
      <c r="C1541" s="14" t="n">
        <v>45193</v>
      </c>
      <c r="D1541" s="13" t="n">
        <v>31</v>
      </c>
      <c r="E1541" s="13" t="s">
        <v>136</v>
      </c>
      <c r="F1541" s="13" t="s">
        <v>229</v>
      </c>
      <c r="G1541" s="13" t="s">
        <v>138</v>
      </c>
      <c r="H1541" s="13" t="s">
        <v>178</v>
      </c>
      <c r="I1541" s="13" t="n">
        <v>2</v>
      </c>
      <c r="J1541" s="13" t="n">
        <v>4</v>
      </c>
      <c r="K1541" s="13" t="n">
        <v>133000</v>
      </c>
      <c r="L1541" s="13" t="s">
        <v>151</v>
      </c>
      <c r="M1541" s="13" t="s">
        <v>159</v>
      </c>
      <c r="N1541" s="13" t="s">
        <v>134</v>
      </c>
    </row>
    <row r="1542" customFormat="false" ht="15" hidden="false" customHeight="false" outlineLevel="0" collapsed="false">
      <c r="A1542" s="13" t="s">
        <v>1761</v>
      </c>
      <c r="B1542" s="14" t="n">
        <v>45106</v>
      </c>
      <c r="C1542" s="14"/>
      <c r="D1542" s="13" t="n">
        <v>25</v>
      </c>
      <c r="E1542" s="13" t="s">
        <v>186</v>
      </c>
      <c r="F1542" s="13" t="s">
        <v>137</v>
      </c>
      <c r="G1542" s="13" t="s">
        <v>148</v>
      </c>
      <c r="H1542" s="13" t="s">
        <v>149</v>
      </c>
      <c r="I1542" s="13" t="n">
        <v>5</v>
      </c>
      <c r="J1542" s="13" t="n">
        <v>2</v>
      </c>
      <c r="K1542" s="13" t="n">
        <v>93000</v>
      </c>
      <c r="L1542" s="13"/>
      <c r="M1542" s="13"/>
      <c r="N1542" s="13" t="s">
        <v>142</v>
      </c>
    </row>
    <row r="1543" customFormat="false" ht="15" hidden="false" customHeight="false" outlineLevel="0" collapsed="false">
      <c r="A1543" s="13" t="s">
        <v>1762</v>
      </c>
      <c r="B1543" s="14" t="n">
        <v>45108</v>
      </c>
      <c r="C1543" s="14" t="n">
        <v>45597</v>
      </c>
      <c r="D1543" s="13" t="n">
        <v>35</v>
      </c>
      <c r="E1543" s="13" t="s">
        <v>144</v>
      </c>
      <c r="F1543" s="13" t="s">
        <v>137</v>
      </c>
      <c r="G1543" s="13" t="s">
        <v>138</v>
      </c>
      <c r="H1543" s="13" t="s">
        <v>219</v>
      </c>
      <c r="I1543" s="13" t="n">
        <v>3</v>
      </c>
      <c r="J1543" s="13" t="n">
        <v>4</v>
      </c>
      <c r="K1543" s="13" t="n">
        <v>42000</v>
      </c>
      <c r="L1543" s="13" t="s">
        <v>151</v>
      </c>
      <c r="M1543" s="13" t="s">
        <v>216</v>
      </c>
      <c r="N1543" s="13" t="s">
        <v>142</v>
      </c>
    </row>
    <row r="1544" customFormat="false" ht="15" hidden="false" customHeight="false" outlineLevel="0" collapsed="false">
      <c r="A1544" s="13" t="s">
        <v>1763</v>
      </c>
      <c r="B1544" s="14" t="n">
        <v>45109</v>
      </c>
      <c r="C1544" s="14"/>
      <c r="D1544" s="13" t="n">
        <v>37</v>
      </c>
      <c r="E1544" s="13" t="s">
        <v>136</v>
      </c>
      <c r="F1544" s="13" t="s">
        <v>170</v>
      </c>
      <c r="G1544" s="13" t="s">
        <v>132</v>
      </c>
      <c r="H1544" s="13" t="s">
        <v>139</v>
      </c>
      <c r="I1544" s="13" t="n">
        <v>5</v>
      </c>
      <c r="J1544" s="13" t="n">
        <v>3</v>
      </c>
      <c r="K1544" s="13" t="n">
        <v>34000</v>
      </c>
      <c r="L1544" s="13"/>
      <c r="M1544" s="13"/>
      <c r="N1544" s="13" t="s">
        <v>142</v>
      </c>
    </row>
    <row r="1545" customFormat="false" ht="15" hidden="false" customHeight="false" outlineLevel="0" collapsed="false">
      <c r="A1545" s="13" t="s">
        <v>1764</v>
      </c>
      <c r="B1545" s="14" t="n">
        <v>45113</v>
      </c>
      <c r="C1545" s="14"/>
      <c r="D1545" s="13" t="n">
        <v>35</v>
      </c>
      <c r="E1545" s="13" t="s">
        <v>144</v>
      </c>
      <c r="F1545" s="13" t="s">
        <v>137</v>
      </c>
      <c r="G1545" s="13" t="s">
        <v>132</v>
      </c>
      <c r="H1545" s="13" t="s">
        <v>149</v>
      </c>
      <c r="I1545" s="13" t="n">
        <v>3</v>
      </c>
      <c r="J1545" s="13" t="n">
        <v>4</v>
      </c>
      <c r="K1545" s="13" t="n">
        <v>106500</v>
      </c>
      <c r="L1545" s="13"/>
      <c r="M1545" s="13"/>
      <c r="N1545" s="13" t="s">
        <v>142</v>
      </c>
    </row>
    <row r="1546" customFormat="false" ht="15" hidden="false" customHeight="false" outlineLevel="0" collapsed="false">
      <c r="A1546" s="13" t="s">
        <v>1765</v>
      </c>
      <c r="B1546" s="14" t="n">
        <v>45115</v>
      </c>
      <c r="C1546" s="14"/>
      <c r="D1546" s="13" t="n">
        <v>32</v>
      </c>
      <c r="E1546" s="13" t="s">
        <v>136</v>
      </c>
      <c r="F1546" s="13" t="s">
        <v>161</v>
      </c>
      <c r="G1546" s="13" t="s">
        <v>132</v>
      </c>
      <c r="H1546" s="13" t="s">
        <v>139</v>
      </c>
      <c r="I1546" s="13" t="n">
        <v>3</v>
      </c>
      <c r="J1546" s="13" t="n">
        <v>4</v>
      </c>
      <c r="K1546" s="13" t="n">
        <v>31000</v>
      </c>
      <c r="L1546" s="13"/>
      <c r="M1546" s="13"/>
      <c r="N1546" s="13" t="s">
        <v>142</v>
      </c>
    </row>
    <row r="1547" customFormat="false" ht="15" hidden="false" customHeight="false" outlineLevel="0" collapsed="false">
      <c r="A1547" s="13" t="s">
        <v>1766</v>
      </c>
      <c r="B1547" s="14" t="n">
        <v>45118</v>
      </c>
      <c r="C1547" s="14"/>
      <c r="D1547" s="13" t="n">
        <v>23</v>
      </c>
      <c r="E1547" s="13" t="s">
        <v>190</v>
      </c>
      <c r="F1547" s="13" t="s">
        <v>168</v>
      </c>
      <c r="G1547" s="13" t="s">
        <v>132</v>
      </c>
      <c r="H1547" s="13" t="s">
        <v>146</v>
      </c>
      <c r="I1547" s="13" t="n">
        <v>4</v>
      </c>
      <c r="J1547" s="13" t="n">
        <v>4</v>
      </c>
      <c r="K1547" s="13" t="n">
        <v>60000</v>
      </c>
      <c r="L1547" s="13"/>
      <c r="M1547" s="13"/>
      <c r="N1547" s="13" t="s">
        <v>142</v>
      </c>
    </row>
    <row r="1548" customFormat="false" ht="15" hidden="false" customHeight="false" outlineLevel="0" collapsed="false">
      <c r="A1548" s="13" t="s">
        <v>1767</v>
      </c>
      <c r="B1548" s="14" t="n">
        <v>45118</v>
      </c>
      <c r="C1548" s="14" t="n">
        <v>45835</v>
      </c>
      <c r="D1548" s="13" t="n">
        <v>27</v>
      </c>
      <c r="E1548" s="13" t="s">
        <v>144</v>
      </c>
      <c r="F1548" s="13" t="s">
        <v>161</v>
      </c>
      <c r="G1548" s="13" t="s">
        <v>155</v>
      </c>
      <c r="H1548" s="13" t="s">
        <v>139</v>
      </c>
      <c r="I1548" s="13" t="n">
        <v>4</v>
      </c>
      <c r="J1548" s="13" t="n">
        <v>4</v>
      </c>
      <c r="K1548" s="13" t="n">
        <v>39000</v>
      </c>
      <c r="L1548" s="13" t="s">
        <v>151</v>
      </c>
      <c r="M1548" s="13" t="s">
        <v>314</v>
      </c>
      <c r="N1548" s="13" t="s">
        <v>134</v>
      </c>
    </row>
    <row r="1549" customFormat="false" ht="15" hidden="false" customHeight="false" outlineLevel="0" collapsed="false">
      <c r="A1549" s="13" t="s">
        <v>1768</v>
      </c>
      <c r="B1549" s="14" t="n">
        <v>45118</v>
      </c>
      <c r="C1549" s="14" t="n">
        <v>45834</v>
      </c>
      <c r="D1549" s="13" t="n">
        <v>31</v>
      </c>
      <c r="E1549" s="13" t="s">
        <v>130</v>
      </c>
      <c r="F1549" s="13" t="s">
        <v>164</v>
      </c>
      <c r="G1549" s="13" t="s">
        <v>171</v>
      </c>
      <c r="H1549" s="13" t="s">
        <v>146</v>
      </c>
      <c r="I1549" s="13" t="n">
        <v>2</v>
      </c>
      <c r="J1549" s="13" t="n">
        <v>2</v>
      </c>
      <c r="K1549" s="13" t="n">
        <v>65500</v>
      </c>
      <c r="L1549" s="13" t="s">
        <v>151</v>
      </c>
      <c r="M1549" s="13" t="s">
        <v>201</v>
      </c>
      <c r="N1549" s="13" t="s">
        <v>134</v>
      </c>
    </row>
    <row r="1550" customFormat="false" ht="15" hidden="false" customHeight="false" outlineLevel="0" collapsed="false">
      <c r="A1550" s="13" t="s">
        <v>1769</v>
      </c>
      <c r="B1550" s="14" t="n">
        <v>45120</v>
      </c>
      <c r="C1550" s="14" t="n">
        <v>45181</v>
      </c>
      <c r="D1550" s="13" t="n">
        <v>26</v>
      </c>
      <c r="E1550" s="13" t="s">
        <v>144</v>
      </c>
      <c r="F1550" s="13" t="s">
        <v>170</v>
      </c>
      <c r="G1550" s="13" t="s">
        <v>132</v>
      </c>
      <c r="H1550" s="13" t="s">
        <v>146</v>
      </c>
      <c r="I1550" s="13" t="n">
        <v>3</v>
      </c>
      <c r="J1550" s="13" t="n">
        <v>3</v>
      </c>
      <c r="K1550" s="13" t="n">
        <v>53000</v>
      </c>
      <c r="L1550" s="13" t="s">
        <v>173</v>
      </c>
      <c r="M1550" s="13" t="s">
        <v>254</v>
      </c>
      <c r="N1550" s="13" t="s">
        <v>142</v>
      </c>
    </row>
    <row r="1551" customFormat="false" ht="15" hidden="false" customHeight="false" outlineLevel="0" collapsed="false">
      <c r="A1551" s="13" t="s">
        <v>1770</v>
      </c>
      <c r="B1551" s="14" t="n">
        <v>45120</v>
      </c>
      <c r="C1551" s="14"/>
      <c r="D1551" s="13" t="n">
        <v>34</v>
      </c>
      <c r="E1551" s="13" t="s">
        <v>144</v>
      </c>
      <c r="F1551" s="13" t="s">
        <v>131</v>
      </c>
      <c r="G1551" s="13" t="s">
        <v>155</v>
      </c>
      <c r="H1551" s="13" t="s">
        <v>411</v>
      </c>
      <c r="I1551" s="13" t="n">
        <v>3</v>
      </c>
      <c r="J1551" s="13" t="n">
        <v>4</v>
      </c>
      <c r="K1551" s="13" t="n">
        <v>57500</v>
      </c>
      <c r="L1551" s="13"/>
      <c r="M1551" s="13"/>
      <c r="N1551" s="13" t="s">
        <v>142</v>
      </c>
    </row>
    <row r="1552" customFormat="false" ht="15" hidden="false" customHeight="false" outlineLevel="0" collapsed="false">
      <c r="A1552" s="13" t="s">
        <v>1771</v>
      </c>
      <c r="B1552" s="14" t="n">
        <v>45121</v>
      </c>
      <c r="C1552" s="14"/>
      <c r="D1552" s="13" t="n">
        <v>35</v>
      </c>
      <c r="E1552" s="13" t="s">
        <v>136</v>
      </c>
      <c r="F1552" s="13" t="s">
        <v>164</v>
      </c>
      <c r="G1552" s="13" t="s">
        <v>132</v>
      </c>
      <c r="H1552" s="13" t="s">
        <v>178</v>
      </c>
      <c r="I1552" s="13" t="n">
        <v>3</v>
      </c>
      <c r="J1552" s="13" t="n">
        <v>1</v>
      </c>
      <c r="K1552" s="13" t="n">
        <v>120000</v>
      </c>
      <c r="L1552" s="13"/>
      <c r="M1552" s="13"/>
      <c r="N1552" s="13" t="s">
        <v>142</v>
      </c>
    </row>
    <row r="1553" customFormat="false" ht="15" hidden="false" customHeight="false" outlineLevel="0" collapsed="false">
      <c r="A1553" s="13" t="s">
        <v>1772</v>
      </c>
      <c r="B1553" s="14" t="n">
        <v>45123</v>
      </c>
      <c r="C1553" s="14" t="n">
        <v>45399</v>
      </c>
      <c r="D1553" s="13" t="n">
        <v>29</v>
      </c>
      <c r="E1553" s="13" t="s">
        <v>259</v>
      </c>
      <c r="F1553" s="13" t="s">
        <v>168</v>
      </c>
      <c r="G1553" s="13" t="s">
        <v>334</v>
      </c>
      <c r="H1553" s="13" t="s">
        <v>146</v>
      </c>
      <c r="I1553" s="13" t="n">
        <v>3</v>
      </c>
      <c r="J1553" s="13"/>
      <c r="K1553" s="13" t="n">
        <v>66500</v>
      </c>
      <c r="L1553" s="13" t="s">
        <v>140</v>
      </c>
      <c r="M1553" s="13" t="s">
        <v>1773</v>
      </c>
      <c r="N1553" s="13" t="s">
        <v>142</v>
      </c>
    </row>
    <row r="1554" customFormat="false" ht="15" hidden="false" customHeight="false" outlineLevel="0" collapsed="false">
      <c r="A1554" s="13" t="s">
        <v>1774</v>
      </c>
      <c r="B1554" s="14" t="n">
        <v>45123</v>
      </c>
      <c r="C1554" s="14"/>
      <c r="D1554" s="13" t="n">
        <v>24</v>
      </c>
      <c r="E1554" s="13" t="s">
        <v>144</v>
      </c>
      <c r="F1554" s="13" t="s">
        <v>168</v>
      </c>
      <c r="G1554" s="13" t="s">
        <v>155</v>
      </c>
      <c r="H1554" s="13" t="s">
        <v>192</v>
      </c>
      <c r="I1554" s="13" t="n">
        <v>5</v>
      </c>
      <c r="J1554" s="13" t="n">
        <v>1</v>
      </c>
      <c r="K1554" s="13" t="n">
        <v>175500</v>
      </c>
      <c r="L1554" s="13"/>
      <c r="M1554" s="13"/>
      <c r="N1554" s="13" t="s">
        <v>142</v>
      </c>
    </row>
    <row r="1555" customFormat="false" ht="15" hidden="false" customHeight="false" outlineLevel="0" collapsed="false">
      <c r="A1555" s="13" t="s">
        <v>1775</v>
      </c>
      <c r="B1555" s="14" t="n">
        <v>45124</v>
      </c>
      <c r="C1555" s="14" t="n">
        <v>45230</v>
      </c>
      <c r="D1555" s="13" t="n">
        <v>21</v>
      </c>
      <c r="E1555" s="13" t="s">
        <v>136</v>
      </c>
      <c r="F1555" s="13" t="s">
        <v>164</v>
      </c>
      <c r="G1555" s="13" t="s">
        <v>148</v>
      </c>
      <c r="H1555" s="13" t="s">
        <v>146</v>
      </c>
      <c r="I1555" s="13" t="n">
        <v>4</v>
      </c>
      <c r="J1555" s="13" t="n">
        <v>3</v>
      </c>
      <c r="K1555" s="13" t="n">
        <v>58500</v>
      </c>
      <c r="L1555" s="13" t="s">
        <v>173</v>
      </c>
      <c r="M1555" s="13" t="s">
        <v>818</v>
      </c>
      <c r="N1555" s="13" t="s">
        <v>142</v>
      </c>
    </row>
    <row r="1556" customFormat="false" ht="15" hidden="false" customHeight="false" outlineLevel="0" collapsed="false">
      <c r="A1556" s="13" t="s">
        <v>1776</v>
      </c>
      <c r="B1556" s="14" t="n">
        <v>45128</v>
      </c>
      <c r="C1556" s="14" t="n">
        <v>45268</v>
      </c>
      <c r="D1556" s="13" t="n">
        <v>25</v>
      </c>
      <c r="E1556" s="13" t="s">
        <v>136</v>
      </c>
      <c r="F1556" s="13" t="s">
        <v>137</v>
      </c>
      <c r="G1556" s="13" t="s">
        <v>148</v>
      </c>
      <c r="H1556" s="13" t="s">
        <v>146</v>
      </c>
      <c r="I1556" s="13" t="n">
        <v>4</v>
      </c>
      <c r="J1556" s="13" t="n">
        <v>1</v>
      </c>
      <c r="K1556" s="13" t="n">
        <v>57500</v>
      </c>
      <c r="L1556" s="13" t="s">
        <v>173</v>
      </c>
      <c r="M1556" s="13" t="s">
        <v>254</v>
      </c>
      <c r="N1556" s="13" t="s">
        <v>142</v>
      </c>
    </row>
    <row r="1557" customFormat="false" ht="15" hidden="false" customHeight="false" outlineLevel="0" collapsed="false">
      <c r="A1557" s="13" t="s">
        <v>1777</v>
      </c>
      <c r="B1557" s="14" t="n">
        <v>45128</v>
      </c>
      <c r="C1557" s="14" t="n">
        <v>45273</v>
      </c>
      <c r="D1557" s="13" t="n">
        <v>34</v>
      </c>
      <c r="E1557" s="13" t="s">
        <v>136</v>
      </c>
      <c r="F1557" s="13" t="s">
        <v>239</v>
      </c>
      <c r="G1557" s="13" t="s">
        <v>155</v>
      </c>
      <c r="H1557" s="13" t="s">
        <v>146</v>
      </c>
      <c r="I1557" s="13" t="n">
        <v>3</v>
      </c>
      <c r="J1557" s="13" t="n">
        <v>2</v>
      </c>
      <c r="K1557" s="13" t="n">
        <v>54500</v>
      </c>
      <c r="L1557" s="13" t="s">
        <v>173</v>
      </c>
      <c r="M1557" s="13" t="s">
        <v>273</v>
      </c>
      <c r="N1557" s="13" t="s">
        <v>142</v>
      </c>
    </row>
    <row r="1558" customFormat="false" ht="15" hidden="false" customHeight="false" outlineLevel="0" collapsed="false">
      <c r="A1558" s="13" t="s">
        <v>1778</v>
      </c>
      <c r="B1558" s="14" t="n">
        <v>45128</v>
      </c>
      <c r="C1558" s="14"/>
      <c r="D1558" s="13" t="n">
        <v>38</v>
      </c>
      <c r="E1558" s="13" t="s">
        <v>136</v>
      </c>
      <c r="F1558" s="13" t="s">
        <v>137</v>
      </c>
      <c r="G1558" s="13" t="s">
        <v>155</v>
      </c>
      <c r="H1558" s="13" t="s">
        <v>146</v>
      </c>
      <c r="I1558" s="13" t="n">
        <v>2</v>
      </c>
      <c r="J1558" s="13"/>
      <c r="K1558" s="13" t="n">
        <v>66000</v>
      </c>
      <c r="L1558" s="13"/>
      <c r="M1558" s="13"/>
      <c r="N1558" s="13" t="s">
        <v>134</v>
      </c>
    </row>
    <row r="1559" customFormat="false" ht="15" hidden="false" customHeight="false" outlineLevel="0" collapsed="false">
      <c r="A1559" s="13" t="s">
        <v>1779</v>
      </c>
      <c r="B1559" s="14" t="n">
        <v>45130</v>
      </c>
      <c r="C1559" s="14" t="n">
        <v>45149</v>
      </c>
      <c r="D1559" s="13" t="n">
        <v>29</v>
      </c>
      <c r="E1559" s="13" t="s">
        <v>144</v>
      </c>
      <c r="F1559" s="13" t="s">
        <v>241</v>
      </c>
      <c r="G1559" s="13" t="s">
        <v>155</v>
      </c>
      <c r="H1559" s="13" t="s">
        <v>192</v>
      </c>
      <c r="I1559" s="13" t="n">
        <v>2</v>
      </c>
      <c r="J1559" s="13"/>
      <c r="K1559" s="13" t="n">
        <v>181000</v>
      </c>
      <c r="L1559" s="13" t="s">
        <v>173</v>
      </c>
      <c r="M1559" s="13" t="s">
        <v>273</v>
      </c>
      <c r="N1559" s="13" t="s">
        <v>142</v>
      </c>
    </row>
    <row r="1560" customFormat="false" ht="15" hidden="false" customHeight="false" outlineLevel="0" collapsed="false">
      <c r="A1560" s="13" t="s">
        <v>1780</v>
      </c>
      <c r="B1560" s="14" t="n">
        <v>45131</v>
      </c>
      <c r="C1560" s="14"/>
      <c r="D1560" s="13" t="n">
        <v>35</v>
      </c>
      <c r="E1560" s="13" t="s">
        <v>136</v>
      </c>
      <c r="F1560" s="13" t="s">
        <v>161</v>
      </c>
      <c r="G1560" s="13" t="s">
        <v>148</v>
      </c>
      <c r="H1560" s="13" t="s">
        <v>156</v>
      </c>
      <c r="I1560" s="13"/>
      <c r="J1560" s="13" t="n">
        <v>3</v>
      </c>
      <c r="K1560" s="13" t="n">
        <v>87000</v>
      </c>
      <c r="L1560" s="13"/>
      <c r="M1560" s="13"/>
      <c r="N1560" s="13" t="s">
        <v>142</v>
      </c>
    </row>
    <row r="1561" customFormat="false" ht="15" hidden="false" customHeight="false" outlineLevel="0" collapsed="false">
      <c r="A1561" s="13" t="s">
        <v>1781</v>
      </c>
      <c r="B1561" s="14" t="n">
        <v>45131</v>
      </c>
      <c r="C1561" s="14" t="n">
        <v>45997</v>
      </c>
      <c r="D1561" s="13" t="n">
        <v>37</v>
      </c>
      <c r="E1561" s="13" t="s">
        <v>136</v>
      </c>
      <c r="F1561" s="13" t="s">
        <v>145</v>
      </c>
      <c r="G1561" s="13" t="s">
        <v>447</v>
      </c>
      <c r="H1561" s="13" t="s">
        <v>139</v>
      </c>
      <c r="I1561" s="13" t="n">
        <v>4</v>
      </c>
      <c r="J1561" s="13" t="n">
        <v>1</v>
      </c>
      <c r="K1561" s="13" t="n">
        <v>42000</v>
      </c>
      <c r="L1561" s="13" t="s">
        <v>140</v>
      </c>
      <c r="M1561" s="13" t="s">
        <v>152</v>
      </c>
      <c r="N1561" s="13" t="s">
        <v>142</v>
      </c>
    </row>
    <row r="1562" customFormat="false" ht="15" hidden="false" customHeight="false" outlineLevel="0" collapsed="false">
      <c r="A1562" s="13" t="s">
        <v>1782</v>
      </c>
      <c r="B1562" s="14" t="n">
        <v>45134</v>
      </c>
      <c r="C1562" s="14"/>
      <c r="D1562" s="13" t="n">
        <v>36</v>
      </c>
      <c r="E1562" s="13" t="s">
        <v>136</v>
      </c>
      <c r="F1562" s="13" t="s">
        <v>137</v>
      </c>
      <c r="G1562" s="13" t="s">
        <v>155</v>
      </c>
      <c r="H1562" s="13" t="s">
        <v>139</v>
      </c>
      <c r="I1562" s="13" t="n">
        <v>4</v>
      </c>
      <c r="J1562" s="13" t="n">
        <v>4</v>
      </c>
      <c r="K1562" s="13" t="n">
        <v>36000</v>
      </c>
      <c r="L1562" s="13"/>
      <c r="M1562" s="13"/>
      <c r="N1562" s="13" t="s">
        <v>134</v>
      </c>
    </row>
    <row r="1563" customFormat="false" ht="15" hidden="false" customHeight="false" outlineLevel="0" collapsed="false">
      <c r="A1563" s="13" t="s">
        <v>1783</v>
      </c>
      <c r="B1563" s="14" t="n">
        <v>45135</v>
      </c>
      <c r="C1563" s="14"/>
      <c r="D1563" s="13" t="n">
        <v>28</v>
      </c>
      <c r="E1563" s="13" t="s">
        <v>144</v>
      </c>
      <c r="F1563" s="13" t="s">
        <v>168</v>
      </c>
      <c r="G1563" s="13" t="s">
        <v>148</v>
      </c>
      <c r="H1563" s="13" t="s">
        <v>156</v>
      </c>
      <c r="I1563" s="13" t="n">
        <v>3</v>
      </c>
      <c r="J1563" s="13" t="n">
        <v>3</v>
      </c>
      <c r="K1563" s="13" t="n">
        <v>92000</v>
      </c>
      <c r="L1563" s="13"/>
      <c r="M1563" s="13"/>
      <c r="N1563" s="13" t="s">
        <v>142</v>
      </c>
    </row>
    <row r="1564" customFormat="false" ht="15" hidden="false" customHeight="false" outlineLevel="0" collapsed="false">
      <c r="A1564" s="13" t="s">
        <v>1784</v>
      </c>
      <c r="B1564" s="14" t="n">
        <v>45138</v>
      </c>
      <c r="C1564" s="14" t="n">
        <v>45287</v>
      </c>
      <c r="D1564" s="13" t="n">
        <v>21</v>
      </c>
      <c r="E1564" s="13" t="s">
        <v>136</v>
      </c>
      <c r="F1564" s="13" t="s">
        <v>241</v>
      </c>
      <c r="G1564" s="13" t="s">
        <v>191</v>
      </c>
      <c r="H1564" s="13" t="s">
        <v>156</v>
      </c>
      <c r="I1564" s="13" t="n">
        <v>3</v>
      </c>
      <c r="J1564" s="13" t="n">
        <v>1</v>
      </c>
      <c r="K1564" s="13" t="n">
        <v>77000</v>
      </c>
      <c r="L1564" s="13" t="s">
        <v>151</v>
      </c>
      <c r="M1564" s="13" t="s">
        <v>216</v>
      </c>
      <c r="N1564" s="13" t="s">
        <v>214</v>
      </c>
    </row>
    <row r="1565" customFormat="false" ht="15" hidden="false" customHeight="false" outlineLevel="0" collapsed="false">
      <c r="A1565" s="13" t="s">
        <v>1785</v>
      </c>
      <c r="B1565" s="14" t="n">
        <v>45138</v>
      </c>
      <c r="C1565" s="14"/>
      <c r="D1565" s="13" t="n">
        <v>30</v>
      </c>
      <c r="E1565" s="13" t="s">
        <v>144</v>
      </c>
      <c r="F1565" s="13" t="s">
        <v>137</v>
      </c>
      <c r="G1565" s="13" t="s">
        <v>213</v>
      </c>
      <c r="H1565" s="13" t="s">
        <v>146</v>
      </c>
      <c r="I1565" s="13" t="n">
        <v>4</v>
      </c>
      <c r="J1565" s="13" t="n">
        <v>4</v>
      </c>
      <c r="K1565" s="13" t="n">
        <v>54500</v>
      </c>
      <c r="L1565" s="13"/>
      <c r="M1565" s="13"/>
      <c r="N1565" s="13" t="s">
        <v>453</v>
      </c>
    </row>
    <row r="1566" customFormat="false" ht="15" hidden="false" customHeight="false" outlineLevel="0" collapsed="false">
      <c r="A1566" s="13" t="s">
        <v>1786</v>
      </c>
      <c r="B1566" s="14" t="n">
        <v>45140</v>
      </c>
      <c r="C1566" s="14"/>
      <c r="D1566" s="13" t="n">
        <v>30</v>
      </c>
      <c r="E1566" s="13" t="s">
        <v>136</v>
      </c>
      <c r="F1566" s="13" t="s">
        <v>241</v>
      </c>
      <c r="G1566" s="13" t="s">
        <v>132</v>
      </c>
      <c r="H1566" s="13" t="s">
        <v>156</v>
      </c>
      <c r="I1566" s="13" t="n">
        <v>3</v>
      </c>
      <c r="J1566" s="13" t="n">
        <v>3</v>
      </c>
      <c r="K1566" s="13" t="n">
        <v>102500</v>
      </c>
      <c r="L1566" s="13"/>
      <c r="M1566" s="13"/>
      <c r="N1566" s="13" t="s">
        <v>142</v>
      </c>
    </row>
    <row r="1567" customFormat="false" ht="15" hidden="false" customHeight="false" outlineLevel="0" collapsed="false">
      <c r="A1567" s="13" t="s">
        <v>1787</v>
      </c>
      <c r="B1567" s="14" t="n">
        <v>45142</v>
      </c>
      <c r="C1567" s="14"/>
      <c r="D1567" s="13" t="n">
        <v>24</v>
      </c>
      <c r="E1567" s="13" t="s">
        <v>136</v>
      </c>
      <c r="F1567" s="13" t="s">
        <v>168</v>
      </c>
      <c r="G1567" s="13" t="s">
        <v>191</v>
      </c>
      <c r="H1567" s="13" t="s">
        <v>139</v>
      </c>
      <c r="I1567" s="13" t="n">
        <v>3</v>
      </c>
      <c r="J1567" s="13" t="n">
        <v>2</v>
      </c>
      <c r="K1567" s="13" t="n">
        <v>39000</v>
      </c>
      <c r="L1567" s="13"/>
      <c r="M1567" s="13"/>
      <c r="N1567" s="13" t="s">
        <v>142</v>
      </c>
    </row>
    <row r="1568" customFormat="false" ht="15" hidden="false" customHeight="false" outlineLevel="0" collapsed="false">
      <c r="A1568" s="13" t="s">
        <v>1788</v>
      </c>
      <c r="B1568" s="14" t="n">
        <v>45142</v>
      </c>
      <c r="C1568" s="14" t="n">
        <v>45841</v>
      </c>
      <c r="D1568" s="13" t="n">
        <v>34</v>
      </c>
      <c r="E1568" s="13" t="s">
        <v>259</v>
      </c>
      <c r="F1568" s="13" t="s">
        <v>137</v>
      </c>
      <c r="G1568" s="13" t="s">
        <v>148</v>
      </c>
      <c r="H1568" s="13" t="s">
        <v>139</v>
      </c>
      <c r="I1568" s="13" t="n">
        <v>5</v>
      </c>
      <c r="J1568" s="13" t="n">
        <v>1</v>
      </c>
      <c r="K1568" s="13" t="n">
        <v>37500</v>
      </c>
      <c r="L1568" s="13" t="s">
        <v>151</v>
      </c>
      <c r="M1568" s="13" t="s">
        <v>152</v>
      </c>
      <c r="N1568" s="13" t="s">
        <v>142</v>
      </c>
    </row>
    <row r="1569" customFormat="false" ht="15" hidden="false" customHeight="false" outlineLevel="0" collapsed="false">
      <c r="A1569" s="13" t="s">
        <v>1789</v>
      </c>
      <c r="B1569" s="14" t="n">
        <v>45145</v>
      </c>
      <c r="C1569" s="14"/>
      <c r="D1569" s="13" t="n">
        <v>36</v>
      </c>
      <c r="E1569" s="13" t="s">
        <v>144</v>
      </c>
      <c r="F1569" s="13" t="s">
        <v>168</v>
      </c>
      <c r="G1569" s="13" t="s">
        <v>191</v>
      </c>
      <c r="H1569" s="13" t="s">
        <v>146</v>
      </c>
      <c r="I1569" s="13" t="n">
        <v>3</v>
      </c>
      <c r="J1569" s="13" t="n">
        <v>2</v>
      </c>
      <c r="K1569" s="13" t="n">
        <v>53500</v>
      </c>
      <c r="L1569" s="13"/>
      <c r="M1569" s="13"/>
      <c r="N1569" s="13" t="s">
        <v>142</v>
      </c>
    </row>
    <row r="1570" customFormat="false" ht="15" hidden="false" customHeight="false" outlineLevel="0" collapsed="false">
      <c r="A1570" s="13" t="s">
        <v>1790</v>
      </c>
      <c r="B1570" s="14" t="n">
        <v>45147</v>
      </c>
      <c r="C1570" s="14"/>
      <c r="D1570" s="13" t="n">
        <v>31</v>
      </c>
      <c r="E1570" s="13" t="s">
        <v>144</v>
      </c>
      <c r="F1570" s="13" t="s">
        <v>164</v>
      </c>
      <c r="G1570" s="13" t="s">
        <v>224</v>
      </c>
      <c r="H1570" s="13" t="s">
        <v>146</v>
      </c>
      <c r="I1570" s="13" t="n">
        <v>1</v>
      </c>
      <c r="J1570" s="13" t="n">
        <v>3</v>
      </c>
      <c r="K1570" s="13" t="n">
        <v>59500</v>
      </c>
      <c r="L1570" s="13"/>
      <c r="M1570" s="13"/>
      <c r="N1570" s="13" t="s">
        <v>142</v>
      </c>
    </row>
    <row r="1571" customFormat="false" ht="15" hidden="false" customHeight="false" outlineLevel="0" collapsed="false">
      <c r="A1571" s="13" t="s">
        <v>1791</v>
      </c>
      <c r="B1571" s="14" t="n">
        <v>45149</v>
      </c>
      <c r="C1571" s="14"/>
      <c r="D1571" s="13" t="n">
        <v>23</v>
      </c>
      <c r="E1571" s="13" t="s">
        <v>144</v>
      </c>
      <c r="F1571" s="13" t="s">
        <v>145</v>
      </c>
      <c r="G1571" s="13" t="s">
        <v>191</v>
      </c>
      <c r="H1571" s="13" t="s">
        <v>149</v>
      </c>
      <c r="I1571" s="13" t="n">
        <v>5</v>
      </c>
      <c r="J1571" s="13" t="n">
        <v>3</v>
      </c>
      <c r="K1571" s="13" t="n">
        <v>102500</v>
      </c>
      <c r="L1571" s="13"/>
      <c r="M1571" s="13"/>
      <c r="N1571" s="13" t="s">
        <v>214</v>
      </c>
    </row>
    <row r="1572" customFormat="false" ht="15" hidden="false" customHeight="false" outlineLevel="0" collapsed="false">
      <c r="A1572" s="13" t="s">
        <v>1792</v>
      </c>
      <c r="B1572" s="14" t="n">
        <v>45149</v>
      </c>
      <c r="C1572" s="14"/>
      <c r="D1572" s="13" t="n">
        <v>36</v>
      </c>
      <c r="E1572" s="13" t="s">
        <v>144</v>
      </c>
      <c r="F1572" s="13" t="s">
        <v>170</v>
      </c>
      <c r="G1572" s="13" t="s">
        <v>138</v>
      </c>
      <c r="H1572" s="13" t="s">
        <v>178</v>
      </c>
      <c r="I1572" s="13" t="n">
        <v>4</v>
      </c>
      <c r="J1572" s="13" t="n">
        <v>2</v>
      </c>
      <c r="K1572" s="13" t="n">
        <v>131500</v>
      </c>
      <c r="L1572" s="13"/>
      <c r="M1572" s="13"/>
      <c r="N1572" s="13" t="s">
        <v>134</v>
      </c>
    </row>
    <row r="1573" customFormat="false" ht="15" hidden="false" customHeight="false" outlineLevel="0" collapsed="false">
      <c r="A1573" s="13" t="s">
        <v>1793</v>
      </c>
      <c r="B1573" s="14" t="n">
        <v>45152</v>
      </c>
      <c r="C1573" s="14" t="n">
        <v>45274</v>
      </c>
      <c r="D1573" s="13" t="n">
        <v>21</v>
      </c>
      <c r="E1573" s="13" t="s">
        <v>136</v>
      </c>
      <c r="F1573" s="13" t="s">
        <v>154</v>
      </c>
      <c r="G1573" s="13" t="s">
        <v>132</v>
      </c>
      <c r="H1573" s="13" t="s">
        <v>156</v>
      </c>
      <c r="I1573" s="13" t="n">
        <v>3</v>
      </c>
      <c r="J1573" s="13" t="n">
        <v>2</v>
      </c>
      <c r="K1573" s="13" t="n">
        <v>90000</v>
      </c>
      <c r="L1573" s="13" t="s">
        <v>151</v>
      </c>
      <c r="M1573" s="13" t="s">
        <v>152</v>
      </c>
      <c r="N1573" s="13" t="s">
        <v>142</v>
      </c>
    </row>
    <row r="1574" customFormat="false" ht="15" hidden="false" customHeight="false" outlineLevel="0" collapsed="false">
      <c r="A1574" s="13" t="s">
        <v>1794</v>
      </c>
      <c r="B1574" s="14" t="n">
        <v>45158</v>
      </c>
      <c r="C1574" s="14"/>
      <c r="D1574" s="13" t="n">
        <v>31</v>
      </c>
      <c r="E1574" s="13" t="s">
        <v>136</v>
      </c>
      <c r="F1574" s="13" t="s">
        <v>168</v>
      </c>
      <c r="G1574" s="13" t="s">
        <v>188</v>
      </c>
      <c r="H1574" s="13" t="s">
        <v>149</v>
      </c>
      <c r="I1574" s="13" t="n">
        <v>3</v>
      </c>
      <c r="J1574" s="13" t="n">
        <v>1</v>
      </c>
      <c r="K1574" s="13" t="n">
        <v>97000</v>
      </c>
      <c r="L1574" s="13"/>
      <c r="M1574" s="13"/>
      <c r="N1574" s="13" t="s">
        <v>134</v>
      </c>
    </row>
    <row r="1575" customFormat="false" ht="15" hidden="false" customHeight="false" outlineLevel="0" collapsed="false">
      <c r="A1575" s="13" t="s">
        <v>1795</v>
      </c>
      <c r="B1575" s="14" t="n">
        <v>45161</v>
      </c>
      <c r="C1575" s="14" t="n">
        <v>45345</v>
      </c>
      <c r="D1575" s="13" t="n">
        <v>34</v>
      </c>
      <c r="E1575" s="13" t="s">
        <v>144</v>
      </c>
      <c r="F1575" s="13" t="s">
        <v>168</v>
      </c>
      <c r="G1575" s="13" t="s">
        <v>148</v>
      </c>
      <c r="H1575" s="13" t="s">
        <v>149</v>
      </c>
      <c r="I1575" s="13" t="n">
        <v>3</v>
      </c>
      <c r="J1575" s="13" t="n">
        <v>3</v>
      </c>
      <c r="K1575" s="13" t="n">
        <v>112500</v>
      </c>
      <c r="L1575" s="13" t="s">
        <v>140</v>
      </c>
      <c r="M1575" s="13" t="s">
        <v>216</v>
      </c>
      <c r="N1575" s="13" t="s">
        <v>142</v>
      </c>
    </row>
    <row r="1576" customFormat="false" ht="15" hidden="false" customHeight="false" outlineLevel="0" collapsed="false">
      <c r="A1576" s="13" t="s">
        <v>1796</v>
      </c>
      <c r="B1576" s="14" t="n">
        <v>45163</v>
      </c>
      <c r="C1576" s="14" t="n">
        <v>45608</v>
      </c>
      <c r="D1576" s="13" t="n">
        <v>29</v>
      </c>
      <c r="E1576" s="13" t="s">
        <v>144</v>
      </c>
      <c r="F1576" s="13" t="s">
        <v>170</v>
      </c>
      <c r="G1576" s="13" t="s">
        <v>132</v>
      </c>
      <c r="H1576" s="13" t="s">
        <v>146</v>
      </c>
      <c r="I1576" s="13" t="n">
        <v>4</v>
      </c>
      <c r="J1576" s="13" t="n">
        <v>2</v>
      </c>
      <c r="K1576" s="13" t="n">
        <v>57000</v>
      </c>
      <c r="L1576" s="13" t="s">
        <v>151</v>
      </c>
      <c r="M1576" s="13" t="s">
        <v>152</v>
      </c>
      <c r="N1576" s="13" t="s">
        <v>142</v>
      </c>
    </row>
    <row r="1577" customFormat="false" ht="15" hidden="false" customHeight="false" outlineLevel="0" collapsed="false">
      <c r="A1577" s="13" t="s">
        <v>1797</v>
      </c>
      <c r="B1577" s="14" t="n">
        <v>45164</v>
      </c>
      <c r="C1577" s="14"/>
      <c r="D1577" s="13" t="n">
        <v>37</v>
      </c>
      <c r="E1577" s="13" t="s">
        <v>136</v>
      </c>
      <c r="F1577" s="13" t="s">
        <v>145</v>
      </c>
      <c r="G1577" s="13" t="s">
        <v>138</v>
      </c>
      <c r="H1577" s="13" t="s">
        <v>156</v>
      </c>
      <c r="I1577" s="13" t="n">
        <v>4</v>
      </c>
      <c r="J1577" s="13" t="n">
        <v>2</v>
      </c>
      <c r="K1577" s="13" t="n">
        <v>91500</v>
      </c>
      <c r="L1577" s="13"/>
      <c r="M1577" s="13"/>
      <c r="N1577" s="13" t="s">
        <v>142</v>
      </c>
    </row>
    <row r="1578" customFormat="false" ht="15" hidden="false" customHeight="false" outlineLevel="0" collapsed="false">
      <c r="A1578" s="13" t="s">
        <v>1798</v>
      </c>
      <c r="B1578" s="14" t="n">
        <v>45164</v>
      </c>
      <c r="C1578" s="14"/>
      <c r="D1578" s="13" t="n">
        <v>34</v>
      </c>
      <c r="E1578" s="13" t="s">
        <v>144</v>
      </c>
      <c r="F1578" s="13" t="s">
        <v>241</v>
      </c>
      <c r="G1578" s="13" t="s">
        <v>138</v>
      </c>
      <c r="H1578" s="13" t="s">
        <v>149</v>
      </c>
      <c r="I1578" s="13" t="n">
        <v>4</v>
      </c>
      <c r="J1578" s="13" t="n">
        <v>4</v>
      </c>
      <c r="K1578" s="13" t="n">
        <v>76000</v>
      </c>
      <c r="L1578" s="13"/>
      <c r="M1578" s="13"/>
      <c r="N1578" s="13" t="s">
        <v>142</v>
      </c>
    </row>
    <row r="1579" customFormat="false" ht="15" hidden="false" customHeight="false" outlineLevel="0" collapsed="false">
      <c r="A1579" s="13" t="s">
        <v>1799</v>
      </c>
      <c r="B1579" s="14" t="n">
        <v>45166</v>
      </c>
      <c r="C1579" s="14"/>
      <c r="D1579" s="13" t="n">
        <v>37</v>
      </c>
      <c r="E1579" s="13" t="s">
        <v>144</v>
      </c>
      <c r="F1579" s="13" t="s">
        <v>241</v>
      </c>
      <c r="G1579" s="13" t="s">
        <v>155</v>
      </c>
      <c r="H1579" s="13" t="s">
        <v>192</v>
      </c>
      <c r="I1579" s="13" t="n">
        <v>3</v>
      </c>
      <c r="J1579" s="13" t="n">
        <v>4</v>
      </c>
      <c r="K1579" s="13" t="n">
        <v>184500</v>
      </c>
      <c r="L1579" s="13"/>
      <c r="M1579" s="13"/>
      <c r="N1579" s="13" t="s">
        <v>255</v>
      </c>
    </row>
    <row r="1580" customFormat="false" ht="15" hidden="false" customHeight="false" outlineLevel="0" collapsed="false">
      <c r="A1580" s="13" t="s">
        <v>1800</v>
      </c>
      <c r="B1580" s="14" t="n">
        <v>45166</v>
      </c>
      <c r="C1580" s="14" t="n">
        <v>45945</v>
      </c>
      <c r="D1580" s="13" t="n">
        <v>40</v>
      </c>
      <c r="E1580" s="13" t="s">
        <v>136</v>
      </c>
      <c r="F1580" s="13" t="s">
        <v>168</v>
      </c>
      <c r="G1580" s="13" t="s">
        <v>138</v>
      </c>
      <c r="H1580" s="13" t="s">
        <v>149</v>
      </c>
      <c r="I1580" s="13" t="n">
        <v>1</v>
      </c>
      <c r="J1580" s="13" t="n">
        <v>3</v>
      </c>
      <c r="K1580" s="13" t="n">
        <v>101500</v>
      </c>
      <c r="L1580" s="13" t="s">
        <v>151</v>
      </c>
      <c r="M1580" s="13" t="s">
        <v>206</v>
      </c>
      <c r="N1580" s="13" t="s">
        <v>142</v>
      </c>
    </row>
    <row r="1581" customFormat="false" ht="15" hidden="false" customHeight="false" outlineLevel="0" collapsed="false">
      <c r="A1581" s="13" t="s">
        <v>1801</v>
      </c>
      <c r="B1581" s="14" t="n">
        <v>45169</v>
      </c>
      <c r="C1581" s="14" t="n">
        <v>45793</v>
      </c>
      <c r="D1581" s="13" t="n">
        <v>36</v>
      </c>
      <c r="E1581" s="13" t="s">
        <v>136</v>
      </c>
      <c r="F1581" s="13" t="s">
        <v>154</v>
      </c>
      <c r="G1581" s="13" t="s">
        <v>138</v>
      </c>
      <c r="H1581" s="13" t="s">
        <v>146</v>
      </c>
      <c r="I1581" s="13" t="n">
        <v>3</v>
      </c>
      <c r="J1581" s="13" t="n">
        <v>3</v>
      </c>
      <c r="K1581" s="13" t="n">
        <v>57000</v>
      </c>
      <c r="L1581" s="13" t="s">
        <v>151</v>
      </c>
      <c r="M1581" s="13" t="s">
        <v>152</v>
      </c>
      <c r="N1581" s="13" t="s">
        <v>134</v>
      </c>
    </row>
    <row r="1582" customFormat="false" ht="15" hidden="false" customHeight="false" outlineLevel="0" collapsed="false">
      <c r="A1582" s="13" t="s">
        <v>1802</v>
      </c>
      <c r="B1582" s="14" t="n">
        <v>45169</v>
      </c>
      <c r="C1582" s="14" t="n">
        <v>45336</v>
      </c>
      <c r="D1582" s="13" t="n">
        <v>29</v>
      </c>
      <c r="E1582" s="13" t="s">
        <v>259</v>
      </c>
      <c r="F1582" s="13" t="s">
        <v>161</v>
      </c>
      <c r="G1582" s="13" t="s">
        <v>132</v>
      </c>
      <c r="H1582" s="13" t="s">
        <v>139</v>
      </c>
      <c r="I1582" s="13"/>
      <c r="J1582" s="13" t="n">
        <v>2</v>
      </c>
      <c r="K1582" s="13" t="n">
        <v>42500</v>
      </c>
      <c r="L1582" s="13" t="s">
        <v>151</v>
      </c>
      <c r="M1582" s="13" t="s">
        <v>152</v>
      </c>
      <c r="N1582" s="13" t="s">
        <v>134</v>
      </c>
    </row>
    <row r="1583" customFormat="false" ht="15" hidden="false" customHeight="false" outlineLevel="0" collapsed="false">
      <c r="A1583" s="13" t="s">
        <v>1803</v>
      </c>
      <c r="B1583" s="14" t="n">
        <v>45171</v>
      </c>
      <c r="C1583" s="14"/>
      <c r="D1583" s="13" t="n">
        <v>32</v>
      </c>
      <c r="E1583" s="13" t="s">
        <v>144</v>
      </c>
      <c r="F1583" s="13" t="s">
        <v>164</v>
      </c>
      <c r="G1583" s="13" t="s">
        <v>155</v>
      </c>
      <c r="H1583" s="13" t="s">
        <v>139</v>
      </c>
      <c r="I1583" s="13" t="n">
        <v>4</v>
      </c>
      <c r="J1583" s="13" t="n">
        <v>3</v>
      </c>
      <c r="K1583" s="13" t="n">
        <v>37000</v>
      </c>
      <c r="L1583" s="13"/>
      <c r="M1583" s="13"/>
      <c r="N1583" s="13" t="s">
        <v>142</v>
      </c>
    </row>
    <row r="1584" customFormat="false" ht="15" hidden="false" customHeight="false" outlineLevel="0" collapsed="false">
      <c r="A1584" s="13" t="s">
        <v>1804</v>
      </c>
      <c r="B1584" s="14" t="n">
        <v>45172</v>
      </c>
      <c r="C1584" s="14" t="n">
        <v>45204</v>
      </c>
      <c r="D1584" s="13" t="n">
        <v>26</v>
      </c>
      <c r="E1584" s="13" t="s">
        <v>144</v>
      </c>
      <c r="F1584" s="13" t="s">
        <v>168</v>
      </c>
      <c r="G1584" s="13" t="s">
        <v>188</v>
      </c>
      <c r="H1584" s="13" t="s">
        <v>156</v>
      </c>
      <c r="I1584" s="13" t="n">
        <v>5</v>
      </c>
      <c r="J1584" s="13" t="n">
        <v>1</v>
      </c>
      <c r="K1584" s="13" t="n">
        <v>101000</v>
      </c>
      <c r="L1584" s="13" t="s">
        <v>173</v>
      </c>
      <c r="M1584" s="13" t="s">
        <v>273</v>
      </c>
      <c r="N1584" s="13" t="s">
        <v>142</v>
      </c>
    </row>
    <row r="1585" customFormat="false" ht="15" hidden="false" customHeight="false" outlineLevel="0" collapsed="false">
      <c r="A1585" s="13" t="s">
        <v>1805</v>
      </c>
      <c r="B1585" s="14" t="n">
        <v>45176</v>
      </c>
      <c r="C1585" s="14"/>
      <c r="D1585" s="13" t="n">
        <v>32</v>
      </c>
      <c r="E1585" s="13" t="s">
        <v>136</v>
      </c>
      <c r="F1585" s="13" t="s">
        <v>168</v>
      </c>
      <c r="G1585" s="13" t="s">
        <v>155</v>
      </c>
      <c r="H1585" s="13" t="s">
        <v>139</v>
      </c>
      <c r="I1585" s="13" t="n">
        <v>3</v>
      </c>
      <c r="J1585" s="13" t="n">
        <v>3</v>
      </c>
      <c r="K1585" s="13" t="n">
        <v>40000</v>
      </c>
      <c r="L1585" s="13"/>
      <c r="M1585" s="13"/>
      <c r="N1585" s="13" t="s">
        <v>142</v>
      </c>
    </row>
    <row r="1586" customFormat="false" ht="15" hidden="false" customHeight="false" outlineLevel="0" collapsed="false">
      <c r="A1586" s="13" t="s">
        <v>1806</v>
      </c>
      <c r="B1586" s="14" t="n">
        <v>45176</v>
      </c>
      <c r="C1586" s="14" t="n">
        <v>45596</v>
      </c>
      <c r="D1586" s="13" t="n">
        <v>25</v>
      </c>
      <c r="E1586" s="13" t="s">
        <v>163</v>
      </c>
      <c r="F1586" s="13" t="s">
        <v>164</v>
      </c>
      <c r="G1586" s="13" t="s">
        <v>148</v>
      </c>
      <c r="H1586" s="13" t="s">
        <v>149</v>
      </c>
      <c r="I1586" s="13" t="n">
        <v>4</v>
      </c>
      <c r="J1586" s="13" t="n">
        <v>4</v>
      </c>
      <c r="K1586" s="13" t="n">
        <v>108500</v>
      </c>
      <c r="L1586" s="13" t="s">
        <v>140</v>
      </c>
      <c r="M1586" s="13" t="s">
        <v>201</v>
      </c>
      <c r="N1586" s="13" t="s">
        <v>142</v>
      </c>
    </row>
    <row r="1587" customFormat="false" ht="15" hidden="false" customHeight="false" outlineLevel="0" collapsed="false">
      <c r="A1587" s="13" t="s">
        <v>1807</v>
      </c>
      <c r="B1587" s="14" t="n">
        <v>45180</v>
      </c>
      <c r="C1587" s="14"/>
      <c r="D1587" s="13" t="n">
        <v>31</v>
      </c>
      <c r="E1587" s="13" t="s">
        <v>136</v>
      </c>
      <c r="F1587" s="13" t="s">
        <v>137</v>
      </c>
      <c r="G1587" s="13" t="s">
        <v>138</v>
      </c>
      <c r="H1587" s="13" t="s">
        <v>139</v>
      </c>
      <c r="I1587" s="13" t="n">
        <v>4</v>
      </c>
      <c r="J1587" s="13" t="n">
        <v>2</v>
      </c>
      <c r="K1587" s="13" t="n">
        <v>35500</v>
      </c>
      <c r="L1587" s="13"/>
      <c r="M1587" s="13"/>
      <c r="N1587" s="13" t="s">
        <v>142</v>
      </c>
    </row>
    <row r="1588" customFormat="false" ht="15" hidden="false" customHeight="false" outlineLevel="0" collapsed="false">
      <c r="A1588" s="13" t="s">
        <v>1808</v>
      </c>
      <c r="B1588" s="14" t="n">
        <v>45181</v>
      </c>
      <c r="C1588" s="14" t="n">
        <v>45408</v>
      </c>
      <c r="D1588" s="13" t="n">
        <v>22</v>
      </c>
      <c r="E1588" s="13" t="s">
        <v>186</v>
      </c>
      <c r="F1588" s="13" t="s">
        <v>145</v>
      </c>
      <c r="G1588" s="13" t="s">
        <v>148</v>
      </c>
      <c r="H1588" s="13" t="s">
        <v>146</v>
      </c>
      <c r="I1588" s="13" t="n">
        <v>4</v>
      </c>
      <c r="J1588" s="13" t="n">
        <v>2</v>
      </c>
      <c r="K1588" s="13" t="n">
        <v>63000</v>
      </c>
      <c r="L1588" s="13" t="s">
        <v>151</v>
      </c>
      <c r="M1588" s="13" t="s">
        <v>203</v>
      </c>
      <c r="N1588" s="13" t="s">
        <v>142</v>
      </c>
    </row>
    <row r="1589" customFormat="false" ht="15" hidden="false" customHeight="false" outlineLevel="0" collapsed="false">
      <c r="A1589" s="13" t="s">
        <v>1809</v>
      </c>
      <c r="B1589" s="14" t="n">
        <v>45183</v>
      </c>
      <c r="C1589" s="14"/>
      <c r="D1589" s="13" t="n">
        <v>41</v>
      </c>
      <c r="E1589" s="13" t="s">
        <v>144</v>
      </c>
      <c r="F1589" s="13" t="s">
        <v>229</v>
      </c>
      <c r="G1589" s="13" t="s">
        <v>191</v>
      </c>
      <c r="H1589" s="13" t="s">
        <v>146</v>
      </c>
      <c r="I1589" s="13" t="n">
        <v>3</v>
      </c>
      <c r="J1589" s="13" t="n">
        <v>2</v>
      </c>
      <c r="K1589" s="13" t="n">
        <v>67000</v>
      </c>
      <c r="L1589" s="13"/>
      <c r="M1589" s="13"/>
      <c r="N1589" s="13" t="s">
        <v>134</v>
      </c>
    </row>
    <row r="1590" customFormat="false" ht="15" hidden="false" customHeight="false" outlineLevel="0" collapsed="false">
      <c r="A1590" s="13" t="s">
        <v>1810</v>
      </c>
      <c r="B1590" s="14" t="n">
        <v>45183</v>
      </c>
      <c r="C1590" s="14"/>
      <c r="D1590" s="13" t="n">
        <v>34</v>
      </c>
      <c r="E1590" s="13" t="s">
        <v>136</v>
      </c>
      <c r="F1590" s="13" t="s">
        <v>170</v>
      </c>
      <c r="G1590" s="13" t="s">
        <v>148</v>
      </c>
      <c r="H1590" s="13" t="s">
        <v>276</v>
      </c>
      <c r="I1590" s="13" t="n">
        <v>5</v>
      </c>
      <c r="J1590" s="13" t="n">
        <v>1</v>
      </c>
      <c r="K1590" s="13" t="n">
        <v>196000</v>
      </c>
      <c r="L1590" s="13"/>
      <c r="M1590" s="13"/>
      <c r="N1590" s="13" t="s">
        <v>142</v>
      </c>
    </row>
    <row r="1591" customFormat="false" ht="15" hidden="false" customHeight="false" outlineLevel="0" collapsed="false">
      <c r="A1591" s="13" t="s">
        <v>1811</v>
      </c>
      <c r="B1591" s="14" t="n">
        <v>45183</v>
      </c>
      <c r="C1591" s="14"/>
      <c r="D1591" s="13" t="n">
        <v>33</v>
      </c>
      <c r="E1591" s="13" t="s">
        <v>136</v>
      </c>
      <c r="F1591" s="13" t="s">
        <v>168</v>
      </c>
      <c r="G1591" s="13" t="s">
        <v>155</v>
      </c>
      <c r="H1591" s="13" t="s">
        <v>146</v>
      </c>
      <c r="I1591" s="13" t="n">
        <v>2</v>
      </c>
      <c r="J1591" s="13" t="n">
        <v>3</v>
      </c>
      <c r="K1591" s="13" t="n">
        <v>70000</v>
      </c>
      <c r="L1591" s="13"/>
      <c r="M1591" s="13"/>
      <c r="N1591" s="13" t="s">
        <v>134</v>
      </c>
    </row>
    <row r="1592" customFormat="false" ht="15" hidden="false" customHeight="false" outlineLevel="0" collapsed="false">
      <c r="A1592" s="13" t="s">
        <v>1812</v>
      </c>
      <c r="B1592" s="14" t="n">
        <v>45186</v>
      </c>
      <c r="C1592" s="14"/>
      <c r="D1592" s="13" t="n">
        <v>34</v>
      </c>
      <c r="E1592" s="13" t="s">
        <v>136</v>
      </c>
      <c r="F1592" s="13" t="s">
        <v>137</v>
      </c>
      <c r="G1592" s="13" t="s">
        <v>191</v>
      </c>
      <c r="H1592" s="13" t="s">
        <v>156</v>
      </c>
      <c r="I1592" s="13" t="n">
        <v>3</v>
      </c>
      <c r="J1592" s="13" t="n">
        <v>3</v>
      </c>
      <c r="K1592" s="13" t="n">
        <v>84500</v>
      </c>
      <c r="L1592" s="13"/>
      <c r="M1592" s="13"/>
      <c r="N1592" s="13" t="s">
        <v>142</v>
      </c>
    </row>
    <row r="1593" customFormat="false" ht="15" hidden="false" customHeight="false" outlineLevel="0" collapsed="false">
      <c r="A1593" s="13" t="s">
        <v>1813</v>
      </c>
      <c r="B1593" s="14" t="n">
        <v>45187</v>
      </c>
      <c r="C1593" s="14"/>
      <c r="D1593" s="13" t="n">
        <v>25</v>
      </c>
      <c r="E1593" s="13" t="s">
        <v>136</v>
      </c>
      <c r="F1593" s="13" t="s">
        <v>161</v>
      </c>
      <c r="G1593" s="13" t="s">
        <v>224</v>
      </c>
      <c r="H1593" s="13" t="s">
        <v>192</v>
      </c>
      <c r="I1593" s="13" t="n">
        <v>3</v>
      </c>
      <c r="J1593" s="13" t="n">
        <v>1</v>
      </c>
      <c r="K1593" s="13" t="n">
        <v>157500</v>
      </c>
      <c r="L1593" s="13"/>
      <c r="M1593" s="13"/>
      <c r="N1593" s="13" t="s">
        <v>157</v>
      </c>
    </row>
    <row r="1594" customFormat="false" ht="15" hidden="false" customHeight="false" outlineLevel="0" collapsed="false">
      <c r="A1594" s="13" t="s">
        <v>1814</v>
      </c>
      <c r="B1594" s="14" t="n">
        <v>45190</v>
      </c>
      <c r="C1594" s="14"/>
      <c r="D1594" s="13" t="n">
        <v>32</v>
      </c>
      <c r="E1594" s="13" t="s">
        <v>136</v>
      </c>
      <c r="F1594" s="13" t="s">
        <v>170</v>
      </c>
      <c r="G1594" s="13" t="s">
        <v>307</v>
      </c>
      <c r="H1594" s="13" t="s">
        <v>149</v>
      </c>
      <c r="I1594" s="13" t="n">
        <v>4</v>
      </c>
      <c r="J1594" s="13" t="n">
        <v>4</v>
      </c>
      <c r="K1594" s="13" t="n">
        <v>106000</v>
      </c>
      <c r="L1594" s="13"/>
      <c r="M1594" s="13"/>
      <c r="N1594" s="13" t="s">
        <v>134</v>
      </c>
    </row>
    <row r="1595" customFormat="false" ht="15" hidden="false" customHeight="false" outlineLevel="0" collapsed="false">
      <c r="A1595" s="13" t="s">
        <v>1815</v>
      </c>
      <c r="B1595" s="14" t="n">
        <v>45191</v>
      </c>
      <c r="C1595" s="14"/>
      <c r="D1595" s="13" t="n">
        <v>29</v>
      </c>
      <c r="E1595" s="13" t="s">
        <v>144</v>
      </c>
      <c r="F1595" s="13" t="s">
        <v>131</v>
      </c>
      <c r="G1595" s="13" t="s">
        <v>155</v>
      </c>
      <c r="H1595" s="13" t="s">
        <v>149</v>
      </c>
      <c r="I1595" s="13" t="n">
        <v>4</v>
      </c>
      <c r="J1595" s="13" t="n">
        <v>4</v>
      </c>
      <c r="K1595" s="13" t="n">
        <v>110000</v>
      </c>
      <c r="L1595" s="13"/>
      <c r="M1595" s="13"/>
      <c r="N1595" s="13" t="s">
        <v>142</v>
      </c>
    </row>
    <row r="1596" customFormat="false" ht="15" hidden="false" customHeight="false" outlineLevel="0" collapsed="false">
      <c r="A1596" s="13" t="s">
        <v>1816</v>
      </c>
      <c r="B1596" s="14" t="n">
        <v>45192</v>
      </c>
      <c r="C1596" s="14" t="n">
        <v>45730</v>
      </c>
      <c r="D1596" s="13" t="n">
        <v>31</v>
      </c>
      <c r="E1596" s="13" t="s">
        <v>136</v>
      </c>
      <c r="F1596" s="13" t="s">
        <v>137</v>
      </c>
      <c r="G1596" s="13" t="s">
        <v>138</v>
      </c>
      <c r="H1596" s="13" t="s">
        <v>178</v>
      </c>
      <c r="I1596" s="13" t="n">
        <v>3</v>
      </c>
      <c r="J1596" s="13" t="n">
        <v>2</v>
      </c>
      <c r="K1596" s="13" t="n">
        <v>125500</v>
      </c>
      <c r="L1596" s="13" t="s">
        <v>151</v>
      </c>
      <c r="M1596" s="13" t="s">
        <v>216</v>
      </c>
      <c r="N1596" s="13" t="s">
        <v>142</v>
      </c>
    </row>
    <row r="1597" customFormat="false" ht="15" hidden="false" customHeight="false" outlineLevel="0" collapsed="false">
      <c r="A1597" s="13" t="s">
        <v>1817</v>
      </c>
      <c r="B1597" s="14" t="n">
        <v>45193</v>
      </c>
      <c r="C1597" s="14" t="n">
        <v>45722</v>
      </c>
      <c r="D1597" s="13" t="n">
        <v>35</v>
      </c>
      <c r="E1597" s="13" t="s">
        <v>136</v>
      </c>
      <c r="F1597" s="13" t="s">
        <v>137</v>
      </c>
      <c r="G1597" s="13" t="s">
        <v>155</v>
      </c>
      <c r="H1597" s="13" t="s">
        <v>146</v>
      </c>
      <c r="I1597" s="13" t="n">
        <v>3</v>
      </c>
      <c r="J1597" s="13" t="n">
        <v>4</v>
      </c>
      <c r="K1597" s="13" t="n">
        <v>61000</v>
      </c>
      <c r="L1597" s="13" t="s">
        <v>151</v>
      </c>
      <c r="M1597" s="13" t="s">
        <v>216</v>
      </c>
      <c r="N1597" s="13" t="s">
        <v>142</v>
      </c>
    </row>
    <row r="1598" customFormat="false" ht="15" hidden="false" customHeight="false" outlineLevel="0" collapsed="false">
      <c r="A1598" s="13" t="s">
        <v>1818</v>
      </c>
      <c r="B1598" s="14" t="n">
        <v>45193</v>
      </c>
      <c r="C1598" s="14"/>
      <c r="D1598" s="13" t="n">
        <v>30</v>
      </c>
      <c r="E1598" s="13" t="s">
        <v>190</v>
      </c>
      <c r="F1598" s="13" t="s">
        <v>168</v>
      </c>
      <c r="G1598" s="13" t="s">
        <v>191</v>
      </c>
      <c r="H1598" s="13" t="s">
        <v>139</v>
      </c>
      <c r="I1598" s="13" t="n">
        <v>3</v>
      </c>
      <c r="J1598" s="13" t="n">
        <v>4</v>
      </c>
      <c r="K1598" s="13" t="n">
        <v>35000</v>
      </c>
      <c r="L1598" s="13"/>
      <c r="M1598" s="13"/>
      <c r="N1598" s="13" t="s">
        <v>142</v>
      </c>
    </row>
    <row r="1599" customFormat="false" ht="15" hidden="false" customHeight="false" outlineLevel="0" collapsed="false">
      <c r="A1599" s="13" t="s">
        <v>1819</v>
      </c>
      <c r="B1599" s="14" t="n">
        <v>45193</v>
      </c>
      <c r="C1599" s="14"/>
      <c r="D1599" s="13" t="n">
        <v>27</v>
      </c>
      <c r="E1599" s="13" t="s">
        <v>136</v>
      </c>
      <c r="F1599" s="13" t="s">
        <v>239</v>
      </c>
      <c r="G1599" s="13" t="s">
        <v>138</v>
      </c>
      <c r="H1599" s="13" t="s">
        <v>139</v>
      </c>
      <c r="I1599" s="13" t="n">
        <v>5</v>
      </c>
      <c r="J1599" s="13" t="n">
        <v>4</v>
      </c>
      <c r="K1599" s="13" t="n">
        <v>37000</v>
      </c>
      <c r="L1599" s="13"/>
      <c r="M1599" s="13"/>
      <c r="N1599" s="13" t="s">
        <v>142</v>
      </c>
    </row>
    <row r="1600" customFormat="false" ht="15" hidden="false" customHeight="false" outlineLevel="0" collapsed="false">
      <c r="A1600" s="13" t="s">
        <v>1820</v>
      </c>
      <c r="B1600" s="14" t="n">
        <v>45194</v>
      </c>
      <c r="C1600" s="14"/>
      <c r="D1600" s="13" t="n">
        <v>32</v>
      </c>
      <c r="E1600" s="13" t="s">
        <v>136</v>
      </c>
      <c r="F1600" s="13" t="s">
        <v>241</v>
      </c>
      <c r="G1600" s="13" t="s">
        <v>213</v>
      </c>
      <c r="H1600" s="13" t="s">
        <v>139</v>
      </c>
      <c r="I1600" s="13" t="n">
        <v>4</v>
      </c>
      <c r="J1600" s="13" t="n">
        <v>3</v>
      </c>
      <c r="K1600" s="13" t="n">
        <v>38500</v>
      </c>
      <c r="L1600" s="13"/>
      <c r="M1600" s="13"/>
      <c r="N1600" s="13" t="s">
        <v>142</v>
      </c>
    </row>
    <row r="1601" customFormat="false" ht="15" hidden="false" customHeight="false" outlineLevel="0" collapsed="false">
      <c r="A1601" s="13" t="s">
        <v>1821</v>
      </c>
      <c r="B1601" s="14" t="n">
        <v>45199</v>
      </c>
      <c r="C1601" s="14"/>
      <c r="D1601" s="13" t="n">
        <v>32</v>
      </c>
      <c r="E1601" s="13" t="s">
        <v>136</v>
      </c>
      <c r="F1601" s="13" t="s">
        <v>161</v>
      </c>
      <c r="G1601" s="13" t="s">
        <v>155</v>
      </c>
      <c r="H1601" s="13" t="s">
        <v>139</v>
      </c>
      <c r="I1601" s="13" t="n">
        <v>3</v>
      </c>
      <c r="J1601" s="13" t="n">
        <v>2</v>
      </c>
      <c r="K1601" s="13" t="n">
        <v>37500</v>
      </c>
      <c r="L1601" s="13"/>
      <c r="M1601" s="13"/>
      <c r="N1601" s="13" t="s">
        <v>142</v>
      </c>
    </row>
    <row r="1602" customFormat="false" ht="15" hidden="false" customHeight="false" outlineLevel="0" collapsed="false">
      <c r="A1602" s="13" t="s">
        <v>1822</v>
      </c>
      <c r="B1602" s="14" t="n">
        <v>45199</v>
      </c>
      <c r="C1602" s="14"/>
      <c r="D1602" s="13" t="n">
        <v>32</v>
      </c>
      <c r="E1602" s="13" t="s">
        <v>182</v>
      </c>
      <c r="F1602" s="13" t="s">
        <v>154</v>
      </c>
      <c r="G1602" s="13" t="s">
        <v>155</v>
      </c>
      <c r="H1602" s="13" t="s">
        <v>178</v>
      </c>
      <c r="I1602" s="13" t="n">
        <v>4</v>
      </c>
      <c r="J1602" s="13" t="n">
        <v>2</v>
      </c>
      <c r="K1602" s="13" t="n">
        <v>149000</v>
      </c>
      <c r="L1602" s="13"/>
      <c r="M1602" s="13"/>
      <c r="N1602" s="13" t="s">
        <v>214</v>
      </c>
    </row>
    <row r="1603" customFormat="false" ht="15" hidden="false" customHeight="false" outlineLevel="0" collapsed="false">
      <c r="A1603" s="13" t="s">
        <v>1823</v>
      </c>
      <c r="B1603" s="14" t="n">
        <v>45199</v>
      </c>
      <c r="C1603" s="14"/>
      <c r="D1603" s="13" t="n">
        <v>32</v>
      </c>
      <c r="E1603" s="13" t="s">
        <v>144</v>
      </c>
      <c r="F1603" s="13" t="s">
        <v>164</v>
      </c>
      <c r="G1603" s="13" t="s">
        <v>138</v>
      </c>
      <c r="H1603" s="13" t="s">
        <v>192</v>
      </c>
      <c r="I1603" s="13" t="n">
        <v>3</v>
      </c>
      <c r="J1603" s="13" t="n">
        <v>4</v>
      </c>
      <c r="K1603" s="13" t="n">
        <v>195500</v>
      </c>
      <c r="L1603" s="13"/>
      <c r="M1603" s="13"/>
      <c r="N1603" s="13" t="s">
        <v>142</v>
      </c>
    </row>
    <row r="1604" customFormat="false" ht="15" hidden="false" customHeight="false" outlineLevel="0" collapsed="false">
      <c r="A1604" s="13" t="s">
        <v>1824</v>
      </c>
      <c r="B1604" s="14" t="n">
        <v>45199</v>
      </c>
      <c r="C1604" s="14"/>
      <c r="D1604" s="13" t="n">
        <v>37</v>
      </c>
      <c r="E1604" s="13" t="s">
        <v>186</v>
      </c>
      <c r="F1604" s="13" t="s">
        <v>154</v>
      </c>
      <c r="G1604" s="13" t="s">
        <v>138</v>
      </c>
      <c r="H1604" s="13" t="s">
        <v>178</v>
      </c>
      <c r="I1604" s="13" t="n">
        <v>3</v>
      </c>
      <c r="J1604" s="13" t="n">
        <v>4</v>
      </c>
      <c r="K1604" s="13" t="n">
        <v>123500</v>
      </c>
      <c r="L1604" s="13"/>
      <c r="M1604" s="13"/>
      <c r="N1604" s="13" t="s">
        <v>142</v>
      </c>
    </row>
    <row r="1605" customFormat="false" ht="15" hidden="false" customHeight="false" outlineLevel="0" collapsed="false">
      <c r="A1605" s="13" t="s">
        <v>1825</v>
      </c>
      <c r="B1605" s="14" t="n">
        <v>45201</v>
      </c>
      <c r="C1605" s="14" t="n">
        <v>45259</v>
      </c>
      <c r="D1605" s="13" t="n">
        <v>31</v>
      </c>
      <c r="E1605" s="13" t="s">
        <v>190</v>
      </c>
      <c r="F1605" s="13" t="s">
        <v>168</v>
      </c>
      <c r="G1605" s="13" t="s">
        <v>148</v>
      </c>
      <c r="H1605" s="13" t="s">
        <v>172</v>
      </c>
      <c r="I1605" s="13" t="n">
        <v>3</v>
      </c>
      <c r="J1605" s="13" t="n">
        <v>1</v>
      </c>
      <c r="K1605" s="13" t="n">
        <v>33500</v>
      </c>
      <c r="L1605" s="13" t="s">
        <v>173</v>
      </c>
      <c r="M1605" s="13" t="s">
        <v>254</v>
      </c>
      <c r="N1605" s="13" t="s">
        <v>142</v>
      </c>
    </row>
    <row r="1606" customFormat="false" ht="15" hidden="false" customHeight="false" outlineLevel="0" collapsed="false">
      <c r="A1606" s="13" t="s">
        <v>1826</v>
      </c>
      <c r="B1606" s="14" t="n">
        <v>45203</v>
      </c>
      <c r="C1606" s="14"/>
      <c r="D1606" s="13" t="n">
        <v>33</v>
      </c>
      <c r="E1606" s="13" t="s">
        <v>136</v>
      </c>
      <c r="F1606" s="13" t="s">
        <v>241</v>
      </c>
      <c r="G1606" s="13" t="s">
        <v>132</v>
      </c>
      <c r="H1606" s="13" t="s">
        <v>139</v>
      </c>
      <c r="I1606" s="13" t="n">
        <v>4</v>
      </c>
      <c r="J1606" s="13" t="n">
        <v>2</v>
      </c>
      <c r="K1606" s="13" t="n">
        <v>42500</v>
      </c>
      <c r="L1606" s="13"/>
      <c r="M1606" s="13"/>
      <c r="N1606" s="13" t="s">
        <v>142</v>
      </c>
    </row>
    <row r="1607" customFormat="false" ht="15" hidden="false" customHeight="false" outlineLevel="0" collapsed="false">
      <c r="A1607" s="13" t="s">
        <v>1827</v>
      </c>
      <c r="B1607" s="14" t="n">
        <v>45203</v>
      </c>
      <c r="C1607" s="14" t="n">
        <v>45888</v>
      </c>
      <c r="D1607" s="13" t="n">
        <v>29</v>
      </c>
      <c r="E1607" s="13" t="s">
        <v>182</v>
      </c>
      <c r="F1607" s="13" t="s">
        <v>137</v>
      </c>
      <c r="G1607" s="13" t="s">
        <v>155</v>
      </c>
      <c r="H1607" s="13" t="s">
        <v>149</v>
      </c>
      <c r="I1607" s="13" t="n">
        <v>4</v>
      </c>
      <c r="J1607" s="13" t="n">
        <v>1</v>
      </c>
      <c r="K1607" s="13" t="n">
        <v>85500</v>
      </c>
      <c r="L1607" s="13" t="s">
        <v>151</v>
      </c>
      <c r="M1607" s="13" t="s">
        <v>201</v>
      </c>
      <c r="N1607" s="13" t="s">
        <v>142</v>
      </c>
    </row>
    <row r="1608" customFormat="false" ht="15" hidden="false" customHeight="false" outlineLevel="0" collapsed="false">
      <c r="A1608" s="13" t="s">
        <v>1828</v>
      </c>
      <c r="B1608" s="14" t="n">
        <v>45204</v>
      </c>
      <c r="C1608" s="14"/>
      <c r="D1608" s="13" t="n">
        <v>28</v>
      </c>
      <c r="E1608" s="13" t="s">
        <v>163</v>
      </c>
      <c r="F1608" s="13" t="s">
        <v>164</v>
      </c>
      <c r="G1608" s="13" t="s">
        <v>191</v>
      </c>
      <c r="H1608" s="13" t="s">
        <v>156</v>
      </c>
      <c r="I1608" s="13" t="n">
        <v>3</v>
      </c>
      <c r="J1608" s="13" t="n">
        <v>4</v>
      </c>
      <c r="K1608" s="13" t="n">
        <v>84000</v>
      </c>
      <c r="L1608" s="13"/>
      <c r="M1608" s="13"/>
      <c r="N1608" s="13" t="s">
        <v>134</v>
      </c>
    </row>
    <row r="1609" customFormat="false" ht="15" hidden="false" customHeight="false" outlineLevel="0" collapsed="false">
      <c r="A1609" s="13" t="s">
        <v>1829</v>
      </c>
      <c r="B1609" s="14" t="n">
        <v>45205</v>
      </c>
      <c r="C1609" s="14"/>
      <c r="D1609" s="13" t="n">
        <v>33</v>
      </c>
      <c r="E1609" s="13" t="s">
        <v>136</v>
      </c>
      <c r="F1609" s="13" t="s">
        <v>137</v>
      </c>
      <c r="G1609" s="13" t="s">
        <v>132</v>
      </c>
      <c r="H1609" s="13" t="s">
        <v>156</v>
      </c>
      <c r="I1609" s="13" t="n">
        <v>3</v>
      </c>
      <c r="J1609" s="13" t="n">
        <v>4</v>
      </c>
      <c r="K1609" s="13" t="n">
        <v>92500</v>
      </c>
      <c r="L1609" s="13"/>
      <c r="M1609" s="13"/>
      <c r="N1609" s="13" t="s">
        <v>142</v>
      </c>
    </row>
    <row r="1610" customFormat="false" ht="15" hidden="false" customHeight="false" outlineLevel="0" collapsed="false">
      <c r="A1610" s="13" t="s">
        <v>1830</v>
      </c>
      <c r="B1610" s="14" t="n">
        <v>45205</v>
      </c>
      <c r="C1610" s="14" t="n">
        <v>45557</v>
      </c>
      <c r="D1610" s="13" t="n">
        <v>29</v>
      </c>
      <c r="E1610" s="13" t="s">
        <v>144</v>
      </c>
      <c r="F1610" s="13" t="s">
        <v>161</v>
      </c>
      <c r="G1610" s="13" t="s">
        <v>334</v>
      </c>
      <c r="H1610" s="13" t="s">
        <v>146</v>
      </c>
      <c r="I1610" s="13" t="n">
        <v>2</v>
      </c>
      <c r="J1610" s="13" t="n">
        <v>3</v>
      </c>
      <c r="K1610" s="13" t="n">
        <v>51500</v>
      </c>
      <c r="L1610" s="13" t="s">
        <v>151</v>
      </c>
      <c r="M1610" s="13" t="s">
        <v>141</v>
      </c>
      <c r="N1610" s="13" t="s">
        <v>214</v>
      </c>
    </row>
    <row r="1611" customFormat="false" ht="15" hidden="false" customHeight="false" outlineLevel="0" collapsed="false">
      <c r="A1611" s="13" t="s">
        <v>1831</v>
      </c>
      <c r="B1611" s="14" t="n">
        <v>45206</v>
      </c>
      <c r="C1611" s="14" t="n">
        <v>45764</v>
      </c>
      <c r="D1611" s="13" t="n">
        <v>23</v>
      </c>
      <c r="E1611" s="13" t="s">
        <v>136</v>
      </c>
      <c r="F1611" s="13" t="s">
        <v>131</v>
      </c>
      <c r="G1611" s="13" t="s">
        <v>132</v>
      </c>
      <c r="H1611" s="13" t="s">
        <v>156</v>
      </c>
      <c r="I1611" s="13" t="n">
        <v>3</v>
      </c>
      <c r="J1611" s="13" t="n">
        <v>3</v>
      </c>
      <c r="K1611" s="13" t="n">
        <v>89500</v>
      </c>
      <c r="L1611" s="13" t="s">
        <v>151</v>
      </c>
      <c r="M1611" s="13" t="s">
        <v>216</v>
      </c>
      <c r="N1611" s="13" t="s">
        <v>142</v>
      </c>
    </row>
    <row r="1612" customFormat="false" ht="15" hidden="false" customHeight="false" outlineLevel="0" collapsed="false">
      <c r="A1612" s="13" t="s">
        <v>1832</v>
      </c>
      <c r="B1612" s="14" t="n">
        <v>45208</v>
      </c>
      <c r="C1612" s="14" t="n">
        <v>45735</v>
      </c>
      <c r="D1612" s="13" t="n">
        <v>33</v>
      </c>
      <c r="E1612" s="13" t="s">
        <v>136</v>
      </c>
      <c r="F1612" s="13" t="s">
        <v>137</v>
      </c>
      <c r="G1612" s="13" t="s">
        <v>138</v>
      </c>
      <c r="H1612" s="13" t="s">
        <v>149</v>
      </c>
      <c r="I1612" s="13" t="n">
        <v>5</v>
      </c>
      <c r="J1612" s="13" t="n">
        <v>2</v>
      </c>
      <c r="K1612" s="13" t="n">
        <v>118000</v>
      </c>
      <c r="L1612" s="13" t="s">
        <v>151</v>
      </c>
      <c r="M1612" s="13" t="s">
        <v>314</v>
      </c>
      <c r="N1612" s="13" t="s">
        <v>134</v>
      </c>
    </row>
    <row r="1613" customFormat="false" ht="15" hidden="false" customHeight="false" outlineLevel="0" collapsed="false">
      <c r="A1613" s="13" t="s">
        <v>1833</v>
      </c>
      <c r="B1613" s="14" t="n">
        <v>45209</v>
      </c>
      <c r="C1613" s="14"/>
      <c r="D1613" s="13" t="n">
        <v>31</v>
      </c>
      <c r="E1613" s="13" t="s">
        <v>136</v>
      </c>
      <c r="F1613" s="13" t="s">
        <v>168</v>
      </c>
      <c r="G1613" s="13" t="s">
        <v>148</v>
      </c>
      <c r="H1613" s="13" t="s">
        <v>146</v>
      </c>
      <c r="I1613" s="13" t="n">
        <v>4</v>
      </c>
      <c r="J1613" s="13" t="n">
        <v>3</v>
      </c>
      <c r="K1613" s="13" t="n">
        <v>65000</v>
      </c>
      <c r="L1613" s="13"/>
      <c r="M1613" s="13"/>
      <c r="N1613" s="13" t="s">
        <v>142</v>
      </c>
    </row>
    <row r="1614" customFormat="false" ht="15" hidden="false" customHeight="false" outlineLevel="0" collapsed="false">
      <c r="A1614" s="13" t="s">
        <v>1834</v>
      </c>
      <c r="B1614" s="14" t="n">
        <v>45209</v>
      </c>
      <c r="C1614" s="14" t="n">
        <v>45932</v>
      </c>
      <c r="D1614" s="13" t="n">
        <v>34</v>
      </c>
      <c r="E1614" s="13" t="s">
        <v>144</v>
      </c>
      <c r="F1614" s="13" t="s">
        <v>137</v>
      </c>
      <c r="G1614" s="13" t="s">
        <v>330</v>
      </c>
      <c r="H1614" s="13" t="s">
        <v>146</v>
      </c>
      <c r="I1614" s="13" t="n">
        <v>3</v>
      </c>
      <c r="J1614" s="13" t="n">
        <v>3</v>
      </c>
      <c r="K1614" s="13" t="n">
        <v>57000</v>
      </c>
      <c r="L1614" s="13" t="s">
        <v>151</v>
      </c>
      <c r="M1614" s="13" t="s">
        <v>159</v>
      </c>
      <c r="N1614" s="13" t="s">
        <v>142</v>
      </c>
    </row>
    <row r="1615" customFormat="false" ht="15" hidden="false" customHeight="false" outlineLevel="0" collapsed="false">
      <c r="A1615" s="13" t="s">
        <v>1835</v>
      </c>
      <c r="B1615" s="14" t="n">
        <v>45211</v>
      </c>
      <c r="C1615" s="14" t="n">
        <v>45402</v>
      </c>
      <c r="D1615" s="13"/>
      <c r="E1615" s="13" t="s">
        <v>182</v>
      </c>
      <c r="F1615" s="13" t="s">
        <v>145</v>
      </c>
      <c r="G1615" s="13" t="s">
        <v>138</v>
      </c>
      <c r="H1615" s="13" t="s">
        <v>146</v>
      </c>
      <c r="I1615" s="13" t="n">
        <v>4</v>
      </c>
      <c r="J1615" s="13" t="n">
        <v>2</v>
      </c>
      <c r="K1615" s="13" t="n">
        <v>61000</v>
      </c>
      <c r="L1615" s="13" t="s">
        <v>151</v>
      </c>
      <c r="M1615" s="13" t="s">
        <v>152</v>
      </c>
      <c r="N1615" s="13" t="s">
        <v>142</v>
      </c>
    </row>
    <row r="1616" customFormat="false" ht="15" hidden="false" customHeight="false" outlineLevel="0" collapsed="false">
      <c r="A1616" s="13" t="s">
        <v>1836</v>
      </c>
      <c r="B1616" s="14" t="n">
        <v>45212</v>
      </c>
      <c r="C1616" s="14" t="n">
        <v>45765</v>
      </c>
      <c r="D1616" s="13" t="n">
        <v>30</v>
      </c>
      <c r="E1616" s="13" t="s">
        <v>130</v>
      </c>
      <c r="F1616" s="13" t="s">
        <v>170</v>
      </c>
      <c r="G1616" s="13" t="s">
        <v>155</v>
      </c>
      <c r="H1616" s="13" t="s">
        <v>172</v>
      </c>
      <c r="I1616" s="13" t="n">
        <v>2</v>
      </c>
      <c r="J1616" s="13" t="n">
        <v>1</v>
      </c>
      <c r="K1616" s="13" t="n">
        <v>39000</v>
      </c>
      <c r="L1616" s="13" t="s">
        <v>151</v>
      </c>
      <c r="M1616" s="13" t="s">
        <v>201</v>
      </c>
      <c r="N1616" s="13" t="s">
        <v>142</v>
      </c>
    </row>
    <row r="1617" customFormat="false" ht="15" hidden="false" customHeight="false" outlineLevel="0" collapsed="false">
      <c r="A1617" s="13" t="s">
        <v>1837</v>
      </c>
      <c r="B1617" s="14" t="n">
        <v>45212</v>
      </c>
      <c r="C1617" s="14"/>
      <c r="D1617" s="13" t="n">
        <v>26</v>
      </c>
      <c r="E1617" s="13" t="s">
        <v>136</v>
      </c>
      <c r="F1617" s="13" t="s">
        <v>137</v>
      </c>
      <c r="G1617" s="13" t="s">
        <v>132</v>
      </c>
      <c r="H1617" s="13" t="s">
        <v>146</v>
      </c>
      <c r="I1617" s="13" t="n">
        <v>1</v>
      </c>
      <c r="J1617" s="13" t="n">
        <v>4</v>
      </c>
      <c r="K1617" s="13" t="n">
        <v>68000</v>
      </c>
      <c r="L1617" s="13"/>
      <c r="M1617" s="13"/>
      <c r="N1617" s="13" t="s">
        <v>142</v>
      </c>
    </row>
    <row r="1618" customFormat="false" ht="15" hidden="false" customHeight="false" outlineLevel="0" collapsed="false">
      <c r="A1618" s="13" t="s">
        <v>1838</v>
      </c>
      <c r="B1618" s="14" t="n">
        <v>45214</v>
      </c>
      <c r="C1618" s="14"/>
      <c r="D1618" s="13" t="n">
        <v>31</v>
      </c>
      <c r="E1618" s="13" t="s">
        <v>144</v>
      </c>
      <c r="F1618" s="13" t="s">
        <v>241</v>
      </c>
      <c r="G1618" s="13" t="s">
        <v>155</v>
      </c>
      <c r="H1618" s="13" t="s">
        <v>146</v>
      </c>
      <c r="I1618" s="13" t="n">
        <v>4</v>
      </c>
      <c r="J1618" s="13" t="n">
        <v>2</v>
      </c>
      <c r="K1618" s="13" t="n">
        <v>55500</v>
      </c>
      <c r="L1618" s="13"/>
      <c r="M1618" s="13"/>
      <c r="N1618" s="13" t="s">
        <v>134</v>
      </c>
    </row>
    <row r="1619" customFormat="false" ht="15" hidden="false" customHeight="false" outlineLevel="0" collapsed="false">
      <c r="A1619" s="13" t="s">
        <v>1839</v>
      </c>
      <c r="B1619" s="14" t="n">
        <v>45218</v>
      </c>
      <c r="C1619" s="14"/>
      <c r="D1619" s="13" t="n">
        <v>29</v>
      </c>
      <c r="E1619" s="13" t="s">
        <v>136</v>
      </c>
      <c r="F1619" s="13" t="s">
        <v>137</v>
      </c>
      <c r="G1619" s="13" t="s">
        <v>155</v>
      </c>
      <c r="H1619" s="13" t="s">
        <v>139</v>
      </c>
      <c r="I1619" s="13" t="n">
        <v>4</v>
      </c>
      <c r="J1619" s="13" t="n">
        <v>1</v>
      </c>
      <c r="K1619" s="13" t="n">
        <v>34500</v>
      </c>
      <c r="L1619" s="13"/>
      <c r="M1619" s="13"/>
      <c r="N1619" s="13" t="s">
        <v>157</v>
      </c>
    </row>
    <row r="1620" customFormat="false" ht="15" hidden="false" customHeight="false" outlineLevel="0" collapsed="false">
      <c r="A1620" s="13" t="s">
        <v>1840</v>
      </c>
      <c r="B1620" s="14" t="n">
        <v>45219</v>
      </c>
      <c r="C1620" s="14"/>
      <c r="D1620" s="13" t="n">
        <v>32</v>
      </c>
      <c r="E1620" s="13" t="s">
        <v>144</v>
      </c>
      <c r="F1620" s="13" t="s">
        <v>137</v>
      </c>
      <c r="G1620" s="13" t="s">
        <v>334</v>
      </c>
      <c r="H1620" s="13" t="s">
        <v>149</v>
      </c>
      <c r="I1620" s="13" t="n">
        <v>4</v>
      </c>
      <c r="J1620" s="13" t="n">
        <v>4</v>
      </c>
      <c r="K1620" s="13" t="n">
        <v>102500</v>
      </c>
      <c r="L1620" s="13"/>
      <c r="M1620" s="13"/>
      <c r="N1620" s="13" t="s">
        <v>134</v>
      </c>
    </row>
    <row r="1621" customFormat="false" ht="15" hidden="false" customHeight="false" outlineLevel="0" collapsed="false">
      <c r="A1621" s="13" t="s">
        <v>1841</v>
      </c>
      <c r="B1621" s="14" t="n">
        <v>45219</v>
      </c>
      <c r="C1621" s="14"/>
      <c r="D1621" s="13" t="n">
        <v>34</v>
      </c>
      <c r="E1621" s="13" t="s">
        <v>136</v>
      </c>
      <c r="F1621" s="13" t="s">
        <v>170</v>
      </c>
      <c r="G1621" s="13" t="s">
        <v>307</v>
      </c>
      <c r="H1621" s="13" t="s">
        <v>343</v>
      </c>
      <c r="I1621" s="13" t="n">
        <v>3</v>
      </c>
      <c r="J1621" s="13" t="n">
        <v>4</v>
      </c>
      <c r="K1621" s="13" t="n">
        <v>103500</v>
      </c>
      <c r="L1621" s="13"/>
      <c r="M1621" s="13"/>
      <c r="N1621" s="13" t="s">
        <v>142</v>
      </c>
    </row>
    <row r="1622" customFormat="false" ht="15" hidden="false" customHeight="false" outlineLevel="0" collapsed="false">
      <c r="A1622" s="13" t="s">
        <v>1842</v>
      </c>
      <c r="B1622" s="14" t="n">
        <v>45223</v>
      </c>
      <c r="C1622" s="14"/>
      <c r="D1622" s="13" t="n">
        <v>32</v>
      </c>
      <c r="E1622" s="13" t="s">
        <v>190</v>
      </c>
      <c r="F1622" s="13" t="s">
        <v>231</v>
      </c>
      <c r="G1622" s="13" t="s">
        <v>138</v>
      </c>
      <c r="H1622" s="13" t="s">
        <v>146</v>
      </c>
      <c r="I1622" s="13" t="n">
        <v>2</v>
      </c>
      <c r="J1622" s="13" t="n">
        <v>3</v>
      </c>
      <c r="K1622" s="13" t="n">
        <v>46000</v>
      </c>
      <c r="L1622" s="13"/>
      <c r="M1622" s="13"/>
      <c r="N1622" s="13" t="s">
        <v>142</v>
      </c>
    </row>
    <row r="1623" customFormat="false" ht="15" hidden="false" customHeight="false" outlineLevel="0" collapsed="false">
      <c r="A1623" s="13" t="s">
        <v>1843</v>
      </c>
      <c r="B1623" s="14" t="n">
        <v>45224</v>
      </c>
      <c r="C1623" s="14"/>
      <c r="D1623" s="13" t="n">
        <v>26</v>
      </c>
      <c r="E1623" s="13" t="s">
        <v>136</v>
      </c>
      <c r="F1623" s="13" t="s">
        <v>154</v>
      </c>
      <c r="G1623" s="13" t="s">
        <v>138</v>
      </c>
      <c r="H1623" s="13" t="s">
        <v>149</v>
      </c>
      <c r="I1623" s="13" t="n">
        <v>3</v>
      </c>
      <c r="J1623" s="13" t="n">
        <v>3</v>
      </c>
      <c r="K1623" s="13" t="n">
        <v>79500</v>
      </c>
      <c r="L1623" s="13"/>
      <c r="M1623" s="13"/>
      <c r="N1623" s="13" t="s">
        <v>134</v>
      </c>
    </row>
    <row r="1624" customFormat="false" ht="15" hidden="false" customHeight="false" outlineLevel="0" collapsed="false">
      <c r="A1624" s="13" t="s">
        <v>1844</v>
      </c>
      <c r="B1624" s="14" t="n">
        <v>45237</v>
      </c>
      <c r="C1624" s="14"/>
      <c r="D1624" s="13" t="n">
        <v>24</v>
      </c>
      <c r="E1624" s="13" t="s">
        <v>136</v>
      </c>
      <c r="F1624" s="13" t="s">
        <v>170</v>
      </c>
      <c r="G1624" s="13" t="s">
        <v>138</v>
      </c>
      <c r="H1624" s="13" t="s">
        <v>146</v>
      </c>
      <c r="I1624" s="13" t="n">
        <v>4</v>
      </c>
      <c r="J1624" s="13" t="n">
        <v>3</v>
      </c>
      <c r="K1624" s="13" t="n">
        <v>52000</v>
      </c>
      <c r="L1624" s="13"/>
      <c r="M1624" s="13"/>
      <c r="N1624" s="13" t="s">
        <v>142</v>
      </c>
    </row>
    <row r="1625" customFormat="false" ht="15" hidden="false" customHeight="false" outlineLevel="0" collapsed="false">
      <c r="A1625" s="13" t="s">
        <v>1845</v>
      </c>
      <c r="B1625" s="14" t="n">
        <v>45237</v>
      </c>
      <c r="C1625" s="14" t="n">
        <v>45913</v>
      </c>
      <c r="D1625" s="13" t="n">
        <v>33</v>
      </c>
      <c r="E1625" s="13" t="s">
        <v>136</v>
      </c>
      <c r="F1625" s="13" t="s">
        <v>170</v>
      </c>
      <c r="G1625" s="13" t="s">
        <v>138</v>
      </c>
      <c r="H1625" s="13" t="s">
        <v>146</v>
      </c>
      <c r="I1625" s="13" t="n">
        <v>1</v>
      </c>
      <c r="J1625" s="13" t="n">
        <v>2</v>
      </c>
      <c r="K1625" s="13" t="n">
        <v>49500</v>
      </c>
      <c r="L1625" s="13" t="s">
        <v>151</v>
      </c>
      <c r="M1625" s="13" t="s">
        <v>152</v>
      </c>
      <c r="N1625" s="13" t="s">
        <v>157</v>
      </c>
    </row>
    <row r="1626" customFormat="false" ht="15" hidden="false" customHeight="false" outlineLevel="0" collapsed="false">
      <c r="A1626" s="13" t="s">
        <v>1846</v>
      </c>
      <c r="B1626" s="14" t="n">
        <v>45238</v>
      </c>
      <c r="C1626" s="14"/>
      <c r="D1626" s="13" t="n">
        <v>23</v>
      </c>
      <c r="E1626" s="13" t="s">
        <v>136</v>
      </c>
      <c r="F1626" s="13" t="s">
        <v>168</v>
      </c>
      <c r="G1626" s="13" t="s">
        <v>132</v>
      </c>
      <c r="H1626" s="13" t="s">
        <v>139</v>
      </c>
      <c r="I1626" s="13" t="n">
        <v>3</v>
      </c>
      <c r="J1626" s="13" t="n">
        <v>4</v>
      </c>
      <c r="K1626" s="13" t="n">
        <v>34500</v>
      </c>
      <c r="L1626" s="13"/>
      <c r="M1626" s="13"/>
      <c r="N1626" s="13" t="s">
        <v>142</v>
      </c>
    </row>
    <row r="1627" customFormat="false" ht="15" hidden="false" customHeight="false" outlineLevel="0" collapsed="false">
      <c r="A1627" s="13" t="s">
        <v>1847</v>
      </c>
      <c r="B1627" s="14" t="n">
        <v>45241</v>
      </c>
      <c r="C1627" s="14"/>
      <c r="D1627" s="13" t="n">
        <v>34</v>
      </c>
      <c r="E1627" s="13" t="s">
        <v>136</v>
      </c>
      <c r="F1627" s="13" t="s">
        <v>168</v>
      </c>
      <c r="G1627" s="13" t="s">
        <v>191</v>
      </c>
      <c r="H1627" s="13" t="s">
        <v>146</v>
      </c>
      <c r="I1627" s="13" t="n">
        <v>4</v>
      </c>
      <c r="J1627" s="13" t="n">
        <v>1</v>
      </c>
      <c r="K1627" s="13" t="n">
        <v>60000</v>
      </c>
      <c r="L1627" s="13"/>
      <c r="M1627" s="13"/>
      <c r="N1627" s="13" t="s">
        <v>142</v>
      </c>
    </row>
    <row r="1628" customFormat="false" ht="15" hidden="false" customHeight="false" outlineLevel="0" collapsed="false">
      <c r="A1628" s="13" t="s">
        <v>1848</v>
      </c>
      <c r="B1628" s="14" t="n">
        <v>45242</v>
      </c>
      <c r="C1628" s="14" t="n">
        <v>45304</v>
      </c>
      <c r="D1628" s="13" t="n">
        <v>31</v>
      </c>
      <c r="E1628" s="13" t="s">
        <v>144</v>
      </c>
      <c r="F1628" s="13" t="s">
        <v>137</v>
      </c>
      <c r="G1628" s="13" t="s">
        <v>138</v>
      </c>
      <c r="H1628" s="13" t="s">
        <v>178</v>
      </c>
      <c r="I1628" s="13" t="n">
        <v>2</v>
      </c>
      <c r="J1628" s="13" t="n">
        <v>3</v>
      </c>
      <c r="K1628" s="13" t="n">
        <v>102500</v>
      </c>
      <c r="L1628" s="13" t="s">
        <v>151</v>
      </c>
      <c r="M1628" s="13" t="s">
        <v>141</v>
      </c>
      <c r="N1628" s="13" t="s">
        <v>142</v>
      </c>
    </row>
    <row r="1629" customFormat="false" ht="15" hidden="false" customHeight="false" outlineLevel="0" collapsed="false">
      <c r="A1629" s="13" t="s">
        <v>1849</v>
      </c>
      <c r="B1629" s="14" t="n">
        <v>45243</v>
      </c>
      <c r="C1629" s="14" t="n">
        <v>45788</v>
      </c>
      <c r="D1629" s="13" t="n">
        <v>26</v>
      </c>
      <c r="E1629" s="13" t="s">
        <v>144</v>
      </c>
      <c r="F1629" s="13" t="s">
        <v>137</v>
      </c>
      <c r="G1629" s="13" t="s">
        <v>297</v>
      </c>
      <c r="H1629" s="13" t="s">
        <v>178</v>
      </c>
      <c r="I1629" s="13" t="n">
        <v>3</v>
      </c>
      <c r="J1629" s="13" t="n">
        <v>1</v>
      </c>
      <c r="K1629" s="13" t="n">
        <v>118000</v>
      </c>
      <c r="L1629" s="13" t="s">
        <v>151</v>
      </c>
      <c r="M1629" s="13" t="s">
        <v>152</v>
      </c>
      <c r="N1629" s="13" t="s">
        <v>134</v>
      </c>
    </row>
    <row r="1630" customFormat="false" ht="15" hidden="false" customHeight="false" outlineLevel="0" collapsed="false">
      <c r="A1630" s="13" t="s">
        <v>1850</v>
      </c>
      <c r="B1630" s="14" t="n">
        <v>45244</v>
      </c>
      <c r="C1630" s="14"/>
      <c r="D1630" s="13" t="n">
        <v>28</v>
      </c>
      <c r="E1630" s="13" t="s">
        <v>144</v>
      </c>
      <c r="F1630" s="13" t="s">
        <v>229</v>
      </c>
      <c r="G1630" s="13" t="s">
        <v>155</v>
      </c>
      <c r="H1630" s="13" t="s">
        <v>192</v>
      </c>
      <c r="I1630" s="13" t="n">
        <v>3</v>
      </c>
      <c r="J1630" s="13" t="n">
        <v>4</v>
      </c>
      <c r="K1630" s="13" t="n">
        <v>169500</v>
      </c>
      <c r="L1630" s="13"/>
      <c r="M1630" s="13"/>
      <c r="N1630" s="13" t="s">
        <v>134</v>
      </c>
    </row>
    <row r="1631" customFormat="false" ht="15" hidden="false" customHeight="false" outlineLevel="0" collapsed="false">
      <c r="A1631" s="13" t="s">
        <v>1851</v>
      </c>
      <c r="B1631" s="14" t="n">
        <v>45247</v>
      </c>
      <c r="C1631" s="14" t="n">
        <v>45337</v>
      </c>
      <c r="D1631" s="13" t="n">
        <v>26</v>
      </c>
      <c r="E1631" s="13" t="s">
        <v>130</v>
      </c>
      <c r="F1631" s="13" t="s">
        <v>241</v>
      </c>
      <c r="G1631" s="13" t="s">
        <v>132</v>
      </c>
      <c r="H1631" s="13" t="s">
        <v>149</v>
      </c>
      <c r="I1631" s="13" t="n">
        <v>5</v>
      </c>
      <c r="J1631" s="13" t="n">
        <v>1</v>
      </c>
      <c r="K1631" s="13" t="n">
        <v>87000</v>
      </c>
      <c r="L1631" s="13" t="s">
        <v>151</v>
      </c>
      <c r="M1631" s="13" t="s">
        <v>159</v>
      </c>
      <c r="N1631" s="13" t="s">
        <v>134</v>
      </c>
    </row>
    <row r="1632" customFormat="false" ht="15" hidden="false" customHeight="false" outlineLevel="0" collapsed="false">
      <c r="A1632" s="13" t="s">
        <v>1852</v>
      </c>
      <c r="B1632" s="14" t="n">
        <v>45249</v>
      </c>
      <c r="C1632" s="14"/>
      <c r="D1632" s="13" t="n">
        <v>28</v>
      </c>
      <c r="E1632" s="13" t="s">
        <v>136</v>
      </c>
      <c r="F1632" s="13" t="s">
        <v>145</v>
      </c>
      <c r="G1632" s="13" t="s">
        <v>132</v>
      </c>
      <c r="H1632" s="13" t="s">
        <v>156</v>
      </c>
      <c r="I1632" s="13" t="n">
        <v>3</v>
      </c>
      <c r="J1632" s="13" t="n">
        <v>2</v>
      </c>
      <c r="K1632" s="13" t="n">
        <v>98000</v>
      </c>
      <c r="L1632" s="13"/>
      <c r="M1632" s="13"/>
      <c r="N1632" s="13" t="s">
        <v>142</v>
      </c>
    </row>
    <row r="1633" customFormat="false" ht="15" hidden="false" customHeight="false" outlineLevel="0" collapsed="false">
      <c r="A1633" s="13" t="s">
        <v>1853</v>
      </c>
      <c r="B1633" s="14" t="n">
        <v>45250</v>
      </c>
      <c r="C1633" s="14" t="n">
        <v>45399</v>
      </c>
      <c r="D1633" s="13" t="n">
        <v>30</v>
      </c>
      <c r="E1633" s="13" t="s">
        <v>136</v>
      </c>
      <c r="F1633" s="13" t="s">
        <v>164</v>
      </c>
      <c r="G1633" s="13" t="s">
        <v>195</v>
      </c>
      <c r="H1633" s="13" t="s">
        <v>139</v>
      </c>
      <c r="I1633" s="13" t="n">
        <v>4</v>
      </c>
      <c r="J1633" s="13" t="n">
        <v>4</v>
      </c>
      <c r="K1633" s="13" t="n">
        <v>37000</v>
      </c>
      <c r="L1633" s="13" t="s">
        <v>151</v>
      </c>
      <c r="M1633" s="13" t="s">
        <v>152</v>
      </c>
      <c r="N1633" s="13" t="s">
        <v>142</v>
      </c>
    </row>
    <row r="1634" customFormat="false" ht="15" hidden="false" customHeight="false" outlineLevel="0" collapsed="false">
      <c r="A1634" s="13" t="s">
        <v>1854</v>
      </c>
      <c r="B1634" s="14" t="n">
        <v>45250</v>
      </c>
      <c r="C1634" s="14" t="n">
        <v>45400</v>
      </c>
      <c r="D1634" s="13" t="n">
        <v>23</v>
      </c>
      <c r="E1634" s="13" t="s">
        <v>136</v>
      </c>
      <c r="F1634" s="13" t="s">
        <v>154</v>
      </c>
      <c r="G1634" s="13" t="s">
        <v>138</v>
      </c>
      <c r="H1634" s="13" t="s">
        <v>139</v>
      </c>
      <c r="I1634" s="13" t="n">
        <v>3</v>
      </c>
      <c r="J1634" s="13" t="n">
        <v>2</v>
      </c>
      <c r="K1634" s="13" t="n">
        <v>30500</v>
      </c>
      <c r="L1634" s="13" t="s">
        <v>140</v>
      </c>
      <c r="M1634" s="13" t="s">
        <v>152</v>
      </c>
      <c r="N1634" s="13" t="s">
        <v>142</v>
      </c>
    </row>
    <row r="1635" customFormat="false" ht="15" hidden="false" customHeight="false" outlineLevel="0" collapsed="false">
      <c r="A1635" s="13" t="s">
        <v>1855</v>
      </c>
      <c r="B1635" s="14" t="n">
        <v>45250</v>
      </c>
      <c r="C1635" s="14"/>
      <c r="D1635" s="13" t="n">
        <v>33</v>
      </c>
      <c r="E1635" s="13" t="s">
        <v>259</v>
      </c>
      <c r="F1635" s="13" t="s">
        <v>168</v>
      </c>
      <c r="G1635" s="13" t="s">
        <v>235</v>
      </c>
      <c r="H1635" s="13" t="s">
        <v>543</v>
      </c>
      <c r="I1635" s="13" t="n">
        <v>4</v>
      </c>
      <c r="J1635" s="13" t="n">
        <v>1</v>
      </c>
      <c r="K1635" s="13" t="n">
        <v>132000</v>
      </c>
      <c r="L1635" s="13"/>
      <c r="M1635" s="13"/>
      <c r="N1635" s="13" t="s">
        <v>142</v>
      </c>
    </row>
    <row r="1636" customFormat="false" ht="15" hidden="false" customHeight="false" outlineLevel="0" collapsed="false">
      <c r="A1636" s="13" t="s">
        <v>1856</v>
      </c>
      <c r="B1636" s="14" t="n">
        <v>45250</v>
      </c>
      <c r="C1636" s="14" t="n">
        <v>45533</v>
      </c>
      <c r="D1636" s="13" t="n">
        <v>27</v>
      </c>
      <c r="E1636" s="13" t="s">
        <v>136</v>
      </c>
      <c r="F1636" s="13" t="s">
        <v>170</v>
      </c>
      <c r="G1636" s="13" t="s">
        <v>138</v>
      </c>
      <c r="H1636" s="13" t="s">
        <v>139</v>
      </c>
      <c r="I1636" s="13" t="n">
        <v>3</v>
      </c>
      <c r="J1636" s="13"/>
      <c r="K1636" s="13" t="n">
        <v>36000</v>
      </c>
      <c r="L1636" s="13" t="s">
        <v>151</v>
      </c>
      <c r="M1636" s="13" t="s">
        <v>1857</v>
      </c>
      <c r="N1636" s="13" t="s">
        <v>134</v>
      </c>
    </row>
    <row r="1637" customFormat="false" ht="15" hidden="false" customHeight="false" outlineLevel="0" collapsed="false">
      <c r="A1637" s="13" t="s">
        <v>1858</v>
      </c>
      <c r="B1637" s="14" t="n">
        <v>45251</v>
      </c>
      <c r="C1637" s="14" t="n">
        <v>45485</v>
      </c>
      <c r="D1637" s="13" t="n">
        <v>27</v>
      </c>
      <c r="E1637" s="13" t="s">
        <v>136</v>
      </c>
      <c r="F1637" s="13" t="s">
        <v>168</v>
      </c>
      <c r="G1637" s="13" t="s">
        <v>155</v>
      </c>
      <c r="H1637" s="13" t="s">
        <v>139</v>
      </c>
      <c r="I1637" s="13" t="n">
        <v>3</v>
      </c>
      <c r="J1637" s="13" t="n">
        <v>3</v>
      </c>
      <c r="K1637" s="13" t="n">
        <v>41000</v>
      </c>
      <c r="L1637" s="13" t="s">
        <v>151</v>
      </c>
      <c r="M1637" s="13" t="s">
        <v>314</v>
      </c>
      <c r="N1637" s="13" t="s">
        <v>142</v>
      </c>
    </row>
    <row r="1638" customFormat="false" ht="15" hidden="false" customHeight="false" outlineLevel="0" collapsed="false">
      <c r="A1638" s="13" t="s">
        <v>1859</v>
      </c>
      <c r="B1638" s="14" t="n">
        <v>45252</v>
      </c>
      <c r="C1638" s="14"/>
      <c r="D1638" s="13" t="n">
        <v>34</v>
      </c>
      <c r="E1638" s="13" t="s">
        <v>136</v>
      </c>
      <c r="F1638" s="13" t="s">
        <v>164</v>
      </c>
      <c r="G1638" s="13" t="s">
        <v>148</v>
      </c>
      <c r="H1638" s="13" t="s">
        <v>178</v>
      </c>
      <c r="I1638" s="13" t="n">
        <v>4</v>
      </c>
      <c r="J1638" s="13" t="n">
        <v>2</v>
      </c>
      <c r="K1638" s="13" t="n">
        <v>123500</v>
      </c>
      <c r="L1638" s="13"/>
      <c r="M1638" s="13"/>
      <c r="N1638" s="13" t="s">
        <v>142</v>
      </c>
    </row>
    <row r="1639" customFormat="false" ht="15" hidden="false" customHeight="false" outlineLevel="0" collapsed="false">
      <c r="A1639" s="13" t="s">
        <v>1860</v>
      </c>
      <c r="B1639" s="14" t="n">
        <v>45255</v>
      </c>
      <c r="C1639" s="14"/>
      <c r="D1639" s="13" t="n">
        <v>33</v>
      </c>
      <c r="E1639" s="13" t="s">
        <v>130</v>
      </c>
      <c r="F1639" s="13" t="s">
        <v>241</v>
      </c>
      <c r="G1639" s="13" t="s">
        <v>148</v>
      </c>
      <c r="H1639" s="13" t="s">
        <v>146</v>
      </c>
      <c r="I1639" s="13" t="n">
        <v>3</v>
      </c>
      <c r="J1639" s="13" t="n">
        <v>1</v>
      </c>
      <c r="K1639" s="13" t="n">
        <v>63500</v>
      </c>
      <c r="L1639" s="13"/>
      <c r="M1639" s="13"/>
      <c r="N1639" s="13" t="s">
        <v>142</v>
      </c>
    </row>
    <row r="1640" customFormat="false" ht="15" hidden="false" customHeight="false" outlineLevel="0" collapsed="false">
      <c r="A1640" s="13" t="s">
        <v>1861</v>
      </c>
      <c r="B1640" s="14" t="n">
        <v>45256</v>
      </c>
      <c r="C1640" s="14" t="n">
        <v>45273</v>
      </c>
      <c r="D1640" s="13" t="n">
        <v>21</v>
      </c>
      <c r="E1640" s="13" t="s">
        <v>144</v>
      </c>
      <c r="F1640" s="13" t="s">
        <v>170</v>
      </c>
      <c r="G1640" s="13" t="s">
        <v>138</v>
      </c>
      <c r="H1640" s="13" t="s">
        <v>139</v>
      </c>
      <c r="I1640" s="13" t="n">
        <v>5</v>
      </c>
      <c r="J1640" s="13" t="n">
        <v>1</v>
      </c>
      <c r="K1640" s="13" t="n">
        <v>43000</v>
      </c>
      <c r="L1640" s="13" t="s">
        <v>151</v>
      </c>
      <c r="M1640" s="13" t="s">
        <v>203</v>
      </c>
      <c r="N1640" s="13" t="s">
        <v>134</v>
      </c>
    </row>
    <row r="1641" customFormat="false" ht="15" hidden="false" customHeight="false" outlineLevel="0" collapsed="false">
      <c r="A1641" s="13" t="s">
        <v>1862</v>
      </c>
      <c r="B1641" s="14" t="n">
        <v>45261</v>
      </c>
      <c r="C1641" s="14"/>
      <c r="D1641" s="13" t="n">
        <v>28</v>
      </c>
      <c r="E1641" s="13" t="s">
        <v>144</v>
      </c>
      <c r="F1641" s="13" t="s">
        <v>131</v>
      </c>
      <c r="G1641" s="13" t="s">
        <v>155</v>
      </c>
      <c r="H1641" s="13" t="s">
        <v>139</v>
      </c>
      <c r="I1641" s="13" t="n">
        <v>1</v>
      </c>
      <c r="J1641" s="13" t="n">
        <v>3</v>
      </c>
      <c r="K1641" s="13" t="n">
        <v>32500</v>
      </c>
      <c r="L1641" s="13"/>
      <c r="M1641" s="13"/>
      <c r="N1641" s="13" t="s">
        <v>142</v>
      </c>
    </row>
    <row r="1642" customFormat="false" ht="15" hidden="false" customHeight="false" outlineLevel="0" collapsed="false">
      <c r="A1642" s="13" t="s">
        <v>1863</v>
      </c>
      <c r="B1642" s="14" t="n">
        <v>45261</v>
      </c>
      <c r="C1642" s="14" t="n">
        <v>45857</v>
      </c>
      <c r="D1642" s="13" t="n">
        <v>26</v>
      </c>
      <c r="E1642" s="13" t="s">
        <v>144</v>
      </c>
      <c r="F1642" s="13" t="s">
        <v>168</v>
      </c>
      <c r="G1642" s="13" t="s">
        <v>148</v>
      </c>
      <c r="H1642" s="13" t="s">
        <v>139</v>
      </c>
      <c r="I1642" s="13" t="n">
        <v>3</v>
      </c>
      <c r="J1642" s="13" t="n">
        <v>3</v>
      </c>
      <c r="K1642" s="13" t="n">
        <v>36500</v>
      </c>
      <c r="L1642" s="13" t="s">
        <v>173</v>
      </c>
      <c r="M1642" s="13" t="s">
        <v>254</v>
      </c>
      <c r="N1642" s="13" t="s">
        <v>142</v>
      </c>
    </row>
    <row r="1643" customFormat="false" ht="15" hidden="false" customHeight="false" outlineLevel="0" collapsed="false">
      <c r="A1643" s="13" t="s">
        <v>1864</v>
      </c>
      <c r="B1643" s="14" t="n">
        <v>45261</v>
      </c>
      <c r="C1643" s="14"/>
      <c r="D1643" s="13" t="n">
        <v>36</v>
      </c>
      <c r="E1643" s="13" t="s">
        <v>136</v>
      </c>
      <c r="F1643" s="13" t="s">
        <v>137</v>
      </c>
      <c r="G1643" s="13" t="s">
        <v>138</v>
      </c>
      <c r="H1643" s="13" t="s">
        <v>146</v>
      </c>
      <c r="I1643" s="13" t="n">
        <v>2</v>
      </c>
      <c r="J1643" s="13" t="n">
        <v>3</v>
      </c>
      <c r="K1643" s="13" t="n">
        <v>57000</v>
      </c>
      <c r="L1643" s="13"/>
      <c r="M1643" s="13"/>
      <c r="N1643" s="13" t="s">
        <v>142</v>
      </c>
    </row>
    <row r="1644" customFormat="false" ht="15" hidden="false" customHeight="false" outlineLevel="0" collapsed="false">
      <c r="A1644" s="13" t="s">
        <v>1865</v>
      </c>
      <c r="B1644" s="14" t="n">
        <v>45261</v>
      </c>
      <c r="C1644" s="14"/>
      <c r="D1644" s="13" t="n">
        <v>30</v>
      </c>
      <c r="E1644" s="13" t="s">
        <v>259</v>
      </c>
      <c r="F1644" s="13" t="s">
        <v>168</v>
      </c>
      <c r="G1644" s="13" t="s">
        <v>132</v>
      </c>
      <c r="H1644" s="13" t="s">
        <v>139</v>
      </c>
      <c r="I1644" s="13" t="n">
        <v>4</v>
      </c>
      <c r="J1644" s="13" t="n">
        <v>3</v>
      </c>
      <c r="K1644" s="13" t="n">
        <v>35000</v>
      </c>
      <c r="L1644" s="13"/>
      <c r="M1644" s="13"/>
      <c r="N1644" s="13" t="s">
        <v>142</v>
      </c>
    </row>
    <row r="1645" customFormat="false" ht="15" hidden="false" customHeight="false" outlineLevel="0" collapsed="false">
      <c r="A1645" s="13" t="s">
        <v>1866</v>
      </c>
      <c r="B1645" s="14" t="n">
        <v>45262</v>
      </c>
      <c r="C1645" s="14" t="n">
        <v>45757</v>
      </c>
      <c r="D1645" s="13" t="n">
        <v>31</v>
      </c>
      <c r="E1645" s="13" t="s">
        <v>144</v>
      </c>
      <c r="F1645" s="13" t="s">
        <v>229</v>
      </c>
      <c r="G1645" s="13" t="s">
        <v>155</v>
      </c>
      <c r="H1645" s="13" t="s">
        <v>146</v>
      </c>
      <c r="I1645" s="13" t="n">
        <v>3</v>
      </c>
      <c r="J1645" s="13" t="n">
        <v>3</v>
      </c>
      <c r="K1645" s="13" t="n">
        <v>59000</v>
      </c>
      <c r="L1645" s="13" t="s">
        <v>173</v>
      </c>
      <c r="M1645" s="13" t="s">
        <v>254</v>
      </c>
      <c r="N1645" s="13" t="s">
        <v>142</v>
      </c>
    </row>
    <row r="1646" customFormat="false" ht="15" hidden="false" customHeight="false" outlineLevel="0" collapsed="false">
      <c r="A1646" s="13" t="s">
        <v>1867</v>
      </c>
      <c r="B1646" s="14" t="n">
        <v>45263</v>
      </c>
      <c r="C1646" s="14" t="n">
        <v>45786</v>
      </c>
      <c r="D1646" s="13" t="n">
        <v>33</v>
      </c>
      <c r="E1646" s="13" t="s">
        <v>186</v>
      </c>
      <c r="F1646" s="13" t="s">
        <v>168</v>
      </c>
      <c r="G1646" s="13" t="s">
        <v>132</v>
      </c>
      <c r="H1646" s="13" t="s">
        <v>146</v>
      </c>
      <c r="I1646" s="13"/>
      <c r="J1646" s="13" t="n">
        <v>3</v>
      </c>
      <c r="K1646" s="13" t="n">
        <v>62000</v>
      </c>
      <c r="L1646" s="13" t="s">
        <v>151</v>
      </c>
      <c r="M1646" s="13" t="s">
        <v>216</v>
      </c>
      <c r="N1646" s="13" t="s">
        <v>134</v>
      </c>
    </row>
    <row r="1647" customFormat="false" ht="15" hidden="false" customHeight="false" outlineLevel="0" collapsed="false">
      <c r="A1647" s="13" t="s">
        <v>1868</v>
      </c>
      <c r="B1647" s="14" t="n">
        <v>45266</v>
      </c>
      <c r="C1647" s="14" t="n">
        <v>45364</v>
      </c>
      <c r="D1647" s="13" t="n">
        <v>36</v>
      </c>
      <c r="E1647" s="13" t="s">
        <v>182</v>
      </c>
      <c r="F1647" s="13" t="s">
        <v>170</v>
      </c>
      <c r="G1647" s="13" t="s">
        <v>138</v>
      </c>
      <c r="H1647" s="13" t="s">
        <v>139</v>
      </c>
      <c r="I1647" s="13" t="n">
        <v>2</v>
      </c>
      <c r="J1647" s="13" t="n">
        <v>2</v>
      </c>
      <c r="K1647" s="13" t="n">
        <v>37000</v>
      </c>
      <c r="L1647" s="13" t="s">
        <v>151</v>
      </c>
      <c r="M1647" s="13" t="s">
        <v>152</v>
      </c>
      <c r="N1647" s="13" t="s">
        <v>142</v>
      </c>
    </row>
    <row r="1648" customFormat="false" ht="15" hidden="false" customHeight="false" outlineLevel="0" collapsed="false">
      <c r="A1648" s="13" t="s">
        <v>1869</v>
      </c>
      <c r="B1648" s="14" t="n">
        <v>45267</v>
      </c>
      <c r="C1648" s="14" t="n">
        <v>45727</v>
      </c>
      <c r="D1648" s="13" t="n">
        <v>30</v>
      </c>
      <c r="E1648" s="13" t="s">
        <v>136</v>
      </c>
      <c r="F1648" s="13" t="s">
        <v>154</v>
      </c>
      <c r="G1648" s="13" t="s">
        <v>155</v>
      </c>
      <c r="H1648" s="13" t="s">
        <v>146</v>
      </c>
      <c r="I1648" s="13" t="n">
        <v>2</v>
      </c>
      <c r="J1648" s="13" t="n">
        <v>3</v>
      </c>
      <c r="K1648" s="13" t="n">
        <v>60000</v>
      </c>
      <c r="L1648" s="13" t="s">
        <v>151</v>
      </c>
      <c r="M1648" s="13" t="s">
        <v>201</v>
      </c>
      <c r="N1648" s="13" t="s">
        <v>453</v>
      </c>
    </row>
    <row r="1649" customFormat="false" ht="15" hidden="false" customHeight="false" outlineLevel="0" collapsed="false">
      <c r="A1649" s="13" t="s">
        <v>1870</v>
      </c>
      <c r="B1649" s="14" t="n">
        <v>45270</v>
      </c>
      <c r="C1649" s="14" t="n">
        <v>45401</v>
      </c>
      <c r="D1649" s="13" t="n">
        <v>31</v>
      </c>
      <c r="E1649" s="13" t="s">
        <v>136</v>
      </c>
      <c r="F1649" s="13" t="s">
        <v>161</v>
      </c>
      <c r="G1649" s="13" t="s">
        <v>188</v>
      </c>
      <c r="H1649" s="13" t="s">
        <v>156</v>
      </c>
      <c r="I1649" s="13" t="n">
        <v>2</v>
      </c>
      <c r="J1649" s="13" t="n">
        <v>3</v>
      </c>
      <c r="K1649" s="13" t="n">
        <v>88000</v>
      </c>
      <c r="L1649" s="13" t="s">
        <v>173</v>
      </c>
      <c r="M1649" s="13" t="s">
        <v>273</v>
      </c>
      <c r="N1649" s="13" t="s">
        <v>134</v>
      </c>
    </row>
    <row r="1650" customFormat="false" ht="15" hidden="false" customHeight="false" outlineLevel="0" collapsed="false">
      <c r="A1650" s="13" t="s">
        <v>1871</v>
      </c>
      <c r="B1650" s="14" t="n">
        <v>45273</v>
      </c>
      <c r="C1650" s="14" t="n">
        <v>45336</v>
      </c>
      <c r="D1650" s="13" t="n">
        <v>34</v>
      </c>
      <c r="E1650" s="13" t="s">
        <v>136</v>
      </c>
      <c r="F1650" s="13" t="s">
        <v>231</v>
      </c>
      <c r="G1650" s="13" t="s">
        <v>148</v>
      </c>
      <c r="H1650" s="13" t="s">
        <v>146</v>
      </c>
      <c r="I1650" s="13" t="n">
        <v>3</v>
      </c>
      <c r="J1650" s="13" t="n">
        <v>2</v>
      </c>
      <c r="K1650" s="13" t="n">
        <v>59500</v>
      </c>
      <c r="L1650" s="13" t="s">
        <v>151</v>
      </c>
      <c r="M1650" s="13" t="s">
        <v>1872</v>
      </c>
      <c r="N1650" s="13" t="s">
        <v>142</v>
      </c>
    </row>
    <row r="1651" customFormat="false" ht="15" hidden="false" customHeight="false" outlineLevel="0" collapsed="false">
      <c r="A1651" s="13" t="s">
        <v>1873</v>
      </c>
      <c r="B1651" s="14" t="n">
        <v>45277</v>
      </c>
      <c r="C1651" s="14"/>
      <c r="D1651" s="13" t="n">
        <v>30</v>
      </c>
      <c r="E1651" s="13" t="s">
        <v>136</v>
      </c>
      <c r="F1651" s="13" t="s">
        <v>164</v>
      </c>
      <c r="G1651" s="13" t="s">
        <v>138</v>
      </c>
      <c r="H1651" s="13" t="s">
        <v>146</v>
      </c>
      <c r="I1651" s="13" t="n">
        <v>3</v>
      </c>
      <c r="J1651" s="13" t="n">
        <v>2</v>
      </c>
      <c r="K1651" s="13" t="n">
        <v>59500</v>
      </c>
      <c r="L1651" s="13"/>
      <c r="M1651" s="13"/>
      <c r="N1651" s="13" t="s">
        <v>142</v>
      </c>
    </row>
    <row r="1652" customFormat="false" ht="15" hidden="false" customHeight="false" outlineLevel="0" collapsed="false">
      <c r="A1652" s="13" t="s">
        <v>1874</v>
      </c>
      <c r="B1652" s="14" t="n">
        <v>45279</v>
      </c>
      <c r="C1652" s="14" t="n">
        <v>45792</v>
      </c>
      <c r="D1652" s="13" t="n">
        <v>38</v>
      </c>
      <c r="E1652" s="13" t="s">
        <v>144</v>
      </c>
      <c r="F1652" s="13" t="s">
        <v>145</v>
      </c>
      <c r="G1652" s="13" t="s">
        <v>155</v>
      </c>
      <c r="H1652" s="13" t="s">
        <v>146</v>
      </c>
      <c r="I1652" s="13" t="n">
        <v>1</v>
      </c>
      <c r="J1652" s="13" t="n">
        <v>2</v>
      </c>
      <c r="K1652" s="13" t="n">
        <v>59500</v>
      </c>
      <c r="L1652" s="13" t="s">
        <v>200</v>
      </c>
      <c r="M1652" s="13" t="s">
        <v>201</v>
      </c>
      <c r="N1652" s="13" t="s">
        <v>142</v>
      </c>
    </row>
    <row r="1653" customFormat="false" ht="15" hidden="false" customHeight="false" outlineLevel="0" collapsed="false">
      <c r="A1653" s="13" t="s">
        <v>1875</v>
      </c>
      <c r="B1653" s="14" t="n">
        <v>45285</v>
      </c>
      <c r="C1653" s="14" t="n">
        <v>46018</v>
      </c>
      <c r="D1653" s="13" t="n">
        <v>35</v>
      </c>
      <c r="E1653" s="13" t="s">
        <v>186</v>
      </c>
      <c r="F1653" s="13" t="s">
        <v>164</v>
      </c>
      <c r="G1653" s="13" t="s">
        <v>155</v>
      </c>
      <c r="H1653" s="13" t="s">
        <v>276</v>
      </c>
      <c r="I1653" s="13" t="n">
        <v>3</v>
      </c>
      <c r="J1653" s="13" t="n">
        <v>4</v>
      </c>
      <c r="K1653" s="13" t="n">
        <v>191000</v>
      </c>
      <c r="L1653" s="13" t="s">
        <v>140</v>
      </c>
      <c r="M1653" s="13" t="s">
        <v>216</v>
      </c>
      <c r="N1653" s="13" t="s">
        <v>142</v>
      </c>
    </row>
    <row r="1654" customFormat="false" ht="15" hidden="false" customHeight="false" outlineLevel="0" collapsed="false">
      <c r="A1654" s="13" t="s">
        <v>1876</v>
      </c>
      <c r="B1654" s="14" t="n">
        <v>45286</v>
      </c>
      <c r="C1654" s="14"/>
      <c r="D1654" s="13" t="n">
        <v>33</v>
      </c>
      <c r="E1654" s="13" t="s">
        <v>144</v>
      </c>
      <c r="F1654" s="13" t="s">
        <v>145</v>
      </c>
      <c r="G1654" s="13" t="s">
        <v>148</v>
      </c>
      <c r="H1654" s="13" t="s">
        <v>178</v>
      </c>
      <c r="I1654" s="13" t="n">
        <v>3</v>
      </c>
      <c r="J1654" s="13" t="n">
        <v>4</v>
      </c>
      <c r="K1654" s="13" t="n">
        <v>139500</v>
      </c>
      <c r="L1654" s="13"/>
      <c r="M1654" s="13"/>
      <c r="N1654" s="13" t="s">
        <v>142</v>
      </c>
    </row>
    <row r="1655" customFormat="false" ht="15" hidden="false" customHeight="false" outlineLevel="0" collapsed="false">
      <c r="A1655" s="13" t="s">
        <v>1877</v>
      </c>
      <c r="B1655" s="14" t="n">
        <v>45287</v>
      </c>
      <c r="C1655" s="14"/>
      <c r="D1655" s="13" t="n">
        <v>39</v>
      </c>
      <c r="E1655" s="13" t="s">
        <v>130</v>
      </c>
      <c r="F1655" s="13" t="s">
        <v>229</v>
      </c>
      <c r="G1655" s="13" t="s">
        <v>334</v>
      </c>
      <c r="H1655" s="13" t="s">
        <v>146</v>
      </c>
      <c r="I1655" s="13" t="n">
        <v>3</v>
      </c>
      <c r="J1655" s="13" t="n">
        <v>3</v>
      </c>
      <c r="K1655" s="13" t="n">
        <v>67000</v>
      </c>
      <c r="L1655" s="13"/>
      <c r="M1655" s="13"/>
      <c r="N1655" s="13" t="s">
        <v>134</v>
      </c>
    </row>
    <row r="1656" customFormat="false" ht="15" hidden="false" customHeight="false" outlineLevel="0" collapsed="false">
      <c r="A1656" s="13" t="s">
        <v>1878</v>
      </c>
      <c r="B1656" s="14" t="n">
        <v>45287</v>
      </c>
      <c r="C1656" s="14"/>
      <c r="D1656" s="13" t="n">
        <v>33</v>
      </c>
      <c r="E1656" s="13" t="s">
        <v>259</v>
      </c>
      <c r="F1656" s="13" t="s">
        <v>137</v>
      </c>
      <c r="G1656" s="13" t="s">
        <v>155</v>
      </c>
      <c r="H1656" s="13" t="s">
        <v>149</v>
      </c>
      <c r="I1656" s="13" t="n">
        <v>4</v>
      </c>
      <c r="J1656" s="13" t="n">
        <v>1</v>
      </c>
      <c r="K1656" s="13" t="n">
        <v>104000</v>
      </c>
      <c r="L1656" s="13"/>
      <c r="M1656" s="13"/>
      <c r="N1656" s="13" t="s">
        <v>142</v>
      </c>
    </row>
    <row r="1657" customFormat="false" ht="15" hidden="false" customHeight="false" outlineLevel="0" collapsed="false">
      <c r="A1657" s="13" t="s">
        <v>1879</v>
      </c>
      <c r="B1657" s="14" t="n">
        <v>45292</v>
      </c>
      <c r="C1657" s="14"/>
      <c r="D1657" s="13" t="n">
        <v>42</v>
      </c>
      <c r="E1657" s="13" t="s">
        <v>144</v>
      </c>
      <c r="F1657" s="13" t="s">
        <v>229</v>
      </c>
      <c r="G1657" s="13" t="s">
        <v>155</v>
      </c>
      <c r="H1657" s="13" t="s">
        <v>178</v>
      </c>
      <c r="I1657" s="13" t="n">
        <v>4</v>
      </c>
      <c r="J1657" s="13" t="n">
        <v>4</v>
      </c>
      <c r="K1657" s="13" t="n">
        <v>120000</v>
      </c>
      <c r="L1657" s="13"/>
      <c r="M1657" s="13"/>
      <c r="N1657" s="13" t="s">
        <v>142</v>
      </c>
    </row>
    <row r="1658" customFormat="false" ht="15" hidden="false" customHeight="false" outlineLevel="0" collapsed="false">
      <c r="A1658" s="13" t="s">
        <v>1880</v>
      </c>
      <c r="B1658" s="14" t="n">
        <v>45293</v>
      </c>
      <c r="C1658" s="14" t="n">
        <v>45329</v>
      </c>
      <c r="D1658" s="13" t="n">
        <v>29</v>
      </c>
      <c r="E1658" s="13" t="s">
        <v>144</v>
      </c>
      <c r="F1658" s="13" t="s">
        <v>137</v>
      </c>
      <c r="G1658" s="13" t="s">
        <v>148</v>
      </c>
      <c r="H1658" s="13" t="s">
        <v>156</v>
      </c>
      <c r="I1658" s="13" t="n">
        <v>4</v>
      </c>
      <c r="J1658" s="13" t="n">
        <v>1</v>
      </c>
      <c r="K1658" s="13" t="n">
        <v>81500</v>
      </c>
      <c r="L1658" s="13" t="s">
        <v>151</v>
      </c>
      <c r="M1658" s="13" t="s">
        <v>201</v>
      </c>
      <c r="N1658" s="13" t="s">
        <v>134</v>
      </c>
    </row>
    <row r="1659" customFormat="false" ht="15" hidden="false" customHeight="false" outlineLevel="0" collapsed="false">
      <c r="A1659" s="13" t="s">
        <v>1881</v>
      </c>
      <c r="B1659" s="14" t="n">
        <v>45294</v>
      </c>
      <c r="C1659" s="14"/>
      <c r="D1659" s="13" t="n">
        <v>34</v>
      </c>
      <c r="E1659" s="13" t="s">
        <v>144</v>
      </c>
      <c r="F1659" s="13" t="s">
        <v>168</v>
      </c>
      <c r="G1659" s="13" t="s">
        <v>224</v>
      </c>
      <c r="H1659" s="13" t="s">
        <v>149</v>
      </c>
      <c r="I1659" s="13" t="n">
        <v>4</v>
      </c>
      <c r="J1659" s="13" t="n">
        <v>3</v>
      </c>
      <c r="K1659" s="13" t="n">
        <v>100000</v>
      </c>
      <c r="L1659" s="13"/>
      <c r="M1659" s="13"/>
      <c r="N1659" s="13" t="s">
        <v>142</v>
      </c>
    </row>
    <row r="1660" customFormat="false" ht="15" hidden="false" customHeight="false" outlineLevel="0" collapsed="false">
      <c r="A1660" s="13" t="s">
        <v>1882</v>
      </c>
      <c r="B1660" s="14" t="n">
        <v>45297</v>
      </c>
      <c r="C1660" s="14"/>
      <c r="D1660" s="13" t="n">
        <v>34</v>
      </c>
      <c r="E1660" s="13" t="s">
        <v>182</v>
      </c>
      <c r="F1660" s="13" t="s">
        <v>168</v>
      </c>
      <c r="G1660" s="13" t="s">
        <v>132</v>
      </c>
      <c r="H1660" s="13" t="s">
        <v>139</v>
      </c>
      <c r="I1660" s="13" t="n">
        <v>4</v>
      </c>
      <c r="J1660" s="13" t="n">
        <v>2</v>
      </c>
      <c r="K1660" s="13" t="n">
        <v>37500</v>
      </c>
      <c r="L1660" s="13"/>
      <c r="M1660" s="13"/>
      <c r="N1660" s="13" t="s">
        <v>142</v>
      </c>
    </row>
    <row r="1661" customFormat="false" ht="15" hidden="false" customHeight="false" outlineLevel="0" collapsed="false">
      <c r="A1661" s="13" t="s">
        <v>1883</v>
      </c>
      <c r="B1661" s="14" t="n">
        <v>45297</v>
      </c>
      <c r="C1661" s="14" t="n">
        <v>45760</v>
      </c>
      <c r="D1661" s="13" t="n">
        <v>29</v>
      </c>
      <c r="E1661" s="13" t="s">
        <v>136</v>
      </c>
      <c r="F1661" s="13" t="s">
        <v>154</v>
      </c>
      <c r="G1661" s="13" t="s">
        <v>138</v>
      </c>
      <c r="H1661" s="13" t="s">
        <v>149</v>
      </c>
      <c r="I1661" s="13" t="n">
        <v>1</v>
      </c>
      <c r="J1661" s="13" t="n">
        <v>4</v>
      </c>
      <c r="K1661" s="13" t="n">
        <v>134500</v>
      </c>
      <c r="L1661" s="13" t="s">
        <v>151</v>
      </c>
      <c r="M1661" s="13" t="s">
        <v>141</v>
      </c>
      <c r="N1661" s="13" t="s">
        <v>134</v>
      </c>
    </row>
    <row r="1662" customFormat="false" ht="15" hidden="false" customHeight="false" outlineLevel="0" collapsed="false">
      <c r="A1662" s="13" t="s">
        <v>1884</v>
      </c>
      <c r="B1662" s="14" t="n">
        <v>45298</v>
      </c>
      <c r="C1662" s="14"/>
      <c r="D1662" s="13" t="n">
        <v>31</v>
      </c>
      <c r="E1662" s="13" t="s">
        <v>190</v>
      </c>
      <c r="F1662" s="13" t="s">
        <v>131</v>
      </c>
      <c r="G1662" s="13" t="s">
        <v>191</v>
      </c>
      <c r="H1662" s="13" t="s">
        <v>139</v>
      </c>
      <c r="I1662" s="13" t="n">
        <v>3</v>
      </c>
      <c r="J1662" s="13" t="n">
        <v>2</v>
      </c>
      <c r="K1662" s="13" t="n">
        <v>36500</v>
      </c>
      <c r="L1662" s="13"/>
      <c r="M1662" s="13"/>
      <c r="N1662" s="13" t="s">
        <v>134</v>
      </c>
    </row>
    <row r="1663" customFormat="false" ht="15" hidden="false" customHeight="false" outlineLevel="0" collapsed="false">
      <c r="A1663" s="13" t="s">
        <v>1885</v>
      </c>
      <c r="B1663" s="14" t="n">
        <v>45298</v>
      </c>
      <c r="C1663" s="14"/>
      <c r="D1663" s="13" t="n">
        <v>36</v>
      </c>
      <c r="E1663" s="13" t="s">
        <v>136</v>
      </c>
      <c r="F1663" s="13" t="s">
        <v>161</v>
      </c>
      <c r="G1663" s="13" t="s">
        <v>132</v>
      </c>
      <c r="H1663" s="13" t="s">
        <v>192</v>
      </c>
      <c r="I1663" s="13" t="n">
        <v>4</v>
      </c>
      <c r="J1663" s="13" t="n">
        <v>1</v>
      </c>
      <c r="K1663" s="13" t="n">
        <v>151000</v>
      </c>
      <c r="L1663" s="13"/>
      <c r="M1663" s="13"/>
      <c r="N1663" s="13" t="s">
        <v>142</v>
      </c>
    </row>
    <row r="1664" customFormat="false" ht="15" hidden="false" customHeight="false" outlineLevel="0" collapsed="false">
      <c r="A1664" s="13" t="s">
        <v>1886</v>
      </c>
      <c r="B1664" s="14" t="n">
        <v>45303</v>
      </c>
      <c r="C1664" s="14" t="n">
        <v>45491</v>
      </c>
      <c r="D1664" s="13" t="n">
        <v>22</v>
      </c>
      <c r="E1664" s="13" t="s">
        <v>144</v>
      </c>
      <c r="F1664" s="13" t="s">
        <v>168</v>
      </c>
      <c r="G1664" s="13" t="s">
        <v>155</v>
      </c>
      <c r="H1664" s="13" t="s">
        <v>139</v>
      </c>
      <c r="I1664" s="13" t="n">
        <v>3</v>
      </c>
      <c r="J1664" s="13" t="n">
        <v>1</v>
      </c>
      <c r="K1664" s="13" t="n">
        <v>36500</v>
      </c>
      <c r="L1664" s="13" t="s">
        <v>151</v>
      </c>
      <c r="M1664" s="13" t="s">
        <v>159</v>
      </c>
      <c r="N1664" s="13" t="s">
        <v>142</v>
      </c>
    </row>
    <row r="1665" customFormat="false" ht="15" hidden="false" customHeight="false" outlineLevel="0" collapsed="false">
      <c r="A1665" s="13" t="s">
        <v>1887</v>
      </c>
      <c r="B1665" s="14" t="n">
        <v>45303</v>
      </c>
      <c r="C1665" s="14" t="n">
        <v>45511</v>
      </c>
      <c r="D1665" s="13" t="n">
        <v>31</v>
      </c>
      <c r="E1665" s="13" t="s">
        <v>182</v>
      </c>
      <c r="F1665" s="13" t="s">
        <v>154</v>
      </c>
      <c r="G1665" s="13" t="s">
        <v>213</v>
      </c>
      <c r="H1665" s="13" t="s">
        <v>139</v>
      </c>
      <c r="I1665" s="13" t="n">
        <v>4</v>
      </c>
      <c r="J1665" s="13" t="n">
        <v>2</v>
      </c>
      <c r="K1665" s="13" t="n">
        <v>33500</v>
      </c>
      <c r="L1665" s="13" t="s">
        <v>140</v>
      </c>
      <c r="M1665" s="13" t="s">
        <v>201</v>
      </c>
      <c r="N1665" s="13" t="s">
        <v>142</v>
      </c>
    </row>
    <row r="1666" customFormat="false" ht="15" hidden="false" customHeight="false" outlineLevel="0" collapsed="false">
      <c r="A1666" s="13" t="s">
        <v>1888</v>
      </c>
      <c r="B1666" s="14" t="n">
        <v>45305</v>
      </c>
      <c r="C1666" s="14"/>
      <c r="D1666" s="13" t="n">
        <v>41</v>
      </c>
      <c r="E1666" s="13" t="s">
        <v>136</v>
      </c>
      <c r="F1666" s="13" t="s">
        <v>161</v>
      </c>
      <c r="G1666" s="13" t="s">
        <v>191</v>
      </c>
      <c r="H1666" s="13" t="s">
        <v>146</v>
      </c>
      <c r="I1666" s="13" t="n">
        <v>4</v>
      </c>
      <c r="J1666" s="13" t="n">
        <v>1</v>
      </c>
      <c r="K1666" s="13" t="n">
        <v>56000</v>
      </c>
      <c r="L1666" s="13"/>
      <c r="M1666" s="13"/>
      <c r="N1666" s="13" t="s">
        <v>134</v>
      </c>
    </row>
    <row r="1667" customFormat="false" ht="15" hidden="false" customHeight="false" outlineLevel="0" collapsed="false">
      <c r="A1667" s="13" t="s">
        <v>1889</v>
      </c>
      <c r="B1667" s="14" t="n">
        <v>45306</v>
      </c>
      <c r="C1667" s="14"/>
      <c r="D1667" s="13" t="n">
        <v>30</v>
      </c>
      <c r="E1667" s="13" t="s">
        <v>144</v>
      </c>
      <c r="F1667" s="13" t="s">
        <v>229</v>
      </c>
      <c r="G1667" s="13" t="s">
        <v>1353</v>
      </c>
      <c r="H1667" s="13" t="s">
        <v>146</v>
      </c>
      <c r="I1667" s="13" t="n">
        <v>5</v>
      </c>
      <c r="J1667" s="13" t="n">
        <v>4</v>
      </c>
      <c r="K1667" s="13" t="n">
        <v>53500</v>
      </c>
      <c r="L1667" s="13"/>
      <c r="M1667" s="13"/>
      <c r="N1667" s="13" t="s">
        <v>142</v>
      </c>
    </row>
    <row r="1668" customFormat="false" ht="15" hidden="false" customHeight="false" outlineLevel="0" collapsed="false">
      <c r="A1668" s="13" t="s">
        <v>1890</v>
      </c>
      <c r="B1668" s="14" t="n">
        <v>45313</v>
      </c>
      <c r="C1668" s="14"/>
      <c r="D1668" s="13" t="n">
        <v>34</v>
      </c>
      <c r="E1668" s="13" t="s">
        <v>144</v>
      </c>
      <c r="F1668" s="13" t="s">
        <v>161</v>
      </c>
      <c r="G1668" s="13" t="s">
        <v>148</v>
      </c>
      <c r="H1668" s="13" t="s">
        <v>139</v>
      </c>
      <c r="I1668" s="13" t="n">
        <v>2</v>
      </c>
      <c r="J1668" s="13" t="n">
        <v>2</v>
      </c>
      <c r="K1668" s="13" t="n">
        <v>37000</v>
      </c>
      <c r="L1668" s="13"/>
      <c r="M1668" s="13"/>
      <c r="N1668" s="13" t="s">
        <v>134</v>
      </c>
    </row>
    <row r="1669" customFormat="false" ht="15" hidden="false" customHeight="false" outlineLevel="0" collapsed="false">
      <c r="A1669" s="13" t="s">
        <v>1891</v>
      </c>
      <c r="B1669" s="14" t="n">
        <v>45314</v>
      </c>
      <c r="C1669" s="14"/>
      <c r="D1669" s="13" t="n">
        <v>32</v>
      </c>
      <c r="E1669" s="13" t="s">
        <v>136</v>
      </c>
      <c r="F1669" s="13" t="s">
        <v>164</v>
      </c>
      <c r="G1669" s="13" t="s">
        <v>171</v>
      </c>
      <c r="H1669" s="13" t="s">
        <v>139</v>
      </c>
      <c r="I1669" s="13" t="n">
        <v>4</v>
      </c>
      <c r="J1669" s="13"/>
      <c r="K1669" s="13" t="n">
        <v>41500</v>
      </c>
      <c r="L1669" s="13"/>
      <c r="M1669" s="13"/>
      <c r="N1669" s="13" t="s">
        <v>142</v>
      </c>
    </row>
    <row r="1670" customFormat="false" ht="15" hidden="false" customHeight="false" outlineLevel="0" collapsed="false">
      <c r="A1670" s="13" t="s">
        <v>1892</v>
      </c>
      <c r="B1670" s="14" t="n">
        <v>45314</v>
      </c>
      <c r="C1670" s="14"/>
      <c r="D1670" s="13" t="n">
        <v>38</v>
      </c>
      <c r="E1670" s="13" t="s">
        <v>136</v>
      </c>
      <c r="F1670" s="13" t="s">
        <v>137</v>
      </c>
      <c r="G1670" s="13" t="s">
        <v>155</v>
      </c>
      <c r="H1670" s="13" t="s">
        <v>192</v>
      </c>
      <c r="I1670" s="13" t="n">
        <v>4</v>
      </c>
      <c r="J1670" s="13" t="n">
        <v>3</v>
      </c>
      <c r="K1670" s="13" t="n">
        <v>198000</v>
      </c>
      <c r="L1670" s="13"/>
      <c r="M1670" s="13"/>
      <c r="N1670" s="13" t="s">
        <v>142</v>
      </c>
    </row>
    <row r="1671" customFormat="false" ht="15" hidden="false" customHeight="false" outlineLevel="0" collapsed="false">
      <c r="A1671" s="13" t="s">
        <v>1893</v>
      </c>
      <c r="B1671" s="14" t="n">
        <v>45315</v>
      </c>
      <c r="C1671" s="14"/>
      <c r="D1671" s="13" t="n">
        <v>45</v>
      </c>
      <c r="E1671" s="13" t="s">
        <v>144</v>
      </c>
      <c r="F1671" s="13" t="s">
        <v>231</v>
      </c>
      <c r="G1671" s="13" t="s">
        <v>374</v>
      </c>
      <c r="H1671" s="13" t="s">
        <v>139</v>
      </c>
      <c r="I1671" s="13" t="n">
        <v>3</v>
      </c>
      <c r="J1671" s="13" t="n">
        <v>2</v>
      </c>
      <c r="K1671" s="13" t="n">
        <v>37500</v>
      </c>
      <c r="L1671" s="13"/>
      <c r="M1671" s="13"/>
      <c r="N1671" s="13" t="s">
        <v>142</v>
      </c>
    </row>
    <row r="1672" customFormat="false" ht="15" hidden="false" customHeight="false" outlineLevel="0" collapsed="false">
      <c r="A1672" s="13" t="s">
        <v>1894</v>
      </c>
      <c r="B1672" s="14" t="n">
        <v>45316</v>
      </c>
      <c r="C1672" s="14"/>
      <c r="D1672" s="13" t="n">
        <v>27</v>
      </c>
      <c r="E1672" s="13" t="s">
        <v>144</v>
      </c>
      <c r="F1672" s="13" t="s">
        <v>161</v>
      </c>
      <c r="G1672" s="13" t="s">
        <v>138</v>
      </c>
      <c r="H1672" s="13" t="s">
        <v>139</v>
      </c>
      <c r="I1672" s="13" t="n">
        <v>3</v>
      </c>
      <c r="J1672" s="13" t="n">
        <v>4</v>
      </c>
      <c r="K1672" s="13" t="n">
        <v>43000</v>
      </c>
      <c r="L1672" s="13"/>
      <c r="M1672" s="13"/>
      <c r="N1672" s="13" t="s">
        <v>142</v>
      </c>
    </row>
    <row r="1673" customFormat="false" ht="15" hidden="false" customHeight="false" outlineLevel="0" collapsed="false">
      <c r="A1673" s="13" t="s">
        <v>1895</v>
      </c>
      <c r="B1673" s="14" t="n">
        <v>45317</v>
      </c>
      <c r="C1673" s="14"/>
      <c r="D1673" s="13" t="n">
        <v>28</v>
      </c>
      <c r="E1673" s="13" t="s">
        <v>144</v>
      </c>
      <c r="F1673" s="13" t="s">
        <v>168</v>
      </c>
      <c r="G1673" s="13" t="s">
        <v>307</v>
      </c>
      <c r="H1673" s="13" t="s">
        <v>146</v>
      </c>
      <c r="I1673" s="13" t="n">
        <v>5</v>
      </c>
      <c r="J1673" s="13" t="n">
        <v>4</v>
      </c>
      <c r="K1673" s="13" t="n">
        <v>60500</v>
      </c>
      <c r="L1673" s="13"/>
      <c r="M1673" s="13"/>
      <c r="N1673" s="13" t="s">
        <v>142</v>
      </c>
    </row>
    <row r="1674" customFormat="false" ht="15" hidden="false" customHeight="false" outlineLevel="0" collapsed="false">
      <c r="A1674" s="13" t="s">
        <v>1896</v>
      </c>
      <c r="B1674" s="14" t="n">
        <v>45317</v>
      </c>
      <c r="C1674" s="14"/>
      <c r="D1674" s="13" t="n">
        <v>34</v>
      </c>
      <c r="E1674" s="13" t="s">
        <v>144</v>
      </c>
      <c r="F1674" s="13" t="s">
        <v>231</v>
      </c>
      <c r="G1674" s="13" t="s">
        <v>148</v>
      </c>
      <c r="H1674" s="13" t="s">
        <v>146</v>
      </c>
      <c r="I1674" s="13" t="n">
        <v>2</v>
      </c>
      <c r="J1674" s="13" t="n">
        <v>3</v>
      </c>
      <c r="K1674" s="13" t="n">
        <v>61000</v>
      </c>
      <c r="L1674" s="13"/>
      <c r="M1674" s="13"/>
      <c r="N1674" s="13" t="s">
        <v>142</v>
      </c>
    </row>
    <row r="1675" customFormat="false" ht="15" hidden="false" customHeight="false" outlineLevel="0" collapsed="false">
      <c r="A1675" s="13" t="s">
        <v>1897</v>
      </c>
      <c r="B1675" s="14" t="n">
        <v>45323</v>
      </c>
      <c r="C1675" s="14" t="n">
        <v>45525</v>
      </c>
      <c r="D1675" s="13" t="n">
        <v>38</v>
      </c>
      <c r="E1675" s="13" t="s">
        <v>186</v>
      </c>
      <c r="F1675" s="13" t="s">
        <v>161</v>
      </c>
      <c r="G1675" s="13" t="s">
        <v>184</v>
      </c>
      <c r="H1675" s="13" t="s">
        <v>139</v>
      </c>
      <c r="I1675" s="13" t="n">
        <v>4</v>
      </c>
      <c r="J1675" s="13" t="n">
        <v>3</v>
      </c>
      <c r="K1675" s="13" t="n">
        <v>26000</v>
      </c>
      <c r="L1675" s="13" t="s">
        <v>173</v>
      </c>
      <c r="M1675" s="13" t="s">
        <v>254</v>
      </c>
      <c r="N1675" s="13" t="s">
        <v>142</v>
      </c>
    </row>
    <row r="1676" customFormat="false" ht="15" hidden="false" customHeight="false" outlineLevel="0" collapsed="false">
      <c r="A1676" s="13" t="s">
        <v>1898</v>
      </c>
      <c r="B1676" s="14" t="n">
        <v>45328</v>
      </c>
      <c r="C1676" s="14" t="n">
        <v>45806</v>
      </c>
      <c r="D1676" s="13" t="n">
        <v>22</v>
      </c>
      <c r="E1676" s="13" t="s">
        <v>144</v>
      </c>
      <c r="F1676" s="13" t="s">
        <v>137</v>
      </c>
      <c r="G1676" s="13" t="s">
        <v>184</v>
      </c>
      <c r="H1676" s="13" t="s">
        <v>149</v>
      </c>
      <c r="I1676" s="13" t="n">
        <v>3</v>
      </c>
      <c r="J1676" s="13" t="n">
        <v>2</v>
      </c>
      <c r="K1676" s="13" t="n">
        <v>90000</v>
      </c>
      <c r="L1676" s="13" t="s">
        <v>151</v>
      </c>
      <c r="M1676" s="13" t="s">
        <v>152</v>
      </c>
      <c r="N1676" s="13" t="s">
        <v>142</v>
      </c>
    </row>
    <row r="1677" customFormat="false" ht="15" hidden="false" customHeight="false" outlineLevel="0" collapsed="false">
      <c r="A1677" s="13" t="s">
        <v>1899</v>
      </c>
      <c r="B1677" s="14" t="n">
        <v>45329</v>
      </c>
      <c r="C1677" s="14"/>
      <c r="D1677" s="13" t="n">
        <v>30</v>
      </c>
      <c r="E1677" s="13" t="s">
        <v>136</v>
      </c>
      <c r="F1677" s="13" t="s">
        <v>145</v>
      </c>
      <c r="G1677" s="13" t="s">
        <v>155</v>
      </c>
      <c r="H1677" s="13" t="s">
        <v>146</v>
      </c>
      <c r="I1677" s="13" t="n">
        <v>5</v>
      </c>
      <c r="J1677" s="13" t="n">
        <v>3</v>
      </c>
      <c r="K1677" s="13" t="n">
        <v>55000</v>
      </c>
      <c r="L1677" s="13"/>
      <c r="M1677" s="13"/>
      <c r="N1677" s="13" t="s">
        <v>142</v>
      </c>
    </row>
    <row r="1678" customFormat="false" ht="15" hidden="false" customHeight="false" outlineLevel="0" collapsed="false">
      <c r="A1678" s="13" t="s">
        <v>1900</v>
      </c>
      <c r="B1678" s="14" t="n">
        <v>45339</v>
      </c>
      <c r="C1678" s="14"/>
      <c r="D1678" s="13" t="n">
        <v>31</v>
      </c>
      <c r="E1678" s="13" t="s">
        <v>136</v>
      </c>
      <c r="F1678" s="13" t="s">
        <v>168</v>
      </c>
      <c r="G1678" s="13" t="s">
        <v>138</v>
      </c>
      <c r="H1678" s="13" t="s">
        <v>178</v>
      </c>
      <c r="I1678" s="13" t="n">
        <v>4</v>
      </c>
      <c r="J1678" s="13" t="n">
        <v>4</v>
      </c>
      <c r="K1678" s="13" t="n">
        <v>119500</v>
      </c>
      <c r="L1678" s="13"/>
      <c r="M1678" s="13"/>
      <c r="N1678" s="13" t="s">
        <v>134</v>
      </c>
    </row>
    <row r="1679" customFormat="false" ht="15" hidden="false" customHeight="false" outlineLevel="0" collapsed="false">
      <c r="A1679" s="13" t="s">
        <v>1901</v>
      </c>
      <c r="B1679" s="14" t="n">
        <v>45339</v>
      </c>
      <c r="C1679" s="14" t="n">
        <v>45635</v>
      </c>
      <c r="D1679" s="13" t="n">
        <v>30</v>
      </c>
      <c r="E1679" s="13" t="s">
        <v>190</v>
      </c>
      <c r="F1679" s="13" t="s">
        <v>154</v>
      </c>
      <c r="G1679" s="13" t="s">
        <v>138</v>
      </c>
      <c r="H1679" s="13" t="s">
        <v>139</v>
      </c>
      <c r="I1679" s="13" t="n">
        <v>4</v>
      </c>
      <c r="J1679" s="13" t="n">
        <v>2</v>
      </c>
      <c r="K1679" s="13" t="n">
        <v>34000</v>
      </c>
      <c r="L1679" s="13" t="s">
        <v>151</v>
      </c>
      <c r="M1679" s="13" t="s">
        <v>152</v>
      </c>
      <c r="N1679" s="13" t="s">
        <v>142</v>
      </c>
    </row>
    <row r="1680" customFormat="false" ht="15" hidden="false" customHeight="false" outlineLevel="0" collapsed="false">
      <c r="A1680" s="13" t="s">
        <v>1902</v>
      </c>
      <c r="B1680" s="14" t="n">
        <v>45341</v>
      </c>
      <c r="C1680" s="14"/>
      <c r="D1680" s="13" t="n">
        <v>39</v>
      </c>
      <c r="E1680" s="13" t="s">
        <v>144</v>
      </c>
      <c r="F1680" s="13" t="s">
        <v>241</v>
      </c>
      <c r="G1680" s="13" t="s">
        <v>300</v>
      </c>
      <c r="H1680" s="13" t="s">
        <v>219</v>
      </c>
      <c r="I1680" s="13" t="n">
        <v>4</v>
      </c>
      <c r="J1680" s="13" t="n">
        <v>3</v>
      </c>
      <c r="K1680" s="13" t="n">
        <v>34500</v>
      </c>
      <c r="L1680" s="13"/>
      <c r="M1680" s="13"/>
      <c r="N1680" s="13" t="s">
        <v>142</v>
      </c>
    </row>
    <row r="1681" customFormat="false" ht="15" hidden="false" customHeight="false" outlineLevel="0" collapsed="false">
      <c r="A1681" s="13" t="s">
        <v>1903</v>
      </c>
      <c r="B1681" s="14" t="n">
        <v>45343</v>
      </c>
      <c r="C1681" s="14"/>
      <c r="D1681" s="13" t="n">
        <v>31</v>
      </c>
      <c r="E1681" s="13" t="s">
        <v>136</v>
      </c>
      <c r="F1681" s="13" t="s">
        <v>239</v>
      </c>
      <c r="G1681" s="13" t="s">
        <v>155</v>
      </c>
      <c r="H1681" s="13" t="s">
        <v>156</v>
      </c>
      <c r="I1681" s="13" t="n">
        <v>4</v>
      </c>
      <c r="J1681" s="13" t="n">
        <v>2</v>
      </c>
      <c r="K1681" s="13" t="n">
        <v>81500</v>
      </c>
      <c r="L1681" s="13"/>
      <c r="M1681" s="13"/>
      <c r="N1681" s="13" t="s">
        <v>134</v>
      </c>
    </row>
    <row r="1682" customFormat="false" ht="15" hidden="false" customHeight="false" outlineLevel="0" collapsed="false">
      <c r="A1682" s="13" t="s">
        <v>1904</v>
      </c>
      <c r="B1682" s="14" t="n">
        <v>45345</v>
      </c>
      <c r="C1682" s="14"/>
      <c r="D1682" s="13" t="n">
        <v>35</v>
      </c>
      <c r="E1682" s="13" t="s">
        <v>136</v>
      </c>
      <c r="F1682" s="13" t="s">
        <v>168</v>
      </c>
      <c r="G1682" s="13" t="s">
        <v>195</v>
      </c>
      <c r="H1682" s="13" t="s">
        <v>192</v>
      </c>
      <c r="I1682" s="13" t="n">
        <v>3</v>
      </c>
      <c r="J1682" s="13" t="n">
        <v>3</v>
      </c>
      <c r="K1682" s="13" t="n">
        <v>191000</v>
      </c>
      <c r="L1682" s="13"/>
      <c r="M1682" s="13"/>
      <c r="N1682" s="13" t="s">
        <v>214</v>
      </c>
    </row>
    <row r="1683" customFormat="false" ht="15" hidden="false" customHeight="false" outlineLevel="0" collapsed="false">
      <c r="A1683" s="13" t="s">
        <v>1905</v>
      </c>
      <c r="B1683" s="14" t="n">
        <v>45347</v>
      </c>
      <c r="C1683" s="14" t="n">
        <v>45508</v>
      </c>
      <c r="D1683" s="13" t="n">
        <v>23</v>
      </c>
      <c r="E1683" s="13" t="s">
        <v>259</v>
      </c>
      <c r="F1683" s="13" t="s">
        <v>241</v>
      </c>
      <c r="G1683" s="13" t="s">
        <v>188</v>
      </c>
      <c r="H1683" s="13" t="s">
        <v>139</v>
      </c>
      <c r="I1683" s="13" t="n">
        <v>5</v>
      </c>
      <c r="J1683" s="13" t="n">
        <v>1</v>
      </c>
      <c r="K1683" s="13" t="n">
        <v>32500</v>
      </c>
      <c r="L1683" s="13" t="s">
        <v>173</v>
      </c>
      <c r="M1683" s="13"/>
      <c r="N1683" s="13" t="s">
        <v>142</v>
      </c>
    </row>
    <row r="1684" customFormat="false" ht="15" hidden="false" customHeight="false" outlineLevel="0" collapsed="false">
      <c r="A1684" s="13" t="s">
        <v>1906</v>
      </c>
      <c r="B1684" s="14" t="n">
        <v>45350</v>
      </c>
      <c r="C1684" s="14"/>
      <c r="D1684" s="13" t="n">
        <v>33</v>
      </c>
      <c r="E1684" s="13" t="s">
        <v>136</v>
      </c>
      <c r="F1684" s="13" t="s">
        <v>137</v>
      </c>
      <c r="G1684" s="13" t="s">
        <v>132</v>
      </c>
      <c r="H1684" s="13" t="s">
        <v>149</v>
      </c>
      <c r="I1684" s="13" t="n">
        <v>3</v>
      </c>
      <c r="J1684" s="13" t="n">
        <v>4</v>
      </c>
      <c r="K1684" s="13" t="n">
        <v>91500</v>
      </c>
      <c r="L1684" s="13"/>
      <c r="M1684" s="13"/>
      <c r="N1684" s="13" t="s">
        <v>142</v>
      </c>
    </row>
    <row r="1685" customFormat="false" ht="15" hidden="false" customHeight="false" outlineLevel="0" collapsed="false">
      <c r="A1685" s="13" t="s">
        <v>1907</v>
      </c>
      <c r="B1685" s="14" t="n">
        <v>45354</v>
      </c>
      <c r="C1685" s="14"/>
      <c r="D1685" s="13" t="n">
        <v>29</v>
      </c>
      <c r="E1685" s="13" t="s">
        <v>136</v>
      </c>
      <c r="F1685" s="13" t="s">
        <v>164</v>
      </c>
      <c r="G1685" s="13" t="s">
        <v>447</v>
      </c>
      <c r="H1685" s="13" t="s">
        <v>146</v>
      </c>
      <c r="I1685" s="13" t="n">
        <v>3</v>
      </c>
      <c r="J1685" s="13" t="n">
        <v>4</v>
      </c>
      <c r="K1685" s="13" t="n">
        <v>60000</v>
      </c>
      <c r="L1685" s="13"/>
      <c r="M1685" s="13"/>
      <c r="N1685" s="13" t="s">
        <v>134</v>
      </c>
    </row>
    <row r="1686" customFormat="false" ht="15" hidden="false" customHeight="false" outlineLevel="0" collapsed="false">
      <c r="A1686" s="13" t="s">
        <v>1908</v>
      </c>
      <c r="B1686" s="14" t="n">
        <v>45355</v>
      </c>
      <c r="C1686" s="14"/>
      <c r="D1686" s="13" t="n">
        <v>39</v>
      </c>
      <c r="E1686" s="13" t="s">
        <v>144</v>
      </c>
      <c r="F1686" s="13" t="s">
        <v>168</v>
      </c>
      <c r="G1686" s="13" t="s">
        <v>374</v>
      </c>
      <c r="H1686" s="13" t="s">
        <v>149</v>
      </c>
      <c r="I1686" s="13" t="n">
        <v>3</v>
      </c>
      <c r="J1686" s="13" t="n">
        <v>3</v>
      </c>
      <c r="K1686" s="13" t="n">
        <v>120500</v>
      </c>
      <c r="L1686" s="13"/>
      <c r="M1686" s="13"/>
      <c r="N1686" s="13" t="s">
        <v>142</v>
      </c>
    </row>
    <row r="1687" customFormat="false" ht="15" hidden="false" customHeight="false" outlineLevel="0" collapsed="false">
      <c r="A1687" s="13" t="s">
        <v>1909</v>
      </c>
      <c r="B1687" s="14" t="n">
        <v>45359</v>
      </c>
      <c r="C1687" s="14"/>
      <c r="D1687" s="13" t="n">
        <v>34</v>
      </c>
      <c r="E1687" s="13" t="s">
        <v>144</v>
      </c>
      <c r="F1687" s="13" t="s">
        <v>229</v>
      </c>
      <c r="G1687" s="13" t="s">
        <v>132</v>
      </c>
      <c r="H1687" s="13" t="s">
        <v>146</v>
      </c>
      <c r="I1687" s="13" t="n">
        <v>1</v>
      </c>
      <c r="J1687" s="13" t="n">
        <v>1</v>
      </c>
      <c r="K1687" s="13" t="n">
        <v>64500</v>
      </c>
      <c r="L1687" s="13"/>
      <c r="M1687" s="13"/>
      <c r="N1687" s="13" t="s">
        <v>142</v>
      </c>
    </row>
    <row r="1688" customFormat="false" ht="15" hidden="false" customHeight="false" outlineLevel="0" collapsed="false">
      <c r="A1688" s="13" t="s">
        <v>1910</v>
      </c>
      <c r="B1688" s="14" t="n">
        <v>45359</v>
      </c>
      <c r="C1688" s="14"/>
      <c r="D1688" s="13" t="n">
        <v>28</v>
      </c>
      <c r="E1688" s="13" t="s">
        <v>144</v>
      </c>
      <c r="F1688" s="13" t="s">
        <v>137</v>
      </c>
      <c r="G1688" s="13" t="s">
        <v>132</v>
      </c>
      <c r="H1688" s="13" t="s">
        <v>246</v>
      </c>
      <c r="I1688" s="13" t="n">
        <v>3</v>
      </c>
      <c r="J1688" s="13" t="n">
        <v>3</v>
      </c>
      <c r="K1688" s="13" t="n">
        <v>113500</v>
      </c>
      <c r="L1688" s="13"/>
      <c r="M1688" s="13"/>
      <c r="N1688" s="13" t="s">
        <v>142</v>
      </c>
    </row>
    <row r="1689" customFormat="false" ht="15" hidden="false" customHeight="false" outlineLevel="0" collapsed="false">
      <c r="A1689" s="13" t="s">
        <v>1911</v>
      </c>
      <c r="B1689" s="14" t="n">
        <v>45369</v>
      </c>
      <c r="C1689" s="14"/>
      <c r="D1689" s="13" t="n">
        <v>31</v>
      </c>
      <c r="E1689" s="13" t="s">
        <v>144</v>
      </c>
      <c r="F1689" s="13" t="s">
        <v>161</v>
      </c>
      <c r="G1689" s="13" t="s">
        <v>148</v>
      </c>
      <c r="H1689" s="13" t="s">
        <v>156</v>
      </c>
      <c r="I1689" s="13" t="n">
        <v>3</v>
      </c>
      <c r="J1689" s="13" t="n">
        <v>4</v>
      </c>
      <c r="K1689" s="13" t="n">
        <v>93000</v>
      </c>
      <c r="L1689" s="13"/>
      <c r="M1689" s="13"/>
      <c r="N1689" s="13" t="s">
        <v>142</v>
      </c>
    </row>
    <row r="1690" customFormat="false" ht="15" hidden="false" customHeight="false" outlineLevel="0" collapsed="false">
      <c r="A1690" s="13" t="s">
        <v>1912</v>
      </c>
      <c r="B1690" s="14" t="n">
        <v>45374</v>
      </c>
      <c r="C1690" s="14"/>
      <c r="D1690" s="13" t="n">
        <v>28</v>
      </c>
      <c r="E1690" s="13" t="s">
        <v>144</v>
      </c>
      <c r="F1690" s="13" t="s">
        <v>168</v>
      </c>
      <c r="G1690" s="13" t="s">
        <v>191</v>
      </c>
      <c r="H1690" s="13" t="s">
        <v>146</v>
      </c>
      <c r="I1690" s="13" t="n">
        <v>3</v>
      </c>
      <c r="J1690" s="13" t="n">
        <v>3</v>
      </c>
      <c r="K1690" s="13" t="n">
        <v>59000</v>
      </c>
      <c r="L1690" s="13"/>
      <c r="M1690" s="13"/>
      <c r="N1690" s="13" t="s">
        <v>214</v>
      </c>
    </row>
    <row r="1691" customFormat="false" ht="15" hidden="false" customHeight="false" outlineLevel="0" collapsed="false">
      <c r="A1691" s="13" t="s">
        <v>1913</v>
      </c>
      <c r="B1691" s="14" t="n">
        <v>45375</v>
      </c>
      <c r="C1691" s="14"/>
      <c r="D1691" s="13" t="n">
        <v>27</v>
      </c>
      <c r="E1691" s="13" t="s">
        <v>144</v>
      </c>
      <c r="F1691" s="13" t="s">
        <v>154</v>
      </c>
      <c r="G1691" s="13" t="s">
        <v>191</v>
      </c>
      <c r="H1691" s="13" t="s">
        <v>146</v>
      </c>
      <c r="I1691" s="13" t="n">
        <v>4</v>
      </c>
      <c r="J1691" s="13" t="n">
        <v>2</v>
      </c>
      <c r="K1691" s="13" t="n">
        <v>66500</v>
      </c>
      <c r="L1691" s="13"/>
      <c r="M1691" s="13"/>
      <c r="N1691" s="13" t="s">
        <v>142</v>
      </c>
    </row>
    <row r="1692" customFormat="false" ht="15" hidden="false" customHeight="false" outlineLevel="0" collapsed="false">
      <c r="A1692" s="13" t="s">
        <v>1914</v>
      </c>
      <c r="B1692" s="14" t="n">
        <v>45379</v>
      </c>
      <c r="C1692" s="14"/>
      <c r="D1692" s="13" t="n">
        <v>30</v>
      </c>
      <c r="E1692" s="13" t="s">
        <v>136</v>
      </c>
      <c r="F1692" s="13" t="s">
        <v>145</v>
      </c>
      <c r="G1692" s="13" t="s">
        <v>148</v>
      </c>
      <c r="H1692" s="13" t="s">
        <v>156</v>
      </c>
      <c r="I1692" s="13" t="n">
        <v>3</v>
      </c>
      <c r="J1692" s="13" t="n">
        <v>4</v>
      </c>
      <c r="K1692" s="13" t="n">
        <v>75000</v>
      </c>
      <c r="L1692" s="13"/>
      <c r="M1692" s="13"/>
      <c r="N1692" s="13" t="s">
        <v>134</v>
      </c>
    </row>
    <row r="1693" customFormat="false" ht="15" hidden="false" customHeight="false" outlineLevel="0" collapsed="false">
      <c r="A1693" s="13" t="s">
        <v>1915</v>
      </c>
      <c r="B1693" s="14" t="n">
        <v>45379</v>
      </c>
      <c r="C1693" s="14"/>
      <c r="D1693" s="13" t="n">
        <v>31</v>
      </c>
      <c r="E1693" s="13" t="s">
        <v>136</v>
      </c>
      <c r="F1693" s="13" t="s">
        <v>168</v>
      </c>
      <c r="G1693" s="13" t="s">
        <v>132</v>
      </c>
      <c r="H1693" s="13" t="s">
        <v>146</v>
      </c>
      <c r="I1693" s="13" t="n">
        <v>5</v>
      </c>
      <c r="J1693" s="13" t="n">
        <v>2</v>
      </c>
      <c r="K1693" s="13" t="n">
        <v>60000</v>
      </c>
      <c r="L1693" s="13"/>
      <c r="M1693" s="13"/>
      <c r="N1693" s="13" t="s">
        <v>134</v>
      </c>
    </row>
    <row r="1694" customFormat="false" ht="15" hidden="false" customHeight="false" outlineLevel="0" collapsed="false">
      <c r="A1694" s="13" t="s">
        <v>1916</v>
      </c>
      <c r="B1694" s="14" t="n">
        <v>45380</v>
      </c>
      <c r="C1694" s="14"/>
      <c r="D1694" s="13" t="n">
        <v>25</v>
      </c>
      <c r="E1694" s="13" t="s">
        <v>144</v>
      </c>
      <c r="F1694" s="13" t="s">
        <v>164</v>
      </c>
      <c r="G1694" s="13" t="s">
        <v>132</v>
      </c>
      <c r="H1694" s="13" t="s">
        <v>146</v>
      </c>
      <c r="I1694" s="13" t="n">
        <v>3</v>
      </c>
      <c r="J1694" s="13" t="n">
        <v>1</v>
      </c>
      <c r="K1694" s="13" t="n">
        <v>53000</v>
      </c>
      <c r="L1694" s="13"/>
      <c r="M1694" s="13"/>
      <c r="N1694" s="13" t="s">
        <v>142</v>
      </c>
    </row>
    <row r="1695" customFormat="false" ht="15" hidden="false" customHeight="false" outlineLevel="0" collapsed="false">
      <c r="A1695" s="13" t="s">
        <v>1917</v>
      </c>
      <c r="B1695" s="14" t="n">
        <v>45384</v>
      </c>
      <c r="C1695" s="14" t="n">
        <v>45743</v>
      </c>
      <c r="D1695" s="13" t="n">
        <v>23</v>
      </c>
      <c r="E1695" s="13" t="s">
        <v>136</v>
      </c>
      <c r="F1695" s="13" t="s">
        <v>154</v>
      </c>
      <c r="G1695" s="13" t="s">
        <v>191</v>
      </c>
      <c r="H1695" s="13" t="s">
        <v>192</v>
      </c>
      <c r="I1695" s="13" t="n">
        <v>2</v>
      </c>
      <c r="J1695" s="13" t="n">
        <v>2</v>
      </c>
      <c r="K1695" s="13" t="n">
        <v>141500</v>
      </c>
      <c r="L1695" s="13" t="s">
        <v>272</v>
      </c>
      <c r="M1695" s="13" t="s">
        <v>273</v>
      </c>
      <c r="N1695" s="13" t="s">
        <v>142</v>
      </c>
    </row>
    <row r="1696" customFormat="false" ht="15" hidden="false" customHeight="false" outlineLevel="0" collapsed="false">
      <c r="A1696" s="13" t="s">
        <v>1918</v>
      </c>
      <c r="B1696" s="14" t="n">
        <v>45384</v>
      </c>
      <c r="C1696" s="14" t="n">
        <v>45692</v>
      </c>
      <c r="D1696" s="13" t="n">
        <v>33</v>
      </c>
      <c r="E1696" s="13" t="s">
        <v>163</v>
      </c>
      <c r="F1696" s="13" t="s">
        <v>137</v>
      </c>
      <c r="G1696" s="13" t="s">
        <v>191</v>
      </c>
      <c r="H1696" s="13" t="s">
        <v>139</v>
      </c>
      <c r="I1696" s="13" t="n">
        <v>3</v>
      </c>
      <c r="J1696" s="13" t="n">
        <v>1</v>
      </c>
      <c r="K1696" s="13" t="n">
        <v>42500</v>
      </c>
      <c r="L1696" s="13" t="s">
        <v>151</v>
      </c>
      <c r="M1696" s="13" t="s">
        <v>152</v>
      </c>
      <c r="N1696" s="13" t="s">
        <v>142</v>
      </c>
    </row>
    <row r="1697" customFormat="false" ht="15" hidden="false" customHeight="false" outlineLevel="0" collapsed="false">
      <c r="A1697" s="13" t="s">
        <v>1919</v>
      </c>
      <c r="B1697" s="14" t="n">
        <v>45385</v>
      </c>
      <c r="C1697" s="14" t="n">
        <v>45986</v>
      </c>
      <c r="D1697" s="13" t="n">
        <v>32</v>
      </c>
      <c r="E1697" s="13" t="s">
        <v>259</v>
      </c>
      <c r="F1697" s="13" t="s">
        <v>137</v>
      </c>
      <c r="G1697" s="13" t="s">
        <v>155</v>
      </c>
      <c r="H1697" s="13" t="s">
        <v>149</v>
      </c>
      <c r="I1697" s="13" t="n">
        <v>4</v>
      </c>
      <c r="J1697" s="13" t="n">
        <v>1</v>
      </c>
      <c r="K1697" s="13" t="n">
        <v>108000</v>
      </c>
      <c r="L1697" s="13" t="s">
        <v>151</v>
      </c>
      <c r="M1697" s="13" t="s">
        <v>201</v>
      </c>
      <c r="N1697" s="13" t="s">
        <v>134</v>
      </c>
    </row>
    <row r="1698" customFormat="false" ht="15" hidden="false" customHeight="false" outlineLevel="0" collapsed="false">
      <c r="A1698" s="13" t="s">
        <v>1920</v>
      </c>
      <c r="B1698" s="14" t="n">
        <v>45386</v>
      </c>
      <c r="C1698" s="14"/>
      <c r="D1698" s="13" t="n">
        <v>31</v>
      </c>
      <c r="E1698" s="13" t="s">
        <v>186</v>
      </c>
      <c r="F1698" s="13" t="s">
        <v>170</v>
      </c>
      <c r="G1698" s="13" t="s">
        <v>155</v>
      </c>
      <c r="H1698" s="13" t="s">
        <v>139</v>
      </c>
      <c r="I1698" s="13" t="n">
        <v>5</v>
      </c>
      <c r="J1698" s="13" t="n">
        <v>1</v>
      </c>
      <c r="K1698" s="13" t="n">
        <v>38000</v>
      </c>
      <c r="L1698" s="13"/>
      <c r="M1698" s="13"/>
      <c r="N1698" s="13" t="s">
        <v>157</v>
      </c>
    </row>
    <row r="1699" customFormat="false" ht="15" hidden="false" customHeight="false" outlineLevel="0" collapsed="false">
      <c r="A1699" s="13" t="s">
        <v>1921</v>
      </c>
      <c r="B1699" s="14" t="n">
        <v>45386</v>
      </c>
      <c r="C1699" s="14" t="n">
        <v>45522</v>
      </c>
      <c r="D1699" s="13" t="n">
        <v>33</v>
      </c>
      <c r="E1699" s="13" t="s">
        <v>136</v>
      </c>
      <c r="F1699" s="13" t="s">
        <v>168</v>
      </c>
      <c r="G1699" s="13" t="s">
        <v>132</v>
      </c>
      <c r="H1699" s="13" t="s">
        <v>172</v>
      </c>
      <c r="I1699" s="13" t="n">
        <v>3</v>
      </c>
      <c r="J1699" s="13" t="n">
        <v>1</v>
      </c>
      <c r="K1699" s="13" t="n">
        <v>33000</v>
      </c>
      <c r="L1699" s="13" t="s">
        <v>151</v>
      </c>
      <c r="M1699" s="13"/>
      <c r="N1699" s="13" t="s">
        <v>142</v>
      </c>
    </row>
    <row r="1700" customFormat="false" ht="15" hidden="false" customHeight="false" outlineLevel="0" collapsed="false">
      <c r="A1700" s="13" t="s">
        <v>1922</v>
      </c>
      <c r="B1700" s="14" t="n">
        <v>45388</v>
      </c>
      <c r="C1700" s="14"/>
      <c r="D1700" s="13" t="n">
        <v>29</v>
      </c>
      <c r="E1700" s="13" t="s">
        <v>186</v>
      </c>
      <c r="F1700" s="13" t="s">
        <v>170</v>
      </c>
      <c r="G1700" s="13" t="s">
        <v>148</v>
      </c>
      <c r="H1700" s="13" t="s">
        <v>149</v>
      </c>
      <c r="I1700" s="13" t="n">
        <v>3</v>
      </c>
      <c r="J1700" s="13" t="n">
        <v>4</v>
      </c>
      <c r="K1700" s="13" t="n">
        <v>111000</v>
      </c>
      <c r="L1700" s="13"/>
      <c r="M1700" s="13"/>
      <c r="N1700" s="13" t="s">
        <v>134</v>
      </c>
    </row>
    <row r="1701" customFormat="false" ht="15" hidden="false" customHeight="false" outlineLevel="0" collapsed="false">
      <c r="A1701" s="13" t="s">
        <v>1923</v>
      </c>
      <c r="B1701" s="14" t="n">
        <v>45389</v>
      </c>
      <c r="C1701" s="14"/>
      <c r="D1701" s="13" t="n">
        <v>30</v>
      </c>
      <c r="E1701" s="13" t="s">
        <v>144</v>
      </c>
      <c r="F1701" s="13" t="s">
        <v>168</v>
      </c>
      <c r="G1701" s="13" t="s">
        <v>132</v>
      </c>
      <c r="H1701" s="13" t="s">
        <v>146</v>
      </c>
      <c r="I1701" s="13" t="n">
        <v>1</v>
      </c>
      <c r="J1701" s="13" t="n">
        <v>2</v>
      </c>
      <c r="K1701" s="13" t="n">
        <v>60000</v>
      </c>
      <c r="L1701" s="13"/>
      <c r="M1701" s="13"/>
      <c r="N1701" s="13" t="s">
        <v>142</v>
      </c>
    </row>
    <row r="1702" customFormat="false" ht="15" hidden="false" customHeight="false" outlineLevel="0" collapsed="false">
      <c r="A1702" s="13" t="s">
        <v>1924</v>
      </c>
      <c r="B1702" s="14" t="n">
        <v>45391</v>
      </c>
      <c r="C1702" s="14"/>
      <c r="D1702" s="13" t="n">
        <v>39</v>
      </c>
      <c r="E1702" s="13" t="s">
        <v>144</v>
      </c>
      <c r="F1702" s="13" t="s">
        <v>137</v>
      </c>
      <c r="G1702" s="13" t="s">
        <v>195</v>
      </c>
      <c r="H1702" s="13" t="s">
        <v>146</v>
      </c>
      <c r="I1702" s="13" t="n">
        <v>3</v>
      </c>
      <c r="J1702" s="13" t="n">
        <v>1</v>
      </c>
      <c r="K1702" s="13" t="n">
        <v>57000</v>
      </c>
      <c r="L1702" s="13"/>
      <c r="M1702" s="13"/>
      <c r="N1702" s="13" t="s">
        <v>142</v>
      </c>
    </row>
    <row r="1703" customFormat="false" ht="15" hidden="false" customHeight="false" outlineLevel="0" collapsed="false">
      <c r="A1703" s="13" t="s">
        <v>1925</v>
      </c>
      <c r="B1703" s="14" t="n">
        <v>45396</v>
      </c>
      <c r="C1703" s="14" t="n">
        <v>45688</v>
      </c>
      <c r="D1703" s="13" t="n">
        <v>25</v>
      </c>
      <c r="E1703" s="13" t="s">
        <v>136</v>
      </c>
      <c r="F1703" s="13" t="s">
        <v>137</v>
      </c>
      <c r="G1703" s="13" t="s">
        <v>138</v>
      </c>
      <c r="H1703" s="13" t="s">
        <v>139</v>
      </c>
      <c r="I1703" s="13" t="n">
        <v>3</v>
      </c>
      <c r="J1703" s="13" t="n">
        <v>1</v>
      </c>
      <c r="K1703" s="13" t="n">
        <v>35500</v>
      </c>
      <c r="L1703" s="13" t="s">
        <v>151</v>
      </c>
      <c r="M1703" s="13" t="s">
        <v>152</v>
      </c>
      <c r="N1703" s="13" t="s">
        <v>142</v>
      </c>
    </row>
    <row r="1704" customFormat="false" ht="15" hidden="false" customHeight="false" outlineLevel="0" collapsed="false">
      <c r="A1704" s="13" t="s">
        <v>1926</v>
      </c>
      <c r="B1704" s="14" t="n">
        <v>45399</v>
      </c>
      <c r="C1704" s="14"/>
      <c r="D1704" s="13" t="n">
        <v>39</v>
      </c>
      <c r="E1704" s="13" t="s">
        <v>136</v>
      </c>
      <c r="F1704" s="13" t="s">
        <v>170</v>
      </c>
      <c r="G1704" s="13" t="s">
        <v>354</v>
      </c>
      <c r="H1704" s="13" t="s">
        <v>178</v>
      </c>
      <c r="I1704" s="13" t="n">
        <v>3</v>
      </c>
      <c r="J1704" s="13" t="n">
        <v>4</v>
      </c>
      <c r="K1704" s="13" t="n">
        <v>120000</v>
      </c>
      <c r="L1704" s="13"/>
      <c r="M1704" s="13"/>
      <c r="N1704" s="13" t="s">
        <v>142</v>
      </c>
    </row>
    <row r="1705" customFormat="false" ht="15" hidden="false" customHeight="false" outlineLevel="0" collapsed="false">
      <c r="A1705" s="13" t="s">
        <v>1927</v>
      </c>
      <c r="B1705" s="14" t="n">
        <v>45400</v>
      </c>
      <c r="C1705" s="14"/>
      <c r="D1705" s="13" t="n">
        <v>34</v>
      </c>
      <c r="E1705" s="13" t="s">
        <v>163</v>
      </c>
      <c r="F1705" s="13" t="s">
        <v>145</v>
      </c>
      <c r="G1705" s="13" t="s">
        <v>148</v>
      </c>
      <c r="H1705" s="13" t="s">
        <v>149</v>
      </c>
      <c r="I1705" s="13" t="n">
        <v>4</v>
      </c>
      <c r="J1705" s="13" t="n">
        <v>4</v>
      </c>
      <c r="K1705" s="13" t="n">
        <v>108500</v>
      </c>
      <c r="L1705" s="13"/>
      <c r="M1705" s="13"/>
      <c r="N1705" s="13" t="s">
        <v>142</v>
      </c>
    </row>
    <row r="1706" customFormat="false" ht="15" hidden="false" customHeight="false" outlineLevel="0" collapsed="false">
      <c r="A1706" s="13" t="s">
        <v>1928</v>
      </c>
      <c r="B1706" s="14" t="n">
        <v>45404</v>
      </c>
      <c r="C1706" s="14"/>
      <c r="D1706" s="13" t="n">
        <v>34</v>
      </c>
      <c r="E1706" s="13" t="s">
        <v>259</v>
      </c>
      <c r="F1706" s="13" t="s">
        <v>137</v>
      </c>
      <c r="G1706" s="13" t="s">
        <v>155</v>
      </c>
      <c r="H1706" s="13" t="s">
        <v>139</v>
      </c>
      <c r="I1706" s="13" t="n">
        <v>3</v>
      </c>
      <c r="J1706" s="13" t="n">
        <v>3</v>
      </c>
      <c r="K1706" s="13" t="n">
        <v>41000</v>
      </c>
      <c r="L1706" s="13"/>
      <c r="M1706" s="13"/>
      <c r="N1706" s="13" t="s">
        <v>157</v>
      </c>
    </row>
    <row r="1707" customFormat="false" ht="15" hidden="false" customHeight="false" outlineLevel="0" collapsed="false">
      <c r="A1707" s="13" t="s">
        <v>1929</v>
      </c>
      <c r="B1707" s="14" t="n">
        <v>45408</v>
      </c>
      <c r="C1707" s="14"/>
      <c r="D1707" s="13" t="n">
        <v>30</v>
      </c>
      <c r="E1707" s="13" t="s">
        <v>136</v>
      </c>
      <c r="F1707" s="13" t="s">
        <v>137</v>
      </c>
      <c r="G1707" s="13" t="s">
        <v>148</v>
      </c>
      <c r="H1707" s="13" t="s">
        <v>133</v>
      </c>
      <c r="I1707" s="13" t="n">
        <v>3</v>
      </c>
      <c r="J1707" s="13" t="n">
        <v>3</v>
      </c>
      <c r="K1707" s="13" t="n">
        <v>53000</v>
      </c>
      <c r="L1707" s="13"/>
      <c r="M1707" s="13"/>
      <c r="N1707" s="13" t="s">
        <v>142</v>
      </c>
    </row>
    <row r="1708" customFormat="false" ht="15" hidden="false" customHeight="false" outlineLevel="0" collapsed="false">
      <c r="A1708" s="13" t="s">
        <v>1930</v>
      </c>
      <c r="B1708" s="14" t="n">
        <v>45410</v>
      </c>
      <c r="C1708" s="14"/>
      <c r="D1708" s="13" t="n">
        <v>36</v>
      </c>
      <c r="E1708" s="13" t="s">
        <v>163</v>
      </c>
      <c r="F1708" s="13" t="s">
        <v>241</v>
      </c>
      <c r="G1708" s="13" t="s">
        <v>132</v>
      </c>
      <c r="H1708" s="13" t="s">
        <v>139</v>
      </c>
      <c r="I1708" s="13" t="n">
        <v>3</v>
      </c>
      <c r="J1708" s="13" t="n">
        <v>3</v>
      </c>
      <c r="K1708" s="13" t="n">
        <v>36500</v>
      </c>
      <c r="L1708" s="13"/>
      <c r="M1708" s="13"/>
      <c r="N1708" s="13" t="s">
        <v>142</v>
      </c>
    </row>
    <row r="1709" customFormat="false" ht="15" hidden="false" customHeight="false" outlineLevel="0" collapsed="false">
      <c r="A1709" s="13" t="s">
        <v>1931</v>
      </c>
      <c r="B1709" s="14" t="n">
        <v>45410</v>
      </c>
      <c r="C1709" s="14" t="n">
        <v>45795</v>
      </c>
      <c r="D1709" s="13" t="n">
        <v>32</v>
      </c>
      <c r="E1709" s="13" t="s">
        <v>144</v>
      </c>
      <c r="F1709" s="13" t="s">
        <v>170</v>
      </c>
      <c r="G1709" s="13" t="s">
        <v>191</v>
      </c>
      <c r="H1709" s="13" t="s">
        <v>149</v>
      </c>
      <c r="I1709" s="13" t="n">
        <v>3</v>
      </c>
      <c r="J1709" s="13" t="n">
        <v>2</v>
      </c>
      <c r="K1709" s="13" t="n">
        <v>89500</v>
      </c>
      <c r="L1709" s="13" t="s">
        <v>140</v>
      </c>
      <c r="M1709" s="13" t="s">
        <v>159</v>
      </c>
      <c r="N1709" s="13" t="s">
        <v>134</v>
      </c>
    </row>
    <row r="1710" customFormat="false" ht="15" hidden="false" customHeight="false" outlineLevel="0" collapsed="false">
      <c r="A1710" s="13" t="s">
        <v>1932</v>
      </c>
      <c r="B1710" s="14" t="n">
        <v>45412</v>
      </c>
      <c r="C1710" s="14"/>
      <c r="D1710" s="13" t="n">
        <v>26</v>
      </c>
      <c r="E1710" s="13" t="s">
        <v>144</v>
      </c>
      <c r="F1710" s="13" t="s">
        <v>164</v>
      </c>
      <c r="G1710" s="13" t="s">
        <v>148</v>
      </c>
      <c r="H1710" s="13" t="s">
        <v>156</v>
      </c>
      <c r="I1710" s="13" t="n">
        <v>2</v>
      </c>
      <c r="J1710" s="13" t="n">
        <v>3</v>
      </c>
      <c r="K1710" s="13" t="n">
        <v>89500</v>
      </c>
      <c r="L1710" s="13"/>
      <c r="M1710" s="13"/>
      <c r="N1710" s="13" t="s">
        <v>142</v>
      </c>
    </row>
    <row r="1711" customFormat="false" ht="15" hidden="false" customHeight="false" outlineLevel="0" collapsed="false">
      <c r="A1711" s="13" t="s">
        <v>1933</v>
      </c>
      <c r="B1711" s="14" t="n">
        <v>45413</v>
      </c>
      <c r="C1711" s="14"/>
      <c r="D1711" s="13" t="n">
        <v>29</v>
      </c>
      <c r="E1711" s="13" t="s">
        <v>190</v>
      </c>
      <c r="F1711" s="13" t="s">
        <v>168</v>
      </c>
      <c r="G1711" s="13" t="s">
        <v>155</v>
      </c>
      <c r="H1711" s="13" t="s">
        <v>146</v>
      </c>
      <c r="I1711" s="13" t="n">
        <v>3</v>
      </c>
      <c r="J1711" s="13" t="n">
        <v>2</v>
      </c>
      <c r="K1711" s="13" t="n">
        <v>53000</v>
      </c>
      <c r="L1711" s="13"/>
      <c r="M1711" s="13"/>
      <c r="N1711" s="13" t="s">
        <v>142</v>
      </c>
    </row>
    <row r="1712" customFormat="false" ht="15" hidden="false" customHeight="false" outlineLevel="0" collapsed="false">
      <c r="A1712" s="13" t="s">
        <v>1934</v>
      </c>
      <c r="B1712" s="14" t="n">
        <v>45417</v>
      </c>
      <c r="C1712" s="14"/>
      <c r="D1712" s="13" t="n">
        <v>29</v>
      </c>
      <c r="E1712" s="13" t="s">
        <v>130</v>
      </c>
      <c r="F1712" s="13" t="s">
        <v>164</v>
      </c>
      <c r="G1712" s="13" t="s">
        <v>138</v>
      </c>
      <c r="H1712" s="13" t="s">
        <v>242</v>
      </c>
      <c r="I1712" s="13" t="n">
        <v>2</v>
      </c>
      <c r="J1712" s="13" t="n">
        <v>4</v>
      </c>
      <c r="K1712" s="13" t="n">
        <v>100000</v>
      </c>
      <c r="L1712" s="13"/>
      <c r="M1712" s="13"/>
      <c r="N1712" s="13" t="s">
        <v>142</v>
      </c>
    </row>
    <row r="1713" customFormat="false" ht="15" hidden="false" customHeight="false" outlineLevel="0" collapsed="false">
      <c r="A1713" s="13" t="s">
        <v>1935</v>
      </c>
      <c r="B1713" s="14" t="n">
        <v>45417</v>
      </c>
      <c r="C1713" s="14"/>
      <c r="D1713" s="13" t="n">
        <v>33</v>
      </c>
      <c r="E1713" s="13" t="s">
        <v>190</v>
      </c>
      <c r="F1713" s="13" t="s">
        <v>164</v>
      </c>
      <c r="G1713" s="13" t="s">
        <v>374</v>
      </c>
      <c r="H1713" s="13" t="s">
        <v>149</v>
      </c>
      <c r="I1713" s="13" t="n">
        <v>4</v>
      </c>
      <c r="J1713" s="13" t="n">
        <v>4</v>
      </c>
      <c r="K1713" s="13" t="n">
        <v>91000</v>
      </c>
      <c r="L1713" s="13"/>
      <c r="M1713" s="13"/>
      <c r="N1713" s="13" t="s">
        <v>142</v>
      </c>
    </row>
    <row r="1714" customFormat="false" ht="15" hidden="false" customHeight="false" outlineLevel="0" collapsed="false">
      <c r="A1714" s="13" t="s">
        <v>1936</v>
      </c>
      <c r="B1714" s="14" t="n">
        <v>45419</v>
      </c>
      <c r="C1714" s="14"/>
      <c r="D1714" s="13" t="n">
        <v>31</v>
      </c>
      <c r="E1714" s="13" t="s">
        <v>136</v>
      </c>
      <c r="F1714" s="13" t="s">
        <v>137</v>
      </c>
      <c r="G1714" s="13" t="s">
        <v>155</v>
      </c>
      <c r="H1714" s="13" t="s">
        <v>139</v>
      </c>
      <c r="I1714" s="13" t="n">
        <v>3</v>
      </c>
      <c r="J1714" s="13" t="n">
        <v>2</v>
      </c>
      <c r="K1714" s="13" t="n">
        <v>39000</v>
      </c>
      <c r="L1714" s="13"/>
      <c r="M1714" s="13"/>
      <c r="N1714" s="13" t="s">
        <v>142</v>
      </c>
    </row>
    <row r="1715" customFormat="false" ht="15" hidden="false" customHeight="false" outlineLevel="0" collapsed="false">
      <c r="A1715" s="13" t="s">
        <v>1937</v>
      </c>
      <c r="B1715" s="14" t="n">
        <v>45419</v>
      </c>
      <c r="C1715" s="14" t="n">
        <v>45789</v>
      </c>
      <c r="D1715" s="13" t="n">
        <v>30</v>
      </c>
      <c r="E1715" s="13" t="s">
        <v>144</v>
      </c>
      <c r="F1715" s="13" t="s">
        <v>168</v>
      </c>
      <c r="G1715" s="13" t="s">
        <v>191</v>
      </c>
      <c r="H1715" s="13" t="s">
        <v>146</v>
      </c>
      <c r="I1715" s="13" t="n">
        <v>2</v>
      </c>
      <c r="J1715" s="13" t="n">
        <v>3</v>
      </c>
      <c r="K1715" s="13" t="n">
        <v>57000</v>
      </c>
      <c r="L1715" s="13" t="s">
        <v>173</v>
      </c>
      <c r="M1715" s="13" t="s">
        <v>310</v>
      </c>
      <c r="N1715" s="13" t="s">
        <v>134</v>
      </c>
    </row>
    <row r="1716" customFormat="false" ht="15" hidden="false" customHeight="false" outlineLevel="0" collapsed="false">
      <c r="A1716" s="13" t="s">
        <v>1938</v>
      </c>
      <c r="B1716" s="14" t="n">
        <v>45422</v>
      </c>
      <c r="C1716" s="14"/>
      <c r="D1716" s="13" t="n">
        <v>25</v>
      </c>
      <c r="E1716" s="13" t="s">
        <v>144</v>
      </c>
      <c r="F1716" s="13" t="s">
        <v>170</v>
      </c>
      <c r="G1716" s="13" t="s">
        <v>447</v>
      </c>
      <c r="H1716" s="13" t="s">
        <v>146</v>
      </c>
      <c r="I1716" s="13" t="n">
        <v>1</v>
      </c>
      <c r="J1716" s="13" t="n">
        <v>3</v>
      </c>
      <c r="K1716" s="13" t="n">
        <v>54000</v>
      </c>
      <c r="L1716" s="13"/>
      <c r="M1716" s="13"/>
      <c r="N1716" s="13" t="s">
        <v>142</v>
      </c>
    </row>
    <row r="1717" customFormat="false" ht="15" hidden="false" customHeight="false" outlineLevel="0" collapsed="false">
      <c r="A1717" s="13" t="s">
        <v>1939</v>
      </c>
      <c r="B1717" s="14" t="n">
        <v>45423</v>
      </c>
      <c r="C1717" s="14"/>
      <c r="D1717" s="13" t="n">
        <v>33</v>
      </c>
      <c r="E1717" s="13" t="s">
        <v>136</v>
      </c>
      <c r="F1717" s="13" t="s">
        <v>241</v>
      </c>
      <c r="G1717" s="13" t="s">
        <v>132</v>
      </c>
      <c r="H1717" s="13" t="s">
        <v>156</v>
      </c>
      <c r="I1717" s="13" t="n">
        <v>5</v>
      </c>
      <c r="J1717" s="13" t="n">
        <v>3</v>
      </c>
      <c r="K1717" s="13" t="n">
        <v>80500</v>
      </c>
      <c r="L1717" s="13"/>
      <c r="M1717" s="13"/>
      <c r="N1717" s="13" t="s">
        <v>453</v>
      </c>
    </row>
    <row r="1718" customFormat="false" ht="15" hidden="false" customHeight="false" outlineLevel="0" collapsed="false">
      <c r="A1718" s="13" t="s">
        <v>1940</v>
      </c>
      <c r="B1718" s="14" t="n">
        <v>45426</v>
      </c>
      <c r="C1718" s="14"/>
      <c r="D1718" s="13" t="n">
        <v>29</v>
      </c>
      <c r="E1718" s="13" t="s">
        <v>136</v>
      </c>
      <c r="F1718" s="13" t="s">
        <v>154</v>
      </c>
      <c r="G1718" s="13" t="s">
        <v>155</v>
      </c>
      <c r="H1718" s="13" t="s">
        <v>139</v>
      </c>
      <c r="I1718" s="13" t="n">
        <v>3</v>
      </c>
      <c r="J1718" s="13" t="n">
        <v>4</v>
      </c>
      <c r="K1718" s="13" t="n">
        <v>44500</v>
      </c>
      <c r="L1718" s="13"/>
      <c r="M1718" s="13"/>
      <c r="N1718" s="13" t="s">
        <v>142</v>
      </c>
    </row>
    <row r="1719" customFormat="false" ht="15" hidden="false" customHeight="false" outlineLevel="0" collapsed="false">
      <c r="A1719" s="13" t="s">
        <v>1941</v>
      </c>
      <c r="B1719" s="14" t="n">
        <v>45427</v>
      </c>
      <c r="C1719" s="14"/>
      <c r="D1719" s="13" t="n">
        <v>28</v>
      </c>
      <c r="E1719" s="13" t="s">
        <v>136</v>
      </c>
      <c r="F1719" s="13" t="s">
        <v>168</v>
      </c>
      <c r="G1719" s="13" t="s">
        <v>155</v>
      </c>
      <c r="H1719" s="13" t="s">
        <v>146</v>
      </c>
      <c r="I1719" s="13" t="n">
        <v>2</v>
      </c>
      <c r="J1719" s="13" t="n">
        <v>4</v>
      </c>
      <c r="K1719" s="13" t="n">
        <v>51500</v>
      </c>
      <c r="L1719" s="13"/>
      <c r="M1719" s="13"/>
      <c r="N1719" s="13" t="s">
        <v>142</v>
      </c>
    </row>
    <row r="1720" customFormat="false" ht="15" hidden="false" customHeight="false" outlineLevel="0" collapsed="false">
      <c r="A1720" s="13" t="s">
        <v>1942</v>
      </c>
      <c r="B1720" s="14" t="n">
        <v>45429</v>
      </c>
      <c r="C1720" s="14"/>
      <c r="D1720" s="13" t="n">
        <v>23</v>
      </c>
      <c r="E1720" s="13" t="s">
        <v>190</v>
      </c>
      <c r="F1720" s="13" t="s">
        <v>161</v>
      </c>
      <c r="G1720" s="13" t="s">
        <v>148</v>
      </c>
      <c r="H1720" s="13" t="s">
        <v>139</v>
      </c>
      <c r="I1720" s="13" t="n">
        <v>4</v>
      </c>
      <c r="J1720" s="13" t="n">
        <v>2</v>
      </c>
      <c r="K1720" s="13" t="n">
        <v>37000</v>
      </c>
      <c r="L1720" s="13"/>
      <c r="M1720" s="13"/>
      <c r="N1720" s="13" t="s">
        <v>134</v>
      </c>
    </row>
    <row r="1721" customFormat="false" ht="15" hidden="false" customHeight="false" outlineLevel="0" collapsed="false">
      <c r="A1721" s="13" t="s">
        <v>1943</v>
      </c>
      <c r="B1721" s="14" t="n">
        <v>45431</v>
      </c>
      <c r="C1721" s="14" t="n">
        <v>45543</v>
      </c>
      <c r="D1721" s="13" t="n">
        <v>31</v>
      </c>
      <c r="E1721" s="13" t="s">
        <v>163</v>
      </c>
      <c r="F1721" s="13" t="s">
        <v>131</v>
      </c>
      <c r="G1721" s="13" t="s">
        <v>132</v>
      </c>
      <c r="H1721" s="13" t="s">
        <v>139</v>
      </c>
      <c r="I1721" s="13" t="n">
        <v>3</v>
      </c>
      <c r="J1721" s="13" t="n">
        <v>3</v>
      </c>
      <c r="K1721" s="13" t="n">
        <v>32000</v>
      </c>
      <c r="L1721" s="13"/>
      <c r="M1721" s="13" t="s">
        <v>201</v>
      </c>
      <c r="N1721" s="13" t="s">
        <v>142</v>
      </c>
    </row>
    <row r="1722" customFormat="false" ht="15" hidden="false" customHeight="false" outlineLevel="0" collapsed="false">
      <c r="A1722" s="13" t="s">
        <v>1944</v>
      </c>
      <c r="B1722" s="14" t="n">
        <v>45432</v>
      </c>
      <c r="C1722" s="14"/>
      <c r="D1722" s="13" t="n">
        <v>29</v>
      </c>
      <c r="E1722" s="13" t="s">
        <v>259</v>
      </c>
      <c r="F1722" s="13" t="s">
        <v>137</v>
      </c>
      <c r="G1722" s="13" t="s">
        <v>155</v>
      </c>
      <c r="H1722" s="13" t="s">
        <v>133</v>
      </c>
      <c r="I1722" s="13" t="n">
        <v>4</v>
      </c>
      <c r="J1722" s="13" t="n">
        <v>2</v>
      </c>
      <c r="K1722" s="13" t="n">
        <v>54000</v>
      </c>
      <c r="L1722" s="13"/>
      <c r="M1722" s="13"/>
      <c r="N1722" s="13" t="s">
        <v>142</v>
      </c>
    </row>
    <row r="1723" customFormat="false" ht="15" hidden="false" customHeight="false" outlineLevel="0" collapsed="false">
      <c r="A1723" s="13" t="s">
        <v>1945</v>
      </c>
      <c r="B1723" s="14" t="n">
        <v>45432</v>
      </c>
      <c r="C1723" s="14" t="n">
        <v>45834</v>
      </c>
      <c r="D1723" s="13" t="n">
        <v>24</v>
      </c>
      <c r="E1723" s="13" t="s">
        <v>136</v>
      </c>
      <c r="F1723" s="13" t="s">
        <v>168</v>
      </c>
      <c r="G1723" s="13" t="s">
        <v>155</v>
      </c>
      <c r="H1723" s="13" t="s">
        <v>139</v>
      </c>
      <c r="I1723" s="13" t="n">
        <v>3</v>
      </c>
      <c r="J1723" s="13" t="n">
        <v>2</v>
      </c>
      <c r="K1723" s="13" t="n">
        <v>29500</v>
      </c>
      <c r="L1723" s="13" t="s">
        <v>151</v>
      </c>
      <c r="M1723" s="13" t="s">
        <v>201</v>
      </c>
      <c r="N1723" s="13" t="s">
        <v>142</v>
      </c>
    </row>
    <row r="1724" customFormat="false" ht="15" hidden="false" customHeight="false" outlineLevel="0" collapsed="false">
      <c r="A1724" s="13" t="s">
        <v>1946</v>
      </c>
      <c r="B1724" s="14" t="n">
        <v>45439</v>
      </c>
      <c r="C1724" s="14"/>
      <c r="D1724" s="13" t="n">
        <v>33</v>
      </c>
      <c r="E1724" s="13" t="s">
        <v>136</v>
      </c>
      <c r="F1724" s="13" t="s">
        <v>131</v>
      </c>
      <c r="G1724" s="13" t="s">
        <v>155</v>
      </c>
      <c r="H1724" s="13" t="s">
        <v>166</v>
      </c>
      <c r="I1724" s="13" t="n">
        <v>3</v>
      </c>
      <c r="J1724" s="13" t="n">
        <v>4</v>
      </c>
      <c r="K1724" s="13" t="n">
        <v>95500</v>
      </c>
      <c r="L1724" s="13"/>
      <c r="M1724" s="13"/>
      <c r="N1724" s="13" t="s">
        <v>142</v>
      </c>
    </row>
    <row r="1725" customFormat="false" ht="15" hidden="false" customHeight="false" outlineLevel="0" collapsed="false">
      <c r="A1725" s="13" t="s">
        <v>1947</v>
      </c>
      <c r="B1725" s="14" t="n">
        <v>45440</v>
      </c>
      <c r="C1725" s="14"/>
      <c r="D1725" s="13" t="n">
        <v>27</v>
      </c>
      <c r="E1725" s="13" t="s">
        <v>136</v>
      </c>
      <c r="F1725" s="13" t="s">
        <v>170</v>
      </c>
      <c r="G1725" s="13" t="s">
        <v>213</v>
      </c>
      <c r="H1725" s="13" t="s">
        <v>139</v>
      </c>
      <c r="I1725" s="13"/>
      <c r="J1725" s="13" t="n">
        <v>2</v>
      </c>
      <c r="K1725" s="13" t="n">
        <v>38500</v>
      </c>
      <c r="L1725" s="13"/>
      <c r="M1725" s="13"/>
      <c r="N1725" s="13" t="s">
        <v>142</v>
      </c>
    </row>
    <row r="1726" customFormat="false" ht="15" hidden="false" customHeight="false" outlineLevel="0" collapsed="false">
      <c r="A1726" s="13" t="s">
        <v>1948</v>
      </c>
      <c r="B1726" s="14" t="n">
        <v>45443</v>
      </c>
      <c r="C1726" s="14" t="n">
        <v>45488</v>
      </c>
      <c r="D1726" s="13" t="n">
        <v>33</v>
      </c>
      <c r="E1726" s="13" t="s">
        <v>144</v>
      </c>
      <c r="F1726" s="13" t="s">
        <v>168</v>
      </c>
      <c r="G1726" s="13" t="s">
        <v>330</v>
      </c>
      <c r="H1726" s="13" t="s">
        <v>178</v>
      </c>
      <c r="I1726" s="13" t="n">
        <v>3</v>
      </c>
      <c r="J1726" s="13" t="n">
        <v>2</v>
      </c>
      <c r="K1726" s="13" t="n">
        <v>125500</v>
      </c>
      <c r="L1726" s="13" t="s">
        <v>151</v>
      </c>
      <c r="M1726" s="13" t="s">
        <v>314</v>
      </c>
      <c r="N1726" s="13" t="s">
        <v>142</v>
      </c>
    </row>
    <row r="1727" customFormat="false" ht="15" hidden="false" customHeight="false" outlineLevel="0" collapsed="false">
      <c r="A1727" s="13" t="s">
        <v>1949</v>
      </c>
      <c r="B1727" s="14" t="n">
        <v>45443</v>
      </c>
      <c r="C1727" s="14"/>
      <c r="D1727" s="13" t="n">
        <v>28</v>
      </c>
      <c r="E1727" s="13" t="s">
        <v>144</v>
      </c>
      <c r="F1727" s="13" t="s">
        <v>168</v>
      </c>
      <c r="G1727" s="13" t="s">
        <v>138</v>
      </c>
      <c r="H1727" s="13" t="s">
        <v>178</v>
      </c>
      <c r="I1727" s="13" t="n">
        <v>2</v>
      </c>
      <c r="J1727" s="13" t="n">
        <v>3</v>
      </c>
      <c r="K1727" s="13" t="n">
        <v>139000</v>
      </c>
      <c r="L1727" s="13"/>
      <c r="M1727" s="13"/>
      <c r="N1727" s="13" t="s">
        <v>142</v>
      </c>
    </row>
    <row r="1728" customFormat="false" ht="15" hidden="false" customHeight="false" outlineLevel="0" collapsed="false">
      <c r="A1728" s="13" t="s">
        <v>1950</v>
      </c>
      <c r="B1728" s="14" t="n">
        <v>45444</v>
      </c>
      <c r="C1728" s="14"/>
      <c r="D1728" s="13" t="n">
        <v>37</v>
      </c>
      <c r="E1728" s="13" t="s">
        <v>144</v>
      </c>
      <c r="F1728" s="13" t="s">
        <v>154</v>
      </c>
      <c r="G1728" s="13" t="s">
        <v>191</v>
      </c>
      <c r="H1728" s="13" t="s">
        <v>192</v>
      </c>
      <c r="I1728" s="13" t="n">
        <v>1</v>
      </c>
      <c r="J1728" s="13" t="n">
        <v>4</v>
      </c>
      <c r="K1728" s="13" t="n">
        <v>204500</v>
      </c>
      <c r="L1728" s="13"/>
      <c r="M1728" s="13"/>
      <c r="N1728" s="13" t="s">
        <v>142</v>
      </c>
    </row>
    <row r="1729" customFormat="false" ht="15" hidden="false" customHeight="false" outlineLevel="0" collapsed="false">
      <c r="A1729" s="13" t="s">
        <v>1951</v>
      </c>
      <c r="B1729" s="14" t="n">
        <v>45446</v>
      </c>
      <c r="C1729" s="14"/>
      <c r="D1729" s="13" t="n">
        <v>32</v>
      </c>
      <c r="E1729" s="13" t="s">
        <v>190</v>
      </c>
      <c r="F1729" s="13" t="s">
        <v>168</v>
      </c>
      <c r="G1729" s="13" t="s">
        <v>132</v>
      </c>
      <c r="H1729" s="13" t="s">
        <v>139</v>
      </c>
      <c r="I1729" s="13" t="n">
        <v>3</v>
      </c>
      <c r="J1729" s="13" t="n">
        <v>1</v>
      </c>
      <c r="K1729" s="13" t="n">
        <v>32500</v>
      </c>
      <c r="L1729" s="13"/>
      <c r="M1729" s="13"/>
      <c r="N1729" s="13" t="s">
        <v>142</v>
      </c>
    </row>
    <row r="1730" customFormat="false" ht="15" hidden="false" customHeight="false" outlineLevel="0" collapsed="false">
      <c r="A1730" s="13" t="s">
        <v>1952</v>
      </c>
      <c r="B1730" s="14" t="n">
        <v>45447</v>
      </c>
      <c r="C1730" s="14"/>
      <c r="D1730" s="13" t="n">
        <v>23</v>
      </c>
      <c r="E1730" s="13" t="s">
        <v>144</v>
      </c>
      <c r="F1730" s="13" t="s">
        <v>168</v>
      </c>
      <c r="G1730" s="13" t="s">
        <v>191</v>
      </c>
      <c r="H1730" s="13" t="s">
        <v>172</v>
      </c>
      <c r="I1730" s="13" t="n">
        <v>1</v>
      </c>
      <c r="J1730" s="13" t="n">
        <v>4</v>
      </c>
      <c r="K1730" s="13" t="n">
        <v>41500</v>
      </c>
      <c r="L1730" s="13"/>
      <c r="M1730" s="13"/>
      <c r="N1730" s="13" t="s">
        <v>142</v>
      </c>
    </row>
    <row r="1731" customFormat="false" ht="15" hidden="false" customHeight="false" outlineLevel="0" collapsed="false">
      <c r="A1731" s="13" t="s">
        <v>1953</v>
      </c>
      <c r="B1731" s="14" t="n">
        <v>45453</v>
      </c>
      <c r="C1731" s="14"/>
      <c r="D1731" s="13" t="n">
        <v>32</v>
      </c>
      <c r="E1731" s="13" t="s">
        <v>144</v>
      </c>
      <c r="F1731" s="13" t="s">
        <v>131</v>
      </c>
      <c r="G1731" s="13" t="s">
        <v>224</v>
      </c>
      <c r="H1731" s="13" t="s">
        <v>192</v>
      </c>
      <c r="I1731" s="13" t="n">
        <v>4</v>
      </c>
      <c r="J1731" s="13" t="n">
        <v>3</v>
      </c>
      <c r="K1731" s="13" t="n">
        <v>170000</v>
      </c>
      <c r="L1731" s="13"/>
      <c r="M1731" s="13"/>
      <c r="N1731" s="13" t="s">
        <v>134</v>
      </c>
    </row>
    <row r="1732" customFormat="false" ht="15" hidden="false" customHeight="false" outlineLevel="0" collapsed="false">
      <c r="A1732" s="13" t="s">
        <v>1954</v>
      </c>
      <c r="B1732" s="14" t="n">
        <v>45455</v>
      </c>
      <c r="C1732" s="14"/>
      <c r="D1732" s="13" t="n">
        <v>23</v>
      </c>
      <c r="E1732" s="13" t="s">
        <v>136</v>
      </c>
      <c r="F1732" s="13" t="s">
        <v>154</v>
      </c>
      <c r="G1732" s="13" t="s">
        <v>155</v>
      </c>
      <c r="H1732" s="13" t="s">
        <v>139</v>
      </c>
      <c r="I1732" s="13" t="n">
        <v>3</v>
      </c>
      <c r="J1732" s="13" t="n">
        <v>4</v>
      </c>
      <c r="K1732" s="13" t="n">
        <v>35000</v>
      </c>
      <c r="L1732" s="13"/>
      <c r="M1732" s="13"/>
      <c r="N1732" s="13" t="s">
        <v>142</v>
      </c>
    </row>
    <row r="1733" customFormat="false" ht="15" hidden="false" customHeight="false" outlineLevel="0" collapsed="false">
      <c r="A1733" s="13" t="s">
        <v>1955</v>
      </c>
      <c r="B1733" s="14" t="n">
        <v>45455</v>
      </c>
      <c r="C1733" s="14"/>
      <c r="D1733" s="13" t="n">
        <v>26</v>
      </c>
      <c r="E1733" s="13" t="s">
        <v>144</v>
      </c>
      <c r="F1733" s="13" t="s">
        <v>241</v>
      </c>
      <c r="G1733" s="13" t="s">
        <v>148</v>
      </c>
      <c r="H1733" s="13" t="s">
        <v>139</v>
      </c>
      <c r="I1733" s="13" t="n">
        <v>4</v>
      </c>
      <c r="J1733" s="13" t="n">
        <v>4</v>
      </c>
      <c r="K1733" s="13" t="n">
        <v>37000</v>
      </c>
      <c r="L1733" s="13"/>
      <c r="M1733" s="13"/>
      <c r="N1733" s="13" t="s">
        <v>142</v>
      </c>
    </row>
    <row r="1734" customFormat="false" ht="15" hidden="false" customHeight="false" outlineLevel="0" collapsed="false">
      <c r="A1734" s="13" t="s">
        <v>1956</v>
      </c>
      <c r="B1734" s="14" t="n">
        <v>45457</v>
      </c>
      <c r="C1734" s="14"/>
      <c r="D1734" s="13" t="n">
        <v>34</v>
      </c>
      <c r="E1734" s="13" t="s">
        <v>130</v>
      </c>
      <c r="F1734" s="13" t="s">
        <v>137</v>
      </c>
      <c r="G1734" s="13" t="s">
        <v>155</v>
      </c>
      <c r="H1734" s="13" t="s">
        <v>139</v>
      </c>
      <c r="I1734" s="13" t="n">
        <v>3</v>
      </c>
      <c r="J1734" s="13" t="n">
        <v>4</v>
      </c>
      <c r="K1734" s="13" t="n">
        <v>38000</v>
      </c>
      <c r="L1734" s="13"/>
      <c r="M1734" s="13"/>
      <c r="N1734" s="13" t="s">
        <v>134</v>
      </c>
    </row>
    <row r="1735" customFormat="false" ht="15" hidden="false" customHeight="false" outlineLevel="0" collapsed="false">
      <c r="A1735" s="13" t="s">
        <v>1957</v>
      </c>
      <c r="B1735" s="14" t="n">
        <v>45460</v>
      </c>
      <c r="C1735" s="14" t="n">
        <v>45743</v>
      </c>
      <c r="D1735" s="13" t="n">
        <v>26</v>
      </c>
      <c r="E1735" s="13" t="s">
        <v>163</v>
      </c>
      <c r="F1735" s="13" t="s">
        <v>137</v>
      </c>
      <c r="G1735" s="13" t="s">
        <v>138</v>
      </c>
      <c r="H1735" s="13" t="s">
        <v>156</v>
      </c>
      <c r="I1735" s="13"/>
      <c r="J1735" s="13" t="n">
        <v>1</v>
      </c>
      <c r="K1735" s="13" t="n">
        <v>83000</v>
      </c>
      <c r="L1735" s="13" t="s">
        <v>200</v>
      </c>
      <c r="M1735" s="13" t="s">
        <v>141</v>
      </c>
      <c r="N1735" s="13" t="s">
        <v>134</v>
      </c>
    </row>
    <row r="1736" customFormat="false" ht="15" hidden="false" customHeight="false" outlineLevel="0" collapsed="false">
      <c r="A1736" s="13" t="s">
        <v>1958</v>
      </c>
      <c r="B1736" s="14" t="n">
        <v>45460</v>
      </c>
      <c r="C1736" s="14"/>
      <c r="D1736" s="13" t="n">
        <v>31</v>
      </c>
      <c r="E1736" s="13" t="s">
        <v>186</v>
      </c>
      <c r="F1736" s="13" t="s">
        <v>137</v>
      </c>
      <c r="G1736" s="13" t="s">
        <v>155</v>
      </c>
      <c r="H1736" s="13" t="s">
        <v>149</v>
      </c>
      <c r="I1736" s="13" t="n">
        <v>4</v>
      </c>
      <c r="J1736" s="13" t="n">
        <v>3</v>
      </c>
      <c r="K1736" s="13" t="n">
        <v>90500</v>
      </c>
      <c r="L1736" s="13"/>
      <c r="M1736" s="13"/>
      <c r="N1736" s="13" t="s">
        <v>142</v>
      </c>
    </row>
    <row r="1737" customFormat="false" ht="15" hidden="false" customHeight="false" outlineLevel="0" collapsed="false">
      <c r="A1737" s="13" t="s">
        <v>1959</v>
      </c>
      <c r="B1737" s="14" t="n">
        <v>45461</v>
      </c>
      <c r="C1737" s="14"/>
      <c r="D1737" s="13" t="n">
        <v>34</v>
      </c>
      <c r="E1737" s="13" t="s">
        <v>144</v>
      </c>
      <c r="F1737" s="13" t="s">
        <v>241</v>
      </c>
      <c r="G1737" s="13" t="s">
        <v>297</v>
      </c>
      <c r="H1737" s="13" t="s">
        <v>139</v>
      </c>
      <c r="I1737" s="13" t="n">
        <v>3</v>
      </c>
      <c r="J1737" s="13" t="n">
        <v>3</v>
      </c>
      <c r="K1737" s="13" t="n">
        <v>35500</v>
      </c>
      <c r="L1737" s="13"/>
      <c r="M1737" s="13"/>
      <c r="N1737" s="13" t="s">
        <v>142</v>
      </c>
    </row>
    <row r="1738" customFormat="false" ht="15" hidden="false" customHeight="false" outlineLevel="0" collapsed="false">
      <c r="A1738" s="13" t="s">
        <v>1960</v>
      </c>
      <c r="B1738" s="14" t="n">
        <v>45463</v>
      </c>
      <c r="C1738" s="14"/>
      <c r="D1738" s="13" t="n">
        <v>33</v>
      </c>
      <c r="E1738" s="13" t="s">
        <v>136</v>
      </c>
      <c r="F1738" s="13" t="s">
        <v>241</v>
      </c>
      <c r="G1738" s="13" t="s">
        <v>148</v>
      </c>
      <c r="H1738" s="13" t="s">
        <v>146</v>
      </c>
      <c r="I1738" s="13" t="n">
        <v>4</v>
      </c>
      <c r="J1738" s="13" t="n">
        <v>4</v>
      </c>
      <c r="K1738" s="13" t="n">
        <v>54500</v>
      </c>
      <c r="L1738" s="13"/>
      <c r="M1738" s="13"/>
      <c r="N1738" s="13" t="s">
        <v>214</v>
      </c>
    </row>
    <row r="1739" customFormat="false" ht="15" hidden="false" customHeight="false" outlineLevel="0" collapsed="false">
      <c r="A1739" s="13" t="s">
        <v>1961</v>
      </c>
      <c r="B1739" s="14" t="n">
        <v>45463</v>
      </c>
      <c r="C1739" s="14"/>
      <c r="D1739" s="13" t="n">
        <v>37</v>
      </c>
      <c r="E1739" s="13" t="s">
        <v>136</v>
      </c>
      <c r="F1739" s="13" t="s">
        <v>241</v>
      </c>
      <c r="G1739" s="13" t="s">
        <v>132</v>
      </c>
      <c r="H1739" s="13" t="s">
        <v>146</v>
      </c>
      <c r="I1739" s="13" t="n">
        <v>4</v>
      </c>
      <c r="J1739" s="13" t="n">
        <v>2</v>
      </c>
      <c r="K1739" s="13" t="n">
        <v>58500</v>
      </c>
      <c r="L1739" s="13"/>
      <c r="M1739" s="13"/>
      <c r="N1739" s="13" t="s">
        <v>214</v>
      </c>
    </row>
    <row r="1740" customFormat="false" ht="15" hidden="false" customHeight="false" outlineLevel="0" collapsed="false">
      <c r="A1740" s="13" t="s">
        <v>1962</v>
      </c>
      <c r="B1740" s="14" t="n">
        <v>45465</v>
      </c>
      <c r="C1740" s="14"/>
      <c r="D1740" s="13" t="n">
        <v>26</v>
      </c>
      <c r="E1740" s="13" t="s">
        <v>136</v>
      </c>
      <c r="F1740" s="13" t="s">
        <v>168</v>
      </c>
      <c r="G1740" s="13" t="s">
        <v>191</v>
      </c>
      <c r="H1740" s="13" t="s">
        <v>192</v>
      </c>
      <c r="I1740" s="13" t="n">
        <v>4</v>
      </c>
      <c r="J1740" s="13" t="n">
        <v>2</v>
      </c>
      <c r="K1740" s="13" t="n">
        <v>166000</v>
      </c>
      <c r="L1740" s="13"/>
      <c r="M1740" s="13"/>
      <c r="N1740" s="13" t="s">
        <v>134</v>
      </c>
    </row>
    <row r="1741" customFormat="false" ht="15" hidden="false" customHeight="false" outlineLevel="0" collapsed="false">
      <c r="A1741" s="13" t="s">
        <v>1963</v>
      </c>
      <c r="B1741" s="14" t="n">
        <v>45465</v>
      </c>
      <c r="C1741" s="14"/>
      <c r="D1741" s="13" t="n">
        <v>29</v>
      </c>
      <c r="E1741" s="13" t="s">
        <v>163</v>
      </c>
      <c r="F1741" s="13" t="s">
        <v>164</v>
      </c>
      <c r="G1741" s="13" t="s">
        <v>171</v>
      </c>
      <c r="H1741" s="13" t="s">
        <v>156</v>
      </c>
      <c r="I1741" s="13" t="n">
        <v>4</v>
      </c>
      <c r="J1741" s="13" t="n">
        <v>3</v>
      </c>
      <c r="K1741" s="13" t="n">
        <v>96000</v>
      </c>
      <c r="L1741" s="13"/>
      <c r="M1741" s="13"/>
      <c r="N1741" s="13" t="s">
        <v>142</v>
      </c>
    </row>
    <row r="1742" customFormat="false" ht="15" hidden="false" customHeight="false" outlineLevel="0" collapsed="false">
      <c r="A1742" s="13" t="s">
        <v>1964</v>
      </c>
      <c r="B1742" s="14" t="n">
        <v>45467</v>
      </c>
      <c r="C1742" s="14"/>
      <c r="D1742" s="13" t="n">
        <v>32</v>
      </c>
      <c r="E1742" s="13" t="s">
        <v>136</v>
      </c>
      <c r="F1742" s="13" t="s">
        <v>168</v>
      </c>
      <c r="G1742" s="13" t="s">
        <v>138</v>
      </c>
      <c r="H1742" s="13" t="s">
        <v>146</v>
      </c>
      <c r="I1742" s="13" t="n">
        <v>3</v>
      </c>
      <c r="J1742" s="13" t="n">
        <v>2</v>
      </c>
      <c r="K1742" s="13" t="n">
        <v>69500</v>
      </c>
      <c r="L1742" s="13"/>
      <c r="M1742" s="13"/>
      <c r="N1742" s="13" t="s">
        <v>134</v>
      </c>
    </row>
    <row r="1743" customFormat="false" ht="15" hidden="false" customHeight="false" outlineLevel="0" collapsed="false">
      <c r="A1743" s="13" t="s">
        <v>1965</v>
      </c>
      <c r="B1743" s="14" t="n">
        <v>45468</v>
      </c>
      <c r="C1743" s="14"/>
      <c r="D1743" s="13" t="n">
        <v>33</v>
      </c>
      <c r="E1743" s="13" t="s">
        <v>144</v>
      </c>
      <c r="F1743" s="13" t="s">
        <v>168</v>
      </c>
      <c r="G1743" s="13" t="s">
        <v>138</v>
      </c>
      <c r="H1743" s="13" t="s">
        <v>146</v>
      </c>
      <c r="I1743" s="13" t="n">
        <v>3</v>
      </c>
      <c r="J1743" s="13" t="n">
        <v>2</v>
      </c>
      <c r="K1743" s="13" t="n">
        <v>54000</v>
      </c>
      <c r="L1743" s="13"/>
      <c r="M1743" s="13"/>
      <c r="N1743" s="13" t="s">
        <v>142</v>
      </c>
    </row>
    <row r="1744" customFormat="false" ht="15" hidden="false" customHeight="false" outlineLevel="0" collapsed="false">
      <c r="A1744" s="13" t="s">
        <v>1966</v>
      </c>
      <c r="B1744" s="14" t="n">
        <v>45471</v>
      </c>
      <c r="C1744" s="14" t="n">
        <v>45489</v>
      </c>
      <c r="D1744" s="13" t="n">
        <v>23</v>
      </c>
      <c r="E1744" s="13" t="s">
        <v>259</v>
      </c>
      <c r="F1744" s="13" t="s">
        <v>168</v>
      </c>
      <c r="G1744" s="13" t="s">
        <v>213</v>
      </c>
      <c r="H1744" s="13" t="s">
        <v>146</v>
      </c>
      <c r="I1744" s="13" t="n">
        <v>2</v>
      </c>
      <c r="J1744" s="13" t="n">
        <v>2</v>
      </c>
      <c r="K1744" s="13" t="n">
        <v>50500</v>
      </c>
      <c r="L1744" s="13" t="s">
        <v>253</v>
      </c>
      <c r="M1744" s="13" t="s">
        <v>254</v>
      </c>
      <c r="N1744" s="13" t="s">
        <v>142</v>
      </c>
    </row>
    <row r="1745" customFormat="false" ht="15" hidden="false" customHeight="false" outlineLevel="0" collapsed="false">
      <c r="A1745" s="13" t="s">
        <v>1967</v>
      </c>
      <c r="B1745" s="14" t="n">
        <v>45471</v>
      </c>
      <c r="C1745" s="14" t="n">
        <v>45731</v>
      </c>
      <c r="D1745" s="13" t="n">
        <v>23</v>
      </c>
      <c r="E1745" s="13" t="s">
        <v>190</v>
      </c>
      <c r="F1745" s="13" t="s">
        <v>170</v>
      </c>
      <c r="G1745" s="13" t="s">
        <v>148</v>
      </c>
      <c r="H1745" s="13" t="s">
        <v>139</v>
      </c>
      <c r="I1745" s="13" t="n">
        <v>4</v>
      </c>
      <c r="J1745" s="13" t="n">
        <v>4</v>
      </c>
      <c r="K1745" s="13" t="n">
        <v>33500</v>
      </c>
      <c r="L1745" s="13" t="s">
        <v>151</v>
      </c>
      <c r="M1745" s="13" t="s">
        <v>201</v>
      </c>
      <c r="N1745" s="13" t="s">
        <v>142</v>
      </c>
    </row>
    <row r="1746" customFormat="false" ht="15" hidden="false" customHeight="false" outlineLevel="0" collapsed="false">
      <c r="A1746" s="13" t="s">
        <v>1968</v>
      </c>
      <c r="B1746" s="14" t="n">
        <v>45477</v>
      </c>
      <c r="C1746" s="14"/>
      <c r="D1746" s="13" t="n">
        <v>22</v>
      </c>
      <c r="E1746" s="13" t="s">
        <v>163</v>
      </c>
      <c r="F1746" s="13" t="s">
        <v>241</v>
      </c>
      <c r="G1746" s="13" t="s">
        <v>235</v>
      </c>
      <c r="H1746" s="13" t="s">
        <v>149</v>
      </c>
      <c r="I1746" s="13" t="n">
        <v>3</v>
      </c>
      <c r="J1746" s="13" t="n">
        <v>3</v>
      </c>
      <c r="K1746" s="13" t="n">
        <v>93500</v>
      </c>
      <c r="L1746" s="13"/>
      <c r="M1746" s="13"/>
      <c r="N1746" s="13" t="s">
        <v>142</v>
      </c>
    </row>
    <row r="1747" customFormat="false" ht="15" hidden="false" customHeight="false" outlineLevel="0" collapsed="false">
      <c r="A1747" s="13" t="s">
        <v>1969</v>
      </c>
      <c r="B1747" s="14" t="n">
        <v>45478</v>
      </c>
      <c r="C1747" s="14"/>
      <c r="D1747" s="13" t="n">
        <v>29</v>
      </c>
      <c r="E1747" s="13" t="s">
        <v>136</v>
      </c>
      <c r="F1747" s="13" t="s">
        <v>137</v>
      </c>
      <c r="G1747" s="13" t="s">
        <v>138</v>
      </c>
      <c r="H1747" s="13" t="s">
        <v>139</v>
      </c>
      <c r="I1747" s="13" t="n">
        <v>4</v>
      </c>
      <c r="J1747" s="13" t="n">
        <v>2</v>
      </c>
      <c r="K1747" s="13" t="n">
        <v>41500</v>
      </c>
      <c r="L1747" s="13"/>
      <c r="M1747" s="13"/>
      <c r="N1747" s="13" t="s">
        <v>142</v>
      </c>
    </row>
    <row r="1748" customFormat="false" ht="15" hidden="false" customHeight="false" outlineLevel="0" collapsed="false">
      <c r="A1748" s="13" t="s">
        <v>1970</v>
      </c>
      <c r="B1748" s="14" t="n">
        <v>45479</v>
      </c>
      <c r="C1748" s="14"/>
      <c r="D1748" s="13" t="n">
        <v>33</v>
      </c>
      <c r="E1748" s="13" t="s">
        <v>144</v>
      </c>
      <c r="F1748" s="13" t="s">
        <v>168</v>
      </c>
      <c r="G1748" s="13" t="s">
        <v>188</v>
      </c>
      <c r="H1748" s="13" t="s">
        <v>156</v>
      </c>
      <c r="I1748" s="13" t="n">
        <v>3</v>
      </c>
      <c r="J1748" s="13" t="n">
        <v>1</v>
      </c>
      <c r="K1748" s="13" t="n">
        <v>100500</v>
      </c>
      <c r="L1748" s="13"/>
      <c r="M1748" s="13"/>
      <c r="N1748" s="13" t="s">
        <v>142</v>
      </c>
    </row>
    <row r="1749" customFormat="false" ht="15" hidden="false" customHeight="false" outlineLevel="0" collapsed="false">
      <c r="A1749" s="13" t="s">
        <v>1971</v>
      </c>
      <c r="B1749" s="14" t="n">
        <v>45480</v>
      </c>
      <c r="C1749" s="14"/>
      <c r="D1749" s="13" t="n">
        <v>29</v>
      </c>
      <c r="E1749" s="13" t="s">
        <v>144</v>
      </c>
      <c r="F1749" s="13" t="s">
        <v>161</v>
      </c>
      <c r="G1749" s="13" t="s">
        <v>148</v>
      </c>
      <c r="H1749" s="13" t="s">
        <v>149</v>
      </c>
      <c r="I1749" s="13" t="n">
        <v>3</v>
      </c>
      <c r="J1749" s="13" t="n">
        <v>4</v>
      </c>
      <c r="K1749" s="13" t="n">
        <v>110000</v>
      </c>
      <c r="L1749" s="13"/>
      <c r="M1749" s="13"/>
      <c r="N1749" s="13" t="s">
        <v>142</v>
      </c>
    </row>
    <row r="1750" customFormat="false" ht="15" hidden="false" customHeight="false" outlineLevel="0" collapsed="false">
      <c r="A1750" s="13" t="s">
        <v>1972</v>
      </c>
      <c r="B1750" s="14" t="n">
        <v>45481</v>
      </c>
      <c r="C1750" s="14" t="n">
        <v>45698</v>
      </c>
      <c r="D1750" s="13" t="n">
        <v>29</v>
      </c>
      <c r="E1750" s="13" t="s">
        <v>136</v>
      </c>
      <c r="F1750" s="13" t="s">
        <v>168</v>
      </c>
      <c r="G1750" s="13" t="s">
        <v>148</v>
      </c>
      <c r="H1750" s="13" t="s">
        <v>146</v>
      </c>
      <c r="I1750" s="13" t="n">
        <v>5</v>
      </c>
      <c r="J1750" s="13" t="n">
        <v>2</v>
      </c>
      <c r="K1750" s="13" t="n">
        <v>54000</v>
      </c>
      <c r="L1750" s="13" t="s">
        <v>173</v>
      </c>
      <c r="M1750" s="13" t="s">
        <v>254</v>
      </c>
      <c r="N1750" s="13" t="s">
        <v>142</v>
      </c>
    </row>
    <row r="1751" customFormat="false" ht="15" hidden="false" customHeight="false" outlineLevel="0" collapsed="false">
      <c r="A1751" s="13" t="s">
        <v>1973</v>
      </c>
      <c r="B1751" s="14" t="n">
        <v>45483</v>
      </c>
      <c r="C1751" s="14"/>
      <c r="D1751" s="13" t="n">
        <v>34</v>
      </c>
      <c r="E1751" s="13" t="s">
        <v>259</v>
      </c>
      <c r="F1751" s="13" t="s">
        <v>168</v>
      </c>
      <c r="G1751" s="13" t="s">
        <v>438</v>
      </c>
      <c r="H1751" s="13" t="s">
        <v>146</v>
      </c>
      <c r="I1751" s="13" t="n">
        <v>3</v>
      </c>
      <c r="J1751" s="13" t="n">
        <v>2</v>
      </c>
      <c r="K1751" s="13" t="n">
        <v>53500</v>
      </c>
      <c r="L1751" s="13"/>
      <c r="M1751" s="13"/>
      <c r="N1751" s="13" t="s">
        <v>142</v>
      </c>
    </row>
    <row r="1752" customFormat="false" ht="15" hidden="false" customHeight="false" outlineLevel="0" collapsed="false">
      <c r="A1752" s="13" t="s">
        <v>1974</v>
      </c>
      <c r="B1752" s="14" t="n">
        <v>45484</v>
      </c>
      <c r="C1752" s="14" t="n">
        <v>45790</v>
      </c>
      <c r="D1752" s="13" t="n">
        <v>22</v>
      </c>
      <c r="E1752" s="13" t="s">
        <v>182</v>
      </c>
      <c r="F1752" s="13" t="s">
        <v>168</v>
      </c>
      <c r="G1752" s="13" t="s">
        <v>148</v>
      </c>
      <c r="H1752" s="13" t="s">
        <v>156</v>
      </c>
      <c r="I1752" s="13" t="n">
        <v>1</v>
      </c>
      <c r="J1752" s="13" t="n">
        <v>2</v>
      </c>
      <c r="K1752" s="13" t="n">
        <v>79000</v>
      </c>
      <c r="L1752" s="13" t="s">
        <v>173</v>
      </c>
      <c r="M1752" s="13" t="s">
        <v>310</v>
      </c>
      <c r="N1752" s="13" t="s">
        <v>134</v>
      </c>
    </row>
    <row r="1753" customFormat="false" ht="15" hidden="false" customHeight="false" outlineLevel="0" collapsed="false">
      <c r="A1753" s="13" t="s">
        <v>1975</v>
      </c>
      <c r="B1753" s="14" t="n">
        <v>45485</v>
      </c>
      <c r="C1753" s="14"/>
      <c r="D1753" s="13" t="n">
        <v>27</v>
      </c>
      <c r="E1753" s="13" t="s">
        <v>136</v>
      </c>
      <c r="F1753" s="13" t="s">
        <v>164</v>
      </c>
      <c r="G1753" s="13" t="s">
        <v>213</v>
      </c>
      <c r="H1753" s="13" t="s">
        <v>139</v>
      </c>
      <c r="I1753" s="13" t="n">
        <v>4</v>
      </c>
      <c r="J1753" s="13" t="n">
        <v>4</v>
      </c>
      <c r="K1753" s="13" t="n">
        <v>35000</v>
      </c>
      <c r="L1753" s="13"/>
      <c r="M1753" s="13"/>
      <c r="N1753" s="13" t="s">
        <v>134</v>
      </c>
    </row>
    <row r="1754" customFormat="false" ht="15" hidden="false" customHeight="false" outlineLevel="0" collapsed="false">
      <c r="A1754" s="13" t="s">
        <v>1976</v>
      </c>
      <c r="B1754" s="14" t="n">
        <v>45486</v>
      </c>
      <c r="C1754" s="14"/>
      <c r="D1754" s="13" t="n">
        <v>22</v>
      </c>
      <c r="E1754" s="13" t="s">
        <v>136</v>
      </c>
      <c r="F1754" s="13" t="s">
        <v>137</v>
      </c>
      <c r="G1754" s="13" t="s">
        <v>138</v>
      </c>
      <c r="H1754" s="13" t="s">
        <v>139</v>
      </c>
      <c r="I1754" s="13" t="n">
        <v>3</v>
      </c>
      <c r="J1754" s="13" t="n">
        <v>4</v>
      </c>
      <c r="K1754" s="13" t="n">
        <v>37500</v>
      </c>
      <c r="L1754" s="13"/>
      <c r="M1754" s="13"/>
      <c r="N1754" s="13" t="s">
        <v>142</v>
      </c>
    </row>
    <row r="1755" customFormat="false" ht="15" hidden="false" customHeight="false" outlineLevel="0" collapsed="false">
      <c r="A1755" s="13" t="s">
        <v>1977</v>
      </c>
      <c r="B1755" s="14" t="n">
        <v>45487</v>
      </c>
      <c r="C1755" s="14" t="n">
        <v>45510</v>
      </c>
      <c r="D1755" s="13" t="n">
        <v>34</v>
      </c>
      <c r="E1755" s="13" t="s">
        <v>182</v>
      </c>
      <c r="F1755" s="13" t="s">
        <v>145</v>
      </c>
      <c r="G1755" s="13" t="s">
        <v>184</v>
      </c>
      <c r="H1755" s="13" t="s">
        <v>139</v>
      </c>
      <c r="I1755" s="13" t="n">
        <v>2</v>
      </c>
      <c r="J1755" s="13" t="n">
        <v>3</v>
      </c>
      <c r="K1755" s="13" t="n">
        <v>35500</v>
      </c>
      <c r="L1755" s="13" t="s">
        <v>151</v>
      </c>
      <c r="M1755" s="13" t="s">
        <v>216</v>
      </c>
      <c r="N1755" s="13" t="s">
        <v>142</v>
      </c>
    </row>
    <row r="1756" customFormat="false" ht="15" hidden="false" customHeight="false" outlineLevel="0" collapsed="false">
      <c r="A1756" s="13" t="s">
        <v>1978</v>
      </c>
      <c r="B1756" s="14" t="n">
        <v>45487</v>
      </c>
      <c r="C1756" s="14" t="n">
        <v>45655</v>
      </c>
      <c r="D1756" s="13" t="n">
        <v>30</v>
      </c>
      <c r="E1756" s="13" t="s">
        <v>190</v>
      </c>
      <c r="F1756" s="13" t="s">
        <v>154</v>
      </c>
      <c r="G1756" s="13" t="s">
        <v>297</v>
      </c>
      <c r="H1756" s="13" t="s">
        <v>146</v>
      </c>
      <c r="I1756" s="13" t="n">
        <v>2</v>
      </c>
      <c r="J1756" s="13" t="n">
        <v>3</v>
      </c>
      <c r="K1756" s="13" t="n">
        <v>52500</v>
      </c>
      <c r="L1756" s="13" t="s">
        <v>151</v>
      </c>
      <c r="M1756" s="13" t="s">
        <v>206</v>
      </c>
      <c r="N1756" s="13" t="s">
        <v>142</v>
      </c>
    </row>
    <row r="1757" customFormat="false" ht="15" hidden="false" customHeight="false" outlineLevel="0" collapsed="false">
      <c r="A1757" s="13" t="s">
        <v>1979</v>
      </c>
      <c r="B1757" s="14" t="n">
        <v>45489</v>
      </c>
      <c r="C1757" s="14"/>
      <c r="D1757" s="13" t="n">
        <v>36</v>
      </c>
      <c r="E1757" s="13" t="s">
        <v>136</v>
      </c>
      <c r="F1757" s="13" t="s">
        <v>168</v>
      </c>
      <c r="G1757" s="13" t="s">
        <v>1353</v>
      </c>
      <c r="H1757" s="13" t="s">
        <v>146</v>
      </c>
      <c r="I1757" s="13" t="n">
        <v>4</v>
      </c>
      <c r="J1757" s="13" t="n">
        <v>4</v>
      </c>
      <c r="K1757" s="13" t="n">
        <v>62500</v>
      </c>
      <c r="L1757" s="13"/>
      <c r="M1757" s="13"/>
      <c r="N1757" s="13" t="s">
        <v>255</v>
      </c>
    </row>
    <row r="1758" customFormat="false" ht="15" hidden="false" customHeight="false" outlineLevel="0" collapsed="false">
      <c r="A1758" s="13" t="s">
        <v>1980</v>
      </c>
      <c r="B1758" s="14" t="n">
        <v>45493</v>
      </c>
      <c r="C1758" s="14"/>
      <c r="D1758" s="13" t="n">
        <v>22</v>
      </c>
      <c r="E1758" s="13" t="s">
        <v>136</v>
      </c>
      <c r="F1758" s="13" t="s">
        <v>137</v>
      </c>
      <c r="G1758" s="13" t="s">
        <v>191</v>
      </c>
      <c r="H1758" s="13" t="s">
        <v>146</v>
      </c>
      <c r="I1758" s="13" t="n">
        <v>4</v>
      </c>
      <c r="J1758" s="13" t="n">
        <v>2</v>
      </c>
      <c r="K1758" s="13" t="n">
        <v>68500</v>
      </c>
      <c r="L1758" s="13"/>
      <c r="M1758" s="13"/>
      <c r="N1758" s="13" t="s">
        <v>142</v>
      </c>
    </row>
    <row r="1759" customFormat="false" ht="15" hidden="false" customHeight="false" outlineLevel="0" collapsed="false">
      <c r="A1759" s="13" t="s">
        <v>1981</v>
      </c>
      <c r="B1759" s="14" t="n">
        <v>45495</v>
      </c>
      <c r="C1759" s="14"/>
      <c r="D1759" s="13" t="n">
        <v>23</v>
      </c>
      <c r="E1759" s="13" t="s">
        <v>144</v>
      </c>
      <c r="F1759" s="13" t="s">
        <v>239</v>
      </c>
      <c r="G1759" s="13" t="s">
        <v>155</v>
      </c>
      <c r="H1759" s="13" t="s">
        <v>146</v>
      </c>
      <c r="I1759" s="13" t="n">
        <v>4</v>
      </c>
      <c r="J1759" s="13" t="n">
        <v>4</v>
      </c>
      <c r="K1759" s="13" t="n">
        <v>56500</v>
      </c>
      <c r="L1759" s="13"/>
      <c r="M1759" s="13"/>
      <c r="N1759" s="13" t="s">
        <v>142</v>
      </c>
    </row>
    <row r="1760" customFormat="false" ht="15" hidden="false" customHeight="false" outlineLevel="0" collapsed="false">
      <c r="A1760" s="13" t="s">
        <v>1982</v>
      </c>
      <c r="B1760" s="14" t="n">
        <v>45496</v>
      </c>
      <c r="C1760" s="14"/>
      <c r="D1760" s="13" t="n">
        <v>26</v>
      </c>
      <c r="E1760" s="13" t="s">
        <v>130</v>
      </c>
      <c r="F1760" s="13" t="s">
        <v>154</v>
      </c>
      <c r="G1760" s="13" t="s">
        <v>279</v>
      </c>
      <c r="H1760" s="13" t="s">
        <v>149</v>
      </c>
      <c r="I1760" s="13" t="n">
        <v>2</v>
      </c>
      <c r="J1760" s="13" t="n">
        <v>4</v>
      </c>
      <c r="K1760" s="13" t="n">
        <v>98000</v>
      </c>
      <c r="L1760" s="13"/>
      <c r="M1760" s="13"/>
      <c r="N1760" s="13" t="s">
        <v>134</v>
      </c>
    </row>
    <row r="1761" customFormat="false" ht="15" hidden="false" customHeight="false" outlineLevel="0" collapsed="false">
      <c r="A1761" s="13" t="s">
        <v>1983</v>
      </c>
      <c r="B1761" s="14" t="n">
        <v>45496</v>
      </c>
      <c r="C1761" s="14"/>
      <c r="D1761" s="13" t="n">
        <v>31</v>
      </c>
      <c r="E1761" s="13" t="s">
        <v>136</v>
      </c>
      <c r="F1761" s="13" t="s">
        <v>131</v>
      </c>
      <c r="G1761" s="13" t="s">
        <v>213</v>
      </c>
      <c r="H1761" s="13" t="s">
        <v>280</v>
      </c>
      <c r="I1761" s="13" t="n">
        <v>4</v>
      </c>
      <c r="J1761" s="13" t="n">
        <v>3</v>
      </c>
      <c r="K1761" s="13" t="n">
        <v>110500</v>
      </c>
      <c r="L1761" s="13"/>
      <c r="M1761" s="13"/>
      <c r="N1761" s="13" t="s">
        <v>142</v>
      </c>
    </row>
    <row r="1762" customFormat="false" ht="15" hidden="false" customHeight="false" outlineLevel="0" collapsed="false">
      <c r="A1762" s="13" t="s">
        <v>1984</v>
      </c>
      <c r="B1762" s="14" t="n">
        <v>45499</v>
      </c>
      <c r="C1762" s="14" t="n">
        <v>45683</v>
      </c>
      <c r="D1762" s="13" t="n">
        <v>30</v>
      </c>
      <c r="E1762" s="13" t="s">
        <v>136</v>
      </c>
      <c r="F1762" s="13" t="s">
        <v>145</v>
      </c>
      <c r="G1762" s="13" t="s">
        <v>386</v>
      </c>
      <c r="H1762" s="13" t="s">
        <v>343</v>
      </c>
      <c r="I1762" s="13" t="n">
        <v>3</v>
      </c>
      <c r="J1762" s="13" t="n">
        <v>3</v>
      </c>
      <c r="K1762" s="13" t="n">
        <v>100500</v>
      </c>
      <c r="L1762" s="13" t="s">
        <v>140</v>
      </c>
      <c r="M1762" s="13" t="s">
        <v>152</v>
      </c>
      <c r="N1762" s="13" t="s">
        <v>142</v>
      </c>
    </row>
    <row r="1763" customFormat="false" ht="15" hidden="false" customHeight="false" outlineLevel="0" collapsed="false">
      <c r="A1763" s="13" t="s">
        <v>1985</v>
      </c>
      <c r="B1763" s="14" t="n">
        <v>45499</v>
      </c>
      <c r="C1763" s="14"/>
      <c r="D1763" s="13" t="n">
        <v>33</v>
      </c>
      <c r="E1763" s="13" t="s">
        <v>190</v>
      </c>
      <c r="F1763" s="13" t="s">
        <v>154</v>
      </c>
      <c r="G1763" s="13" t="s">
        <v>132</v>
      </c>
      <c r="H1763" s="13" t="s">
        <v>149</v>
      </c>
      <c r="I1763" s="13" t="n">
        <v>3</v>
      </c>
      <c r="J1763" s="13" t="n">
        <v>4</v>
      </c>
      <c r="K1763" s="13" t="n">
        <v>91500</v>
      </c>
      <c r="L1763" s="13"/>
      <c r="M1763" s="13"/>
      <c r="N1763" s="13" t="s">
        <v>157</v>
      </c>
    </row>
    <row r="1764" customFormat="false" ht="15" hidden="false" customHeight="false" outlineLevel="0" collapsed="false">
      <c r="A1764" s="13" t="s">
        <v>1986</v>
      </c>
      <c r="B1764" s="14" t="n">
        <v>45502</v>
      </c>
      <c r="C1764" s="14" t="n">
        <v>45847</v>
      </c>
      <c r="D1764" s="13" t="n">
        <v>32</v>
      </c>
      <c r="E1764" s="13" t="s">
        <v>163</v>
      </c>
      <c r="F1764" s="13" t="s">
        <v>154</v>
      </c>
      <c r="G1764" s="13" t="s">
        <v>374</v>
      </c>
      <c r="H1764" s="13" t="s">
        <v>139</v>
      </c>
      <c r="I1764" s="13" t="n">
        <v>4</v>
      </c>
      <c r="J1764" s="13" t="n">
        <v>2</v>
      </c>
      <c r="K1764" s="13" t="n">
        <v>34000</v>
      </c>
      <c r="L1764" s="13" t="s">
        <v>151</v>
      </c>
      <c r="M1764" s="13" t="s">
        <v>206</v>
      </c>
      <c r="N1764" s="13" t="s">
        <v>134</v>
      </c>
    </row>
    <row r="1765" customFormat="false" ht="15" hidden="false" customHeight="false" outlineLevel="0" collapsed="false">
      <c r="A1765" s="13" t="s">
        <v>1987</v>
      </c>
      <c r="B1765" s="14" t="n">
        <v>45507</v>
      </c>
      <c r="C1765" s="14" t="n">
        <v>45587</v>
      </c>
      <c r="D1765" s="13" t="n">
        <v>23</v>
      </c>
      <c r="E1765" s="13" t="s">
        <v>144</v>
      </c>
      <c r="F1765" s="13" t="s">
        <v>229</v>
      </c>
      <c r="G1765" s="13" t="s">
        <v>191</v>
      </c>
      <c r="H1765" s="13" t="s">
        <v>146</v>
      </c>
      <c r="I1765" s="13" t="n">
        <v>4</v>
      </c>
      <c r="J1765" s="13" t="n">
        <v>3</v>
      </c>
      <c r="K1765" s="13" t="n">
        <v>63500</v>
      </c>
      <c r="L1765" s="13" t="s">
        <v>151</v>
      </c>
      <c r="M1765" s="13" t="s">
        <v>141</v>
      </c>
      <c r="N1765" s="13" t="s">
        <v>142</v>
      </c>
    </row>
    <row r="1766" customFormat="false" ht="15" hidden="false" customHeight="false" outlineLevel="0" collapsed="false">
      <c r="A1766" s="13" t="s">
        <v>1988</v>
      </c>
      <c r="B1766" s="14" t="n">
        <v>45508</v>
      </c>
      <c r="C1766" s="14"/>
      <c r="D1766" s="13" t="n">
        <v>26</v>
      </c>
      <c r="E1766" s="13" t="s">
        <v>144</v>
      </c>
      <c r="F1766" s="13" t="s">
        <v>154</v>
      </c>
      <c r="G1766" s="13" t="s">
        <v>132</v>
      </c>
      <c r="H1766" s="13" t="s">
        <v>146</v>
      </c>
      <c r="I1766" s="13" t="n">
        <v>4</v>
      </c>
      <c r="J1766" s="13" t="n">
        <v>3</v>
      </c>
      <c r="K1766" s="13" t="n">
        <v>63000</v>
      </c>
      <c r="L1766" s="13"/>
      <c r="M1766" s="13"/>
      <c r="N1766" s="13" t="s">
        <v>142</v>
      </c>
    </row>
    <row r="1767" customFormat="false" ht="15" hidden="false" customHeight="false" outlineLevel="0" collapsed="false">
      <c r="A1767" s="13" t="s">
        <v>1989</v>
      </c>
      <c r="B1767" s="14" t="n">
        <v>45509</v>
      </c>
      <c r="C1767" s="14" t="n">
        <v>45772</v>
      </c>
      <c r="D1767" s="13" t="n">
        <v>25</v>
      </c>
      <c r="E1767" s="13" t="s">
        <v>136</v>
      </c>
      <c r="F1767" s="13" t="s">
        <v>229</v>
      </c>
      <c r="G1767" s="13" t="s">
        <v>155</v>
      </c>
      <c r="H1767" s="13" t="s">
        <v>156</v>
      </c>
      <c r="I1767" s="13" t="n">
        <v>3</v>
      </c>
      <c r="J1767" s="13" t="n">
        <v>4</v>
      </c>
      <c r="K1767" s="13" t="n">
        <v>85500</v>
      </c>
      <c r="L1767" s="13" t="s">
        <v>151</v>
      </c>
      <c r="M1767" s="13" t="s">
        <v>203</v>
      </c>
      <c r="N1767" s="13" t="s">
        <v>142</v>
      </c>
    </row>
    <row r="1768" customFormat="false" ht="15" hidden="false" customHeight="false" outlineLevel="0" collapsed="false">
      <c r="A1768" s="13" t="s">
        <v>1990</v>
      </c>
      <c r="B1768" s="14" t="n">
        <v>45510</v>
      </c>
      <c r="C1768" s="14"/>
      <c r="D1768" s="13" t="n">
        <v>36</v>
      </c>
      <c r="E1768" s="13" t="s">
        <v>144</v>
      </c>
      <c r="F1768" s="13" t="s">
        <v>241</v>
      </c>
      <c r="G1768" s="13" t="s">
        <v>334</v>
      </c>
      <c r="H1768" s="13" t="s">
        <v>146</v>
      </c>
      <c r="I1768" s="13" t="n">
        <v>4</v>
      </c>
      <c r="J1768" s="13" t="n">
        <v>3</v>
      </c>
      <c r="K1768" s="13" t="n">
        <v>57000</v>
      </c>
      <c r="L1768" s="13"/>
      <c r="M1768" s="13"/>
      <c r="N1768" s="13" t="s">
        <v>142</v>
      </c>
    </row>
    <row r="1769" customFormat="false" ht="15" hidden="false" customHeight="false" outlineLevel="0" collapsed="false">
      <c r="A1769" s="13" t="s">
        <v>1991</v>
      </c>
      <c r="B1769" s="14" t="n">
        <v>45510</v>
      </c>
      <c r="C1769" s="14"/>
      <c r="D1769" s="13" t="n">
        <v>35</v>
      </c>
      <c r="E1769" s="13" t="s">
        <v>186</v>
      </c>
      <c r="F1769" s="13" t="s">
        <v>145</v>
      </c>
      <c r="G1769" s="13" t="s">
        <v>155</v>
      </c>
      <c r="H1769" s="13" t="s">
        <v>156</v>
      </c>
      <c r="I1769" s="13" t="n">
        <v>3</v>
      </c>
      <c r="J1769" s="13" t="n">
        <v>2</v>
      </c>
      <c r="K1769" s="13" t="n">
        <v>87500</v>
      </c>
      <c r="L1769" s="13"/>
      <c r="M1769" s="13"/>
      <c r="N1769" s="13" t="s">
        <v>142</v>
      </c>
    </row>
    <row r="1770" customFormat="false" ht="15" hidden="false" customHeight="false" outlineLevel="0" collapsed="false">
      <c r="A1770" s="13" t="s">
        <v>1992</v>
      </c>
      <c r="B1770" s="14" t="n">
        <v>45511</v>
      </c>
      <c r="C1770" s="14" t="n">
        <v>45946</v>
      </c>
      <c r="D1770" s="13" t="n">
        <v>33</v>
      </c>
      <c r="E1770" s="13" t="s">
        <v>136</v>
      </c>
      <c r="F1770" s="13" t="s">
        <v>164</v>
      </c>
      <c r="G1770" s="13" t="s">
        <v>148</v>
      </c>
      <c r="H1770" s="13" t="s">
        <v>343</v>
      </c>
      <c r="I1770" s="13" t="n">
        <v>5</v>
      </c>
      <c r="J1770" s="13" t="n">
        <v>2</v>
      </c>
      <c r="K1770" s="13" t="n">
        <v>104000</v>
      </c>
      <c r="L1770" s="13" t="s">
        <v>151</v>
      </c>
      <c r="M1770" s="13" t="s">
        <v>314</v>
      </c>
      <c r="N1770" s="13" t="s">
        <v>134</v>
      </c>
    </row>
    <row r="1771" customFormat="false" ht="15" hidden="false" customHeight="false" outlineLevel="0" collapsed="false">
      <c r="A1771" s="13" t="s">
        <v>1993</v>
      </c>
      <c r="B1771" s="14" t="n">
        <v>45512</v>
      </c>
      <c r="C1771" s="14" t="n">
        <v>45576</v>
      </c>
      <c r="D1771" s="13" t="n">
        <v>28</v>
      </c>
      <c r="E1771" s="13" t="s">
        <v>182</v>
      </c>
      <c r="F1771" s="13" t="s">
        <v>137</v>
      </c>
      <c r="G1771" s="13" t="s">
        <v>138</v>
      </c>
      <c r="H1771" s="13" t="s">
        <v>156</v>
      </c>
      <c r="I1771" s="13" t="n">
        <v>4</v>
      </c>
      <c r="J1771" s="13" t="n">
        <v>4</v>
      </c>
      <c r="K1771" s="13" t="n">
        <v>100000</v>
      </c>
      <c r="L1771" s="13"/>
      <c r="M1771" s="13" t="s">
        <v>159</v>
      </c>
      <c r="N1771" s="13" t="s">
        <v>142</v>
      </c>
    </row>
    <row r="1772" customFormat="false" ht="15" hidden="false" customHeight="false" outlineLevel="0" collapsed="false">
      <c r="A1772" s="13" t="s">
        <v>1994</v>
      </c>
      <c r="B1772" s="14" t="n">
        <v>45514</v>
      </c>
      <c r="C1772" s="14" t="n">
        <v>45767</v>
      </c>
      <c r="D1772" s="13"/>
      <c r="E1772" s="13" t="s">
        <v>163</v>
      </c>
      <c r="F1772" s="13" t="s">
        <v>168</v>
      </c>
      <c r="G1772" s="13" t="s">
        <v>138</v>
      </c>
      <c r="H1772" s="13" t="s">
        <v>139</v>
      </c>
      <c r="I1772" s="13" t="n">
        <v>3</v>
      </c>
      <c r="J1772" s="13" t="n">
        <v>2</v>
      </c>
      <c r="K1772" s="13" t="n">
        <v>37500</v>
      </c>
      <c r="L1772" s="13" t="s">
        <v>151</v>
      </c>
      <c r="M1772" s="13" t="s">
        <v>152</v>
      </c>
      <c r="N1772" s="13" t="s">
        <v>142</v>
      </c>
    </row>
    <row r="1773" customFormat="false" ht="15" hidden="false" customHeight="false" outlineLevel="0" collapsed="false">
      <c r="A1773" s="13" t="s">
        <v>1995</v>
      </c>
      <c r="B1773" s="14" t="n">
        <v>45519</v>
      </c>
      <c r="C1773" s="14"/>
      <c r="D1773" s="13" t="n">
        <v>31</v>
      </c>
      <c r="E1773" s="13" t="s">
        <v>144</v>
      </c>
      <c r="F1773" s="13" t="s">
        <v>161</v>
      </c>
      <c r="G1773" s="13" t="s">
        <v>138</v>
      </c>
      <c r="H1773" s="13" t="s">
        <v>178</v>
      </c>
      <c r="I1773" s="13" t="n">
        <v>3</v>
      </c>
      <c r="J1773" s="13" t="n">
        <v>4</v>
      </c>
      <c r="K1773" s="13" t="n">
        <v>98000</v>
      </c>
      <c r="L1773" s="13"/>
      <c r="M1773" s="13"/>
      <c r="N1773" s="13" t="s">
        <v>142</v>
      </c>
    </row>
    <row r="1774" customFormat="false" ht="15" hidden="false" customHeight="false" outlineLevel="0" collapsed="false">
      <c r="A1774" s="13" t="s">
        <v>1996</v>
      </c>
      <c r="B1774" s="14" t="n">
        <v>45519</v>
      </c>
      <c r="C1774" s="14"/>
      <c r="D1774" s="13" t="n">
        <v>41</v>
      </c>
      <c r="E1774" s="13" t="s">
        <v>190</v>
      </c>
      <c r="F1774" s="13" t="s">
        <v>168</v>
      </c>
      <c r="G1774" s="13" t="s">
        <v>148</v>
      </c>
      <c r="H1774" s="13" t="s">
        <v>178</v>
      </c>
      <c r="I1774" s="13" t="n">
        <v>3</v>
      </c>
      <c r="J1774" s="13" t="n">
        <v>4</v>
      </c>
      <c r="K1774" s="13" t="n">
        <v>133000</v>
      </c>
      <c r="L1774" s="13"/>
      <c r="M1774" s="13"/>
      <c r="N1774" s="13" t="s">
        <v>142</v>
      </c>
    </row>
    <row r="1775" customFormat="false" ht="15" hidden="false" customHeight="false" outlineLevel="0" collapsed="false">
      <c r="A1775" s="13" t="s">
        <v>1997</v>
      </c>
      <c r="B1775" s="14" t="n">
        <v>45519</v>
      </c>
      <c r="C1775" s="14"/>
      <c r="D1775" s="13" t="n">
        <v>34</v>
      </c>
      <c r="E1775" s="13" t="s">
        <v>136</v>
      </c>
      <c r="F1775" s="13" t="s">
        <v>145</v>
      </c>
      <c r="G1775" s="13" t="s">
        <v>138</v>
      </c>
      <c r="H1775" s="13" t="s">
        <v>146</v>
      </c>
      <c r="I1775" s="13" t="n">
        <v>4</v>
      </c>
      <c r="J1775" s="13" t="n">
        <v>4</v>
      </c>
      <c r="K1775" s="13" t="n">
        <v>62500</v>
      </c>
      <c r="L1775" s="13"/>
      <c r="M1775" s="13"/>
      <c r="N1775" s="13" t="s">
        <v>142</v>
      </c>
    </row>
    <row r="1776" customFormat="false" ht="15" hidden="false" customHeight="false" outlineLevel="0" collapsed="false">
      <c r="A1776" s="13" t="s">
        <v>1998</v>
      </c>
      <c r="B1776" s="14" t="n">
        <v>45525</v>
      </c>
      <c r="C1776" s="14" t="n">
        <v>45836</v>
      </c>
      <c r="D1776" s="13" t="n">
        <v>26</v>
      </c>
      <c r="E1776" s="13" t="s">
        <v>136</v>
      </c>
      <c r="F1776" s="13" t="s">
        <v>170</v>
      </c>
      <c r="G1776" s="13" t="s">
        <v>155</v>
      </c>
      <c r="H1776" s="13" t="s">
        <v>149</v>
      </c>
      <c r="I1776" s="13" t="n">
        <v>3</v>
      </c>
      <c r="J1776" s="13" t="n">
        <v>3</v>
      </c>
      <c r="K1776" s="13" t="n">
        <v>94000</v>
      </c>
      <c r="L1776" s="13" t="s">
        <v>151</v>
      </c>
      <c r="M1776" s="13" t="s">
        <v>206</v>
      </c>
      <c r="N1776" s="13" t="s">
        <v>142</v>
      </c>
    </row>
    <row r="1777" customFormat="false" ht="15" hidden="false" customHeight="false" outlineLevel="0" collapsed="false">
      <c r="A1777" s="13" t="s">
        <v>1999</v>
      </c>
      <c r="B1777" s="14" t="n">
        <v>45531</v>
      </c>
      <c r="C1777" s="14"/>
      <c r="D1777" s="13" t="n">
        <v>28</v>
      </c>
      <c r="E1777" s="13" t="s">
        <v>186</v>
      </c>
      <c r="F1777" s="13" t="s">
        <v>137</v>
      </c>
      <c r="G1777" s="13" t="s">
        <v>191</v>
      </c>
      <c r="H1777" s="13" t="s">
        <v>139</v>
      </c>
      <c r="I1777" s="13" t="n">
        <v>5</v>
      </c>
      <c r="J1777" s="13" t="n">
        <v>2</v>
      </c>
      <c r="K1777" s="13" t="n">
        <v>32000</v>
      </c>
      <c r="L1777" s="13"/>
      <c r="M1777" s="13"/>
      <c r="N1777" s="13" t="s">
        <v>142</v>
      </c>
    </row>
    <row r="1778" customFormat="false" ht="15" hidden="false" customHeight="false" outlineLevel="0" collapsed="false">
      <c r="A1778" s="13" t="s">
        <v>2000</v>
      </c>
      <c r="B1778" s="14" t="n">
        <v>45533</v>
      </c>
      <c r="C1778" s="14" t="n">
        <v>45992</v>
      </c>
      <c r="D1778" s="13" t="n">
        <v>22</v>
      </c>
      <c r="E1778" s="13" t="s">
        <v>144</v>
      </c>
      <c r="F1778" s="13" t="s">
        <v>241</v>
      </c>
      <c r="G1778" s="13" t="s">
        <v>155</v>
      </c>
      <c r="H1778" s="13" t="s">
        <v>156</v>
      </c>
      <c r="I1778" s="13" t="n">
        <v>4</v>
      </c>
      <c r="J1778" s="13" t="n">
        <v>1</v>
      </c>
      <c r="K1778" s="13" t="n">
        <v>76500</v>
      </c>
      <c r="L1778" s="13" t="s">
        <v>151</v>
      </c>
      <c r="M1778" s="13" t="s">
        <v>152</v>
      </c>
      <c r="N1778" s="13" t="s">
        <v>142</v>
      </c>
    </row>
    <row r="1779" customFormat="false" ht="15" hidden="false" customHeight="false" outlineLevel="0" collapsed="false">
      <c r="A1779" s="13" t="s">
        <v>2001</v>
      </c>
      <c r="B1779" s="14" t="n">
        <v>45534</v>
      </c>
      <c r="C1779" s="14"/>
      <c r="D1779" s="13" t="n">
        <v>36</v>
      </c>
      <c r="E1779" s="13" t="s">
        <v>144</v>
      </c>
      <c r="F1779" s="13" t="s">
        <v>168</v>
      </c>
      <c r="G1779" s="13" t="s">
        <v>138</v>
      </c>
      <c r="H1779" s="13" t="s">
        <v>156</v>
      </c>
      <c r="I1779" s="13" t="n">
        <v>3</v>
      </c>
      <c r="J1779" s="13" t="n">
        <v>3</v>
      </c>
      <c r="K1779" s="13" t="n">
        <v>95500</v>
      </c>
      <c r="L1779" s="13"/>
      <c r="M1779" s="13"/>
      <c r="N1779" s="13" t="s">
        <v>142</v>
      </c>
    </row>
    <row r="1780" customFormat="false" ht="15" hidden="false" customHeight="false" outlineLevel="0" collapsed="false">
      <c r="A1780" s="13" t="s">
        <v>2002</v>
      </c>
      <c r="B1780" s="14" t="n">
        <v>45536</v>
      </c>
      <c r="C1780" s="14"/>
      <c r="D1780" s="13" t="n">
        <v>25</v>
      </c>
      <c r="E1780" s="13" t="s">
        <v>136</v>
      </c>
      <c r="F1780" s="13" t="s">
        <v>131</v>
      </c>
      <c r="G1780" s="13" t="s">
        <v>132</v>
      </c>
      <c r="H1780" s="13" t="s">
        <v>192</v>
      </c>
      <c r="I1780" s="13" t="n">
        <v>3</v>
      </c>
      <c r="J1780" s="13" t="n">
        <v>2</v>
      </c>
      <c r="K1780" s="13" t="n">
        <v>173000</v>
      </c>
      <c r="L1780" s="13"/>
      <c r="M1780" s="13"/>
      <c r="N1780" s="13" t="s">
        <v>453</v>
      </c>
    </row>
    <row r="1781" customFormat="false" ht="15" hidden="false" customHeight="false" outlineLevel="0" collapsed="false">
      <c r="A1781" s="13" t="s">
        <v>2003</v>
      </c>
      <c r="B1781" s="14" t="n">
        <v>45538</v>
      </c>
      <c r="C1781" s="14"/>
      <c r="D1781" s="13" t="n">
        <v>31</v>
      </c>
      <c r="E1781" s="13" t="s">
        <v>144</v>
      </c>
      <c r="F1781" s="13" t="s">
        <v>161</v>
      </c>
      <c r="G1781" s="13" t="s">
        <v>138</v>
      </c>
      <c r="H1781" s="13" t="s">
        <v>149</v>
      </c>
      <c r="I1781" s="13" t="n">
        <v>4</v>
      </c>
      <c r="J1781" s="13" t="n">
        <v>1</v>
      </c>
      <c r="K1781" s="13" t="n">
        <v>109000</v>
      </c>
      <c r="L1781" s="13"/>
      <c r="M1781" s="13"/>
      <c r="N1781" s="13" t="s">
        <v>142</v>
      </c>
    </row>
    <row r="1782" customFormat="false" ht="15" hidden="false" customHeight="false" outlineLevel="0" collapsed="false">
      <c r="A1782" s="13" t="s">
        <v>2004</v>
      </c>
      <c r="B1782" s="14" t="n">
        <v>45539</v>
      </c>
      <c r="C1782" s="14"/>
      <c r="D1782" s="13" t="n">
        <v>23</v>
      </c>
      <c r="E1782" s="13" t="s">
        <v>259</v>
      </c>
      <c r="F1782" s="13" t="s">
        <v>161</v>
      </c>
      <c r="G1782" s="13" t="s">
        <v>148</v>
      </c>
      <c r="H1782" s="13" t="s">
        <v>172</v>
      </c>
      <c r="I1782" s="13" t="n">
        <v>3</v>
      </c>
      <c r="J1782" s="13" t="n">
        <v>2</v>
      </c>
      <c r="K1782" s="13" t="n">
        <v>42000</v>
      </c>
      <c r="L1782" s="13"/>
      <c r="M1782" s="13"/>
      <c r="N1782" s="13" t="s">
        <v>157</v>
      </c>
    </row>
    <row r="1783" customFormat="false" ht="15" hidden="false" customHeight="false" outlineLevel="0" collapsed="false">
      <c r="A1783" s="13" t="s">
        <v>2005</v>
      </c>
      <c r="B1783" s="14" t="n">
        <v>45540</v>
      </c>
      <c r="C1783" s="14" t="n">
        <v>45897</v>
      </c>
      <c r="D1783" s="13" t="n">
        <v>32</v>
      </c>
      <c r="E1783" s="13" t="s">
        <v>136</v>
      </c>
      <c r="F1783" s="13" t="s">
        <v>168</v>
      </c>
      <c r="G1783" s="13" t="s">
        <v>155</v>
      </c>
      <c r="H1783" s="13" t="s">
        <v>146</v>
      </c>
      <c r="I1783" s="13" t="n">
        <v>3</v>
      </c>
      <c r="J1783" s="13" t="n">
        <v>3</v>
      </c>
      <c r="K1783" s="13" t="n">
        <v>51500</v>
      </c>
      <c r="L1783" s="13" t="s">
        <v>140</v>
      </c>
      <c r="M1783" s="13" t="s">
        <v>201</v>
      </c>
      <c r="N1783" s="13" t="s">
        <v>134</v>
      </c>
    </row>
    <row r="1784" customFormat="false" ht="15" hidden="false" customHeight="false" outlineLevel="0" collapsed="false">
      <c r="A1784" s="13" t="s">
        <v>2006</v>
      </c>
      <c r="B1784" s="14" t="n">
        <v>45541</v>
      </c>
      <c r="C1784" s="14"/>
      <c r="D1784" s="13" t="n">
        <v>32</v>
      </c>
      <c r="E1784" s="13" t="s">
        <v>190</v>
      </c>
      <c r="F1784" s="13" t="s">
        <v>231</v>
      </c>
      <c r="G1784" s="13" t="s">
        <v>132</v>
      </c>
      <c r="H1784" s="13" t="s">
        <v>192</v>
      </c>
      <c r="I1784" s="13" t="n">
        <v>3</v>
      </c>
      <c r="J1784" s="13" t="n">
        <v>4</v>
      </c>
      <c r="K1784" s="13" t="n">
        <v>173000</v>
      </c>
      <c r="L1784" s="13"/>
      <c r="M1784" s="13"/>
      <c r="N1784" s="13" t="s">
        <v>134</v>
      </c>
    </row>
    <row r="1785" customFormat="false" ht="15" hidden="false" customHeight="false" outlineLevel="0" collapsed="false">
      <c r="A1785" s="13" t="s">
        <v>2007</v>
      </c>
      <c r="B1785" s="14" t="n">
        <v>45542</v>
      </c>
      <c r="C1785" s="14"/>
      <c r="D1785" s="13" t="n">
        <v>30</v>
      </c>
      <c r="E1785" s="13" t="s">
        <v>144</v>
      </c>
      <c r="F1785" s="13" t="s">
        <v>231</v>
      </c>
      <c r="G1785" s="13" t="s">
        <v>148</v>
      </c>
      <c r="H1785" s="13" t="s">
        <v>139</v>
      </c>
      <c r="I1785" s="13" t="n">
        <v>3</v>
      </c>
      <c r="J1785" s="13" t="n">
        <v>3</v>
      </c>
      <c r="K1785" s="13" t="n">
        <v>33000</v>
      </c>
      <c r="L1785" s="13"/>
      <c r="M1785" s="13"/>
      <c r="N1785" s="13" t="s">
        <v>142</v>
      </c>
    </row>
    <row r="1786" customFormat="false" ht="15" hidden="false" customHeight="false" outlineLevel="0" collapsed="false">
      <c r="A1786" s="13" t="s">
        <v>2008</v>
      </c>
      <c r="B1786" s="14" t="n">
        <v>45542</v>
      </c>
      <c r="C1786" s="14"/>
      <c r="D1786" s="13" t="n">
        <v>27</v>
      </c>
      <c r="E1786" s="13" t="s">
        <v>144</v>
      </c>
      <c r="F1786" s="13" t="s">
        <v>154</v>
      </c>
      <c r="G1786" s="13" t="s">
        <v>155</v>
      </c>
      <c r="H1786" s="13" t="s">
        <v>242</v>
      </c>
      <c r="I1786" s="13" t="n">
        <v>3</v>
      </c>
      <c r="J1786" s="13" t="n">
        <v>3</v>
      </c>
      <c r="K1786" s="13" t="n">
        <v>79500</v>
      </c>
      <c r="L1786" s="13"/>
      <c r="M1786" s="13"/>
      <c r="N1786" s="13" t="s">
        <v>142</v>
      </c>
    </row>
    <row r="1787" customFormat="false" ht="15" hidden="false" customHeight="false" outlineLevel="0" collapsed="false">
      <c r="A1787" s="13" t="s">
        <v>2009</v>
      </c>
      <c r="B1787" s="14" t="n">
        <v>45542</v>
      </c>
      <c r="C1787" s="14"/>
      <c r="D1787" s="13" t="n">
        <v>42</v>
      </c>
      <c r="E1787" s="13" t="s">
        <v>130</v>
      </c>
      <c r="F1787" s="13" t="s">
        <v>164</v>
      </c>
      <c r="G1787" s="13" t="s">
        <v>155</v>
      </c>
      <c r="H1787" s="13" t="s">
        <v>146</v>
      </c>
      <c r="I1787" s="13" t="n">
        <v>5</v>
      </c>
      <c r="J1787" s="13" t="n">
        <v>3</v>
      </c>
      <c r="K1787" s="13" t="n">
        <v>65000</v>
      </c>
      <c r="L1787" s="13"/>
      <c r="M1787" s="13"/>
      <c r="N1787" s="13" t="s">
        <v>142</v>
      </c>
    </row>
    <row r="1788" customFormat="false" ht="15" hidden="false" customHeight="false" outlineLevel="0" collapsed="false">
      <c r="A1788" s="13" t="s">
        <v>2010</v>
      </c>
      <c r="B1788" s="14" t="n">
        <v>45543</v>
      </c>
      <c r="C1788" s="14"/>
      <c r="D1788" s="13" t="n">
        <v>33</v>
      </c>
      <c r="E1788" s="13" t="s">
        <v>144</v>
      </c>
      <c r="F1788" s="13" t="s">
        <v>137</v>
      </c>
      <c r="G1788" s="13" t="s">
        <v>132</v>
      </c>
      <c r="H1788" s="13" t="s">
        <v>146</v>
      </c>
      <c r="I1788" s="13" t="n">
        <v>2</v>
      </c>
      <c r="J1788" s="13" t="n">
        <v>3</v>
      </c>
      <c r="K1788" s="13" t="n">
        <v>51500</v>
      </c>
      <c r="L1788" s="13"/>
      <c r="M1788" s="13"/>
      <c r="N1788" s="13" t="s">
        <v>142</v>
      </c>
    </row>
    <row r="1789" customFormat="false" ht="15" hidden="false" customHeight="false" outlineLevel="0" collapsed="false">
      <c r="A1789" s="13" t="s">
        <v>2011</v>
      </c>
      <c r="B1789" s="14" t="n">
        <v>45546</v>
      </c>
      <c r="C1789" s="14"/>
      <c r="D1789" s="13" t="n">
        <v>32</v>
      </c>
      <c r="E1789" s="13" t="s">
        <v>136</v>
      </c>
      <c r="F1789" s="13" t="s">
        <v>131</v>
      </c>
      <c r="G1789" s="13" t="s">
        <v>155</v>
      </c>
      <c r="H1789" s="13" t="s">
        <v>178</v>
      </c>
      <c r="I1789" s="13" t="n">
        <v>5</v>
      </c>
      <c r="J1789" s="13" t="n">
        <v>3</v>
      </c>
      <c r="K1789" s="13" t="n">
        <v>124500</v>
      </c>
      <c r="L1789" s="13"/>
      <c r="M1789" s="13"/>
      <c r="N1789" s="13" t="s">
        <v>142</v>
      </c>
    </row>
    <row r="1790" customFormat="false" ht="15" hidden="false" customHeight="false" outlineLevel="0" collapsed="false">
      <c r="A1790" s="13" t="s">
        <v>2012</v>
      </c>
      <c r="B1790" s="14" t="n">
        <v>45547</v>
      </c>
      <c r="C1790" s="14"/>
      <c r="D1790" s="13" t="n">
        <v>30</v>
      </c>
      <c r="E1790" s="13" t="s">
        <v>136</v>
      </c>
      <c r="F1790" s="13" t="s">
        <v>131</v>
      </c>
      <c r="G1790" s="13" t="s">
        <v>447</v>
      </c>
      <c r="H1790" s="13" t="s">
        <v>178</v>
      </c>
      <c r="I1790" s="13" t="n">
        <v>5</v>
      </c>
      <c r="J1790" s="13" t="n">
        <v>4</v>
      </c>
      <c r="K1790" s="13" t="n">
        <v>144000</v>
      </c>
      <c r="L1790" s="13"/>
      <c r="M1790" s="13"/>
      <c r="N1790" s="13" t="s">
        <v>134</v>
      </c>
    </row>
    <row r="1791" customFormat="false" ht="15" hidden="false" customHeight="false" outlineLevel="0" collapsed="false">
      <c r="A1791" s="13" t="s">
        <v>2013</v>
      </c>
      <c r="B1791" s="14" t="n">
        <v>45548</v>
      </c>
      <c r="C1791" s="14"/>
      <c r="D1791" s="13" t="n">
        <v>31</v>
      </c>
      <c r="E1791" s="13" t="s">
        <v>259</v>
      </c>
      <c r="F1791" s="13" t="s">
        <v>137</v>
      </c>
      <c r="G1791" s="13" t="s">
        <v>354</v>
      </c>
      <c r="H1791" s="13" t="s">
        <v>411</v>
      </c>
      <c r="I1791" s="13" t="n">
        <v>4</v>
      </c>
      <c r="J1791" s="13" t="n">
        <v>1</v>
      </c>
      <c r="K1791" s="13" t="n">
        <v>60000</v>
      </c>
      <c r="L1791" s="13"/>
      <c r="M1791" s="13"/>
      <c r="N1791" s="13" t="s">
        <v>142</v>
      </c>
    </row>
    <row r="1792" customFormat="false" ht="15" hidden="false" customHeight="false" outlineLevel="0" collapsed="false">
      <c r="A1792" s="13" t="s">
        <v>2014</v>
      </c>
      <c r="B1792" s="14" t="n">
        <v>45549</v>
      </c>
      <c r="C1792" s="14"/>
      <c r="D1792" s="13" t="n">
        <v>34</v>
      </c>
      <c r="E1792" s="13" t="s">
        <v>259</v>
      </c>
      <c r="F1792" s="13" t="s">
        <v>154</v>
      </c>
      <c r="G1792" s="13" t="s">
        <v>148</v>
      </c>
      <c r="H1792" s="13" t="s">
        <v>156</v>
      </c>
      <c r="I1792" s="13" t="n">
        <v>3</v>
      </c>
      <c r="J1792" s="13" t="n">
        <v>4</v>
      </c>
      <c r="K1792" s="13" t="n">
        <v>84500</v>
      </c>
      <c r="L1792" s="13"/>
      <c r="M1792" s="13"/>
      <c r="N1792" s="13" t="s">
        <v>142</v>
      </c>
    </row>
    <row r="1793" customFormat="false" ht="15" hidden="false" customHeight="false" outlineLevel="0" collapsed="false">
      <c r="A1793" s="13" t="s">
        <v>2015</v>
      </c>
      <c r="B1793" s="14" t="n">
        <v>45550</v>
      </c>
      <c r="C1793" s="14"/>
      <c r="D1793" s="13" t="n">
        <v>31</v>
      </c>
      <c r="E1793" s="13" t="s">
        <v>259</v>
      </c>
      <c r="F1793" s="13" t="s">
        <v>168</v>
      </c>
      <c r="G1793" s="13" t="s">
        <v>132</v>
      </c>
      <c r="H1793" s="13" t="s">
        <v>139</v>
      </c>
      <c r="I1793" s="13" t="n">
        <v>4</v>
      </c>
      <c r="J1793" s="13" t="n">
        <v>3</v>
      </c>
      <c r="K1793" s="13" t="n">
        <v>39000</v>
      </c>
      <c r="L1793" s="13"/>
      <c r="M1793" s="13"/>
      <c r="N1793" s="13" t="s">
        <v>142</v>
      </c>
    </row>
    <row r="1794" customFormat="false" ht="15" hidden="false" customHeight="false" outlineLevel="0" collapsed="false">
      <c r="A1794" s="13" t="s">
        <v>2016</v>
      </c>
      <c r="B1794" s="14" t="n">
        <v>45551</v>
      </c>
      <c r="C1794" s="14" t="n">
        <v>45921</v>
      </c>
      <c r="D1794" s="13" t="n">
        <v>34</v>
      </c>
      <c r="E1794" s="13" t="s">
        <v>144</v>
      </c>
      <c r="F1794" s="13" t="s">
        <v>154</v>
      </c>
      <c r="G1794" s="13" t="s">
        <v>148</v>
      </c>
      <c r="H1794" s="13" t="s">
        <v>156</v>
      </c>
      <c r="I1794" s="13" t="n">
        <v>4</v>
      </c>
      <c r="J1794" s="13" t="n">
        <v>1</v>
      </c>
      <c r="K1794" s="13" t="n">
        <v>93000</v>
      </c>
      <c r="L1794" s="13" t="s">
        <v>151</v>
      </c>
      <c r="M1794" s="13" t="s">
        <v>206</v>
      </c>
      <c r="N1794" s="13" t="s">
        <v>134</v>
      </c>
    </row>
    <row r="1795" customFormat="false" ht="15" hidden="false" customHeight="false" outlineLevel="0" collapsed="false">
      <c r="A1795" s="13" t="s">
        <v>2017</v>
      </c>
      <c r="B1795" s="14" t="n">
        <v>45554</v>
      </c>
      <c r="C1795" s="14" t="n">
        <v>45974</v>
      </c>
      <c r="D1795" s="13" t="n">
        <v>28</v>
      </c>
      <c r="E1795" s="13" t="s">
        <v>144</v>
      </c>
      <c r="F1795" s="13" t="s">
        <v>168</v>
      </c>
      <c r="G1795" s="13" t="s">
        <v>171</v>
      </c>
      <c r="H1795" s="13" t="s">
        <v>172</v>
      </c>
      <c r="I1795" s="13" t="n">
        <v>2</v>
      </c>
      <c r="J1795" s="13" t="n">
        <v>3</v>
      </c>
      <c r="K1795" s="13" t="n">
        <v>45500</v>
      </c>
      <c r="L1795" s="13" t="s">
        <v>140</v>
      </c>
      <c r="M1795" s="13" t="s">
        <v>1232</v>
      </c>
      <c r="N1795" s="13" t="s">
        <v>142</v>
      </c>
    </row>
    <row r="1796" customFormat="false" ht="15" hidden="false" customHeight="false" outlineLevel="0" collapsed="false">
      <c r="A1796" s="13" t="s">
        <v>2018</v>
      </c>
      <c r="B1796" s="14" t="n">
        <v>45557</v>
      </c>
      <c r="C1796" s="14"/>
      <c r="D1796" s="13" t="n">
        <v>33</v>
      </c>
      <c r="E1796" s="13" t="s">
        <v>144</v>
      </c>
      <c r="F1796" s="13" t="s">
        <v>168</v>
      </c>
      <c r="G1796" s="13" t="s">
        <v>191</v>
      </c>
      <c r="H1796" s="13" t="s">
        <v>149</v>
      </c>
      <c r="I1796" s="13" t="n">
        <v>5</v>
      </c>
      <c r="J1796" s="13" t="n">
        <v>1</v>
      </c>
      <c r="K1796" s="13" t="n">
        <v>89000</v>
      </c>
      <c r="L1796" s="13"/>
      <c r="M1796" s="13"/>
      <c r="N1796" s="13" t="s">
        <v>142</v>
      </c>
    </row>
    <row r="1797" customFormat="false" ht="15" hidden="false" customHeight="false" outlineLevel="0" collapsed="false">
      <c r="A1797" s="13" t="s">
        <v>2019</v>
      </c>
      <c r="B1797" s="14" t="n">
        <v>45560</v>
      </c>
      <c r="C1797" s="14" t="n">
        <v>45789</v>
      </c>
      <c r="D1797" s="13" t="n">
        <v>30</v>
      </c>
      <c r="E1797" s="13" t="s">
        <v>136</v>
      </c>
      <c r="F1797" s="13" t="s">
        <v>229</v>
      </c>
      <c r="G1797" s="13" t="s">
        <v>138</v>
      </c>
      <c r="H1797" s="13" t="s">
        <v>139</v>
      </c>
      <c r="I1797" s="13" t="n">
        <v>3</v>
      </c>
      <c r="J1797" s="13" t="n">
        <v>2</v>
      </c>
      <c r="K1797" s="13" t="n">
        <v>37000</v>
      </c>
      <c r="L1797" s="13" t="s">
        <v>272</v>
      </c>
      <c r="M1797" s="13" t="s">
        <v>273</v>
      </c>
      <c r="N1797" s="13" t="s">
        <v>214</v>
      </c>
    </row>
    <row r="1798" customFormat="false" ht="15" hidden="false" customHeight="false" outlineLevel="0" collapsed="false">
      <c r="A1798" s="13" t="s">
        <v>2020</v>
      </c>
      <c r="B1798" s="14" t="n">
        <v>45563</v>
      </c>
      <c r="C1798" s="14"/>
      <c r="D1798" s="13" t="n">
        <v>33</v>
      </c>
      <c r="E1798" s="13" t="s">
        <v>144</v>
      </c>
      <c r="F1798" s="13" t="s">
        <v>154</v>
      </c>
      <c r="G1798" s="13" t="s">
        <v>155</v>
      </c>
      <c r="H1798" s="13" t="s">
        <v>139</v>
      </c>
      <c r="I1798" s="13" t="n">
        <v>3</v>
      </c>
      <c r="J1798" s="13" t="n">
        <v>3</v>
      </c>
      <c r="K1798" s="13" t="n">
        <v>39000</v>
      </c>
      <c r="L1798" s="13"/>
      <c r="M1798" s="13"/>
      <c r="N1798" s="13" t="s">
        <v>142</v>
      </c>
    </row>
    <row r="1799" customFormat="false" ht="15" hidden="false" customHeight="false" outlineLevel="0" collapsed="false">
      <c r="A1799" s="13" t="s">
        <v>2021</v>
      </c>
      <c r="B1799" s="14" t="n">
        <v>45564</v>
      </c>
      <c r="C1799" s="14"/>
      <c r="D1799" s="13" t="n">
        <v>30</v>
      </c>
      <c r="E1799" s="13" t="s">
        <v>136</v>
      </c>
      <c r="F1799" s="13" t="s">
        <v>168</v>
      </c>
      <c r="G1799" s="13" t="s">
        <v>224</v>
      </c>
      <c r="H1799" s="13" t="s">
        <v>139</v>
      </c>
      <c r="I1799" s="13" t="n">
        <v>4</v>
      </c>
      <c r="J1799" s="13" t="n">
        <v>2</v>
      </c>
      <c r="K1799" s="13" t="n">
        <v>38000</v>
      </c>
      <c r="L1799" s="13"/>
      <c r="M1799" s="13"/>
      <c r="N1799" s="13" t="s">
        <v>142</v>
      </c>
    </row>
    <row r="1800" customFormat="false" ht="15" hidden="false" customHeight="false" outlineLevel="0" collapsed="false">
      <c r="A1800" s="13" t="s">
        <v>2022</v>
      </c>
      <c r="B1800" s="14" t="n">
        <v>45564</v>
      </c>
      <c r="C1800" s="14" t="n">
        <v>45844</v>
      </c>
      <c r="D1800" s="13" t="n">
        <v>28</v>
      </c>
      <c r="E1800" s="13" t="s">
        <v>186</v>
      </c>
      <c r="F1800" s="13" t="s">
        <v>170</v>
      </c>
      <c r="G1800" s="13" t="s">
        <v>138</v>
      </c>
      <c r="H1800" s="13" t="s">
        <v>246</v>
      </c>
      <c r="I1800" s="13" t="n">
        <v>3</v>
      </c>
      <c r="J1800" s="13" t="n">
        <v>1</v>
      </c>
      <c r="K1800" s="13" t="n">
        <v>123000</v>
      </c>
      <c r="L1800" s="13" t="s">
        <v>151</v>
      </c>
      <c r="M1800" s="13" t="s">
        <v>159</v>
      </c>
      <c r="N1800" s="13" t="s">
        <v>134</v>
      </c>
    </row>
    <row r="1801" customFormat="false" ht="15" hidden="false" customHeight="false" outlineLevel="0" collapsed="false">
      <c r="A1801" s="13" t="s">
        <v>2023</v>
      </c>
      <c r="B1801" s="14" t="n">
        <v>45565</v>
      </c>
      <c r="C1801" s="14"/>
      <c r="D1801" s="13" t="n">
        <v>30</v>
      </c>
      <c r="E1801" s="13" t="s">
        <v>144</v>
      </c>
      <c r="F1801" s="13" t="s">
        <v>168</v>
      </c>
      <c r="G1801" s="13" t="s">
        <v>138</v>
      </c>
      <c r="H1801" s="13" t="s">
        <v>149</v>
      </c>
      <c r="I1801" s="13" t="n">
        <v>4</v>
      </c>
      <c r="J1801" s="13" t="n">
        <v>3</v>
      </c>
      <c r="K1801" s="13" t="n">
        <v>108500</v>
      </c>
      <c r="L1801" s="13"/>
      <c r="M1801" s="13"/>
      <c r="N1801" s="13" t="s">
        <v>134</v>
      </c>
    </row>
    <row r="1802" customFormat="false" ht="15" hidden="false" customHeight="false" outlineLevel="0" collapsed="false">
      <c r="A1802" s="13" t="s">
        <v>2024</v>
      </c>
      <c r="B1802" s="14" t="n">
        <v>45569</v>
      </c>
      <c r="C1802" s="14"/>
      <c r="D1802" s="13" t="n">
        <v>31</v>
      </c>
      <c r="E1802" s="13" t="s">
        <v>144</v>
      </c>
      <c r="F1802" s="13" t="s">
        <v>168</v>
      </c>
      <c r="G1802" s="13" t="s">
        <v>171</v>
      </c>
      <c r="H1802" s="13" t="s">
        <v>156</v>
      </c>
      <c r="I1802" s="13" t="n">
        <v>3</v>
      </c>
      <c r="J1802" s="13" t="n">
        <v>3</v>
      </c>
      <c r="K1802" s="13" t="n">
        <v>88500</v>
      </c>
      <c r="L1802" s="13"/>
      <c r="M1802" s="13"/>
      <c r="N1802" s="13" t="s">
        <v>134</v>
      </c>
    </row>
    <row r="1803" customFormat="false" ht="15" hidden="false" customHeight="false" outlineLevel="0" collapsed="false">
      <c r="A1803" s="13" t="s">
        <v>2025</v>
      </c>
      <c r="B1803" s="14" t="n">
        <v>45569</v>
      </c>
      <c r="C1803" s="14"/>
      <c r="D1803" s="13" t="n">
        <v>31</v>
      </c>
      <c r="E1803" s="13" t="s">
        <v>130</v>
      </c>
      <c r="F1803" s="13" t="s">
        <v>241</v>
      </c>
      <c r="G1803" s="13" t="s">
        <v>155</v>
      </c>
      <c r="H1803" s="13" t="s">
        <v>178</v>
      </c>
      <c r="I1803" s="13" t="n">
        <v>1</v>
      </c>
      <c r="J1803" s="13" t="n">
        <v>4</v>
      </c>
      <c r="K1803" s="13" t="n">
        <v>128000</v>
      </c>
      <c r="L1803" s="13"/>
      <c r="M1803" s="13"/>
      <c r="N1803" s="13" t="s">
        <v>142</v>
      </c>
    </row>
    <row r="1804" customFormat="false" ht="15" hidden="false" customHeight="false" outlineLevel="0" collapsed="false">
      <c r="A1804" s="13" t="s">
        <v>2026</v>
      </c>
      <c r="B1804" s="14" t="n">
        <v>45578</v>
      </c>
      <c r="C1804" s="14"/>
      <c r="D1804" s="13" t="n">
        <v>24</v>
      </c>
      <c r="E1804" s="13" t="s">
        <v>136</v>
      </c>
      <c r="F1804" s="13" t="s">
        <v>131</v>
      </c>
      <c r="G1804" s="13" t="s">
        <v>138</v>
      </c>
      <c r="H1804" s="13" t="s">
        <v>149</v>
      </c>
      <c r="I1804" s="13" t="n">
        <v>3</v>
      </c>
      <c r="J1804" s="13" t="n">
        <v>2</v>
      </c>
      <c r="K1804" s="13" t="n">
        <v>119000</v>
      </c>
      <c r="L1804" s="13"/>
      <c r="M1804" s="13"/>
      <c r="N1804" s="13" t="s">
        <v>142</v>
      </c>
    </row>
    <row r="1805" customFormat="false" ht="15" hidden="false" customHeight="false" outlineLevel="0" collapsed="false">
      <c r="A1805" s="13" t="s">
        <v>2027</v>
      </c>
      <c r="B1805" s="14" t="n">
        <v>45580</v>
      </c>
      <c r="C1805" s="14"/>
      <c r="D1805" s="13" t="n">
        <v>33</v>
      </c>
      <c r="E1805" s="13" t="s">
        <v>136</v>
      </c>
      <c r="F1805" s="13" t="s">
        <v>131</v>
      </c>
      <c r="G1805" s="13" t="s">
        <v>155</v>
      </c>
      <c r="H1805" s="13" t="s">
        <v>139</v>
      </c>
      <c r="I1805" s="13" t="n">
        <v>3</v>
      </c>
      <c r="J1805" s="13" t="n">
        <v>2</v>
      </c>
      <c r="K1805" s="13" t="n">
        <v>45500</v>
      </c>
      <c r="L1805" s="13"/>
      <c r="M1805" s="13"/>
      <c r="N1805" s="13" t="s">
        <v>214</v>
      </c>
    </row>
    <row r="1806" customFormat="false" ht="15" hidden="false" customHeight="false" outlineLevel="0" collapsed="false">
      <c r="A1806" s="13" t="s">
        <v>2028</v>
      </c>
      <c r="B1806" s="14" t="n">
        <v>45582</v>
      </c>
      <c r="C1806" s="14" t="n">
        <v>45824</v>
      </c>
      <c r="D1806" s="13" t="n">
        <v>28</v>
      </c>
      <c r="E1806" s="13" t="s">
        <v>136</v>
      </c>
      <c r="F1806" s="13" t="s">
        <v>137</v>
      </c>
      <c r="G1806" s="13" t="s">
        <v>132</v>
      </c>
      <c r="H1806" s="13" t="s">
        <v>139</v>
      </c>
      <c r="I1806" s="13" t="n">
        <v>2</v>
      </c>
      <c r="J1806" s="13" t="n">
        <v>3</v>
      </c>
      <c r="K1806" s="13" t="n">
        <v>39000</v>
      </c>
      <c r="L1806" s="13" t="s">
        <v>253</v>
      </c>
      <c r="M1806" s="13" t="s">
        <v>254</v>
      </c>
      <c r="N1806" s="13" t="s">
        <v>134</v>
      </c>
    </row>
    <row r="1807" customFormat="false" ht="15" hidden="false" customHeight="false" outlineLevel="0" collapsed="false">
      <c r="A1807" s="13" t="s">
        <v>2029</v>
      </c>
      <c r="B1807" s="14" t="n">
        <v>45583</v>
      </c>
      <c r="C1807" s="14" t="n">
        <v>46014</v>
      </c>
      <c r="D1807" s="13" t="n">
        <v>34</v>
      </c>
      <c r="E1807" s="13" t="s">
        <v>163</v>
      </c>
      <c r="F1807" s="13" t="s">
        <v>168</v>
      </c>
      <c r="G1807" s="13" t="s">
        <v>138</v>
      </c>
      <c r="H1807" s="13" t="s">
        <v>139</v>
      </c>
      <c r="I1807" s="13" t="n">
        <v>4</v>
      </c>
      <c r="J1807" s="13" t="n">
        <v>4</v>
      </c>
      <c r="K1807" s="13" t="n">
        <v>38500</v>
      </c>
      <c r="L1807" s="13" t="s">
        <v>151</v>
      </c>
      <c r="M1807" s="13"/>
      <c r="N1807" s="13" t="s">
        <v>142</v>
      </c>
    </row>
    <row r="1808" customFormat="false" ht="15" hidden="false" customHeight="false" outlineLevel="0" collapsed="false">
      <c r="A1808" s="13" t="s">
        <v>2030</v>
      </c>
      <c r="B1808" s="14" t="n">
        <v>45584</v>
      </c>
      <c r="C1808" s="14"/>
      <c r="D1808" s="13" t="n">
        <v>32</v>
      </c>
      <c r="E1808" s="13" t="s">
        <v>136</v>
      </c>
      <c r="F1808" s="13" t="s">
        <v>168</v>
      </c>
      <c r="G1808" s="13" t="s">
        <v>138</v>
      </c>
      <c r="H1808" s="13" t="s">
        <v>139</v>
      </c>
      <c r="I1808" s="13" t="n">
        <v>3</v>
      </c>
      <c r="J1808" s="13" t="n">
        <v>2</v>
      </c>
      <c r="K1808" s="13" t="n">
        <v>36000</v>
      </c>
      <c r="L1808" s="13"/>
      <c r="M1808" s="13"/>
      <c r="N1808" s="13" t="s">
        <v>142</v>
      </c>
    </row>
    <row r="1809" customFormat="false" ht="15" hidden="false" customHeight="false" outlineLevel="0" collapsed="false">
      <c r="A1809" s="13" t="s">
        <v>2031</v>
      </c>
      <c r="B1809" s="14" t="n">
        <v>45584</v>
      </c>
      <c r="C1809" s="14" t="n">
        <v>45929</v>
      </c>
      <c r="D1809" s="13" t="n">
        <v>26</v>
      </c>
      <c r="E1809" s="13" t="s">
        <v>136</v>
      </c>
      <c r="F1809" s="13" t="s">
        <v>154</v>
      </c>
      <c r="G1809" s="13" t="s">
        <v>132</v>
      </c>
      <c r="H1809" s="13" t="s">
        <v>139</v>
      </c>
      <c r="I1809" s="13" t="n">
        <v>3</v>
      </c>
      <c r="J1809" s="13" t="n">
        <v>1</v>
      </c>
      <c r="K1809" s="13" t="n">
        <v>31500</v>
      </c>
      <c r="L1809" s="13" t="s">
        <v>151</v>
      </c>
      <c r="M1809" s="13" t="s">
        <v>152</v>
      </c>
      <c r="N1809" s="13" t="s">
        <v>142</v>
      </c>
    </row>
    <row r="1810" customFormat="false" ht="15" hidden="false" customHeight="false" outlineLevel="0" collapsed="false">
      <c r="A1810" s="13" t="s">
        <v>2032</v>
      </c>
      <c r="B1810" s="14" t="n">
        <v>45585</v>
      </c>
      <c r="C1810" s="14"/>
      <c r="D1810" s="13" t="n">
        <v>26</v>
      </c>
      <c r="E1810" s="13" t="s">
        <v>136</v>
      </c>
      <c r="F1810" s="13" t="s">
        <v>137</v>
      </c>
      <c r="G1810" s="13" t="s">
        <v>184</v>
      </c>
      <c r="H1810" s="13" t="s">
        <v>172</v>
      </c>
      <c r="I1810" s="13" t="n">
        <v>4</v>
      </c>
      <c r="J1810" s="13" t="n">
        <v>2</v>
      </c>
      <c r="K1810" s="13" t="n">
        <v>28500</v>
      </c>
      <c r="L1810" s="13"/>
      <c r="M1810" s="13"/>
      <c r="N1810" s="13" t="s">
        <v>142</v>
      </c>
    </row>
    <row r="1811" customFormat="false" ht="15" hidden="false" customHeight="false" outlineLevel="0" collapsed="false">
      <c r="A1811" s="13" t="s">
        <v>2033</v>
      </c>
      <c r="B1811" s="14" t="n">
        <v>45586</v>
      </c>
      <c r="C1811" s="14"/>
      <c r="D1811" s="13" t="n">
        <v>33</v>
      </c>
      <c r="E1811" s="13" t="s">
        <v>163</v>
      </c>
      <c r="F1811" s="13" t="s">
        <v>137</v>
      </c>
      <c r="G1811" s="13" t="s">
        <v>148</v>
      </c>
      <c r="H1811" s="13" t="s">
        <v>146</v>
      </c>
      <c r="I1811" s="13" t="n">
        <v>3</v>
      </c>
      <c r="J1811" s="13" t="n">
        <v>3</v>
      </c>
      <c r="K1811" s="13" t="n">
        <v>64500</v>
      </c>
      <c r="L1811" s="13"/>
      <c r="M1811" s="13"/>
      <c r="N1811" s="13" t="s">
        <v>142</v>
      </c>
    </row>
    <row r="1812" customFormat="false" ht="15" hidden="false" customHeight="false" outlineLevel="0" collapsed="false">
      <c r="A1812" s="13" t="s">
        <v>2034</v>
      </c>
      <c r="B1812" s="14" t="n">
        <v>45586</v>
      </c>
      <c r="C1812" s="14"/>
      <c r="D1812" s="13" t="n">
        <v>29</v>
      </c>
      <c r="E1812" s="13" t="s">
        <v>144</v>
      </c>
      <c r="F1812" s="13" t="s">
        <v>164</v>
      </c>
      <c r="G1812" s="13" t="s">
        <v>138</v>
      </c>
      <c r="H1812" s="13" t="s">
        <v>156</v>
      </c>
      <c r="I1812" s="13"/>
      <c r="J1812" s="13" t="n">
        <v>1</v>
      </c>
      <c r="K1812" s="13" t="n">
        <v>98000</v>
      </c>
      <c r="L1812" s="13"/>
      <c r="M1812" s="13"/>
      <c r="N1812" s="13" t="s">
        <v>134</v>
      </c>
    </row>
    <row r="1813" customFormat="false" ht="15" hidden="false" customHeight="false" outlineLevel="0" collapsed="false">
      <c r="A1813" s="13" t="s">
        <v>2035</v>
      </c>
      <c r="B1813" s="14" t="n">
        <v>45588</v>
      </c>
      <c r="C1813" s="14"/>
      <c r="D1813" s="13" t="n">
        <v>30</v>
      </c>
      <c r="E1813" s="13" t="s">
        <v>186</v>
      </c>
      <c r="F1813" s="13" t="s">
        <v>131</v>
      </c>
      <c r="G1813" s="13" t="s">
        <v>138</v>
      </c>
      <c r="H1813" s="13" t="s">
        <v>146</v>
      </c>
      <c r="I1813" s="13" t="n">
        <v>4</v>
      </c>
      <c r="J1813" s="13" t="n">
        <v>3</v>
      </c>
      <c r="K1813" s="13" t="n">
        <v>60000</v>
      </c>
      <c r="L1813" s="13"/>
      <c r="M1813" s="13"/>
      <c r="N1813" s="13" t="s">
        <v>255</v>
      </c>
    </row>
    <row r="1814" customFormat="false" ht="15" hidden="false" customHeight="false" outlineLevel="0" collapsed="false">
      <c r="A1814" s="13" t="s">
        <v>2036</v>
      </c>
      <c r="B1814" s="14" t="n">
        <v>45591</v>
      </c>
      <c r="C1814" s="14" t="n">
        <v>46019</v>
      </c>
      <c r="D1814" s="13" t="n">
        <v>29</v>
      </c>
      <c r="E1814" s="13" t="s">
        <v>136</v>
      </c>
      <c r="F1814" s="13" t="s">
        <v>164</v>
      </c>
      <c r="G1814" s="13" t="s">
        <v>307</v>
      </c>
      <c r="H1814" s="13" t="s">
        <v>149</v>
      </c>
      <c r="I1814" s="13" t="n">
        <v>4</v>
      </c>
      <c r="J1814" s="13" t="n">
        <v>4</v>
      </c>
      <c r="K1814" s="13" t="n">
        <v>93000</v>
      </c>
      <c r="L1814" s="13" t="s">
        <v>200</v>
      </c>
      <c r="M1814" s="13" t="s">
        <v>152</v>
      </c>
      <c r="N1814" s="13" t="s">
        <v>134</v>
      </c>
    </row>
    <row r="1815" customFormat="false" ht="15" hidden="false" customHeight="false" outlineLevel="0" collapsed="false">
      <c r="A1815" s="13" t="s">
        <v>2037</v>
      </c>
      <c r="B1815" s="14" t="n">
        <v>45598</v>
      </c>
      <c r="C1815" s="14"/>
      <c r="D1815" s="13" t="n">
        <v>35</v>
      </c>
      <c r="E1815" s="13" t="s">
        <v>186</v>
      </c>
      <c r="F1815" s="13" t="s">
        <v>229</v>
      </c>
      <c r="G1815" s="13" t="s">
        <v>191</v>
      </c>
      <c r="H1815" s="13" t="s">
        <v>146</v>
      </c>
      <c r="I1815" s="13" t="n">
        <v>3</v>
      </c>
      <c r="J1815" s="13" t="n">
        <v>3</v>
      </c>
      <c r="K1815" s="13" t="n">
        <v>63000</v>
      </c>
      <c r="L1815" s="13"/>
      <c r="M1815" s="13"/>
      <c r="N1815" s="13" t="s">
        <v>134</v>
      </c>
    </row>
    <row r="1816" customFormat="false" ht="15" hidden="false" customHeight="false" outlineLevel="0" collapsed="false">
      <c r="A1816" s="13" t="s">
        <v>2038</v>
      </c>
      <c r="B1816" s="14" t="n">
        <v>45600</v>
      </c>
      <c r="C1816" s="14"/>
      <c r="D1816" s="13" t="n">
        <v>31</v>
      </c>
      <c r="E1816" s="13" t="s">
        <v>136</v>
      </c>
      <c r="F1816" s="13" t="s">
        <v>239</v>
      </c>
      <c r="G1816" s="13" t="s">
        <v>138</v>
      </c>
      <c r="H1816" s="13" t="s">
        <v>192</v>
      </c>
      <c r="I1816" s="13" t="n">
        <v>3</v>
      </c>
      <c r="J1816" s="13" t="n">
        <v>4</v>
      </c>
      <c r="K1816" s="13" t="n">
        <v>215500</v>
      </c>
      <c r="L1816" s="13"/>
      <c r="M1816" s="13"/>
      <c r="N1816" s="13" t="s">
        <v>157</v>
      </c>
    </row>
    <row r="1817" customFormat="false" ht="15" hidden="false" customHeight="false" outlineLevel="0" collapsed="false">
      <c r="A1817" s="13" t="s">
        <v>2039</v>
      </c>
      <c r="B1817" s="14" t="n">
        <v>45606</v>
      </c>
      <c r="C1817" s="14" t="n">
        <v>45951</v>
      </c>
      <c r="D1817" s="13" t="n">
        <v>27</v>
      </c>
      <c r="E1817" s="13" t="s">
        <v>259</v>
      </c>
      <c r="F1817" s="13" t="s">
        <v>137</v>
      </c>
      <c r="G1817" s="13" t="s">
        <v>155</v>
      </c>
      <c r="H1817" s="13" t="s">
        <v>149</v>
      </c>
      <c r="I1817" s="13" t="n">
        <v>3</v>
      </c>
      <c r="J1817" s="13" t="n">
        <v>3</v>
      </c>
      <c r="K1817" s="13" t="n">
        <v>104500</v>
      </c>
      <c r="L1817" s="13" t="s">
        <v>151</v>
      </c>
      <c r="M1817" s="13" t="s">
        <v>206</v>
      </c>
      <c r="N1817" s="13" t="s">
        <v>134</v>
      </c>
    </row>
    <row r="1818" customFormat="false" ht="15" hidden="false" customHeight="false" outlineLevel="0" collapsed="false">
      <c r="A1818" s="13" t="s">
        <v>2040</v>
      </c>
      <c r="B1818" s="14" t="n">
        <v>45608</v>
      </c>
      <c r="C1818" s="14" t="n">
        <v>45685</v>
      </c>
      <c r="D1818" s="13" t="n">
        <v>26</v>
      </c>
      <c r="E1818" s="13" t="s">
        <v>144</v>
      </c>
      <c r="F1818" s="13" t="s">
        <v>137</v>
      </c>
      <c r="G1818" s="13" t="s">
        <v>138</v>
      </c>
      <c r="H1818" s="13" t="s">
        <v>139</v>
      </c>
      <c r="I1818" s="13" t="n">
        <v>3</v>
      </c>
      <c r="J1818" s="13" t="n">
        <v>2</v>
      </c>
      <c r="K1818" s="13" t="n">
        <v>32000</v>
      </c>
      <c r="L1818" s="13" t="s">
        <v>151</v>
      </c>
      <c r="M1818" s="13" t="s">
        <v>201</v>
      </c>
      <c r="N1818" s="13" t="s">
        <v>142</v>
      </c>
    </row>
    <row r="1819" customFormat="false" ht="15" hidden="false" customHeight="false" outlineLevel="0" collapsed="false">
      <c r="A1819" s="13" t="s">
        <v>2041</v>
      </c>
      <c r="B1819" s="14" t="n">
        <v>45609</v>
      </c>
      <c r="C1819" s="14" t="n">
        <v>45806</v>
      </c>
      <c r="D1819" s="13" t="n">
        <v>27</v>
      </c>
      <c r="E1819" s="13" t="s">
        <v>144</v>
      </c>
      <c r="F1819" s="13" t="s">
        <v>168</v>
      </c>
      <c r="G1819" s="13" t="s">
        <v>132</v>
      </c>
      <c r="H1819" s="13" t="s">
        <v>146</v>
      </c>
      <c r="I1819" s="13" t="n">
        <v>5</v>
      </c>
      <c r="J1819" s="13" t="n">
        <v>4</v>
      </c>
      <c r="K1819" s="13" t="n">
        <v>48500</v>
      </c>
      <c r="L1819" s="13" t="s">
        <v>151</v>
      </c>
      <c r="M1819" s="13" t="s">
        <v>201</v>
      </c>
      <c r="N1819" s="13" t="s">
        <v>142</v>
      </c>
    </row>
    <row r="1820" customFormat="false" ht="15" hidden="false" customHeight="false" outlineLevel="0" collapsed="false">
      <c r="A1820" s="13" t="s">
        <v>2042</v>
      </c>
      <c r="B1820" s="14" t="n">
        <v>45609</v>
      </c>
      <c r="C1820" s="14"/>
      <c r="D1820" s="13" t="n">
        <v>32</v>
      </c>
      <c r="E1820" s="13" t="s">
        <v>190</v>
      </c>
      <c r="F1820" s="13" t="s">
        <v>168</v>
      </c>
      <c r="G1820" s="13" t="s">
        <v>138</v>
      </c>
      <c r="H1820" s="13" t="s">
        <v>146</v>
      </c>
      <c r="I1820" s="13" t="n">
        <v>4</v>
      </c>
      <c r="J1820" s="13" t="n">
        <v>2</v>
      </c>
      <c r="K1820" s="13" t="n">
        <v>55000</v>
      </c>
      <c r="L1820" s="13"/>
      <c r="M1820" s="13"/>
      <c r="N1820" s="13" t="s">
        <v>142</v>
      </c>
    </row>
    <row r="1821" customFormat="false" ht="15" hidden="false" customHeight="false" outlineLevel="0" collapsed="false">
      <c r="A1821" s="13" t="s">
        <v>2043</v>
      </c>
      <c r="B1821" s="14" t="n">
        <v>45610</v>
      </c>
      <c r="C1821" s="14"/>
      <c r="D1821" s="13" t="n">
        <v>22</v>
      </c>
      <c r="E1821" s="13" t="s">
        <v>136</v>
      </c>
      <c r="F1821" s="13" t="s">
        <v>154</v>
      </c>
      <c r="G1821" s="13" t="s">
        <v>148</v>
      </c>
      <c r="H1821" s="13" t="s">
        <v>149</v>
      </c>
      <c r="I1821" s="13" t="n">
        <v>2</v>
      </c>
      <c r="J1821" s="13" t="n">
        <v>2</v>
      </c>
      <c r="K1821" s="13" t="n">
        <v>94000</v>
      </c>
      <c r="L1821" s="13"/>
      <c r="M1821" s="13"/>
      <c r="N1821" s="13" t="s">
        <v>142</v>
      </c>
    </row>
    <row r="1822" customFormat="false" ht="15" hidden="false" customHeight="false" outlineLevel="0" collapsed="false">
      <c r="A1822" s="13" t="s">
        <v>2044</v>
      </c>
      <c r="B1822" s="14" t="n">
        <v>45617</v>
      </c>
      <c r="C1822" s="14" t="n">
        <v>45820</v>
      </c>
      <c r="D1822" s="13" t="n">
        <v>27</v>
      </c>
      <c r="E1822" s="13" t="s">
        <v>136</v>
      </c>
      <c r="F1822" s="13" t="s">
        <v>170</v>
      </c>
      <c r="G1822" s="13" t="s">
        <v>132</v>
      </c>
      <c r="H1822" s="13" t="s">
        <v>139</v>
      </c>
      <c r="I1822" s="13" t="n">
        <v>2</v>
      </c>
      <c r="J1822" s="13" t="n">
        <v>3</v>
      </c>
      <c r="K1822" s="13" t="n">
        <v>38500</v>
      </c>
      <c r="L1822" s="13" t="s">
        <v>173</v>
      </c>
      <c r="M1822" s="13" t="s">
        <v>174</v>
      </c>
      <c r="N1822" s="13" t="s">
        <v>134</v>
      </c>
    </row>
    <row r="1823" customFormat="false" ht="15" hidden="false" customHeight="false" outlineLevel="0" collapsed="false">
      <c r="A1823" s="13" t="s">
        <v>2045</v>
      </c>
      <c r="B1823" s="14" t="n">
        <v>45624</v>
      </c>
      <c r="C1823" s="14"/>
      <c r="D1823" s="13" t="n">
        <v>27</v>
      </c>
      <c r="E1823" s="13" t="s">
        <v>144</v>
      </c>
      <c r="F1823" s="13" t="s">
        <v>241</v>
      </c>
      <c r="G1823" s="13" t="s">
        <v>138</v>
      </c>
      <c r="H1823" s="13" t="s">
        <v>178</v>
      </c>
      <c r="I1823" s="13" t="n">
        <v>3</v>
      </c>
      <c r="J1823" s="13" t="n">
        <v>2</v>
      </c>
      <c r="K1823" s="13" t="n">
        <v>101500</v>
      </c>
      <c r="L1823" s="13"/>
      <c r="M1823" s="13"/>
      <c r="N1823" s="13" t="s">
        <v>142</v>
      </c>
    </row>
    <row r="1824" customFormat="false" ht="15" hidden="false" customHeight="false" outlineLevel="0" collapsed="false">
      <c r="A1824" s="13" t="s">
        <v>2046</v>
      </c>
      <c r="B1824" s="14" t="n">
        <v>45626</v>
      </c>
      <c r="C1824" s="14"/>
      <c r="D1824" s="13" t="n">
        <v>33</v>
      </c>
      <c r="E1824" s="13" t="s">
        <v>144</v>
      </c>
      <c r="F1824" s="13" t="s">
        <v>154</v>
      </c>
      <c r="G1824" s="13" t="s">
        <v>191</v>
      </c>
      <c r="H1824" s="13" t="s">
        <v>156</v>
      </c>
      <c r="I1824" s="13" t="n">
        <v>4</v>
      </c>
      <c r="J1824" s="13" t="n">
        <v>2</v>
      </c>
      <c r="K1824" s="13" t="n">
        <v>95000</v>
      </c>
      <c r="L1824" s="13"/>
      <c r="M1824" s="13"/>
      <c r="N1824" s="13" t="s">
        <v>142</v>
      </c>
    </row>
    <row r="1825" customFormat="false" ht="15" hidden="false" customHeight="false" outlineLevel="0" collapsed="false">
      <c r="A1825" s="13" t="s">
        <v>2047</v>
      </c>
      <c r="B1825" s="14" t="n">
        <v>45627</v>
      </c>
      <c r="C1825" s="14"/>
      <c r="D1825" s="13" t="n">
        <v>26</v>
      </c>
      <c r="E1825" s="13" t="s">
        <v>144</v>
      </c>
      <c r="F1825" s="13" t="s">
        <v>241</v>
      </c>
      <c r="G1825" s="13" t="s">
        <v>155</v>
      </c>
      <c r="H1825" s="13" t="s">
        <v>246</v>
      </c>
      <c r="I1825" s="13" t="n">
        <v>3</v>
      </c>
      <c r="J1825" s="13" t="n">
        <v>2</v>
      </c>
      <c r="K1825" s="13" t="n">
        <v>120500</v>
      </c>
      <c r="L1825" s="13"/>
      <c r="M1825" s="13"/>
      <c r="N1825" s="13" t="s">
        <v>142</v>
      </c>
    </row>
    <row r="1826" customFormat="false" ht="15" hidden="false" customHeight="false" outlineLevel="0" collapsed="false">
      <c r="A1826" s="13" t="s">
        <v>2048</v>
      </c>
      <c r="B1826" s="14" t="n">
        <v>45628</v>
      </c>
      <c r="C1826" s="14"/>
      <c r="D1826" s="13" t="n">
        <v>29</v>
      </c>
      <c r="E1826" s="13" t="s">
        <v>144</v>
      </c>
      <c r="F1826" s="13" t="s">
        <v>168</v>
      </c>
      <c r="G1826" s="13" t="s">
        <v>132</v>
      </c>
      <c r="H1826" s="13" t="s">
        <v>146</v>
      </c>
      <c r="I1826" s="13" t="n">
        <v>3</v>
      </c>
      <c r="J1826" s="13" t="n">
        <v>4</v>
      </c>
      <c r="K1826" s="13" t="n">
        <v>66000</v>
      </c>
      <c r="L1826" s="13"/>
      <c r="M1826" s="13"/>
      <c r="N1826" s="13" t="s">
        <v>142</v>
      </c>
    </row>
    <row r="1827" customFormat="false" ht="15" hidden="false" customHeight="false" outlineLevel="0" collapsed="false">
      <c r="A1827" s="13" t="s">
        <v>2049</v>
      </c>
      <c r="B1827" s="14" t="n">
        <v>45639</v>
      </c>
      <c r="C1827" s="14" t="n">
        <v>45762</v>
      </c>
      <c r="D1827" s="13" t="n">
        <v>28</v>
      </c>
      <c r="E1827" s="13" t="s">
        <v>182</v>
      </c>
      <c r="F1827" s="13" t="s">
        <v>145</v>
      </c>
      <c r="G1827" s="13" t="s">
        <v>132</v>
      </c>
      <c r="H1827" s="13" t="s">
        <v>192</v>
      </c>
      <c r="I1827" s="13" t="n">
        <v>4</v>
      </c>
      <c r="J1827" s="13" t="n">
        <v>2</v>
      </c>
      <c r="K1827" s="13" t="n">
        <v>173500</v>
      </c>
      <c r="L1827" s="13" t="s">
        <v>151</v>
      </c>
      <c r="M1827" s="13" t="s">
        <v>216</v>
      </c>
      <c r="N1827" s="13" t="s">
        <v>142</v>
      </c>
    </row>
    <row r="1828" customFormat="false" ht="15" hidden="false" customHeight="false" outlineLevel="0" collapsed="false">
      <c r="A1828" s="13" t="s">
        <v>2050</v>
      </c>
      <c r="B1828" s="14" t="n">
        <v>45639</v>
      </c>
      <c r="C1828" s="14"/>
      <c r="D1828" s="13" t="n">
        <v>30</v>
      </c>
      <c r="E1828" s="13" t="s">
        <v>144</v>
      </c>
      <c r="F1828" s="13" t="s">
        <v>145</v>
      </c>
      <c r="G1828" s="13" t="s">
        <v>155</v>
      </c>
      <c r="H1828" s="13" t="s">
        <v>139</v>
      </c>
      <c r="I1828" s="13" t="n">
        <v>3</v>
      </c>
      <c r="J1828" s="13" t="n">
        <v>3</v>
      </c>
      <c r="K1828" s="13" t="n">
        <v>38000</v>
      </c>
      <c r="L1828" s="13"/>
      <c r="M1828" s="13"/>
      <c r="N1828" s="13" t="s">
        <v>134</v>
      </c>
    </row>
    <row r="1829" customFormat="false" ht="15" hidden="false" customHeight="false" outlineLevel="0" collapsed="false">
      <c r="A1829" s="13" t="s">
        <v>2051</v>
      </c>
      <c r="B1829" s="14" t="n">
        <v>45640</v>
      </c>
      <c r="C1829" s="14"/>
      <c r="D1829" s="13" t="n">
        <v>24</v>
      </c>
      <c r="E1829" s="13" t="s">
        <v>163</v>
      </c>
      <c r="F1829" s="13" t="s">
        <v>164</v>
      </c>
      <c r="G1829" s="13" t="s">
        <v>374</v>
      </c>
      <c r="H1829" s="13" t="s">
        <v>149</v>
      </c>
      <c r="I1829" s="13" t="n">
        <v>4</v>
      </c>
      <c r="J1829" s="13" t="n">
        <v>1</v>
      </c>
      <c r="K1829" s="13" t="n">
        <v>93500</v>
      </c>
      <c r="L1829" s="13"/>
      <c r="M1829" s="13"/>
      <c r="N1829" s="13" t="s">
        <v>142</v>
      </c>
    </row>
    <row r="1830" customFormat="false" ht="15" hidden="false" customHeight="false" outlineLevel="0" collapsed="false">
      <c r="A1830" s="13" t="s">
        <v>2052</v>
      </c>
      <c r="B1830" s="14" t="n">
        <v>45640</v>
      </c>
      <c r="C1830" s="14"/>
      <c r="D1830" s="13" t="n">
        <v>35</v>
      </c>
      <c r="E1830" s="13" t="s">
        <v>144</v>
      </c>
      <c r="F1830" s="13" t="s">
        <v>168</v>
      </c>
      <c r="G1830" s="13" t="s">
        <v>213</v>
      </c>
      <c r="H1830" s="13" t="s">
        <v>139</v>
      </c>
      <c r="I1830" s="13" t="n">
        <v>4</v>
      </c>
      <c r="J1830" s="13" t="n">
        <v>2</v>
      </c>
      <c r="K1830" s="13" t="n">
        <v>31500</v>
      </c>
      <c r="L1830" s="13"/>
      <c r="M1830" s="13"/>
      <c r="N1830" s="13" t="s">
        <v>142</v>
      </c>
    </row>
    <row r="1831" customFormat="false" ht="15" hidden="false" customHeight="false" outlineLevel="0" collapsed="false">
      <c r="A1831" s="13" t="s">
        <v>2053</v>
      </c>
      <c r="B1831" s="14" t="n">
        <v>45642</v>
      </c>
      <c r="C1831" s="14"/>
      <c r="D1831" s="13" t="n">
        <v>43</v>
      </c>
      <c r="E1831" s="13" t="s">
        <v>136</v>
      </c>
      <c r="F1831" s="13" t="s">
        <v>164</v>
      </c>
      <c r="G1831" s="13" t="s">
        <v>191</v>
      </c>
      <c r="H1831" s="13" t="s">
        <v>178</v>
      </c>
      <c r="I1831" s="13" t="n">
        <v>3</v>
      </c>
      <c r="J1831" s="13"/>
      <c r="K1831" s="13" t="n">
        <v>147500</v>
      </c>
      <c r="L1831" s="13"/>
      <c r="M1831" s="13"/>
      <c r="N1831" s="13" t="s">
        <v>142</v>
      </c>
    </row>
    <row r="1832" customFormat="false" ht="15" hidden="false" customHeight="false" outlineLevel="0" collapsed="false">
      <c r="A1832" s="13" t="s">
        <v>2054</v>
      </c>
      <c r="B1832" s="14" t="n">
        <v>45643</v>
      </c>
      <c r="C1832" s="14"/>
      <c r="D1832" s="13" t="n">
        <v>26</v>
      </c>
      <c r="E1832" s="13" t="s">
        <v>144</v>
      </c>
      <c r="F1832" s="13" t="s">
        <v>161</v>
      </c>
      <c r="G1832" s="13" t="s">
        <v>155</v>
      </c>
      <c r="H1832" s="13" t="s">
        <v>146</v>
      </c>
      <c r="I1832" s="13" t="n">
        <v>3</v>
      </c>
      <c r="J1832" s="13" t="n">
        <v>3</v>
      </c>
      <c r="K1832" s="13" t="n">
        <v>53000</v>
      </c>
      <c r="L1832" s="13"/>
      <c r="M1832" s="13"/>
      <c r="N1832" s="13" t="s">
        <v>142</v>
      </c>
    </row>
    <row r="1833" customFormat="false" ht="15" hidden="false" customHeight="false" outlineLevel="0" collapsed="false">
      <c r="A1833" s="13" t="s">
        <v>2055</v>
      </c>
      <c r="B1833" s="14" t="n">
        <v>45644</v>
      </c>
      <c r="C1833" s="14"/>
      <c r="D1833" s="13" t="n">
        <v>35</v>
      </c>
      <c r="E1833" s="13" t="s">
        <v>136</v>
      </c>
      <c r="F1833" s="13" t="s">
        <v>170</v>
      </c>
      <c r="G1833" s="13" t="s">
        <v>132</v>
      </c>
      <c r="H1833" s="13" t="s">
        <v>156</v>
      </c>
      <c r="I1833" s="13" t="n">
        <v>4</v>
      </c>
      <c r="J1833" s="13" t="n">
        <v>1</v>
      </c>
      <c r="K1833" s="13" t="n">
        <v>76000</v>
      </c>
      <c r="L1833" s="13"/>
      <c r="M1833" s="13"/>
      <c r="N1833" s="13" t="s">
        <v>142</v>
      </c>
    </row>
    <row r="1834" customFormat="false" ht="15" hidden="false" customHeight="false" outlineLevel="0" collapsed="false">
      <c r="A1834" s="13" t="s">
        <v>2056</v>
      </c>
      <c r="B1834" s="14" t="n">
        <v>45644</v>
      </c>
      <c r="C1834" s="14"/>
      <c r="D1834" s="13" t="n">
        <v>31</v>
      </c>
      <c r="E1834" s="13" t="s">
        <v>136</v>
      </c>
      <c r="F1834" s="13" t="s">
        <v>137</v>
      </c>
      <c r="G1834" s="13" t="s">
        <v>148</v>
      </c>
      <c r="H1834" s="13" t="s">
        <v>146</v>
      </c>
      <c r="I1834" s="13" t="n">
        <v>5</v>
      </c>
      <c r="J1834" s="13" t="n">
        <v>3</v>
      </c>
      <c r="K1834" s="13" t="n">
        <v>56000</v>
      </c>
      <c r="L1834" s="13"/>
      <c r="M1834" s="13"/>
      <c r="N1834" s="13" t="s">
        <v>142</v>
      </c>
    </row>
    <row r="1835" customFormat="false" ht="15" hidden="false" customHeight="false" outlineLevel="0" collapsed="false">
      <c r="A1835" s="13" t="s">
        <v>2057</v>
      </c>
      <c r="B1835" s="14" t="n">
        <v>45645</v>
      </c>
      <c r="C1835" s="14"/>
      <c r="D1835" s="13" t="n">
        <v>34</v>
      </c>
      <c r="E1835" s="13" t="s">
        <v>163</v>
      </c>
      <c r="F1835" s="13" t="s">
        <v>170</v>
      </c>
      <c r="G1835" s="13" t="s">
        <v>330</v>
      </c>
      <c r="H1835" s="13" t="s">
        <v>156</v>
      </c>
      <c r="I1835" s="13" t="n">
        <v>3</v>
      </c>
      <c r="J1835" s="13" t="n">
        <v>2</v>
      </c>
      <c r="K1835" s="13" t="n">
        <v>88500</v>
      </c>
      <c r="L1835" s="13"/>
      <c r="M1835" s="13"/>
      <c r="N1835" s="13" t="s">
        <v>134</v>
      </c>
    </row>
    <row r="1836" customFormat="false" ht="15" hidden="false" customHeight="false" outlineLevel="0" collapsed="false">
      <c r="A1836" s="13" t="s">
        <v>2058</v>
      </c>
      <c r="B1836" s="14" t="n">
        <v>45646</v>
      </c>
      <c r="C1836" s="14" t="n">
        <v>45943</v>
      </c>
      <c r="D1836" s="13" t="n">
        <v>29</v>
      </c>
      <c r="E1836" s="13" t="s">
        <v>144</v>
      </c>
      <c r="F1836" s="13" t="s">
        <v>241</v>
      </c>
      <c r="G1836" s="13" t="s">
        <v>330</v>
      </c>
      <c r="H1836" s="13" t="s">
        <v>411</v>
      </c>
      <c r="I1836" s="13" t="n">
        <v>3</v>
      </c>
      <c r="J1836" s="13" t="n">
        <v>3</v>
      </c>
      <c r="K1836" s="13" t="n">
        <v>54000</v>
      </c>
      <c r="L1836" s="13" t="s">
        <v>151</v>
      </c>
      <c r="M1836" s="13" t="s">
        <v>314</v>
      </c>
      <c r="N1836" s="13" t="s">
        <v>142</v>
      </c>
    </row>
    <row r="1837" customFormat="false" ht="15" hidden="false" customHeight="false" outlineLevel="0" collapsed="false">
      <c r="A1837" s="13" t="s">
        <v>2059</v>
      </c>
      <c r="B1837" s="14" t="n">
        <v>45648</v>
      </c>
      <c r="C1837" s="14" t="n">
        <v>45702</v>
      </c>
      <c r="D1837" s="13" t="n">
        <v>33</v>
      </c>
      <c r="E1837" s="13" t="s">
        <v>136</v>
      </c>
      <c r="F1837" s="13" t="s">
        <v>164</v>
      </c>
      <c r="G1837" s="13" t="s">
        <v>155</v>
      </c>
      <c r="H1837" s="13" t="s">
        <v>139</v>
      </c>
      <c r="I1837" s="13" t="n">
        <v>3</v>
      </c>
      <c r="J1837" s="13" t="n">
        <v>1</v>
      </c>
      <c r="K1837" s="13" t="n">
        <v>34000</v>
      </c>
      <c r="L1837" s="13" t="s">
        <v>151</v>
      </c>
      <c r="M1837" s="13" t="s">
        <v>314</v>
      </c>
      <c r="N1837" s="13" t="s">
        <v>142</v>
      </c>
    </row>
    <row r="1838" customFormat="false" ht="15" hidden="false" customHeight="false" outlineLevel="0" collapsed="false">
      <c r="A1838" s="13" t="s">
        <v>2060</v>
      </c>
      <c r="B1838" s="14" t="n">
        <v>45648</v>
      </c>
      <c r="C1838" s="14"/>
      <c r="D1838" s="13" t="n">
        <v>36</v>
      </c>
      <c r="E1838" s="13" t="s">
        <v>144</v>
      </c>
      <c r="F1838" s="13" t="s">
        <v>161</v>
      </c>
      <c r="G1838" s="13" t="s">
        <v>155</v>
      </c>
      <c r="H1838" s="13" t="s">
        <v>139</v>
      </c>
      <c r="I1838" s="13" t="n">
        <v>5</v>
      </c>
      <c r="J1838" s="13" t="n">
        <v>3</v>
      </c>
      <c r="K1838" s="13" t="n">
        <v>34500</v>
      </c>
      <c r="L1838" s="13"/>
      <c r="M1838" s="13"/>
      <c r="N1838" s="13" t="s">
        <v>142</v>
      </c>
    </row>
    <row r="1839" customFormat="false" ht="15" hidden="false" customHeight="false" outlineLevel="0" collapsed="false">
      <c r="A1839" s="13" t="s">
        <v>2061</v>
      </c>
      <c r="B1839" s="14" t="n">
        <v>45652</v>
      </c>
      <c r="C1839" s="14"/>
      <c r="D1839" s="13" t="n">
        <v>36</v>
      </c>
      <c r="E1839" s="13" t="s">
        <v>144</v>
      </c>
      <c r="F1839" s="13" t="s">
        <v>145</v>
      </c>
      <c r="G1839" s="13" t="s">
        <v>155</v>
      </c>
      <c r="H1839" s="13" t="s">
        <v>178</v>
      </c>
      <c r="I1839" s="13" t="n">
        <v>3</v>
      </c>
      <c r="J1839" s="13" t="n">
        <v>3</v>
      </c>
      <c r="K1839" s="13" t="n">
        <v>129000</v>
      </c>
      <c r="L1839" s="13"/>
      <c r="M1839" s="13"/>
      <c r="N1839" s="13" t="s">
        <v>134</v>
      </c>
    </row>
    <row r="1840" customFormat="false" ht="15" hidden="false" customHeight="false" outlineLevel="0" collapsed="false">
      <c r="A1840" s="13" t="s">
        <v>2062</v>
      </c>
      <c r="B1840" s="14" t="n">
        <v>45656</v>
      </c>
      <c r="C1840" s="14" t="n">
        <v>45898</v>
      </c>
      <c r="D1840" s="13" t="n">
        <v>24</v>
      </c>
      <c r="E1840" s="13" t="s">
        <v>136</v>
      </c>
      <c r="F1840" s="13" t="s">
        <v>137</v>
      </c>
      <c r="G1840" s="13" t="s">
        <v>155</v>
      </c>
      <c r="H1840" s="13" t="s">
        <v>146</v>
      </c>
      <c r="I1840" s="13" t="n">
        <v>3</v>
      </c>
      <c r="J1840" s="13" t="n">
        <v>1</v>
      </c>
      <c r="K1840" s="13" t="n">
        <v>62000</v>
      </c>
      <c r="L1840" s="13" t="s">
        <v>173</v>
      </c>
      <c r="M1840" s="13" t="s">
        <v>174</v>
      </c>
      <c r="N1840" s="13" t="s">
        <v>142</v>
      </c>
    </row>
    <row r="1841" customFormat="false" ht="15" hidden="false" customHeight="false" outlineLevel="0" collapsed="false">
      <c r="A1841" s="13" t="s">
        <v>2063</v>
      </c>
      <c r="B1841" s="14" t="n">
        <v>45663</v>
      </c>
      <c r="C1841" s="14"/>
      <c r="D1841" s="13" t="n">
        <v>31</v>
      </c>
      <c r="E1841" s="13" t="s">
        <v>144</v>
      </c>
      <c r="F1841" s="13" t="s">
        <v>168</v>
      </c>
      <c r="G1841" s="13" t="s">
        <v>132</v>
      </c>
      <c r="H1841" s="13" t="s">
        <v>146</v>
      </c>
      <c r="I1841" s="13" t="n">
        <v>4</v>
      </c>
      <c r="J1841" s="13" t="n">
        <v>2</v>
      </c>
      <c r="K1841" s="13" t="n">
        <v>58000</v>
      </c>
      <c r="L1841" s="13"/>
      <c r="M1841" s="13"/>
      <c r="N1841" s="13" t="s">
        <v>157</v>
      </c>
    </row>
    <row r="1842" customFormat="false" ht="15" hidden="false" customHeight="false" outlineLevel="0" collapsed="false">
      <c r="A1842" s="13" t="s">
        <v>2064</v>
      </c>
      <c r="B1842" s="14" t="n">
        <v>45667</v>
      </c>
      <c r="C1842" s="14"/>
      <c r="D1842" s="13" t="n">
        <v>37</v>
      </c>
      <c r="E1842" s="13" t="s">
        <v>182</v>
      </c>
      <c r="F1842" s="13" t="s">
        <v>137</v>
      </c>
      <c r="G1842" s="13" t="s">
        <v>132</v>
      </c>
      <c r="H1842" s="13" t="s">
        <v>149</v>
      </c>
      <c r="I1842" s="13" t="n">
        <v>3</v>
      </c>
      <c r="J1842" s="13"/>
      <c r="K1842" s="13" t="n">
        <v>99500</v>
      </c>
      <c r="L1842" s="13"/>
      <c r="M1842" s="13"/>
      <c r="N1842" s="13" t="s">
        <v>142</v>
      </c>
    </row>
    <row r="1843" customFormat="false" ht="15" hidden="false" customHeight="false" outlineLevel="0" collapsed="false">
      <c r="A1843" s="13" t="s">
        <v>2065</v>
      </c>
      <c r="B1843" s="14" t="n">
        <v>45669</v>
      </c>
      <c r="C1843" s="14"/>
      <c r="D1843" s="13" t="n">
        <v>37</v>
      </c>
      <c r="E1843" s="13" t="s">
        <v>144</v>
      </c>
      <c r="F1843" s="13" t="s">
        <v>231</v>
      </c>
      <c r="G1843" s="13" t="s">
        <v>155</v>
      </c>
      <c r="H1843" s="13" t="s">
        <v>149</v>
      </c>
      <c r="I1843" s="13" t="n">
        <v>5</v>
      </c>
      <c r="J1843" s="13" t="n">
        <v>3</v>
      </c>
      <c r="K1843" s="13" t="n">
        <v>105500</v>
      </c>
      <c r="L1843" s="13"/>
      <c r="M1843" s="13"/>
      <c r="N1843" s="13" t="s">
        <v>134</v>
      </c>
    </row>
    <row r="1844" customFormat="false" ht="15" hidden="false" customHeight="false" outlineLevel="0" collapsed="false">
      <c r="A1844" s="13" t="s">
        <v>2066</v>
      </c>
      <c r="B1844" s="14" t="n">
        <v>45670</v>
      </c>
      <c r="C1844" s="14" t="n">
        <v>45699</v>
      </c>
      <c r="D1844" s="13" t="n">
        <v>28</v>
      </c>
      <c r="E1844" s="13" t="s">
        <v>136</v>
      </c>
      <c r="F1844" s="13" t="s">
        <v>131</v>
      </c>
      <c r="G1844" s="13" t="s">
        <v>155</v>
      </c>
      <c r="H1844" s="13" t="s">
        <v>178</v>
      </c>
      <c r="I1844" s="13" t="n">
        <v>4</v>
      </c>
      <c r="J1844" s="13" t="n">
        <v>2</v>
      </c>
      <c r="K1844" s="13" t="n">
        <v>110000</v>
      </c>
      <c r="L1844" s="13" t="s">
        <v>151</v>
      </c>
      <c r="M1844" s="13" t="s">
        <v>159</v>
      </c>
      <c r="N1844" s="13" t="s">
        <v>255</v>
      </c>
    </row>
    <row r="1845" customFormat="false" ht="15" hidden="false" customHeight="false" outlineLevel="0" collapsed="false">
      <c r="A1845" s="13" t="s">
        <v>2067</v>
      </c>
      <c r="B1845" s="14" t="n">
        <v>45674</v>
      </c>
      <c r="C1845" s="14"/>
      <c r="D1845" s="13" t="n">
        <v>27</v>
      </c>
      <c r="E1845" s="13" t="s">
        <v>144</v>
      </c>
      <c r="F1845" s="13" t="s">
        <v>170</v>
      </c>
      <c r="G1845" s="13" t="s">
        <v>155</v>
      </c>
      <c r="H1845" s="13" t="s">
        <v>149</v>
      </c>
      <c r="I1845" s="13" t="n">
        <v>4</v>
      </c>
      <c r="J1845" s="13" t="n">
        <v>4</v>
      </c>
      <c r="K1845" s="13" t="n">
        <v>99500</v>
      </c>
      <c r="L1845" s="13"/>
      <c r="M1845" s="13"/>
      <c r="N1845" s="13" t="s">
        <v>134</v>
      </c>
    </row>
    <row r="1846" customFormat="false" ht="15" hidden="false" customHeight="false" outlineLevel="0" collapsed="false">
      <c r="A1846" s="13" t="s">
        <v>2068</v>
      </c>
      <c r="B1846" s="14" t="n">
        <v>45676</v>
      </c>
      <c r="C1846" s="14"/>
      <c r="D1846" s="13" t="n">
        <v>40</v>
      </c>
      <c r="E1846" s="13" t="s">
        <v>136</v>
      </c>
      <c r="F1846" s="13" t="s">
        <v>239</v>
      </c>
      <c r="G1846" s="13" t="s">
        <v>184</v>
      </c>
      <c r="H1846" s="13" t="s">
        <v>543</v>
      </c>
      <c r="I1846" s="13" t="n">
        <v>2</v>
      </c>
      <c r="J1846" s="13" t="n">
        <v>2</v>
      </c>
      <c r="K1846" s="13" t="n">
        <v>141500</v>
      </c>
      <c r="L1846" s="13"/>
      <c r="M1846" s="13"/>
      <c r="N1846" s="13" t="s">
        <v>134</v>
      </c>
    </row>
    <row r="1847" customFormat="false" ht="15" hidden="false" customHeight="false" outlineLevel="0" collapsed="false">
      <c r="A1847" s="13" t="s">
        <v>2069</v>
      </c>
      <c r="B1847" s="14" t="n">
        <v>45676</v>
      </c>
      <c r="C1847" s="14" t="n">
        <v>45756</v>
      </c>
      <c r="D1847" s="13" t="n">
        <v>28</v>
      </c>
      <c r="E1847" s="13" t="s">
        <v>144</v>
      </c>
      <c r="F1847" s="13" t="s">
        <v>168</v>
      </c>
      <c r="G1847" s="13" t="s">
        <v>138</v>
      </c>
      <c r="H1847" s="13" t="s">
        <v>149</v>
      </c>
      <c r="I1847" s="13" t="n">
        <v>3</v>
      </c>
      <c r="J1847" s="13" t="n">
        <v>3</v>
      </c>
      <c r="K1847" s="13" t="n">
        <v>91500</v>
      </c>
      <c r="L1847" s="13" t="s">
        <v>151</v>
      </c>
      <c r="M1847" s="13" t="s">
        <v>216</v>
      </c>
      <c r="N1847" s="13" t="s">
        <v>142</v>
      </c>
    </row>
    <row r="1848" customFormat="false" ht="15" hidden="false" customHeight="false" outlineLevel="0" collapsed="false">
      <c r="A1848" s="13" t="s">
        <v>2070</v>
      </c>
      <c r="B1848" s="14" t="n">
        <v>45681</v>
      </c>
      <c r="C1848" s="14"/>
      <c r="D1848" s="13" t="n">
        <v>31</v>
      </c>
      <c r="E1848" s="13" t="s">
        <v>136</v>
      </c>
      <c r="F1848" s="13" t="s">
        <v>241</v>
      </c>
      <c r="G1848" s="13" t="s">
        <v>155</v>
      </c>
      <c r="H1848" s="13" t="s">
        <v>242</v>
      </c>
      <c r="I1848" s="13" t="n">
        <v>5</v>
      </c>
      <c r="J1848" s="13" t="n">
        <v>2</v>
      </c>
      <c r="K1848" s="13" t="n">
        <v>98500</v>
      </c>
      <c r="L1848" s="13"/>
      <c r="M1848" s="13"/>
      <c r="N1848" s="13" t="s">
        <v>142</v>
      </c>
    </row>
    <row r="1849" customFormat="false" ht="15" hidden="false" customHeight="false" outlineLevel="0" collapsed="false">
      <c r="A1849" s="13" t="s">
        <v>2071</v>
      </c>
      <c r="B1849" s="14" t="n">
        <v>45684</v>
      </c>
      <c r="C1849" s="14"/>
      <c r="D1849" s="13" t="n">
        <v>34</v>
      </c>
      <c r="E1849" s="13" t="s">
        <v>190</v>
      </c>
      <c r="F1849" s="13" t="s">
        <v>170</v>
      </c>
      <c r="G1849" s="13" t="s">
        <v>155</v>
      </c>
      <c r="H1849" s="13" t="s">
        <v>149</v>
      </c>
      <c r="I1849" s="13" t="n">
        <v>3</v>
      </c>
      <c r="J1849" s="13" t="n">
        <v>3</v>
      </c>
      <c r="K1849" s="13" t="n">
        <v>98500</v>
      </c>
      <c r="L1849" s="13"/>
      <c r="M1849" s="13"/>
      <c r="N1849" s="13" t="s">
        <v>134</v>
      </c>
    </row>
    <row r="1850" customFormat="false" ht="15" hidden="false" customHeight="false" outlineLevel="0" collapsed="false">
      <c r="A1850" s="13" t="s">
        <v>2072</v>
      </c>
      <c r="B1850" s="14" t="n">
        <v>45687</v>
      </c>
      <c r="C1850" s="14"/>
      <c r="D1850" s="13" t="n">
        <v>30</v>
      </c>
      <c r="E1850" s="13" t="s">
        <v>144</v>
      </c>
      <c r="F1850" s="13" t="s">
        <v>170</v>
      </c>
      <c r="G1850" s="13" t="s">
        <v>224</v>
      </c>
      <c r="H1850" s="13" t="s">
        <v>543</v>
      </c>
      <c r="I1850" s="13" t="n">
        <v>4</v>
      </c>
      <c r="J1850" s="13" t="n">
        <v>2</v>
      </c>
      <c r="K1850" s="13" t="n">
        <v>137000</v>
      </c>
      <c r="L1850" s="13"/>
      <c r="M1850" s="13"/>
      <c r="N1850" s="13" t="s">
        <v>142</v>
      </c>
    </row>
    <row r="1851" customFormat="false" ht="15" hidden="false" customHeight="false" outlineLevel="0" collapsed="false">
      <c r="A1851" s="13" t="s">
        <v>2073</v>
      </c>
      <c r="B1851" s="14" t="n">
        <v>45689</v>
      </c>
      <c r="C1851" s="14" t="n">
        <v>46021</v>
      </c>
      <c r="D1851" s="13" t="n">
        <v>26</v>
      </c>
      <c r="E1851" s="13" t="s">
        <v>190</v>
      </c>
      <c r="F1851" s="13" t="s">
        <v>145</v>
      </c>
      <c r="G1851" s="13" t="s">
        <v>171</v>
      </c>
      <c r="H1851" s="13" t="s">
        <v>219</v>
      </c>
      <c r="I1851" s="13" t="n">
        <v>3</v>
      </c>
      <c r="J1851" s="13" t="n">
        <v>2</v>
      </c>
      <c r="K1851" s="13" t="n">
        <v>32000</v>
      </c>
      <c r="L1851" s="13" t="s">
        <v>151</v>
      </c>
      <c r="M1851" s="13" t="s">
        <v>203</v>
      </c>
      <c r="N1851" s="13" t="s">
        <v>142</v>
      </c>
    </row>
    <row r="1852" customFormat="false" ht="15" hidden="false" customHeight="false" outlineLevel="0" collapsed="false">
      <c r="A1852" s="13" t="s">
        <v>2074</v>
      </c>
      <c r="B1852" s="14" t="n">
        <v>45690</v>
      </c>
      <c r="C1852" s="14"/>
      <c r="D1852" s="13" t="n">
        <v>33</v>
      </c>
      <c r="E1852" s="13" t="s">
        <v>136</v>
      </c>
      <c r="F1852" s="13" t="s">
        <v>145</v>
      </c>
      <c r="G1852" s="13" t="s">
        <v>155</v>
      </c>
      <c r="H1852" s="13" t="s">
        <v>146</v>
      </c>
      <c r="I1852" s="13" t="n">
        <v>4</v>
      </c>
      <c r="J1852" s="13" t="n">
        <v>2</v>
      </c>
      <c r="K1852" s="13" t="n">
        <v>51000</v>
      </c>
      <c r="L1852" s="13"/>
      <c r="M1852" s="13"/>
      <c r="N1852" s="13" t="s">
        <v>142</v>
      </c>
    </row>
    <row r="1853" customFormat="false" ht="15" hidden="false" customHeight="false" outlineLevel="0" collapsed="false">
      <c r="A1853" s="13" t="s">
        <v>2075</v>
      </c>
      <c r="B1853" s="14" t="n">
        <v>45690</v>
      </c>
      <c r="C1853" s="14"/>
      <c r="D1853" s="13" t="n">
        <v>30</v>
      </c>
      <c r="E1853" s="13" t="s">
        <v>144</v>
      </c>
      <c r="F1853" s="13" t="s">
        <v>137</v>
      </c>
      <c r="G1853" s="13" t="s">
        <v>132</v>
      </c>
      <c r="H1853" s="13" t="s">
        <v>146</v>
      </c>
      <c r="I1853" s="13" t="n">
        <v>1</v>
      </c>
      <c r="J1853" s="13" t="n">
        <v>4</v>
      </c>
      <c r="K1853" s="13" t="n">
        <v>63000</v>
      </c>
      <c r="L1853" s="13"/>
      <c r="M1853" s="13"/>
      <c r="N1853" s="13" t="s">
        <v>142</v>
      </c>
    </row>
    <row r="1854" customFormat="false" ht="15" hidden="false" customHeight="false" outlineLevel="0" collapsed="false">
      <c r="A1854" s="13" t="s">
        <v>2076</v>
      </c>
      <c r="B1854" s="14" t="n">
        <v>45691</v>
      </c>
      <c r="C1854" s="14"/>
      <c r="D1854" s="13" t="n">
        <v>29</v>
      </c>
      <c r="E1854" s="13" t="s">
        <v>182</v>
      </c>
      <c r="F1854" s="13" t="s">
        <v>137</v>
      </c>
      <c r="G1854" s="13" t="s">
        <v>132</v>
      </c>
      <c r="H1854" s="13" t="s">
        <v>149</v>
      </c>
      <c r="I1854" s="13" t="n">
        <v>5</v>
      </c>
      <c r="J1854" s="13" t="n">
        <v>1</v>
      </c>
      <c r="K1854" s="13" t="n">
        <v>92500</v>
      </c>
      <c r="L1854" s="13"/>
      <c r="M1854" s="13"/>
      <c r="N1854" s="13" t="s">
        <v>142</v>
      </c>
    </row>
    <row r="1855" customFormat="false" ht="15" hidden="false" customHeight="false" outlineLevel="0" collapsed="false">
      <c r="A1855" s="13" t="s">
        <v>2077</v>
      </c>
      <c r="B1855" s="14" t="n">
        <v>45691</v>
      </c>
      <c r="C1855" s="14" t="n">
        <v>45731</v>
      </c>
      <c r="D1855" s="13" t="n">
        <v>32</v>
      </c>
      <c r="E1855" s="13" t="s">
        <v>144</v>
      </c>
      <c r="F1855" s="13" t="s">
        <v>168</v>
      </c>
      <c r="G1855" s="13" t="s">
        <v>148</v>
      </c>
      <c r="H1855" s="13" t="s">
        <v>139</v>
      </c>
      <c r="I1855" s="13" t="n">
        <v>3</v>
      </c>
      <c r="J1855" s="13" t="n">
        <v>2</v>
      </c>
      <c r="K1855" s="13" t="n">
        <v>33000</v>
      </c>
      <c r="L1855" s="13" t="s">
        <v>151</v>
      </c>
      <c r="M1855" s="13" t="s">
        <v>201</v>
      </c>
      <c r="N1855" s="13" t="s">
        <v>142</v>
      </c>
    </row>
    <row r="1856" customFormat="false" ht="15" hidden="false" customHeight="false" outlineLevel="0" collapsed="false">
      <c r="A1856" s="13" t="s">
        <v>2078</v>
      </c>
      <c r="B1856" s="14" t="n">
        <v>45691</v>
      </c>
      <c r="C1856" s="14" t="n">
        <v>45760</v>
      </c>
      <c r="D1856" s="13" t="n">
        <v>32</v>
      </c>
      <c r="E1856" s="13" t="s">
        <v>144</v>
      </c>
      <c r="F1856" s="13" t="s">
        <v>241</v>
      </c>
      <c r="G1856" s="13" t="s">
        <v>148</v>
      </c>
      <c r="H1856" s="13" t="s">
        <v>156</v>
      </c>
      <c r="I1856" s="13" t="n">
        <v>3</v>
      </c>
      <c r="J1856" s="13" t="n">
        <v>1</v>
      </c>
      <c r="K1856" s="13" t="n">
        <v>87000</v>
      </c>
      <c r="L1856" s="13" t="s">
        <v>173</v>
      </c>
      <c r="M1856" s="13" t="s">
        <v>254</v>
      </c>
      <c r="N1856" s="13" t="s">
        <v>142</v>
      </c>
    </row>
    <row r="1857" customFormat="false" ht="15" hidden="false" customHeight="false" outlineLevel="0" collapsed="false">
      <c r="A1857" s="13" t="s">
        <v>2079</v>
      </c>
      <c r="B1857" s="14" t="n">
        <v>45693</v>
      </c>
      <c r="C1857" s="14"/>
      <c r="D1857" s="13" t="n">
        <v>37</v>
      </c>
      <c r="E1857" s="13" t="s">
        <v>144</v>
      </c>
      <c r="F1857" s="13" t="s">
        <v>241</v>
      </c>
      <c r="G1857" s="13" t="s">
        <v>138</v>
      </c>
      <c r="H1857" s="13" t="s">
        <v>146</v>
      </c>
      <c r="I1857" s="13" t="n">
        <v>3</v>
      </c>
      <c r="J1857" s="13" t="n">
        <v>2</v>
      </c>
      <c r="K1857" s="13" t="n">
        <v>40000</v>
      </c>
      <c r="L1857" s="13"/>
      <c r="M1857" s="13"/>
      <c r="N1857" s="13" t="s">
        <v>142</v>
      </c>
    </row>
    <row r="1858" customFormat="false" ht="15" hidden="false" customHeight="false" outlineLevel="0" collapsed="false">
      <c r="A1858" s="13" t="s">
        <v>2080</v>
      </c>
      <c r="B1858" s="14" t="n">
        <v>45694</v>
      </c>
      <c r="C1858" s="14"/>
      <c r="D1858" s="13" t="n">
        <v>35</v>
      </c>
      <c r="E1858" s="13" t="s">
        <v>144</v>
      </c>
      <c r="F1858" s="13" t="s">
        <v>161</v>
      </c>
      <c r="G1858" s="13" t="s">
        <v>235</v>
      </c>
      <c r="H1858" s="13" t="s">
        <v>139</v>
      </c>
      <c r="I1858" s="13" t="n">
        <v>3</v>
      </c>
      <c r="J1858" s="13" t="n">
        <v>4</v>
      </c>
      <c r="K1858" s="13" t="n">
        <v>38000</v>
      </c>
      <c r="L1858" s="13"/>
      <c r="M1858" s="13"/>
      <c r="N1858" s="13" t="s">
        <v>142</v>
      </c>
    </row>
    <row r="1859" customFormat="false" ht="15" hidden="false" customHeight="false" outlineLevel="0" collapsed="false">
      <c r="A1859" s="13" t="s">
        <v>2081</v>
      </c>
      <c r="B1859" s="14" t="n">
        <v>45694</v>
      </c>
      <c r="C1859" s="14"/>
      <c r="D1859" s="13" t="n">
        <v>26</v>
      </c>
      <c r="E1859" s="13" t="s">
        <v>144</v>
      </c>
      <c r="F1859" s="13" t="s">
        <v>154</v>
      </c>
      <c r="G1859" s="13" t="s">
        <v>132</v>
      </c>
      <c r="H1859" s="13" t="s">
        <v>219</v>
      </c>
      <c r="I1859" s="13" t="n">
        <v>1</v>
      </c>
      <c r="J1859" s="13" t="n">
        <v>4</v>
      </c>
      <c r="K1859" s="13" t="n">
        <v>41500</v>
      </c>
      <c r="L1859" s="13"/>
      <c r="M1859" s="13"/>
      <c r="N1859" s="13" t="s">
        <v>142</v>
      </c>
    </row>
    <row r="1860" customFormat="false" ht="15" hidden="false" customHeight="false" outlineLevel="0" collapsed="false">
      <c r="A1860" s="13" t="s">
        <v>2082</v>
      </c>
      <c r="B1860" s="14" t="n">
        <v>45697</v>
      </c>
      <c r="C1860" s="14"/>
      <c r="D1860" s="13" t="n">
        <v>35</v>
      </c>
      <c r="E1860" s="13" t="s">
        <v>144</v>
      </c>
      <c r="F1860" s="13" t="s">
        <v>241</v>
      </c>
      <c r="G1860" s="13" t="s">
        <v>132</v>
      </c>
      <c r="H1860" s="13" t="s">
        <v>291</v>
      </c>
      <c r="I1860" s="13" t="n">
        <v>3</v>
      </c>
      <c r="J1860" s="13" t="n">
        <v>4</v>
      </c>
      <c r="K1860" s="13" t="n">
        <v>171000</v>
      </c>
      <c r="L1860" s="13"/>
      <c r="M1860" s="13"/>
      <c r="N1860" s="13" t="s">
        <v>142</v>
      </c>
    </row>
    <row r="1861" customFormat="false" ht="15" hidden="false" customHeight="false" outlineLevel="0" collapsed="false">
      <c r="A1861" s="13" t="s">
        <v>2083</v>
      </c>
      <c r="B1861" s="14" t="n">
        <v>45698</v>
      </c>
      <c r="C1861" s="14"/>
      <c r="D1861" s="13" t="n">
        <v>28</v>
      </c>
      <c r="E1861" s="13" t="s">
        <v>136</v>
      </c>
      <c r="F1861" s="13" t="s">
        <v>161</v>
      </c>
      <c r="G1861" s="13" t="s">
        <v>132</v>
      </c>
      <c r="H1861" s="13" t="s">
        <v>139</v>
      </c>
      <c r="I1861" s="13" t="n">
        <v>4</v>
      </c>
      <c r="J1861" s="13" t="n">
        <v>3</v>
      </c>
      <c r="K1861" s="13" t="n">
        <v>28500</v>
      </c>
      <c r="L1861" s="13"/>
      <c r="M1861" s="13"/>
      <c r="N1861" s="13" t="s">
        <v>142</v>
      </c>
    </row>
    <row r="1862" customFormat="false" ht="15" hidden="false" customHeight="false" outlineLevel="0" collapsed="false">
      <c r="A1862" s="13" t="s">
        <v>2084</v>
      </c>
      <c r="B1862" s="14" t="n">
        <v>45700</v>
      </c>
      <c r="C1862" s="14"/>
      <c r="D1862" s="13" t="n">
        <v>39</v>
      </c>
      <c r="E1862" s="13" t="s">
        <v>144</v>
      </c>
      <c r="F1862" s="13" t="s">
        <v>168</v>
      </c>
      <c r="G1862" s="13" t="s">
        <v>279</v>
      </c>
      <c r="H1862" s="13" t="s">
        <v>139</v>
      </c>
      <c r="I1862" s="13" t="n">
        <v>4</v>
      </c>
      <c r="J1862" s="13" t="n">
        <v>3</v>
      </c>
      <c r="K1862" s="13" t="n">
        <v>27500</v>
      </c>
      <c r="L1862" s="13"/>
      <c r="M1862" s="13"/>
      <c r="N1862" s="13" t="s">
        <v>142</v>
      </c>
    </row>
    <row r="1863" customFormat="false" ht="15" hidden="false" customHeight="false" outlineLevel="0" collapsed="false">
      <c r="A1863" s="13" t="s">
        <v>2085</v>
      </c>
      <c r="B1863" s="14" t="n">
        <v>45701</v>
      </c>
      <c r="C1863" s="14" t="n">
        <v>45833</v>
      </c>
      <c r="D1863" s="13" t="n">
        <v>23</v>
      </c>
      <c r="E1863" s="13" t="s">
        <v>144</v>
      </c>
      <c r="F1863" s="13" t="s">
        <v>137</v>
      </c>
      <c r="G1863" s="13" t="s">
        <v>155</v>
      </c>
      <c r="H1863" s="13" t="s">
        <v>146</v>
      </c>
      <c r="I1863" s="13" t="n">
        <v>3</v>
      </c>
      <c r="J1863" s="13" t="n">
        <v>4</v>
      </c>
      <c r="K1863" s="13" t="n">
        <v>56000</v>
      </c>
      <c r="L1863" s="13" t="s">
        <v>173</v>
      </c>
      <c r="M1863" s="13" t="s">
        <v>273</v>
      </c>
      <c r="N1863" s="13" t="s">
        <v>134</v>
      </c>
    </row>
    <row r="1864" customFormat="false" ht="15" hidden="false" customHeight="false" outlineLevel="0" collapsed="false">
      <c r="A1864" s="13" t="s">
        <v>2086</v>
      </c>
      <c r="B1864" s="14" t="n">
        <v>45703</v>
      </c>
      <c r="C1864" s="14"/>
      <c r="D1864" s="13" t="n">
        <v>30</v>
      </c>
      <c r="E1864" s="13" t="s">
        <v>136</v>
      </c>
      <c r="F1864" s="13" t="s">
        <v>164</v>
      </c>
      <c r="G1864" s="13" t="s">
        <v>184</v>
      </c>
      <c r="H1864" s="13" t="s">
        <v>139</v>
      </c>
      <c r="I1864" s="13" t="n">
        <v>4</v>
      </c>
      <c r="J1864" s="13"/>
      <c r="K1864" s="13" t="n">
        <v>43500</v>
      </c>
      <c r="L1864" s="13"/>
      <c r="M1864" s="13"/>
      <c r="N1864" s="13" t="s">
        <v>453</v>
      </c>
    </row>
    <row r="1865" customFormat="false" ht="15" hidden="false" customHeight="false" outlineLevel="0" collapsed="false">
      <c r="A1865" s="13" t="s">
        <v>2087</v>
      </c>
      <c r="B1865" s="14" t="n">
        <v>45704</v>
      </c>
      <c r="C1865" s="14" t="n">
        <v>45850</v>
      </c>
      <c r="D1865" s="13" t="n">
        <v>22</v>
      </c>
      <c r="E1865" s="13" t="s">
        <v>163</v>
      </c>
      <c r="F1865" s="13" t="s">
        <v>137</v>
      </c>
      <c r="G1865" s="13" t="s">
        <v>184</v>
      </c>
      <c r="H1865" s="13" t="s">
        <v>146</v>
      </c>
      <c r="I1865" s="13" t="n">
        <v>3</v>
      </c>
      <c r="J1865" s="13" t="n">
        <v>3</v>
      </c>
      <c r="K1865" s="13" t="n">
        <v>56000</v>
      </c>
      <c r="L1865" s="13" t="s">
        <v>151</v>
      </c>
      <c r="M1865" s="13" t="s">
        <v>152</v>
      </c>
      <c r="N1865" s="13" t="s">
        <v>142</v>
      </c>
    </row>
    <row r="1866" customFormat="false" ht="15" hidden="false" customHeight="false" outlineLevel="0" collapsed="false">
      <c r="A1866" s="13" t="s">
        <v>2088</v>
      </c>
      <c r="B1866" s="14" t="n">
        <v>45704</v>
      </c>
      <c r="C1866" s="14"/>
      <c r="D1866" s="13" t="n">
        <v>36</v>
      </c>
      <c r="E1866" s="13" t="s">
        <v>136</v>
      </c>
      <c r="F1866" s="13" t="s">
        <v>229</v>
      </c>
      <c r="G1866" s="13" t="s">
        <v>155</v>
      </c>
      <c r="H1866" s="13" t="s">
        <v>178</v>
      </c>
      <c r="I1866" s="13" t="n">
        <v>3</v>
      </c>
      <c r="J1866" s="13" t="n">
        <v>1</v>
      </c>
      <c r="K1866" s="13" t="n">
        <v>124000</v>
      </c>
      <c r="L1866" s="13"/>
      <c r="M1866" s="13"/>
      <c r="N1866" s="13" t="s">
        <v>142</v>
      </c>
    </row>
    <row r="1867" customFormat="false" ht="15" hidden="false" customHeight="false" outlineLevel="0" collapsed="false">
      <c r="A1867" s="13" t="s">
        <v>2089</v>
      </c>
      <c r="B1867" s="14" t="n">
        <v>45707</v>
      </c>
      <c r="C1867" s="14"/>
      <c r="D1867" s="13" t="n">
        <v>31</v>
      </c>
      <c r="E1867" s="13" t="s">
        <v>136</v>
      </c>
      <c r="F1867" s="13" t="s">
        <v>168</v>
      </c>
      <c r="G1867" s="13" t="s">
        <v>184</v>
      </c>
      <c r="H1867" s="13" t="s">
        <v>146</v>
      </c>
      <c r="I1867" s="13" t="n">
        <v>3</v>
      </c>
      <c r="J1867" s="13" t="n">
        <v>3</v>
      </c>
      <c r="K1867" s="13" t="n">
        <v>61000</v>
      </c>
      <c r="L1867" s="13"/>
      <c r="M1867" s="13"/>
      <c r="N1867" s="13" t="s">
        <v>142</v>
      </c>
    </row>
    <row r="1868" customFormat="false" ht="15" hidden="false" customHeight="false" outlineLevel="0" collapsed="false">
      <c r="A1868" s="13" t="s">
        <v>2090</v>
      </c>
      <c r="B1868" s="14" t="n">
        <v>45710</v>
      </c>
      <c r="C1868" s="14"/>
      <c r="D1868" s="13" t="n">
        <v>29</v>
      </c>
      <c r="E1868" s="13" t="s">
        <v>144</v>
      </c>
      <c r="F1868" s="13" t="s">
        <v>131</v>
      </c>
      <c r="G1868" s="13" t="s">
        <v>155</v>
      </c>
      <c r="H1868" s="13" t="s">
        <v>156</v>
      </c>
      <c r="I1868" s="13" t="n">
        <v>3</v>
      </c>
      <c r="J1868" s="13" t="n">
        <v>2</v>
      </c>
      <c r="K1868" s="13" t="n">
        <v>81000</v>
      </c>
      <c r="L1868" s="13"/>
      <c r="M1868" s="13"/>
      <c r="N1868" s="13" t="s">
        <v>134</v>
      </c>
    </row>
    <row r="1869" customFormat="false" ht="15" hidden="false" customHeight="false" outlineLevel="0" collapsed="false">
      <c r="A1869" s="13" t="s">
        <v>2091</v>
      </c>
      <c r="B1869" s="14" t="n">
        <v>45712</v>
      </c>
      <c r="C1869" s="14"/>
      <c r="D1869" s="13" t="n">
        <v>25</v>
      </c>
      <c r="E1869" s="13" t="s">
        <v>182</v>
      </c>
      <c r="F1869" s="13" t="s">
        <v>145</v>
      </c>
      <c r="G1869" s="13" t="s">
        <v>132</v>
      </c>
      <c r="H1869" s="13" t="s">
        <v>146</v>
      </c>
      <c r="I1869" s="13" t="n">
        <v>5</v>
      </c>
      <c r="J1869" s="13" t="n">
        <v>2</v>
      </c>
      <c r="K1869" s="13" t="n">
        <v>61500</v>
      </c>
      <c r="L1869" s="13"/>
      <c r="M1869" s="13"/>
      <c r="N1869" s="13" t="s">
        <v>142</v>
      </c>
    </row>
    <row r="1870" customFormat="false" ht="15" hidden="false" customHeight="false" outlineLevel="0" collapsed="false">
      <c r="A1870" s="13" t="s">
        <v>2092</v>
      </c>
      <c r="B1870" s="14" t="n">
        <v>45718</v>
      </c>
      <c r="C1870" s="14"/>
      <c r="D1870" s="13" t="n">
        <v>25</v>
      </c>
      <c r="E1870" s="13" t="s">
        <v>144</v>
      </c>
      <c r="F1870" s="13" t="s">
        <v>154</v>
      </c>
      <c r="G1870" s="13" t="s">
        <v>191</v>
      </c>
      <c r="H1870" s="13" t="s">
        <v>178</v>
      </c>
      <c r="I1870" s="13" t="n">
        <v>3</v>
      </c>
      <c r="J1870" s="13" t="n">
        <v>3</v>
      </c>
      <c r="K1870" s="13" t="n">
        <v>102000</v>
      </c>
      <c r="L1870" s="13"/>
      <c r="M1870" s="13"/>
      <c r="N1870" s="13" t="s">
        <v>134</v>
      </c>
    </row>
    <row r="1871" customFormat="false" ht="15" hidden="false" customHeight="false" outlineLevel="0" collapsed="false">
      <c r="A1871" s="13" t="s">
        <v>2093</v>
      </c>
      <c r="B1871" s="14" t="n">
        <v>45725</v>
      </c>
      <c r="C1871" s="14"/>
      <c r="D1871" s="13" t="n">
        <v>24</v>
      </c>
      <c r="E1871" s="13" t="s">
        <v>259</v>
      </c>
      <c r="F1871" s="13" t="s">
        <v>170</v>
      </c>
      <c r="G1871" s="13" t="s">
        <v>191</v>
      </c>
      <c r="H1871" s="13" t="s">
        <v>149</v>
      </c>
      <c r="I1871" s="13" t="n">
        <v>4</v>
      </c>
      <c r="J1871" s="13" t="n">
        <v>4</v>
      </c>
      <c r="K1871" s="13" t="n">
        <v>94000</v>
      </c>
      <c r="L1871" s="13"/>
      <c r="M1871" s="13"/>
      <c r="N1871" s="13" t="s">
        <v>142</v>
      </c>
    </row>
    <row r="1872" customFormat="false" ht="15" hidden="false" customHeight="false" outlineLevel="0" collapsed="false">
      <c r="A1872" s="13" t="s">
        <v>2094</v>
      </c>
      <c r="B1872" s="14" t="n">
        <v>45729</v>
      </c>
      <c r="C1872" s="14"/>
      <c r="D1872" s="13" t="n">
        <v>24</v>
      </c>
      <c r="E1872" s="13" t="s">
        <v>182</v>
      </c>
      <c r="F1872" s="13" t="s">
        <v>164</v>
      </c>
      <c r="G1872" s="13" t="s">
        <v>138</v>
      </c>
      <c r="H1872" s="13" t="s">
        <v>149</v>
      </c>
      <c r="I1872" s="13" t="n">
        <v>4</v>
      </c>
      <c r="J1872" s="13" t="n">
        <v>3</v>
      </c>
      <c r="K1872" s="13" t="n">
        <v>92500</v>
      </c>
      <c r="L1872" s="13"/>
      <c r="M1872" s="13"/>
      <c r="N1872" s="13" t="s">
        <v>134</v>
      </c>
    </row>
    <row r="1873" customFormat="false" ht="15" hidden="false" customHeight="false" outlineLevel="0" collapsed="false">
      <c r="A1873" s="13" t="s">
        <v>2095</v>
      </c>
      <c r="B1873" s="14" t="n">
        <v>45729</v>
      </c>
      <c r="C1873" s="14"/>
      <c r="D1873" s="13" t="n">
        <v>30</v>
      </c>
      <c r="E1873" s="13" t="s">
        <v>144</v>
      </c>
      <c r="F1873" s="13" t="s">
        <v>168</v>
      </c>
      <c r="G1873" s="13" t="s">
        <v>235</v>
      </c>
      <c r="H1873" s="13" t="s">
        <v>146</v>
      </c>
      <c r="I1873" s="13" t="n">
        <v>3</v>
      </c>
      <c r="J1873" s="13" t="n">
        <v>2</v>
      </c>
      <c r="K1873" s="13" t="n">
        <v>54000</v>
      </c>
      <c r="L1873" s="13"/>
      <c r="M1873" s="13"/>
      <c r="N1873" s="13" t="s">
        <v>142</v>
      </c>
    </row>
    <row r="1874" customFormat="false" ht="15" hidden="false" customHeight="false" outlineLevel="0" collapsed="false">
      <c r="A1874" s="13" t="s">
        <v>2096</v>
      </c>
      <c r="B1874" s="14" t="n">
        <v>45731</v>
      </c>
      <c r="C1874" s="14"/>
      <c r="D1874" s="13" t="n">
        <v>28</v>
      </c>
      <c r="E1874" s="13" t="s">
        <v>136</v>
      </c>
      <c r="F1874" s="13" t="s">
        <v>170</v>
      </c>
      <c r="G1874" s="13" t="s">
        <v>155</v>
      </c>
      <c r="H1874" s="13" t="s">
        <v>146</v>
      </c>
      <c r="I1874" s="13" t="n">
        <v>5</v>
      </c>
      <c r="J1874" s="13" t="n">
        <v>3</v>
      </c>
      <c r="K1874" s="13" t="n">
        <v>43500</v>
      </c>
      <c r="L1874" s="13"/>
      <c r="M1874" s="13"/>
      <c r="N1874" s="13" t="s">
        <v>142</v>
      </c>
    </row>
    <row r="1875" customFormat="false" ht="15" hidden="false" customHeight="false" outlineLevel="0" collapsed="false">
      <c r="A1875" s="13" t="s">
        <v>2097</v>
      </c>
      <c r="B1875" s="14" t="n">
        <v>45732</v>
      </c>
      <c r="C1875" s="14"/>
      <c r="D1875" s="13" t="n">
        <v>37</v>
      </c>
      <c r="E1875" s="13" t="s">
        <v>163</v>
      </c>
      <c r="F1875" s="13" t="s">
        <v>154</v>
      </c>
      <c r="G1875" s="13" t="s">
        <v>447</v>
      </c>
      <c r="H1875" s="13" t="s">
        <v>139</v>
      </c>
      <c r="I1875" s="13" t="n">
        <v>5</v>
      </c>
      <c r="J1875" s="13" t="n">
        <v>1</v>
      </c>
      <c r="K1875" s="13" t="n">
        <v>34500</v>
      </c>
      <c r="L1875" s="13"/>
      <c r="M1875" s="13"/>
      <c r="N1875" s="13" t="s">
        <v>142</v>
      </c>
    </row>
    <row r="1876" customFormat="false" ht="15" hidden="false" customHeight="false" outlineLevel="0" collapsed="false">
      <c r="A1876" s="13" t="s">
        <v>2098</v>
      </c>
      <c r="B1876" s="14" t="n">
        <v>45732</v>
      </c>
      <c r="C1876" s="14"/>
      <c r="D1876" s="13" t="n">
        <v>24</v>
      </c>
      <c r="E1876" s="13" t="s">
        <v>136</v>
      </c>
      <c r="F1876" s="13" t="s">
        <v>168</v>
      </c>
      <c r="G1876" s="13" t="s">
        <v>148</v>
      </c>
      <c r="H1876" s="13" t="s">
        <v>139</v>
      </c>
      <c r="I1876" s="13" t="n">
        <v>4</v>
      </c>
      <c r="J1876" s="13" t="n">
        <v>1</v>
      </c>
      <c r="K1876" s="13" t="n">
        <v>38500</v>
      </c>
      <c r="L1876" s="13"/>
      <c r="M1876" s="13"/>
      <c r="N1876" s="13" t="s">
        <v>142</v>
      </c>
    </row>
    <row r="1877" customFormat="false" ht="15" hidden="false" customHeight="false" outlineLevel="0" collapsed="false">
      <c r="A1877" s="13" t="s">
        <v>2099</v>
      </c>
      <c r="B1877" s="14" t="n">
        <v>45736</v>
      </c>
      <c r="C1877" s="14"/>
      <c r="D1877" s="13" t="n">
        <v>27</v>
      </c>
      <c r="E1877" s="13" t="s">
        <v>259</v>
      </c>
      <c r="F1877" s="13" t="s">
        <v>168</v>
      </c>
      <c r="G1877" s="13" t="s">
        <v>155</v>
      </c>
      <c r="H1877" s="13" t="s">
        <v>156</v>
      </c>
      <c r="I1877" s="13" t="n">
        <v>4</v>
      </c>
      <c r="J1877" s="13" t="n">
        <v>3</v>
      </c>
      <c r="K1877" s="13" t="n">
        <v>81000</v>
      </c>
      <c r="L1877" s="13"/>
      <c r="M1877" s="13"/>
      <c r="N1877" s="13" t="s">
        <v>142</v>
      </c>
    </row>
    <row r="1878" customFormat="false" ht="15" hidden="false" customHeight="false" outlineLevel="0" collapsed="false">
      <c r="A1878" s="13" t="s">
        <v>2100</v>
      </c>
      <c r="B1878" s="14" t="n">
        <v>45736</v>
      </c>
      <c r="C1878" s="14"/>
      <c r="D1878" s="13" t="n">
        <v>27</v>
      </c>
      <c r="E1878" s="13" t="s">
        <v>144</v>
      </c>
      <c r="F1878" s="13" t="s">
        <v>241</v>
      </c>
      <c r="G1878" s="13" t="s">
        <v>155</v>
      </c>
      <c r="H1878" s="13" t="s">
        <v>178</v>
      </c>
      <c r="I1878" s="13" t="n">
        <v>3</v>
      </c>
      <c r="J1878" s="13" t="n">
        <v>2</v>
      </c>
      <c r="K1878" s="13" t="n">
        <v>144000</v>
      </c>
      <c r="L1878" s="13"/>
      <c r="M1878" s="13"/>
      <c r="N1878" s="13" t="s">
        <v>134</v>
      </c>
    </row>
    <row r="1879" customFormat="false" ht="15" hidden="false" customHeight="false" outlineLevel="0" collapsed="false">
      <c r="A1879" s="13" t="s">
        <v>2101</v>
      </c>
      <c r="B1879" s="14" t="n">
        <v>45738</v>
      </c>
      <c r="C1879" s="14"/>
      <c r="D1879" s="13" t="n">
        <v>33</v>
      </c>
      <c r="E1879" s="13" t="s">
        <v>136</v>
      </c>
      <c r="F1879" s="13" t="s">
        <v>161</v>
      </c>
      <c r="G1879" s="13" t="s">
        <v>138</v>
      </c>
      <c r="H1879" s="13" t="s">
        <v>146</v>
      </c>
      <c r="I1879" s="13" t="n">
        <v>5</v>
      </c>
      <c r="J1879" s="13" t="n">
        <v>1</v>
      </c>
      <c r="K1879" s="13" t="n">
        <v>55000</v>
      </c>
      <c r="L1879" s="13"/>
      <c r="M1879" s="13"/>
      <c r="N1879" s="13" t="s">
        <v>157</v>
      </c>
    </row>
    <row r="1880" customFormat="false" ht="15" hidden="false" customHeight="false" outlineLevel="0" collapsed="false">
      <c r="A1880" s="13" t="s">
        <v>2102</v>
      </c>
      <c r="B1880" s="14" t="n">
        <v>45740</v>
      </c>
      <c r="C1880" s="14"/>
      <c r="D1880" s="13" t="n">
        <v>29</v>
      </c>
      <c r="E1880" s="13" t="s">
        <v>144</v>
      </c>
      <c r="F1880" s="13" t="s">
        <v>229</v>
      </c>
      <c r="G1880" s="13" t="s">
        <v>155</v>
      </c>
      <c r="H1880" s="13" t="s">
        <v>139</v>
      </c>
      <c r="I1880" s="13" t="n">
        <v>3</v>
      </c>
      <c r="J1880" s="13" t="n">
        <v>2</v>
      </c>
      <c r="K1880" s="13" t="n">
        <v>36000</v>
      </c>
      <c r="L1880" s="13"/>
      <c r="M1880" s="13"/>
      <c r="N1880" s="13" t="s">
        <v>142</v>
      </c>
    </row>
    <row r="1881" customFormat="false" ht="15" hidden="false" customHeight="false" outlineLevel="0" collapsed="false">
      <c r="A1881" s="13" t="s">
        <v>2103</v>
      </c>
      <c r="B1881" s="14" t="n">
        <v>45740</v>
      </c>
      <c r="C1881" s="14"/>
      <c r="D1881" s="13" t="n">
        <v>26</v>
      </c>
      <c r="E1881" s="13" t="s">
        <v>136</v>
      </c>
      <c r="F1881" s="13" t="s">
        <v>229</v>
      </c>
      <c r="G1881" s="13" t="s">
        <v>148</v>
      </c>
      <c r="H1881" s="13" t="s">
        <v>149</v>
      </c>
      <c r="I1881" s="13" t="n">
        <v>3</v>
      </c>
      <c r="J1881" s="13" t="n">
        <v>4</v>
      </c>
      <c r="K1881" s="13" t="n">
        <v>79500</v>
      </c>
      <c r="L1881" s="13"/>
      <c r="M1881" s="13"/>
      <c r="N1881" s="13" t="s">
        <v>157</v>
      </c>
    </row>
    <row r="1882" customFormat="false" ht="15" hidden="false" customHeight="false" outlineLevel="0" collapsed="false">
      <c r="A1882" s="13" t="s">
        <v>2104</v>
      </c>
      <c r="B1882" s="14" t="n">
        <v>45743</v>
      </c>
      <c r="C1882" s="14"/>
      <c r="D1882" s="13" t="n">
        <v>33</v>
      </c>
      <c r="E1882" s="13" t="s">
        <v>144</v>
      </c>
      <c r="F1882" s="13" t="s">
        <v>170</v>
      </c>
      <c r="G1882" s="13" t="s">
        <v>330</v>
      </c>
      <c r="H1882" s="13" t="s">
        <v>146</v>
      </c>
      <c r="I1882" s="13" t="n">
        <v>3</v>
      </c>
      <c r="J1882" s="13" t="n">
        <v>1</v>
      </c>
      <c r="K1882" s="13" t="n">
        <v>60500</v>
      </c>
      <c r="L1882" s="13"/>
      <c r="M1882" s="13"/>
      <c r="N1882" s="13" t="s">
        <v>134</v>
      </c>
    </row>
    <row r="1883" customFormat="false" ht="15" hidden="false" customHeight="false" outlineLevel="0" collapsed="false">
      <c r="A1883" s="13" t="s">
        <v>2105</v>
      </c>
      <c r="B1883" s="14" t="n">
        <v>45744</v>
      </c>
      <c r="C1883" s="14"/>
      <c r="D1883" s="13" t="n">
        <v>33</v>
      </c>
      <c r="E1883" s="13" t="s">
        <v>144</v>
      </c>
      <c r="F1883" s="13" t="s">
        <v>170</v>
      </c>
      <c r="G1883" s="13" t="s">
        <v>132</v>
      </c>
      <c r="H1883" s="13" t="s">
        <v>146</v>
      </c>
      <c r="I1883" s="13" t="n">
        <v>3</v>
      </c>
      <c r="J1883" s="13" t="n">
        <v>1</v>
      </c>
      <c r="K1883" s="13" t="n">
        <v>58000</v>
      </c>
      <c r="L1883" s="13"/>
      <c r="M1883" s="13"/>
      <c r="N1883" s="13" t="s">
        <v>142</v>
      </c>
    </row>
    <row r="1884" customFormat="false" ht="15" hidden="false" customHeight="false" outlineLevel="0" collapsed="false">
      <c r="A1884" s="13" t="s">
        <v>2106</v>
      </c>
      <c r="B1884" s="14" t="n">
        <v>45744</v>
      </c>
      <c r="C1884" s="14"/>
      <c r="D1884" s="13" t="n">
        <v>22</v>
      </c>
      <c r="E1884" s="13" t="s">
        <v>186</v>
      </c>
      <c r="F1884" s="13" t="s">
        <v>231</v>
      </c>
      <c r="G1884" s="13" t="s">
        <v>191</v>
      </c>
      <c r="H1884" s="13" t="s">
        <v>178</v>
      </c>
      <c r="I1884" s="13" t="n">
        <v>3</v>
      </c>
      <c r="J1884" s="13" t="n">
        <v>4</v>
      </c>
      <c r="K1884" s="13" t="n">
        <v>138500</v>
      </c>
      <c r="L1884" s="13"/>
      <c r="M1884" s="13"/>
      <c r="N1884" s="13" t="s">
        <v>142</v>
      </c>
    </row>
    <row r="1885" customFormat="false" ht="15" hidden="false" customHeight="false" outlineLevel="0" collapsed="false">
      <c r="A1885" s="13" t="s">
        <v>2107</v>
      </c>
      <c r="B1885" s="14" t="n">
        <v>45745</v>
      </c>
      <c r="C1885" s="14"/>
      <c r="D1885" s="13" t="n">
        <v>35</v>
      </c>
      <c r="E1885" s="13" t="s">
        <v>144</v>
      </c>
      <c r="F1885" s="13" t="s">
        <v>231</v>
      </c>
      <c r="G1885" s="13" t="s">
        <v>148</v>
      </c>
      <c r="H1885" s="13" t="s">
        <v>156</v>
      </c>
      <c r="I1885" s="13" t="n">
        <v>3</v>
      </c>
      <c r="J1885" s="13" t="n">
        <v>4</v>
      </c>
      <c r="K1885" s="13" t="n">
        <v>78500</v>
      </c>
      <c r="L1885" s="13"/>
      <c r="M1885" s="13"/>
      <c r="N1885" s="13" t="s">
        <v>157</v>
      </c>
    </row>
    <row r="1886" customFormat="false" ht="15" hidden="false" customHeight="false" outlineLevel="0" collapsed="false">
      <c r="A1886" s="13" t="s">
        <v>2108</v>
      </c>
      <c r="B1886" s="14" t="n">
        <v>45747</v>
      </c>
      <c r="C1886" s="14"/>
      <c r="D1886" s="13" t="n">
        <v>32</v>
      </c>
      <c r="E1886" s="13" t="s">
        <v>163</v>
      </c>
      <c r="F1886" s="13" t="s">
        <v>161</v>
      </c>
      <c r="G1886" s="13" t="s">
        <v>155</v>
      </c>
      <c r="H1886" s="13" t="s">
        <v>192</v>
      </c>
      <c r="I1886" s="13" t="n">
        <v>4</v>
      </c>
      <c r="J1886" s="13"/>
      <c r="K1886" s="13" t="n">
        <v>174500</v>
      </c>
      <c r="L1886" s="13"/>
      <c r="M1886" s="13"/>
      <c r="N1886" s="13" t="s">
        <v>142</v>
      </c>
    </row>
    <row r="1887" customFormat="false" ht="15" hidden="false" customHeight="false" outlineLevel="0" collapsed="false">
      <c r="A1887" s="13" t="s">
        <v>2109</v>
      </c>
      <c r="B1887" s="14" t="n">
        <v>45748</v>
      </c>
      <c r="C1887" s="14"/>
      <c r="D1887" s="13" t="n">
        <v>30</v>
      </c>
      <c r="E1887" s="13" t="s">
        <v>136</v>
      </c>
      <c r="F1887" s="13" t="s">
        <v>241</v>
      </c>
      <c r="G1887" s="13" t="s">
        <v>148</v>
      </c>
      <c r="H1887" s="13" t="s">
        <v>192</v>
      </c>
      <c r="I1887" s="13" t="n">
        <v>3</v>
      </c>
      <c r="J1887" s="13" t="n">
        <v>1</v>
      </c>
      <c r="K1887" s="13" t="n">
        <v>197000</v>
      </c>
      <c r="L1887" s="13"/>
      <c r="M1887" s="13"/>
      <c r="N1887" s="13" t="s">
        <v>142</v>
      </c>
    </row>
    <row r="1888" customFormat="false" ht="15" hidden="false" customHeight="false" outlineLevel="0" collapsed="false">
      <c r="A1888" s="13" t="s">
        <v>2110</v>
      </c>
      <c r="B1888" s="14" t="n">
        <v>45748</v>
      </c>
      <c r="C1888" s="14" t="n">
        <v>45882</v>
      </c>
      <c r="D1888" s="13" t="n">
        <v>31</v>
      </c>
      <c r="E1888" s="13" t="s">
        <v>136</v>
      </c>
      <c r="F1888" s="13" t="s">
        <v>229</v>
      </c>
      <c r="G1888" s="13" t="s">
        <v>191</v>
      </c>
      <c r="H1888" s="13" t="s">
        <v>139</v>
      </c>
      <c r="I1888" s="13" t="n">
        <v>3</v>
      </c>
      <c r="J1888" s="13" t="n">
        <v>2</v>
      </c>
      <c r="K1888" s="13" t="n">
        <v>35500</v>
      </c>
      <c r="L1888" s="13" t="s">
        <v>151</v>
      </c>
      <c r="M1888" s="13" t="s">
        <v>201</v>
      </c>
      <c r="N1888" s="13" t="s">
        <v>142</v>
      </c>
    </row>
    <row r="1889" customFormat="false" ht="15" hidden="false" customHeight="false" outlineLevel="0" collapsed="false">
      <c r="A1889" s="13" t="s">
        <v>2111</v>
      </c>
      <c r="B1889" s="14" t="n">
        <v>45755</v>
      </c>
      <c r="C1889" s="14"/>
      <c r="D1889" s="13" t="n">
        <v>44</v>
      </c>
      <c r="E1889" s="13" t="s">
        <v>186</v>
      </c>
      <c r="F1889" s="13" t="s">
        <v>241</v>
      </c>
      <c r="G1889" s="13" t="s">
        <v>191</v>
      </c>
      <c r="H1889" s="13" t="s">
        <v>149</v>
      </c>
      <c r="I1889" s="13" t="n">
        <v>3</v>
      </c>
      <c r="J1889" s="13" t="n">
        <v>3</v>
      </c>
      <c r="K1889" s="13" t="n">
        <v>95000</v>
      </c>
      <c r="L1889" s="13"/>
      <c r="M1889" s="13"/>
      <c r="N1889" s="13" t="s">
        <v>142</v>
      </c>
    </row>
    <row r="1890" customFormat="false" ht="15" hidden="false" customHeight="false" outlineLevel="0" collapsed="false">
      <c r="A1890" s="13" t="s">
        <v>2112</v>
      </c>
      <c r="B1890" s="14" t="n">
        <v>45759</v>
      </c>
      <c r="C1890" s="14"/>
      <c r="D1890" s="13" t="n">
        <v>32</v>
      </c>
      <c r="E1890" s="13" t="s">
        <v>190</v>
      </c>
      <c r="F1890" s="13" t="s">
        <v>239</v>
      </c>
      <c r="G1890" s="13" t="s">
        <v>155</v>
      </c>
      <c r="H1890" s="13" t="s">
        <v>156</v>
      </c>
      <c r="I1890" s="13" t="n">
        <v>5</v>
      </c>
      <c r="J1890" s="13" t="n">
        <v>1</v>
      </c>
      <c r="K1890" s="13" t="n">
        <v>74500</v>
      </c>
      <c r="L1890" s="13"/>
      <c r="M1890" s="13"/>
      <c r="N1890" s="13" t="s">
        <v>214</v>
      </c>
    </row>
    <row r="1891" customFormat="false" ht="15" hidden="false" customHeight="false" outlineLevel="0" collapsed="false">
      <c r="A1891" s="13" t="s">
        <v>2113</v>
      </c>
      <c r="B1891" s="14" t="n">
        <v>45761</v>
      </c>
      <c r="C1891" s="14"/>
      <c r="D1891" s="13" t="n">
        <v>28</v>
      </c>
      <c r="E1891" s="13" t="s">
        <v>136</v>
      </c>
      <c r="F1891" s="13" t="s">
        <v>168</v>
      </c>
      <c r="G1891" s="13" t="s">
        <v>155</v>
      </c>
      <c r="H1891" s="13" t="s">
        <v>139</v>
      </c>
      <c r="I1891" s="13" t="n">
        <v>4</v>
      </c>
      <c r="J1891" s="13" t="n">
        <v>1</v>
      </c>
      <c r="K1891" s="13" t="n">
        <v>41500</v>
      </c>
      <c r="L1891" s="13"/>
      <c r="M1891" s="13"/>
      <c r="N1891" s="13" t="s">
        <v>142</v>
      </c>
    </row>
    <row r="1892" customFormat="false" ht="15" hidden="false" customHeight="false" outlineLevel="0" collapsed="false">
      <c r="A1892" s="13" t="s">
        <v>2114</v>
      </c>
      <c r="B1892" s="14" t="n">
        <v>45761</v>
      </c>
      <c r="C1892" s="14"/>
      <c r="D1892" s="13" t="n">
        <v>28</v>
      </c>
      <c r="E1892" s="13" t="s">
        <v>136</v>
      </c>
      <c r="F1892" s="13" t="s">
        <v>137</v>
      </c>
      <c r="G1892" s="13" t="s">
        <v>138</v>
      </c>
      <c r="H1892" s="13" t="s">
        <v>156</v>
      </c>
      <c r="I1892" s="13" t="n">
        <v>3</v>
      </c>
      <c r="J1892" s="13" t="n">
        <v>1</v>
      </c>
      <c r="K1892" s="13" t="n">
        <v>96500</v>
      </c>
      <c r="L1892" s="13"/>
      <c r="M1892" s="13"/>
      <c r="N1892" s="13" t="s">
        <v>134</v>
      </c>
    </row>
    <row r="1893" customFormat="false" ht="15" hidden="false" customHeight="false" outlineLevel="0" collapsed="false">
      <c r="A1893" s="13" t="s">
        <v>2115</v>
      </c>
      <c r="B1893" s="14" t="n">
        <v>45761</v>
      </c>
      <c r="C1893" s="14"/>
      <c r="D1893" s="13" t="n">
        <v>26</v>
      </c>
      <c r="E1893" s="13" t="s">
        <v>136</v>
      </c>
      <c r="F1893" s="13" t="s">
        <v>154</v>
      </c>
      <c r="G1893" s="13" t="s">
        <v>224</v>
      </c>
      <c r="H1893" s="13" t="s">
        <v>146</v>
      </c>
      <c r="I1893" s="13" t="n">
        <v>3</v>
      </c>
      <c r="J1893" s="13" t="n">
        <v>3</v>
      </c>
      <c r="K1893" s="13" t="n">
        <v>50000</v>
      </c>
      <c r="L1893" s="13"/>
      <c r="M1893" s="13"/>
      <c r="N1893" s="13" t="s">
        <v>134</v>
      </c>
    </row>
    <row r="1894" customFormat="false" ht="15" hidden="false" customHeight="false" outlineLevel="0" collapsed="false">
      <c r="A1894" s="13" t="s">
        <v>2116</v>
      </c>
      <c r="B1894" s="14" t="n">
        <v>45761</v>
      </c>
      <c r="C1894" s="14"/>
      <c r="D1894" s="13" t="n">
        <v>38</v>
      </c>
      <c r="E1894" s="13" t="s">
        <v>163</v>
      </c>
      <c r="F1894" s="13" t="s">
        <v>229</v>
      </c>
      <c r="G1894" s="13" t="s">
        <v>297</v>
      </c>
      <c r="H1894" s="13" t="s">
        <v>156</v>
      </c>
      <c r="I1894" s="13" t="n">
        <v>4</v>
      </c>
      <c r="J1894" s="13" t="n">
        <v>2</v>
      </c>
      <c r="K1894" s="13" t="n">
        <v>97000</v>
      </c>
      <c r="L1894" s="13"/>
      <c r="M1894" s="13"/>
      <c r="N1894" s="13" t="s">
        <v>134</v>
      </c>
    </row>
    <row r="1895" customFormat="false" ht="15" hidden="false" customHeight="false" outlineLevel="0" collapsed="false">
      <c r="A1895" s="13" t="s">
        <v>2117</v>
      </c>
      <c r="B1895" s="14" t="n">
        <v>45762</v>
      </c>
      <c r="C1895" s="14" t="n">
        <v>46001</v>
      </c>
      <c r="D1895" s="13" t="n">
        <v>42</v>
      </c>
      <c r="E1895" s="13" t="s">
        <v>136</v>
      </c>
      <c r="F1895" s="13" t="s">
        <v>154</v>
      </c>
      <c r="G1895" s="13" t="s">
        <v>155</v>
      </c>
      <c r="H1895" s="13" t="s">
        <v>139</v>
      </c>
      <c r="I1895" s="13" t="n">
        <v>3</v>
      </c>
      <c r="J1895" s="13" t="n">
        <v>1</v>
      </c>
      <c r="K1895" s="13" t="n">
        <v>41500</v>
      </c>
      <c r="L1895" s="13" t="s">
        <v>151</v>
      </c>
      <c r="M1895" s="13" t="s">
        <v>1232</v>
      </c>
      <c r="N1895" s="13" t="s">
        <v>142</v>
      </c>
    </row>
    <row r="1896" customFormat="false" ht="15" hidden="false" customHeight="false" outlineLevel="0" collapsed="false">
      <c r="A1896" s="13" t="s">
        <v>2118</v>
      </c>
      <c r="B1896" s="14" t="n">
        <v>45763</v>
      </c>
      <c r="C1896" s="14"/>
      <c r="D1896" s="13" t="n">
        <v>35</v>
      </c>
      <c r="E1896" s="13" t="s">
        <v>190</v>
      </c>
      <c r="F1896" s="13" t="s">
        <v>168</v>
      </c>
      <c r="G1896" s="13" t="s">
        <v>155</v>
      </c>
      <c r="H1896" s="13" t="s">
        <v>219</v>
      </c>
      <c r="I1896" s="13" t="n">
        <v>1</v>
      </c>
      <c r="J1896" s="13" t="n">
        <v>2</v>
      </c>
      <c r="K1896" s="13" t="n">
        <v>39500</v>
      </c>
      <c r="L1896" s="13"/>
      <c r="M1896" s="13"/>
      <c r="N1896" s="13" t="s">
        <v>142</v>
      </c>
    </row>
    <row r="1897" customFormat="false" ht="15" hidden="false" customHeight="false" outlineLevel="0" collapsed="false">
      <c r="A1897" s="13" t="s">
        <v>2119</v>
      </c>
      <c r="B1897" s="14" t="n">
        <v>45767</v>
      </c>
      <c r="C1897" s="14"/>
      <c r="D1897" s="13" t="n">
        <v>33</v>
      </c>
      <c r="E1897" s="13" t="s">
        <v>136</v>
      </c>
      <c r="F1897" s="13" t="s">
        <v>170</v>
      </c>
      <c r="G1897" s="13" t="s">
        <v>155</v>
      </c>
      <c r="H1897" s="13" t="s">
        <v>149</v>
      </c>
      <c r="I1897" s="13" t="n">
        <v>2</v>
      </c>
      <c r="J1897" s="13" t="n">
        <v>3</v>
      </c>
      <c r="K1897" s="13" t="n">
        <v>97000</v>
      </c>
      <c r="L1897" s="13"/>
      <c r="M1897" s="13"/>
      <c r="N1897" s="13" t="s">
        <v>142</v>
      </c>
    </row>
    <row r="1898" customFormat="false" ht="15" hidden="false" customHeight="false" outlineLevel="0" collapsed="false">
      <c r="A1898" s="13" t="s">
        <v>2120</v>
      </c>
      <c r="B1898" s="14" t="n">
        <v>45769</v>
      </c>
      <c r="C1898" s="14"/>
      <c r="D1898" s="13" t="n">
        <v>38</v>
      </c>
      <c r="E1898" s="13" t="s">
        <v>144</v>
      </c>
      <c r="F1898" s="13" t="s">
        <v>168</v>
      </c>
      <c r="G1898" s="13" t="s">
        <v>155</v>
      </c>
      <c r="H1898" s="13" t="s">
        <v>156</v>
      </c>
      <c r="I1898" s="13" t="n">
        <v>3</v>
      </c>
      <c r="J1898" s="13" t="n">
        <v>3</v>
      </c>
      <c r="K1898" s="13" t="n">
        <v>87500</v>
      </c>
      <c r="L1898" s="13"/>
      <c r="M1898" s="13"/>
      <c r="N1898" s="13" t="s">
        <v>214</v>
      </c>
    </row>
    <row r="1899" customFormat="false" ht="15" hidden="false" customHeight="false" outlineLevel="0" collapsed="false">
      <c r="A1899" s="13" t="s">
        <v>2121</v>
      </c>
      <c r="B1899" s="14" t="n">
        <v>45769</v>
      </c>
      <c r="C1899" s="14"/>
      <c r="D1899" s="13" t="n">
        <v>26</v>
      </c>
      <c r="E1899" s="13" t="s">
        <v>136</v>
      </c>
      <c r="F1899" s="13" t="s">
        <v>137</v>
      </c>
      <c r="G1899" s="13" t="s">
        <v>191</v>
      </c>
      <c r="H1899" s="13" t="s">
        <v>139</v>
      </c>
      <c r="I1899" s="13" t="n">
        <v>3</v>
      </c>
      <c r="J1899" s="13" t="n">
        <v>3</v>
      </c>
      <c r="K1899" s="13" t="n">
        <v>29500</v>
      </c>
      <c r="L1899" s="13"/>
      <c r="M1899" s="13"/>
      <c r="N1899" s="13" t="s">
        <v>142</v>
      </c>
    </row>
    <row r="1900" customFormat="false" ht="15" hidden="false" customHeight="false" outlineLevel="0" collapsed="false">
      <c r="A1900" s="13" t="s">
        <v>2122</v>
      </c>
      <c r="B1900" s="14" t="n">
        <v>45769</v>
      </c>
      <c r="C1900" s="14"/>
      <c r="D1900" s="13" t="n">
        <v>31</v>
      </c>
      <c r="E1900" s="13" t="s">
        <v>136</v>
      </c>
      <c r="F1900" s="13" t="s">
        <v>170</v>
      </c>
      <c r="G1900" s="13" t="s">
        <v>155</v>
      </c>
      <c r="H1900" s="13" t="s">
        <v>156</v>
      </c>
      <c r="I1900" s="13" t="n">
        <v>3</v>
      </c>
      <c r="J1900" s="13" t="n">
        <v>1</v>
      </c>
      <c r="K1900" s="13" t="n">
        <v>84000</v>
      </c>
      <c r="L1900" s="13"/>
      <c r="M1900" s="13"/>
      <c r="N1900" s="13" t="s">
        <v>142</v>
      </c>
    </row>
    <row r="1901" customFormat="false" ht="15" hidden="false" customHeight="false" outlineLevel="0" collapsed="false">
      <c r="A1901" s="13" t="s">
        <v>2123</v>
      </c>
      <c r="B1901" s="14" t="n">
        <v>45774</v>
      </c>
      <c r="C1901" s="14"/>
      <c r="D1901" s="13" t="n">
        <v>33</v>
      </c>
      <c r="E1901" s="13" t="s">
        <v>144</v>
      </c>
      <c r="F1901" s="13" t="s">
        <v>154</v>
      </c>
      <c r="G1901" s="13" t="s">
        <v>279</v>
      </c>
      <c r="H1901" s="13" t="s">
        <v>156</v>
      </c>
      <c r="I1901" s="13" t="n">
        <v>3</v>
      </c>
      <c r="J1901" s="13" t="n">
        <v>3</v>
      </c>
      <c r="K1901" s="13" t="n">
        <v>83500</v>
      </c>
      <c r="L1901" s="13"/>
      <c r="M1901" s="13"/>
      <c r="N1901" s="13" t="s">
        <v>142</v>
      </c>
    </row>
    <row r="1902" customFormat="false" ht="15" hidden="false" customHeight="false" outlineLevel="0" collapsed="false">
      <c r="A1902" s="13" t="s">
        <v>2124</v>
      </c>
      <c r="B1902" s="14" t="n">
        <v>45775</v>
      </c>
      <c r="C1902" s="14" t="n">
        <v>45785</v>
      </c>
      <c r="D1902" s="13" t="n">
        <v>30</v>
      </c>
      <c r="E1902" s="13" t="s">
        <v>136</v>
      </c>
      <c r="F1902" s="13" t="s">
        <v>241</v>
      </c>
      <c r="G1902" s="13" t="s">
        <v>132</v>
      </c>
      <c r="H1902" s="13" t="s">
        <v>156</v>
      </c>
      <c r="I1902" s="13" t="n">
        <v>3</v>
      </c>
      <c r="J1902" s="13" t="n">
        <v>1</v>
      </c>
      <c r="K1902" s="13" t="n">
        <v>75000</v>
      </c>
      <c r="L1902" s="13" t="s">
        <v>151</v>
      </c>
      <c r="M1902" s="13" t="s">
        <v>201</v>
      </c>
      <c r="N1902" s="13" t="s">
        <v>157</v>
      </c>
    </row>
    <row r="1903" customFormat="false" ht="15" hidden="false" customHeight="false" outlineLevel="0" collapsed="false">
      <c r="A1903" s="13" t="s">
        <v>2125</v>
      </c>
      <c r="B1903" s="14" t="n">
        <v>45779</v>
      </c>
      <c r="C1903" s="14"/>
      <c r="D1903" s="13" t="n">
        <v>33</v>
      </c>
      <c r="E1903" s="13" t="s">
        <v>136</v>
      </c>
      <c r="F1903" s="13" t="s">
        <v>229</v>
      </c>
      <c r="G1903" s="13" t="s">
        <v>155</v>
      </c>
      <c r="H1903" s="13" t="s">
        <v>149</v>
      </c>
      <c r="I1903" s="13" t="n">
        <v>3</v>
      </c>
      <c r="J1903" s="13" t="n">
        <v>4</v>
      </c>
      <c r="K1903" s="13" t="n">
        <v>105000</v>
      </c>
      <c r="L1903" s="13"/>
      <c r="M1903" s="13"/>
      <c r="N1903" s="13" t="s">
        <v>142</v>
      </c>
    </row>
    <row r="1904" customFormat="false" ht="15" hidden="false" customHeight="false" outlineLevel="0" collapsed="false">
      <c r="A1904" s="13" t="s">
        <v>2126</v>
      </c>
      <c r="B1904" s="14" t="n">
        <v>45783</v>
      </c>
      <c r="C1904" s="14" t="n">
        <v>45976</v>
      </c>
      <c r="D1904" s="13" t="n">
        <v>24</v>
      </c>
      <c r="E1904" s="13" t="s">
        <v>259</v>
      </c>
      <c r="F1904" s="13" t="s">
        <v>145</v>
      </c>
      <c r="G1904" s="13" t="s">
        <v>213</v>
      </c>
      <c r="H1904" s="13" t="s">
        <v>219</v>
      </c>
      <c r="I1904" s="13" t="n">
        <v>3</v>
      </c>
      <c r="J1904" s="13" t="n">
        <v>4</v>
      </c>
      <c r="K1904" s="13" t="n">
        <v>34500</v>
      </c>
      <c r="L1904" s="13" t="s">
        <v>151</v>
      </c>
      <c r="M1904" s="13" t="s">
        <v>314</v>
      </c>
      <c r="N1904" s="13" t="s">
        <v>142</v>
      </c>
    </row>
    <row r="1905" customFormat="false" ht="15" hidden="false" customHeight="false" outlineLevel="0" collapsed="false">
      <c r="A1905" s="13" t="s">
        <v>2127</v>
      </c>
      <c r="B1905" s="14" t="n">
        <v>45787</v>
      </c>
      <c r="C1905" s="14"/>
      <c r="D1905" s="13" t="n">
        <v>22</v>
      </c>
      <c r="E1905" s="13" t="s">
        <v>186</v>
      </c>
      <c r="F1905" s="13" t="s">
        <v>168</v>
      </c>
      <c r="G1905" s="13" t="s">
        <v>138</v>
      </c>
      <c r="H1905" s="13" t="s">
        <v>192</v>
      </c>
      <c r="I1905" s="13" t="n">
        <v>3</v>
      </c>
      <c r="J1905" s="13" t="n">
        <v>1</v>
      </c>
      <c r="K1905" s="13" t="n">
        <v>185500</v>
      </c>
      <c r="L1905" s="13"/>
      <c r="M1905" s="13"/>
      <c r="N1905" s="13" t="s">
        <v>142</v>
      </c>
    </row>
    <row r="1906" customFormat="false" ht="15" hidden="false" customHeight="false" outlineLevel="0" collapsed="false">
      <c r="A1906" s="13" t="s">
        <v>2128</v>
      </c>
      <c r="B1906" s="14" t="n">
        <v>45799</v>
      </c>
      <c r="C1906" s="14"/>
      <c r="D1906" s="13" t="n">
        <v>30</v>
      </c>
      <c r="E1906" s="13" t="s">
        <v>136</v>
      </c>
      <c r="F1906" s="13" t="s">
        <v>168</v>
      </c>
      <c r="G1906" s="13" t="s">
        <v>155</v>
      </c>
      <c r="H1906" s="13" t="s">
        <v>139</v>
      </c>
      <c r="I1906" s="13" t="n">
        <v>3</v>
      </c>
      <c r="J1906" s="13" t="n">
        <v>4</v>
      </c>
      <c r="K1906" s="13" t="n">
        <v>33500</v>
      </c>
      <c r="L1906" s="13"/>
      <c r="M1906" s="13"/>
      <c r="N1906" s="13" t="s">
        <v>134</v>
      </c>
    </row>
    <row r="1907" customFormat="false" ht="15" hidden="false" customHeight="false" outlineLevel="0" collapsed="false">
      <c r="A1907" s="13" t="s">
        <v>2129</v>
      </c>
      <c r="B1907" s="14" t="n">
        <v>45800</v>
      </c>
      <c r="C1907" s="14"/>
      <c r="D1907" s="13" t="n">
        <v>27</v>
      </c>
      <c r="E1907" s="13" t="s">
        <v>136</v>
      </c>
      <c r="F1907" s="13" t="s">
        <v>168</v>
      </c>
      <c r="G1907" s="13" t="s">
        <v>138</v>
      </c>
      <c r="H1907" s="13" t="s">
        <v>139</v>
      </c>
      <c r="I1907" s="13" t="n">
        <v>4</v>
      </c>
      <c r="J1907" s="13" t="n">
        <v>2</v>
      </c>
      <c r="K1907" s="13" t="n">
        <v>30000</v>
      </c>
      <c r="L1907" s="13"/>
      <c r="M1907" s="13"/>
      <c r="N1907" s="13" t="s">
        <v>142</v>
      </c>
    </row>
    <row r="1908" customFormat="false" ht="15" hidden="false" customHeight="false" outlineLevel="0" collapsed="false">
      <c r="A1908" s="13" t="s">
        <v>2130</v>
      </c>
      <c r="B1908" s="14" t="n">
        <v>45802</v>
      </c>
      <c r="C1908" s="14" t="n">
        <v>45920</v>
      </c>
      <c r="D1908" s="13" t="n">
        <v>36</v>
      </c>
      <c r="E1908" s="13" t="s">
        <v>186</v>
      </c>
      <c r="F1908" s="13" t="s">
        <v>168</v>
      </c>
      <c r="G1908" s="13" t="s">
        <v>155</v>
      </c>
      <c r="H1908" s="13" t="s">
        <v>156</v>
      </c>
      <c r="I1908" s="13" t="n">
        <v>2</v>
      </c>
      <c r="J1908" s="13" t="n">
        <v>4</v>
      </c>
      <c r="K1908" s="13" t="n">
        <v>87000</v>
      </c>
      <c r="L1908" s="13" t="s">
        <v>151</v>
      </c>
      <c r="M1908" s="13" t="s">
        <v>159</v>
      </c>
      <c r="N1908" s="13" t="s">
        <v>134</v>
      </c>
    </row>
    <row r="1909" customFormat="false" ht="15" hidden="false" customHeight="false" outlineLevel="0" collapsed="false">
      <c r="A1909" s="13" t="s">
        <v>2131</v>
      </c>
      <c r="B1909" s="14" t="n">
        <v>45802</v>
      </c>
      <c r="C1909" s="14"/>
      <c r="D1909" s="13" t="n">
        <v>33</v>
      </c>
      <c r="E1909" s="13" t="s">
        <v>144</v>
      </c>
      <c r="F1909" s="13" t="s">
        <v>164</v>
      </c>
      <c r="G1909" s="13" t="s">
        <v>155</v>
      </c>
      <c r="H1909" s="13" t="s">
        <v>178</v>
      </c>
      <c r="I1909" s="13" t="n">
        <v>3</v>
      </c>
      <c r="J1909" s="13" t="n">
        <v>4</v>
      </c>
      <c r="K1909" s="13" t="n">
        <v>118000</v>
      </c>
      <c r="L1909" s="13"/>
      <c r="M1909" s="13"/>
      <c r="N1909" s="13" t="s">
        <v>142</v>
      </c>
    </row>
    <row r="1910" customFormat="false" ht="15" hidden="false" customHeight="false" outlineLevel="0" collapsed="false">
      <c r="A1910" s="13" t="s">
        <v>2132</v>
      </c>
      <c r="B1910" s="14" t="n">
        <v>45805</v>
      </c>
      <c r="C1910" s="14"/>
      <c r="D1910" s="13" t="n">
        <v>22</v>
      </c>
      <c r="E1910" s="13" t="s">
        <v>136</v>
      </c>
      <c r="F1910" s="13" t="s">
        <v>168</v>
      </c>
      <c r="G1910" s="13" t="s">
        <v>155</v>
      </c>
      <c r="H1910" s="13" t="s">
        <v>178</v>
      </c>
      <c r="I1910" s="13" t="n">
        <v>3</v>
      </c>
      <c r="J1910" s="13" t="n">
        <v>3</v>
      </c>
      <c r="K1910" s="13" t="n">
        <v>130500</v>
      </c>
      <c r="L1910" s="13"/>
      <c r="M1910" s="13"/>
      <c r="N1910" s="13" t="s">
        <v>134</v>
      </c>
    </row>
    <row r="1911" customFormat="false" ht="15" hidden="false" customHeight="false" outlineLevel="0" collapsed="false">
      <c r="A1911" s="13" t="s">
        <v>2133</v>
      </c>
      <c r="B1911" s="14" t="n">
        <v>45806</v>
      </c>
      <c r="C1911" s="14"/>
      <c r="D1911" s="13" t="n">
        <v>32</v>
      </c>
      <c r="E1911" s="13" t="s">
        <v>136</v>
      </c>
      <c r="F1911" s="13" t="s">
        <v>229</v>
      </c>
      <c r="G1911" s="13" t="s">
        <v>138</v>
      </c>
      <c r="H1911" s="13" t="s">
        <v>146</v>
      </c>
      <c r="I1911" s="13" t="n">
        <v>3</v>
      </c>
      <c r="J1911" s="13" t="n">
        <v>3</v>
      </c>
      <c r="K1911" s="13" t="n">
        <v>55500</v>
      </c>
      <c r="L1911" s="13"/>
      <c r="M1911" s="13"/>
      <c r="N1911" s="13" t="s">
        <v>142</v>
      </c>
    </row>
    <row r="1912" customFormat="false" ht="15" hidden="false" customHeight="false" outlineLevel="0" collapsed="false">
      <c r="A1912" s="13" t="s">
        <v>2134</v>
      </c>
      <c r="B1912" s="14" t="n">
        <v>45806</v>
      </c>
      <c r="C1912" s="14"/>
      <c r="D1912" s="13" t="n">
        <v>26</v>
      </c>
      <c r="E1912" s="13" t="s">
        <v>144</v>
      </c>
      <c r="F1912" s="13" t="s">
        <v>168</v>
      </c>
      <c r="G1912" s="13" t="s">
        <v>138</v>
      </c>
      <c r="H1912" s="13" t="s">
        <v>146</v>
      </c>
      <c r="I1912" s="13" t="n">
        <v>4</v>
      </c>
      <c r="J1912" s="13" t="n">
        <v>3</v>
      </c>
      <c r="K1912" s="13" t="n">
        <v>64500</v>
      </c>
      <c r="L1912" s="13"/>
      <c r="M1912" s="13"/>
      <c r="N1912" s="13" t="s">
        <v>142</v>
      </c>
    </row>
    <row r="1913" customFormat="false" ht="15" hidden="false" customHeight="false" outlineLevel="0" collapsed="false">
      <c r="A1913" s="13" t="s">
        <v>2135</v>
      </c>
      <c r="B1913" s="14" t="n">
        <v>45807</v>
      </c>
      <c r="C1913" s="14"/>
      <c r="D1913" s="13" t="n">
        <v>22</v>
      </c>
      <c r="E1913" s="13" t="s">
        <v>144</v>
      </c>
      <c r="F1913" s="13" t="s">
        <v>170</v>
      </c>
      <c r="G1913" s="13" t="s">
        <v>191</v>
      </c>
      <c r="H1913" s="13" t="s">
        <v>149</v>
      </c>
      <c r="I1913" s="13" t="n">
        <v>3</v>
      </c>
      <c r="J1913" s="13" t="n">
        <v>1</v>
      </c>
      <c r="K1913" s="13" t="n">
        <v>91000</v>
      </c>
      <c r="L1913" s="13"/>
      <c r="M1913" s="13"/>
      <c r="N1913" s="13" t="s">
        <v>142</v>
      </c>
    </row>
    <row r="1914" customFormat="false" ht="15" hidden="false" customHeight="false" outlineLevel="0" collapsed="false">
      <c r="A1914" s="13" t="s">
        <v>2136</v>
      </c>
      <c r="B1914" s="14" t="n">
        <v>45809</v>
      </c>
      <c r="C1914" s="14"/>
      <c r="D1914" s="13" t="n">
        <v>40</v>
      </c>
      <c r="E1914" s="13" t="s">
        <v>136</v>
      </c>
      <c r="F1914" s="13" t="s">
        <v>168</v>
      </c>
      <c r="G1914" s="13" t="s">
        <v>132</v>
      </c>
      <c r="H1914" s="13" t="s">
        <v>219</v>
      </c>
      <c r="I1914" s="13" t="n">
        <v>3</v>
      </c>
      <c r="J1914" s="13" t="n">
        <v>2</v>
      </c>
      <c r="K1914" s="13" t="n">
        <v>43000</v>
      </c>
      <c r="L1914" s="13"/>
      <c r="M1914" s="13"/>
      <c r="N1914" s="13" t="s">
        <v>142</v>
      </c>
    </row>
    <row r="1915" customFormat="false" ht="15" hidden="false" customHeight="false" outlineLevel="0" collapsed="false">
      <c r="A1915" s="13" t="s">
        <v>2137</v>
      </c>
      <c r="B1915" s="14" t="n">
        <v>45811</v>
      </c>
      <c r="C1915" s="14" t="n">
        <v>45861</v>
      </c>
      <c r="D1915" s="13" t="n">
        <v>34</v>
      </c>
      <c r="E1915" s="13" t="s">
        <v>136</v>
      </c>
      <c r="F1915" s="13" t="s">
        <v>168</v>
      </c>
      <c r="G1915" s="13" t="s">
        <v>224</v>
      </c>
      <c r="H1915" s="13" t="s">
        <v>156</v>
      </c>
      <c r="I1915" s="13" t="n">
        <v>3</v>
      </c>
      <c r="J1915" s="13"/>
      <c r="K1915" s="13" t="n">
        <v>90000</v>
      </c>
      <c r="L1915" s="13" t="s">
        <v>200</v>
      </c>
      <c r="M1915" s="13" t="s">
        <v>216</v>
      </c>
      <c r="N1915" s="13" t="s">
        <v>142</v>
      </c>
    </row>
    <row r="1916" customFormat="false" ht="15" hidden="false" customHeight="false" outlineLevel="0" collapsed="false">
      <c r="A1916" s="13" t="s">
        <v>2138</v>
      </c>
      <c r="B1916" s="14" t="n">
        <v>45812</v>
      </c>
      <c r="C1916" s="14"/>
      <c r="D1916" s="13" t="n">
        <v>27</v>
      </c>
      <c r="E1916" s="13" t="s">
        <v>190</v>
      </c>
      <c r="F1916" s="13" t="s">
        <v>168</v>
      </c>
      <c r="G1916" s="13" t="s">
        <v>354</v>
      </c>
      <c r="H1916" s="13" t="s">
        <v>139</v>
      </c>
      <c r="I1916" s="13" t="n">
        <v>3</v>
      </c>
      <c r="J1916" s="13"/>
      <c r="K1916" s="13" t="n">
        <v>39500</v>
      </c>
      <c r="L1916" s="13"/>
      <c r="M1916" s="13"/>
      <c r="N1916" s="13" t="s">
        <v>134</v>
      </c>
    </row>
    <row r="1917" customFormat="false" ht="15" hidden="false" customHeight="false" outlineLevel="0" collapsed="false">
      <c r="A1917" s="13" t="s">
        <v>2139</v>
      </c>
      <c r="B1917" s="14" t="n">
        <v>45814</v>
      </c>
      <c r="C1917" s="14"/>
      <c r="D1917" s="13" t="n">
        <v>28</v>
      </c>
      <c r="E1917" s="13" t="s">
        <v>190</v>
      </c>
      <c r="F1917" s="13" t="s">
        <v>161</v>
      </c>
      <c r="G1917" s="13" t="s">
        <v>155</v>
      </c>
      <c r="H1917" s="13" t="s">
        <v>139</v>
      </c>
      <c r="I1917" s="13" t="n">
        <v>3</v>
      </c>
      <c r="J1917" s="13" t="n">
        <v>4</v>
      </c>
      <c r="K1917" s="13" t="n">
        <v>31000</v>
      </c>
      <c r="L1917" s="13"/>
      <c r="M1917" s="13"/>
      <c r="N1917" s="13" t="s">
        <v>134</v>
      </c>
    </row>
    <row r="1918" customFormat="false" ht="15" hidden="false" customHeight="false" outlineLevel="0" collapsed="false">
      <c r="A1918" s="13" t="s">
        <v>2140</v>
      </c>
      <c r="B1918" s="14" t="n">
        <v>45816</v>
      </c>
      <c r="C1918" s="14"/>
      <c r="D1918" s="13" t="n">
        <v>38</v>
      </c>
      <c r="E1918" s="13" t="s">
        <v>144</v>
      </c>
      <c r="F1918" s="13" t="s">
        <v>154</v>
      </c>
      <c r="G1918" s="13" t="s">
        <v>354</v>
      </c>
      <c r="H1918" s="13" t="s">
        <v>156</v>
      </c>
      <c r="I1918" s="13" t="n">
        <v>4</v>
      </c>
      <c r="J1918" s="13" t="n">
        <v>1</v>
      </c>
      <c r="K1918" s="13" t="n">
        <v>93000</v>
      </c>
      <c r="L1918" s="13"/>
      <c r="M1918" s="13"/>
      <c r="N1918" s="13" t="s">
        <v>134</v>
      </c>
    </row>
    <row r="1919" customFormat="false" ht="15" hidden="false" customHeight="false" outlineLevel="0" collapsed="false">
      <c r="A1919" s="13" t="s">
        <v>2141</v>
      </c>
      <c r="B1919" s="14" t="n">
        <v>45817</v>
      </c>
      <c r="C1919" s="14"/>
      <c r="D1919" s="13" t="n">
        <v>32</v>
      </c>
      <c r="E1919" s="13" t="s">
        <v>136</v>
      </c>
      <c r="F1919" s="13" t="s">
        <v>154</v>
      </c>
      <c r="G1919" s="13" t="s">
        <v>148</v>
      </c>
      <c r="H1919" s="13" t="s">
        <v>156</v>
      </c>
      <c r="I1919" s="13" t="n">
        <v>3</v>
      </c>
      <c r="J1919" s="13" t="n">
        <v>4</v>
      </c>
      <c r="K1919" s="13" t="n">
        <v>87500</v>
      </c>
      <c r="L1919" s="13"/>
      <c r="M1919" s="13"/>
      <c r="N1919" s="13" t="s">
        <v>134</v>
      </c>
    </row>
    <row r="1920" customFormat="false" ht="15" hidden="false" customHeight="false" outlineLevel="0" collapsed="false">
      <c r="A1920" s="13" t="s">
        <v>2142</v>
      </c>
      <c r="B1920" s="14" t="n">
        <v>45818</v>
      </c>
      <c r="C1920" s="14"/>
      <c r="D1920" s="13" t="n">
        <v>43</v>
      </c>
      <c r="E1920" s="13" t="s">
        <v>130</v>
      </c>
      <c r="F1920" s="13" t="s">
        <v>170</v>
      </c>
      <c r="G1920" s="13" t="s">
        <v>191</v>
      </c>
      <c r="H1920" s="13" t="s">
        <v>146</v>
      </c>
      <c r="I1920" s="13" t="n">
        <v>4</v>
      </c>
      <c r="J1920" s="13" t="n">
        <v>4</v>
      </c>
      <c r="K1920" s="13" t="n">
        <v>63500</v>
      </c>
      <c r="L1920" s="13"/>
      <c r="M1920" s="13"/>
      <c r="N1920" s="13" t="s">
        <v>134</v>
      </c>
    </row>
    <row r="1921" customFormat="false" ht="15" hidden="false" customHeight="false" outlineLevel="0" collapsed="false">
      <c r="A1921" s="13" t="s">
        <v>2143</v>
      </c>
      <c r="B1921" s="14" t="n">
        <v>45818</v>
      </c>
      <c r="C1921" s="14"/>
      <c r="D1921" s="13" t="n">
        <v>30</v>
      </c>
      <c r="E1921" s="13" t="s">
        <v>144</v>
      </c>
      <c r="F1921" s="13" t="s">
        <v>170</v>
      </c>
      <c r="G1921" s="13" t="s">
        <v>132</v>
      </c>
      <c r="H1921" s="13" t="s">
        <v>139</v>
      </c>
      <c r="I1921" s="13" t="n">
        <v>4</v>
      </c>
      <c r="J1921" s="13" t="n">
        <v>4</v>
      </c>
      <c r="K1921" s="13" t="n">
        <v>33500</v>
      </c>
      <c r="L1921" s="13"/>
      <c r="M1921" s="13"/>
      <c r="N1921" s="13" t="s">
        <v>134</v>
      </c>
    </row>
    <row r="1922" customFormat="false" ht="15" hidden="false" customHeight="false" outlineLevel="0" collapsed="false">
      <c r="A1922" s="13" t="s">
        <v>2144</v>
      </c>
      <c r="B1922" s="14" t="n">
        <v>45819</v>
      </c>
      <c r="C1922" s="14"/>
      <c r="D1922" s="13" t="n">
        <v>24</v>
      </c>
      <c r="E1922" s="13" t="s">
        <v>144</v>
      </c>
      <c r="F1922" s="13" t="s">
        <v>168</v>
      </c>
      <c r="G1922" s="13" t="s">
        <v>155</v>
      </c>
      <c r="H1922" s="13" t="s">
        <v>178</v>
      </c>
      <c r="I1922" s="13" t="n">
        <v>4</v>
      </c>
      <c r="J1922" s="13" t="n">
        <v>3</v>
      </c>
      <c r="K1922" s="13" t="n">
        <v>123000</v>
      </c>
      <c r="L1922" s="13"/>
      <c r="M1922" s="13"/>
      <c r="N1922" s="13" t="s">
        <v>142</v>
      </c>
    </row>
    <row r="1923" customFormat="false" ht="15" hidden="false" customHeight="false" outlineLevel="0" collapsed="false">
      <c r="A1923" s="13" t="s">
        <v>2145</v>
      </c>
      <c r="B1923" s="14" t="n">
        <v>45821</v>
      </c>
      <c r="C1923" s="14"/>
      <c r="D1923" s="13" t="n">
        <v>29</v>
      </c>
      <c r="E1923" s="13" t="s">
        <v>130</v>
      </c>
      <c r="F1923" s="13" t="s">
        <v>168</v>
      </c>
      <c r="G1923" s="13" t="s">
        <v>132</v>
      </c>
      <c r="H1923" s="13" t="s">
        <v>156</v>
      </c>
      <c r="I1923" s="13" t="n">
        <v>4</v>
      </c>
      <c r="J1923" s="13" t="n">
        <v>3</v>
      </c>
      <c r="K1923" s="13" t="n">
        <v>73000</v>
      </c>
      <c r="L1923" s="13"/>
      <c r="M1923" s="13"/>
      <c r="N1923" s="13" t="s">
        <v>142</v>
      </c>
    </row>
    <row r="1924" customFormat="false" ht="15" hidden="false" customHeight="false" outlineLevel="0" collapsed="false">
      <c r="A1924" s="13" t="s">
        <v>2146</v>
      </c>
      <c r="B1924" s="14" t="n">
        <v>45824</v>
      </c>
      <c r="C1924" s="14"/>
      <c r="D1924" s="13" t="n">
        <v>36</v>
      </c>
      <c r="E1924" s="13" t="s">
        <v>136</v>
      </c>
      <c r="F1924" s="13" t="s">
        <v>170</v>
      </c>
      <c r="G1924" s="13" t="s">
        <v>138</v>
      </c>
      <c r="H1924" s="13" t="s">
        <v>139</v>
      </c>
      <c r="I1924" s="13" t="n">
        <v>1</v>
      </c>
      <c r="J1924" s="13" t="n">
        <v>1</v>
      </c>
      <c r="K1924" s="13" t="n">
        <v>38000</v>
      </c>
      <c r="L1924" s="13"/>
      <c r="M1924" s="13"/>
      <c r="N1924" s="13" t="s">
        <v>142</v>
      </c>
    </row>
    <row r="1925" customFormat="false" ht="15" hidden="false" customHeight="false" outlineLevel="0" collapsed="false">
      <c r="A1925" s="13" t="s">
        <v>2147</v>
      </c>
      <c r="B1925" s="14" t="n">
        <v>45825</v>
      </c>
      <c r="C1925" s="14"/>
      <c r="D1925" s="13" t="n">
        <v>33</v>
      </c>
      <c r="E1925" s="13" t="s">
        <v>136</v>
      </c>
      <c r="F1925" s="13" t="s">
        <v>241</v>
      </c>
      <c r="G1925" s="13" t="s">
        <v>213</v>
      </c>
      <c r="H1925" s="13" t="s">
        <v>139</v>
      </c>
      <c r="I1925" s="13" t="n">
        <v>3</v>
      </c>
      <c r="J1925" s="13" t="n">
        <v>1</v>
      </c>
      <c r="K1925" s="13" t="n">
        <v>39500</v>
      </c>
      <c r="L1925" s="13"/>
      <c r="M1925" s="13"/>
      <c r="N1925" s="13" t="s">
        <v>142</v>
      </c>
    </row>
    <row r="1926" customFormat="false" ht="15" hidden="false" customHeight="false" outlineLevel="0" collapsed="false">
      <c r="A1926" s="13" t="s">
        <v>2148</v>
      </c>
      <c r="B1926" s="14" t="n">
        <v>45826</v>
      </c>
      <c r="C1926" s="14"/>
      <c r="D1926" s="13" t="n">
        <v>27</v>
      </c>
      <c r="E1926" s="13" t="s">
        <v>144</v>
      </c>
      <c r="F1926" s="13" t="s">
        <v>137</v>
      </c>
      <c r="G1926" s="13" t="s">
        <v>138</v>
      </c>
      <c r="H1926" s="13" t="s">
        <v>280</v>
      </c>
      <c r="I1926" s="13" t="n">
        <v>4</v>
      </c>
      <c r="J1926" s="13" t="n">
        <v>1</v>
      </c>
      <c r="K1926" s="13" t="n">
        <v>106000</v>
      </c>
      <c r="L1926" s="13"/>
      <c r="M1926" s="13"/>
      <c r="N1926" s="13" t="s">
        <v>134</v>
      </c>
    </row>
    <row r="1927" customFormat="false" ht="15" hidden="false" customHeight="false" outlineLevel="0" collapsed="false">
      <c r="A1927" s="13" t="s">
        <v>2149</v>
      </c>
      <c r="B1927" s="14" t="n">
        <v>45828</v>
      </c>
      <c r="C1927" s="14"/>
      <c r="D1927" s="13" t="n">
        <v>25</v>
      </c>
      <c r="E1927" s="13" t="s">
        <v>136</v>
      </c>
      <c r="F1927" s="13" t="s">
        <v>170</v>
      </c>
      <c r="G1927" s="13" t="s">
        <v>138</v>
      </c>
      <c r="H1927" s="13" t="s">
        <v>276</v>
      </c>
      <c r="I1927" s="13" t="n">
        <v>1</v>
      </c>
      <c r="J1927" s="13" t="n">
        <v>2</v>
      </c>
      <c r="K1927" s="13" t="n">
        <v>171000</v>
      </c>
      <c r="L1927" s="13"/>
      <c r="M1927" s="13"/>
      <c r="N1927" s="13" t="s">
        <v>142</v>
      </c>
    </row>
    <row r="1928" customFormat="false" ht="15" hidden="false" customHeight="false" outlineLevel="0" collapsed="false">
      <c r="A1928" s="13" t="s">
        <v>2150</v>
      </c>
      <c r="B1928" s="14" t="n">
        <v>45831</v>
      </c>
      <c r="C1928" s="14"/>
      <c r="D1928" s="13" t="n">
        <v>31</v>
      </c>
      <c r="E1928" s="13" t="s">
        <v>259</v>
      </c>
      <c r="F1928" s="13" t="s">
        <v>137</v>
      </c>
      <c r="G1928" s="13" t="s">
        <v>155</v>
      </c>
      <c r="H1928" s="13" t="s">
        <v>149</v>
      </c>
      <c r="I1928" s="13" t="n">
        <v>2</v>
      </c>
      <c r="J1928" s="13" t="n">
        <v>4</v>
      </c>
      <c r="K1928" s="13" t="n">
        <v>105500</v>
      </c>
      <c r="L1928" s="13"/>
      <c r="M1928" s="13"/>
      <c r="N1928" s="13" t="s">
        <v>142</v>
      </c>
    </row>
    <row r="1929" customFormat="false" ht="15" hidden="false" customHeight="false" outlineLevel="0" collapsed="false">
      <c r="A1929" s="13" t="s">
        <v>2151</v>
      </c>
      <c r="B1929" s="14" t="n">
        <v>45831</v>
      </c>
      <c r="C1929" s="14"/>
      <c r="D1929" s="13" t="n">
        <v>35</v>
      </c>
      <c r="E1929" s="13" t="s">
        <v>136</v>
      </c>
      <c r="F1929" s="13" t="s">
        <v>170</v>
      </c>
      <c r="G1929" s="13" t="s">
        <v>138</v>
      </c>
      <c r="H1929" s="13" t="s">
        <v>139</v>
      </c>
      <c r="I1929" s="13" t="n">
        <v>3</v>
      </c>
      <c r="J1929" s="13"/>
      <c r="K1929" s="13" t="n">
        <v>37000</v>
      </c>
      <c r="L1929" s="13"/>
      <c r="M1929" s="13"/>
      <c r="N1929" s="13" t="s">
        <v>134</v>
      </c>
    </row>
    <row r="1930" customFormat="false" ht="15" hidden="false" customHeight="false" outlineLevel="0" collapsed="false">
      <c r="A1930" s="13" t="s">
        <v>2152</v>
      </c>
      <c r="B1930" s="14" t="n">
        <v>45832</v>
      </c>
      <c r="C1930" s="14"/>
      <c r="D1930" s="13" t="n">
        <v>39</v>
      </c>
      <c r="E1930" s="13" t="s">
        <v>136</v>
      </c>
      <c r="F1930" s="13" t="s">
        <v>137</v>
      </c>
      <c r="G1930" s="13" t="s">
        <v>300</v>
      </c>
      <c r="H1930" s="13" t="s">
        <v>172</v>
      </c>
      <c r="I1930" s="13" t="n">
        <v>4</v>
      </c>
      <c r="J1930" s="13" t="n">
        <v>3</v>
      </c>
      <c r="K1930" s="13" t="n">
        <v>32500</v>
      </c>
      <c r="L1930" s="13"/>
      <c r="M1930" s="13"/>
      <c r="N1930" s="13" t="s">
        <v>142</v>
      </c>
    </row>
    <row r="1931" customFormat="false" ht="15" hidden="false" customHeight="false" outlineLevel="0" collapsed="false">
      <c r="A1931" s="13" t="s">
        <v>2153</v>
      </c>
      <c r="B1931" s="14" t="n">
        <v>45834</v>
      </c>
      <c r="C1931" s="14"/>
      <c r="D1931" s="13" t="n">
        <v>22</v>
      </c>
      <c r="E1931" s="13" t="s">
        <v>144</v>
      </c>
      <c r="F1931" s="13" t="s">
        <v>154</v>
      </c>
      <c r="G1931" s="13" t="s">
        <v>138</v>
      </c>
      <c r="H1931" s="13" t="s">
        <v>156</v>
      </c>
      <c r="I1931" s="13" t="n">
        <v>3</v>
      </c>
      <c r="J1931" s="13" t="n">
        <v>2</v>
      </c>
      <c r="K1931" s="13" t="n">
        <v>87500</v>
      </c>
      <c r="L1931" s="13"/>
      <c r="M1931" s="13"/>
      <c r="N1931" s="13" t="s">
        <v>142</v>
      </c>
    </row>
    <row r="1932" customFormat="false" ht="15" hidden="false" customHeight="false" outlineLevel="0" collapsed="false">
      <c r="A1932" s="13" t="s">
        <v>2154</v>
      </c>
      <c r="B1932" s="14" t="n">
        <v>45837</v>
      </c>
      <c r="C1932" s="14"/>
      <c r="D1932" s="13" t="n">
        <v>25</v>
      </c>
      <c r="E1932" s="13" t="s">
        <v>144</v>
      </c>
      <c r="F1932" s="13" t="s">
        <v>168</v>
      </c>
      <c r="G1932" s="13" t="s">
        <v>155</v>
      </c>
      <c r="H1932" s="13" t="s">
        <v>139</v>
      </c>
      <c r="I1932" s="13" t="n">
        <v>4</v>
      </c>
      <c r="J1932" s="13" t="n">
        <v>4</v>
      </c>
      <c r="K1932" s="13" t="n">
        <v>35500</v>
      </c>
      <c r="L1932" s="13"/>
      <c r="M1932" s="13"/>
      <c r="N1932" s="13" t="s">
        <v>142</v>
      </c>
    </row>
    <row r="1933" customFormat="false" ht="15" hidden="false" customHeight="false" outlineLevel="0" collapsed="false">
      <c r="A1933" s="13" t="s">
        <v>2155</v>
      </c>
      <c r="B1933" s="14" t="n">
        <v>45837</v>
      </c>
      <c r="C1933" s="14" t="n">
        <v>46005</v>
      </c>
      <c r="D1933" s="13" t="n">
        <v>31</v>
      </c>
      <c r="E1933" s="13" t="s">
        <v>163</v>
      </c>
      <c r="F1933" s="13" t="s">
        <v>137</v>
      </c>
      <c r="G1933" s="13" t="s">
        <v>307</v>
      </c>
      <c r="H1933" s="13" t="s">
        <v>149</v>
      </c>
      <c r="I1933" s="13" t="n">
        <v>3</v>
      </c>
      <c r="J1933" s="13" t="n">
        <v>1</v>
      </c>
      <c r="K1933" s="13" t="n">
        <v>103500</v>
      </c>
      <c r="L1933" s="13" t="s">
        <v>140</v>
      </c>
      <c r="M1933" s="13" t="s">
        <v>216</v>
      </c>
      <c r="N1933" s="13" t="s">
        <v>134</v>
      </c>
    </row>
    <row r="1934" customFormat="false" ht="15" hidden="false" customHeight="false" outlineLevel="0" collapsed="false">
      <c r="A1934" s="13" t="s">
        <v>2156</v>
      </c>
      <c r="B1934" s="14" t="n">
        <v>45840</v>
      </c>
      <c r="C1934" s="14"/>
      <c r="D1934" s="13" t="n">
        <v>29</v>
      </c>
      <c r="E1934" s="13" t="s">
        <v>144</v>
      </c>
      <c r="F1934" s="13" t="s">
        <v>137</v>
      </c>
      <c r="G1934" s="13" t="s">
        <v>213</v>
      </c>
      <c r="H1934" s="13" t="s">
        <v>139</v>
      </c>
      <c r="I1934" s="13" t="n">
        <v>3</v>
      </c>
      <c r="J1934" s="13" t="n">
        <v>4</v>
      </c>
      <c r="K1934" s="13" t="n">
        <v>38000</v>
      </c>
      <c r="L1934" s="13"/>
      <c r="M1934" s="13"/>
      <c r="N1934" s="13" t="s">
        <v>142</v>
      </c>
    </row>
    <row r="1935" customFormat="false" ht="15" hidden="false" customHeight="false" outlineLevel="0" collapsed="false">
      <c r="A1935" s="13" t="s">
        <v>2157</v>
      </c>
      <c r="B1935" s="14" t="n">
        <v>45840</v>
      </c>
      <c r="C1935" s="14"/>
      <c r="D1935" s="13" t="n">
        <v>27</v>
      </c>
      <c r="E1935" s="13" t="s">
        <v>136</v>
      </c>
      <c r="F1935" s="13" t="s">
        <v>168</v>
      </c>
      <c r="G1935" s="13" t="s">
        <v>132</v>
      </c>
      <c r="H1935" s="13" t="s">
        <v>146</v>
      </c>
      <c r="I1935" s="13" t="n">
        <v>4</v>
      </c>
      <c r="J1935" s="13" t="n">
        <v>2</v>
      </c>
      <c r="K1935" s="13" t="n">
        <v>60000</v>
      </c>
      <c r="L1935" s="13"/>
      <c r="M1935" s="13"/>
      <c r="N1935" s="13" t="s">
        <v>142</v>
      </c>
    </row>
    <row r="1936" customFormat="false" ht="15" hidden="false" customHeight="false" outlineLevel="0" collapsed="false">
      <c r="A1936" s="13" t="s">
        <v>2158</v>
      </c>
      <c r="B1936" s="14" t="n">
        <v>45841</v>
      </c>
      <c r="C1936" s="14" t="n">
        <v>45983</v>
      </c>
      <c r="D1936" s="13" t="n">
        <v>31</v>
      </c>
      <c r="E1936" s="13" t="s">
        <v>144</v>
      </c>
      <c r="F1936" s="13" t="s">
        <v>231</v>
      </c>
      <c r="G1936" s="13" t="s">
        <v>235</v>
      </c>
      <c r="H1936" s="13" t="s">
        <v>139</v>
      </c>
      <c r="I1936" s="13" t="n">
        <v>3</v>
      </c>
      <c r="J1936" s="13" t="n">
        <v>1</v>
      </c>
      <c r="K1936" s="13" t="n">
        <v>40500</v>
      </c>
      <c r="L1936" s="13" t="s">
        <v>173</v>
      </c>
      <c r="M1936" s="13" t="s">
        <v>254</v>
      </c>
      <c r="N1936" s="13" t="s">
        <v>142</v>
      </c>
    </row>
    <row r="1937" customFormat="false" ht="15" hidden="false" customHeight="false" outlineLevel="0" collapsed="false">
      <c r="A1937" s="13" t="s">
        <v>2159</v>
      </c>
      <c r="B1937" s="14" t="n">
        <v>45842</v>
      </c>
      <c r="C1937" s="14"/>
      <c r="D1937" s="13" t="n">
        <v>24</v>
      </c>
      <c r="E1937" s="13" t="s">
        <v>163</v>
      </c>
      <c r="F1937" s="13" t="s">
        <v>168</v>
      </c>
      <c r="G1937" s="13" t="s">
        <v>138</v>
      </c>
      <c r="H1937" s="13" t="s">
        <v>139</v>
      </c>
      <c r="I1937" s="13" t="n">
        <v>5</v>
      </c>
      <c r="J1937" s="13" t="n">
        <v>2</v>
      </c>
      <c r="K1937" s="13" t="n">
        <v>30000</v>
      </c>
      <c r="L1937" s="13"/>
      <c r="M1937" s="13"/>
      <c r="N1937" s="13" t="s">
        <v>142</v>
      </c>
    </row>
    <row r="1938" customFormat="false" ht="15" hidden="false" customHeight="false" outlineLevel="0" collapsed="false">
      <c r="A1938" s="13" t="s">
        <v>2160</v>
      </c>
      <c r="B1938" s="14" t="n">
        <v>45844</v>
      </c>
      <c r="C1938" s="14"/>
      <c r="D1938" s="13" t="n">
        <v>21</v>
      </c>
      <c r="E1938" s="13" t="s">
        <v>136</v>
      </c>
      <c r="F1938" s="13" t="s">
        <v>229</v>
      </c>
      <c r="G1938" s="13" t="s">
        <v>138</v>
      </c>
      <c r="H1938" s="13" t="s">
        <v>219</v>
      </c>
      <c r="I1938" s="13" t="n">
        <v>3</v>
      </c>
      <c r="J1938" s="13" t="n">
        <v>2</v>
      </c>
      <c r="K1938" s="13" t="n">
        <v>42000</v>
      </c>
      <c r="L1938" s="13"/>
      <c r="M1938" s="13"/>
      <c r="N1938" s="13" t="s">
        <v>142</v>
      </c>
    </row>
    <row r="1939" customFormat="false" ht="15" hidden="false" customHeight="false" outlineLevel="0" collapsed="false">
      <c r="A1939" s="13" t="s">
        <v>2161</v>
      </c>
      <c r="B1939" s="14" t="n">
        <v>45848</v>
      </c>
      <c r="C1939" s="14"/>
      <c r="D1939" s="13" t="n">
        <v>36</v>
      </c>
      <c r="E1939" s="13" t="s">
        <v>136</v>
      </c>
      <c r="F1939" s="13" t="s">
        <v>168</v>
      </c>
      <c r="G1939" s="13" t="s">
        <v>148</v>
      </c>
      <c r="H1939" s="13" t="s">
        <v>139</v>
      </c>
      <c r="I1939" s="13" t="n">
        <v>2</v>
      </c>
      <c r="J1939" s="13" t="n">
        <v>4</v>
      </c>
      <c r="K1939" s="13" t="n">
        <v>43000</v>
      </c>
      <c r="L1939" s="13"/>
      <c r="M1939" s="13"/>
      <c r="N1939" s="13" t="s">
        <v>134</v>
      </c>
    </row>
    <row r="1940" customFormat="false" ht="15" hidden="false" customHeight="false" outlineLevel="0" collapsed="false">
      <c r="A1940" s="13" t="s">
        <v>2162</v>
      </c>
      <c r="B1940" s="14" t="n">
        <v>45849</v>
      </c>
      <c r="C1940" s="14"/>
      <c r="D1940" s="13" t="n">
        <v>27</v>
      </c>
      <c r="E1940" s="13" t="s">
        <v>259</v>
      </c>
      <c r="F1940" s="13" t="s">
        <v>239</v>
      </c>
      <c r="G1940" s="13" t="s">
        <v>138</v>
      </c>
      <c r="H1940" s="13" t="s">
        <v>149</v>
      </c>
      <c r="I1940" s="13" t="n">
        <v>3</v>
      </c>
      <c r="J1940" s="13" t="n">
        <v>2</v>
      </c>
      <c r="K1940" s="13" t="n">
        <v>104500</v>
      </c>
      <c r="L1940" s="13"/>
      <c r="M1940" s="13"/>
      <c r="N1940" s="13" t="s">
        <v>142</v>
      </c>
    </row>
    <row r="1941" customFormat="false" ht="15" hidden="false" customHeight="false" outlineLevel="0" collapsed="false">
      <c r="A1941" s="13" t="s">
        <v>2163</v>
      </c>
      <c r="B1941" s="14" t="n">
        <v>45850</v>
      </c>
      <c r="C1941" s="14"/>
      <c r="D1941" s="13" t="n">
        <v>26</v>
      </c>
      <c r="E1941" s="13" t="s">
        <v>144</v>
      </c>
      <c r="F1941" s="13" t="s">
        <v>154</v>
      </c>
      <c r="G1941" s="13" t="s">
        <v>132</v>
      </c>
      <c r="H1941" s="13" t="s">
        <v>146</v>
      </c>
      <c r="I1941" s="13" t="n">
        <v>4</v>
      </c>
      <c r="J1941" s="13" t="n">
        <v>4</v>
      </c>
      <c r="K1941" s="13" t="n">
        <v>62000</v>
      </c>
      <c r="L1941" s="13"/>
      <c r="M1941" s="13"/>
      <c r="N1941" s="13" t="s">
        <v>134</v>
      </c>
    </row>
    <row r="1942" customFormat="false" ht="15" hidden="false" customHeight="false" outlineLevel="0" collapsed="false">
      <c r="A1942" s="13" t="s">
        <v>2164</v>
      </c>
      <c r="B1942" s="14" t="n">
        <v>45852</v>
      </c>
      <c r="C1942" s="14"/>
      <c r="D1942" s="13" t="n">
        <v>33</v>
      </c>
      <c r="E1942" s="13" t="s">
        <v>259</v>
      </c>
      <c r="F1942" s="13" t="s">
        <v>137</v>
      </c>
      <c r="G1942" s="13" t="s">
        <v>132</v>
      </c>
      <c r="H1942" s="13" t="s">
        <v>178</v>
      </c>
      <c r="I1942" s="13" t="n">
        <v>3</v>
      </c>
      <c r="J1942" s="13" t="n">
        <v>4</v>
      </c>
      <c r="K1942" s="13" t="n">
        <v>138000</v>
      </c>
      <c r="L1942" s="13"/>
      <c r="M1942" s="13"/>
      <c r="N1942" s="13" t="s">
        <v>142</v>
      </c>
    </row>
    <row r="1943" customFormat="false" ht="15" hidden="false" customHeight="false" outlineLevel="0" collapsed="false">
      <c r="A1943" s="13" t="s">
        <v>2165</v>
      </c>
      <c r="B1943" s="14" t="n">
        <v>45853</v>
      </c>
      <c r="C1943" s="14"/>
      <c r="D1943" s="13" t="n">
        <v>32</v>
      </c>
      <c r="E1943" s="13" t="s">
        <v>144</v>
      </c>
      <c r="F1943" s="13" t="s">
        <v>241</v>
      </c>
      <c r="G1943" s="13" t="s">
        <v>191</v>
      </c>
      <c r="H1943" s="13" t="s">
        <v>146</v>
      </c>
      <c r="I1943" s="13" t="n">
        <v>2</v>
      </c>
      <c r="J1943" s="13" t="n">
        <v>4</v>
      </c>
      <c r="K1943" s="13" t="n">
        <v>55000</v>
      </c>
      <c r="L1943" s="13"/>
      <c r="M1943" s="13"/>
      <c r="N1943" s="13" t="s">
        <v>142</v>
      </c>
    </row>
    <row r="1944" customFormat="false" ht="15" hidden="false" customHeight="false" outlineLevel="0" collapsed="false">
      <c r="A1944" s="13" t="s">
        <v>2166</v>
      </c>
      <c r="B1944" s="14" t="n">
        <v>45855</v>
      </c>
      <c r="C1944" s="14"/>
      <c r="D1944" s="13" t="n">
        <v>24</v>
      </c>
      <c r="E1944" s="13" t="s">
        <v>144</v>
      </c>
      <c r="F1944" s="13" t="s">
        <v>170</v>
      </c>
      <c r="G1944" s="13" t="s">
        <v>132</v>
      </c>
      <c r="H1944" s="13" t="s">
        <v>146</v>
      </c>
      <c r="I1944" s="13" t="n">
        <v>3</v>
      </c>
      <c r="J1944" s="13" t="n">
        <v>1</v>
      </c>
      <c r="K1944" s="13" t="n">
        <v>55500</v>
      </c>
      <c r="L1944" s="13"/>
      <c r="M1944" s="13"/>
      <c r="N1944" s="13" t="s">
        <v>142</v>
      </c>
    </row>
    <row r="1945" customFormat="false" ht="15" hidden="false" customHeight="false" outlineLevel="0" collapsed="false">
      <c r="A1945" s="13" t="s">
        <v>2167</v>
      </c>
      <c r="B1945" s="14" t="n">
        <v>45859</v>
      </c>
      <c r="C1945" s="14"/>
      <c r="D1945" s="13" t="n">
        <v>35</v>
      </c>
      <c r="E1945" s="13" t="s">
        <v>186</v>
      </c>
      <c r="F1945" s="13" t="s">
        <v>170</v>
      </c>
      <c r="G1945" s="13" t="s">
        <v>155</v>
      </c>
      <c r="H1945" s="13" t="s">
        <v>156</v>
      </c>
      <c r="I1945" s="13" t="n">
        <v>3</v>
      </c>
      <c r="J1945" s="13" t="n">
        <v>3</v>
      </c>
      <c r="K1945" s="13" t="n">
        <v>92500</v>
      </c>
      <c r="L1945" s="13"/>
      <c r="M1945" s="13"/>
      <c r="N1945" s="13" t="s">
        <v>142</v>
      </c>
    </row>
    <row r="1946" customFormat="false" ht="15" hidden="false" customHeight="false" outlineLevel="0" collapsed="false">
      <c r="A1946" s="13" t="s">
        <v>2168</v>
      </c>
      <c r="B1946" s="14" t="n">
        <v>45859</v>
      </c>
      <c r="C1946" s="14"/>
      <c r="D1946" s="13" t="n">
        <v>28</v>
      </c>
      <c r="E1946" s="13" t="s">
        <v>144</v>
      </c>
      <c r="F1946" s="13" t="s">
        <v>137</v>
      </c>
      <c r="G1946" s="13" t="s">
        <v>188</v>
      </c>
      <c r="H1946" s="13" t="s">
        <v>146</v>
      </c>
      <c r="I1946" s="13" t="n">
        <v>4</v>
      </c>
      <c r="J1946" s="13" t="n">
        <v>3</v>
      </c>
      <c r="K1946" s="13" t="n">
        <v>63500</v>
      </c>
      <c r="L1946" s="13"/>
      <c r="M1946" s="13"/>
      <c r="N1946" s="13" t="s">
        <v>142</v>
      </c>
    </row>
    <row r="1947" customFormat="false" ht="15" hidden="false" customHeight="false" outlineLevel="0" collapsed="false">
      <c r="A1947" s="13" t="s">
        <v>2169</v>
      </c>
      <c r="B1947" s="14" t="n">
        <v>45860</v>
      </c>
      <c r="C1947" s="14"/>
      <c r="D1947" s="13" t="n">
        <v>31</v>
      </c>
      <c r="E1947" s="13" t="s">
        <v>144</v>
      </c>
      <c r="F1947" s="13" t="s">
        <v>229</v>
      </c>
      <c r="G1947" s="13" t="s">
        <v>138</v>
      </c>
      <c r="H1947" s="13" t="s">
        <v>146</v>
      </c>
      <c r="I1947" s="13" t="n">
        <v>4</v>
      </c>
      <c r="J1947" s="13" t="n">
        <v>3</v>
      </c>
      <c r="K1947" s="13" t="n">
        <v>53000</v>
      </c>
      <c r="L1947" s="13"/>
      <c r="M1947" s="13"/>
      <c r="N1947" s="13" t="s">
        <v>142</v>
      </c>
    </row>
    <row r="1948" customFormat="false" ht="15" hidden="false" customHeight="false" outlineLevel="0" collapsed="false">
      <c r="A1948" s="13" t="s">
        <v>2170</v>
      </c>
      <c r="B1948" s="14" t="n">
        <v>45863</v>
      </c>
      <c r="C1948" s="14"/>
      <c r="D1948" s="13" t="n">
        <v>30</v>
      </c>
      <c r="E1948" s="13" t="s">
        <v>136</v>
      </c>
      <c r="F1948" s="13" t="s">
        <v>168</v>
      </c>
      <c r="G1948" s="13" t="s">
        <v>330</v>
      </c>
      <c r="H1948" s="13" t="s">
        <v>149</v>
      </c>
      <c r="I1948" s="13" t="n">
        <v>5</v>
      </c>
      <c r="J1948" s="13" t="n">
        <v>2</v>
      </c>
      <c r="K1948" s="13" t="n">
        <v>92500</v>
      </c>
      <c r="L1948" s="13"/>
      <c r="M1948" s="13"/>
      <c r="N1948" s="13" t="s">
        <v>142</v>
      </c>
    </row>
    <row r="1949" customFormat="false" ht="15" hidden="false" customHeight="false" outlineLevel="0" collapsed="false">
      <c r="A1949" s="13" t="s">
        <v>2171</v>
      </c>
      <c r="B1949" s="14" t="n">
        <v>45863</v>
      </c>
      <c r="C1949" s="14"/>
      <c r="D1949" s="13" t="n">
        <v>34</v>
      </c>
      <c r="E1949" s="13" t="s">
        <v>144</v>
      </c>
      <c r="F1949" s="13" t="s">
        <v>231</v>
      </c>
      <c r="G1949" s="13" t="s">
        <v>235</v>
      </c>
      <c r="H1949" s="13" t="s">
        <v>149</v>
      </c>
      <c r="I1949" s="13" t="n">
        <v>4</v>
      </c>
      <c r="J1949" s="13" t="n">
        <v>1</v>
      </c>
      <c r="K1949" s="13" t="n">
        <v>94000</v>
      </c>
      <c r="L1949" s="13"/>
      <c r="M1949" s="13"/>
      <c r="N1949" s="13" t="s">
        <v>142</v>
      </c>
    </row>
    <row r="1950" customFormat="false" ht="15" hidden="false" customHeight="false" outlineLevel="0" collapsed="false">
      <c r="A1950" s="13" t="s">
        <v>2172</v>
      </c>
      <c r="B1950" s="14" t="n">
        <v>45865</v>
      </c>
      <c r="C1950" s="14"/>
      <c r="D1950" s="13" t="n">
        <v>35</v>
      </c>
      <c r="E1950" s="13" t="s">
        <v>144</v>
      </c>
      <c r="F1950" s="13" t="s">
        <v>231</v>
      </c>
      <c r="G1950" s="13" t="s">
        <v>132</v>
      </c>
      <c r="H1950" s="13" t="s">
        <v>178</v>
      </c>
      <c r="I1950" s="13" t="n">
        <v>3</v>
      </c>
      <c r="J1950" s="13" t="n">
        <v>3</v>
      </c>
      <c r="K1950" s="13" t="n">
        <v>140500</v>
      </c>
      <c r="L1950" s="13"/>
      <c r="M1950" s="13"/>
      <c r="N1950" s="13" t="s">
        <v>142</v>
      </c>
    </row>
    <row r="1951" customFormat="false" ht="15" hidden="false" customHeight="false" outlineLevel="0" collapsed="false">
      <c r="A1951" s="13" t="s">
        <v>2173</v>
      </c>
      <c r="B1951" s="14" t="n">
        <v>45866</v>
      </c>
      <c r="C1951" s="14"/>
      <c r="D1951" s="13" t="n">
        <v>29</v>
      </c>
      <c r="E1951" s="13" t="s">
        <v>144</v>
      </c>
      <c r="F1951" s="13" t="s">
        <v>229</v>
      </c>
      <c r="G1951" s="13" t="s">
        <v>138</v>
      </c>
      <c r="H1951" s="13" t="s">
        <v>139</v>
      </c>
      <c r="I1951" s="13" t="n">
        <v>4</v>
      </c>
      <c r="J1951" s="13" t="n">
        <v>4</v>
      </c>
      <c r="K1951" s="13" t="n">
        <v>35000</v>
      </c>
      <c r="L1951" s="13"/>
      <c r="M1951" s="13"/>
      <c r="N1951" s="13" t="s">
        <v>157</v>
      </c>
    </row>
    <row r="1952" customFormat="false" ht="15" hidden="false" customHeight="false" outlineLevel="0" collapsed="false">
      <c r="A1952" s="13" t="s">
        <v>2174</v>
      </c>
      <c r="B1952" s="14" t="n">
        <v>45866</v>
      </c>
      <c r="C1952" s="14"/>
      <c r="D1952" s="13" t="n">
        <v>29</v>
      </c>
      <c r="E1952" s="13" t="s">
        <v>144</v>
      </c>
      <c r="F1952" s="13" t="s">
        <v>170</v>
      </c>
      <c r="G1952" s="13" t="s">
        <v>132</v>
      </c>
      <c r="H1952" s="13" t="s">
        <v>146</v>
      </c>
      <c r="I1952" s="13" t="n">
        <v>3</v>
      </c>
      <c r="J1952" s="13" t="n">
        <v>3</v>
      </c>
      <c r="K1952" s="13" t="n">
        <v>53500</v>
      </c>
      <c r="L1952" s="13"/>
      <c r="M1952" s="13"/>
      <c r="N1952" s="13" t="s">
        <v>134</v>
      </c>
    </row>
    <row r="1953" customFormat="false" ht="15" hidden="false" customHeight="false" outlineLevel="0" collapsed="false">
      <c r="A1953" s="13" t="s">
        <v>2175</v>
      </c>
      <c r="B1953" s="14" t="n">
        <v>45868</v>
      </c>
      <c r="C1953" s="14"/>
      <c r="D1953" s="13" t="n">
        <v>39</v>
      </c>
      <c r="E1953" s="13" t="s">
        <v>144</v>
      </c>
      <c r="F1953" s="13" t="s">
        <v>170</v>
      </c>
      <c r="G1953" s="13" t="s">
        <v>330</v>
      </c>
      <c r="H1953" s="13" t="s">
        <v>146</v>
      </c>
      <c r="I1953" s="13" t="n">
        <v>3</v>
      </c>
      <c r="J1953" s="13" t="n">
        <v>3</v>
      </c>
      <c r="K1953" s="13" t="n">
        <v>56500</v>
      </c>
      <c r="L1953" s="13"/>
      <c r="M1953" s="13"/>
      <c r="N1953" s="13" t="s">
        <v>142</v>
      </c>
    </row>
    <row r="1954" customFormat="false" ht="15" hidden="false" customHeight="false" outlineLevel="0" collapsed="false">
      <c r="A1954" s="13" t="s">
        <v>2176</v>
      </c>
      <c r="B1954" s="14" t="n">
        <v>45870</v>
      </c>
      <c r="C1954" s="14"/>
      <c r="D1954" s="13" t="n">
        <v>25</v>
      </c>
      <c r="E1954" s="13" t="s">
        <v>136</v>
      </c>
      <c r="F1954" s="13" t="s">
        <v>161</v>
      </c>
      <c r="G1954" s="13" t="s">
        <v>334</v>
      </c>
      <c r="H1954" s="13" t="s">
        <v>280</v>
      </c>
      <c r="I1954" s="13" t="n">
        <v>3</v>
      </c>
      <c r="J1954" s="13" t="n">
        <v>4</v>
      </c>
      <c r="K1954" s="13" t="n">
        <v>90500</v>
      </c>
      <c r="L1954" s="13"/>
      <c r="M1954" s="13"/>
      <c r="N1954" s="13" t="s">
        <v>134</v>
      </c>
    </row>
    <row r="1955" customFormat="false" ht="15" hidden="false" customHeight="false" outlineLevel="0" collapsed="false">
      <c r="A1955" s="13" t="s">
        <v>2177</v>
      </c>
      <c r="B1955" s="14" t="n">
        <v>45871</v>
      </c>
      <c r="C1955" s="14"/>
      <c r="D1955" s="13" t="n">
        <v>23</v>
      </c>
      <c r="E1955" s="13" t="s">
        <v>144</v>
      </c>
      <c r="F1955" s="13" t="s">
        <v>161</v>
      </c>
      <c r="G1955" s="13" t="s">
        <v>132</v>
      </c>
      <c r="H1955" s="13" t="s">
        <v>139</v>
      </c>
      <c r="I1955" s="13" t="n">
        <v>4</v>
      </c>
      <c r="J1955" s="13" t="n">
        <v>3</v>
      </c>
      <c r="K1955" s="13" t="n">
        <v>33000</v>
      </c>
      <c r="L1955" s="13"/>
      <c r="M1955" s="13"/>
      <c r="N1955" s="13" t="s">
        <v>142</v>
      </c>
    </row>
    <row r="1956" customFormat="false" ht="15" hidden="false" customHeight="false" outlineLevel="0" collapsed="false">
      <c r="A1956" s="13" t="s">
        <v>2178</v>
      </c>
      <c r="B1956" s="14" t="n">
        <v>45872</v>
      </c>
      <c r="C1956" s="14"/>
      <c r="D1956" s="13" t="n">
        <v>29</v>
      </c>
      <c r="E1956" s="13" t="s">
        <v>136</v>
      </c>
      <c r="F1956" s="13" t="s">
        <v>161</v>
      </c>
      <c r="G1956" s="13" t="s">
        <v>447</v>
      </c>
      <c r="H1956" s="13" t="s">
        <v>139</v>
      </c>
      <c r="I1956" s="13" t="n">
        <v>3</v>
      </c>
      <c r="J1956" s="13" t="n">
        <v>3</v>
      </c>
      <c r="K1956" s="13" t="n">
        <v>38000</v>
      </c>
      <c r="L1956" s="13"/>
      <c r="M1956" s="13"/>
      <c r="N1956" s="13" t="s">
        <v>142</v>
      </c>
    </row>
    <row r="1957" customFormat="false" ht="15" hidden="false" customHeight="false" outlineLevel="0" collapsed="false">
      <c r="A1957" s="13" t="s">
        <v>2179</v>
      </c>
      <c r="B1957" s="14" t="n">
        <v>45872</v>
      </c>
      <c r="C1957" s="14"/>
      <c r="D1957" s="13" t="n">
        <v>25</v>
      </c>
      <c r="E1957" s="13" t="s">
        <v>136</v>
      </c>
      <c r="F1957" s="13" t="s">
        <v>145</v>
      </c>
      <c r="G1957" s="13" t="s">
        <v>148</v>
      </c>
      <c r="H1957" s="13" t="s">
        <v>149</v>
      </c>
      <c r="I1957" s="13" t="n">
        <v>3</v>
      </c>
      <c r="J1957" s="13" t="n">
        <v>2</v>
      </c>
      <c r="K1957" s="13" t="n">
        <v>103500</v>
      </c>
      <c r="L1957" s="13"/>
      <c r="M1957" s="13"/>
      <c r="N1957" s="13" t="s">
        <v>134</v>
      </c>
    </row>
    <row r="1958" customFormat="false" ht="15" hidden="false" customHeight="false" outlineLevel="0" collapsed="false">
      <c r="A1958" s="13" t="s">
        <v>2180</v>
      </c>
      <c r="B1958" s="14" t="n">
        <v>45874</v>
      </c>
      <c r="C1958" s="14"/>
      <c r="D1958" s="13" t="n">
        <v>28</v>
      </c>
      <c r="E1958" s="13" t="s">
        <v>144</v>
      </c>
      <c r="F1958" s="13" t="s">
        <v>161</v>
      </c>
      <c r="G1958" s="13" t="s">
        <v>138</v>
      </c>
      <c r="H1958" s="13" t="s">
        <v>178</v>
      </c>
      <c r="I1958" s="13" t="n">
        <v>5</v>
      </c>
      <c r="J1958" s="13" t="n">
        <v>4</v>
      </c>
      <c r="K1958" s="13" t="n">
        <v>113500</v>
      </c>
      <c r="L1958" s="13"/>
      <c r="M1958" s="13"/>
      <c r="N1958" s="13" t="s">
        <v>142</v>
      </c>
    </row>
    <row r="1959" customFormat="false" ht="15" hidden="false" customHeight="false" outlineLevel="0" collapsed="false">
      <c r="A1959" s="13" t="s">
        <v>2181</v>
      </c>
      <c r="B1959" s="14" t="n">
        <v>45879</v>
      </c>
      <c r="C1959" s="14"/>
      <c r="D1959" s="13" t="n">
        <v>33</v>
      </c>
      <c r="E1959" s="13" t="s">
        <v>136</v>
      </c>
      <c r="F1959" s="13" t="s">
        <v>170</v>
      </c>
      <c r="G1959" s="13" t="s">
        <v>155</v>
      </c>
      <c r="H1959" s="13" t="s">
        <v>149</v>
      </c>
      <c r="I1959" s="13" t="n">
        <v>3</v>
      </c>
      <c r="J1959" s="13" t="n">
        <v>4</v>
      </c>
      <c r="K1959" s="13" t="n">
        <v>98000</v>
      </c>
      <c r="L1959" s="13"/>
      <c r="M1959" s="13"/>
      <c r="N1959" s="13" t="s">
        <v>142</v>
      </c>
    </row>
    <row r="1960" customFormat="false" ht="15" hidden="false" customHeight="false" outlineLevel="0" collapsed="false">
      <c r="A1960" s="13" t="s">
        <v>2182</v>
      </c>
      <c r="B1960" s="14" t="n">
        <v>45884</v>
      </c>
      <c r="C1960" s="14"/>
      <c r="D1960" s="13" t="n">
        <v>44</v>
      </c>
      <c r="E1960" s="13" t="s">
        <v>136</v>
      </c>
      <c r="F1960" s="13" t="s">
        <v>137</v>
      </c>
      <c r="G1960" s="13" t="s">
        <v>155</v>
      </c>
      <c r="H1960" s="13" t="s">
        <v>219</v>
      </c>
      <c r="I1960" s="13" t="n">
        <v>3</v>
      </c>
      <c r="J1960" s="13" t="n">
        <v>3</v>
      </c>
      <c r="K1960" s="13" t="n">
        <v>38000</v>
      </c>
      <c r="L1960" s="13"/>
      <c r="M1960" s="13"/>
      <c r="N1960" s="13" t="s">
        <v>142</v>
      </c>
    </row>
    <row r="1961" customFormat="false" ht="15" hidden="false" customHeight="false" outlineLevel="0" collapsed="false">
      <c r="A1961" s="13" t="s">
        <v>2183</v>
      </c>
      <c r="B1961" s="14" t="n">
        <v>45884</v>
      </c>
      <c r="C1961" s="14"/>
      <c r="D1961" s="13" t="n">
        <v>34</v>
      </c>
      <c r="E1961" s="13" t="s">
        <v>144</v>
      </c>
      <c r="F1961" s="13" t="s">
        <v>161</v>
      </c>
      <c r="G1961" s="13" t="s">
        <v>148</v>
      </c>
      <c r="H1961" s="13" t="s">
        <v>411</v>
      </c>
      <c r="I1961" s="13" t="n">
        <v>4</v>
      </c>
      <c r="J1961" s="13" t="n">
        <v>3</v>
      </c>
      <c r="K1961" s="13" t="n">
        <v>47500</v>
      </c>
      <c r="L1961" s="13"/>
      <c r="M1961" s="13"/>
      <c r="N1961" s="13" t="s">
        <v>453</v>
      </c>
    </row>
    <row r="1962" customFormat="false" ht="15" hidden="false" customHeight="false" outlineLevel="0" collapsed="false">
      <c r="A1962" s="13" t="s">
        <v>2184</v>
      </c>
      <c r="B1962" s="14" t="n">
        <v>45886</v>
      </c>
      <c r="C1962" s="14"/>
      <c r="D1962" s="13" t="n">
        <v>26</v>
      </c>
      <c r="E1962" s="13" t="s">
        <v>136</v>
      </c>
      <c r="F1962" s="13" t="s">
        <v>241</v>
      </c>
      <c r="G1962" s="13" t="s">
        <v>155</v>
      </c>
      <c r="H1962" s="13" t="s">
        <v>146</v>
      </c>
      <c r="I1962" s="13" t="n">
        <v>3</v>
      </c>
      <c r="J1962" s="13" t="n">
        <v>3</v>
      </c>
      <c r="K1962" s="13" t="n">
        <v>46000</v>
      </c>
      <c r="L1962" s="13"/>
      <c r="M1962" s="13"/>
      <c r="N1962" s="13" t="s">
        <v>134</v>
      </c>
    </row>
    <row r="1963" customFormat="false" ht="15" hidden="false" customHeight="false" outlineLevel="0" collapsed="false">
      <c r="A1963" s="13" t="s">
        <v>2185</v>
      </c>
      <c r="B1963" s="14" t="n">
        <v>45889</v>
      </c>
      <c r="C1963" s="14"/>
      <c r="D1963" s="13" t="n">
        <v>26</v>
      </c>
      <c r="E1963" s="13" t="s">
        <v>136</v>
      </c>
      <c r="F1963" s="13" t="s">
        <v>241</v>
      </c>
      <c r="G1963" s="13" t="s">
        <v>155</v>
      </c>
      <c r="H1963" s="13" t="s">
        <v>149</v>
      </c>
      <c r="I1963" s="13" t="n">
        <v>4</v>
      </c>
      <c r="J1963" s="13" t="n">
        <v>4</v>
      </c>
      <c r="K1963" s="13" t="n">
        <v>100000</v>
      </c>
      <c r="L1963" s="13"/>
      <c r="M1963" s="13"/>
      <c r="N1963" s="13" t="s">
        <v>142</v>
      </c>
    </row>
    <row r="1964" customFormat="false" ht="15" hidden="false" customHeight="false" outlineLevel="0" collapsed="false">
      <c r="A1964" s="13" t="s">
        <v>2186</v>
      </c>
      <c r="B1964" s="14" t="n">
        <v>45893</v>
      </c>
      <c r="C1964" s="14" t="n">
        <v>45957</v>
      </c>
      <c r="D1964" s="13" t="n">
        <v>23</v>
      </c>
      <c r="E1964" s="13" t="s">
        <v>136</v>
      </c>
      <c r="F1964" s="13" t="s">
        <v>231</v>
      </c>
      <c r="G1964" s="13" t="s">
        <v>297</v>
      </c>
      <c r="H1964" s="13" t="s">
        <v>146</v>
      </c>
      <c r="I1964" s="13" t="n">
        <v>4</v>
      </c>
      <c r="J1964" s="13" t="n">
        <v>2</v>
      </c>
      <c r="K1964" s="13" t="n">
        <v>48000</v>
      </c>
      <c r="L1964" s="13" t="s">
        <v>140</v>
      </c>
      <c r="M1964" s="13" t="s">
        <v>201</v>
      </c>
      <c r="N1964" s="13" t="s">
        <v>142</v>
      </c>
    </row>
    <row r="1965" customFormat="false" ht="15" hidden="false" customHeight="false" outlineLevel="0" collapsed="false">
      <c r="A1965" s="13" t="s">
        <v>2187</v>
      </c>
      <c r="B1965" s="14" t="n">
        <v>45894</v>
      </c>
      <c r="C1965" s="14"/>
      <c r="D1965" s="13" t="n">
        <v>31</v>
      </c>
      <c r="E1965" s="13" t="s">
        <v>163</v>
      </c>
      <c r="F1965" s="13" t="s">
        <v>161</v>
      </c>
      <c r="G1965" s="13" t="s">
        <v>148</v>
      </c>
      <c r="H1965" s="13" t="s">
        <v>219</v>
      </c>
      <c r="I1965" s="13" t="n">
        <v>4</v>
      </c>
      <c r="J1965" s="13" t="n">
        <v>2</v>
      </c>
      <c r="K1965" s="13" t="n">
        <v>36500</v>
      </c>
      <c r="L1965" s="13"/>
      <c r="M1965" s="13"/>
      <c r="N1965" s="13" t="s">
        <v>134</v>
      </c>
    </row>
    <row r="1966" customFormat="false" ht="15" hidden="false" customHeight="false" outlineLevel="0" collapsed="false">
      <c r="A1966" s="13" t="s">
        <v>2188</v>
      </c>
      <c r="B1966" s="14" t="n">
        <v>45897</v>
      </c>
      <c r="C1966" s="14"/>
      <c r="D1966" s="13" t="n">
        <v>38</v>
      </c>
      <c r="E1966" s="13" t="s">
        <v>186</v>
      </c>
      <c r="F1966" s="13" t="s">
        <v>154</v>
      </c>
      <c r="G1966" s="13" t="s">
        <v>138</v>
      </c>
      <c r="H1966" s="13" t="s">
        <v>172</v>
      </c>
      <c r="I1966" s="13" t="n">
        <v>3</v>
      </c>
      <c r="J1966" s="13" t="n">
        <v>4</v>
      </c>
      <c r="K1966" s="13" t="n">
        <v>37500</v>
      </c>
      <c r="L1966" s="13"/>
      <c r="M1966" s="13"/>
      <c r="N1966" s="13" t="s">
        <v>142</v>
      </c>
    </row>
    <row r="1967" customFormat="false" ht="15" hidden="false" customHeight="false" outlineLevel="0" collapsed="false">
      <c r="A1967" s="13" t="s">
        <v>2189</v>
      </c>
      <c r="B1967" s="14" t="n">
        <v>45898</v>
      </c>
      <c r="C1967" s="14"/>
      <c r="D1967" s="13" t="n">
        <v>30</v>
      </c>
      <c r="E1967" s="13" t="s">
        <v>144</v>
      </c>
      <c r="F1967" s="13" t="s">
        <v>145</v>
      </c>
      <c r="G1967" s="13" t="s">
        <v>155</v>
      </c>
      <c r="H1967" s="13" t="s">
        <v>192</v>
      </c>
      <c r="I1967" s="13" t="n">
        <v>4</v>
      </c>
      <c r="J1967" s="13" t="n">
        <v>3</v>
      </c>
      <c r="K1967" s="13" t="n">
        <v>169500</v>
      </c>
      <c r="L1967" s="13"/>
      <c r="M1967" s="13"/>
      <c r="N1967" s="13" t="s">
        <v>142</v>
      </c>
    </row>
    <row r="1968" customFormat="false" ht="15" hidden="false" customHeight="false" outlineLevel="0" collapsed="false">
      <c r="A1968" s="13" t="s">
        <v>2190</v>
      </c>
      <c r="B1968" s="14" t="n">
        <v>45898</v>
      </c>
      <c r="C1968" s="14"/>
      <c r="D1968" s="13" t="n">
        <v>23</v>
      </c>
      <c r="E1968" s="13" t="s">
        <v>259</v>
      </c>
      <c r="F1968" s="13" t="s">
        <v>131</v>
      </c>
      <c r="G1968" s="13" t="s">
        <v>132</v>
      </c>
      <c r="H1968" s="13" t="s">
        <v>178</v>
      </c>
      <c r="I1968" s="13" t="n">
        <v>2</v>
      </c>
      <c r="J1968" s="13" t="n">
        <v>3</v>
      </c>
      <c r="K1968" s="13" t="n">
        <v>114000</v>
      </c>
      <c r="L1968" s="13"/>
      <c r="M1968" s="13"/>
      <c r="N1968" s="13" t="s">
        <v>142</v>
      </c>
    </row>
    <row r="1969" customFormat="false" ht="15" hidden="false" customHeight="false" outlineLevel="0" collapsed="false">
      <c r="A1969" s="13" t="s">
        <v>2191</v>
      </c>
      <c r="B1969" s="14" t="n">
        <v>45898</v>
      </c>
      <c r="C1969" s="14"/>
      <c r="D1969" s="13" t="n">
        <v>39</v>
      </c>
      <c r="E1969" s="13" t="s">
        <v>136</v>
      </c>
      <c r="F1969" s="13" t="s">
        <v>241</v>
      </c>
      <c r="G1969" s="13" t="s">
        <v>155</v>
      </c>
      <c r="H1969" s="13" t="s">
        <v>156</v>
      </c>
      <c r="I1969" s="13" t="n">
        <v>3</v>
      </c>
      <c r="J1969" s="13" t="n">
        <v>1</v>
      </c>
      <c r="K1969" s="13" t="n">
        <v>94500</v>
      </c>
      <c r="L1969" s="13"/>
      <c r="M1969" s="13"/>
      <c r="N1969" s="13" t="s">
        <v>142</v>
      </c>
    </row>
    <row r="1970" customFormat="false" ht="15" hidden="false" customHeight="false" outlineLevel="0" collapsed="false">
      <c r="A1970" s="13" t="s">
        <v>2192</v>
      </c>
      <c r="B1970" s="14" t="n">
        <v>45899</v>
      </c>
      <c r="C1970" s="14"/>
      <c r="D1970" s="13" t="n">
        <v>32</v>
      </c>
      <c r="E1970" s="13" t="s">
        <v>130</v>
      </c>
      <c r="F1970" s="13" t="s">
        <v>137</v>
      </c>
      <c r="G1970" s="13" t="s">
        <v>155</v>
      </c>
      <c r="H1970" s="13" t="s">
        <v>166</v>
      </c>
      <c r="I1970" s="13" t="n">
        <v>3</v>
      </c>
      <c r="J1970" s="13" t="n">
        <v>4</v>
      </c>
      <c r="K1970" s="13" t="n">
        <v>99000</v>
      </c>
      <c r="L1970" s="13"/>
      <c r="M1970" s="13"/>
      <c r="N1970" s="13" t="s">
        <v>142</v>
      </c>
    </row>
    <row r="1971" customFormat="false" ht="15" hidden="false" customHeight="false" outlineLevel="0" collapsed="false">
      <c r="A1971" s="13" t="s">
        <v>2193</v>
      </c>
      <c r="B1971" s="14" t="n">
        <v>45901</v>
      </c>
      <c r="C1971" s="14"/>
      <c r="D1971" s="13" t="n">
        <v>28</v>
      </c>
      <c r="E1971" s="13" t="s">
        <v>144</v>
      </c>
      <c r="F1971" s="13" t="s">
        <v>231</v>
      </c>
      <c r="G1971" s="13" t="s">
        <v>213</v>
      </c>
      <c r="H1971" s="13" t="s">
        <v>156</v>
      </c>
      <c r="I1971" s="13" t="n">
        <v>4</v>
      </c>
      <c r="J1971" s="13" t="n">
        <v>1</v>
      </c>
      <c r="K1971" s="13" t="n">
        <v>76000</v>
      </c>
      <c r="L1971" s="13"/>
      <c r="M1971" s="13"/>
      <c r="N1971" s="13" t="s">
        <v>134</v>
      </c>
    </row>
    <row r="1972" customFormat="false" ht="15" hidden="false" customHeight="false" outlineLevel="0" collapsed="false">
      <c r="A1972" s="13" t="s">
        <v>2194</v>
      </c>
      <c r="B1972" s="14" t="n">
        <v>45902</v>
      </c>
      <c r="C1972" s="14"/>
      <c r="D1972" s="13" t="n">
        <v>36</v>
      </c>
      <c r="E1972" s="13" t="s">
        <v>144</v>
      </c>
      <c r="F1972" s="13" t="s">
        <v>239</v>
      </c>
      <c r="G1972" s="13" t="s">
        <v>438</v>
      </c>
      <c r="H1972" s="13" t="s">
        <v>146</v>
      </c>
      <c r="I1972" s="13" t="n">
        <v>3</v>
      </c>
      <c r="J1972" s="13" t="n">
        <v>2</v>
      </c>
      <c r="K1972" s="13" t="n">
        <v>57500</v>
      </c>
      <c r="L1972" s="13"/>
      <c r="M1972" s="13"/>
      <c r="N1972" s="13" t="s">
        <v>142</v>
      </c>
    </row>
    <row r="1973" customFormat="false" ht="15" hidden="false" customHeight="false" outlineLevel="0" collapsed="false">
      <c r="A1973" s="13" t="s">
        <v>2195</v>
      </c>
      <c r="B1973" s="14" t="n">
        <v>45904</v>
      </c>
      <c r="C1973" s="14"/>
      <c r="D1973" s="13" t="n">
        <v>30</v>
      </c>
      <c r="E1973" s="13" t="s">
        <v>144</v>
      </c>
      <c r="F1973" s="13" t="s">
        <v>170</v>
      </c>
      <c r="G1973" s="13" t="s">
        <v>330</v>
      </c>
      <c r="H1973" s="13" t="s">
        <v>146</v>
      </c>
      <c r="I1973" s="13" t="n">
        <v>5</v>
      </c>
      <c r="J1973" s="13" t="n">
        <v>3</v>
      </c>
      <c r="K1973" s="13" t="n">
        <v>62000</v>
      </c>
      <c r="L1973" s="13"/>
      <c r="M1973" s="13"/>
      <c r="N1973" s="13" t="s">
        <v>134</v>
      </c>
    </row>
    <row r="1974" customFormat="false" ht="15" hidden="false" customHeight="false" outlineLevel="0" collapsed="false">
      <c r="A1974" s="13" t="s">
        <v>2196</v>
      </c>
      <c r="B1974" s="14" t="n">
        <v>45904</v>
      </c>
      <c r="C1974" s="14"/>
      <c r="D1974" s="13" t="n">
        <v>29</v>
      </c>
      <c r="E1974" s="13" t="s">
        <v>144</v>
      </c>
      <c r="F1974" s="13" t="s">
        <v>170</v>
      </c>
      <c r="G1974" s="13" t="s">
        <v>138</v>
      </c>
      <c r="H1974" s="13" t="s">
        <v>146</v>
      </c>
      <c r="I1974" s="13" t="n">
        <v>3</v>
      </c>
      <c r="J1974" s="13" t="n">
        <v>2</v>
      </c>
      <c r="K1974" s="13" t="n">
        <v>59000</v>
      </c>
      <c r="L1974" s="13"/>
      <c r="M1974" s="13"/>
      <c r="N1974" s="13" t="s">
        <v>142</v>
      </c>
    </row>
    <row r="1975" customFormat="false" ht="15" hidden="false" customHeight="false" outlineLevel="0" collapsed="false">
      <c r="A1975" s="13" t="s">
        <v>2197</v>
      </c>
      <c r="B1975" s="14" t="n">
        <v>45905</v>
      </c>
      <c r="C1975" s="14"/>
      <c r="D1975" s="13" t="n">
        <v>26</v>
      </c>
      <c r="E1975" s="13" t="s">
        <v>190</v>
      </c>
      <c r="F1975" s="13" t="s">
        <v>239</v>
      </c>
      <c r="G1975" s="13" t="s">
        <v>447</v>
      </c>
      <c r="H1975" s="13" t="s">
        <v>146</v>
      </c>
      <c r="I1975" s="13" t="n">
        <v>1</v>
      </c>
      <c r="J1975" s="13" t="n">
        <v>2</v>
      </c>
      <c r="K1975" s="13" t="n">
        <v>52000</v>
      </c>
      <c r="L1975" s="13"/>
      <c r="M1975" s="13"/>
      <c r="N1975" s="13" t="s">
        <v>453</v>
      </c>
    </row>
    <row r="1976" customFormat="false" ht="15" hidden="false" customHeight="false" outlineLevel="0" collapsed="false">
      <c r="A1976" s="13" t="s">
        <v>2198</v>
      </c>
      <c r="B1976" s="14" t="n">
        <v>45910</v>
      </c>
      <c r="C1976" s="14"/>
      <c r="D1976" s="13" t="n">
        <v>23</v>
      </c>
      <c r="E1976" s="13" t="s">
        <v>163</v>
      </c>
      <c r="F1976" s="13" t="s">
        <v>164</v>
      </c>
      <c r="G1976" s="13" t="s">
        <v>132</v>
      </c>
      <c r="H1976" s="13" t="s">
        <v>242</v>
      </c>
      <c r="I1976" s="13" t="n">
        <v>3</v>
      </c>
      <c r="J1976" s="13" t="n">
        <v>4</v>
      </c>
      <c r="K1976" s="13" t="n">
        <v>80500</v>
      </c>
      <c r="L1976" s="13"/>
      <c r="M1976" s="13"/>
      <c r="N1976" s="13" t="s">
        <v>142</v>
      </c>
    </row>
    <row r="1977" customFormat="false" ht="15" hidden="false" customHeight="false" outlineLevel="0" collapsed="false">
      <c r="A1977" s="13" t="s">
        <v>2199</v>
      </c>
      <c r="B1977" s="14" t="n">
        <v>45912</v>
      </c>
      <c r="C1977" s="14"/>
      <c r="D1977" s="13" t="n">
        <v>27</v>
      </c>
      <c r="E1977" s="13" t="s">
        <v>144</v>
      </c>
      <c r="F1977" s="13" t="s">
        <v>168</v>
      </c>
      <c r="G1977" s="13" t="s">
        <v>213</v>
      </c>
      <c r="H1977" s="13" t="s">
        <v>146</v>
      </c>
      <c r="I1977" s="13" t="n">
        <v>4</v>
      </c>
      <c r="J1977" s="13" t="n">
        <v>4</v>
      </c>
      <c r="K1977" s="13" t="n">
        <v>46500</v>
      </c>
      <c r="L1977" s="13"/>
      <c r="M1977" s="13"/>
      <c r="N1977" s="13" t="s">
        <v>142</v>
      </c>
    </row>
    <row r="1978" customFormat="false" ht="15" hidden="false" customHeight="false" outlineLevel="0" collapsed="false">
      <c r="A1978" s="13" t="s">
        <v>2200</v>
      </c>
      <c r="B1978" s="14" t="n">
        <v>45919</v>
      </c>
      <c r="C1978" s="14"/>
      <c r="D1978" s="13" t="n">
        <v>37</v>
      </c>
      <c r="E1978" s="13" t="s">
        <v>190</v>
      </c>
      <c r="F1978" s="13" t="s">
        <v>131</v>
      </c>
      <c r="G1978" s="13" t="s">
        <v>386</v>
      </c>
      <c r="H1978" s="13" t="s">
        <v>146</v>
      </c>
      <c r="I1978" s="13" t="n">
        <v>2</v>
      </c>
      <c r="J1978" s="13" t="n">
        <v>1</v>
      </c>
      <c r="K1978" s="13" t="n">
        <v>56000</v>
      </c>
      <c r="L1978" s="13"/>
      <c r="M1978" s="13"/>
      <c r="N1978" s="13" t="s">
        <v>142</v>
      </c>
    </row>
    <row r="1979" customFormat="false" ht="15" hidden="false" customHeight="false" outlineLevel="0" collapsed="false">
      <c r="A1979" s="13" t="s">
        <v>2201</v>
      </c>
      <c r="B1979" s="14" t="n">
        <v>45922</v>
      </c>
      <c r="C1979" s="14"/>
      <c r="D1979" s="13" t="n">
        <v>31</v>
      </c>
      <c r="E1979" s="13" t="s">
        <v>144</v>
      </c>
      <c r="F1979" s="13" t="s">
        <v>170</v>
      </c>
      <c r="G1979" s="13" t="s">
        <v>132</v>
      </c>
      <c r="H1979" s="13" t="s">
        <v>172</v>
      </c>
      <c r="I1979" s="13" t="n">
        <v>1</v>
      </c>
      <c r="J1979" s="13" t="n">
        <v>3</v>
      </c>
      <c r="K1979" s="13" t="n">
        <v>32000</v>
      </c>
      <c r="L1979" s="13"/>
      <c r="M1979" s="13"/>
      <c r="N1979" s="13" t="s">
        <v>142</v>
      </c>
    </row>
    <row r="1980" customFormat="false" ht="15" hidden="false" customHeight="false" outlineLevel="0" collapsed="false">
      <c r="A1980" s="13" t="s">
        <v>2202</v>
      </c>
      <c r="B1980" s="14" t="n">
        <v>45923</v>
      </c>
      <c r="C1980" s="14"/>
      <c r="D1980" s="13" t="n">
        <v>32</v>
      </c>
      <c r="E1980" s="13" t="s">
        <v>182</v>
      </c>
      <c r="F1980" s="13" t="s">
        <v>154</v>
      </c>
      <c r="G1980" s="13" t="s">
        <v>132</v>
      </c>
      <c r="H1980" s="13" t="s">
        <v>149</v>
      </c>
      <c r="I1980" s="13" t="n">
        <v>3</v>
      </c>
      <c r="J1980" s="13" t="n">
        <v>3</v>
      </c>
      <c r="K1980" s="13" t="n">
        <v>100500</v>
      </c>
      <c r="L1980" s="13"/>
      <c r="M1980" s="13"/>
      <c r="N1980" s="13" t="s">
        <v>134</v>
      </c>
    </row>
    <row r="1981" customFormat="false" ht="15" hidden="false" customHeight="false" outlineLevel="0" collapsed="false">
      <c r="A1981" s="13" t="s">
        <v>2203</v>
      </c>
      <c r="B1981" s="14" t="n">
        <v>45924</v>
      </c>
      <c r="C1981" s="14"/>
      <c r="D1981" s="13" t="n">
        <v>22</v>
      </c>
      <c r="E1981" s="13" t="s">
        <v>259</v>
      </c>
      <c r="F1981" s="13" t="s">
        <v>137</v>
      </c>
      <c r="G1981" s="13" t="s">
        <v>297</v>
      </c>
      <c r="H1981" s="13" t="s">
        <v>149</v>
      </c>
      <c r="I1981" s="13" t="n">
        <v>3</v>
      </c>
      <c r="J1981" s="13" t="n">
        <v>2</v>
      </c>
      <c r="K1981" s="13" t="n">
        <v>100500</v>
      </c>
      <c r="L1981" s="13"/>
      <c r="M1981" s="13"/>
      <c r="N1981" s="13" t="s">
        <v>134</v>
      </c>
    </row>
    <row r="1982" customFormat="false" ht="15" hidden="false" customHeight="false" outlineLevel="0" collapsed="false">
      <c r="A1982" s="13" t="s">
        <v>2204</v>
      </c>
      <c r="B1982" s="14" t="n">
        <v>45930</v>
      </c>
      <c r="C1982" s="14"/>
      <c r="D1982" s="13" t="n">
        <v>44</v>
      </c>
      <c r="E1982" s="13" t="s">
        <v>163</v>
      </c>
      <c r="F1982" s="13" t="s">
        <v>154</v>
      </c>
      <c r="G1982" s="13" t="s">
        <v>374</v>
      </c>
      <c r="H1982" s="13" t="s">
        <v>178</v>
      </c>
      <c r="I1982" s="13" t="n">
        <v>2</v>
      </c>
      <c r="J1982" s="13" t="n">
        <v>4</v>
      </c>
      <c r="K1982" s="13" t="n">
        <v>120000</v>
      </c>
      <c r="L1982" s="13"/>
      <c r="M1982" s="13"/>
      <c r="N1982" s="13" t="s">
        <v>142</v>
      </c>
    </row>
    <row r="1983" customFormat="false" ht="15" hidden="false" customHeight="false" outlineLevel="0" collapsed="false">
      <c r="A1983" s="13" t="s">
        <v>2205</v>
      </c>
      <c r="B1983" s="14" t="n">
        <v>45931</v>
      </c>
      <c r="C1983" s="14"/>
      <c r="D1983" s="13" t="n">
        <v>27</v>
      </c>
      <c r="E1983" s="13" t="s">
        <v>163</v>
      </c>
      <c r="F1983" s="13" t="s">
        <v>154</v>
      </c>
      <c r="G1983" s="13" t="s">
        <v>155</v>
      </c>
      <c r="H1983" s="13" t="s">
        <v>139</v>
      </c>
      <c r="I1983" s="13" t="n">
        <v>4</v>
      </c>
      <c r="J1983" s="13" t="n">
        <v>3</v>
      </c>
      <c r="K1983" s="13" t="n">
        <v>36000</v>
      </c>
      <c r="L1983" s="13"/>
      <c r="M1983" s="13"/>
      <c r="N1983" s="13" t="s">
        <v>142</v>
      </c>
    </row>
    <row r="1984" customFormat="false" ht="15" hidden="false" customHeight="false" outlineLevel="0" collapsed="false">
      <c r="A1984" s="13" t="s">
        <v>2206</v>
      </c>
      <c r="B1984" s="14" t="n">
        <v>45934</v>
      </c>
      <c r="C1984" s="14"/>
      <c r="D1984" s="13" t="n">
        <v>31</v>
      </c>
      <c r="E1984" s="13" t="s">
        <v>136</v>
      </c>
      <c r="F1984" s="13" t="s">
        <v>168</v>
      </c>
      <c r="G1984" s="13" t="s">
        <v>138</v>
      </c>
      <c r="H1984" s="13" t="s">
        <v>146</v>
      </c>
      <c r="I1984" s="13" t="n">
        <v>3</v>
      </c>
      <c r="J1984" s="13" t="n">
        <v>3</v>
      </c>
      <c r="K1984" s="13" t="n">
        <v>62500</v>
      </c>
      <c r="L1984" s="13"/>
      <c r="M1984" s="13"/>
      <c r="N1984" s="13" t="s">
        <v>142</v>
      </c>
    </row>
    <row r="1985" customFormat="false" ht="15" hidden="false" customHeight="false" outlineLevel="0" collapsed="false">
      <c r="A1985" s="13" t="s">
        <v>2207</v>
      </c>
      <c r="B1985" s="14" t="n">
        <v>45934</v>
      </c>
      <c r="C1985" s="14"/>
      <c r="D1985" s="13" t="n">
        <v>39</v>
      </c>
      <c r="E1985" s="13" t="s">
        <v>190</v>
      </c>
      <c r="F1985" s="13" t="s">
        <v>168</v>
      </c>
      <c r="G1985" s="13" t="s">
        <v>195</v>
      </c>
      <c r="H1985" s="13" t="s">
        <v>156</v>
      </c>
      <c r="I1985" s="13" t="n">
        <v>3</v>
      </c>
      <c r="J1985" s="13" t="n">
        <v>3</v>
      </c>
      <c r="K1985" s="13" t="n">
        <v>83500</v>
      </c>
      <c r="L1985" s="13"/>
      <c r="M1985" s="13"/>
      <c r="N1985" s="13" t="s">
        <v>134</v>
      </c>
    </row>
    <row r="1986" customFormat="false" ht="15" hidden="false" customHeight="false" outlineLevel="0" collapsed="false">
      <c r="A1986" s="13" t="s">
        <v>2208</v>
      </c>
      <c r="B1986" s="14" t="n">
        <v>45939</v>
      </c>
      <c r="C1986" s="14"/>
      <c r="D1986" s="13" t="n">
        <v>30</v>
      </c>
      <c r="E1986" s="13" t="s">
        <v>144</v>
      </c>
      <c r="F1986" s="13" t="s">
        <v>154</v>
      </c>
      <c r="G1986" s="13" t="s">
        <v>279</v>
      </c>
      <c r="H1986" s="13" t="s">
        <v>149</v>
      </c>
      <c r="I1986" s="13" t="n">
        <v>3</v>
      </c>
      <c r="J1986" s="13" t="n">
        <v>4</v>
      </c>
      <c r="K1986" s="13" t="n">
        <v>116500</v>
      </c>
      <c r="L1986" s="13"/>
      <c r="M1986" s="13"/>
      <c r="N1986" s="13" t="s">
        <v>142</v>
      </c>
    </row>
    <row r="1987" customFormat="false" ht="15" hidden="false" customHeight="false" outlineLevel="0" collapsed="false">
      <c r="A1987" s="13" t="s">
        <v>2209</v>
      </c>
      <c r="B1987" s="14" t="n">
        <v>45940</v>
      </c>
      <c r="C1987" s="14"/>
      <c r="D1987" s="13" t="n">
        <v>21</v>
      </c>
      <c r="E1987" s="13" t="s">
        <v>144</v>
      </c>
      <c r="F1987" s="13" t="s">
        <v>168</v>
      </c>
      <c r="G1987" s="13" t="s">
        <v>279</v>
      </c>
      <c r="H1987" s="13" t="s">
        <v>146</v>
      </c>
      <c r="I1987" s="13" t="n">
        <v>3</v>
      </c>
      <c r="J1987" s="13" t="n">
        <v>3</v>
      </c>
      <c r="K1987" s="13" t="n">
        <v>59000</v>
      </c>
      <c r="L1987" s="13"/>
      <c r="M1987" s="13"/>
      <c r="N1987" s="13" t="s">
        <v>142</v>
      </c>
    </row>
    <row r="1988" customFormat="false" ht="15" hidden="false" customHeight="false" outlineLevel="0" collapsed="false">
      <c r="A1988" s="13" t="s">
        <v>2210</v>
      </c>
      <c r="B1988" s="14" t="n">
        <v>45941</v>
      </c>
      <c r="C1988" s="14"/>
      <c r="D1988" s="13" t="n">
        <v>33</v>
      </c>
      <c r="E1988" s="13" t="s">
        <v>136</v>
      </c>
      <c r="F1988" s="13" t="s">
        <v>170</v>
      </c>
      <c r="G1988" s="13" t="s">
        <v>191</v>
      </c>
      <c r="H1988" s="13" t="s">
        <v>146</v>
      </c>
      <c r="I1988" s="13" t="n">
        <v>3</v>
      </c>
      <c r="J1988" s="13" t="n">
        <v>1</v>
      </c>
      <c r="K1988" s="13" t="n">
        <v>50000</v>
      </c>
      <c r="L1988" s="13"/>
      <c r="M1988" s="13"/>
      <c r="N1988" s="13" t="s">
        <v>142</v>
      </c>
    </row>
    <row r="1989" customFormat="false" ht="15" hidden="false" customHeight="false" outlineLevel="0" collapsed="false">
      <c r="A1989" s="13" t="s">
        <v>2211</v>
      </c>
      <c r="B1989" s="14" t="n">
        <v>45942</v>
      </c>
      <c r="C1989" s="14"/>
      <c r="D1989" s="13" t="n">
        <v>22</v>
      </c>
      <c r="E1989" s="13" t="s">
        <v>136</v>
      </c>
      <c r="F1989" s="13" t="s">
        <v>170</v>
      </c>
      <c r="G1989" s="13" t="s">
        <v>148</v>
      </c>
      <c r="H1989" s="13" t="s">
        <v>192</v>
      </c>
      <c r="I1989" s="13" t="n">
        <v>4</v>
      </c>
      <c r="J1989" s="13" t="n">
        <v>1</v>
      </c>
      <c r="K1989" s="13" t="n">
        <v>153500</v>
      </c>
      <c r="L1989" s="13"/>
      <c r="M1989" s="13"/>
      <c r="N1989" s="13" t="s">
        <v>142</v>
      </c>
    </row>
    <row r="1990" customFormat="false" ht="15" hidden="false" customHeight="false" outlineLevel="0" collapsed="false">
      <c r="A1990" s="13" t="s">
        <v>2212</v>
      </c>
      <c r="B1990" s="14" t="n">
        <v>45945</v>
      </c>
      <c r="C1990" s="14"/>
      <c r="D1990" s="13" t="n">
        <v>29</v>
      </c>
      <c r="E1990" s="13" t="s">
        <v>144</v>
      </c>
      <c r="F1990" s="13" t="s">
        <v>154</v>
      </c>
      <c r="G1990" s="13" t="s">
        <v>138</v>
      </c>
      <c r="H1990" s="13" t="s">
        <v>146</v>
      </c>
      <c r="I1990" s="13" t="n">
        <v>4</v>
      </c>
      <c r="J1990" s="13" t="n">
        <v>1</v>
      </c>
      <c r="K1990" s="13" t="n">
        <v>60500</v>
      </c>
      <c r="L1990" s="13"/>
      <c r="M1990" s="13"/>
      <c r="N1990" s="13" t="s">
        <v>255</v>
      </c>
    </row>
    <row r="1991" customFormat="false" ht="15" hidden="false" customHeight="false" outlineLevel="0" collapsed="false">
      <c r="A1991" s="13" t="s">
        <v>2213</v>
      </c>
      <c r="B1991" s="14" t="n">
        <v>45947</v>
      </c>
      <c r="C1991" s="14"/>
      <c r="D1991" s="13" t="n">
        <v>31</v>
      </c>
      <c r="E1991" s="13" t="s">
        <v>182</v>
      </c>
      <c r="F1991" s="13" t="s">
        <v>145</v>
      </c>
      <c r="G1991" s="13" t="s">
        <v>155</v>
      </c>
      <c r="H1991" s="13" t="s">
        <v>192</v>
      </c>
      <c r="I1991" s="13" t="n">
        <v>2</v>
      </c>
      <c r="J1991" s="13" t="n">
        <v>4</v>
      </c>
      <c r="K1991" s="13" t="n">
        <v>178000</v>
      </c>
      <c r="L1991" s="13"/>
      <c r="M1991" s="13"/>
      <c r="N1991" s="13" t="s">
        <v>142</v>
      </c>
    </row>
    <row r="1992" customFormat="false" ht="15" hidden="false" customHeight="false" outlineLevel="0" collapsed="false">
      <c r="A1992" s="13" t="s">
        <v>2214</v>
      </c>
      <c r="B1992" s="14" t="n">
        <v>45948</v>
      </c>
      <c r="C1992" s="14"/>
      <c r="D1992" s="13" t="n">
        <v>37</v>
      </c>
      <c r="E1992" s="13" t="s">
        <v>144</v>
      </c>
      <c r="F1992" s="13" t="s">
        <v>161</v>
      </c>
      <c r="G1992" s="13" t="s">
        <v>132</v>
      </c>
      <c r="H1992" s="13" t="s">
        <v>146</v>
      </c>
      <c r="I1992" s="13" t="n">
        <v>5</v>
      </c>
      <c r="J1992" s="13" t="n">
        <v>1</v>
      </c>
      <c r="K1992" s="13" t="n">
        <v>46000</v>
      </c>
      <c r="L1992" s="13"/>
      <c r="M1992" s="13"/>
      <c r="N1992" s="13" t="s">
        <v>134</v>
      </c>
    </row>
    <row r="1993" customFormat="false" ht="15" hidden="false" customHeight="false" outlineLevel="0" collapsed="false">
      <c r="A1993" s="13" t="s">
        <v>2215</v>
      </c>
      <c r="B1993" s="14" t="n">
        <v>45948</v>
      </c>
      <c r="C1993" s="14"/>
      <c r="D1993" s="13" t="n">
        <v>38</v>
      </c>
      <c r="E1993" s="13" t="s">
        <v>163</v>
      </c>
      <c r="F1993" s="13" t="s">
        <v>229</v>
      </c>
      <c r="G1993" s="13" t="s">
        <v>132</v>
      </c>
      <c r="H1993" s="13" t="s">
        <v>139</v>
      </c>
      <c r="I1993" s="13" t="n">
        <v>4</v>
      </c>
      <c r="J1993" s="13" t="n">
        <v>3</v>
      </c>
      <c r="K1993" s="13" t="n">
        <v>36500</v>
      </c>
      <c r="L1993" s="13"/>
      <c r="M1993" s="13"/>
      <c r="N1993" s="13" t="s">
        <v>134</v>
      </c>
    </row>
    <row r="1994" customFormat="false" ht="15" hidden="false" customHeight="false" outlineLevel="0" collapsed="false">
      <c r="A1994" s="13" t="s">
        <v>2216</v>
      </c>
      <c r="B1994" s="14" t="n">
        <v>45950</v>
      </c>
      <c r="C1994" s="14"/>
      <c r="D1994" s="13" t="n">
        <v>37</v>
      </c>
      <c r="E1994" s="13" t="s">
        <v>190</v>
      </c>
      <c r="F1994" s="13" t="s">
        <v>168</v>
      </c>
      <c r="G1994" s="13" t="s">
        <v>374</v>
      </c>
      <c r="H1994" s="13" t="s">
        <v>146</v>
      </c>
      <c r="I1994" s="13" t="n">
        <v>4</v>
      </c>
      <c r="J1994" s="13" t="n">
        <v>1</v>
      </c>
      <c r="K1994" s="13" t="n">
        <v>66500</v>
      </c>
      <c r="L1994" s="13"/>
      <c r="M1994" s="13"/>
      <c r="N1994" s="13" t="s">
        <v>142</v>
      </c>
    </row>
    <row r="1995" customFormat="false" ht="15" hidden="false" customHeight="false" outlineLevel="0" collapsed="false">
      <c r="A1995" s="13" t="s">
        <v>2217</v>
      </c>
      <c r="B1995" s="14" t="n">
        <v>45952</v>
      </c>
      <c r="C1995" s="14"/>
      <c r="D1995" s="13" t="n">
        <v>27</v>
      </c>
      <c r="E1995" s="13" t="s">
        <v>144</v>
      </c>
      <c r="F1995" s="13" t="s">
        <v>231</v>
      </c>
      <c r="G1995" s="13" t="s">
        <v>155</v>
      </c>
      <c r="H1995" s="13" t="s">
        <v>149</v>
      </c>
      <c r="I1995" s="13" t="n">
        <v>4</v>
      </c>
      <c r="J1995" s="13" t="n">
        <v>4</v>
      </c>
      <c r="K1995" s="13" t="n">
        <v>98500</v>
      </c>
      <c r="L1995" s="13"/>
      <c r="M1995" s="13"/>
      <c r="N1995" s="13" t="s">
        <v>157</v>
      </c>
    </row>
    <row r="1996" customFormat="false" ht="15" hidden="false" customHeight="false" outlineLevel="0" collapsed="false">
      <c r="A1996" s="13" t="s">
        <v>2218</v>
      </c>
      <c r="B1996" s="14" t="n">
        <v>45953</v>
      </c>
      <c r="C1996" s="14"/>
      <c r="D1996" s="13" t="n">
        <v>28</v>
      </c>
      <c r="E1996" s="13" t="s">
        <v>144</v>
      </c>
      <c r="F1996" s="13" t="s">
        <v>137</v>
      </c>
      <c r="G1996" s="13" t="s">
        <v>224</v>
      </c>
      <c r="H1996" s="13" t="s">
        <v>146</v>
      </c>
      <c r="I1996" s="13" t="n">
        <v>4</v>
      </c>
      <c r="J1996" s="13" t="n">
        <v>1</v>
      </c>
      <c r="K1996" s="13" t="n">
        <v>50000</v>
      </c>
      <c r="L1996" s="13"/>
      <c r="M1996" s="13"/>
      <c r="N1996" s="13" t="s">
        <v>142</v>
      </c>
    </row>
    <row r="1997" customFormat="false" ht="15" hidden="false" customHeight="false" outlineLevel="0" collapsed="false">
      <c r="A1997" s="13" t="s">
        <v>2219</v>
      </c>
      <c r="B1997" s="14" t="n">
        <v>45953</v>
      </c>
      <c r="C1997" s="14"/>
      <c r="D1997" s="13" t="n">
        <v>32</v>
      </c>
      <c r="E1997" s="13" t="s">
        <v>144</v>
      </c>
      <c r="F1997" s="13" t="s">
        <v>168</v>
      </c>
      <c r="G1997" s="13" t="s">
        <v>155</v>
      </c>
      <c r="H1997" s="13" t="s">
        <v>343</v>
      </c>
      <c r="I1997" s="13" t="n">
        <v>4</v>
      </c>
      <c r="J1997" s="13" t="n">
        <v>2</v>
      </c>
      <c r="K1997" s="13" t="n">
        <v>104000</v>
      </c>
      <c r="L1997" s="13"/>
      <c r="M1997" s="13"/>
      <c r="N1997" s="13" t="s">
        <v>142</v>
      </c>
    </row>
    <row r="1998" customFormat="false" ht="15" hidden="false" customHeight="false" outlineLevel="0" collapsed="false">
      <c r="A1998" s="13" t="s">
        <v>2220</v>
      </c>
      <c r="B1998" s="14" t="n">
        <v>45956</v>
      </c>
      <c r="C1998" s="14"/>
      <c r="D1998" s="13" t="n">
        <v>32</v>
      </c>
      <c r="E1998" s="13" t="s">
        <v>136</v>
      </c>
      <c r="F1998" s="13" t="s">
        <v>231</v>
      </c>
      <c r="G1998" s="13" t="s">
        <v>155</v>
      </c>
      <c r="H1998" s="13" t="s">
        <v>149</v>
      </c>
      <c r="I1998" s="13"/>
      <c r="J1998" s="13" t="n">
        <v>2</v>
      </c>
      <c r="K1998" s="13" t="n">
        <v>105500</v>
      </c>
      <c r="L1998" s="13"/>
      <c r="M1998" s="13"/>
      <c r="N1998" s="13" t="s">
        <v>134</v>
      </c>
    </row>
    <row r="1999" customFormat="false" ht="15" hidden="false" customHeight="false" outlineLevel="0" collapsed="false">
      <c r="A1999" s="13" t="s">
        <v>2221</v>
      </c>
      <c r="B1999" s="14" t="n">
        <v>45956</v>
      </c>
      <c r="C1999" s="14"/>
      <c r="D1999" s="13" t="n">
        <v>27</v>
      </c>
      <c r="E1999" s="13" t="s">
        <v>136</v>
      </c>
      <c r="F1999" s="13" t="s">
        <v>168</v>
      </c>
      <c r="G1999" s="13" t="s">
        <v>155</v>
      </c>
      <c r="H1999" s="13" t="s">
        <v>156</v>
      </c>
      <c r="I1999" s="13" t="n">
        <v>4</v>
      </c>
      <c r="J1999" s="13" t="n">
        <v>4</v>
      </c>
      <c r="K1999" s="13" t="n">
        <v>79000</v>
      </c>
      <c r="L1999" s="13"/>
      <c r="M1999" s="13"/>
      <c r="N1999" s="13" t="s">
        <v>142</v>
      </c>
    </row>
    <row r="2000" customFormat="false" ht="15" hidden="false" customHeight="false" outlineLevel="0" collapsed="false">
      <c r="A2000" s="13" t="s">
        <v>2222</v>
      </c>
      <c r="B2000" s="14" t="n">
        <v>45958</v>
      </c>
      <c r="C2000" s="14" t="n">
        <v>46015</v>
      </c>
      <c r="D2000" s="13" t="n">
        <v>29</v>
      </c>
      <c r="E2000" s="13" t="s">
        <v>136</v>
      </c>
      <c r="F2000" s="13" t="s">
        <v>170</v>
      </c>
      <c r="G2000" s="13" t="s">
        <v>132</v>
      </c>
      <c r="H2000" s="13" t="s">
        <v>149</v>
      </c>
      <c r="I2000" s="13" t="n">
        <v>3</v>
      </c>
      <c r="J2000" s="13" t="n">
        <v>2</v>
      </c>
      <c r="K2000" s="13" t="n">
        <v>100500</v>
      </c>
      <c r="L2000" s="13" t="s">
        <v>151</v>
      </c>
      <c r="M2000" s="13" t="s">
        <v>203</v>
      </c>
      <c r="N2000" s="13" t="s">
        <v>142</v>
      </c>
    </row>
    <row r="2001" customFormat="false" ht="15" hidden="false" customHeight="false" outlineLevel="0" collapsed="false">
      <c r="A2001" s="13" t="s">
        <v>2223</v>
      </c>
      <c r="B2001" s="14" t="n">
        <v>45961</v>
      </c>
      <c r="C2001" s="14"/>
      <c r="D2001" s="13" t="n">
        <v>23</v>
      </c>
      <c r="E2001" s="13" t="s">
        <v>136</v>
      </c>
      <c r="F2001" s="13" t="s">
        <v>137</v>
      </c>
      <c r="G2001" s="13" t="s">
        <v>184</v>
      </c>
      <c r="H2001" s="13" t="s">
        <v>139</v>
      </c>
      <c r="I2001" s="13" t="n">
        <v>4</v>
      </c>
      <c r="J2001" s="13" t="n">
        <v>3</v>
      </c>
      <c r="K2001" s="13" t="n">
        <v>30000</v>
      </c>
      <c r="L2001" s="13"/>
      <c r="M2001" s="13"/>
      <c r="N2001" s="13" t="s">
        <v>142</v>
      </c>
    </row>
  </sheetData>
  <autoFilter ref="A1:N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V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2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24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11"/>
    <col collapsed="false" customWidth="true" hidden="false" outlineLevel="0" max="22" min="22" style="0" width="10"/>
  </cols>
  <sheetData>
    <row r="1" customFormat="false" ht="30" hidden="false" customHeight="true" outlineLevel="0" collapsed="false">
      <c r="A1" s="5" t="s">
        <v>75</v>
      </c>
      <c r="B1" s="5" t="s">
        <v>2224</v>
      </c>
      <c r="C1" s="5" t="s">
        <v>2225</v>
      </c>
      <c r="D1" s="5" t="s">
        <v>81</v>
      </c>
      <c r="E1" s="5" t="s">
        <v>2226</v>
      </c>
      <c r="F1" s="5" t="s">
        <v>2227</v>
      </c>
      <c r="G1" s="5" t="s">
        <v>2228</v>
      </c>
      <c r="H1" s="5" t="s">
        <v>2229</v>
      </c>
      <c r="I1" s="5" t="s">
        <v>86</v>
      </c>
      <c r="J1" s="5" t="s">
        <v>89</v>
      </c>
      <c r="K1" s="5" t="s">
        <v>92</v>
      </c>
      <c r="L1" s="5" t="s">
        <v>95</v>
      </c>
      <c r="M1" s="5" t="s">
        <v>98</v>
      </c>
      <c r="N1" s="5" t="s">
        <v>101</v>
      </c>
      <c r="O1" s="5" t="s">
        <v>103</v>
      </c>
      <c r="P1" s="5" t="s">
        <v>105</v>
      </c>
      <c r="Q1" s="5" t="s">
        <v>107</v>
      </c>
      <c r="R1" s="5" t="s">
        <v>109</v>
      </c>
      <c r="S1" s="5" t="s">
        <v>111</v>
      </c>
      <c r="T1" s="5" t="s">
        <v>2230</v>
      </c>
      <c r="U1" s="5" t="s">
        <v>2231</v>
      </c>
      <c r="V1" s="5" t="s">
        <v>2232</v>
      </c>
    </row>
    <row r="2" customFormat="false" ht="15" hidden="false" customHeight="false" outlineLevel="0" collapsed="false">
      <c r="A2" s="13" t="str">
        <f aca="false">TRIM(Raw_Data!A2)</f>
        <v>EMP0001</v>
      </c>
      <c r="B2" s="14" t="n">
        <f aca="false">Raw_Data!B2</f>
        <v>40911</v>
      </c>
      <c r="C2" s="14" t="str">
        <f aca="false">IF(Raw_Data!C2="","",Raw_Data!C2)</f>
        <v/>
      </c>
      <c r="D2" s="13" t="n">
        <f aca="false">IF(Raw_Data!D2="","",Raw_Data!D2)</f>
        <v>43</v>
      </c>
      <c r="E2" s="13" t="str">
        <f aca="false">IF(UPPER(LEFT(TRIM(Raw_Data!E2),1))="M","Male",IF(UPPER(LEFT(TRIM(Raw_Data!E2),1))="F","Female","Unknown"))</f>
        <v>Male</v>
      </c>
      <c r="F2" s="13" t="str">
        <f aca="false">PROPER(TRIM(SUBSTITUTE(Raw_Data!F2,"'","")))</f>
        <v>Diploma</v>
      </c>
      <c r="G2" s="13" t="str">
        <f aca="false">PROPER(TRIM(Raw_Data!G2))</f>
        <v>Operations</v>
      </c>
      <c r="H2" s="13" t="str">
        <f aca="false">PROPER(TRIM(Raw_Data!H2))</f>
        <v>Analyst</v>
      </c>
      <c r="I2" s="13" t="n">
        <f aca="false">IF(Raw_Data!I2="",DefaultPerf,Raw_Data!I2)</f>
        <v>5</v>
      </c>
      <c r="J2" s="13" t="n">
        <f aca="false">IF(Raw_Data!J2="",DefaultSat,Raw_Data!J2)</f>
        <v>3</v>
      </c>
      <c r="K2" s="15" t="n">
        <f aca="false">Raw_Data!K2</f>
        <v>74500</v>
      </c>
      <c r="L2" s="13" t="str">
        <f aca="false">PROPER(TRIM(Raw_Data!N2))</f>
        <v>Yes</v>
      </c>
      <c r="M2" s="13" t="n">
        <f aca="false">IF(C2="",0,1)</f>
        <v>0</v>
      </c>
      <c r="N2" s="13" t="str">
        <f aca="false">IF(M2=0,"Active",IF(TRIM(Raw_Data!L2)="","Unknown",PROPER(TRIM(Raw_Data!L2))))</f>
        <v>Active</v>
      </c>
      <c r="O2" s="13" t="str">
        <f aca="false">IF(M2=0,"",IF(TRIM(Raw_Data!M2)="","Not Recorded",TRIM(Raw_Data!M2)))</f>
        <v/>
      </c>
      <c r="P2" s="16" t="n">
        <f aca="false">ROUND((IF(C2="",AsOfDate,C2)-B2)/365.25,2)</f>
        <v>13.99</v>
      </c>
      <c r="Q2" s="13" t="str">
        <f aca="false">IF(D2="","Unknown",IF(D2&lt;25,"Under 25",IF(D2&lt;35,"25-34",IF(D2&lt;45,"35-44",IF(D2&lt;55,"45-54","55+")))))</f>
        <v>35-44</v>
      </c>
      <c r="R2" s="13" t="str">
        <f aca="false">IF(P2&lt;1,"0-1 yrs",IF(P2&lt;3,"1-3 yrs",IF(P2&lt;5,"3-5 yrs",IF(P2&lt;10,"5-10 yrs","10+ yrs"))))</f>
        <v>10+ yrs</v>
      </c>
      <c r="S2" s="13" t="str">
        <f aca="false">IF(I2&gt;=4,"High",IF(I2=3,"Medium","Low"))</f>
        <v>High</v>
      </c>
      <c r="T2" s="13" t="str">
        <f aca="false">IF(M2=1,YEAR(C2),"")</f>
        <v/>
      </c>
      <c r="U2" s="13" t="str">
        <f aca="false">IF(M2=1,YEAR(C2)&amp;"-Q"&amp;ROUNDUP(MONTH(C2)/3,0),"")</f>
        <v/>
      </c>
      <c r="V2" s="13" t="str">
        <f aca="false">IF(M2=1,MONTH(C2),"")</f>
        <v/>
      </c>
    </row>
    <row r="3" customFormat="false" ht="15" hidden="false" customHeight="false" outlineLevel="0" collapsed="false">
      <c r="A3" s="13" t="str">
        <f aca="false">TRIM(Raw_Data!A3)</f>
        <v>EMP0002</v>
      </c>
      <c r="B3" s="14" t="n">
        <f aca="false">Raw_Data!B3</f>
        <v>40917</v>
      </c>
      <c r="C3" s="14" t="n">
        <f aca="false">IF(Raw_Data!C3="","",Raw_Data!C3)</f>
        <v>45913</v>
      </c>
      <c r="D3" s="13" t="n">
        <f aca="false">IF(Raw_Data!D3="","",Raw_Data!D3)</f>
        <v>39</v>
      </c>
      <c r="E3" s="13" t="str">
        <f aca="false">IF(UPPER(LEFT(TRIM(Raw_Data!E3),1))="M","Male",IF(UPPER(LEFT(TRIM(Raw_Data!E3),1))="F","Female","Unknown"))</f>
        <v>Male</v>
      </c>
      <c r="F3" s="13" t="str">
        <f aca="false">PROPER(TRIM(SUBSTITUTE(Raw_Data!F3,"'","")))</f>
        <v>Masters</v>
      </c>
      <c r="G3" s="13" t="str">
        <f aca="false">PROPER(TRIM(Raw_Data!G3))</f>
        <v>Sales</v>
      </c>
      <c r="H3" s="13" t="str">
        <f aca="false">PROPER(TRIM(Raw_Data!H3))</f>
        <v>Associate</v>
      </c>
      <c r="I3" s="13" t="n">
        <f aca="false">IF(Raw_Data!I3="",DefaultPerf,Raw_Data!I3)</f>
        <v>2</v>
      </c>
      <c r="J3" s="13" t="n">
        <f aca="false">IF(Raw_Data!J3="",DefaultSat,Raw_Data!J3)</f>
        <v>1</v>
      </c>
      <c r="K3" s="15" t="n">
        <f aca="false">Raw_Data!K3</f>
        <v>42000</v>
      </c>
      <c r="L3" s="13" t="str">
        <f aca="false">PROPER(TRIM(Raw_Data!N3))</f>
        <v>No</v>
      </c>
      <c r="M3" s="13" t="n">
        <f aca="false">IF(C3="",0,1)</f>
        <v>1</v>
      </c>
      <c r="N3" s="13" t="str">
        <f aca="false">IF(M3=0,"Active",IF(TRIM(Raw_Data!L3)="","Unknown",PROPER(TRIM(Raw_Data!L3))))</f>
        <v>Voluntary</v>
      </c>
      <c r="O3" s="13" t="str">
        <f aca="false">IF(M3=0,"",IF(TRIM(Raw_Data!M3)="","Not Recorded",TRIM(Raw_Data!M3)))</f>
        <v>Relocation</v>
      </c>
      <c r="P3" s="16" t="n">
        <f aca="false">ROUND((IF(C3="",AsOfDate,C3)-B3)/365.25,2)</f>
        <v>13.68</v>
      </c>
      <c r="Q3" s="13" t="str">
        <f aca="false">IF(D3="","Unknown",IF(D3&lt;25,"Under 25",IF(D3&lt;35,"25-34",IF(D3&lt;45,"35-44",IF(D3&lt;55,"45-54","55+")))))</f>
        <v>35-44</v>
      </c>
      <c r="R3" s="13" t="str">
        <f aca="false">IF(P3&lt;1,"0-1 yrs",IF(P3&lt;3,"1-3 yrs",IF(P3&lt;5,"3-5 yrs",IF(P3&lt;10,"5-10 yrs","10+ yrs"))))</f>
        <v>10+ yrs</v>
      </c>
      <c r="S3" s="13" t="str">
        <f aca="false">IF(I3&gt;=4,"High",IF(I3=3,"Medium","Low"))</f>
        <v>Low</v>
      </c>
      <c r="T3" s="13" t="n">
        <f aca="false">IF(M3=1,YEAR(C3),"")</f>
        <v>2025</v>
      </c>
      <c r="U3" s="13" t="str">
        <f aca="false">IF(M3=1,YEAR(C3)&amp;"-Q"&amp;ROUNDUP(MONTH(C3)/3,0),"")</f>
        <v>2025-Q3</v>
      </c>
      <c r="V3" s="13" t="n">
        <f aca="false">IF(M3=1,MONTH(C3),"")</f>
        <v>9</v>
      </c>
    </row>
    <row r="4" customFormat="false" ht="15" hidden="false" customHeight="false" outlineLevel="0" collapsed="false">
      <c r="A4" s="13" t="str">
        <f aca="false">TRIM(Raw_Data!A4)</f>
        <v>EMP0003</v>
      </c>
      <c r="B4" s="14" t="n">
        <f aca="false">Raw_Data!B4</f>
        <v>40922</v>
      </c>
      <c r="C4" s="14" t="str">
        <f aca="false">IF(Raw_Data!C4="","",Raw_Data!C4)</f>
        <v/>
      </c>
      <c r="D4" s="13" t="n">
        <f aca="false">IF(Raw_Data!D4="","",Raw_Data!D4)</f>
        <v>40</v>
      </c>
      <c r="E4" s="13" t="str">
        <f aca="false">IF(UPPER(LEFT(TRIM(Raw_Data!E4),1))="M","Male",IF(UPPER(LEFT(TRIM(Raw_Data!E4),1))="F","Female","Unknown"))</f>
        <v>Female</v>
      </c>
      <c r="F4" s="13" t="str">
        <f aca="false">PROPER(TRIM(SUBSTITUTE(Raw_Data!F4,"'","")))</f>
        <v>High School</v>
      </c>
      <c r="G4" s="13" t="str">
        <f aca="false">PROPER(TRIM(Raw_Data!G4))</f>
        <v>Operations</v>
      </c>
      <c r="H4" s="13" t="str">
        <f aca="false">PROPER(TRIM(Raw_Data!H4))</f>
        <v>Analyst</v>
      </c>
      <c r="I4" s="13" t="n">
        <f aca="false">IF(Raw_Data!I4="",DefaultPerf,Raw_Data!I4)</f>
        <v>3</v>
      </c>
      <c r="J4" s="13" t="n">
        <f aca="false">IF(Raw_Data!J4="",DefaultSat,Raw_Data!J4)</f>
        <v>1</v>
      </c>
      <c r="K4" s="15" t="n">
        <f aca="false">Raw_Data!K4</f>
        <v>81500</v>
      </c>
      <c r="L4" s="13" t="str">
        <f aca="false">PROPER(TRIM(Raw_Data!N4))</f>
        <v>No</v>
      </c>
      <c r="M4" s="13" t="n">
        <f aca="false">IF(C4="",0,1)</f>
        <v>0</v>
      </c>
      <c r="N4" s="13" t="str">
        <f aca="false">IF(M4=0,"Active",IF(TRIM(Raw_Data!L4)="","Unknown",PROPER(TRIM(Raw_Data!L4))))</f>
        <v>Active</v>
      </c>
      <c r="O4" s="13" t="str">
        <f aca="false">IF(M4=0,"",IF(TRIM(Raw_Data!M4)="","Not Recorded",TRIM(Raw_Data!M4)))</f>
        <v/>
      </c>
      <c r="P4" s="16" t="n">
        <f aca="false">ROUND((IF(C4="",AsOfDate,C4)-B4)/365.25,2)</f>
        <v>13.96</v>
      </c>
      <c r="Q4" s="13" t="str">
        <f aca="false">IF(D4="","Unknown",IF(D4&lt;25,"Under 25",IF(D4&lt;35,"25-34",IF(D4&lt;45,"35-44",IF(D4&lt;55,"45-54","55+")))))</f>
        <v>35-44</v>
      </c>
      <c r="R4" s="13" t="str">
        <f aca="false">IF(P4&lt;1,"0-1 yrs",IF(P4&lt;3,"1-3 yrs",IF(P4&lt;5,"3-5 yrs",IF(P4&lt;10,"5-10 yrs","10+ yrs"))))</f>
        <v>10+ yrs</v>
      </c>
      <c r="S4" s="13" t="str">
        <f aca="false">IF(I4&gt;=4,"High",IF(I4=3,"Medium","Low"))</f>
        <v>Medium</v>
      </c>
      <c r="T4" s="13" t="str">
        <f aca="false">IF(M4=1,YEAR(C4),"")</f>
        <v/>
      </c>
      <c r="U4" s="13" t="str">
        <f aca="false">IF(M4=1,YEAR(C4)&amp;"-Q"&amp;ROUNDUP(MONTH(C4)/3,0),"")</f>
        <v/>
      </c>
      <c r="V4" s="13" t="str">
        <f aca="false">IF(M4=1,MONTH(C4),"")</f>
        <v/>
      </c>
    </row>
    <row r="5" customFormat="false" ht="15" hidden="false" customHeight="false" outlineLevel="0" collapsed="false">
      <c r="A5" s="13" t="str">
        <f aca="false">TRIM(Raw_Data!A5)</f>
        <v>EMP0004</v>
      </c>
      <c r="B5" s="14" t="n">
        <f aca="false">Raw_Data!B5</f>
        <v>40924</v>
      </c>
      <c r="C5" s="14" t="str">
        <f aca="false">IF(Raw_Data!C5="","",Raw_Data!C5)</f>
        <v/>
      </c>
      <c r="D5" s="13" t="n">
        <f aca="false">IF(Raw_Data!D5="","",Raw_Data!D5)</f>
        <v>39</v>
      </c>
      <c r="E5" s="13" t="str">
        <f aca="false">IF(UPPER(LEFT(TRIM(Raw_Data!E5),1))="M","Male",IF(UPPER(LEFT(TRIM(Raw_Data!E5),1))="F","Female","Unknown"))</f>
        <v>Male</v>
      </c>
      <c r="F5" s="13" t="str">
        <f aca="false">PROPER(TRIM(SUBSTITUTE(Raw_Data!F5,"'","")))</f>
        <v>High School</v>
      </c>
      <c r="G5" s="13" t="str">
        <f aca="false">PROPER(TRIM(Raw_Data!G5))</f>
        <v>Customer Support</v>
      </c>
      <c r="H5" s="13" t="str">
        <f aca="false">PROPER(TRIM(Raw_Data!H5))</f>
        <v>Specialist</v>
      </c>
      <c r="I5" s="13" t="n">
        <f aca="false">IF(Raw_Data!I5="",DefaultPerf,Raw_Data!I5)</f>
        <v>4</v>
      </c>
      <c r="J5" s="13" t="n">
        <f aca="false">IF(Raw_Data!J5="",DefaultSat,Raw_Data!J5)</f>
        <v>4</v>
      </c>
      <c r="K5" s="15" t="n">
        <f aca="false">Raw_Data!K5</f>
        <v>129500</v>
      </c>
      <c r="L5" s="13" t="str">
        <f aca="false">PROPER(TRIM(Raw_Data!N5))</f>
        <v>No</v>
      </c>
      <c r="M5" s="13" t="n">
        <f aca="false">IF(C5="",0,1)</f>
        <v>0</v>
      </c>
      <c r="N5" s="13" t="str">
        <f aca="false">IF(M5=0,"Active",IF(TRIM(Raw_Data!L5)="","Unknown",PROPER(TRIM(Raw_Data!L5))))</f>
        <v>Active</v>
      </c>
      <c r="O5" s="13" t="str">
        <f aca="false">IF(M5=0,"",IF(TRIM(Raw_Data!M5)="","Not Recorded",TRIM(Raw_Data!M5)))</f>
        <v/>
      </c>
      <c r="P5" s="16" t="n">
        <f aca="false">ROUND((IF(C5="",AsOfDate,C5)-B5)/365.25,2)</f>
        <v>13.96</v>
      </c>
      <c r="Q5" s="13" t="str">
        <f aca="false">IF(D5="","Unknown",IF(D5&lt;25,"Under 25",IF(D5&lt;35,"25-34",IF(D5&lt;45,"35-44",IF(D5&lt;55,"45-54","55+")))))</f>
        <v>35-44</v>
      </c>
      <c r="R5" s="13" t="str">
        <f aca="false">IF(P5&lt;1,"0-1 yrs",IF(P5&lt;3,"1-3 yrs",IF(P5&lt;5,"3-5 yrs",IF(P5&lt;10,"5-10 yrs","10+ yrs"))))</f>
        <v>10+ yrs</v>
      </c>
      <c r="S5" s="13" t="str">
        <f aca="false">IF(I5&gt;=4,"High",IF(I5=3,"Medium","Low"))</f>
        <v>High</v>
      </c>
      <c r="T5" s="13" t="str">
        <f aca="false">IF(M5=1,YEAR(C5),"")</f>
        <v/>
      </c>
      <c r="U5" s="13" t="str">
        <f aca="false">IF(M5=1,YEAR(C5)&amp;"-Q"&amp;ROUNDUP(MONTH(C5)/3,0),"")</f>
        <v/>
      </c>
      <c r="V5" s="13" t="str">
        <f aca="false">IF(M5=1,MONTH(C5),"")</f>
        <v/>
      </c>
    </row>
    <row r="6" customFormat="false" ht="15" hidden="false" customHeight="false" outlineLevel="0" collapsed="false">
      <c r="A6" s="13" t="str">
        <f aca="false">TRIM(Raw_Data!A6)</f>
        <v>EMP0005</v>
      </c>
      <c r="B6" s="14" t="n">
        <f aca="false">Raw_Data!B6</f>
        <v>40934</v>
      </c>
      <c r="C6" s="14" t="n">
        <f aca="false">IF(Raw_Data!C6="","",Raw_Data!C6)</f>
        <v>44706</v>
      </c>
      <c r="D6" s="13" t="n">
        <f aca="false">IF(Raw_Data!D6="","",Raw_Data!D6)</f>
        <v>35</v>
      </c>
      <c r="E6" s="13" t="str">
        <f aca="false">IF(UPPER(LEFT(TRIM(Raw_Data!E6),1))="M","Male",IF(UPPER(LEFT(TRIM(Raw_Data!E6),1))="F","Female","Unknown"))</f>
        <v>Female</v>
      </c>
      <c r="F6" s="13" t="str">
        <f aca="false">PROPER(TRIM(SUBSTITUTE(Raw_Data!F6,"'","")))</f>
        <v>High School</v>
      </c>
      <c r="G6" s="13" t="str">
        <f aca="false">PROPER(TRIM(Raw_Data!G6))</f>
        <v>Customer Support</v>
      </c>
      <c r="H6" s="13" t="str">
        <f aca="false">PROPER(TRIM(Raw_Data!H6))</f>
        <v>Associate</v>
      </c>
      <c r="I6" s="13" t="n">
        <f aca="false">IF(Raw_Data!I6="",DefaultPerf,Raw_Data!I6)</f>
        <v>4</v>
      </c>
      <c r="J6" s="13" t="n">
        <f aca="false">IF(Raw_Data!J6="",DefaultSat,Raw_Data!J6)</f>
        <v>1</v>
      </c>
      <c r="K6" s="15" t="n">
        <f aca="false">Raw_Data!K6</f>
        <v>60000</v>
      </c>
      <c r="L6" s="13" t="str">
        <f aca="false">PROPER(TRIM(Raw_Data!N6))</f>
        <v>No</v>
      </c>
      <c r="M6" s="13" t="n">
        <f aca="false">IF(C6="",0,1)</f>
        <v>1</v>
      </c>
      <c r="N6" s="13" t="str">
        <f aca="false">IF(M6=0,"Active",IF(TRIM(Raw_Data!L6)="","Unknown",PROPER(TRIM(Raw_Data!L6))))</f>
        <v>Voluntary</v>
      </c>
      <c r="O6" s="13" t="str">
        <f aca="false">IF(M6=0,"",IF(TRIM(Raw_Data!M6)="","Not Recorded",TRIM(Raw_Data!M6)))</f>
        <v>Job Dissatisfaction</v>
      </c>
      <c r="P6" s="16" t="n">
        <f aca="false">ROUND((IF(C6="",AsOfDate,C6)-B6)/365.25,2)</f>
        <v>10.33</v>
      </c>
      <c r="Q6" s="13" t="str">
        <f aca="false">IF(D6="","Unknown",IF(D6&lt;25,"Under 25",IF(D6&lt;35,"25-34",IF(D6&lt;45,"35-44",IF(D6&lt;55,"45-54","55+")))))</f>
        <v>35-44</v>
      </c>
      <c r="R6" s="13" t="str">
        <f aca="false">IF(P6&lt;1,"0-1 yrs",IF(P6&lt;3,"1-3 yrs",IF(P6&lt;5,"3-5 yrs",IF(P6&lt;10,"5-10 yrs","10+ yrs"))))</f>
        <v>10+ yrs</v>
      </c>
      <c r="S6" s="13" t="str">
        <f aca="false">IF(I6&gt;=4,"High",IF(I6=3,"Medium","Low"))</f>
        <v>High</v>
      </c>
      <c r="T6" s="13" t="n">
        <f aca="false">IF(M6=1,YEAR(C6),"")</f>
        <v>2022</v>
      </c>
      <c r="U6" s="13" t="str">
        <f aca="false">IF(M6=1,YEAR(C6)&amp;"-Q"&amp;ROUNDUP(MONTH(C6)/3,0),"")</f>
        <v>2022-Q2</v>
      </c>
      <c r="V6" s="13" t="n">
        <f aca="false">IF(M6=1,MONTH(C6),"")</f>
        <v>5</v>
      </c>
    </row>
    <row r="7" customFormat="false" ht="15" hidden="false" customHeight="false" outlineLevel="0" collapsed="false">
      <c r="A7" s="13" t="str">
        <f aca="false">TRIM(Raw_Data!A7)</f>
        <v>EMP0006</v>
      </c>
      <c r="B7" s="14" t="n">
        <f aca="false">Raw_Data!B7</f>
        <v>40939</v>
      </c>
      <c r="C7" s="14" t="str">
        <f aca="false">IF(Raw_Data!C7="","",Raw_Data!C7)</f>
        <v/>
      </c>
      <c r="D7" s="13" t="n">
        <f aca="false">IF(Raw_Data!D7="","",Raw_Data!D7)</f>
        <v>48</v>
      </c>
      <c r="E7" s="13" t="str">
        <f aca="false">IF(UPPER(LEFT(TRIM(Raw_Data!E7),1))="M","Male",IF(UPPER(LEFT(TRIM(Raw_Data!E7),1))="F","Female","Unknown"))</f>
        <v>Male</v>
      </c>
      <c r="F7" s="13" t="str">
        <f aca="false">PROPER(TRIM(SUBSTITUTE(Raw_Data!F7,"'","")))</f>
        <v>Bachelors</v>
      </c>
      <c r="G7" s="13" t="str">
        <f aca="false">PROPER(TRIM(Raw_Data!G7))</f>
        <v>Engineering</v>
      </c>
      <c r="H7" s="13" t="str">
        <f aca="false">PROPER(TRIM(Raw_Data!H7))</f>
        <v>Senior Analyst</v>
      </c>
      <c r="I7" s="13" t="n">
        <f aca="false">IF(Raw_Data!I7="",DefaultPerf,Raw_Data!I7)</f>
        <v>3</v>
      </c>
      <c r="J7" s="13" t="n">
        <f aca="false">IF(Raw_Data!J7="",DefaultSat,Raw_Data!J7)</f>
        <v>4</v>
      </c>
      <c r="K7" s="15" t="n">
        <f aca="false">Raw_Data!K7</f>
        <v>125500</v>
      </c>
      <c r="L7" s="13" t="str">
        <f aca="false">PROPER(TRIM(Raw_Data!N7))</f>
        <v>No</v>
      </c>
      <c r="M7" s="13" t="n">
        <f aca="false">IF(C7="",0,1)</f>
        <v>0</v>
      </c>
      <c r="N7" s="13" t="str">
        <f aca="false">IF(M7=0,"Active",IF(TRIM(Raw_Data!L7)="","Unknown",PROPER(TRIM(Raw_Data!L7))))</f>
        <v>Active</v>
      </c>
      <c r="O7" s="13" t="str">
        <f aca="false">IF(M7=0,"",IF(TRIM(Raw_Data!M7)="","Not Recorded",TRIM(Raw_Data!M7)))</f>
        <v/>
      </c>
      <c r="P7" s="16" t="n">
        <f aca="false">ROUND((IF(C7="",AsOfDate,C7)-B7)/365.25,2)</f>
        <v>13.92</v>
      </c>
      <c r="Q7" s="13" t="str">
        <f aca="false">IF(D7="","Unknown",IF(D7&lt;25,"Under 25",IF(D7&lt;35,"25-34",IF(D7&lt;45,"35-44",IF(D7&lt;55,"45-54","55+")))))</f>
        <v>45-54</v>
      </c>
      <c r="R7" s="13" t="str">
        <f aca="false">IF(P7&lt;1,"0-1 yrs",IF(P7&lt;3,"1-3 yrs",IF(P7&lt;5,"3-5 yrs",IF(P7&lt;10,"5-10 yrs","10+ yrs"))))</f>
        <v>10+ yrs</v>
      </c>
      <c r="S7" s="13" t="str">
        <f aca="false">IF(I7&gt;=4,"High",IF(I7=3,"Medium","Low"))</f>
        <v>Medium</v>
      </c>
      <c r="T7" s="13" t="str">
        <f aca="false">IF(M7=1,YEAR(C7),"")</f>
        <v/>
      </c>
      <c r="U7" s="13" t="str">
        <f aca="false">IF(M7=1,YEAR(C7)&amp;"-Q"&amp;ROUNDUP(MONTH(C7)/3,0),"")</f>
        <v/>
      </c>
      <c r="V7" s="13" t="str">
        <f aca="false">IF(M7=1,MONTH(C7),"")</f>
        <v/>
      </c>
    </row>
    <row r="8" customFormat="false" ht="15" hidden="false" customHeight="false" outlineLevel="0" collapsed="false">
      <c r="A8" s="13" t="str">
        <f aca="false">TRIM(Raw_Data!A8)</f>
        <v>EMP0007</v>
      </c>
      <c r="B8" s="14" t="n">
        <f aca="false">Raw_Data!B8</f>
        <v>40939</v>
      </c>
      <c r="C8" s="14" t="n">
        <f aca="false">IF(Raw_Data!C8="","",Raw_Data!C8)</f>
        <v>45777</v>
      </c>
      <c r="D8" s="13" t="n">
        <f aca="false">IF(Raw_Data!D8="","",Raw_Data!D8)</f>
        <v>42</v>
      </c>
      <c r="E8" s="13" t="str">
        <f aca="false">IF(UPPER(LEFT(TRIM(Raw_Data!E8),1))="M","Male",IF(UPPER(LEFT(TRIM(Raw_Data!E8),1))="F","Female","Unknown"))</f>
        <v>Male</v>
      </c>
      <c r="F8" s="13" t="str">
        <f aca="false">PROPER(TRIM(SUBSTITUTE(Raw_Data!F8,"'","")))</f>
        <v>High School</v>
      </c>
      <c r="G8" s="13" t="str">
        <f aca="false">PROPER(TRIM(Raw_Data!G8))</f>
        <v>Sales</v>
      </c>
      <c r="H8" s="13" t="str">
        <f aca="false">PROPER(TRIM(Raw_Data!H8))</f>
        <v>Senior Analyst</v>
      </c>
      <c r="I8" s="13" t="n">
        <f aca="false">IF(Raw_Data!I8="",DefaultPerf,Raw_Data!I8)</f>
        <v>4</v>
      </c>
      <c r="J8" s="13" t="n">
        <f aca="false">IF(Raw_Data!J8="",DefaultSat,Raw_Data!J8)</f>
        <v>3</v>
      </c>
      <c r="K8" s="15" t="n">
        <f aca="false">Raw_Data!K8</f>
        <v>123500</v>
      </c>
      <c r="L8" s="13" t="str">
        <f aca="false">PROPER(TRIM(Raw_Data!N8))</f>
        <v>Yes</v>
      </c>
      <c r="M8" s="13" t="n">
        <f aca="false">IF(C8="",0,1)</f>
        <v>1</v>
      </c>
      <c r="N8" s="13" t="str">
        <f aca="false">IF(M8=0,"Active",IF(TRIM(Raw_Data!L8)="","Unknown",PROPER(TRIM(Raw_Data!L8))))</f>
        <v>Voluntary</v>
      </c>
      <c r="O8" s="13" t="str">
        <f aca="false">IF(M8=0,"",IF(TRIM(Raw_Data!M8)="","Not Recorded",TRIM(Raw_Data!M8)))</f>
        <v>Work-Life Balance</v>
      </c>
      <c r="P8" s="16" t="n">
        <f aca="false">ROUND((IF(C8="",AsOfDate,C8)-B8)/365.25,2)</f>
        <v>13.25</v>
      </c>
      <c r="Q8" s="13" t="str">
        <f aca="false">IF(D8="","Unknown",IF(D8&lt;25,"Under 25",IF(D8&lt;35,"25-34",IF(D8&lt;45,"35-44",IF(D8&lt;55,"45-54","55+")))))</f>
        <v>35-44</v>
      </c>
      <c r="R8" s="13" t="str">
        <f aca="false">IF(P8&lt;1,"0-1 yrs",IF(P8&lt;3,"1-3 yrs",IF(P8&lt;5,"3-5 yrs",IF(P8&lt;10,"5-10 yrs","10+ yrs"))))</f>
        <v>10+ yrs</v>
      </c>
      <c r="S8" s="13" t="str">
        <f aca="false">IF(I8&gt;=4,"High",IF(I8=3,"Medium","Low"))</f>
        <v>High</v>
      </c>
      <c r="T8" s="13" t="n">
        <f aca="false">IF(M8=1,YEAR(C8),"")</f>
        <v>2025</v>
      </c>
      <c r="U8" s="13" t="str">
        <f aca="false">IF(M8=1,YEAR(C8)&amp;"-Q"&amp;ROUNDUP(MONTH(C8)/3,0),"")</f>
        <v>2025-Q2</v>
      </c>
      <c r="V8" s="13" t="n">
        <f aca="false">IF(M8=1,MONTH(C8),"")</f>
        <v>4</v>
      </c>
    </row>
    <row r="9" customFormat="false" ht="15" hidden="false" customHeight="false" outlineLevel="0" collapsed="false">
      <c r="A9" s="13" t="str">
        <f aca="false">TRIM(Raw_Data!A9)</f>
        <v>EMP0008</v>
      </c>
      <c r="B9" s="14" t="n">
        <f aca="false">Raw_Data!B9</f>
        <v>40946</v>
      </c>
      <c r="C9" s="14" t="str">
        <f aca="false">IF(Raw_Data!C9="","",Raw_Data!C9)</f>
        <v/>
      </c>
      <c r="D9" s="13" t="n">
        <f aca="false">IF(Raw_Data!D9="","",Raw_Data!D9)</f>
        <v>42</v>
      </c>
      <c r="E9" s="13" t="str">
        <f aca="false">IF(UPPER(LEFT(TRIM(Raw_Data!E9),1))="M","Male",IF(UPPER(LEFT(TRIM(Raw_Data!E9),1))="F","Female","Unknown"))</f>
        <v>Male</v>
      </c>
      <c r="F9" s="13" t="str">
        <f aca="false">PROPER(TRIM(SUBSTITUTE(Raw_Data!F9,"'","")))</f>
        <v>Diploma</v>
      </c>
      <c r="G9" s="13" t="str">
        <f aca="false">PROPER(TRIM(Raw_Data!G9))</f>
        <v>Customer Support</v>
      </c>
      <c r="H9" s="13" t="str">
        <f aca="false">PROPER(TRIM(Raw_Data!H9))</f>
        <v>Senior Analyst</v>
      </c>
      <c r="I9" s="13" t="n">
        <f aca="false">IF(Raw_Data!I9="",DefaultPerf,Raw_Data!I9)</f>
        <v>1</v>
      </c>
      <c r="J9" s="13" t="n">
        <f aca="false">IF(Raw_Data!J9="",DefaultSat,Raw_Data!J9)</f>
        <v>2</v>
      </c>
      <c r="K9" s="15" t="n">
        <f aca="false">Raw_Data!K9</f>
        <v>124500</v>
      </c>
      <c r="L9" s="13" t="str">
        <f aca="false">PROPER(TRIM(Raw_Data!N9))</f>
        <v>Yes</v>
      </c>
      <c r="M9" s="13" t="n">
        <f aca="false">IF(C9="",0,1)</f>
        <v>0</v>
      </c>
      <c r="N9" s="13" t="str">
        <f aca="false">IF(M9=0,"Active",IF(TRIM(Raw_Data!L9)="","Unknown",PROPER(TRIM(Raw_Data!L9))))</f>
        <v>Active</v>
      </c>
      <c r="O9" s="13" t="str">
        <f aca="false">IF(M9=0,"",IF(TRIM(Raw_Data!M9)="","Not Recorded",TRIM(Raw_Data!M9)))</f>
        <v/>
      </c>
      <c r="P9" s="16" t="n">
        <f aca="false">ROUND((IF(C9="",AsOfDate,C9)-B9)/365.25,2)</f>
        <v>13.9</v>
      </c>
      <c r="Q9" s="13" t="str">
        <f aca="false">IF(D9="","Unknown",IF(D9&lt;25,"Under 25",IF(D9&lt;35,"25-34",IF(D9&lt;45,"35-44",IF(D9&lt;55,"45-54","55+")))))</f>
        <v>35-44</v>
      </c>
      <c r="R9" s="13" t="str">
        <f aca="false">IF(P9&lt;1,"0-1 yrs",IF(P9&lt;3,"1-3 yrs",IF(P9&lt;5,"3-5 yrs",IF(P9&lt;10,"5-10 yrs","10+ yrs"))))</f>
        <v>10+ yrs</v>
      </c>
      <c r="S9" s="13" t="str">
        <f aca="false">IF(I9&gt;=4,"High",IF(I9=3,"Medium","Low"))</f>
        <v>Low</v>
      </c>
      <c r="T9" s="13" t="str">
        <f aca="false">IF(M9=1,YEAR(C9),"")</f>
        <v/>
      </c>
      <c r="U9" s="13" t="str">
        <f aca="false">IF(M9=1,YEAR(C9)&amp;"-Q"&amp;ROUNDUP(MONTH(C9)/3,0),"")</f>
        <v/>
      </c>
      <c r="V9" s="13" t="str">
        <f aca="false">IF(M9=1,MONTH(C9),"")</f>
        <v/>
      </c>
    </row>
    <row r="10" customFormat="false" ht="15" hidden="false" customHeight="false" outlineLevel="0" collapsed="false">
      <c r="A10" s="13" t="str">
        <f aca="false">TRIM(Raw_Data!A10)</f>
        <v>EMP0009</v>
      </c>
      <c r="B10" s="14" t="n">
        <f aca="false">Raw_Data!B10</f>
        <v>40950</v>
      </c>
      <c r="C10" s="14" t="str">
        <f aca="false">IF(Raw_Data!C10="","",Raw_Data!C10)</f>
        <v/>
      </c>
      <c r="D10" s="13" t="n">
        <f aca="false">IF(Raw_Data!D10="","",Raw_Data!D10)</f>
        <v>35</v>
      </c>
      <c r="E10" s="13" t="str">
        <f aca="false">IF(UPPER(LEFT(TRIM(Raw_Data!E10),1))="M","Male",IF(UPPER(LEFT(TRIM(Raw_Data!E10),1))="F","Female","Unknown"))</f>
        <v>Female</v>
      </c>
      <c r="F10" s="13" t="str">
        <f aca="false">PROPER(TRIM(SUBSTITUTE(Raw_Data!F10,"'","")))</f>
        <v>Masters</v>
      </c>
      <c r="G10" s="13" t="str">
        <f aca="false">PROPER(TRIM(Raw_Data!G10))</f>
        <v>Operations</v>
      </c>
      <c r="H10" s="13" t="str">
        <f aca="false">PROPER(TRIM(Raw_Data!H10))</f>
        <v>Analyst</v>
      </c>
      <c r="I10" s="13" t="n">
        <f aca="false">IF(Raw_Data!I10="",DefaultPerf,Raw_Data!I10)</f>
        <v>5</v>
      </c>
      <c r="J10" s="13" t="n">
        <f aca="false">IF(Raw_Data!J10="",DefaultSat,Raw_Data!J10)</f>
        <v>2</v>
      </c>
      <c r="K10" s="15" t="n">
        <f aca="false">Raw_Data!K10</f>
        <v>84000</v>
      </c>
      <c r="L10" s="13" t="str">
        <f aca="false">PROPER(TRIM(Raw_Data!N10))</f>
        <v>Yes</v>
      </c>
      <c r="M10" s="13" t="n">
        <f aca="false">IF(C10="",0,1)</f>
        <v>0</v>
      </c>
      <c r="N10" s="13" t="str">
        <f aca="false">IF(M10=0,"Active",IF(TRIM(Raw_Data!L10)="","Unknown",PROPER(TRIM(Raw_Data!L10))))</f>
        <v>Active</v>
      </c>
      <c r="O10" s="13" t="str">
        <f aca="false">IF(M10=0,"",IF(TRIM(Raw_Data!M10)="","Not Recorded",TRIM(Raw_Data!M10)))</f>
        <v/>
      </c>
      <c r="P10" s="16" t="n">
        <f aca="false">ROUND((IF(C10="",AsOfDate,C10)-B10)/365.25,2)</f>
        <v>13.89</v>
      </c>
      <c r="Q10" s="13" t="str">
        <f aca="false">IF(D10="","Unknown",IF(D10&lt;25,"Under 25",IF(D10&lt;35,"25-34",IF(D10&lt;45,"35-44",IF(D10&lt;55,"45-54","55+")))))</f>
        <v>35-44</v>
      </c>
      <c r="R10" s="13" t="str">
        <f aca="false">IF(P10&lt;1,"0-1 yrs",IF(P10&lt;3,"1-3 yrs",IF(P10&lt;5,"3-5 yrs",IF(P10&lt;10,"5-10 yrs","10+ yrs"))))</f>
        <v>10+ yrs</v>
      </c>
      <c r="S10" s="13" t="str">
        <f aca="false">IF(I10&gt;=4,"High",IF(I10=3,"Medium","Low"))</f>
        <v>High</v>
      </c>
      <c r="T10" s="13" t="str">
        <f aca="false">IF(M10=1,YEAR(C10),"")</f>
        <v/>
      </c>
      <c r="U10" s="13" t="str">
        <f aca="false">IF(M10=1,YEAR(C10)&amp;"-Q"&amp;ROUNDUP(MONTH(C10)/3,0),"")</f>
        <v/>
      </c>
      <c r="V10" s="13" t="str">
        <f aca="false">IF(M10=1,MONTH(C10),"")</f>
        <v/>
      </c>
    </row>
    <row r="11" customFormat="false" ht="15" hidden="false" customHeight="false" outlineLevel="0" collapsed="false">
      <c r="A11" s="13" t="str">
        <f aca="false">TRIM(Raw_Data!A11)</f>
        <v>EMP0010</v>
      </c>
      <c r="B11" s="14" t="n">
        <f aca="false">Raw_Data!B11</f>
        <v>40952</v>
      </c>
      <c r="C11" s="14" t="str">
        <f aca="false">IF(Raw_Data!C11="","",Raw_Data!C11)</f>
        <v/>
      </c>
      <c r="D11" s="13" t="n">
        <f aca="false">IF(Raw_Data!D11="","",Raw_Data!D11)</f>
        <v>44</v>
      </c>
      <c r="E11" s="13" t="str">
        <f aca="false">IF(UPPER(LEFT(TRIM(Raw_Data!E11),1))="M","Male",IF(UPPER(LEFT(TRIM(Raw_Data!E11),1))="F","Female","Unknown"))</f>
        <v>Female</v>
      </c>
      <c r="F11" s="13" t="str">
        <f aca="false">PROPER(TRIM(SUBSTITUTE(Raw_Data!F11,"'","")))</f>
        <v>Diploma</v>
      </c>
      <c r="G11" s="13" t="str">
        <f aca="false">PROPER(TRIM(Raw_Data!G11))</f>
        <v>Sales</v>
      </c>
      <c r="H11" s="13" t="str">
        <f aca="false">PROPER(TRIM(Raw_Data!H11))</f>
        <v>Senior Analyst</v>
      </c>
      <c r="I11" s="13" t="n">
        <f aca="false">IF(Raw_Data!I11="",DefaultPerf,Raw_Data!I11)</f>
        <v>4</v>
      </c>
      <c r="J11" s="13" t="n">
        <f aca="false">IF(Raw_Data!J11="",DefaultSat,Raw_Data!J11)</f>
        <v>4</v>
      </c>
      <c r="K11" s="15" t="n">
        <f aca="false">Raw_Data!K11</f>
        <v>121500</v>
      </c>
      <c r="L11" s="13" t="str">
        <f aca="false">PROPER(TRIM(Raw_Data!N11))</f>
        <v>No</v>
      </c>
      <c r="M11" s="13" t="n">
        <f aca="false">IF(C11="",0,1)</f>
        <v>0</v>
      </c>
      <c r="N11" s="13" t="str">
        <f aca="false">IF(M11=0,"Active",IF(TRIM(Raw_Data!L11)="","Unknown",PROPER(TRIM(Raw_Data!L11))))</f>
        <v>Active</v>
      </c>
      <c r="O11" s="13" t="str">
        <f aca="false">IF(M11=0,"",IF(TRIM(Raw_Data!M11)="","Not Recorded",TRIM(Raw_Data!M11)))</f>
        <v/>
      </c>
      <c r="P11" s="16" t="n">
        <f aca="false">ROUND((IF(C11="",AsOfDate,C11)-B11)/365.25,2)</f>
        <v>13.88</v>
      </c>
      <c r="Q11" s="13" t="str">
        <f aca="false">IF(D11="","Unknown",IF(D11&lt;25,"Under 25",IF(D11&lt;35,"25-34",IF(D11&lt;45,"35-44",IF(D11&lt;55,"45-54","55+")))))</f>
        <v>35-44</v>
      </c>
      <c r="R11" s="13" t="str">
        <f aca="false">IF(P11&lt;1,"0-1 yrs",IF(P11&lt;3,"1-3 yrs",IF(P11&lt;5,"3-5 yrs",IF(P11&lt;10,"5-10 yrs","10+ yrs"))))</f>
        <v>10+ yrs</v>
      </c>
      <c r="S11" s="13" t="str">
        <f aca="false">IF(I11&gt;=4,"High",IF(I11=3,"Medium","Low"))</f>
        <v>High</v>
      </c>
      <c r="T11" s="13" t="str">
        <f aca="false">IF(M11=1,YEAR(C11),"")</f>
        <v/>
      </c>
      <c r="U11" s="13" t="str">
        <f aca="false">IF(M11=1,YEAR(C11)&amp;"-Q"&amp;ROUNDUP(MONTH(C11)/3,0),"")</f>
        <v/>
      </c>
      <c r="V11" s="13" t="str">
        <f aca="false">IF(M11=1,MONTH(C11),"")</f>
        <v/>
      </c>
    </row>
    <row r="12" customFormat="false" ht="15" hidden="false" customHeight="false" outlineLevel="0" collapsed="false">
      <c r="A12" s="13" t="str">
        <f aca="false">TRIM(Raw_Data!A12)</f>
        <v>EMP0011</v>
      </c>
      <c r="B12" s="14" t="n">
        <f aca="false">Raw_Data!B12</f>
        <v>40961</v>
      </c>
      <c r="C12" s="14" t="str">
        <f aca="false">IF(Raw_Data!C12="","",Raw_Data!C12)</f>
        <v/>
      </c>
      <c r="D12" s="13" t="n">
        <f aca="false">IF(Raw_Data!D12="","",Raw_Data!D12)</f>
        <v>37</v>
      </c>
      <c r="E12" s="13" t="str">
        <f aca="false">IF(UPPER(LEFT(TRIM(Raw_Data!E12),1))="M","Male",IF(UPPER(LEFT(TRIM(Raw_Data!E12),1))="F","Female","Unknown"))</f>
        <v>Female</v>
      </c>
      <c r="F12" s="13" t="str">
        <f aca="false">PROPER(TRIM(SUBSTITUTE(Raw_Data!F12,"'","")))</f>
        <v>Bachelors</v>
      </c>
      <c r="G12" s="13" t="str">
        <f aca="false">PROPER(TRIM(Raw_Data!G12))</f>
        <v>Customer Support</v>
      </c>
      <c r="H12" s="13" t="str">
        <f aca="false">PROPER(TRIM(Raw_Data!H12))</f>
        <v>Associate</v>
      </c>
      <c r="I12" s="13" t="n">
        <f aca="false">IF(Raw_Data!I12="",DefaultPerf,Raw_Data!I12)</f>
        <v>2</v>
      </c>
      <c r="J12" s="13" t="n">
        <f aca="false">IF(Raw_Data!J12="",DefaultSat,Raw_Data!J12)</f>
        <v>3</v>
      </c>
      <c r="K12" s="15" t="n">
        <f aca="false">Raw_Data!K12</f>
        <v>43500</v>
      </c>
      <c r="L12" s="13" t="str">
        <f aca="false">PROPER(TRIM(Raw_Data!N12))</f>
        <v>No</v>
      </c>
      <c r="M12" s="13" t="n">
        <f aca="false">IF(C12="",0,1)</f>
        <v>0</v>
      </c>
      <c r="N12" s="13" t="str">
        <f aca="false">IF(M12=0,"Active",IF(TRIM(Raw_Data!L12)="","Unknown",PROPER(TRIM(Raw_Data!L12))))</f>
        <v>Active</v>
      </c>
      <c r="O12" s="13" t="str">
        <f aca="false">IF(M12=0,"",IF(TRIM(Raw_Data!M12)="","Not Recorded",TRIM(Raw_Data!M12)))</f>
        <v/>
      </c>
      <c r="P12" s="16" t="n">
        <f aca="false">ROUND((IF(C12="",AsOfDate,C12)-B12)/365.25,2)</f>
        <v>13.86</v>
      </c>
      <c r="Q12" s="13" t="str">
        <f aca="false">IF(D12="","Unknown",IF(D12&lt;25,"Under 25",IF(D12&lt;35,"25-34",IF(D12&lt;45,"35-44",IF(D12&lt;55,"45-54","55+")))))</f>
        <v>35-44</v>
      </c>
      <c r="R12" s="13" t="str">
        <f aca="false">IF(P12&lt;1,"0-1 yrs",IF(P12&lt;3,"1-3 yrs",IF(P12&lt;5,"3-5 yrs",IF(P12&lt;10,"5-10 yrs","10+ yrs"))))</f>
        <v>10+ yrs</v>
      </c>
      <c r="S12" s="13" t="str">
        <f aca="false">IF(I12&gt;=4,"High",IF(I12=3,"Medium","Low"))</f>
        <v>Low</v>
      </c>
      <c r="T12" s="13" t="str">
        <f aca="false">IF(M12=1,YEAR(C12),"")</f>
        <v/>
      </c>
      <c r="U12" s="13" t="str">
        <f aca="false">IF(M12=1,YEAR(C12)&amp;"-Q"&amp;ROUNDUP(MONTH(C12)/3,0),"")</f>
        <v/>
      </c>
      <c r="V12" s="13" t="str">
        <f aca="false">IF(M12=1,MONTH(C12),"")</f>
        <v/>
      </c>
    </row>
    <row r="13" customFormat="false" ht="15" hidden="false" customHeight="false" outlineLevel="0" collapsed="false">
      <c r="A13" s="13" t="str">
        <f aca="false">TRIM(Raw_Data!A13)</f>
        <v>EMP0012</v>
      </c>
      <c r="B13" s="14" t="n">
        <f aca="false">Raw_Data!B13</f>
        <v>40968</v>
      </c>
      <c r="C13" s="14" t="n">
        <f aca="false">IF(Raw_Data!C13="","",Raw_Data!C13)</f>
        <v>44755</v>
      </c>
      <c r="D13" s="13" t="n">
        <f aca="false">IF(Raw_Data!D13="","",Raw_Data!D13)</f>
        <v>44</v>
      </c>
      <c r="E13" s="13" t="str">
        <f aca="false">IF(UPPER(LEFT(TRIM(Raw_Data!E13),1))="M","Male",IF(UPPER(LEFT(TRIM(Raw_Data!E13),1))="F","Female","Unknown"))</f>
        <v>Male</v>
      </c>
      <c r="F13" s="13" t="str">
        <f aca="false">PROPER(TRIM(SUBSTITUTE(Raw_Data!F13,"'","")))</f>
        <v>Bachelors</v>
      </c>
      <c r="G13" s="13" t="str">
        <f aca="false">PROPER(TRIM(Raw_Data!G13))</f>
        <v>Customer Support</v>
      </c>
      <c r="H13" s="13" t="str">
        <f aca="false">PROPER(TRIM(Raw_Data!H13))</f>
        <v>Associate</v>
      </c>
      <c r="I13" s="13" t="n">
        <f aca="false">IF(Raw_Data!I13="",DefaultPerf,Raw_Data!I13)</f>
        <v>4</v>
      </c>
      <c r="J13" s="13" t="n">
        <f aca="false">IF(Raw_Data!J13="",DefaultSat,Raw_Data!J13)</f>
        <v>4</v>
      </c>
      <c r="K13" s="15" t="n">
        <f aca="false">Raw_Data!K13</f>
        <v>46000</v>
      </c>
      <c r="L13" s="13" t="str">
        <f aca="false">PROPER(TRIM(Raw_Data!N13))</f>
        <v>No</v>
      </c>
      <c r="M13" s="13" t="n">
        <f aca="false">IF(C13="",0,1)</f>
        <v>1</v>
      </c>
      <c r="N13" s="13" t="str">
        <f aca="false">IF(M13=0,"Active",IF(TRIM(Raw_Data!L13)="","Unknown",PROPER(TRIM(Raw_Data!L13))))</f>
        <v>Involuntary</v>
      </c>
      <c r="O13" s="13" t="str">
        <f aca="false">IF(M13=0,"",IF(TRIM(Raw_Data!M13)="","Not Recorded",TRIM(Raw_Data!M13)))</f>
        <v>Policy Violation</v>
      </c>
      <c r="P13" s="16" t="n">
        <f aca="false">ROUND((IF(C13="",AsOfDate,C13)-B13)/365.25,2)</f>
        <v>10.37</v>
      </c>
      <c r="Q13" s="13" t="str">
        <f aca="false">IF(D13="","Unknown",IF(D13&lt;25,"Under 25",IF(D13&lt;35,"25-34",IF(D13&lt;45,"35-44",IF(D13&lt;55,"45-54","55+")))))</f>
        <v>35-44</v>
      </c>
      <c r="R13" s="13" t="str">
        <f aca="false">IF(P13&lt;1,"0-1 yrs",IF(P13&lt;3,"1-3 yrs",IF(P13&lt;5,"3-5 yrs",IF(P13&lt;10,"5-10 yrs","10+ yrs"))))</f>
        <v>10+ yrs</v>
      </c>
      <c r="S13" s="13" t="str">
        <f aca="false">IF(I13&gt;=4,"High",IF(I13=3,"Medium","Low"))</f>
        <v>High</v>
      </c>
      <c r="T13" s="13" t="n">
        <f aca="false">IF(M13=1,YEAR(C13),"")</f>
        <v>2022</v>
      </c>
      <c r="U13" s="13" t="str">
        <f aca="false">IF(M13=1,YEAR(C13)&amp;"-Q"&amp;ROUNDUP(MONTH(C13)/3,0),"")</f>
        <v>2022-Q3</v>
      </c>
      <c r="V13" s="13" t="n">
        <f aca="false">IF(M13=1,MONTH(C13),"")</f>
        <v>7</v>
      </c>
    </row>
    <row r="14" customFormat="false" ht="15" hidden="false" customHeight="false" outlineLevel="0" collapsed="false">
      <c r="A14" s="13" t="str">
        <f aca="false">TRIM(Raw_Data!A14)</f>
        <v>EMP0013</v>
      </c>
      <c r="B14" s="14" t="n">
        <f aca="false">Raw_Data!B14</f>
        <v>40970</v>
      </c>
      <c r="C14" s="14" t="str">
        <f aca="false">IF(Raw_Data!C14="","",Raw_Data!C14)</f>
        <v/>
      </c>
      <c r="D14" s="13" t="n">
        <f aca="false">IF(Raw_Data!D14="","",Raw_Data!D14)</f>
        <v>41</v>
      </c>
      <c r="E14" s="13" t="str">
        <f aca="false">IF(UPPER(LEFT(TRIM(Raw_Data!E14),1))="M","Male",IF(UPPER(LEFT(TRIM(Raw_Data!E14),1))="F","Female","Unknown"))</f>
        <v>Male</v>
      </c>
      <c r="F14" s="13" t="str">
        <f aca="false">PROPER(TRIM(SUBSTITUTE(Raw_Data!F14,"'","")))</f>
        <v>Masters</v>
      </c>
      <c r="G14" s="13" t="str">
        <f aca="false">PROPER(TRIM(Raw_Data!G14))</f>
        <v>Operations</v>
      </c>
      <c r="H14" s="13" t="str">
        <f aca="false">PROPER(TRIM(Raw_Data!H14))</f>
        <v>Specialist</v>
      </c>
      <c r="I14" s="13" t="n">
        <f aca="false">IF(Raw_Data!I14="",DefaultPerf,Raw_Data!I14)</f>
        <v>2</v>
      </c>
      <c r="J14" s="13" t="n">
        <f aca="false">IF(Raw_Data!J14="",DefaultSat,Raw_Data!J14)</f>
        <v>4</v>
      </c>
      <c r="K14" s="15" t="n">
        <f aca="false">Raw_Data!K14</f>
        <v>131500</v>
      </c>
      <c r="L14" s="13" t="str">
        <f aca="false">PROPER(TRIM(Raw_Data!N14))</f>
        <v>No</v>
      </c>
      <c r="M14" s="13" t="n">
        <f aca="false">IF(C14="",0,1)</f>
        <v>0</v>
      </c>
      <c r="N14" s="13" t="str">
        <f aca="false">IF(M14=0,"Active",IF(TRIM(Raw_Data!L14)="","Unknown",PROPER(TRIM(Raw_Data!L14))))</f>
        <v>Active</v>
      </c>
      <c r="O14" s="13" t="str">
        <f aca="false">IF(M14=0,"",IF(TRIM(Raw_Data!M14)="","Not Recorded",TRIM(Raw_Data!M14)))</f>
        <v/>
      </c>
      <c r="P14" s="16" t="n">
        <f aca="false">ROUND((IF(C14="",AsOfDate,C14)-B14)/365.25,2)</f>
        <v>13.83</v>
      </c>
      <c r="Q14" s="13" t="str">
        <f aca="false">IF(D14="","Unknown",IF(D14&lt;25,"Under 25",IF(D14&lt;35,"25-34",IF(D14&lt;45,"35-44",IF(D14&lt;55,"45-54","55+")))))</f>
        <v>35-44</v>
      </c>
      <c r="R14" s="13" t="str">
        <f aca="false">IF(P14&lt;1,"0-1 yrs",IF(P14&lt;3,"1-3 yrs",IF(P14&lt;5,"3-5 yrs",IF(P14&lt;10,"5-10 yrs","10+ yrs"))))</f>
        <v>10+ yrs</v>
      </c>
      <c r="S14" s="13" t="str">
        <f aca="false">IF(I14&gt;=4,"High",IF(I14=3,"Medium","Low"))</f>
        <v>Low</v>
      </c>
      <c r="T14" s="13" t="str">
        <f aca="false">IF(M14=1,YEAR(C14),"")</f>
        <v/>
      </c>
      <c r="U14" s="13" t="str">
        <f aca="false">IF(M14=1,YEAR(C14)&amp;"-Q"&amp;ROUNDUP(MONTH(C14)/3,0),"")</f>
        <v/>
      </c>
      <c r="V14" s="13" t="str">
        <f aca="false">IF(M14=1,MONTH(C14),"")</f>
        <v/>
      </c>
    </row>
    <row r="15" customFormat="false" ht="15" hidden="false" customHeight="false" outlineLevel="0" collapsed="false">
      <c r="A15" s="13" t="str">
        <f aca="false">TRIM(Raw_Data!A15)</f>
        <v>EMP0014</v>
      </c>
      <c r="B15" s="14" t="n">
        <f aca="false">Raw_Data!B15</f>
        <v>40982</v>
      </c>
      <c r="C15" s="14" t="str">
        <f aca="false">IF(Raw_Data!C15="","",Raw_Data!C15)</f>
        <v/>
      </c>
      <c r="D15" s="13" t="n">
        <f aca="false">IF(Raw_Data!D15="","",Raw_Data!D15)</f>
        <v>45</v>
      </c>
      <c r="E15" s="13" t="str">
        <f aca="false">IF(UPPER(LEFT(TRIM(Raw_Data!E15),1))="M","Male",IF(UPPER(LEFT(TRIM(Raw_Data!E15),1))="F","Female","Unknown"))</f>
        <v>Male</v>
      </c>
      <c r="F15" s="13" t="str">
        <f aca="false">PROPER(TRIM(SUBSTITUTE(Raw_Data!F15,"'","")))</f>
        <v>Bachelors</v>
      </c>
      <c r="G15" s="13" t="str">
        <f aca="false">PROPER(TRIM(Raw_Data!G15))</f>
        <v>Sales</v>
      </c>
      <c r="H15" s="13" t="str">
        <f aca="false">PROPER(TRIM(Raw_Data!H15))</f>
        <v>Associate</v>
      </c>
      <c r="I15" s="13" t="n">
        <f aca="false">IF(Raw_Data!I15="",DefaultPerf,Raw_Data!I15)</f>
        <v>4</v>
      </c>
      <c r="J15" s="13" t="n">
        <f aca="false">IF(Raw_Data!J15="",DefaultSat,Raw_Data!J15)</f>
        <v>3</v>
      </c>
      <c r="K15" s="15" t="n">
        <f aca="false">Raw_Data!K15</f>
        <v>53500</v>
      </c>
      <c r="L15" s="13" t="str">
        <f aca="false">PROPER(TRIM(Raw_Data!N15))</f>
        <v>No</v>
      </c>
      <c r="M15" s="13" t="n">
        <f aca="false">IF(C15="",0,1)</f>
        <v>0</v>
      </c>
      <c r="N15" s="13" t="str">
        <f aca="false">IF(M15=0,"Active",IF(TRIM(Raw_Data!L15)="","Unknown",PROPER(TRIM(Raw_Data!L15))))</f>
        <v>Active</v>
      </c>
      <c r="O15" s="13" t="str">
        <f aca="false">IF(M15=0,"",IF(TRIM(Raw_Data!M15)="","Not Recorded",TRIM(Raw_Data!M15)))</f>
        <v/>
      </c>
      <c r="P15" s="16" t="n">
        <f aca="false">ROUND((IF(C15="",AsOfDate,C15)-B15)/365.25,2)</f>
        <v>13.8</v>
      </c>
      <c r="Q15" s="13" t="str">
        <f aca="false">IF(D15="","Unknown",IF(D15&lt;25,"Under 25",IF(D15&lt;35,"25-34",IF(D15&lt;45,"35-44",IF(D15&lt;55,"45-54","55+")))))</f>
        <v>45-54</v>
      </c>
      <c r="R15" s="13" t="str">
        <f aca="false">IF(P15&lt;1,"0-1 yrs",IF(P15&lt;3,"1-3 yrs",IF(P15&lt;5,"3-5 yrs",IF(P15&lt;10,"5-10 yrs","10+ yrs"))))</f>
        <v>10+ yrs</v>
      </c>
      <c r="S15" s="13" t="str">
        <f aca="false">IF(I15&gt;=4,"High",IF(I15=3,"Medium","Low"))</f>
        <v>High</v>
      </c>
      <c r="T15" s="13" t="str">
        <f aca="false">IF(M15=1,YEAR(C15),"")</f>
        <v/>
      </c>
      <c r="U15" s="13" t="str">
        <f aca="false">IF(M15=1,YEAR(C15)&amp;"-Q"&amp;ROUNDUP(MONTH(C15)/3,0),"")</f>
        <v/>
      </c>
      <c r="V15" s="13" t="str">
        <f aca="false">IF(M15=1,MONTH(C15),"")</f>
        <v/>
      </c>
    </row>
    <row r="16" customFormat="false" ht="15" hidden="false" customHeight="false" outlineLevel="0" collapsed="false">
      <c r="A16" s="13" t="str">
        <f aca="false">TRIM(Raw_Data!A16)</f>
        <v>EMP0015</v>
      </c>
      <c r="B16" s="14" t="n">
        <f aca="false">Raw_Data!B16</f>
        <v>40987</v>
      </c>
      <c r="C16" s="14" t="str">
        <f aca="false">IF(Raw_Data!C16="","",Raw_Data!C16)</f>
        <v/>
      </c>
      <c r="D16" s="13" t="n">
        <f aca="false">IF(Raw_Data!D16="","",Raw_Data!D16)</f>
        <v>41</v>
      </c>
      <c r="E16" s="13" t="str">
        <f aca="false">IF(UPPER(LEFT(TRIM(Raw_Data!E16),1))="M","Male",IF(UPPER(LEFT(TRIM(Raw_Data!E16),1))="F","Female","Unknown"))</f>
        <v>Female</v>
      </c>
      <c r="F16" s="13" t="str">
        <f aca="false">PROPER(TRIM(SUBSTITUTE(Raw_Data!F16,"'","")))</f>
        <v>Diploma</v>
      </c>
      <c r="G16" s="13" t="str">
        <f aca="false">PROPER(TRIM(Raw_Data!G16))</f>
        <v>Engineering</v>
      </c>
      <c r="H16" s="13" t="str">
        <f aca="false">PROPER(TRIM(Raw_Data!H16))</f>
        <v>Team Lead</v>
      </c>
      <c r="I16" s="13" t="n">
        <f aca="false">IF(Raw_Data!I16="",DefaultPerf,Raw_Data!I16)</f>
        <v>4</v>
      </c>
      <c r="J16" s="13" t="n">
        <f aca="false">IF(Raw_Data!J16="",DefaultSat,Raw_Data!J16)</f>
        <v>1</v>
      </c>
      <c r="K16" s="15" t="n">
        <f aca="false">Raw_Data!K16</f>
        <v>190000</v>
      </c>
      <c r="L16" s="13" t="str">
        <f aca="false">PROPER(TRIM(Raw_Data!N16))</f>
        <v>No</v>
      </c>
      <c r="M16" s="13" t="n">
        <f aca="false">IF(C16="",0,1)</f>
        <v>0</v>
      </c>
      <c r="N16" s="13" t="str">
        <f aca="false">IF(M16=0,"Active",IF(TRIM(Raw_Data!L16)="","Unknown",PROPER(TRIM(Raw_Data!L16))))</f>
        <v>Active</v>
      </c>
      <c r="O16" s="13" t="str">
        <f aca="false">IF(M16=0,"",IF(TRIM(Raw_Data!M16)="","Not Recorded",TRIM(Raw_Data!M16)))</f>
        <v/>
      </c>
      <c r="P16" s="16" t="n">
        <f aca="false">ROUND((IF(C16="",AsOfDate,C16)-B16)/365.25,2)</f>
        <v>13.79</v>
      </c>
      <c r="Q16" s="13" t="str">
        <f aca="false">IF(D16="","Unknown",IF(D16&lt;25,"Under 25",IF(D16&lt;35,"25-34",IF(D16&lt;45,"35-44",IF(D16&lt;55,"45-54","55+")))))</f>
        <v>35-44</v>
      </c>
      <c r="R16" s="13" t="str">
        <f aca="false">IF(P16&lt;1,"0-1 yrs",IF(P16&lt;3,"1-3 yrs",IF(P16&lt;5,"3-5 yrs",IF(P16&lt;10,"5-10 yrs","10+ yrs"))))</f>
        <v>10+ yrs</v>
      </c>
      <c r="S16" s="13" t="str">
        <f aca="false">IF(I16&gt;=4,"High",IF(I16=3,"Medium","Low"))</f>
        <v>High</v>
      </c>
      <c r="T16" s="13" t="str">
        <f aca="false">IF(M16=1,YEAR(C16),"")</f>
        <v/>
      </c>
      <c r="U16" s="13" t="str">
        <f aca="false">IF(M16=1,YEAR(C16)&amp;"-Q"&amp;ROUNDUP(MONTH(C16)/3,0),"")</f>
        <v/>
      </c>
      <c r="V16" s="13" t="str">
        <f aca="false">IF(M16=1,MONTH(C16),"")</f>
        <v/>
      </c>
    </row>
    <row r="17" customFormat="false" ht="15" hidden="false" customHeight="false" outlineLevel="0" collapsed="false">
      <c r="A17" s="13" t="str">
        <f aca="false">TRIM(Raw_Data!A17)</f>
        <v>EMP0016</v>
      </c>
      <c r="B17" s="14" t="n">
        <f aca="false">Raw_Data!B17</f>
        <v>40994</v>
      </c>
      <c r="C17" s="14" t="str">
        <f aca="false">IF(Raw_Data!C17="","",Raw_Data!C17)</f>
        <v/>
      </c>
      <c r="D17" s="13" t="n">
        <f aca="false">IF(Raw_Data!D17="","",Raw_Data!D17)</f>
        <v>38</v>
      </c>
      <c r="E17" s="13" t="str">
        <f aca="false">IF(UPPER(LEFT(TRIM(Raw_Data!E17),1))="M","Male",IF(UPPER(LEFT(TRIM(Raw_Data!E17),1))="F","Female","Unknown"))</f>
        <v>Female</v>
      </c>
      <c r="F17" s="13" t="str">
        <f aca="false">PROPER(TRIM(SUBSTITUTE(Raw_Data!F17,"'","")))</f>
        <v>Masters</v>
      </c>
      <c r="G17" s="13" t="str">
        <f aca="false">PROPER(TRIM(Raw_Data!G17))</f>
        <v>Sales</v>
      </c>
      <c r="H17" s="13" t="str">
        <f aca="false">PROPER(TRIM(Raw_Data!H17))</f>
        <v>Team Lead</v>
      </c>
      <c r="I17" s="13" t="n">
        <f aca="false">IF(Raw_Data!I17="",DefaultPerf,Raw_Data!I17)</f>
        <v>4</v>
      </c>
      <c r="J17" s="13" t="n">
        <f aca="false">IF(Raw_Data!J17="",DefaultSat,Raw_Data!J17)</f>
        <v>4</v>
      </c>
      <c r="K17" s="15" t="n">
        <f aca="false">Raw_Data!K17</f>
        <v>191500</v>
      </c>
      <c r="L17" s="13" t="str">
        <f aca="false">PROPER(TRIM(Raw_Data!N17))</f>
        <v>Yes</v>
      </c>
      <c r="M17" s="13" t="n">
        <f aca="false">IF(C17="",0,1)</f>
        <v>0</v>
      </c>
      <c r="N17" s="13" t="str">
        <f aca="false">IF(M17=0,"Active",IF(TRIM(Raw_Data!L17)="","Unknown",PROPER(TRIM(Raw_Data!L17))))</f>
        <v>Active</v>
      </c>
      <c r="O17" s="13" t="str">
        <f aca="false">IF(M17=0,"",IF(TRIM(Raw_Data!M17)="","Not Recorded",TRIM(Raw_Data!M17)))</f>
        <v/>
      </c>
      <c r="P17" s="16" t="n">
        <f aca="false">ROUND((IF(C17="",AsOfDate,C17)-B17)/365.25,2)</f>
        <v>13.77</v>
      </c>
      <c r="Q17" s="13" t="str">
        <f aca="false">IF(D17="","Unknown",IF(D17&lt;25,"Under 25",IF(D17&lt;35,"25-34",IF(D17&lt;45,"35-44",IF(D17&lt;55,"45-54","55+")))))</f>
        <v>35-44</v>
      </c>
      <c r="R17" s="13" t="str">
        <f aca="false">IF(P17&lt;1,"0-1 yrs",IF(P17&lt;3,"1-3 yrs",IF(P17&lt;5,"3-5 yrs",IF(P17&lt;10,"5-10 yrs","10+ yrs"))))</f>
        <v>10+ yrs</v>
      </c>
      <c r="S17" s="13" t="str">
        <f aca="false">IF(I17&gt;=4,"High",IF(I17=3,"Medium","Low"))</f>
        <v>High</v>
      </c>
      <c r="T17" s="13" t="str">
        <f aca="false">IF(M17=1,YEAR(C17),"")</f>
        <v/>
      </c>
      <c r="U17" s="13" t="str">
        <f aca="false">IF(M17=1,YEAR(C17)&amp;"-Q"&amp;ROUNDUP(MONTH(C17)/3,0),"")</f>
        <v/>
      </c>
      <c r="V17" s="13" t="str">
        <f aca="false">IF(M17=1,MONTH(C17),"")</f>
        <v/>
      </c>
    </row>
    <row r="18" customFormat="false" ht="15" hidden="false" customHeight="false" outlineLevel="0" collapsed="false">
      <c r="A18" s="13" t="str">
        <f aca="false">TRIM(Raw_Data!A18)</f>
        <v>EMP0017</v>
      </c>
      <c r="B18" s="14" t="n">
        <f aca="false">Raw_Data!B18</f>
        <v>40995</v>
      </c>
      <c r="C18" s="14" t="str">
        <f aca="false">IF(Raw_Data!C18="","",Raw_Data!C18)</f>
        <v/>
      </c>
      <c r="D18" s="13" t="n">
        <f aca="false">IF(Raw_Data!D18="","",Raw_Data!D18)</f>
        <v>36</v>
      </c>
      <c r="E18" s="13" t="str">
        <f aca="false">IF(UPPER(LEFT(TRIM(Raw_Data!E18),1))="M","Male",IF(UPPER(LEFT(TRIM(Raw_Data!E18),1))="F","Female","Unknown"))</f>
        <v>Female</v>
      </c>
      <c r="F18" s="13" t="str">
        <f aca="false">PROPER(TRIM(SUBSTITUTE(Raw_Data!F18,"'","")))</f>
        <v>Diploma</v>
      </c>
      <c r="G18" s="13" t="str">
        <f aca="false">PROPER(TRIM(Raw_Data!G18))</f>
        <v>Engineering</v>
      </c>
      <c r="H18" s="13" t="str">
        <f aca="false">PROPER(TRIM(Raw_Data!H18))</f>
        <v>Senior Analyst</v>
      </c>
      <c r="I18" s="13" t="n">
        <f aca="false">IF(Raw_Data!I18="",DefaultPerf,Raw_Data!I18)</f>
        <v>4</v>
      </c>
      <c r="J18" s="13" t="n">
        <f aca="false">IF(Raw_Data!J18="",DefaultSat,Raw_Data!J18)</f>
        <v>2</v>
      </c>
      <c r="K18" s="15" t="n">
        <f aca="false">Raw_Data!K18</f>
        <v>126000</v>
      </c>
      <c r="L18" s="13" t="str">
        <f aca="false">PROPER(TRIM(Raw_Data!N18))</f>
        <v>No</v>
      </c>
      <c r="M18" s="13" t="n">
        <f aca="false">IF(C18="",0,1)</f>
        <v>0</v>
      </c>
      <c r="N18" s="13" t="str">
        <f aca="false">IF(M18=0,"Active",IF(TRIM(Raw_Data!L18)="","Unknown",PROPER(TRIM(Raw_Data!L18))))</f>
        <v>Active</v>
      </c>
      <c r="O18" s="13" t="str">
        <f aca="false">IF(M18=0,"",IF(TRIM(Raw_Data!M18)="","Not Recorded",TRIM(Raw_Data!M18)))</f>
        <v/>
      </c>
      <c r="P18" s="16" t="n">
        <f aca="false">ROUND((IF(C18="",AsOfDate,C18)-B18)/365.25,2)</f>
        <v>13.76</v>
      </c>
      <c r="Q18" s="13" t="str">
        <f aca="false">IF(D18="","Unknown",IF(D18&lt;25,"Under 25",IF(D18&lt;35,"25-34",IF(D18&lt;45,"35-44",IF(D18&lt;55,"45-54","55+")))))</f>
        <v>35-44</v>
      </c>
      <c r="R18" s="13" t="str">
        <f aca="false">IF(P18&lt;1,"0-1 yrs",IF(P18&lt;3,"1-3 yrs",IF(P18&lt;5,"3-5 yrs",IF(P18&lt;10,"5-10 yrs","10+ yrs"))))</f>
        <v>10+ yrs</v>
      </c>
      <c r="S18" s="13" t="str">
        <f aca="false">IF(I18&gt;=4,"High",IF(I18=3,"Medium","Low"))</f>
        <v>High</v>
      </c>
      <c r="T18" s="13" t="str">
        <f aca="false">IF(M18=1,YEAR(C18),"")</f>
        <v/>
      </c>
      <c r="U18" s="13" t="str">
        <f aca="false">IF(M18=1,YEAR(C18)&amp;"-Q"&amp;ROUNDUP(MONTH(C18)/3,0),"")</f>
        <v/>
      </c>
      <c r="V18" s="13" t="str">
        <f aca="false">IF(M18=1,MONTH(C18),"")</f>
        <v/>
      </c>
    </row>
    <row r="19" customFormat="false" ht="15" hidden="false" customHeight="false" outlineLevel="0" collapsed="false">
      <c r="A19" s="13" t="str">
        <f aca="false">TRIM(Raw_Data!A19)</f>
        <v>EMP0018</v>
      </c>
      <c r="B19" s="14" t="n">
        <f aca="false">Raw_Data!B19</f>
        <v>41016</v>
      </c>
      <c r="C19" s="14" t="str">
        <f aca="false">IF(Raw_Data!C19="","",Raw_Data!C19)</f>
        <v/>
      </c>
      <c r="D19" s="13" t="n">
        <f aca="false">IF(Raw_Data!D19="","",Raw_Data!D19)</f>
        <v>47</v>
      </c>
      <c r="E19" s="13" t="str">
        <f aca="false">IF(UPPER(LEFT(TRIM(Raw_Data!E19),1))="M","Male",IF(UPPER(LEFT(TRIM(Raw_Data!E19),1))="F","Female","Unknown"))</f>
        <v>Female</v>
      </c>
      <c r="F19" s="13" t="str">
        <f aca="false">PROPER(TRIM(SUBSTITUTE(Raw_Data!F19,"'","")))</f>
        <v>Masters</v>
      </c>
      <c r="G19" s="13" t="str">
        <f aca="false">PROPER(TRIM(Raw_Data!G19))</f>
        <v>Operations</v>
      </c>
      <c r="H19" s="13" t="str">
        <f aca="false">PROPER(TRIM(Raw_Data!H19))</f>
        <v>Analyst</v>
      </c>
      <c r="I19" s="13" t="n">
        <f aca="false">IF(Raw_Data!I19="",DefaultPerf,Raw_Data!I19)</f>
        <v>5</v>
      </c>
      <c r="J19" s="13" t="n">
        <f aca="false">IF(Raw_Data!J19="",DefaultSat,Raw_Data!J19)</f>
        <v>3</v>
      </c>
      <c r="K19" s="15" t="n">
        <f aca="false">Raw_Data!K19</f>
        <v>82000</v>
      </c>
      <c r="L19" s="13" t="str">
        <f aca="false">PROPER(TRIM(Raw_Data!N19))</f>
        <v>Yes</v>
      </c>
      <c r="M19" s="13" t="n">
        <f aca="false">IF(C19="",0,1)</f>
        <v>0</v>
      </c>
      <c r="N19" s="13" t="str">
        <f aca="false">IF(M19=0,"Active",IF(TRIM(Raw_Data!L19)="","Unknown",PROPER(TRIM(Raw_Data!L19))))</f>
        <v>Active</v>
      </c>
      <c r="O19" s="13" t="str">
        <f aca="false">IF(M19=0,"",IF(TRIM(Raw_Data!M19)="","Not Recorded",TRIM(Raw_Data!M19)))</f>
        <v/>
      </c>
      <c r="P19" s="16" t="n">
        <f aca="false">ROUND((IF(C19="",AsOfDate,C19)-B19)/365.25,2)</f>
        <v>13.71</v>
      </c>
      <c r="Q19" s="13" t="str">
        <f aca="false">IF(D19="","Unknown",IF(D19&lt;25,"Under 25",IF(D19&lt;35,"25-34",IF(D19&lt;45,"35-44",IF(D19&lt;55,"45-54","55+")))))</f>
        <v>45-54</v>
      </c>
      <c r="R19" s="13" t="str">
        <f aca="false">IF(P19&lt;1,"0-1 yrs",IF(P19&lt;3,"1-3 yrs",IF(P19&lt;5,"3-5 yrs",IF(P19&lt;10,"5-10 yrs","10+ yrs"))))</f>
        <v>10+ yrs</v>
      </c>
      <c r="S19" s="13" t="str">
        <f aca="false">IF(I19&gt;=4,"High",IF(I19=3,"Medium","Low"))</f>
        <v>High</v>
      </c>
      <c r="T19" s="13" t="str">
        <f aca="false">IF(M19=1,YEAR(C19),"")</f>
        <v/>
      </c>
      <c r="U19" s="13" t="str">
        <f aca="false">IF(M19=1,YEAR(C19)&amp;"-Q"&amp;ROUNDUP(MONTH(C19)/3,0),"")</f>
        <v/>
      </c>
      <c r="V19" s="13" t="str">
        <f aca="false">IF(M19=1,MONTH(C19),"")</f>
        <v/>
      </c>
    </row>
    <row r="20" customFormat="false" ht="15" hidden="false" customHeight="false" outlineLevel="0" collapsed="false">
      <c r="A20" s="13" t="str">
        <f aca="false">TRIM(Raw_Data!A20)</f>
        <v>EMP0019</v>
      </c>
      <c r="B20" s="14" t="n">
        <f aca="false">Raw_Data!B20</f>
        <v>41018</v>
      </c>
      <c r="C20" s="14" t="str">
        <f aca="false">IF(Raw_Data!C20="","",Raw_Data!C20)</f>
        <v/>
      </c>
      <c r="D20" s="13" t="n">
        <f aca="false">IF(Raw_Data!D20="","",Raw_Data!D20)</f>
        <v>43</v>
      </c>
      <c r="E20" s="13" t="str">
        <f aca="false">IF(UPPER(LEFT(TRIM(Raw_Data!E20),1))="M","Male",IF(UPPER(LEFT(TRIM(Raw_Data!E20),1))="F","Female","Unknown"))</f>
        <v>Male</v>
      </c>
      <c r="F20" s="13" t="str">
        <f aca="false">PROPER(TRIM(SUBSTITUTE(Raw_Data!F20,"'","")))</f>
        <v>Diploma</v>
      </c>
      <c r="G20" s="13" t="str">
        <f aca="false">PROPER(TRIM(Raw_Data!G20))</f>
        <v>Sales</v>
      </c>
      <c r="H20" s="13" t="str">
        <f aca="false">PROPER(TRIM(Raw_Data!H20))</f>
        <v>Analyst</v>
      </c>
      <c r="I20" s="13" t="n">
        <f aca="false">IF(Raw_Data!I20="",DefaultPerf,Raw_Data!I20)</f>
        <v>3</v>
      </c>
      <c r="J20" s="13" t="n">
        <f aca="false">IF(Raw_Data!J20="",DefaultSat,Raw_Data!J20)</f>
        <v>2</v>
      </c>
      <c r="K20" s="15" t="n">
        <f aca="false">Raw_Data!K20</f>
        <v>71500</v>
      </c>
      <c r="L20" s="13" t="str">
        <f aca="false">PROPER(TRIM(Raw_Data!N20))</f>
        <v>No</v>
      </c>
      <c r="M20" s="13" t="n">
        <f aca="false">IF(C20="",0,1)</f>
        <v>0</v>
      </c>
      <c r="N20" s="13" t="str">
        <f aca="false">IF(M20=0,"Active",IF(TRIM(Raw_Data!L20)="","Unknown",PROPER(TRIM(Raw_Data!L20))))</f>
        <v>Active</v>
      </c>
      <c r="O20" s="13" t="str">
        <f aca="false">IF(M20=0,"",IF(TRIM(Raw_Data!M20)="","Not Recorded",TRIM(Raw_Data!M20)))</f>
        <v/>
      </c>
      <c r="P20" s="16" t="n">
        <f aca="false">ROUND((IF(C20="",AsOfDate,C20)-B20)/365.25,2)</f>
        <v>13.7</v>
      </c>
      <c r="Q20" s="13" t="str">
        <f aca="false">IF(D20="","Unknown",IF(D20&lt;25,"Under 25",IF(D20&lt;35,"25-34",IF(D20&lt;45,"35-44",IF(D20&lt;55,"45-54","55+")))))</f>
        <v>35-44</v>
      </c>
      <c r="R20" s="13" t="str">
        <f aca="false">IF(P20&lt;1,"0-1 yrs",IF(P20&lt;3,"1-3 yrs",IF(P20&lt;5,"3-5 yrs",IF(P20&lt;10,"5-10 yrs","10+ yrs"))))</f>
        <v>10+ yrs</v>
      </c>
      <c r="S20" s="13" t="str">
        <f aca="false">IF(I20&gt;=4,"High",IF(I20=3,"Medium","Low"))</f>
        <v>Medium</v>
      </c>
      <c r="T20" s="13" t="str">
        <f aca="false">IF(M20=1,YEAR(C20),"")</f>
        <v/>
      </c>
      <c r="U20" s="13" t="str">
        <f aca="false">IF(M20=1,YEAR(C20)&amp;"-Q"&amp;ROUNDUP(MONTH(C20)/3,0),"")</f>
        <v/>
      </c>
      <c r="V20" s="13" t="str">
        <f aca="false">IF(M20=1,MONTH(C20),"")</f>
        <v/>
      </c>
    </row>
    <row r="21" customFormat="false" ht="15" hidden="false" customHeight="false" outlineLevel="0" collapsed="false">
      <c r="A21" s="13" t="str">
        <f aca="false">TRIM(Raw_Data!A21)</f>
        <v>EMP0020</v>
      </c>
      <c r="B21" s="14" t="n">
        <f aca="false">Raw_Data!B21</f>
        <v>41021</v>
      </c>
      <c r="C21" s="14" t="str">
        <f aca="false">IF(Raw_Data!C21="","",Raw_Data!C21)</f>
        <v/>
      </c>
      <c r="D21" s="13" t="n">
        <f aca="false">IF(Raw_Data!D21="","",Raw_Data!D21)</f>
        <v>37</v>
      </c>
      <c r="E21" s="13" t="str">
        <f aca="false">IF(UPPER(LEFT(TRIM(Raw_Data!E21),1))="M","Male",IF(UPPER(LEFT(TRIM(Raw_Data!E21),1))="F","Female","Unknown"))</f>
        <v>Male</v>
      </c>
      <c r="F21" s="13" t="str">
        <f aca="false">PROPER(TRIM(SUBSTITUTE(Raw_Data!F21,"'","")))</f>
        <v>High School</v>
      </c>
      <c r="G21" s="13" t="str">
        <f aca="false">PROPER(TRIM(Raw_Data!G21))</f>
        <v>Engineering</v>
      </c>
      <c r="H21" s="13" t="str">
        <f aca="false">PROPER(TRIM(Raw_Data!H21))</f>
        <v>Analyst</v>
      </c>
      <c r="I21" s="13" t="n">
        <f aca="false">IF(Raw_Data!I21="",DefaultPerf,Raw_Data!I21)</f>
        <v>4</v>
      </c>
      <c r="J21" s="13" t="n">
        <f aca="false">IF(Raw_Data!J21="",DefaultSat,Raw_Data!J21)</f>
        <v>4</v>
      </c>
      <c r="K21" s="15" t="n">
        <f aca="false">Raw_Data!K21</f>
        <v>92500</v>
      </c>
      <c r="L21" s="13" t="str">
        <f aca="false">PROPER(TRIM(Raw_Data!N21))</f>
        <v>Yes</v>
      </c>
      <c r="M21" s="13" t="n">
        <f aca="false">IF(C21="",0,1)</f>
        <v>0</v>
      </c>
      <c r="N21" s="13" t="str">
        <f aca="false">IF(M21=0,"Active",IF(TRIM(Raw_Data!L21)="","Unknown",PROPER(TRIM(Raw_Data!L21))))</f>
        <v>Active</v>
      </c>
      <c r="O21" s="13" t="str">
        <f aca="false">IF(M21=0,"",IF(TRIM(Raw_Data!M21)="","Not Recorded",TRIM(Raw_Data!M21)))</f>
        <v/>
      </c>
      <c r="P21" s="16" t="n">
        <f aca="false">ROUND((IF(C21="",AsOfDate,C21)-B21)/365.25,2)</f>
        <v>13.69</v>
      </c>
      <c r="Q21" s="13" t="str">
        <f aca="false">IF(D21="","Unknown",IF(D21&lt;25,"Under 25",IF(D21&lt;35,"25-34",IF(D21&lt;45,"35-44",IF(D21&lt;55,"45-54","55+")))))</f>
        <v>35-44</v>
      </c>
      <c r="R21" s="13" t="str">
        <f aca="false">IF(P21&lt;1,"0-1 yrs",IF(P21&lt;3,"1-3 yrs",IF(P21&lt;5,"3-5 yrs",IF(P21&lt;10,"5-10 yrs","10+ yrs"))))</f>
        <v>10+ yrs</v>
      </c>
      <c r="S21" s="13" t="str">
        <f aca="false">IF(I21&gt;=4,"High",IF(I21=3,"Medium","Low"))</f>
        <v>High</v>
      </c>
      <c r="T21" s="13" t="str">
        <f aca="false">IF(M21=1,YEAR(C21),"")</f>
        <v/>
      </c>
      <c r="U21" s="13" t="str">
        <f aca="false">IF(M21=1,YEAR(C21)&amp;"-Q"&amp;ROUNDUP(MONTH(C21)/3,0),"")</f>
        <v/>
      </c>
      <c r="V21" s="13" t="str">
        <f aca="false">IF(M21=1,MONTH(C21),"")</f>
        <v/>
      </c>
    </row>
    <row r="22" customFormat="false" ht="15" hidden="false" customHeight="false" outlineLevel="0" collapsed="false">
      <c r="A22" s="13" t="str">
        <f aca="false">TRIM(Raw_Data!A22)</f>
        <v>EMP0021</v>
      </c>
      <c r="B22" s="14" t="n">
        <f aca="false">Raw_Data!B22</f>
        <v>41030</v>
      </c>
      <c r="C22" s="14" t="str">
        <f aca="false">IF(Raw_Data!C22="","",Raw_Data!C22)</f>
        <v/>
      </c>
      <c r="D22" s="13" t="n">
        <f aca="false">IF(Raw_Data!D22="","",Raw_Data!D22)</f>
        <v>44</v>
      </c>
      <c r="E22" s="13" t="str">
        <f aca="false">IF(UPPER(LEFT(TRIM(Raw_Data!E22),1))="M","Male",IF(UPPER(LEFT(TRIM(Raw_Data!E22),1))="F","Female","Unknown"))</f>
        <v>Male</v>
      </c>
      <c r="F22" s="13" t="str">
        <f aca="false">PROPER(TRIM(SUBSTITUTE(Raw_Data!F22,"'","")))</f>
        <v>Masters</v>
      </c>
      <c r="G22" s="13" t="str">
        <f aca="false">PROPER(TRIM(Raw_Data!G22))</f>
        <v>Operations</v>
      </c>
      <c r="H22" s="13" t="str">
        <f aca="false">PROPER(TRIM(Raw_Data!H22))</f>
        <v>Specialist</v>
      </c>
      <c r="I22" s="13" t="n">
        <f aca="false">IF(Raw_Data!I22="",DefaultPerf,Raw_Data!I22)</f>
        <v>3</v>
      </c>
      <c r="J22" s="13" t="n">
        <f aca="false">IF(Raw_Data!J22="",DefaultSat,Raw_Data!J22)</f>
        <v>1</v>
      </c>
      <c r="K22" s="15" t="n">
        <f aca="false">Raw_Data!K22</f>
        <v>124000</v>
      </c>
      <c r="L22" s="13" t="str">
        <f aca="false">PROPER(TRIM(Raw_Data!N22))</f>
        <v>No</v>
      </c>
      <c r="M22" s="13" t="n">
        <f aca="false">IF(C22="",0,1)</f>
        <v>0</v>
      </c>
      <c r="N22" s="13" t="str">
        <f aca="false">IF(M22=0,"Active",IF(TRIM(Raw_Data!L22)="","Unknown",PROPER(TRIM(Raw_Data!L22))))</f>
        <v>Active</v>
      </c>
      <c r="O22" s="13" t="str">
        <f aca="false">IF(M22=0,"",IF(TRIM(Raw_Data!M22)="","Not Recorded",TRIM(Raw_Data!M22)))</f>
        <v/>
      </c>
      <c r="P22" s="16" t="n">
        <f aca="false">ROUND((IF(C22="",AsOfDate,C22)-B22)/365.25,2)</f>
        <v>13.67</v>
      </c>
      <c r="Q22" s="13" t="str">
        <f aca="false">IF(D22="","Unknown",IF(D22&lt;25,"Under 25",IF(D22&lt;35,"25-34",IF(D22&lt;45,"35-44",IF(D22&lt;55,"45-54","55+")))))</f>
        <v>35-44</v>
      </c>
      <c r="R22" s="13" t="str">
        <f aca="false">IF(P22&lt;1,"0-1 yrs",IF(P22&lt;3,"1-3 yrs",IF(P22&lt;5,"3-5 yrs",IF(P22&lt;10,"5-10 yrs","10+ yrs"))))</f>
        <v>10+ yrs</v>
      </c>
      <c r="S22" s="13" t="str">
        <f aca="false">IF(I22&gt;=4,"High",IF(I22=3,"Medium","Low"))</f>
        <v>Medium</v>
      </c>
      <c r="T22" s="13" t="str">
        <f aca="false">IF(M22=1,YEAR(C22),"")</f>
        <v/>
      </c>
      <c r="U22" s="13" t="str">
        <f aca="false">IF(M22=1,YEAR(C22)&amp;"-Q"&amp;ROUNDUP(MONTH(C22)/3,0),"")</f>
        <v/>
      </c>
      <c r="V22" s="13" t="str">
        <f aca="false">IF(M22=1,MONTH(C22),"")</f>
        <v/>
      </c>
    </row>
    <row r="23" customFormat="false" ht="15" hidden="false" customHeight="false" outlineLevel="0" collapsed="false">
      <c r="A23" s="13" t="str">
        <f aca="false">TRIM(Raw_Data!A23)</f>
        <v>EMP0022</v>
      </c>
      <c r="B23" s="14" t="n">
        <f aca="false">Raw_Data!B23</f>
        <v>41033</v>
      </c>
      <c r="C23" s="14" t="n">
        <f aca="false">IF(Raw_Data!C23="","",Raw_Data!C23)</f>
        <v>45675</v>
      </c>
      <c r="D23" s="13" t="n">
        <f aca="false">IF(Raw_Data!D23="","",Raw_Data!D23)</f>
        <v>47</v>
      </c>
      <c r="E23" s="13" t="str">
        <f aca="false">IF(UPPER(LEFT(TRIM(Raw_Data!E23),1))="M","Male",IF(UPPER(LEFT(TRIM(Raw_Data!E23),1))="F","Female","Unknown"))</f>
        <v>Female</v>
      </c>
      <c r="F23" s="13" t="str">
        <f aca="false">PROPER(TRIM(SUBSTITUTE(Raw_Data!F23,"'","")))</f>
        <v>Bachelors</v>
      </c>
      <c r="G23" s="13" t="str">
        <f aca="false">PROPER(TRIM(Raw_Data!G23))</f>
        <v>Finance</v>
      </c>
      <c r="H23" s="13" t="str">
        <f aca="false">PROPER(TRIM(Raw_Data!H23))</f>
        <v>Manager</v>
      </c>
      <c r="I23" s="13" t="n">
        <f aca="false">IF(Raw_Data!I23="",DefaultPerf,Raw_Data!I23)</f>
        <v>3</v>
      </c>
      <c r="J23" s="13" t="n">
        <f aca="false">IF(Raw_Data!J23="",DefaultSat,Raw_Data!J23)</f>
        <v>3</v>
      </c>
      <c r="K23" s="15" t="n">
        <f aca="false">Raw_Data!K23</f>
        <v>225000</v>
      </c>
      <c r="L23" s="13" t="str">
        <f aca="false">PROPER(TRIM(Raw_Data!N23))</f>
        <v>Yes</v>
      </c>
      <c r="M23" s="13" t="n">
        <f aca="false">IF(C23="",0,1)</f>
        <v>1</v>
      </c>
      <c r="N23" s="13" t="str">
        <f aca="false">IF(M23=0,"Active",IF(TRIM(Raw_Data!L23)="","Unknown",PROPER(TRIM(Raw_Data!L23))))</f>
        <v>Voluntary</v>
      </c>
      <c r="O23" s="13" t="str">
        <f aca="false">IF(M23=0,"",IF(TRIM(Raw_Data!M23)="","Not Recorded",TRIM(Raw_Data!M23)))</f>
        <v>Job Dissatisfaction</v>
      </c>
      <c r="P23" s="16" t="n">
        <f aca="false">ROUND((IF(C23="",AsOfDate,C23)-B23)/365.25,2)</f>
        <v>12.71</v>
      </c>
      <c r="Q23" s="13" t="str">
        <f aca="false">IF(D23="","Unknown",IF(D23&lt;25,"Under 25",IF(D23&lt;35,"25-34",IF(D23&lt;45,"35-44",IF(D23&lt;55,"45-54","55+")))))</f>
        <v>45-54</v>
      </c>
      <c r="R23" s="13" t="str">
        <f aca="false">IF(P23&lt;1,"0-1 yrs",IF(P23&lt;3,"1-3 yrs",IF(P23&lt;5,"3-5 yrs",IF(P23&lt;10,"5-10 yrs","10+ yrs"))))</f>
        <v>10+ yrs</v>
      </c>
      <c r="S23" s="13" t="str">
        <f aca="false">IF(I23&gt;=4,"High",IF(I23=3,"Medium","Low"))</f>
        <v>Medium</v>
      </c>
      <c r="T23" s="13" t="n">
        <f aca="false">IF(M23=1,YEAR(C23),"")</f>
        <v>2025</v>
      </c>
      <c r="U23" s="13" t="str">
        <f aca="false">IF(M23=1,YEAR(C23)&amp;"-Q"&amp;ROUNDUP(MONTH(C23)/3,0),"")</f>
        <v>2025-Q1</v>
      </c>
      <c r="V23" s="13" t="n">
        <f aca="false">IF(M23=1,MONTH(C23),"")</f>
        <v>1</v>
      </c>
    </row>
    <row r="24" customFormat="false" ht="15" hidden="false" customHeight="false" outlineLevel="0" collapsed="false">
      <c r="A24" s="13" t="str">
        <f aca="false">TRIM(Raw_Data!A24)</f>
        <v>EMP0023</v>
      </c>
      <c r="B24" s="14" t="n">
        <f aca="false">Raw_Data!B24</f>
        <v>41036</v>
      </c>
      <c r="C24" s="14" t="n">
        <f aca="false">IF(Raw_Data!C24="","",Raw_Data!C24)</f>
        <v>44655</v>
      </c>
      <c r="D24" s="13" t="n">
        <f aca="false">IF(Raw_Data!D24="","",Raw_Data!D24)</f>
        <v>39</v>
      </c>
      <c r="E24" s="13" t="str">
        <f aca="false">IF(UPPER(LEFT(TRIM(Raw_Data!E24),1))="M","Male",IF(UPPER(LEFT(TRIM(Raw_Data!E24),1))="F","Female","Unknown"))</f>
        <v>Male</v>
      </c>
      <c r="F24" s="13" t="str">
        <f aca="false">PROPER(TRIM(SUBSTITUTE(Raw_Data!F24,"'","")))</f>
        <v>High School</v>
      </c>
      <c r="G24" s="13" t="str">
        <f aca="false">PROPER(TRIM(Raw_Data!G24))</f>
        <v>Operations</v>
      </c>
      <c r="H24" s="13" t="str">
        <f aca="false">PROPER(TRIM(Raw_Data!H24))</f>
        <v>Analyst</v>
      </c>
      <c r="I24" s="13" t="n">
        <f aca="false">IF(Raw_Data!I24="",DefaultPerf,Raw_Data!I24)</f>
        <v>3</v>
      </c>
      <c r="J24" s="13" t="n">
        <f aca="false">IF(Raw_Data!J24="",DefaultSat,Raw_Data!J24)</f>
        <v>2</v>
      </c>
      <c r="K24" s="15" t="n">
        <f aca="false">Raw_Data!K24</f>
        <v>79500</v>
      </c>
      <c r="L24" s="13" t="str">
        <f aca="false">PROPER(TRIM(Raw_Data!N24))</f>
        <v>No</v>
      </c>
      <c r="M24" s="13" t="n">
        <f aca="false">IF(C24="",0,1)</f>
        <v>1</v>
      </c>
      <c r="N24" s="13" t="str">
        <f aca="false">IF(M24=0,"Active",IF(TRIM(Raw_Data!L24)="","Unknown",PROPER(TRIM(Raw_Data!L24))))</f>
        <v>Voluntary</v>
      </c>
      <c r="O24" s="13" t="str">
        <f aca="false">IF(M24=0,"",IF(TRIM(Raw_Data!M24)="","Not Recorded",TRIM(Raw_Data!M24)))</f>
        <v>Job Dissatisfaction</v>
      </c>
      <c r="P24" s="16" t="n">
        <f aca="false">ROUND((IF(C24="",AsOfDate,C24)-B24)/365.25,2)</f>
        <v>9.91</v>
      </c>
      <c r="Q24" s="13" t="str">
        <f aca="false">IF(D24="","Unknown",IF(D24&lt;25,"Under 25",IF(D24&lt;35,"25-34",IF(D24&lt;45,"35-44",IF(D24&lt;55,"45-54","55+")))))</f>
        <v>35-44</v>
      </c>
      <c r="R24" s="13" t="str">
        <f aca="false">IF(P24&lt;1,"0-1 yrs",IF(P24&lt;3,"1-3 yrs",IF(P24&lt;5,"3-5 yrs",IF(P24&lt;10,"5-10 yrs","10+ yrs"))))</f>
        <v>5-10 yrs</v>
      </c>
      <c r="S24" s="13" t="str">
        <f aca="false">IF(I24&gt;=4,"High",IF(I24=3,"Medium","Low"))</f>
        <v>Medium</v>
      </c>
      <c r="T24" s="13" t="n">
        <f aca="false">IF(M24=1,YEAR(C24),"")</f>
        <v>2022</v>
      </c>
      <c r="U24" s="13" t="str">
        <f aca="false">IF(M24=1,YEAR(C24)&amp;"-Q"&amp;ROUNDUP(MONTH(C24)/3,0),"")</f>
        <v>2022-Q2</v>
      </c>
      <c r="V24" s="13" t="n">
        <f aca="false">IF(M24=1,MONTH(C24),"")</f>
        <v>4</v>
      </c>
    </row>
    <row r="25" customFormat="false" ht="15" hidden="false" customHeight="false" outlineLevel="0" collapsed="false">
      <c r="A25" s="13" t="str">
        <f aca="false">TRIM(Raw_Data!A25)</f>
        <v>EMP0024</v>
      </c>
      <c r="B25" s="14" t="n">
        <f aca="false">Raw_Data!B25</f>
        <v>41038</v>
      </c>
      <c r="C25" s="14" t="str">
        <f aca="false">IF(Raw_Data!C25="","",Raw_Data!C25)</f>
        <v/>
      </c>
      <c r="D25" s="13" t="n">
        <f aca="false">IF(Raw_Data!D25="","",Raw_Data!D25)</f>
        <v>46</v>
      </c>
      <c r="E25" s="13" t="str">
        <f aca="false">IF(UPPER(LEFT(TRIM(Raw_Data!E25),1))="M","Male",IF(UPPER(LEFT(TRIM(Raw_Data!E25),1))="F","Female","Unknown"))</f>
        <v>Female</v>
      </c>
      <c r="F25" s="13" t="str">
        <f aca="false">PROPER(TRIM(SUBSTITUTE(Raw_Data!F25,"'","")))</f>
        <v>Bachelors</v>
      </c>
      <c r="G25" s="13" t="str">
        <f aca="false">PROPER(TRIM(Raw_Data!G25))</f>
        <v>Sales</v>
      </c>
      <c r="H25" s="13" t="str">
        <f aca="false">PROPER(TRIM(Raw_Data!H25))</f>
        <v>Associate</v>
      </c>
      <c r="I25" s="13" t="n">
        <f aca="false">IF(Raw_Data!I25="",DefaultPerf,Raw_Data!I25)</f>
        <v>3</v>
      </c>
      <c r="J25" s="13" t="n">
        <f aca="false">IF(Raw_Data!J25="",DefaultSat,Raw_Data!J25)</f>
        <v>4</v>
      </c>
      <c r="K25" s="15" t="n">
        <f aca="false">Raw_Data!K25</f>
        <v>50000</v>
      </c>
      <c r="L25" s="13" t="str">
        <f aca="false">PROPER(TRIM(Raw_Data!N25))</f>
        <v>No</v>
      </c>
      <c r="M25" s="13" t="n">
        <f aca="false">IF(C25="",0,1)</f>
        <v>0</v>
      </c>
      <c r="N25" s="13" t="str">
        <f aca="false">IF(M25=0,"Active",IF(TRIM(Raw_Data!L25)="","Unknown",PROPER(TRIM(Raw_Data!L25))))</f>
        <v>Active</v>
      </c>
      <c r="O25" s="13" t="str">
        <f aca="false">IF(M25=0,"",IF(TRIM(Raw_Data!M25)="","Not Recorded",TRIM(Raw_Data!M25)))</f>
        <v/>
      </c>
      <c r="P25" s="16" t="n">
        <f aca="false">ROUND((IF(C25="",AsOfDate,C25)-B25)/365.25,2)</f>
        <v>13.65</v>
      </c>
      <c r="Q25" s="13" t="str">
        <f aca="false">IF(D25="","Unknown",IF(D25&lt;25,"Under 25",IF(D25&lt;35,"25-34",IF(D25&lt;45,"35-44",IF(D25&lt;55,"45-54","55+")))))</f>
        <v>45-54</v>
      </c>
      <c r="R25" s="13" t="str">
        <f aca="false">IF(P25&lt;1,"0-1 yrs",IF(P25&lt;3,"1-3 yrs",IF(P25&lt;5,"3-5 yrs",IF(P25&lt;10,"5-10 yrs","10+ yrs"))))</f>
        <v>10+ yrs</v>
      </c>
      <c r="S25" s="13" t="str">
        <f aca="false">IF(I25&gt;=4,"High",IF(I25=3,"Medium","Low"))</f>
        <v>Medium</v>
      </c>
      <c r="T25" s="13" t="str">
        <f aca="false">IF(M25=1,YEAR(C25),"")</f>
        <v/>
      </c>
      <c r="U25" s="13" t="str">
        <f aca="false">IF(M25=1,YEAR(C25)&amp;"-Q"&amp;ROUNDUP(MONTH(C25)/3,0),"")</f>
        <v/>
      </c>
      <c r="V25" s="13" t="str">
        <f aca="false">IF(M25=1,MONTH(C25),"")</f>
        <v/>
      </c>
    </row>
    <row r="26" customFormat="false" ht="15" hidden="false" customHeight="false" outlineLevel="0" collapsed="false">
      <c r="A26" s="13" t="str">
        <f aca="false">TRIM(Raw_Data!A26)</f>
        <v>EMP0025</v>
      </c>
      <c r="B26" s="14" t="n">
        <f aca="false">Raw_Data!B26</f>
        <v>41039</v>
      </c>
      <c r="C26" s="14" t="str">
        <f aca="false">IF(Raw_Data!C26="","",Raw_Data!C26)</f>
        <v/>
      </c>
      <c r="D26" s="13" t="n">
        <f aca="false">IF(Raw_Data!D26="","",Raw_Data!D26)</f>
        <v>40</v>
      </c>
      <c r="E26" s="13" t="str">
        <f aca="false">IF(UPPER(LEFT(TRIM(Raw_Data!E26),1))="M","Male",IF(UPPER(LEFT(TRIM(Raw_Data!E26),1))="F","Female","Unknown"))</f>
        <v>Male</v>
      </c>
      <c r="F26" s="13" t="str">
        <f aca="false">PROPER(TRIM(SUBSTITUTE(Raw_Data!F26,"'","")))</f>
        <v>Masters</v>
      </c>
      <c r="G26" s="13" t="str">
        <f aca="false">PROPER(TRIM(Raw_Data!G26))</f>
        <v>Sales</v>
      </c>
      <c r="H26" s="13" t="str">
        <f aca="false">PROPER(TRIM(Raw_Data!H26))</f>
        <v>Analyst</v>
      </c>
      <c r="I26" s="13" t="n">
        <f aca="false">IF(Raw_Data!I26="",DefaultPerf,Raw_Data!I26)</f>
        <v>3</v>
      </c>
      <c r="J26" s="13" t="n">
        <f aca="false">IF(Raw_Data!J26="",DefaultSat,Raw_Data!J26)</f>
        <v>2</v>
      </c>
      <c r="K26" s="15" t="n">
        <f aca="false">Raw_Data!K26</f>
        <v>74000</v>
      </c>
      <c r="L26" s="13" t="str">
        <f aca="false">PROPER(TRIM(Raw_Data!N26))</f>
        <v>No</v>
      </c>
      <c r="M26" s="13" t="n">
        <f aca="false">IF(C26="",0,1)</f>
        <v>0</v>
      </c>
      <c r="N26" s="13" t="str">
        <f aca="false">IF(M26=0,"Active",IF(TRIM(Raw_Data!L26)="","Unknown",PROPER(TRIM(Raw_Data!L26))))</f>
        <v>Active</v>
      </c>
      <c r="O26" s="13" t="str">
        <f aca="false">IF(M26=0,"",IF(TRIM(Raw_Data!M26)="","Not Recorded",TRIM(Raw_Data!M26)))</f>
        <v/>
      </c>
      <c r="P26" s="16" t="n">
        <f aca="false">ROUND((IF(C26="",AsOfDate,C26)-B26)/365.25,2)</f>
        <v>13.64</v>
      </c>
      <c r="Q26" s="13" t="str">
        <f aca="false">IF(D26="","Unknown",IF(D26&lt;25,"Under 25",IF(D26&lt;35,"25-34",IF(D26&lt;45,"35-44",IF(D26&lt;55,"45-54","55+")))))</f>
        <v>35-44</v>
      </c>
      <c r="R26" s="13" t="str">
        <f aca="false">IF(P26&lt;1,"0-1 yrs",IF(P26&lt;3,"1-3 yrs",IF(P26&lt;5,"3-5 yrs",IF(P26&lt;10,"5-10 yrs","10+ yrs"))))</f>
        <v>10+ yrs</v>
      </c>
      <c r="S26" s="13" t="str">
        <f aca="false">IF(I26&gt;=4,"High",IF(I26=3,"Medium","Low"))</f>
        <v>Medium</v>
      </c>
      <c r="T26" s="13" t="str">
        <f aca="false">IF(M26=1,YEAR(C26),"")</f>
        <v/>
      </c>
      <c r="U26" s="13" t="str">
        <f aca="false">IF(M26=1,YEAR(C26)&amp;"-Q"&amp;ROUNDUP(MONTH(C26)/3,0),"")</f>
        <v/>
      </c>
      <c r="V26" s="13" t="str">
        <f aca="false">IF(M26=1,MONTH(C26),"")</f>
        <v/>
      </c>
    </row>
    <row r="27" customFormat="false" ht="15" hidden="false" customHeight="false" outlineLevel="0" collapsed="false">
      <c r="A27" s="13" t="str">
        <f aca="false">TRIM(Raw_Data!A27)</f>
        <v>EMP0026</v>
      </c>
      <c r="B27" s="14" t="n">
        <f aca="false">Raw_Data!B27</f>
        <v>41041</v>
      </c>
      <c r="C27" s="14" t="str">
        <f aca="false">IF(Raw_Data!C27="","",Raw_Data!C27)</f>
        <v/>
      </c>
      <c r="D27" s="13" t="n">
        <f aca="false">IF(Raw_Data!D27="","",Raw_Data!D27)</f>
        <v>35</v>
      </c>
      <c r="E27" s="13" t="str">
        <f aca="false">IF(UPPER(LEFT(TRIM(Raw_Data!E27),1))="M","Male",IF(UPPER(LEFT(TRIM(Raw_Data!E27),1))="F","Female","Unknown"))</f>
        <v>Female</v>
      </c>
      <c r="F27" s="13" t="str">
        <f aca="false">PROPER(TRIM(SUBSTITUTE(Raw_Data!F27,"'","")))</f>
        <v>Diploma</v>
      </c>
      <c r="G27" s="13" t="str">
        <f aca="false">PROPER(TRIM(Raw_Data!G27))</f>
        <v>Sales</v>
      </c>
      <c r="H27" s="13" t="str">
        <f aca="false">PROPER(TRIM(Raw_Data!H27))</f>
        <v>Manager</v>
      </c>
      <c r="I27" s="13" t="n">
        <f aca="false">IF(Raw_Data!I27="",DefaultPerf,Raw_Data!I27)</f>
        <v>3</v>
      </c>
      <c r="J27" s="13" t="n">
        <f aca="false">IF(Raw_Data!J27="",DefaultSat,Raw_Data!J27)</f>
        <v>4</v>
      </c>
      <c r="K27" s="15" t="n">
        <f aca="false">Raw_Data!K27</f>
        <v>249000</v>
      </c>
      <c r="L27" s="13" t="str">
        <f aca="false">PROPER(TRIM(Raw_Data!N27))</f>
        <v>No</v>
      </c>
      <c r="M27" s="13" t="n">
        <f aca="false">IF(C27="",0,1)</f>
        <v>0</v>
      </c>
      <c r="N27" s="13" t="str">
        <f aca="false">IF(M27=0,"Active",IF(TRIM(Raw_Data!L27)="","Unknown",PROPER(TRIM(Raw_Data!L27))))</f>
        <v>Active</v>
      </c>
      <c r="O27" s="13" t="str">
        <f aca="false">IF(M27=0,"",IF(TRIM(Raw_Data!M27)="","Not Recorded",TRIM(Raw_Data!M27)))</f>
        <v/>
      </c>
      <c r="P27" s="16" t="n">
        <f aca="false">ROUND((IF(C27="",AsOfDate,C27)-B27)/365.25,2)</f>
        <v>13.64</v>
      </c>
      <c r="Q27" s="13" t="str">
        <f aca="false">IF(D27="","Unknown",IF(D27&lt;25,"Under 25",IF(D27&lt;35,"25-34",IF(D27&lt;45,"35-44",IF(D27&lt;55,"45-54","55+")))))</f>
        <v>35-44</v>
      </c>
      <c r="R27" s="13" t="str">
        <f aca="false">IF(P27&lt;1,"0-1 yrs",IF(P27&lt;3,"1-3 yrs",IF(P27&lt;5,"3-5 yrs",IF(P27&lt;10,"5-10 yrs","10+ yrs"))))</f>
        <v>10+ yrs</v>
      </c>
      <c r="S27" s="13" t="str">
        <f aca="false">IF(I27&gt;=4,"High",IF(I27=3,"Medium","Low"))</f>
        <v>Medium</v>
      </c>
      <c r="T27" s="13" t="str">
        <f aca="false">IF(M27=1,YEAR(C27),"")</f>
        <v/>
      </c>
      <c r="U27" s="13" t="str">
        <f aca="false">IF(M27=1,YEAR(C27)&amp;"-Q"&amp;ROUNDUP(MONTH(C27)/3,0),"")</f>
        <v/>
      </c>
      <c r="V27" s="13" t="str">
        <f aca="false">IF(M27=1,MONTH(C27),"")</f>
        <v/>
      </c>
    </row>
    <row r="28" customFormat="false" ht="15" hidden="false" customHeight="false" outlineLevel="0" collapsed="false">
      <c r="A28" s="13" t="str">
        <f aca="false">TRIM(Raw_Data!A28)</f>
        <v>EMP0027</v>
      </c>
      <c r="B28" s="14" t="n">
        <f aca="false">Raw_Data!B28</f>
        <v>41042</v>
      </c>
      <c r="C28" s="14" t="str">
        <f aca="false">IF(Raw_Data!C28="","",Raw_Data!C28)</f>
        <v/>
      </c>
      <c r="D28" s="13" t="n">
        <f aca="false">IF(Raw_Data!D28="","",Raw_Data!D28)</f>
        <v>36</v>
      </c>
      <c r="E28" s="13" t="str">
        <f aca="false">IF(UPPER(LEFT(TRIM(Raw_Data!E28),1))="M","Male",IF(UPPER(LEFT(TRIM(Raw_Data!E28),1))="F","Female","Unknown"))</f>
        <v>Female</v>
      </c>
      <c r="F28" s="13" t="str">
        <f aca="false">PROPER(TRIM(SUBSTITUTE(Raw_Data!F28,"'","")))</f>
        <v>Masters</v>
      </c>
      <c r="G28" s="13" t="str">
        <f aca="false">PROPER(TRIM(Raw_Data!G28))</f>
        <v>Engineering</v>
      </c>
      <c r="H28" s="13" t="str">
        <f aca="false">PROPER(TRIM(Raw_Data!H28))</f>
        <v>Associate</v>
      </c>
      <c r="I28" s="13" t="n">
        <f aca="false">IF(Raw_Data!I28="",DefaultPerf,Raw_Data!I28)</f>
        <v>3</v>
      </c>
      <c r="J28" s="13" t="n">
        <f aca="false">IF(Raw_Data!J28="",DefaultSat,Raw_Data!J28)</f>
        <v>4</v>
      </c>
      <c r="K28" s="15" t="n">
        <f aca="false">Raw_Data!K28</f>
        <v>54000</v>
      </c>
      <c r="L28" s="13" t="str">
        <f aca="false">PROPER(TRIM(Raw_Data!N28))</f>
        <v>Yes</v>
      </c>
      <c r="M28" s="13" t="n">
        <f aca="false">IF(C28="",0,1)</f>
        <v>0</v>
      </c>
      <c r="N28" s="13" t="str">
        <f aca="false">IF(M28=0,"Active",IF(TRIM(Raw_Data!L28)="","Unknown",PROPER(TRIM(Raw_Data!L28))))</f>
        <v>Active</v>
      </c>
      <c r="O28" s="13" t="str">
        <f aca="false">IF(M28=0,"",IF(TRIM(Raw_Data!M28)="","Not Recorded",TRIM(Raw_Data!M28)))</f>
        <v/>
      </c>
      <c r="P28" s="16" t="n">
        <f aca="false">ROUND((IF(C28="",AsOfDate,C28)-B28)/365.25,2)</f>
        <v>13.63</v>
      </c>
      <c r="Q28" s="13" t="str">
        <f aca="false">IF(D28="","Unknown",IF(D28&lt;25,"Under 25",IF(D28&lt;35,"25-34",IF(D28&lt;45,"35-44",IF(D28&lt;55,"45-54","55+")))))</f>
        <v>35-44</v>
      </c>
      <c r="R28" s="13" t="str">
        <f aca="false">IF(P28&lt;1,"0-1 yrs",IF(P28&lt;3,"1-3 yrs",IF(P28&lt;5,"3-5 yrs",IF(P28&lt;10,"5-10 yrs","10+ yrs"))))</f>
        <v>10+ yrs</v>
      </c>
      <c r="S28" s="13" t="str">
        <f aca="false">IF(I28&gt;=4,"High",IF(I28=3,"Medium","Low"))</f>
        <v>Medium</v>
      </c>
      <c r="T28" s="13" t="str">
        <f aca="false">IF(M28=1,YEAR(C28),"")</f>
        <v/>
      </c>
      <c r="U28" s="13" t="str">
        <f aca="false">IF(M28=1,YEAR(C28)&amp;"-Q"&amp;ROUNDUP(MONTH(C28)/3,0),"")</f>
        <v/>
      </c>
      <c r="V28" s="13" t="str">
        <f aca="false">IF(M28=1,MONTH(C28),"")</f>
        <v/>
      </c>
    </row>
    <row r="29" customFormat="false" ht="15" hidden="false" customHeight="false" outlineLevel="0" collapsed="false">
      <c r="A29" s="13" t="str">
        <f aca="false">TRIM(Raw_Data!A29)</f>
        <v>EMP0028</v>
      </c>
      <c r="B29" s="14" t="n">
        <f aca="false">Raw_Data!B29</f>
        <v>41044</v>
      </c>
      <c r="C29" s="14" t="n">
        <f aca="false">IF(Raw_Data!C29="","",Raw_Data!C29)</f>
        <v>44662</v>
      </c>
      <c r="D29" s="13" t="n">
        <f aca="false">IF(Raw_Data!D29="","",Raw_Data!D29)</f>
        <v>37</v>
      </c>
      <c r="E29" s="13" t="str">
        <f aca="false">IF(UPPER(LEFT(TRIM(Raw_Data!E29),1))="M","Male",IF(UPPER(LEFT(TRIM(Raw_Data!E29),1))="F","Female","Unknown"))</f>
        <v>Male</v>
      </c>
      <c r="F29" s="13" t="str">
        <f aca="false">PROPER(TRIM(SUBSTITUTE(Raw_Data!F29,"'","")))</f>
        <v>Diploma</v>
      </c>
      <c r="G29" s="13" t="str">
        <f aca="false">PROPER(TRIM(Raw_Data!G29))</f>
        <v>Customer Support</v>
      </c>
      <c r="H29" s="13" t="str">
        <f aca="false">PROPER(TRIM(Raw_Data!H29))</f>
        <v>Associate</v>
      </c>
      <c r="I29" s="13" t="n">
        <f aca="false">IF(Raw_Data!I29="",DefaultPerf,Raw_Data!I29)</f>
        <v>5</v>
      </c>
      <c r="J29" s="13" t="n">
        <f aca="false">IF(Raw_Data!J29="",DefaultSat,Raw_Data!J29)</f>
        <v>1</v>
      </c>
      <c r="K29" s="15" t="n">
        <f aca="false">Raw_Data!K29</f>
        <v>53000</v>
      </c>
      <c r="L29" s="13" t="str">
        <f aca="false">PROPER(TRIM(Raw_Data!N29))</f>
        <v>No</v>
      </c>
      <c r="M29" s="13" t="n">
        <f aca="false">IF(C29="",0,1)</f>
        <v>1</v>
      </c>
      <c r="N29" s="13" t="str">
        <f aca="false">IF(M29=0,"Active",IF(TRIM(Raw_Data!L29)="","Unknown",PROPER(TRIM(Raw_Data!L29))))</f>
        <v>Voluntary</v>
      </c>
      <c r="O29" s="13" t="str">
        <f aca="false">IF(M29=0,"",IF(TRIM(Raw_Data!M29)="","Not Recorded",TRIM(Raw_Data!M29)))</f>
        <v>Better Compensation</v>
      </c>
      <c r="P29" s="16" t="n">
        <f aca="false">ROUND((IF(C29="",AsOfDate,C29)-B29)/365.25,2)</f>
        <v>9.91</v>
      </c>
      <c r="Q29" s="13" t="str">
        <f aca="false">IF(D29="","Unknown",IF(D29&lt;25,"Under 25",IF(D29&lt;35,"25-34",IF(D29&lt;45,"35-44",IF(D29&lt;55,"45-54","55+")))))</f>
        <v>35-44</v>
      </c>
      <c r="R29" s="13" t="str">
        <f aca="false">IF(P29&lt;1,"0-1 yrs",IF(P29&lt;3,"1-3 yrs",IF(P29&lt;5,"3-5 yrs",IF(P29&lt;10,"5-10 yrs","10+ yrs"))))</f>
        <v>5-10 yrs</v>
      </c>
      <c r="S29" s="13" t="str">
        <f aca="false">IF(I29&gt;=4,"High",IF(I29=3,"Medium","Low"))</f>
        <v>High</v>
      </c>
      <c r="T29" s="13" t="n">
        <f aca="false">IF(M29=1,YEAR(C29),"")</f>
        <v>2022</v>
      </c>
      <c r="U29" s="13" t="str">
        <f aca="false">IF(M29=1,YEAR(C29)&amp;"-Q"&amp;ROUNDUP(MONTH(C29)/3,0),"")</f>
        <v>2022-Q2</v>
      </c>
      <c r="V29" s="13" t="n">
        <f aca="false">IF(M29=1,MONTH(C29),"")</f>
        <v>4</v>
      </c>
    </row>
    <row r="30" customFormat="false" ht="15" hidden="false" customHeight="false" outlineLevel="0" collapsed="false">
      <c r="A30" s="13" t="str">
        <f aca="false">TRIM(Raw_Data!A30)</f>
        <v>EMP0029</v>
      </c>
      <c r="B30" s="14" t="n">
        <f aca="false">Raw_Data!B30</f>
        <v>41048</v>
      </c>
      <c r="C30" s="14" t="n">
        <f aca="false">IF(Raw_Data!C30="","",Raw_Data!C30)</f>
        <v>45567</v>
      </c>
      <c r="D30" s="13" t="n">
        <f aca="false">IF(Raw_Data!D30="","",Raw_Data!D30)</f>
        <v>42</v>
      </c>
      <c r="E30" s="13" t="str">
        <f aca="false">IF(UPPER(LEFT(TRIM(Raw_Data!E30),1))="M","Male",IF(UPPER(LEFT(TRIM(Raw_Data!E30),1))="F","Female","Unknown"))</f>
        <v>Male</v>
      </c>
      <c r="F30" s="13" t="str">
        <f aca="false">PROPER(TRIM(SUBSTITUTE(Raw_Data!F30,"'","")))</f>
        <v>Bachelors</v>
      </c>
      <c r="G30" s="13" t="str">
        <f aca="false">PROPER(TRIM(Raw_Data!G30))</f>
        <v>Sales</v>
      </c>
      <c r="H30" s="13" t="str">
        <f aca="false">PROPER(TRIM(Raw_Data!H30))</f>
        <v>Associate</v>
      </c>
      <c r="I30" s="13" t="n">
        <f aca="false">IF(Raw_Data!I30="",DefaultPerf,Raw_Data!I30)</f>
        <v>3</v>
      </c>
      <c r="J30" s="13" t="n">
        <f aca="false">IF(Raw_Data!J30="",DefaultSat,Raw_Data!J30)</f>
        <v>1</v>
      </c>
      <c r="K30" s="15" t="n">
        <f aca="false">Raw_Data!K30</f>
        <v>42500</v>
      </c>
      <c r="L30" s="13" t="str">
        <f aca="false">PROPER(TRIM(Raw_Data!N30))</f>
        <v>No</v>
      </c>
      <c r="M30" s="13" t="n">
        <f aca="false">IF(C30="",0,1)</f>
        <v>1</v>
      </c>
      <c r="N30" s="13" t="str">
        <f aca="false">IF(M30=0,"Active",IF(TRIM(Raw_Data!L30)="","Unknown",PROPER(TRIM(Raw_Data!L30))))</f>
        <v>Voluntary</v>
      </c>
      <c r="O30" s="13" t="str">
        <f aca="false">IF(M30=0,"",IF(TRIM(Raw_Data!M30)="","Not Recorded",TRIM(Raw_Data!M30)))</f>
        <v>Manager Issues</v>
      </c>
      <c r="P30" s="16" t="n">
        <f aca="false">ROUND((IF(C30="",AsOfDate,C30)-B30)/365.25,2)</f>
        <v>12.37</v>
      </c>
      <c r="Q30" s="13" t="str">
        <f aca="false">IF(D30="","Unknown",IF(D30&lt;25,"Under 25",IF(D30&lt;35,"25-34",IF(D30&lt;45,"35-44",IF(D30&lt;55,"45-54","55+")))))</f>
        <v>35-44</v>
      </c>
      <c r="R30" s="13" t="str">
        <f aca="false">IF(P30&lt;1,"0-1 yrs",IF(P30&lt;3,"1-3 yrs",IF(P30&lt;5,"3-5 yrs",IF(P30&lt;10,"5-10 yrs","10+ yrs"))))</f>
        <v>10+ yrs</v>
      </c>
      <c r="S30" s="13" t="str">
        <f aca="false">IF(I30&gt;=4,"High",IF(I30=3,"Medium","Low"))</f>
        <v>Medium</v>
      </c>
      <c r="T30" s="13" t="n">
        <f aca="false">IF(M30=1,YEAR(C30),"")</f>
        <v>2024</v>
      </c>
      <c r="U30" s="13" t="str">
        <f aca="false">IF(M30=1,YEAR(C30)&amp;"-Q"&amp;ROUNDUP(MONTH(C30)/3,0),"")</f>
        <v>2024-Q4</v>
      </c>
      <c r="V30" s="13" t="n">
        <f aca="false">IF(M30=1,MONTH(C30),"")</f>
        <v>10</v>
      </c>
    </row>
    <row r="31" customFormat="false" ht="15" hidden="false" customHeight="false" outlineLevel="0" collapsed="false">
      <c r="A31" s="13" t="str">
        <f aca="false">TRIM(Raw_Data!A31)</f>
        <v>EMP0030</v>
      </c>
      <c r="B31" s="14" t="n">
        <f aca="false">Raw_Data!B31</f>
        <v>41058</v>
      </c>
      <c r="C31" s="14" t="str">
        <f aca="false">IF(Raw_Data!C31="","",Raw_Data!C31)</f>
        <v/>
      </c>
      <c r="D31" s="13" t="n">
        <f aca="false">IF(Raw_Data!D31="","",Raw_Data!D31)</f>
        <v>47</v>
      </c>
      <c r="E31" s="13" t="str">
        <f aca="false">IF(UPPER(LEFT(TRIM(Raw_Data!E31),1))="M","Male",IF(UPPER(LEFT(TRIM(Raw_Data!E31),1))="F","Female","Unknown"))</f>
        <v>Female</v>
      </c>
      <c r="F31" s="13" t="str">
        <f aca="false">PROPER(TRIM(SUBSTITUTE(Raw_Data!F31,"'","")))</f>
        <v>Diploma</v>
      </c>
      <c r="G31" s="13" t="str">
        <f aca="false">PROPER(TRIM(Raw_Data!G31))</f>
        <v>Customer Support</v>
      </c>
      <c r="H31" s="13" t="str">
        <f aca="false">PROPER(TRIM(Raw_Data!H31))</f>
        <v>Senior Analyst</v>
      </c>
      <c r="I31" s="13" t="n">
        <f aca="false">IF(Raw_Data!I31="",DefaultPerf,Raw_Data!I31)</f>
        <v>4</v>
      </c>
      <c r="J31" s="17" t="n">
        <f aca="false">IF(Raw_Data!J31="",DefaultSat,Raw_Data!J31)</f>
        <v>3</v>
      </c>
      <c r="K31" s="15" t="n">
        <f aca="false">Raw_Data!K31</f>
        <v>121000</v>
      </c>
      <c r="L31" s="13" t="str">
        <f aca="false">PROPER(TRIM(Raw_Data!N31))</f>
        <v>Yes</v>
      </c>
      <c r="M31" s="13" t="n">
        <f aca="false">IF(C31="",0,1)</f>
        <v>0</v>
      </c>
      <c r="N31" s="13" t="str">
        <f aca="false">IF(M31=0,"Active",IF(TRIM(Raw_Data!L31)="","Unknown",PROPER(TRIM(Raw_Data!L31))))</f>
        <v>Active</v>
      </c>
      <c r="O31" s="13" t="str">
        <f aca="false">IF(M31=0,"",IF(TRIM(Raw_Data!M31)="","Not Recorded",TRIM(Raw_Data!M31)))</f>
        <v/>
      </c>
      <c r="P31" s="16" t="n">
        <f aca="false">ROUND((IF(C31="",AsOfDate,C31)-B31)/365.25,2)</f>
        <v>13.59</v>
      </c>
      <c r="Q31" s="13" t="str">
        <f aca="false">IF(D31="","Unknown",IF(D31&lt;25,"Under 25",IF(D31&lt;35,"25-34",IF(D31&lt;45,"35-44",IF(D31&lt;55,"45-54","55+")))))</f>
        <v>45-54</v>
      </c>
      <c r="R31" s="13" t="str">
        <f aca="false">IF(P31&lt;1,"0-1 yrs",IF(P31&lt;3,"1-3 yrs",IF(P31&lt;5,"3-5 yrs",IF(P31&lt;10,"5-10 yrs","10+ yrs"))))</f>
        <v>10+ yrs</v>
      </c>
      <c r="S31" s="13" t="str">
        <f aca="false">IF(I31&gt;=4,"High",IF(I31=3,"Medium","Low"))</f>
        <v>High</v>
      </c>
      <c r="T31" s="13" t="str">
        <f aca="false">IF(M31=1,YEAR(C31),"")</f>
        <v/>
      </c>
      <c r="U31" s="13" t="str">
        <f aca="false">IF(M31=1,YEAR(C31)&amp;"-Q"&amp;ROUNDUP(MONTH(C31)/3,0),"")</f>
        <v/>
      </c>
      <c r="V31" s="13" t="str">
        <f aca="false">IF(M31=1,MONTH(C31),"")</f>
        <v/>
      </c>
    </row>
    <row r="32" customFormat="false" ht="15" hidden="false" customHeight="false" outlineLevel="0" collapsed="false">
      <c r="A32" s="13" t="str">
        <f aca="false">TRIM(Raw_Data!A32)</f>
        <v>EMP0031</v>
      </c>
      <c r="B32" s="14" t="n">
        <f aca="false">Raw_Data!B32</f>
        <v>41058</v>
      </c>
      <c r="C32" s="14" t="n">
        <f aca="false">IF(Raw_Data!C32="","",Raw_Data!C32)</f>
        <v>45730</v>
      </c>
      <c r="D32" s="13" t="n">
        <f aca="false">IF(Raw_Data!D32="","",Raw_Data!D32)</f>
        <v>51</v>
      </c>
      <c r="E32" s="13" t="str">
        <f aca="false">IF(UPPER(LEFT(TRIM(Raw_Data!E32),1))="M","Male",IF(UPPER(LEFT(TRIM(Raw_Data!E32),1))="F","Female","Unknown"))</f>
        <v>Male</v>
      </c>
      <c r="F32" s="13" t="str">
        <f aca="false">PROPER(TRIM(SUBSTITUTE(Raw_Data!F32,"'","")))</f>
        <v>Bachelors</v>
      </c>
      <c r="G32" s="13" t="str">
        <f aca="false">PROPER(TRIM(Raw_Data!G32))</f>
        <v>Sales</v>
      </c>
      <c r="H32" s="13" t="str">
        <f aca="false">PROPER(TRIM(Raw_Data!H32))</f>
        <v>Analyst</v>
      </c>
      <c r="I32" s="13" t="n">
        <f aca="false">IF(Raw_Data!I32="",DefaultPerf,Raw_Data!I32)</f>
        <v>3</v>
      </c>
      <c r="J32" s="13" t="n">
        <f aca="false">IF(Raw_Data!J32="",DefaultSat,Raw_Data!J32)</f>
        <v>3</v>
      </c>
      <c r="K32" s="15" t="n">
        <f aca="false">Raw_Data!K32</f>
        <v>69000</v>
      </c>
      <c r="L32" s="13" t="str">
        <f aca="false">PROPER(TRIM(Raw_Data!N32))</f>
        <v>Yes</v>
      </c>
      <c r="M32" s="13" t="n">
        <f aca="false">IF(C32="",0,1)</f>
        <v>1</v>
      </c>
      <c r="N32" s="13" t="str">
        <f aca="false">IF(M32=0,"Active",IF(TRIM(Raw_Data!L32)="","Unknown",PROPER(TRIM(Raw_Data!L32))))</f>
        <v>Voluntary</v>
      </c>
      <c r="O32" s="13" t="str">
        <f aca="false">IF(M32=0,"",IF(TRIM(Raw_Data!M32)="","Not Recorded",TRIM(Raw_Data!M32)))</f>
        <v>Personal Reasons</v>
      </c>
      <c r="P32" s="16" t="n">
        <f aca="false">ROUND((IF(C32="",AsOfDate,C32)-B32)/365.25,2)</f>
        <v>12.79</v>
      </c>
      <c r="Q32" s="13" t="str">
        <f aca="false">IF(D32="","Unknown",IF(D32&lt;25,"Under 25",IF(D32&lt;35,"25-34",IF(D32&lt;45,"35-44",IF(D32&lt;55,"45-54","55+")))))</f>
        <v>45-54</v>
      </c>
      <c r="R32" s="13" t="str">
        <f aca="false">IF(P32&lt;1,"0-1 yrs",IF(P32&lt;3,"1-3 yrs",IF(P32&lt;5,"3-5 yrs",IF(P32&lt;10,"5-10 yrs","10+ yrs"))))</f>
        <v>10+ yrs</v>
      </c>
      <c r="S32" s="13" t="str">
        <f aca="false">IF(I32&gt;=4,"High",IF(I32=3,"Medium","Low"))</f>
        <v>Medium</v>
      </c>
      <c r="T32" s="13" t="n">
        <f aca="false">IF(M32=1,YEAR(C32),"")</f>
        <v>2025</v>
      </c>
      <c r="U32" s="13" t="str">
        <f aca="false">IF(M32=1,YEAR(C32)&amp;"-Q"&amp;ROUNDUP(MONTH(C32)/3,0),"")</f>
        <v>2025-Q1</v>
      </c>
      <c r="V32" s="13" t="n">
        <f aca="false">IF(M32=1,MONTH(C32),"")</f>
        <v>3</v>
      </c>
    </row>
    <row r="33" customFormat="false" ht="15" hidden="false" customHeight="false" outlineLevel="0" collapsed="false">
      <c r="A33" s="13" t="str">
        <f aca="false">TRIM(Raw_Data!A33)</f>
        <v>EMP0032</v>
      </c>
      <c r="B33" s="14" t="n">
        <f aca="false">Raw_Data!B33</f>
        <v>41058</v>
      </c>
      <c r="C33" s="14" t="str">
        <f aca="false">IF(Raw_Data!C33="","",Raw_Data!C33)</f>
        <v/>
      </c>
      <c r="D33" s="13" t="n">
        <f aca="false">IF(Raw_Data!D33="","",Raw_Data!D33)</f>
        <v>43</v>
      </c>
      <c r="E33" s="13" t="str">
        <f aca="false">IF(UPPER(LEFT(TRIM(Raw_Data!E33),1))="M","Male",IF(UPPER(LEFT(TRIM(Raw_Data!E33),1))="F","Female","Unknown"))</f>
        <v>Male</v>
      </c>
      <c r="F33" s="13" t="str">
        <f aca="false">PROPER(TRIM(SUBSTITUTE(Raw_Data!F33,"'","")))</f>
        <v>Diploma</v>
      </c>
      <c r="G33" s="13" t="str">
        <f aca="false">PROPER(TRIM(Raw_Data!G33))</f>
        <v>Operations</v>
      </c>
      <c r="H33" s="13" t="str">
        <f aca="false">PROPER(TRIM(Raw_Data!H33))</f>
        <v>Team Lead</v>
      </c>
      <c r="I33" s="13" t="n">
        <f aca="false">IF(Raw_Data!I33="",DefaultPerf,Raw_Data!I33)</f>
        <v>3</v>
      </c>
      <c r="J33" s="13" t="n">
        <f aca="false">IF(Raw_Data!J33="",DefaultSat,Raw_Data!J33)</f>
        <v>1</v>
      </c>
      <c r="K33" s="15" t="n">
        <f aca="false">Raw_Data!K33</f>
        <v>164000</v>
      </c>
      <c r="L33" s="13" t="str">
        <f aca="false">PROPER(TRIM(Raw_Data!N33))</f>
        <v>No</v>
      </c>
      <c r="M33" s="13" t="n">
        <f aca="false">IF(C33="",0,1)</f>
        <v>0</v>
      </c>
      <c r="N33" s="13" t="str">
        <f aca="false">IF(M33=0,"Active",IF(TRIM(Raw_Data!L33)="","Unknown",PROPER(TRIM(Raw_Data!L33))))</f>
        <v>Active</v>
      </c>
      <c r="O33" s="13" t="str">
        <f aca="false">IF(M33=0,"",IF(TRIM(Raw_Data!M33)="","Not Recorded",TRIM(Raw_Data!M33)))</f>
        <v/>
      </c>
      <c r="P33" s="16" t="n">
        <f aca="false">ROUND((IF(C33="",AsOfDate,C33)-B33)/365.25,2)</f>
        <v>13.59</v>
      </c>
      <c r="Q33" s="13" t="str">
        <f aca="false">IF(D33="","Unknown",IF(D33&lt;25,"Under 25",IF(D33&lt;35,"25-34",IF(D33&lt;45,"35-44",IF(D33&lt;55,"45-54","55+")))))</f>
        <v>35-44</v>
      </c>
      <c r="R33" s="13" t="str">
        <f aca="false">IF(P33&lt;1,"0-1 yrs",IF(P33&lt;3,"1-3 yrs",IF(P33&lt;5,"3-5 yrs",IF(P33&lt;10,"5-10 yrs","10+ yrs"))))</f>
        <v>10+ yrs</v>
      </c>
      <c r="S33" s="13" t="str">
        <f aca="false">IF(I33&gt;=4,"High",IF(I33=3,"Medium","Low"))</f>
        <v>Medium</v>
      </c>
      <c r="T33" s="13" t="str">
        <f aca="false">IF(M33=1,YEAR(C33),"")</f>
        <v/>
      </c>
      <c r="U33" s="13" t="str">
        <f aca="false">IF(M33=1,YEAR(C33)&amp;"-Q"&amp;ROUNDUP(MONTH(C33)/3,0),"")</f>
        <v/>
      </c>
      <c r="V33" s="13" t="str">
        <f aca="false">IF(M33=1,MONTH(C33),"")</f>
        <v/>
      </c>
    </row>
    <row r="34" customFormat="false" ht="15" hidden="false" customHeight="false" outlineLevel="0" collapsed="false">
      <c r="A34" s="13" t="str">
        <f aca="false">TRIM(Raw_Data!A34)</f>
        <v>EMP0033</v>
      </c>
      <c r="B34" s="14" t="n">
        <f aca="false">Raw_Data!B34</f>
        <v>41064</v>
      </c>
      <c r="C34" s="14" t="str">
        <f aca="false">IF(Raw_Data!C34="","",Raw_Data!C34)</f>
        <v/>
      </c>
      <c r="D34" s="13" t="n">
        <f aca="false">IF(Raw_Data!D34="","",Raw_Data!D34)</f>
        <v>43</v>
      </c>
      <c r="E34" s="13" t="str">
        <f aca="false">IF(UPPER(LEFT(TRIM(Raw_Data!E34),1))="M","Male",IF(UPPER(LEFT(TRIM(Raw_Data!E34),1))="F","Female","Unknown"))</f>
        <v>Female</v>
      </c>
      <c r="F34" s="13" t="str">
        <f aca="false">PROPER(TRIM(SUBSTITUTE(Raw_Data!F34,"'","")))</f>
        <v>Diploma</v>
      </c>
      <c r="G34" s="13" t="str">
        <f aca="false">PROPER(TRIM(Raw_Data!G34))</f>
        <v>Customer Support</v>
      </c>
      <c r="H34" s="13" t="str">
        <f aca="false">PROPER(TRIM(Raw_Data!H34))</f>
        <v>Senior Analyst</v>
      </c>
      <c r="I34" s="13" t="n">
        <f aca="false">IF(Raw_Data!I34="",DefaultPerf,Raw_Data!I34)</f>
        <v>3</v>
      </c>
      <c r="J34" s="13" t="n">
        <f aca="false">IF(Raw_Data!J34="",DefaultSat,Raw_Data!J34)</f>
        <v>4</v>
      </c>
      <c r="K34" s="15" t="n">
        <f aca="false">Raw_Data!K34</f>
        <v>135500</v>
      </c>
      <c r="L34" s="13" t="str">
        <f aca="false">PROPER(TRIM(Raw_Data!N34))</f>
        <v>Yes</v>
      </c>
      <c r="M34" s="13" t="n">
        <f aca="false">IF(C34="",0,1)</f>
        <v>0</v>
      </c>
      <c r="N34" s="13" t="str">
        <f aca="false">IF(M34=0,"Active",IF(TRIM(Raw_Data!L34)="","Unknown",PROPER(TRIM(Raw_Data!L34))))</f>
        <v>Active</v>
      </c>
      <c r="O34" s="13" t="str">
        <f aca="false">IF(M34=0,"",IF(TRIM(Raw_Data!M34)="","Not Recorded",TRIM(Raw_Data!M34)))</f>
        <v/>
      </c>
      <c r="P34" s="16" t="n">
        <f aca="false">ROUND((IF(C34="",AsOfDate,C34)-B34)/365.25,2)</f>
        <v>13.57</v>
      </c>
      <c r="Q34" s="13" t="str">
        <f aca="false">IF(D34="","Unknown",IF(D34&lt;25,"Under 25",IF(D34&lt;35,"25-34",IF(D34&lt;45,"35-44",IF(D34&lt;55,"45-54","55+")))))</f>
        <v>35-44</v>
      </c>
      <c r="R34" s="13" t="str">
        <f aca="false">IF(P34&lt;1,"0-1 yrs",IF(P34&lt;3,"1-3 yrs",IF(P34&lt;5,"3-5 yrs",IF(P34&lt;10,"5-10 yrs","10+ yrs"))))</f>
        <v>10+ yrs</v>
      </c>
      <c r="S34" s="13" t="str">
        <f aca="false">IF(I34&gt;=4,"High",IF(I34=3,"Medium","Low"))</f>
        <v>Medium</v>
      </c>
      <c r="T34" s="13" t="str">
        <f aca="false">IF(M34=1,YEAR(C34),"")</f>
        <v/>
      </c>
      <c r="U34" s="13" t="str">
        <f aca="false">IF(M34=1,YEAR(C34)&amp;"-Q"&amp;ROUNDUP(MONTH(C34)/3,0),"")</f>
        <v/>
      </c>
      <c r="V34" s="13" t="str">
        <f aca="false">IF(M34=1,MONTH(C34),"")</f>
        <v/>
      </c>
    </row>
    <row r="35" customFormat="false" ht="15" hidden="false" customHeight="false" outlineLevel="0" collapsed="false">
      <c r="A35" s="13" t="str">
        <f aca="false">TRIM(Raw_Data!A35)</f>
        <v>EMP0034</v>
      </c>
      <c r="B35" s="14" t="n">
        <f aca="false">Raw_Data!B35</f>
        <v>41066</v>
      </c>
      <c r="C35" s="14" t="n">
        <f aca="false">IF(Raw_Data!C35="","",Raw_Data!C35)</f>
        <v>44622</v>
      </c>
      <c r="D35" s="13" t="n">
        <f aca="false">IF(Raw_Data!D35="","",Raw_Data!D35)</f>
        <v>43</v>
      </c>
      <c r="E35" s="13" t="str">
        <f aca="false">IF(UPPER(LEFT(TRIM(Raw_Data!E35),1))="M","Male",IF(UPPER(LEFT(TRIM(Raw_Data!E35),1))="F","Female","Unknown"))</f>
        <v>Male</v>
      </c>
      <c r="F35" s="13" t="str">
        <f aca="false">PROPER(TRIM(SUBSTITUTE(Raw_Data!F35,"'","")))</f>
        <v>Bachelors</v>
      </c>
      <c r="G35" s="13" t="str">
        <f aca="false">PROPER(TRIM(Raw_Data!G35))</f>
        <v>Sales</v>
      </c>
      <c r="H35" s="13" t="str">
        <f aca="false">PROPER(TRIM(Raw_Data!H35))</f>
        <v>Senior Analyst</v>
      </c>
      <c r="I35" s="13" t="n">
        <f aca="false">IF(Raw_Data!I35="",DefaultPerf,Raw_Data!I35)</f>
        <v>3</v>
      </c>
      <c r="J35" s="13" t="n">
        <f aca="false">IF(Raw_Data!J35="",DefaultSat,Raw_Data!J35)</f>
        <v>4</v>
      </c>
      <c r="K35" s="15" t="n">
        <f aca="false">Raw_Data!K35</f>
        <v>124500</v>
      </c>
      <c r="L35" s="13" t="str">
        <f aca="false">PROPER(TRIM(Raw_Data!N35))</f>
        <v>Yes</v>
      </c>
      <c r="M35" s="13" t="n">
        <f aca="false">IF(C35="",0,1)</f>
        <v>1</v>
      </c>
      <c r="N35" s="13" t="str">
        <f aca="false">IF(M35=0,"Active",IF(TRIM(Raw_Data!L35)="","Unknown",PROPER(TRIM(Raw_Data!L35))))</f>
        <v>Voluntary</v>
      </c>
      <c r="O35" s="13" t="str">
        <f aca="false">IF(M35=0,"",IF(TRIM(Raw_Data!M35)="","Not Recorded",TRIM(Raw_Data!M35)))</f>
        <v>Work-Life Balance</v>
      </c>
      <c r="P35" s="16" t="n">
        <f aca="false">ROUND((IF(C35="",AsOfDate,C35)-B35)/365.25,2)</f>
        <v>9.74</v>
      </c>
      <c r="Q35" s="13" t="str">
        <f aca="false">IF(D35="","Unknown",IF(D35&lt;25,"Under 25",IF(D35&lt;35,"25-34",IF(D35&lt;45,"35-44",IF(D35&lt;55,"45-54","55+")))))</f>
        <v>35-44</v>
      </c>
      <c r="R35" s="13" t="str">
        <f aca="false">IF(P35&lt;1,"0-1 yrs",IF(P35&lt;3,"1-3 yrs",IF(P35&lt;5,"3-5 yrs",IF(P35&lt;10,"5-10 yrs","10+ yrs"))))</f>
        <v>5-10 yrs</v>
      </c>
      <c r="S35" s="13" t="str">
        <f aca="false">IF(I35&gt;=4,"High",IF(I35=3,"Medium","Low"))</f>
        <v>Medium</v>
      </c>
      <c r="T35" s="13" t="n">
        <f aca="false">IF(M35=1,YEAR(C35),"")</f>
        <v>2022</v>
      </c>
      <c r="U35" s="13" t="str">
        <f aca="false">IF(M35=1,YEAR(C35)&amp;"-Q"&amp;ROUNDUP(MONTH(C35)/3,0),"")</f>
        <v>2022-Q1</v>
      </c>
      <c r="V35" s="13" t="n">
        <f aca="false">IF(M35=1,MONTH(C35),"")</f>
        <v>3</v>
      </c>
    </row>
    <row r="36" customFormat="false" ht="15" hidden="false" customHeight="false" outlineLevel="0" collapsed="false">
      <c r="A36" s="13" t="str">
        <f aca="false">TRIM(Raw_Data!A36)</f>
        <v>EMP0035</v>
      </c>
      <c r="B36" s="14" t="n">
        <f aca="false">Raw_Data!B36</f>
        <v>41081</v>
      </c>
      <c r="C36" s="14" t="str">
        <f aca="false">IF(Raw_Data!C36="","",Raw_Data!C36)</f>
        <v/>
      </c>
      <c r="D36" s="13" t="n">
        <f aca="false">IF(Raw_Data!D36="","",Raw_Data!D36)</f>
        <v>44</v>
      </c>
      <c r="E36" s="13" t="str">
        <f aca="false">IF(UPPER(LEFT(TRIM(Raw_Data!E36),1))="M","Male",IF(UPPER(LEFT(TRIM(Raw_Data!E36),1))="F","Female","Unknown"))</f>
        <v>Female</v>
      </c>
      <c r="F36" s="13" t="str">
        <f aca="false">PROPER(TRIM(SUBSTITUTE(Raw_Data!F36,"'","")))</f>
        <v>Masters</v>
      </c>
      <c r="G36" s="13" t="str">
        <f aca="false">PROPER(TRIM(Raw_Data!G36))</f>
        <v>Operations</v>
      </c>
      <c r="H36" s="13" t="str">
        <f aca="false">PROPER(TRIM(Raw_Data!H36))</f>
        <v>Specialist</v>
      </c>
      <c r="I36" s="13" t="n">
        <f aca="false">IF(Raw_Data!I36="",DefaultPerf,Raw_Data!I36)</f>
        <v>4</v>
      </c>
      <c r="J36" s="13" t="n">
        <f aca="false">IF(Raw_Data!J36="",DefaultSat,Raw_Data!J36)</f>
        <v>1</v>
      </c>
      <c r="K36" s="15" t="n">
        <f aca="false">Raw_Data!K36</f>
        <v>110000</v>
      </c>
      <c r="L36" s="13" t="str">
        <f aca="false">PROPER(TRIM(Raw_Data!N36))</f>
        <v>No</v>
      </c>
      <c r="M36" s="13" t="n">
        <f aca="false">IF(C36="",0,1)</f>
        <v>0</v>
      </c>
      <c r="N36" s="13" t="str">
        <f aca="false">IF(M36=0,"Active",IF(TRIM(Raw_Data!L36)="","Unknown",PROPER(TRIM(Raw_Data!L36))))</f>
        <v>Active</v>
      </c>
      <c r="O36" s="13" t="str">
        <f aca="false">IF(M36=0,"",IF(TRIM(Raw_Data!M36)="","Not Recorded",TRIM(Raw_Data!M36)))</f>
        <v/>
      </c>
      <c r="P36" s="16" t="n">
        <f aca="false">ROUND((IF(C36="",AsOfDate,C36)-B36)/365.25,2)</f>
        <v>13.53</v>
      </c>
      <c r="Q36" s="13" t="str">
        <f aca="false">IF(D36="","Unknown",IF(D36&lt;25,"Under 25",IF(D36&lt;35,"25-34",IF(D36&lt;45,"35-44",IF(D36&lt;55,"45-54","55+")))))</f>
        <v>35-44</v>
      </c>
      <c r="R36" s="13" t="str">
        <f aca="false">IF(P36&lt;1,"0-1 yrs",IF(P36&lt;3,"1-3 yrs",IF(P36&lt;5,"3-5 yrs",IF(P36&lt;10,"5-10 yrs","10+ yrs"))))</f>
        <v>10+ yrs</v>
      </c>
      <c r="S36" s="13" t="str">
        <f aca="false">IF(I36&gt;=4,"High",IF(I36=3,"Medium","Low"))</f>
        <v>High</v>
      </c>
      <c r="T36" s="13" t="str">
        <f aca="false">IF(M36=1,YEAR(C36),"")</f>
        <v/>
      </c>
      <c r="U36" s="13" t="str">
        <f aca="false">IF(M36=1,YEAR(C36)&amp;"-Q"&amp;ROUNDUP(MONTH(C36)/3,0),"")</f>
        <v/>
      </c>
      <c r="V36" s="13" t="str">
        <f aca="false">IF(M36=1,MONTH(C36),"")</f>
        <v/>
      </c>
    </row>
    <row r="37" customFormat="false" ht="15" hidden="false" customHeight="false" outlineLevel="0" collapsed="false">
      <c r="A37" s="13" t="str">
        <f aca="false">TRIM(Raw_Data!A37)</f>
        <v>EMP0036</v>
      </c>
      <c r="B37" s="14" t="n">
        <f aca="false">Raw_Data!B37</f>
        <v>41088</v>
      </c>
      <c r="C37" s="14" t="str">
        <f aca="false">IF(Raw_Data!C37="","",Raw_Data!C37)</f>
        <v/>
      </c>
      <c r="D37" s="13" t="n">
        <f aca="false">IF(Raw_Data!D37="","",Raw_Data!D37)</f>
        <v>41</v>
      </c>
      <c r="E37" s="13" t="str">
        <f aca="false">IF(UPPER(LEFT(TRIM(Raw_Data!E37),1))="M","Male",IF(UPPER(LEFT(TRIM(Raw_Data!E37),1))="F","Female","Unknown"))</f>
        <v>Male</v>
      </c>
      <c r="F37" s="13" t="str">
        <f aca="false">PROPER(TRIM(SUBSTITUTE(Raw_Data!F37,"'","")))</f>
        <v>Bachelors</v>
      </c>
      <c r="G37" s="13" t="str">
        <f aca="false">PROPER(TRIM(Raw_Data!G37))</f>
        <v>Engineering</v>
      </c>
      <c r="H37" s="13" t="str">
        <f aca="false">PROPER(TRIM(Raw_Data!H37))</f>
        <v>Analyst</v>
      </c>
      <c r="I37" s="13" t="n">
        <f aca="false">IF(Raw_Data!I37="",DefaultPerf,Raw_Data!I37)</f>
        <v>3</v>
      </c>
      <c r="J37" s="13" t="n">
        <f aca="false">IF(Raw_Data!J37="",DefaultSat,Raw_Data!J37)</f>
        <v>1</v>
      </c>
      <c r="K37" s="15" t="n">
        <f aca="false">Raw_Data!K37</f>
        <v>73500</v>
      </c>
      <c r="L37" s="13" t="str">
        <f aca="false">PROPER(TRIM(Raw_Data!N37))</f>
        <v>No</v>
      </c>
      <c r="M37" s="13" t="n">
        <f aca="false">IF(C37="",0,1)</f>
        <v>0</v>
      </c>
      <c r="N37" s="13" t="str">
        <f aca="false">IF(M37=0,"Active",IF(TRIM(Raw_Data!L37)="","Unknown",PROPER(TRIM(Raw_Data!L37))))</f>
        <v>Active</v>
      </c>
      <c r="O37" s="13" t="str">
        <f aca="false">IF(M37=0,"",IF(TRIM(Raw_Data!M37)="","Not Recorded",TRIM(Raw_Data!M37)))</f>
        <v/>
      </c>
      <c r="P37" s="16" t="n">
        <f aca="false">ROUND((IF(C37="",AsOfDate,C37)-B37)/365.25,2)</f>
        <v>13.51</v>
      </c>
      <c r="Q37" s="13" t="str">
        <f aca="false">IF(D37="","Unknown",IF(D37&lt;25,"Under 25",IF(D37&lt;35,"25-34",IF(D37&lt;45,"35-44",IF(D37&lt;55,"45-54","55+")))))</f>
        <v>35-44</v>
      </c>
      <c r="R37" s="13" t="str">
        <f aca="false">IF(P37&lt;1,"0-1 yrs",IF(P37&lt;3,"1-3 yrs",IF(P37&lt;5,"3-5 yrs",IF(P37&lt;10,"5-10 yrs","10+ yrs"))))</f>
        <v>10+ yrs</v>
      </c>
      <c r="S37" s="13" t="str">
        <f aca="false">IF(I37&gt;=4,"High",IF(I37=3,"Medium","Low"))</f>
        <v>Medium</v>
      </c>
      <c r="T37" s="13" t="str">
        <f aca="false">IF(M37=1,YEAR(C37),"")</f>
        <v/>
      </c>
      <c r="U37" s="13" t="str">
        <f aca="false">IF(M37=1,YEAR(C37)&amp;"-Q"&amp;ROUNDUP(MONTH(C37)/3,0),"")</f>
        <v/>
      </c>
      <c r="V37" s="13" t="str">
        <f aca="false">IF(M37=1,MONTH(C37),"")</f>
        <v/>
      </c>
    </row>
    <row r="38" customFormat="false" ht="15" hidden="false" customHeight="false" outlineLevel="0" collapsed="false">
      <c r="A38" s="13" t="str">
        <f aca="false">TRIM(Raw_Data!A38)</f>
        <v>EMP0037</v>
      </c>
      <c r="B38" s="14" t="n">
        <f aca="false">Raw_Data!B38</f>
        <v>41095</v>
      </c>
      <c r="C38" s="14" t="str">
        <f aca="false">IF(Raw_Data!C38="","",Raw_Data!C38)</f>
        <v/>
      </c>
      <c r="D38" s="13" t="n">
        <f aca="false">IF(Raw_Data!D38="","",Raw_Data!D38)</f>
        <v>43</v>
      </c>
      <c r="E38" s="13" t="str">
        <f aca="false">IF(UPPER(LEFT(TRIM(Raw_Data!E38),1))="M","Male",IF(UPPER(LEFT(TRIM(Raw_Data!E38),1))="F","Female","Unknown"))</f>
        <v>Female</v>
      </c>
      <c r="F38" s="13" t="str">
        <f aca="false">PROPER(TRIM(SUBSTITUTE(Raw_Data!F38,"'","")))</f>
        <v>Bachelors</v>
      </c>
      <c r="G38" s="13" t="str">
        <f aca="false">PROPER(TRIM(Raw_Data!G38))</f>
        <v>Human Resources</v>
      </c>
      <c r="H38" s="13" t="str">
        <f aca="false">PROPER(TRIM(Raw_Data!H38))</f>
        <v>Analyst</v>
      </c>
      <c r="I38" s="13" t="n">
        <f aca="false">IF(Raw_Data!I38="",DefaultPerf,Raw_Data!I38)</f>
        <v>4</v>
      </c>
      <c r="J38" s="13" t="n">
        <f aca="false">IF(Raw_Data!J38="",DefaultSat,Raw_Data!J38)</f>
        <v>1</v>
      </c>
      <c r="K38" s="15" t="n">
        <f aca="false">Raw_Data!K38</f>
        <v>90500</v>
      </c>
      <c r="L38" s="13" t="str">
        <f aca="false">PROPER(TRIM(Raw_Data!N38))</f>
        <v>No</v>
      </c>
      <c r="M38" s="13" t="n">
        <f aca="false">IF(C38="",0,1)</f>
        <v>0</v>
      </c>
      <c r="N38" s="13" t="str">
        <f aca="false">IF(M38=0,"Active",IF(TRIM(Raw_Data!L38)="","Unknown",PROPER(TRIM(Raw_Data!L38))))</f>
        <v>Active</v>
      </c>
      <c r="O38" s="13" t="str">
        <f aca="false">IF(M38=0,"",IF(TRIM(Raw_Data!M38)="","Not Recorded",TRIM(Raw_Data!M38)))</f>
        <v/>
      </c>
      <c r="P38" s="16" t="n">
        <f aca="false">ROUND((IF(C38="",AsOfDate,C38)-B38)/365.25,2)</f>
        <v>13.49</v>
      </c>
      <c r="Q38" s="13" t="str">
        <f aca="false">IF(D38="","Unknown",IF(D38&lt;25,"Under 25",IF(D38&lt;35,"25-34",IF(D38&lt;45,"35-44",IF(D38&lt;55,"45-54","55+")))))</f>
        <v>35-44</v>
      </c>
      <c r="R38" s="13" t="str">
        <f aca="false">IF(P38&lt;1,"0-1 yrs",IF(P38&lt;3,"1-3 yrs",IF(P38&lt;5,"3-5 yrs",IF(P38&lt;10,"5-10 yrs","10+ yrs"))))</f>
        <v>10+ yrs</v>
      </c>
      <c r="S38" s="13" t="str">
        <f aca="false">IF(I38&gt;=4,"High",IF(I38=3,"Medium","Low"))</f>
        <v>High</v>
      </c>
      <c r="T38" s="13" t="str">
        <f aca="false">IF(M38=1,YEAR(C38),"")</f>
        <v/>
      </c>
      <c r="U38" s="13" t="str">
        <f aca="false">IF(M38=1,YEAR(C38)&amp;"-Q"&amp;ROUNDUP(MONTH(C38)/3,0),"")</f>
        <v/>
      </c>
      <c r="V38" s="13" t="str">
        <f aca="false">IF(M38=1,MONTH(C38),"")</f>
        <v/>
      </c>
    </row>
    <row r="39" customFormat="false" ht="15" hidden="false" customHeight="false" outlineLevel="0" collapsed="false">
      <c r="A39" s="13" t="str">
        <f aca="false">TRIM(Raw_Data!A39)</f>
        <v>EMP0038</v>
      </c>
      <c r="B39" s="14" t="n">
        <f aca="false">Raw_Data!B39</f>
        <v>41099</v>
      </c>
      <c r="C39" s="14" t="n">
        <f aca="false">IF(Raw_Data!C39="","",Raw_Data!C39)</f>
        <v>45541</v>
      </c>
      <c r="D39" s="13" t="n">
        <f aca="false">IF(Raw_Data!D39="","",Raw_Data!D39)</f>
        <v>49</v>
      </c>
      <c r="E39" s="13" t="str">
        <f aca="false">IF(UPPER(LEFT(TRIM(Raw_Data!E39),1))="M","Male",IF(UPPER(LEFT(TRIM(Raw_Data!E39),1))="F","Female","Unknown"))</f>
        <v>Male</v>
      </c>
      <c r="F39" s="13" t="str">
        <f aca="false">PROPER(TRIM(SUBSTITUTE(Raw_Data!F39,"'","")))</f>
        <v>Bachelors</v>
      </c>
      <c r="G39" s="13" t="str">
        <f aca="false">PROPER(TRIM(Raw_Data!G39))</f>
        <v>Customer Support</v>
      </c>
      <c r="H39" s="13" t="str">
        <f aca="false">PROPER(TRIM(Raw_Data!H39))</f>
        <v>Associate</v>
      </c>
      <c r="I39" s="13" t="n">
        <f aca="false">IF(Raw_Data!I39="",DefaultPerf,Raw_Data!I39)</f>
        <v>2</v>
      </c>
      <c r="J39" s="13" t="n">
        <f aca="false">IF(Raw_Data!J39="",DefaultSat,Raw_Data!J39)</f>
        <v>3</v>
      </c>
      <c r="K39" s="15" t="n">
        <f aca="false">Raw_Data!K39</f>
        <v>50000</v>
      </c>
      <c r="L39" s="13" t="str">
        <f aca="false">PROPER(TRIM(Raw_Data!N39))</f>
        <v>No</v>
      </c>
      <c r="M39" s="13" t="n">
        <f aca="false">IF(C39="",0,1)</f>
        <v>1</v>
      </c>
      <c r="N39" s="13" t="str">
        <f aca="false">IF(M39=0,"Active",IF(TRIM(Raw_Data!L39)="","Unknown",PROPER(TRIM(Raw_Data!L39))))</f>
        <v>Voluntary</v>
      </c>
      <c r="O39" s="13" t="str">
        <f aca="false">IF(M39=0,"",IF(TRIM(Raw_Data!M39)="","Not Recorded",TRIM(Raw_Data!M39)))</f>
        <v>Career Growth</v>
      </c>
      <c r="P39" s="16" t="n">
        <f aca="false">ROUND((IF(C39="",AsOfDate,C39)-B39)/365.25,2)</f>
        <v>12.16</v>
      </c>
      <c r="Q39" s="13" t="str">
        <f aca="false">IF(D39="","Unknown",IF(D39&lt;25,"Under 25",IF(D39&lt;35,"25-34",IF(D39&lt;45,"35-44",IF(D39&lt;55,"45-54","55+")))))</f>
        <v>45-54</v>
      </c>
      <c r="R39" s="13" t="str">
        <f aca="false">IF(P39&lt;1,"0-1 yrs",IF(P39&lt;3,"1-3 yrs",IF(P39&lt;5,"3-5 yrs",IF(P39&lt;10,"5-10 yrs","10+ yrs"))))</f>
        <v>10+ yrs</v>
      </c>
      <c r="S39" s="13" t="str">
        <f aca="false">IF(I39&gt;=4,"High",IF(I39=3,"Medium","Low"))</f>
        <v>Low</v>
      </c>
      <c r="T39" s="13" t="n">
        <f aca="false">IF(M39=1,YEAR(C39),"")</f>
        <v>2024</v>
      </c>
      <c r="U39" s="13" t="str">
        <f aca="false">IF(M39=1,YEAR(C39)&amp;"-Q"&amp;ROUNDUP(MONTH(C39)/3,0),"")</f>
        <v>2024-Q3</v>
      </c>
      <c r="V39" s="13" t="n">
        <f aca="false">IF(M39=1,MONTH(C39),"")</f>
        <v>9</v>
      </c>
    </row>
    <row r="40" customFormat="false" ht="15" hidden="false" customHeight="false" outlineLevel="0" collapsed="false">
      <c r="A40" s="13" t="str">
        <f aca="false">TRIM(Raw_Data!A40)</f>
        <v>EMP0039</v>
      </c>
      <c r="B40" s="14" t="n">
        <f aca="false">Raw_Data!B40</f>
        <v>41099</v>
      </c>
      <c r="C40" s="14" t="n">
        <f aca="false">IF(Raw_Data!C40="","",Raw_Data!C40)</f>
        <v>45550</v>
      </c>
      <c r="D40" s="13" t="n">
        <f aca="false">IF(Raw_Data!D40="","",Raw_Data!D40)</f>
        <v>41</v>
      </c>
      <c r="E40" s="13" t="str">
        <f aca="false">IF(UPPER(LEFT(TRIM(Raw_Data!E40),1))="M","Male",IF(UPPER(LEFT(TRIM(Raw_Data!E40),1))="F","Female","Unknown"))</f>
        <v>Male</v>
      </c>
      <c r="F40" s="13" t="str">
        <f aca="false">PROPER(TRIM(SUBSTITUTE(Raw_Data!F40,"'","")))</f>
        <v>Bachelors</v>
      </c>
      <c r="G40" s="13" t="str">
        <f aca="false">PROPER(TRIM(Raw_Data!G40))</f>
        <v>Operations</v>
      </c>
      <c r="H40" s="13" t="str">
        <f aca="false">PROPER(TRIM(Raw_Data!H40))</f>
        <v>Analyst</v>
      </c>
      <c r="I40" s="13" t="n">
        <f aca="false">IF(Raw_Data!I40="",DefaultPerf,Raw_Data!I40)</f>
        <v>3</v>
      </c>
      <c r="J40" s="13" t="n">
        <f aca="false">IF(Raw_Data!J40="",DefaultSat,Raw_Data!J40)</f>
        <v>2</v>
      </c>
      <c r="K40" s="15" t="n">
        <f aca="false">Raw_Data!K40</f>
        <v>72000</v>
      </c>
      <c r="L40" s="13" t="str">
        <f aca="false">PROPER(TRIM(Raw_Data!N40))</f>
        <v>No</v>
      </c>
      <c r="M40" s="13" t="n">
        <f aca="false">IF(C40="",0,1)</f>
        <v>1</v>
      </c>
      <c r="N40" s="13" t="str">
        <f aca="false">IF(M40=0,"Active",IF(TRIM(Raw_Data!L40)="","Unknown",PROPER(TRIM(Raw_Data!L40))))</f>
        <v>Voluntary</v>
      </c>
      <c r="O40" s="13" t="str">
        <f aca="false">IF(M40=0,"",IF(TRIM(Raw_Data!M40)="","Not Recorded",TRIM(Raw_Data!M40)))</f>
        <v>Work-Life Balance</v>
      </c>
      <c r="P40" s="16" t="n">
        <f aca="false">ROUND((IF(C40="",AsOfDate,C40)-B40)/365.25,2)</f>
        <v>12.19</v>
      </c>
      <c r="Q40" s="13" t="str">
        <f aca="false">IF(D40="","Unknown",IF(D40&lt;25,"Under 25",IF(D40&lt;35,"25-34",IF(D40&lt;45,"35-44",IF(D40&lt;55,"45-54","55+")))))</f>
        <v>35-44</v>
      </c>
      <c r="R40" s="13" t="str">
        <f aca="false">IF(P40&lt;1,"0-1 yrs",IF(P40&lt;3,"1-3 yrs",IF(P40&lt;5,"3-5 yrs",IF(P40&lt;10,"5-10 yrs","10+ yrs"))))</f>
        <v>10+ yrs</v>
      </c>
      <c r="S40" s="13" t="str">
        <f aca="false">IF(I40&gt;=4,"High",IF(I40=3,"Medium","Low"))</f>
        <v>Medium</v>
      </c>
      <c r="T40" s="13" t="n">
        <f aca="false">IF(M40=1,YEAR(C40),"")</f>
        <v>2024</v>
      </c>
      <c r="U40" s="13" t="str">
        <f aca="false">IF(M40=1,YEAR(C40)&amp;"-Q"&amp;ROUNDUP(MONTH(C40)/3,0),"")</f>
        <v>2024-Q3</v>
      </c>
      <c r="V40" s="13" t="n">
        <f aca="false">IF(M40=1,MONTH(C40),"")</f>
        <v>9</v>
      </c>
    </row>
    <row r="41" customFormat="false" ht="15" hidden="false" customHeight="false" outlineLevel="0" collapsed="false">
      <c r="A41" s="13" t="str">
        <f aca="false">TRIM(Raw_Data!A41)</f>
        <v>EMP0040</v>
      </c>
      <c r="B41" s="14" t="n">
        <f aca="false">Raw_Data!B41</f>
        <v>41100</v>
      </c>
      <c r="C41" s="14" t="str">
        <f aca="false">IF(Raw_Data!C41="","",Raw_Data!C41)</f>
        <v/>
      </c>
      <c r="D41" s="13" t="n">
        <f aca="false">IF(Raw_Data!D41="","",Raw_Data!D41)</f>
        <v>34</v>
      </c>
      <c r="E41" s="13" t="str">
        <f aca="false">IF(UPPER(LEFT(TRIM(Raw_Data!E41),1))="M","Male",IF(UPPER(LEFT(TRIM(Raw_Data!E41),1))="F","Female","Unknown"))</f>
        <v>Female</v>
      </c>
      <c r="F41" s="13" t="str">
        <f aca="false">PROPER(TRIM(SUBSTITUTE(Raw_Data!F41,"'","")))</f>
        <v>Diploma</v>
      </c>
      <c r="G41" s="13" t="str">
        <f aca="false">PROPER(TRIM(Raw_Data!G41))</f>
        <v>Engineering</v>
      </c>
      <c r="H41" s="13" t="str">
        <f aca="false">PROPER(TRIM(Raw_Data!H41))</f>
        <v>Associate</v>
      </c>
      <c r="I41" s="13" t="n">
        <f aca="false">IF(Raw_Data!I41="",DefaultPerf,Raw_Data!I41)</f>
        <v>5</v>
      </c>
      <c r="J41" s="13" t="n">
        <f aca="false">IF(Raw_Data!J41="",DefaultSat,Raw_Data!J41)</f>
        <v>4</v>
      </c>
      <c r="K41" s="15" t="n">
        <f aca="false">Raw_Data!K41</f>
        <v>53500</v>
      </c>
      <c r="L41" s="13" t="str">
        <f aca="false">PROPER(TRIM(Raw_Data!N41))</f>
        <v>No</v>
      </c>
      <c r="M41" s="13" t="n">
        <f aca="false">IF(C41="",0,1)</f>
        <v>0</v>
      </c>
      <c r="N41" s="13" t="str">
        <f aca="false">IF(M41=0,"Active",IF(TRIM(Raw_Data!L41)="","Unknown",PROPER(TRIM(Raw_Data!L41))))</f>
        <v>Active</v>
      </c>
      <c r="O41" s="13" t="str">
        <f aca="false">IF(M41=0,"",IF(TRIM(Raw_Data!M41)="","Not Recorded",TRIM(Raw_Data!M41)))</f>
        <v/>
      </c>
      <c r="P41" s="16" t="n">
        <f aca="false">ROUND((IF(C41="",AsOfDate,C41)-B41)/365.25,2)</f>
        <v>13.48</v>
      </c>
      <c r="Q41" s="13" t="str">
        <f aca="false">IF(D41="","Unknown",IF(D41&lt;25,"Under 25",IF(D41&lt;35,"25-34",IF(D41&lt;45,"35-44",IF(D41&lt;55,"45-54","55+")))))</f>
        <v>25-34</v>
      </c>
      <c r="R41" s="13" t="str">
        <f aca="false">IF(P41&lt;1,"0-1 yrs",IF(P41&lt;3,"1-3 yrs",IF(P41&lt;5,"3-5 yrs",IF(P41&lt;10,"5-10 yrs","10+ yrs"))))</f>
        <v>10+ yrs</v>
      </c>
      <c r="S41" s="13" t="str">
        <f aca="false">IF(I41&gt;=4,"High",IF(I41=3,"Medium","Low"))</f>
        <v>High</v>
      </c>
      <c r="T41" s="13" t="str">
        <f aca="false">IF(M41=1,YEAR(C41),"")</f>
        <v/>
      </c>
      <c r="U41" s="13" t="str">
        <f aca="false">IF(M41=1,YEAR(C41)&amp;"-Q"&amp;ROUNDUP(MONTH(C41)/3,0),"")</f>
        <v/>
      </c>
      <c r="V41" s="13" t="str">
        <f aca="false">IF(M41=1,MONTH(C41),"")</f>
        <v/>
      </c>
    </row>
    <row r="42" customFormat="false" ht="15" hidden="false" customHeight="false" outlineLevel="0" collapsed="false">
      <c r="A42" s="13" t="str">
        <f aca="false">TRIM(Raw_Data!A42)</f>
        <v>EMP0041</v>
      </c>
      <c r="B42" s="14" t="n">
        <f aca="false">Raw_Data!B42</f>
        <v>41101</v>
      </c>
      <c r="C42" s="14" t="str">
        <f aca="false">IF(Raw_Data!C42="","",Raw_Data!C42)</f>
        <v/>
      </c>
      <c r="D42" s="13" t="n">
        <f aca="false">IF(Raw_Data!D42="","",Raw_Data!D42)</f>
        <v>50</v>
      </c>
      <c r="E42" s="13" t="str">
        <f aca="false">IF(UPPER(LEFT(TRIM(Raw_Data!E42),1))="M","Male",IF(UPPER(LEFT(TRIM(Raw_Data!E42),1))="F","Female","Unknown"))</f>
        <v>Male</v>
      </c>
      <c r="F42" s="13" t="str">
        <f aca="false">PROPER(TRIM(SUBSTITUTE(Raw_Data!F42,"'","")))</f>
        <v>Bachelors</v>
      </c>
      <c r="G42" s="13" t="str">
        <f aca="false">PROPER(TRIM(Raw_Data!G42))</f>
        <v>Operations</v>
      </c>
      <c r="H42" s="13" t="str">
        <f aca="false">PROPER(TRIM(Raw_Data!H42))</f>
        <v>Associate</v>
      </c>
      <c r="I42" s="13" t="n">
        <f aca="false">IF(Raw_Data!I42="",DefaultPerf,Raw_Data!I42)</f>
        <v>4</v>
      </c>
      <c r="J42" s="13" t="n">
        <f aca="false">IF(Raw_Data!J42="",DefaultSat,Raw_Data!J42)</f>
        <v>1</v>
      </c>
      <c r="K42" s="15" t="n">
        <f aca="false">Raw_Data!K42</f>
        <v>51000</v>
      </c>
      <c r="L42" s="13" t="str">
        <f aca="false">PROPER(TRIM(Raw_Data!N42))</f>
        <v>No</v>
      </c>
      <c r="M42" s="13" t="n">
        <f aca="false">IF(C42="",0,1)</f>
        <v>0</v>
      </c>
      <c r="N42" s="13" t="str">
        <f aca="false">IF(M42=0,"Active",IF(TRIM(Raw_Data!L42)="","Unknown",PROPER(TRIM(Raw_Data!L42))))</f>
        <v>Active</v>
      </c>
      <c r="O42" s="13" t="str">
        <f aca="false">IF(M42=0,"",IF(TRIM(Raw_Data!M42)="","Not Recorded",TRIM(Raw_Data!M42)))</f>
        <v/>
      </c>
      <c r="P42" s="16" t="n">
        <f aca="false">ROUND((IF(C42="",AsOfDate,C42)-B42)/365.25,2)</f>
        <v>13.47</v>
      </c>
      <c r="Q42" s="13" t="str">
        <f aca="false">IF(D42="","Unknown",IF(D42&lt;25,"Under 25",IF(D42&lt;35,"25-34",IF(D42&lt;45,"35-44",IF(D42&lt;55,"45-54","55+")))))</f>
        <v>45-54</v>
      </c>
      <c r="R42" s="13" t="str">
        <f aca="false">IF(P42&lt;1,"0-1 yrs",IF(P42&lt;3,"1-3 yrs",IF(P42&lt;5,"3-5 yrs",IF(P42&lt;10,"5-10 yrs","10+ yrs"))))</f>
        <v>10+ yrs</v>
      </c>
      <c r="S42" s="13" t="str">
        <f aca="false">IF(I42&gt;=4,"High",IF(I42=3,"Medium","Low"))</f>
        <v>High</v>
      </c>
      <c r="T42" s="13" t="str">
        <f aca="false">IF(M42=1,YEAR(C42),"")</f>
        <v/>
      </c>
      <c r="U42" s="13" t="str">
        <f aca="false">IF(M42=1,YEAR(C42)&amp;"-Q"&amp;ROUNDUP(MONTH(C42)/3,0),"")</f>
        <v/>
      </c>
      <c r="V42" s="13" t="str">
        <f aca="false">IF(M42=1,MONTH(C42),"")</f>
        <v/>
      </c>
    </row>
    <row r="43" customFormat="false" ht="15" hidden="false" customHeight="false" outlineLevel="0" collapsed="false">
      <c r="A43" s="13" t="str">
        <f aca="false">TRIM(Raw_Data!A43)</f>
        <v>EMP0042</v>
      </c>
      <c r="B43" s="14" t="n">
        <f aca="false">Raw_Data!B43</f>
        <v>41103</v>
      </c>
      <c r="C43" s="14" t="str">
        <f aca="false">IF(Raw_Data!C43="","",Raw_Data!C43)</f>
        <v/>
      </c>
      <c r="D43" s="13" t="n">
        <f aca="false">IF(Raw_Data!D43="","",Raw_Data!D43)</f>
        <v>42</v>
      </c>
      <c r="E43" s="13" t="str">
        <f aca="false">IF(UPPER(LEFT(TRIM(Raw_Data!E43),1))="M","Male",IF(UPPER(LEFT(TRIM(Raw_Data!E43),1))="F","Female","Unknown"))</f>
        <v>Male</v>
      </c>
      <c r="F43" s="13" t="str">
        <f aca="false">PROPER(TRIM(SUBSTITUTE(Raw_Data!F43,"'","")))</f>
        <v>High School</v>
      </c>
      <c r="G43" s="13" t="str">
        <f aca="false">PROPER(TRIM(Raw_Data!G43))</f>
        <v>Sales</v>
      </c>
      <c r="H43" s="13" t="str">
        <f aca="false">PROPER(TRIM(Raw_Data!H43))</f>
        <v>Analyst</v>
      </c>
      <c r="I43" s="13" t="n">
        <f aca="false">IF(Raw_Data!I43="",DefaultPerf,Raw_Data!I43)</f>
        <v>3</v>
      </c>
      <c r="J43" s="13" t="n">
        <f aca="false">IF(Raw_Data!J43="",DefaultSat,Raw_Data!J43)</f>
        <v>3</v>
      </c>
      <c r="K43" s="15" t="n">
        <f aca="false">Raw_Data!K43</f>
        <v>80000</v>
      </c>
      <c r="L43" s="13" t="str">
        <f aca="false">PROPER(TRIM(Raw_Data!N43))</f>
        <v>Yes</v>
      </c>
      <c r="M43" s="13" t="n">
        <f aca="false">IF(C43="",0,1)</f>
        <v>0</v>
      </c>
      <c r="N43" s="13" t="str">
        <f aca="false">IF(M43=0,"Active",IF(TRIM(Raw_Data!L43)="","Unknown",PROPER(TRIM(Raw_Data!L43))))</f>
        <v>Active</v>
      </c>
      <c r="O43" s="13" t="str">
        <f aca="false">IF(M43=0,"",IF(TRIM(Raw_Data!M43)="","Not Recorded",TRIM(Raw_Data!M43)))</f>
        <v/>
      </c>
      <c r="P43" s="16" t="n">
        <f aca="false">ROUND((IF(C43="",AsOfDate,C43)-B43)/365.25,2)</f>
        <v>13.47</v>
      </c>
      <c r="Q43" s="13" t="str">
        <f aca="false">IF(D43="","Unknown",IF(D43&lt;25,"Under 25",IF(D43&lt;35,"25-34",IF(D43&lt;45,"35-44",IF(D43&lt;55,"45-54","55+")))))</f>
        <v>35-44</v>
      </c>
      <c r="R43" s="13" t="str">
        <f aca="false">IF(P43&lt;1,"0-1 yrs",IF(P43&lt;3,"1-3 yrs",IF(P43&lt;5,"3-5 yrs",IF(P43&lt;10,"5-10 yrs","10+ yrs"))))</f>
        <v>10+ yrs</v>
      </c>
      <c r="S43" s="13" t="str">
        <f aca="false">IF(I43&gt;=4,"High",IF(I43=3,"Medium","Low"))</f>
        <v>Medium</v>
      </c>
      <c r="T43" s="13" t="str">
        <f aca="false">IF(M43=1,YEAR(C43),"")</f>
        <v/>
      </c>
      <c r="U43" s="13" t="str">
        <f aca="false">IF(M43=1,YEAR(C43)&amp;"-Q"&amp;ROUNDUP(MONTH(C43)/3,0),"")</f>
        <v/>
      </c>
      <c r="V43" s="13" t="str">
        <f aca="false">IF(M43=1,MONTH(C43),"")</f>
        <v/>
      </c>
    </row>
    <row r="44" customFormat="false" ht="15" hidden="false" customHeight="false" outlineLevel="0" collapsed="false">
      <c r="A44" s="13" t="str">
        <f aca="false">TRIM(Raw_Data!A44)</f>
        <v>EMP0043</v>
      </c>
      <c r="B44" s="14" t="n">
        <f aca="false">Raw_Data!B44</f>
        <v>41115</v>
      </c>
      <c r="C44" s="14" t="str">
        <f aca="false">IF(Raw_Data!C44="","",Raw_Data!C44)</f>
        <v/>
      </c>
      <c r="D44" s="13" t="n">
        <f aca="false">IF(Raw_Data!D44="","",Raw_Data!D44)</f>
        <v>49</v>
      </c>
      <c r="E44" s="13" t="str">
        <f aca="false">IF(UPPER(LEFT(TRIM(Raw_Data!E44),1))="M","Male",IF(UPPER(LEFT(TRIM(Raw_Data!E44),1))="F","Female","Unknown"))</f>
        <v>Female</v>
      </c>
      <c r="F44" s="13" t="str">
        <f aca="false">PROPER(TRIM(SUBSTITUTE(Raw_Data!F44,"'","")))</f>
        <v>Diploma</v>
      </c>
      <c r="G44" s="13" t="str">
        <f aca="false">PROPER(TRIM(Raw_Data!G44))</f>
        <v>Engineering</v>
      </c>
      <c r="H44" s="13" t="str">
        <f aca="false">PROPER(TRIM(Raw_Data!H44))</f>
        <v>Senior Analyst</v>
      </c>
      <c r="I44" s="13" t="n">
        <f aca="false">IF(Raw_Data!I44="",DefaultPerf,Raw_Data!I44)</f>
        <v>4</v>
      </c>
      <c r="J44" s="13" t="n">
        <f aca="false">IF(Raw_Data!J44="",DefaultSat,Raw_Data!J44)</f>
        <v>3</v>
      </c>
      <c r="K44" s="15" t="n">
        <f aca="false">Raw_Data!K44</f>
        <v>149500</v>
      </c>
      <c r="L44" s="13" t="str">
        <f aca="false">PROPER(TRIM(Raw_Data!N44))</f>
        <v>No</v>
      </c>
      <c r="M44" s="13" t="n">
        <f aca="false">IF(C44="",0,1)</f>
        <v>0</v>
      </c>
      <c r="N44" s="13" t="str">
        <f aca="false">IF(M44=0,"Active",IF(TRIM(Raw_Data!L44)="","Unknown",PROPER(TRIM(Raw_Data!L44))))</f>
        <v>Active</v>
      </c>
      <c r="O44" s="13" t="str">
        <f aca="false">IF(M44=0,"",IF(TRIM(Raw_Data!M44)="","Not Recorded",TRIM(Raw_Data!M44)))</f>
        <v/>
      </c>
      <c r="P44" s="16" t="n">
        <f aca="false">ROUND((IF(C44="",AsOfDate,C44)-B44)/365.25,2)</f>
        <v>13.43</v>
      </c>
      <c r="Q44" s="13" t="str">
        <f aca="false">IF(D44="","Unknown",IF(D44&lt;25,"Under 25",IF(D44&lt;35,"25-34",IF(D44&lt;45,"35-44",IF(D44&lt;55,"45-54","55+")))))</f>
        <v>45-54</v>
      </c>
      <c r="R44" s="13" t="str">
        <f aca="false">IF(P44&lt;1,"0-1 yrs",IF(P44&lt;3,"1-3 yrs",IF(P44&lt;5,"3-5 yrs",IF(P44&lt;10,"5-10 yrs","10+ yrs"))))</f>
        <v>10+ yrs</v>
      </c>
      <c r="S44" s="13" t="str">
        <f aca="false">IF(I44&gt;=4,"High",IF(I44=3,"Medium","Low"))</f>
        <v>High</v>
      </c>
      <c r="T44" s="13" t="str">
        <f aca="false">IF(M44=1,YEAR(C44),"")</f>
        <v/>
      </c>
      <c r="U44" s="13" t="str">
        <f aca="false">IF(M44=1,YEAR(C44)&amp;"-Q"&amp;ROUNDUP(MONTH(C44)/3,0),"")</f>
        <v/>
      </c>
      <c r="V44" s="13" t="str">
        <f aca="false">IF(M44=1,MONTH(C44),"")</f>
        <v/>
      </c>
    </row>
    <row r="45" customFormat="false" ht="15" hidden="false" customHeight="false" outlineLevel="0" collapsed="false">
      <c r="A45" s="13" t="str">
        <f aca="false">TRIM(Raw_Data!A45)</f>
        <v>EMP0044</v>
      </c>
      <c r="B45" s="14" t="n">
        <f aca="false">Raw_Data!B45</f>
        <v>41120</v>
      </c>
      <c r="C45" s="14" t="str">
        <f aca="false">IF(Raw_Data!C45="","",Raw_Data!C45)</f>
        <v/>
      </c>
      <c r="D45" s="13" t="n">
        <f aca="false">IF(Raw_Data!D45="","",Raw_Data!D45)</f>
        <v>39</v>
      </c>
      <c r="E45" s="13" t="str">
        <f aca="false">IF(UPPER(LEFT(TRIM(Raw_Data!E45),1))="M","Male",IF(UPPER(LEFT(TRIM(Raw_Data!E45),1))="F","Female","Unknown"))</f>
        <v>Male</v>
      </c>
      <c r="F45" s="13" t="str">
        <f aca="false">PROPER(TRIM(SUBSTITUTE(Raw_Data!F45,"'","")))</f>
        <v>Bachelors</v>
      </c>
      <c r="G45" s="13" t="str">
        <f aca="false">PROPER(TRIM(Raw_Data!G45))</f>
        <v>Sales</v>
      </c>
      <c r="H45" s="13" t="str">
        <f aca="false">PROPER(TRIM(Raw_Data!H45))</f>
        <v>Analyst</v>
      </c>
      <c r="I45" s="13" t="n">
        <f aca="false">IF(Raw_Data!I45="",DefaultPerf,Raw_Data!I45)</f>
        <v>4</v>
      </c>
      <c r="J45" s="13" t="n">
        <f aca="false">IF(Raw_Data!J45="",DefaultSat,Raw_Data!J45)</f>
        <v>4</v>
      </c>
      <c r="K45" s="15" t="n">
        <f aca="false">Raw_Data!K45</f>
        <v>100500</v>
      </c>
      <c r="L45" s="13" t="str">
        <f aca="false">PROPER(TRIM(Raw_Data!N45))</f>
        <v>No</v>
      </c>
      <c r="M45" s="13" t="n">
        <f aca="false">IF(C45="",0,1)</f>
        <v>0</v>
      </c>
      <c r="N45" s="13" t="str">
        <f aca="false">IF(M45=0,"Active",IF(TRIM(Raw_Data!L45)="","Unknown",PROPER(TRIM(Raw_Data!L45))))</f>
        <v>Active</v>
      </c>
      <c r="O45" s="13" t="str">
        <f aca="false">IF(M45=0,"",IF(TRIM(Raw_Data!M45)="","Not Recorded",TRIM(Raw_Data!M45)))</f>
        <v/>
      </c>
      <c r="P45" s="16" t="n">
        <f aca="false">ROUND((IF(C45="",AsOfDate,C45)-B45)/365.25,2)</f>
        <v>13.42</v>
      </c>
      <c r="Q45" s="13" t="str">
        <f aca="false">IF(D45="","Unknown",IF(D45&lt;25,"Under 25",IF(D45&lt;35,"25-34",IF(D45&lt;45,"35-44",IF(D45&lt;55,"45-54","55+")))))</f>
        <v>35-44</v>
      </c>
      <c r="R45" s="13" t="str">
        <f aca="false">IF(P45&lt;1,"0-1 yrs",IF(P45&lt;3,"1-3 yrs",IF(P45&lt;5,"3-5 yrs",IF(P45&lt;10,"5-10 yrs","10+ yrs"))))</f>
        <v>10+ yrs</v>
      </c>
      <c r="S45" s="13" t="str">
        <f aca="false">IF(I45&gt;=4,"High",IF(I45=3,"Medium","Low"))</f>
        <v>High</v>
      </c>
      <c r="T45" s="13" t="str">
        <f aca="false">IF(M45=1,YEAR(C45),"")</f>
        <v/>
      </c>
      <c r="U45" s="13" t="str">
        <f aca="false">IF(M45=1,YEAR(C45)&amp;"-Q"&amp;ROUNDUP(MONTH(C45)/3,0),"")</f>
        <v/>
      </c>
      <c r="V45" s="13" t="str">
        <f aca="false">IF(M45=1,MONTH(C45),"")</f>
        <v/>
      </c>
    </row>
    <row r="46" customFormat="false" ht="15" hidden="false" customHeight="false" outlineLevel="0" collapsed="false">
      <c r="A46" s="13" t="str">
        <f aca="false">TRIM(Raw_Data!A46)</f>
        <v>EMP0045</v>
      </c>
      <c r="B46" s="14" t="n">
        <f aca="false">Raw_Data!B46</f>
        <v>41134</v>
      </c>
      <c r="C46" s="14" t="n">
        <f aca="false">IF(Raw_Data!C46="","",Raw_Data!C46)</f>
        <v>45311</v>
      </c>
      <c r="D46" s="13" t="n">
        <f aca="false">IF(Raw_Data!D46="","",Raw_Data!D46)</f>
        <v>32</v>
      </c>
      <c r="E46" s="13" t="str">
        <f aca="false">IF(UPPER(LEFT(TRIM(Raw_Data!E46),1))="M","Male",IF(UPPER(LEFT(TRIM(Raw_Data!E46),1))="F","Female","Unknown"))</f>
        <v>Male</v>
      </c>
      <c r="F46" s="13" t="str">
        <f aca="false">PROPER(TRIM(SUBSTITUTE(Raw_Data!F46,"'","")))</f>
        <v>High School</v>
      </c>
      <c r="G46" s="13" t="str">
        <f aca="false">PROPER(TRIM(Raw_Data!G46))</f>
        <v>Operations</v>
      </c>
      <c r="H46" s="13" t="str">
        <f aca="false">PROPER(TRIM(Raw_Data!H46))</f>
        <v>Associate</v>
      </c>
      <c r="I46" s="13" t="n">
        <f aca="false">IF(Raw_Data!I46="",DefaultPerf,Raw_Data!I46)</f>
        <v>5</v>
      </c>
      <c r="J46" s="13" t="n">
        <f aca="false">IF(Raw_Data!J46="",DefaultSat,Raw_Data!J46)</f>
        <v>1</v>
      </c>
      <c r="K46" s="15" t="n">
        <f aca="false">Raw_Data!K46</f>
        <v>48000</v>
      </c>
      <c r="L46" s="13" t="str">
        <f aca="false">PROPER(TRIM(Raw_Data!N46))</f>
        <v>No</v>
      </c>
      <c r="M46" s="13" t="n">
        <f aca="false">IF(C46="",0,1)</f>
        <v>1</v>
      </c>
      <c r="N46" s="13" t="str">
        <f aca="false">IF(M46=0,"Active",IF(TRIM(Raw_Data!L46)="","Unknown",PROPER(TRIM(Raw_Data!L46))))</f>
        <v>Voluntary</v>
      </c>
      <c r="O46" s="13" t="str">
        <f aca="false">IF(M46=0,"",IF(TRIM(Raw_Data!M46)="","Not Recorded",TRIM(Raw_Data!M46)))</f>
        <v>Career Growth</v>
      </c>
      <c r="P46" s="16" t="n">
        <f aca="false">ROUND((IF(C46="",AsOfDate,C46)-B46)/365.25,2)</f>
        <v>11.44</v>
      </c>
      <c r="Q46" s="13" t="str">
        <f aca="false">IF(D46="","Unknown",IF(D46&lt;25,"Under 25",IF(D46&lt;35,"25-34",IF(D46&lt;45,"35-44",IF(D46&lt;55,"45-54","55+")))))</f>
        <v>25-34</v>
      </c>
      <c r="R46" s="13" t="str">
        <f aca="false">IF(P46&lt;1,"0-1 yrs",IF(P46&lt;3,"1-3 yrs",IF(P46&lt;5,"3-5 yrs",IF(P46&lt;10,"5-10 yrs","10+ yrs"))))</f>
        <v>10+ yrs</v>
      </c>
      <c r="S46" s="13" t="str">
        <f aca="false">IF(I46&gt;=4,"High",IF(I46=3,"Medium","Low"))</f>
        <v>High</v>
      </c>
      <c r="T46" s="13" t="n">
        <f aca="false">IF(M46=1,YEAR(C46),"")</f>
        <v>2024</v>
      </c>
      <c r="U46" s="13" t="str">
        <f aca="false">IF(M46=1,YEAR(C46)&amp;"-Q"&amp;ROUNDUP(MONTH(C46)/3,0),"")</f>
        <v>2024-Q1</v>
      </c>
      <c r="V46" s="13" t="n">
        <f aca="false">IF(M46=1,MONTH(C46),"")</f>
        <v>1</v>
      </c>
    </row>
    <row r="47" customFormat="false" ht="15" hidden="false" customHeight="false" outlineLevel="0" collapsed="false">
      <c r="A47" s="13" t="str">
        <f aca="false">TRIM(Raw_Data!A47)</f>
        <v>EMP0046</v>
      </c>
      <c r="B47" s="14" t="n">
        <f aca="false">Raw_Data!B47</f>
        <v>41135</v>
      </c>
      <c r="C47" s="14" t="str">
        <f aca="false">IF(Raw_Data!C47="","",Raw_Data!C47)</f>
        <v/>
      </c>
      <c r="D47" s="13" t="n">
        <f aca="false">IF(Raw_Data!D47="","",Raw_Data!D47)</f>
        <v>39</v>
      </c>
      <c r="E47" s="13" t="str">
        <f aca="false">IF(UPPER(LEFT(TRIM(Raw_Data!E47),1))="M","Male",IF(UPPER(LEFT(TRIM(Raw_Data!E47),1))="F","Female","Unknown"))</f>
        <v>Male</v>
      </c>
      <c r="F47" s="13" t="str">
        <f aca="false">PROPER(TRIM(SUBSTITUTE(Raw_Data!F47,"'","")))</f>
        <v>Diploma</v>
      </c>
      <c r="G47" s="13" t="str">
        <f aca="false">PROPER(TRIM(Raw_Data!G47))</f>
        <v>Sales</v>
      </c>
      <c r="H47" s="13" t="str">
        <f aca="false">PROPER(TRIM(Raw_Data!H47))</f>
        <v>Specialist</v>
      </c>
      <c r="I47" s="13" t="n">
        <f aca="false">IF(Raw_Data!I47="",DefaultPerf,Raw_Data!I47)</f>
        <v>3</v>
      </c>
      <c r="J47" s="13" t="n">
        <f aca="false">IF(Raw_Data!J47="",DefaultSat,Raw_Data!J47)</f>
        <v>3</v>
      </c>
      <c r="K47" s="15" t="n">
        <f aca="false">Raw_Data!K47</f>
        <v>130500</v>
      </c>
      <c r="L47" s="13" t="str">
        <f aca="false">PROPER(TRIM(Raw_Data!N47))</f>
        <v>No</v>
      </c>
      <c r="M47" s="13" t="n">
        <f aca="false">IF(C47="",0,1)</f>
        <v>0</v>
      </c>
      <c r="N47" s="13" t="str">
        <f aca="false">IF(M47=0,"Active",IF(TRIM(Raw_Data!L47)="","Unknown",PROPER(TRIM(Raw_Data!L47))))</f>
        <v>Active</v>
      </c>
      <c r="O47" s="13" t="str">
        <f aca="false">IF(M47=0,"",IF(TRIM(Raw_Data!M47)="","Not Recorded",TRIM(Raw_Data!M47)))</f>
        <v/>
      </c>
      <c r="P47" s="16" t="n">
        <f aca="false">ROUND((IF(C47="",AsOfDate,C47)-B47)/365.25,2)</f>
        <v>13.38</v>
      </c>
      <c r="Q47" s="13" t="str">
        <f aca="false">IF(D47="","Unknown",IF(D47&lt;25,"Under 25",IF(D47&lt;35,"25-34",IF(D47&lt;45,"35-44",IF(D47&lt;55,"45-54","55+")))))</f>
        <v>35-44</v>
      </c>
      <c r="R47" s="13" t="str">
        <f aca="false">IF(P47&lt;1,"0-1 yrs",IF(P47&lt;3,"1-3 yrs",IF(P47&lt;5,"3-5 yrs",IF(P47&lt;10,"5-10 yrs","10+ yrs"))))</f>
        <v>10+ yrs</v>
      </c>
      <c r="S47" s="13" t="str">
        <f aca="false">IF(I47&gt;=4,"High",IF(I47=3,"Medium","Low"))</f>
        <v>Medium</v>
      </c>
      <c r="T47" s="13" t="str">
        <f aca="false">IF(M47=1,YEAR(C47),"")</f>
        <v/>
      </c>
      <c r="U47" s="13" t="str">
        <f aca="false">IF(M47=1,YEAR(C47)&amp;"-Q"&amp;ROUNDUP(MONTH(C47)/3,0),"")</f>
        <v/>
      </c>
      <c r="V47" s="13" t="str">
        <f aca="false">IF(M47=1,MONTH(C47),"")</f>
        <v/>
      </c>
    </row>
    <row r="48" customFormat="false" ht="15" hidden="false" customHeight="false" outlineLevel="0" collapsed="false">
      <c r="A48" s="13" t="str">
        <f aca="false">TRIM(Raw_Data!A48)</f>
        <v>EMP0047</v>
      </c>
      <c r="B48" s="14" t="n">
        <f aca="false">Raw_Data!B48</f>
        <v>41136</v>
      </c>
      <c r="C48" s="14" t="str">
        <f aca="false">IF(Raw_Data!C48="","",Raw_Data!C48)</f>
        <v/>
      </c>
      <c r="D48" s="13" t="n">
        <f aca="false">IF(Raw_Data!D48="","",Raw_Data!D48)</f>
        <v>35</v>
      </c>
      <c r="E48" s="13" t="str">
        <f aca="false">IF(UPPER(LEFT(TRIM(Raw_Data!E48),1))="M","Male",IF(UPPER(LEFT(TRIM(Raw_Data!E48),1))="F","Female","Unknown"))</f>
        <v>Male</v>
      </c>
      <c r="F48" s="13" t="str">
        <f aca="false">PROPER(TRIM(SUBSTITUTE(Raw_Data!F48,"'","")))</f>
        <v>Bachelors</v>
      </c>
      <c r="G48" s="13" t="str">
        <f aca="false">PROPER(TRIM(Raw_Data!G48))</f>
        <v>Engineering</v>
      </c>
      <c r="H48" s="13" t="str">
        <f aca="false">PROPER(TRIM(Raw_Data!H48))</f>
        <v>Analyst</v>
      </c>
      <c r="I48" s="13" t="n">
        <f aca="false">IF(Raw_Data!I48="",DefaultPerf,Raw_Data!I48)</f>
        <v>4</v>
      </c>
      <c r="J48" s="13" t="n">
        <f aca="false">IF(Raw_Data!J48="",DefaultSat,Raw_Data!J48)</f>
        <v>3</v>
      </c>
      <c r="K48" s="15" t="n">
        <f aca="false">Raw_Data!K48</f>
        <v>80500</v>
      </c>
      <c r="L48" s="13" t="str">
        <f aca="false">PROPER(TRIM(Raw_Data!N48))</f>
        <v>No</v>
      </c>
      <c r="M48" s="13" t="n">
        <f aca="false">IF(C48="",0,1)</f>
        <v>0</v>
      </c>
      <c r="N48" s="13" t="str">
        <f aca="false">IF(M48=0,"Active",IF(TRIM(Raw_Data!L48)="","Unknown",PROPER(TRIM(Raw_Data!L48))))</f>
        <v>Active</v>
      </c>
      <c r="O48" s="13" t="str">
        <f aca="false">IF(M48=0,"",IF(TRIM(Raw_Data!M48)="","Not Recorded",TRIM(Raw_Data!M48)))</f>
        <v/>
      </c>
      <c r="P48" s="16" t="n">
        <f aca="false">ROUND((IF(C48="",AsOfDate,C48)-B48)/365.25,2)</f>
        <v>13.38</v>
      </c>
      <c r="Q48" s="13" t="str">
        <f aca="false">IF(D48="","Unknown",IF(D48&lt;25,"Under 25",IF(D48&lt;35,"25-34",IF(D48&lt;45,"35-44",IF(D48&lt;55,"45-54","55+")))))</f>
        <v>35-44</v>
      </c>
      <c r="R48" s="13" t="str">
        <f aca="false">IF(P48&lt;1,"0-1 yrs",IF(P48&lt;3,"1-3 yrs",IF(P48&lt;5,"3-5 yrs",IF(P48&lt;10,"5-10 yrs","10+ yrs"))))</f>
        <v>10+ yrs</v>
      </c>
      <c r="S48" s="13" t="str">
        <f aca="false">IF(I48&gt;=4,"High",IF(I48=3,"Medium","Low"))</f>
        <v>High</v>
      </c>
      <c r="T48" s="13" t="str">
        <f aca="false">IF(M48=1,YEAR(C48),"")</f>
        <v/>
      </c>
      <c r="U48" s="13" t="str">
        <f aca="false">IF(M48=1,YEAR(C48)&amp;"-Q"&amp;ROUNDUP(MONTH(C48)/3,0),"")</f>
        <v/>
      </c>
      <c r="V48" s="13" t="str">
        <f aca="false">IF(M48=1,MONTH(C48),"")</f>
        <v/>
      </c>
    </row>
    <row r="49" customFormat="false" ht="15" hidden="false" customHeight="false" outlineLevel="0" collapsed="false">
      <c r="A49" s="13" t="str">
        <f aca="false">TRIM(Raw_Data!A49)</f>
        <v>EMP0048</v>
      </c>
      <c r="B49" s="14" t="n">
        <f aca="false">Raw_Data!B49</f>
        <v>41136</v>
      </c>
      <c r="C49" s="14" t="str">
        <f aca="false">IF(Raw_Data!C49="","",Raw_Data!C49)</f>
        <v/>
      </c>
      <c r="D49" s="13" t="n">
        <f aca="false">IF(Raw_Data!D49="","",Raw_Data!D49)</f>
        <v>43</v>
      </c>
      <c r="E49" s="13" t="str">
        <f aca="false">IF(UPPER(LEFT(TRIM(Raw_Data!E49),1))="M","Male",IF(UPPER(LEFT(TRIM(Raw_Data!E49),1))="F","Female","Unknown"))</f>
        <v>Female</v>
      </c>
      <c r="F49" s="13" t="str">
        <f aca="false">PROPER(TRIM(SUBSTITUTE(Raw_Data!F49,"'","")))</f>
        <v>High School</v>
      </c>
      <c r="G49" s="13" t="str">
        <f aca="false">PROPER(TRIM(Raw_Data!G49))</f>
        <v>Engineering</v>
      </c>
      <c r="H49" s="13" t="str">
        <f aca="false">PROPER(TRIM(Raw_Data!H49))</f>
        <v>Analyst</v>
      </c>
      <c r="I49" s="13" t="n">
        <f aca="false">IF(Raw_Data!I49="",DefaultPerf,Raw_Data!I49)</f>
        <v>2</v>
      </c>
      <c r="J49" s="13" t="n">
        <f aca="false">IF(Raw_Data!J49="",DefaultSat,Raw_Data!J49)</f>
        <v>2</v>
      </c>
      <c r="K49" s="15" t="n">
        <f aca="false">Raw_Data!K49</f>
        <v>69000</v>
      </c>
      <c r="L49" s="13" t="str">
        <f aca="false">PROPER(TRIM(Raw_Data!N49))</f>
        <v>No</v>
      </c>
      <c r="M49" s="13" t="n">
        <f aca="false">IF(C49="",0,1)</f>
        <v>0</v>
      </c>
      <c r="N49" s="13" t="str">
        <f aca="false">IF(M49=0,"Active",IF(TRIM(Raw_Data!L49)="","Unknown",PROPER(TRIM(Raw_Data!L49))))</f>
        <v>Active</v>
      </c>
      <c r="O49" s="13" t="str">
        <f aca="false">IF(M49=0,"",IF(TRIM(Raw_Data!M49)="","Not Recorded",TRIM(Raw_Data!M49)))</f>
        <v/>
      </c>
      <c r="P49" s="16" t="n">
        <f aca="false">ROUND((IF(C49="",AsOfDate,C49)-B49)/365.25,2)</f>
        <v>13.38</v>
      </c>
      <c r="Q49" s="13" t="str">
        <f aca="false">IF(D49="","Unknown",IF(D49&lt;25,"Under 25",IF(D49&lt;35,"25-34",IF(D49&lt;45,"35-44",IF(D49&lt;55,"45-54","55+")))))</f>
        <v>35-44</v>
      </c>
      <c r="R49" s="13" t="str">
        <f aca="false">IF(P49&lt;1,"0-1 yrs",IF(P49&lt;3,"1-3 yrs",IF(P49&lt;5,"3-5 yrs",IF(P49&lt;10,"5-10 yrs","10+ yrs"))))</f>
        <v>10+ yrs</v>
      </c>
      <c r="S49" s="13" t="str">
        <f aca="false">IF(I49&gt;=4,"High",IF(I49=3,"Medium","Low"))</f>
        <v>Low</v>
      </c>
      <c r="T49" s="13" t="str">
        <f aca="false">IF(M49=1,YEAR(C49),"")</f>
        <v/>
      </c>
      <c r="U49" s="13" t="str">
        <f aca="false">IF(M49=1,YEAR(C49)&amp;"-Q"&amp;ROUNDUP(MONTH(C49)/3,0),"")</f>
        <v/>
      </c>
      <c r="V49" s="13" t="str">
        <f aca="false">IF(M49=1,MONTH(C49),"")</f>
        <v/>
      </c>
    </row>
    <row r="50" customFormat="false" ht="15" hidden="false" customHeight="false" outlineLevel="0" collapsed="false">
      <c r="A50" s="13" t="str">
        <f aca="false">TRIM(Raw_Data!A50)</f>
        <v>EMP0049</v>
      </c>
      <c r="B50" s="14" t="n">
        <f aca="false">Raw_Data!B50</f>
        <v>41141</v>
      </c>
      <c r="C50" s="14" t="str">
        <f aca="false">IF(Raw_Data!C50="","",Raw_Data!C50)</f>
        <v/>
      </c>
      <c r="D50" s="13" t="n">
        <f aca="false">IF(Raw_Data!D50="","",Raw_Data!D50)</f>
        <v>43</v>
      </c>
      <c r="E50" s="13" t="str">
        <f aca="false">IF(UPPER(LEFT(TRIM(Raw_Data!E50),1))="M","Male",IF(UPPER(LEFT(TRIM(Raw_Data!E50),1))="F","Female","Unknown"))</f>
        <v>Male</v>
      </c>
      <c r="F50" s="13" t="str">
        <f aca="false">PROPER(TRIM(SUBSTITUTE(Raw_Data!F50,"'","")))</f>
        <v>Doctorate</v>
      </c>
      <c r="G50" s="13" t="str">
        <f aca="false">PROPER(TRIM(Raw_Data!G50))</f>
        <v>Sales</v>
      </c>
      <c r="H50" s="13" t="str">
        <f aca="false">PROPER(TRIM(Raw_Data!H50))</f>
        <v>Associate</v>
      </c>
      <c r="I50" s="13" t="n">
        <f aca="false">IF(Raw_Data!I50="",DefaultPerf,Raw_Data!I50)</f>
        <v>3</v>
      </c>
      <c r="J50" s="13" t="n">
        <f aca="false">IF(Raw_Data!J50="",DefaultSat,Raw_Data!J50)</f>
        <v>2</v>
      </c>
      <c r="K50" s="15" t="n">
        <f aca="false">Raw_Data!K50</f>
        <v>50000</v>
      </c>
      <c r="L50" s="13" t="str">
        <f aca="false">PROPER(TRIM(Raw_Data!N50))</f>
        <v>No</v>
      </c>
      <c r="M50" s="13" t="n">
        <f aca="false">IF(C50="",0,1)</f>
        <v>0</v>
      </c>
      <c r="N50" s="13" t="str">
        <f aca="false">IF(M50=0,"Active",IF(TRIM(Raw_Data!L50)="","Unknown",PROPER(TRIM(Raw_Data!L50))))</f>
        <v>Active</v>
      </c>
      <c r="O50" s="13" t="str">
        <f aca="false">IF(M50=0,"",IF(TRIM(Raw_Data!M50)="","Not Recorded",TRIM(Raw_Data!M50)))</f>
        <v/>
      </c>
      <c r="P50" s="16" t="n">
        <f aca="false">ROUND((IF(C50="",AsOfDate,C50)-B50)/365.25,2)</f>
        <v>13.36</v>
      </c>
      <c r="Q50" s="13" t="str">
        <f aca="false">IF(D50="","Unknown",IF(D50&lt;25,"Under 25",IF(D50&lt;35,"25-34",IF(D50&lt;45,"35-44",IF(D50&lt;55,"45-54","55+")))))</f>
        <v>35-44</v>
      </c>
      <c r="R50" s="13" t="str">
        <f aca="false">IF(P50&lt;1,"0-1 yrs",IF(P50&lt;3,"1-3 yrs",IF(P50&lt;5,"3-5 yrs",IF(P50&lt;10,"5-10 yrs","10+ yrs"))))</f>
        <v>10+ yrs</v>
      </c>
      <c r="S50" s="13" t="str">
        <f aca="false">IF(I50&gt;=4,"High",IF(I50=3,"Medium","Low"))</f>
        <v>Medium</v>
      </c>
      <c r="T50" s="13" t="str">
        <f aca="false">IF(M50=1,YEAR(C50),"")</f>
        <v/>
      </c>
      <c r="U50" s="13" t="str">
        <f aca="false">IF(M50=1,YEAR(C50)&amp;"-Q"&amp;ROUNDUP(MONTH(C50)/3,0),"")</f>
        <v/>
      </c>
      <c r="V50" s="13" t="str">
        <f aca="false">IF(M50=1,MONTH(C50),"")</f>
        <v/>
      </c>
    </row>
    <row r="51" customFormat="false" ht="15" hidden="false" customHeight="false" outlineLevel="0" collapsed="false">
      <c r="A51" s="13" t="str">
        <f aca="false">TRIM(Raw_Data!A51)</f>
        <v>EMP0050</v>
      </c>
      <c r="B51" s="14" t="n">
        <f aca="false">Raw_Data!B51</f>
        <v>41143</v>
      </c>
      <c r="C51" s="14" t="str">
        <f aca="false">IF(Raw_Data!C51="","",Raw_Data!C51)</f>
        <v/>
      </c>
      <c r="D51" s="13" t="n">
        <f aca="false">IF(Raw_Data!D51="","",Raw_Data!D51)</f>
        <v>40</v>
      </c>
      <c r="E51" s="13" t="str">
        <f aca="false">IF(UPPER(LEFT(TRIM(Raw_Data!E51),1))="M","Male",IF(UPPER(LEFT(TRIM(Raw_Data!E51),1))="F","Female","Unknown"))</f>
        <v>Female</v>
      </c>
      <c r="F51" s="13" t="str">
        <f aca="false">PROPER(TRIM(SUBSTITUTE(Raw_Data!F51,"'","")))</f>
        <v>Masters</v>
      </c>
      <c r="G51" s="13" t="str">
        <f aca="false">PROPER(TRIM(Raw_Data!G51))</f>
        <v>Operations</v>
      </c>
      <c r="H51" s="13" t="str">
        <f aca="false">PROPER(TRIM(Raw_Data!H51))</f>
        <v>Associate</v>
      </c>
      <c r="I51" s="13" t="n">
        <f aca="false">IF(Raw_Data!I51="",DefaultPerf,Raw_Data!I51)</f>
        <v>4</v>
      </c>
      <c r="J51" s="13" t="n">
        <f aca="false">IF(Raw_Data!J51="",DefaultSat,Raw_Data!J51)</f>
        <v>2</v>
      </c>
      <c r="K51" s="15" t="n">
        <f aca="false">Raw_Data!K51</f>
        <v>45000</v>
      </c>
      <c r="L51" s="13" t="str">
        <f aca="false">PROPER(TRIM(Raw_Data!N51))</f>
        <v>No</v>
      </c>
      <c r="M51" s="13" t="n">
        <f aca="false">IF(C51="",0,1)</f>
        <v>0</v>
      </c>
      <c r="N51" s="13" t="str">
        <f aca="false">IF(M51=0,"Active",IF(TRIM(Raw_Data!L51)="","Unknown",PROPER(TRIM(Raw_Data!L51))))</f>
        <v>Active</v>
      </c>
      <c r="O51" s="13" t="str">
        <f aca="false">IF(M51=0,"",IF(TRIM(Raw_Data!M51)="","Not Recorded",TRIM(Raw_Data!M51)))</f>
        <v/>
      </c>
      <c r="P51" s="16" t="n">
        <f aca="false">ROUND((IF(C51="",AsOfDate,C51)-B51)/365.25,2)</f>
        <v>13.36</v>
      </c>
      <c r="Q51" s="13" t="str">
        <f aca="false">IF(D51="","Unknown",IF(D51&lt;25,"Under 25",IF(D51&lt;35,"25-34",IF(D51&lt;45,"35-44",IF(D51&lt;55,"45-54","55+")))))</f>
        <v>35-44</v>
      </c>
      <c r="R51" s="13" t="str">
        <f aca="false">IF(P51&lt;1,"0-1 yrs",IF(P51&lt;3,"1-3 yrs",IF(P51&lt;5,"3-5 yrs",IF(P51&lt;10,"5-10 yrs","10+ yrs"))))</f>
        <v>10+ yrs</v>
      </c>
      <c r="S51" s="13" t="str">
        <f aca="false">IF(I51&gt;=4,"High",IF(I51=3,"Medium","Low"))</f>
        <v>High</v>
      </c>
      <c r="T51" s="13" t="str">
        <f aca="false">IF(M51=1,YEAR(C51),"")</f>
        <v/>
      </c>
      <c r="U51" s="13" t="str">
        <f aca="false">IF(M51=1,YEAR(C51)&amp;"-Q"&amp;ROUNDUP(MONTH(C51)/3,0),"")</f>
        <v/>
      </c>
      <c r="V51" s="13" t="str">
        <f aca="false">IF(M51=1,MONTH(C51),"")</f>
        <v/>
      </c>
    </row>
    <row r="52" customFormat="false" ht="15" hidden="false" customHeight="false" outlineLevel="0" collapsed="false">
      <c r="A52" s="13" t="str">
        <f aca="false">TRIM(Raw_Data!A52)</f>
        <v>EMP0051</v>
      </c>
      <c r="B52" s="14" t="n">
        <f aca="false">Raw_Data!B52</f>
        <v>41147</v>
      </c>
      <c r="C52" s="14" t="str">
        <f aca="false">IF(Raw_Data!C52="","",Raw_Data!C52)</f>
        <v/>
      </c>
      <c r="D52" s="13" t="n">
        <f aca="false">IF(Raw_Data!D52="","",Raw_Data!D52)</f>
        <v>51</v>
      </c>
      <c r="E52" s="13" t="str">
        <f aca="false">IF(UPPER(LEFT(TRIM(Raw_Data!E52),1))="M","Male",IF(UPPER(LEFT(TRIM(Raw_Data!E52),1))="F","Female","Unknown"))</f>
        <v>Male</v>
      </c>
      <c r="F52" s="13" t="str">
        <f aca="false">PROPER(TRIM(SUBSTITUTE(Raw_Data!F52,"'","")))</f>
        <v>Masters</v>
      </c>
      <c r="G52" s="13" t="str">
        <f aca="false">PROPER(TRIM(Raw_Data!G52))</f>
        <v>Human Resources</v>
      </c>
      <c r="H52" s="13" t="str">
        <f aca="false">PROPER(TRIM(Raw_Data!H52))</f>
        <v>Specialist</v>
      </c>
      <c r="I52" s="13" t="n">
        <f aca="false">IF(Raw_Data!I52="",DefaultPerf,Raw_Data!I52)</f>
        <v>4</v>
      </c>
      <c r="J52" s="13" t="n">
        <f aca="false">IF(Raw_Data!J52="",DefaultSat,Raw_Data!J52)</f>
        <v>2</v>
      </c>
      <c r="K52" s="15" t="n">
        <f aca="false">Raw_Data!K52</f>
        <v>126000</v>
      </c>
      <c r="L52" s="13" t="str">
        <f aca="false">PROPER(TRIM(Raw_Data!N52))</f>
        <v>No</v>
      </c>
      <c r="M52" s="13" t="n">
        <f aca="false">IF(C52="",0,1)</f>
        <v>0</v>
      </c>
      <c r="N52" s="13" t="str">
        <f aca="false">IF(M52=0,"Active",IF(TRIM(Raw_Data!L52)="","Unknown",PROPER(TRIM(Raw_Data!L52))))</f>
        <v>Active</v>
      </c>
      <c r="O52" s="13" t="str">
        <f aca="false">IF(M52=0,"",IF(TRIM(Raw_Data!M52)="","Not Recorded",TRIM(Raw_Data!M52)))</f>
        <v/>
      </c>
      <c r="P52" s="16" t="n">
        <f aca="false">ROUND((IF(C52="",AsOfDate,C52)-B52)/365.25,2)</f>
        <v>13.35</v>
      </c>
      <c r="Q52" s="13" t="str">
        <f aca="false">IF(D52="","Unknown",IF(D52&lt;25,"Under 25",IF(D52&lt;35,"25-34",IF(D52&lt;45,"35-44",IF(D52&lt;55,"45-54","55+")))))</f>
        <v>45-54</v>
      </c>
      <c r="R52" s="13" t="str">
        <f aca="false">IF(P52&lt;1,"0-1 yrs",IF(P52&lt;3,"1-3 yrs",IF(P52&lt;5,"3-5 yrs",IF(P52&lt;10,"5-10 yrs","10+ yrs"))))</f>
        <v>10+ yrs</v>
      </c>
      <c r="S52" s="13" t="str">
        <f aca="false">IF(I52&gt;=4,"High",IF(I52=3,"Medium","Low"))</f>
        <v>High</v>
      </c>
      <c r="T52" s="13" t="str">
        <f aca="false">IF(M52=1,YEAR(C52),"")</f>
        <v/>
      </c>
      <c r="U52" s="13" t="str">
        <f aca="false">IF(M52=1,YEAR(C52)&amp;"-Q"&amp;ROUNDUP(MONTH(C52)/3,0),"")</f>
        <v/>
      </c>
      <c r="V52" s="13" t="str">
        <f aca="false">IF(M52=1,MONTH(C52),"")</f>
        <v/>
      </c>
    </row>
    <row r="53" customFormat="false" ht="15" hidden="false" customHeight="false" outlineLevel="0" collapsed="false">
      <c r="A53" s="13" t="str">
        <f aca="false">TRIM(Raw_Data!A53)</f>
        <v>EMP0052</v>
      </c>
      <c r="B53" s="14" t="n">
        <f aca="false">Raw_Data!B53</f>
        <v>41149</v>
      </c>
      <c r="C53" s="14" t="str">
        <f aca="false">IF(Raw_Data!C53="","",Raw_Data!C53)</f>
        <v/>
      </c>
      <c r="D53" s="13" t="n">
        <f aca="false">IF(Raw_Data!D53="","",Raw_Data!D53)</f>
        <v>37</v>
      </c>
      <c r="E53" s="13" t="str">
        <f aca="false">IF(UPPER(LEFT(TRIM(Raw_Data!E53),1))="M","Male",IF(UPPER(LEFT(TRIM(Raw_Data!E53),1))="F","Female","Unknown"))</f>
        <v>Male</v>
      </c>
      <c r="F53" s="13" t="str">
        <f aca="false">PROPER(TRIM(SUBSTITUTE(Raw_Data!F53,"'","")))</f>
        <v>Bachelors</v>
      </c>
      <c r="G53" s="13" t="str">
        <f aca="false">PROPER(TRIM(Raw_Data!G53))</f>
        <v>Customer Support</v>
      </c>
      <c r="H53" s="13" t="str">
        <f aca="false">PROPER(TRIM(Raw_Data!H53))</f>
        <v>Analyst</v>
      </c>
      <c r="I53" s="13" t="n">
        <f aca="false">IF(Raw_Data!I53="",DefaultPerf,Raw_Data!I53)</f>
        <v>2</v>
      </c>
      <c r="J53" s="13" t="n">
        <f aca="false">IF(Raw_Data!J53="",DefaultSat,Raw_Data!J53)</f>
        <v>4</v>
      </c>
      <c r="K53" s="15" t="n">
        <f aca="false">Raw_Data!K53</f>
        <v>66000</v>
      </c>
      <c r="L53" s="13" t="str">
        <f aca="false">PROPER(TRIM(Raw_Data!N53))</f>
        <v>No</v>
      </c>
      <c r="M53" s="13" t="n">
        <f aca="false">IF(C53="",0,1)</f>
        <v>0</v>
      </c>
      <c r="N53" s="13" t="str">
        <f aca="false">IF(M53=0,"Active",IF(TRIM(Raw_Data!L53)="","Unknown",PROPER(TRIM(Raw_Data!L53))))</f>
        <v>Active</v>
      </c>
      <c r="O53" s="13" t="str">
        <f aca="false">IF(M53=0,"",IF(TRIM(Raw_Data!M53)="","Not Recorded",TRIM(Raw_Data!M53)))</f>
        <v/>
      </c>
      <c r="P53" s="16" t="n">
        <f aca="false">ROUND((IF(C53="",AsOfDate,C53)-B53)/365.25,2)</f>
        <v>13.34</v>
      </c>
      <c r="Q53" s="13" t="str">
        <f aca="false">IF(D53="","Unknown",IF(D53&lt;25,"Under 25",IF(D53&lt;35,"25-34",IF(D53&lt;45,"35-44",IF(D53&lt;55,"45-54","55+")))))</f>
        <v>35-44</v>
      </c>
      <c r="R53" s="13" t="str">
        <f aca="false">IF(P53&lt;1,"0-1 yrs",IF(P53&lt;3,"1-3 yrs",IF(P53&lt;5,"3-5 yrs",IF(P53&lt;10,"5-10 yrs","10+ yrs"))))</f>
        <v>10+ yrs</v>
      </c>
      <c r="S53" s="13" t="str">
        <f aca="false">IF(I53&gt;=4,"High",IF(I53=3,"Medium","Low"))</f>
        <v>Low</v>
      </c>
      <c r="T53" s="13" t="str">
        <f aca="false">IF(M53=1,YEAR(C53),"")</f>
        <v/>
      </c>
      <c r="U53" s="13" t="str">
        <f aca="false">IF(M53=1,YEAR(C53)&amp;"-Q"&amp;ROUNDUP(MONTH(C53)/3,0),"")</f>
        <v/>
      </c>
      <c r="V53" s="13" t="str">
        <f aca="false">IF(M53=1,MONTH(C53),"")</f>
        <v/>
      </c>
    </row>
    <row r="54" customFormat="false" ht="15" hidden="false" customHeight="false" outlineLevel="0" collapsed="false">
      <c r="A54" s="13" t="str">
        <f aca="false">TRIM(Raw_Data!A54)</f>
        <v>EMP0053</v>
      </c>
      <c r="B54" s="14" t="n">
        <f aca="false">Raw_Data!B54</f>
        <v>41151</v>
      </c>
      <c r="C54" s="14" t="str">
        <f aca="false">IF(Raw_Data!C54="","",Raw_Data!C54)</f>
        <v/>
      </c>
      <c r="D54" s="13" t="n">
        <f aca="false">IF(Raw_Data!D54="","",Raw_Data!D54)</f>
        <v>36</v>
      </c>
      <c r="E54" s="13" t="str">
        <f aca="false">IF(UPPER(LEFT(TRIM(Raw_Data!E54),1))="M","Male",IF(UPPER(LEFT(TRIM(Raw_Data!E54),1))="F","Female","Unknown"))</f>
        <v>Male</v>
      </c>
      <c r="F54" s="13" t="str">
        <f aca="false">PROPER(TRIM(SUBSTITUTE(Raw_Data!F54,"'","")))</f>
        <v>Bachelors</v>
      </c>
      <c r="G54" s="13" t="str">
        <f aca="false">PROPER(TRIM(Raw_Data!G54))</f>
        <v>Engineering</v>
      </c>
      <c r="H54" s="13" t="str">
        <f aca="false">PROPER(TRIM(Raw_Data!H54))</f>
        <v>Senior Analyst</v>
      </c>
      <c r="I54" s="13" t="n">
        <f aca="false">IF(Raw_Data!I54="",DefaultPerf,Raw_Data!I54)</f>
        <v>1</v>
      </c>
      <c r="J54" s="13" t="n">
        <f aca="false">IF(Raw_Data!J54="",DefaultSat,Raw_Data!J54)</f>
        <v>3</v>
      </c>
      <c r="K54" s="15" t="n">
        <f aca="false">Raw_Data!K54</f>
        <v>140000</v>
      </c>
      <c r="L54" s="13" t="str">
        <f aca="false">PROPER(TRIM(Raw_Data!N54))</f>
        <v>Yes</v>
      </c>
      <c r="M54" s="13" t="n">
        <f aca="false">IF(C54="",0,1)</f>
        <v>0</v>
      </c>
      <c r="N54" s="13" t="str">
        <f aca="false">IF(M54=0,"Active",IF(TRIM(Raw_Data!L54)="","Unknown",PROPER(TRIM(Raw_Data!L54))))</f>
        <v>Active</v>
      </c>
      <c r="O54" s="13" t="str">
        <f aca="false">IF(M54=0,"",IF(TRIM(Raw_Data!M54)="","Not Recorded",TRIM(Raw_Data!M54)))</f>
        <v/>
      </c>
      <c r="P54" s="16" t="n">
        <f aca="false">ROUND((IF(C54="",AsOfDate,C54)-B54)/365.25,2)</f>
        <v>13.34</v>
      </c>
      <c r="Q54" s="13" t="str">
        <f aca="false">IF(D54="","Unknown",IF(D54&lt;25,"Under 25",IF(D54&lt;35,"25-34",IF(D54&lt;45,"35-44",IF(D54&lt;55,"45-54","55+")))))</f>
        <v>35-44</v>
      </c>
      <c r="R54" s="13" t="str">
        <f aca="false">IF(P54&lt;1,"0-1 yrs",IF(P54&lt;3,"1-3 yrs",IF(P54&lt;5,"3-5 yrs",IF(P54&lt;10,"5-10 yrs","10+ yrs"))))</f>
        <v>10+ yrs</v>
      </c>
      <c r="S54" s="13" t="str">
        <f aca="false">IF(I54&gt;=4,"High",IF(I54=3,"Medium","Low"))</f>
        <v>Low</v>
      </c>
      <c r="T54" s="13" t="str">
        <f aca="false">IF(M54=1,YEAR(C54),"")</f>
        <v/>
      </c>
      <c r="U54" s="13" t="str">
        <f aca="false">IF(M54=1,YEAR(C54)&amp;"-Q"&amp;ROUNDUP(MONTH(C54)/3,0),"")</f>
        <v/>
      </c>
      <c r="V54" s="13" t="str">
        <f aca="false">IF(M54=1,MONTH(C54),"")</f>
        <v/>
      </c>
    </row>
    <row r="55" customFormat="false" ht="15" hidden="false" customHeight="false" outlineLevel="0" collapsed="false">
      <c r="A55" s="13" t="str">
        <f aca="false">TRIM(Raw_Data!A55)</f>
        <v>EMP0054</v>
      </c>
      <c r="B55" s="14" t="n">
        <f aca="false">Raw_Data!B55</f>
        <v>41153</v>
      </c>
      <c r="C55" s="14" t="str">
        <f aca="false">IF(Raw_Data!C55="","",Raw_Data!C55)</f>
        <v/>
      </c>
      <c r="D55" s="13" t="n">
        <f aca="false">IF(Raw_Data!D55="","",Raw_Data!D55)</f>
        <v>43</v>
      </c>
      <c r="E55" s="13" t="str">
        <f aca="false">IF(UPPER(LEFT(TRIM(Raw_Data!E55),1))="M","Male",IF(UPPER(LEFT(TRIM(Raw_Data!E55),1))="F","Female","Unknown"))</f>
        <v>Male</v>
      </c>
      <c r="F55" s="13" t="str">
        <f aca="false">PROPER(TRIM(SUBSTITUTE(Raw_Data!F55,"'","")))</f>
        <v>Diploma</v>
      </c>
      <c r="G55" s="13" t="str">
        <f aca="false">PROPER(TRIM(Raw_Data!G55))</f>
        <v>Sales</v>
      </c>
      <c r="H55" s="13" t="str">
        <f aca="false">PROPER(TRIM(Raw_Data!H55))</f>
        <v>Team Lead</v>
      </c>
      <c r="I55" s="13" t="n">
        <f aca="false">IF(Raw_Data!I55="",DefaultPerf,Raw_Data!I55)</f>
        <v>3</v>
      </c>
      <c r="J55" s="13" t="n">
        <f aca="false">IF(Raw_Data!J55="",DefaultSat,Raw_Data!J55)</f>
        <v>4</v>
      </c>
      <c r="K55" s="15" t="n">
        <f aca="false">Raw_Data!K55</f>
        <v>145500</v>
      </c>
      <c r="L55" s="13" t="str">
        <f aca="false">PROPER(TRIM(Raw_Data!N55))</f>
        <v>No</v>
      </c>
      <c r="M55" s="13" t="n">
        <f aca="false">IF(C55="",0,1)</f>
        <v>0</v>
      </c>
      <c r="N55" s="13" t="str">
        <f aca="false">IF(M55=0,"Active",IF(TRIM(Raw_Data!L55)="","Unknown",PROPER(TRIM(Raw_Data!L55))))</f>
        <v>Active</v>
      </c>
      <c r="O55" s="13" t="str">
        <f aca="false">IF(M55=0,"",IF(TRIM(Raw_Data!M55)="","Not Recorded",TRIM(Raw_Data!M55)))</f>
        <v/>
      </c>
      <c r="P55" s="16" t="n">
        <f aca="false">ROUND((IF(C55="",AsOfDate,C55)-B55)/365.25,2)</f>
        <v>13.33</v>
      </c>
      <c r="Q55" s="13" t="str">
        <f aca="false">IF(D55="","Unknown",IF(D55&lt;25,"Under 25",IF(D55&lt;35,"25-34",IF(D55&lt;45,"35-44",IF(D55&lt;55,"45-54","55+")))))</f>
        <v>35-44</v>
      </c>
      <c r="R55" s="13" t="str">
        <f aca="false">IF(P55&lt;1,"0-1 yrs",IF(P55&lt;3,"1-3 yrs",IF(P55&lt;5,"3-5 yrs",IF(P55&lt;10,"5-10 yrs","10+ yrs"))))</f>
        <v>10+ yrs</v>
      </c>
      <c r="S55" s="13" t="str">
        <f aca="false">IF(I55&gt;=4,"High",IF(I55=3,"Medium","Low"))</f>
        <v>Medium</v>
      </c>
      <c r="T55" s="13" t="str">
        <f aca="false">IF(M55=1,YEAR(C55),"")</f>
        <v/>
      </c>
      <c r="U55" s="13" t="str">
        <f aca="false">IF(M55=1,YEAR(C55)&amp;"-Q"&amp;ROUNDUP(MONTH(C55)/3,0),"")</f>
        <v/>
      </c>
      <c r="V55" s="13" t="str">
        <f aca="false">IF(M55=1,MONTH(C55),"")</f>
        <v/>
      </c>
    </row>
    <row r="56" customFormat="false" ht="15" hidden="false" customHeight="false" outlineLevel="0" collapsed="false">
      <c r="A56" s="13" t="str">
        <f aca="false">TRIM(Raw_Data!A56)</f>
        <v>EMP0055</v>
      </c>
      <c r="B56" s="14" t="n">
        <f aca="false">Raw_Data!B56</f>
        <v>41157</v>
      </c>
      <c r="C56" s="14" t="str">
        <f aca="false">IF(Raw_Data!C56="","",Raw_Data!C56)</f>
        <v/>
      </c>
      <c r="D56" s="13" t="n">
        <f aca="false">IF(Raw_Data!D56="","",Raw_Data!D56)</f>
        <v>46</v>
      </c>
      <c r="E56" s="13" t="str">
        <f aca="false">IF(UPPER(LEFT(TRIM(Raw_Data!E56),1))="M","Male",IF(UPPER(LEFT(TRIM(Raw_Data!E56),1))="F","Female","Unknown"))</f>
        <v>Male</v>
      </c>
      <c r="F56" s="13" t="str">
        <f aca="false">PROPER(TRIM(SUBSTITUTE(Raw_Data!F56,"'","")))</f>
        <v>Doctorate</v>
      </c>
      <c r="G56" s="13" t="str">
        <f aca="false">PROPER(TRIM(Raw_Data!G56))</f>
        <v>Sales</v>
      </c>
      <c r="H56" s="13" t="str">
        <f aca="false">PROPER(TRIM(Raw_Data!H56))</f>
        <v>Team Lead</v>
      </c>
      <c r="I56" s="13" t="n">
        <f aca="false">IF(Raw_Data!I56="",DefaultPerf,Raw_Data!I56)</f>
        <v>3</v>
      </c>
      <c r="J56" s="13" t="n">
        <f aca="false">IF(Raw_Data!J56="",DefaultSat,Raw_Data!J56)</f>
        <v>4</v>
      </c>
      <c r="K56" s="15" t="n">
        <f aca="false">Raw_Data!K56</f>
        <v>146500</v>
      </c>
      <c r="L56" s="13" t="str">
        <f aca="false">PROPER(TRIM(Raw_Data!N56))</f>
        <v>Yes</v>
      </c>
      <c r="M56" s="13" t="n">
        <f aca="false">IF(C56="",0,1)</f>
        <v>0</v>
      </c>
      <c r="N56" s="13" t="str">
        <f aca="false">IF(M56=0,"Active",IF(TRIM(Raw_Data!L56)="","Unknown",PROPER(TRIM(Raw_Data!L56))))</f>
        <v>Active</v>
      </c>
      <c r="O56" s="13" t="str">
        <f aca="false">IF(M56=0,"",IF(TRIM(Raw_Data!M56)="","Not Recorded",TRIM(Raw_Data!M56)))</f>
        <v/>
      </c>
      <c r="P56" s="16" t="n">
        <f aca="false">ROUND((IF(C56="",AsOfDate,C56)-B56)/365.25,2)</f>
        <v>13.32</v>
      </c>
      <c r="Q56" s="13" t="str">
        <f aca="false">IF(D56="","Unknown",IF(D56&lt;25,"Under 25",IF(D56&lt;35,"25-34",IF(D56&lt;45,"35-44",IF(D56&lt;55,"45-54","55+")))))</f>
        <v>45-54</v>
      </c>
      <c r="R56" s="13" t="str">
        <f aca="false">IF(P56&lt;1,"0-1 yrs",IF(P56&lt;3,"1-3 yrs",IF(P56&lt;5,"3-5 yrs",IF(P56&lt;10,"5-10 yrs","10+ yrs"))))</f>
        <v>10+ yrs</v>
      </c>
      <c r="S56" s="13" t="str">
        <f aca="false">IF(I56&gt;=4,"High",IF(I56=3,"Medium","Low"))</f>
        <v>Medium</v>
      </c>
      <c r="T56" s="13" t="str">
        <f aca="false">IF(M56=1,YEAR(C56),"")</f>
        <v/>
      </c>
      <c r="U56" s="13" t="str">
        <f aca="false">IF(M56=1,YEAR(C56)&amp;"-Q"&amp;ROUNDUP(MONTH(C56)/3,0),"")</f>
        <v/>
      </c>
      <c r="V56" s="13" t="str">
        <f aca="false">IF(M56=1,MONTH(C56),"")</f>
        <v/>
      </c>
    </row>
    <row r="57" customFormat="false" ht="15" hidden="false" customHeight="false" outlineLevel="0" collapsed="false">
      <c r="A57" s="13" t="str">
        <f aca="false">TRIM(Raw_Data!A57)</f>
        <v>EMP0056</v>
      </c>
      <c r="B57" s="14" t="n">
        <f aca="false">Raw_Data!B57</f>
        <v>41169</v>
      </c>
      <c r="C57" s="14" t="n">
        <f aca="false">IF(Raw_Data!C57="","",Raw_Data!C57)</f>
        <v>44832</v>
      </c>
      <c r="D57" s="13" t="n">
        <f aca="false">IF(Raw_Data!D57="","",Raw_Data!D57)</f>
        <v>39</v>
      </c>
      <c r="E57" s="13" t="str">
        <f aca="false">IF(UPPER(LEFT(TRIM(Raw_Data!E57),1))="M","Male",IF(UPPER(LEFT(TRIM(Raw_Data!E57),1))="F","Female","Unknown"))</f>
        <v>Male</v>
      </c>
      <c r="F57" s="13" t="str">
        <f aca="false">PROPER(TRIM(SUBSTITUTE(Raw_Data!F57,"'","")))</f>
        <v>Masters</v>
      </c>
      <c r="G57" s="13" t="str">
        <f aca="false">PROPER(TRIM(Raw_Data!G57))</f>
        <v>Engineering</v>
      </c>
      <c r="H57" s="13" t="str">
        <f aca="false">PROPER(TRIM(Raw_Data!H57))</f>
        <v>Senior Analyst</v>
      </c>
      <c r="I57" s="13" t="n">
        <f aca="false">IF(Raw_Data!I57="",DefaultPerf,Raw_Data!I57)</f>
        <v>4</v>
      </c>
      <c r="J57" s="13" t="n">
        <f aca="false">IF(Raw_Data!J57="",DefaultSat,Raw_Data!J57)</f>
        <v>1</v>
      </c>
      <c r="K57" s="15" t="n">
        <f aca="false">Raw_Data!K57</f>
        <v>120000</v>
      </c>
      <c r="L57" s="13" t="str">
        <f aca="false">PROPER(TRIM(Raw_Data!N57))</f>
        <v>No</v>
      </c>
      <c r="M57" s="13" t="n">
        <f aca="false">IF(C57="",0,1)</f>
        <v>1</v>
      </c>
      <c r="N57" s="13" t="str">
        <f aca="false">IF(M57=0,"Active",IF(TRIM(Raw_Data!L57)="","Unknown",PROPER(TRIM(Raw_Data!L57))))</f>
        <v>Voluntary</v>
      </c>
      <c r="O57" s="13" t="str">
        <f aca="false">IF(M57=0,"",IF(TRIM(Raw_Data!M57)="","Not Recorded",TRIM(Raw_Data!M57)))</f>
        <v>Job Dissatisfaction</v>
      </c>
      <c r="P57" s="16" t="n">
        <f aca="false">ROUND((IF(C57="",AsOfDate,C57)-B57)/365.25,2)</f>
        <v>10.03</v>
      </c>
      <c r="Q57" s="13" t="str">
        <f aca="false">IF(D57="","Unknown",IF(D57&lt;25,"Under 25",IF(D57&lt;35,"25-34",IF(D57&lt;45,"35-44",IF(D57&lt;55,"45-54","55+")))))</f>
        <v>35-44</v>
      </c>
      <c r="R57" s="13" t="str">
        <f aca="false">IF(P57&lt;1,"0-1 yrs",IF(P57&lt;3,"1-3 yrs",IF(P57&lt;5,"3-5 yrs",IF(P57&lt;10,"5-10 yrs","10+ yrs"))))</f>
        <v>10+ yrs</v>
      </c>
      <c r="S57" s="13" t="str">
        <f aca="false">IF(I57&gt;=4,"High",IF(I57=3,"Medium","Low"))</f>
        <v>High</v>
      </c>
      <c r="T57" s="13" t="n">
        <f aca="false">IF(M57=1,YEAR(C57),"")</f>
        <v>2022</v>
      </c>
      <c r="U57" s="13" t="str">
        <f aca="false">IF(M57=1,YEAR(C57)&amp;"-Q"&amp;ROUNDUP(MONTH(C57)/3,0),"")</f>
        <v>2022-Q3</v>
      </c>
      <c r="V57" s="13" t="n">
        <f aca="false">IF(M57=1,MONTH(C57),"")</f>
        <v>9</v>
      </c>
    </row>
    <row r="58" customFormat="false" ht="15" hidden="false" customHeight="false" outlineLevel="0" collapsed="false">
      <c r="A58" s="13" t="str">
        <f aca="false">TRIM(Raw_Data!A58)</f>
        <v>EMP0057</v>
      </c>
      <c r="B58" s="14" t="n">
        <f aca="false">Raw_Data!B58</f>
        <v>41172</v>
      </c>
      <c r="C58" s="14" t="n">
        <f aca="false">IF(Raw_Data!C58="","",Raw_Data!C58)</f>
        <v>44835</v>
      </c>
      <c r="D58" s="13" t="n">
        <f aca="false">IF(Raw_Data!D58="","",Raw_Data!D58)</f>
        <v>35</v>
      </c>
      <c r="E58" s="13" t="str">
        <f aca="false">IF(UPPER(LEFT(TRIM(Raw_Data!E58),1))="M","Male",IF(UPPER(LEFT(TRIM(Raw_Data!E58),1))="F","Female","Unknown"))</f>
        <v>Male</v>
      </c>
      <c r="F58" s="13" t="str">
        <f aca="false">PROPER(TRIM(SUBSTITUTE(Raw_Data!F58,"'","")))</f>
        <v>Bachelors</v>
      </c>
      <c r="G58" s="13" t="str">
        <f aca="false">PROPER(TRIM(Raw_Data!G58))</f>
        <v>Customer Support</v>
      </c>
      <c r="H58" s="13" t="str">
        <f aca="false">PROPER(TRIM(Raw_Data!H58))</f>
        <v>Manager</v>
      </c>
      <c r="I58" s="13" t="n">
        <f aca="false">IF(Raw_Data!I58="",DefaultPerf,Raw_Data!I58)</f>
        <v>2</v>
      </c>
      <c r="J58" s="13" t="n">
        <f aca="false">IF(Raw_Data!J58="",DefaultSat,Raw_Data!J58)</f>
        <v>1</v>
      </c>
      <c r="K58" s="15" t="n">
        <f aca="false">Raw_Data!K58</f>
        <v>209000</v>
      </c>
      <c r="L58" s="13" t="str">
        <f aca="false">PROPER(TRIM(Raw_Data!N58))</f>
        <v>No</v>
      </c>
      <c r="M58" s="13" t="n">
        <f aca="false">IF(C58="",0,1)</f>
        <v>1</v>
      </c>
      <c r="N58" s="13" t="str">
        <f aca="false">IF(M58=0,"Active",IF(TRIM(Raw_Data!L58)="","Unknown",PROPER(TRIM(Raw_Data!L58))))</f>
        <v>Unknown</v>
      </c>
      <c r="O58" s="13" t="str">
        <f aca="false">IF(M58=0,"",IF(TRIM(Raw_Data!M58)="","Not Recorded",TRIM(Raw_Data!M58)))</f>
        <v>Manager Issues</v>
      </c>
      <c r="P58" s="16" t="n">
        <f aca="false">ROUND((IF(C58="",AsOfDate,C58)-B58)/365.25,2)</f>
        <v>10.03</v>
      </c>
      <c r="Q58" s="13" t="str">
        <f aca="false">IF(D58="","Unknown",IF(D58&lt;25,"Under 25",IF(D58&lt;35,"25-34",IF(D58&lt;45,"35-44",IF(D58&lt;55,"45-54","55+")))))</f>
        <v>35-44</v>
      </c>
      <c r="R58" s="13" t="str">
        <f aca="false">IF(P58&lt;1,"0-1 yrs",IF(P58&lt;3,"1-3 yrs",IF(P58&lt;5,"3-5 yrs",IF(P58&lt;10,"5-10 yrs","10+ yrs"))))</f>
        <v>10+ yrs</v>
      </c>
      <c r="S58" s="13" t="str">
        <f aca="false">IF(I58&gt;=4,"High",IF(I58=3,"Medium","Low"))</f>
        <v>Low</v>
      </c>
      <c r="T58" s="13" t="n">
        <f aca="false">IF(M58=1,YEAR(C58),"")</f>
        <v>2022</v>
      </c>
      <c r="U58" s="13" t="str">
        <f aca="false">IF(M58=1,YEAR(C58)&amp;"-Q"&amp;ROUNDUP(MONTH(C58)/3,0),"")</f>
        <v>2022-Q4</v>
      </c>
      <c r="V58" s="13" t="n">
        <f aca="false">IF(M58=1,MONTH(C58),"")</f>
        <v>10</v>
      </c>
    </row>
    <row r="59" customFormat="false" ht="15" hidden="false" customHeight="false" outlineLevel="0" collapsed="false">
      <c r="A59" s="13" t="str">
        <f aca="false">TRIM(Raw_Data!A59)</f>
        <v>EMP0058</v>
      </c>
      <c r="B59" s="14" t="n">
        <f aca="false">Raw_Data!B59</f>
        <v>41172</v>
      </c>
      <c r="C59" s="14" t="n">
        <f aca="false">IF(Raw_Data!C59="","",Raw_Data!C59)</f>
        <v>44756</v>
      </c>
      <c r="D59" s="13" t="n">
        <f aca="false">IF(Raw_Data!D59="","",Raw_Data!D59)</f>
        <v>43</v>
      </c>
      <c r="E59" s="13" t="str">
        <f aca="false">IF(UPPER(LEFT(TRIM(Raw_Data!E59),1))="M","Male",IF(UPPER(LEFT(TRIM(Raw_Data!E59),1))="F","Female","Unknown"))</f>
        <v>Male</v>
      </c>
      <c r="F59" s="13" t="str">
        <f aca="false">PROPER(TRIM(SUBSTITUTE(Raw_Data!F59,"'","")))</f>
        <v>Bachelors</v>
      </c>
      <c r="G59" s="13" t="str">
        <f aca="false">PROPER(TRIM(Raw_Data!G59))</f>
        <v>Operations</v>
      </c>
      <c r="H59" s="13" t="str">
        <f aca="false">PROPER(TRIM(Raw_Data!H59))</f>
        <v>Senior Analyst</v>
      </c>
      <c r="I59" s="13" t="n">
        <f aca="false">IF(Raw_Data!I59="",DefaultPerf,Raw_Data!I59)</f>
        <v>3</v>
      </c>
      <c r="J59" s="13" t="n">
        <f aca="false">IF(Raw_Data!J59="",DefaultSat,Raw_Data!J59)</f>
        <v>3</v>
      </c>
      <c r="K59" s="15" t="n">
        <f aca="false">Raw_Data!K59</f>
        <v>117500</v>
      </c>
      <c r="L59" s="13" t="str">
        <f aca="false">PROPER(TRIM(Raw_Data!N59))</f>
        <v>Yes</v>
      </c>
      <c r="M59" s="13" t="n">
        <f aca="false">IF(C59="",0,1)</f>
        <v>1</v>
      </c>
      <c r="N59" s="13" t="str">
        <f aca="false">IF(M59=0,"Active",IF(TRIM(Raw_Data!L59)="","Unknown",PROPER(TRIM(Raw_Data!L59))))</f>
        <v>Voluntary</v>
      </c>
      <c r="O59" s="13" t="str">
        <f aca="false">IF(M59=0,"",IF(TRIM(Raw_Data!M59)="","Not Recorded",TRIM(Raw_Data!M59)))</f>
        <v>Manager Issues</v>
      </c>
      <c r="P59" s="16" t="n">
        <f aca="false">ROUND((IF(C59="",AsOfDate,C59)-B59)/365.25,2)</f>
        <v>9.81</v>
      </c>
      <c r="Q59" s="13" t="str">
        <f aca="false">IF(D59="","Unknown",IF(D59&lt;25,"Under 25",IF(D59&lt;35,"25-34",IF(D59&lt;45,"35-44",IF(D59&lt;55,"45-54","55+")))))</f>
        <v>35-44</v>
      </c>
      <c r="R59" s="13" t="str">
        <f aca="false">IF(P59&lt;1,"0-1 yrs",IF(P59&lt;3,"1-3 yrs",IF(P59&lt;5,"3-5 yrs",IF(P59&lt;10,"5-10 yrs","10+ yrs"))))</f>
        <v>5-10 yrs</v>
      </c>
      <c r="S59" s="13" t="str">
        <f aca="false">IF(I59&gt;=4,"High",IF(I59=3,"Medium","Low"))</f>
        <v>Medium</v>
      </c>
      <c r="T59" s="13" t="n">
        <f aca="false">IF(M59=1,YEAR(C59),"")</f>
        <v>2022</v>
      </c>
      <c r="U59" s="13" t="str">
        <f aca="false">IF(M59=1,YEAR(C59)&amp;"-Q"&amp;ROUNDUP(MONTH(C59)/3,0),"")</f>
        <v>2022-Q3</v>
      </c>
      <c r="V59" s="13" t="n">
        <f aca="false">IF(M59=1,MONTH(C59),"")</f>
        <v>7</v>
      </c>
    </row>
    <row r="60" customFormat="false" ht="15" hidden="false" customHeight="false" outlineLevel="0" collapsed="false">
      <c r="A60" s="13" t="str">
        <f aca="false">TRIM(Raw_Data!A60)</f>
        <v>EMP0059</v>
      </c>
      <c r="B60" s="14" t="n">
        <f aca="false">Raw_Data!B60</f>
        <v>41176</v>
      </c>
      <c r="C60" s="14" t="n">
        <f aca="false">IF(Raw_Data!C60="","",Raw_Data!C60)</f>
        <v>45472</v>
      </c>
      <c r="D60" s="13" t="n">
        <f aca="false">IF(Raw_Data!D60="","",Raw_Data!D60)</f>
        <v>33</v>
      </c>
      <c r="E60" s="13" t="str">
        <f aca="false">IF(UPPER(LEFT(TRIM(Raw_Data!E60),1))="M","Male",IF(UPPER(LEFT(TRIM(Raw_Data!E60),1))="F","Female","Unknown"))</f>
        <v>Male</v>
      </c>
      <c r="F60" s="13" t="str">
        <f aca="false">PROPER(TRIM(SUBSTITUTE(Raw_Data!F60,"'","")))</f>
        <v>Bachelors</v>
      </c>
      <c r="G60" s="13" t="str">
        <f aca="false">PROPER(TRIM(Raw_Data!G60))</f>
        <v>Engineering</v>
      </c>
      <c r="H60" s="13" t="str">
        <f aca="false">PROPER(TRIM(Raw_Data!H60))</f>
        <v>Team Lead</v>
      </c>
      <c r="I60" s="13" t="n">
        <f aca="false">IF(Raw_Data!I60="",DefaultPerf,Raw_Data!I60)</f>
        <v>3</v>
      </c>
      <c r="J60" s="13" t="n">
        <f aca="false">IF(Raw_Data!J60="",DefaultSat,Raw_Data!J60)</f>
        <v>3</v>
      </c>
      <c r="K60" s="15" t="n">
        <f aca="false">Raw_Data!K60</f>
        <v>157500</v>
      </c>
      <c r="L60" s="13" t="str">
        <f aca="false">PROPER(TRIM(Raw_Data!N60))</f>
        <v>No</v>
      </c>
      <c r="M60" s="13" t="n">
        <f aca="false">IF(C60="",0,1)</f>
        <v>1</v>
      </c>
      <c r="N60" s="13" t="str">
        <f aca="false">IF(M60=0,"Active",IF(TRIM(Raw_Data!L60)="","Unknown",PROPER(TRIM(Raw_Data!L60))))</f>
        <v>Voluntary</v>
      </c>
      <c r="O60" s="13" t="str">
        <f aca="false">IF(M60=0,"",IF(TRIM(Raw_Data!M60)="","Not Recorded",TRIM(Raw_Data!M60)))</f>
        <v>Career Growth</v>
      </c>
      <c r="P60" s="16" t="n">
        <f aca="false">ROUND((IF(C60="",AsOfDate,C60)-B60)/365.25,2)</f>
        <v>11.76</v>
      </c>
      <c r="Q60" s="13" t="str">
        <f aca="false">IF(D60="","Unknown",IF(D60&lt;25,"Under 25",IF(D60&lt;35,"25-34",IF(D60&lt;45,"35-44",IF(D60&lt;55,"45-54","55+")))))</f>
        <v>25-34</v>
      </c>
      <c r="R60" s="13" t="str">
        <f aca="false">IF(P60&lt;1,"0-1 yrs",IF(P60&lt;3,"1-3 yrs",IF(P60&lt;5,"3-5 yrs",IF(P60&lt;10,"5-10 yrs","10+ yrs"))))</f>
        <v>10+ yrs</v>
      </c>
      <c r="S60" s="13" t="str">
        <f aca="false">IF(I60&gt;=4,"High",IF(I60=3,"Medium","Low"))</f>
        <v>Medium</v>
      </c>
      <c r="T60" s="13" t="n">
        <f aca="false">IF(M60=1,YEAR(C60),"")</f>
        <v>2024</v>
      </c>
      <c r="U60" s="13" t="str">
        <f aca="false">IF(M60=1,YEAR(C60)&amp;"-Q"&amp;ROUNDUP(MONTH(C60)/3,0),"")</f>
        <v>2024-Q2</v>
      </c>
      <c r="V60" s="13" t="n">
        <f aca="false">IF(M60=1,MONTH(C60),"")</f>
        <v>6</v>
      </c>
    </row>
    <row r="61" customFormat="false" ht="15" hidden="false" customHeight="false" outlineLevel="0" collapsed="false">
      <c r="A61" s="13" t="str">
        <f aca="false">TRIM(Raw_Data!A61)</f>
        <v>EMP0060</v>
      </c>
      <c r="B61" s="14" t="n">
        <f aca="false">Raw_Data!B61</f>
        <v>41186</v>
      </c>
      <c r="C61" s="14" t="str">
        <f aca="false">IF(Raw_Data!C61="","",Raw_Data!C61)</f>
        <v/>
      </c>
      <c r="D61" s="13" t="n">
        <f aca="false">IF(Raw_Data!D61="","",Raw_Data!D61)</f>
        <v>36</v>
      </c>
      <c r="E61" s="13" t="str">
        <f aca="false">IF(UPPER(LEFT(TRIM(Raw_Data!E61),1))="M","Male",IF(UPPER(LEFT(TRIM(Raw_Data!E61),1))="F","Female","Unknown"))</f>
        <v>Male</v>
      </c>
      <c r="F61" s="13" t="str">
        <f aca="false">PROPER(TRIM(SUBSTITUTE(Raw_Data!F61,"'","")))</f>
        <v>Masters</v>
      </c>
      <c r="G61" s="13" t="str">
        <f aca="false">PROPER(TRIM(Raw_Data!G61))</f>
        <v>Operations</v>
      </c>
      <c r="H61" s="13" t="str">
        <f aca="false">PROPER(TRIM(Raw_Data!H61))</f>
        <v>Analyst</v>
      </c>
      <c r="I61" s="13" t="n">
        <f aca="false">IF(Raw_Data!I61="",DefaultPerf,Raw_Data!I61)</f>
        <v>3</v>
      </c>
      <c r="J61" s="13" t="n">
        <f aca="false">IF(Raw_Data!J61="",DefaultSat,Raw_Data!J61)</f>
        <v>2</v>
      </c>
      <c r="K61" s="15" t="n">
        <f aca="false">Raw_Data!K61</f>
        <v>73000</v>
      </c>
      <c r="L61" s="13" t="str">
        <f aca="false">PROPER(TRIM(Raw_Data!N61))</f>
        <v>No</v>
      </c>
      <c r="M61" s="13" t="n">
        <f aca="false">IF(C61="",0,1)</f>
        <v>0</v>
      </c>
      <c r="N61" s="13" t="str">
        <f aca="false">IF(M61=0,"Active",IF(TRIM(Raw_Data!L61)="","Unknown",PROPER(TRIM(Raw_Data!L61))))</f>
        <v>Active</v>
      </c>
      <c r="O61" s="13" t="str">
        <f aca="false">IF(M61=0,"",IF(TRIM(Raw_Data!M61)="","Not Recorded",TRIM(Raw_Data!M61)))</f>
        <v/>
      </c>
      <c r="P61" s="16" t="n">
        <f aca="false">ROUND((IF(C61="",AsOfDate,C61)-B61)/365.25,2)</f>
        <v>13.24</v>
      </c>
      <c r="Q61" s="13" t="str">
        <f aca="false">IF(D61="","Unknown",IF(D61&lt;25,"Under 25",IF(D61&lt;35,"25-34",IF(D61&lt;45,"35-44",IF(D61&lt;55,"45-54","55+")))))</f>
        <v>35-44</v>
      </c>
      <c r="R61" s="13" t="str">
        <f aca="false">IF(P61&lt;1,"0-1 yrs",IF(P61&lt;3,"1-3 yrs",IF(P61&lt;5,"3-5 yrs",IF(P61&lt;10,"5-10 yrs","10+ yrs"))))</f>
        <v>10+ yrs</v>
      </c>
      <c r="S61" s="13" t="str">
        <f aca="false">IF(I61&gt;=4,"High",IF(I61=3,"Medium","Low"))</f>
        <v>Medium</v>
      </c>
      <c r="T61" s="13" t="str">
        <f aca="false">IF(M61=1,YEAR(C61),"")</f>
        <v/>
      </c>
      <c r="U61" s="13" t="str">
        <f aca="false">IF(M61=1,YEAR(C61)&amp;"-Q"&amp;ROUNDUP(MONTH(C61)/3,0),"")</f>
        <v/>
      </c>
      <c r="V61" s="13" t="str">
        <f aca="false">IF(M61=1,MONTH(C61),"")</f>
        <v/>
      </c>
    </row>
    <row r="62" customFormat="false" ht="15" hidden="false" customHeight="false" outlineLevel="0" collapsed="false">
      <c r="A62" s="13" t="str">
        <f aca="false">TRIM(Raw_Data!A62)</f>
        <v>EMP0061</v>
      </c>
      <c r="B62" s="14" t="n">
        <f aca="false">Raw_Data!B62</f>
        <v>41189</v>
      </c>
      <c r="C62" s="14" t="str">
        <f aca="false">IF(Raw_Data!C62="","",Raw_Data!C62)</f>
        <v/>
      </c>
      <c r="D62" s="13" t="n">
        <f aca="false">IF(Raw_Data!D62="","",Raw_Data!D62)</f>
        <v>40</v>
      </c>
      <c r="E62" s="13" t="str">
        <f aca="false">IF(UPPER(LEFT(TRIM(Raw_Data!E62),1))="M","Male",IF(UPPER(LEFT(TRIM(Raw_Data!E62),1))="F","Female","Unknown"))</f>
        <v>Female</v>
      </c>
      <c r="F62" s="13" t="str">
        <f aca="false">PROPER(TRIM(SUBSTITUTE(Raw_Data!F62,"'","")))</f>
        <v>Bachelors</v>
      </c>
      <c r="G62" s="13" t="str">
        <f aca="false">PROPER(TRIM(Raw_Data!G62))</f>
        <v>Customer Support</v>
      </c>
      <c r="H62" s="13" t="str">
        <f aca="false">PROPER(TRIM(Raw_Data!H62))</f>
        <v>Associate</v>
      </c>
      <c r="I62" s="13" t="n">
        <f aca="false">IF(Raw_Data!I62="",DefaultPerf,Raw_Data!I62)</f>
        <v>4</v>
      </c>
      <c r="J62" s="13" t="n">
        <f aca="false">IF(Raw_Data!J62="",DefaultSat,Raw_Data!J62)</f>
        <v>1</v>
      </c>
      <c r="K62" s="15" t="n">
        <f aca="false">Raw_Data!K62</f>
        <v>53000</v>
      </c>
      <c r="L62" s="13" t="str">
        <f aca="false">PROPER(TRIM(Raw_Data!N62))</f>
        <v>No</v>
      </c>
      <c r="M62" s="13" t="n">
        <f aca="false">IF(C62="",0,1)</f>
        <v>0</v>
      </c>
      <c r="N62" s="13" t="str">
        <f aca="false">IF(M62=0,"Active",IF(TRIM(Raw_Data!L62)="","Unknown",PROPER(TRIM(Raw_Data!L62))))</f>
        <v>Active</v>
      </c>
      <c r="O62" s="13" t="str">
        <f aca="false">IF(M62=0,"",IF(TRIM(Raw_Data!M62)="","Not Recorded",TRIM(Raw_Data!M62)))</f>
        <v/>
      </c>
      <c r="P62" s="16" t="n">
        <f aca="false">ROUND((IF(C62="",AsOfDate,C62)-B62)/365.25,2)</f>
        <v>13.23</v>
      </c>
      <c r="Q62" s="13" t="str">
        <f aca="false">IF(D62="","Unknown",IF(D62&lt;25,"Under 25",IF(D62&lt;35,"25-34",IF(D62&lt;45,"35-44",IF(D62&lt;55,"45-54","55+")))))</f>
        <v>35-44</v>
      </c>
      <c r="R62" s="13" t="str">
        <f aca="false">IF(P62&lt;1,"0-1 yrs",IF(P62&lt;3,"1-3 yrs",IF(P62&lt;5,"3-5 yrs",IF(P62&lt;10,"5-10 yrs","10+ yrs"))))</f>
        <v>10+ yrs</v>
      </c>
      <c r="S62" s="13" t="str">
        <f aca="false">IF(I62&gt;=4,"High",IF(I62=3,"Medium","Low"))</f>
        <v>High</v>
      </c>
      <c r="T62" s="13" t="str">
        <f aca="false">IF(M62=1,YEAR(C62),"")</f>
        <v/>
      </c>
      <c r="U62" s="13" t="str">
        <f aca="false">IF(M62=1,YEAR(C62)&amp;"-Q"&amp;ROUNDUP(MONTH(C62)/3,0),"")</f>
        <v/>
      </c>
      <c r="V62" s="13" t="str">
        <f aca="false">IF(M62=1,MONTH(C62),"")</f>
        <v/>
      </c>
    </row>
    <row r="63" customFormat="false" ht="15" hidden="false" customHeight="false" outlineLevel="0" collapsed="false">
      <c r="A63" s="13" t="str">
        <f aca="false">TRIM(Raw_Data!A63)</f>
        <v>EMP0062</v>
      </c>
      <c r="B63" s="14" t="n">
        <f aca="false">Raw_Data!B63</f>
        <v>41193</v>
      </c>
      <c r="C63" s="14" t="str">
        <f aca="false">IF(Raw_Data!C63="","",Raw_Data!C63)</f>
        <v/>
      </c>
      <c r="D63" s="13" t="n">
        <f aca="false">IF(Raw_Data!D63="","",Raw_Data!D63)</f>
        <v>34</v>
      </c>
      <c r="E63" s="13" t="str">
        <f aca="false">IF(UPPER(LEFT(TRIM(Raw_Data!E63),1))="M","Male",IF(UPPER(LEFT(TRIM(Raw_Data!E63),1))="F","Female","Unknown"))</f>
        <v>Female</v>
      </c>
      <c r="F63" s="13" t="str">
        <f aca="false">PROPER(TRIM(SUBSTITUTE(Raw_Data!F63,"'","")))</f>
        <v>Diploma</v>
      </c>
      <c r="G63" s="13" t="str">
        <f aca="false">PROPER(TRIM(Raw_Data!G63))</f>
        <v>Sales</v>
      </c>
      <c r="H63" s="13" t="str">
        <f aca="false">PROPER(TRIM(Raw_Data!H63))</f>
        <v>Analyst</v>
      </c>
      <c r="I63" s="13" t="n">
        <f aca="false">IF(Raw_Data!I63="",DefaultPerf,Raw_Data!I63)</f>
        <v>4</v>
      </c>
      <c r="J63" s="13" t="n">
        <f aca="false">IF(Raw_Data!J63="",DefaultSat,Raw_Data!J63)</f>
        <v>4</v>
      </c>
      <c r="K63" s="15" t="n">
        <f aca="false">Raw_Data!K63</f>
        <v>90500</v>
      </c>
      <c r="L63" s="13" t="str">
        <f aca="false">PROPER(TRIM(Raw_Data!N63))</f>
        <v>No</v>
      </c>
      <c r="M63" s="13" t="n">
        <f aca="false">IF(C63="",0,1)</f>
        <v>0</v>
      </c>
      <c r="N63" s="13" t="str">
        <f aca="false">IF(M63=0,"Active",IF(TRIM(Raw_Data!L63)="","Unknown",PROPER(TRIM(Raw_Data!L63))))</f>
        <v>Active</v>
      </c>
      <c r="O63" s="13" t="str">
        <f aca="false">IF(M63=0,"",IF(TRIM(Raw_Data!M63)="","Not Recorded",TRIM(Raw_Data!M63)))</f>
        <v/>
      </c>
      <c r="P63" s="16" t="n">
        <f aca="false">ROUND((IF(C63="",AsOfDate,C63)-B63)/365.25,2)</f>
        <v>13.22</v>
      </c>
      <c r="Q63" s="13" t="str">
        <f aca="false">IF(D63="","Unknown",IF(D63&lt;25,"Under 25",IF(D63&lt;35,"25-34",IF(D63&lt;45,"35-44",IF(D63&lt;55,"45-54","55+")))))</f>
        <v>25-34</v>
      </c>
      <c r="R63" s="13" t="str">
        <f aca="false">IF(P63&lt;1,"0-1 yrs",IF(P63&lt;3,"1-3 yrs",IF(P63&lt;5,"3-5 yrs",IF(P63&lt;10,"5-10 yrs","10+ yrs"))))</f>
        <v>10+ yrs</v>
      </c>
      <c r="S63" s="13" t="str">
        <f aca="false">IF(I63&gt;=4,"High",IF(I63=3,"Medium","Low"))</f>
        <v>High</v>
      </c>
      <c r="T63" s="13" t="str">
        <f aca="false">IF(M63=1,YEAR(C63),"")</f>
        <v/>
      </c>
      <c r="U63" s="13" t="str">
        <f aca="false">IF(M63=1,YEAR(C63)&amp;"-Q"&amp;ROUNDUP(MONTH(C63)/3,0),"")</f>
        <v/>
      </c>
      <c r="V63" s="13" t="str">
        <f aca="false">IF(M63=1,MONTH(C63),"")</f>
        <v/>
      </c>
    </row>
    <row r="64" customFormat="false" ht="15" hidden="false" customHeight="false" outlineLevel="0" collapsed="false">
      <c r="A64" s="13" t="str">
        <f aca="false">TRIM(Raw_Data!A64)</f>
        <v>EMP0063</v>
      </c>
      <c r="B64" s="14" t="n">
        <f aca="false">Raw_Data!B64</f>
        <v>41196</v>
      </c>
      <c r="C64" s="14" t="str">
        <f aca="false">IF(Raw_Data!C64="","",Raw_Data!C64)</f>
        <v/>
      </c>
      <c r="D64" s="13" t="n">
        <f aca="false">IF(Raw_Data!D64="","",Raw_Data!D64)</f>
        <v>42</v>
      </c>
      <c r="E64" s="13" t="str">
        <f aca="false">IF(UPPER(LEFT(TRIM(Raw_Data!E64),1))="M","Male",IF(UPPER(LEFT(TRIM(Raw_Data!E64),1))="F","Female","Unknown"))</f>
        <v>Male</v>
      </c>
      <c r="F64" s="13" t="str">
        <f aca="false">PROPER(TRIM(SUBSTITUTE(Raw_Data!F64,"'","")))</f>
        <v>High School</v>
      </c>
      <c r="G64" s="13" t="str">
        <f aca="false">PROPER(TRIM(Raw_Data!G64))</f>
        <v>Sales</v>
      </c>
      <c r="H64" s="13" t="str">
        <f aca="false">PROPER(TRIM(Raw_Data!H64))</f>
        <v>Associate</v>
      </c>
      <c r="I64" s="13" t="n">
        <f aca="false">IF(Raw_Data!I64="",DefaultPerf,Raw_Data!I64)</f>
        <v>2</v>
      </c>
      <c r="J64" s="13" t="n">
        <f aca="false">IF(Raw_Data!J64="",DefaultSat,Raw_Data!J64)</f>
        <v>3</v>
      </c>
      <c r="K64" s="15" t="n">
        <f aca="false">Raw_Data!K64</f>
        <v>49000</v>
      </c>
      <c r="L64" s="13" t="str">
        <f aca="false">PROPER(TRIM(Raw_Data!N64))</f>
        <v>No</v>
      </c>
      <c r="M64" s="13" t="n">
        <f aca="false">IF(C64="",0,1)</f>
        <v>0</v>
      </c>
      <c r="N64" s="13" t="str">
        <f aca="false">IF(M64=0,"Active",IF(TRIM(Raw_Data!L64)="","Unknown",PROPER(TRIM(Raw_Data!L64))))</f>
        <v>Active</v>
      </c>
      <c r="O64" s="13" t="str">
        <f aca="false">IF(M64=0,"",IF(TRIM(Raw_Data!M64)="","Not Recorded",TRIM(Raw_Data!M64)))</f>
        <v/>
      </c>
      <c r="P64" s="16" t="n">
        <f aca="false">ROUND((IF(C64="",AsOfDate,C64)-B64)/365.25,2)</f>
        <v>13.21</v>
      </c>
      <c r="Q64" s="13" t="str">
        <f aca="false">IF(D64="","Unknown",IF(D64&lt;25,"Under 25",IF(D64&lt;35,"25-34",IF(D64&lt;45,"35-44",IF(D64&lt;55,"45-54","55+")))))</f>
        <v>35-44</v>
      </c>
      <c r="R64" s="13" t="str">
        <f aca="false">IF(P64&lt;1,"0-1 yrs",IF(P64&lt;3,"1-3 yrs",IF(P64&lt;5,"3-5 yrs",IF(P64&lt;10,"5-10 yrs","10+ yrs"))))</f>
        <v>10+ yrs</v>
      </c>
      <c r="S64" s="13" t="str">
        <f aca="false">IF(I64&gt;=4,"High",IF(I64=3,"Medium","Low"))</f>
        <v>Low</v>
      </c>
      <c r="T64" s="13" t="str">
        <f aca="false">IF(M64=1,YEAR(C64),"")</f>
        <v/>
      </c>
      <c r="U64" s="13" t="str">
        <f aca="false">IF(M64=1,YEAR(C64)&amp;"-Q"&amp;ROUNDUP(MONTH(C64)/3,0),"")</f>
        <v/>
      </c>
      <c r="V64" s="13" t="str">
        <f aca="false">IF(M64=1,MONTH(C64),"")</f>
        <v/>
      </c>
    </row>
    <row r="65" customFormat="false" ht="15" hidden="false" customHeight="false" outlineLevel="0" collapsed="false">
      <c r="A65" s="13" t="str">
        <f aca="false">TRIM(Raw_Data!A65)</f>
        <v>EMP0064</v>
      </c>
      <c r="B65" s="14" t="n">
        <f aca="false">Raw_Data!B65</f>
        <v>41199</v>
      </c>
      <c r="C65" s="14" t="str">
        <f aca="false">IF(Raw_Data!C65="","",Raw_Data!C65)</f>
        <v/>
      </c>
      <c r="D65" s="13" t="n">
        <f aca="false">IF(Raw_Data!D65="","",Raw_Data!D65)</f>
        <v>40</v>
      </c>
      <c r="E65" s="13" t="str">
        <f aca="false">IF(UPPER(LEFT(TRIM(Raw_Data!E65),1))="M","Male",IF(UPPER(LEFT(TRIM(Raw_Data!E65),1))="F","Female","Unknown"))</f>
        <v>Male</v>
      </c>
      <c r="F65" s="13" t="str">
        <f aca="false">PROPER(TRIM(SUBSTITUTE(Raw_Data!F65,"'","")))</f>
        <v>Masters</v>
      </c>
      <c r="G65" s="13" t="str">
        <f aca="false">PROPER(TRIM(Raw_Data!G65))</f>
        <v>Sales</v>
      </c>
      <c r="H65" s="13" t="str">
        <f aca="false">PROPER(TRIM(Raw_Data!H65))</f>
        <v>Analyst</v>
      </c>
      <c r="I65" s="13" t="n">
        <f aca="false">IF(Raw_Data!I65="",DefaultPerf,Raw_Data!I65)</f>
        <v>1</v>
      </c>
      <c r="J65" s="13" t="n">
        <f aca="false">IF(Raw_Data!J65="",DefaultSat,Raw_Data!J65)</f>
        <v>2</v>
      </c>
      <c r="K65" s="15" t="n">
        <f aca="false">Raw_Data!K65</f>
        <v>73000</v>
      </c>
      <c r="L65" s="13" t="str">
        <f aca="false">PROPER(TRIM(Raw_Data!N65))</f>
        <v>No</v>
      </c>
      <c r="M65" s="13" t="n">
        <f aca="false">IF(C65="",0,1)</f>
        <v>0</v>
      </c>
      <c r="N65" s="13" t="str">
        <f aca="false">IF(M65=0,"Active",IF(TRIM(Raw_Data!L65)="","Unknown",PROPER(TRIM(Raw_Data!L65))))</f>
        <v>Active</v>
      </c>
      <c r="O65" s="13" t="str">
        <f aca="false">IF(M65=0,"",IF(TRIM(Raw_Data!M65)="","Not Recorded",TRIM(Raw_Data!M65)))</f>
        <v/>
      </c>
      <c r="P65" s="16" t="n">
        <f aca="false">ROUND((IF(C65="",AsOfDate,C65)-B65)/365.25,2)</f>
        <v>13.2</v>
      </c>
      <c r="Q65" s="13" t="str">
        <f aca="false">IF(D65="","Unknown",IF(D65&lt;25,"Under 25",IF(D65&lt;35,"25-34",IF(D65&lt;45,"35-44",IF(D65&lt;55,"45-54","55+")))))</f>
        <v>35-44</v>
      </c>
      <c r="R65" s="13" t="str">
        <f aca="false">IF(P65&lt;1,"0-1 yrs",IF(P65&lt;3,"1-3 yrs",IF(P65&lt;5,"3-5 yrs",IF(P65&lt;10,"5-10 yrs","10+ yrs"))))</f>
        <v>10+ yrs</v>
      </c>
      <c r="S65" s="13" t="str">
        <f aca="false">IF(I65&gt;=4,"High",IF(I65=3,"Medium","Low"))</f>
        <v>Low</v>
      </c>
      <c r="T65" s="13" t="str">
        <f aca="false">IF(M65=1,YEAR(C65),"")</f>
        <v/>
      </c>
      <c r="U65" s="13" t="str">
        <f aca="false">IF(M65=1,YEAR(C65)&amp;"-Q"&amp;ROUNDUP(MONTH(C65)/3,0),"")</f>
        <v/>
      </c>
      <c r="V65" s="13" t="str">
        <f aca="false">IF(M65=1,MONTH(C65),"")</f>
        <v/>
      </c>
    </row>
    <row r="66" customFormat="false" ht="15" hidden="false" customHeight="false" outlineLevel="0" collapsed="false">
      <c r="A66" s="13" t="str">
        <f aca="false">TRIM(Raw_Data!A66)</f>
        <v>EMP0065</v>
      </c>
      <c r="B66" s="14" t="n">
        <f aca="false">Raw_Data!B66</f>
        <v>41208</v>
      </c>
      <c r="C66" s="14" t="n">
        <f aca="false">IF(Raw_Data!C66="","",Raw_Data!C66)</f>
        <v>45234</v>
      </c>
      <c r="D66" s="13" t="n">
        <f aca="false">IF(Raw_Data!D66="","",Raw_Data!D66)</f>
        <v>39</v>
      </c>
      <c r="E66" s="13" t="str">
        <f aca="false">IF(UPPER(LEFT(TRIM(Raw_Data!E66),1))="M","Male",IF(UPPER(LEFT(TRIM(Raw_Data!E66),1))="F","Female","Unknown"))</f>
        <v>Male</v>
      </c>
      <c r="F66" s="13" t="str">
        <f aca="false">PROPER(TRIM(SUBSTITUTE(Raw_Data!F66,"'","")))</f>
        <v>Bachelors</v>
      </c>
      <c r="G66" s="13" t="str">
        <f aca="false">PROPER(TRIM(Raw_Data!G66))</f>
        <v>Operations</v>
      </c>
      <c r="H66" s="13" t="str">
        <f aca="false">PROPER(TRIM(Raw_Data!H66))</f>
        <v>Associate</v>
      </c>
      <c r="I66" s="13" t="n">
        <f aca="false">IF(Raw_Data!I66="",DefaultPerf,Raw_Data!I66)</f>
        <v>5</v>
      </c>
      <c r="J66" s="13" t="n">
        <f aca="false">IF(Raw_Data!J66="",DefaultSat,Raw_Data!J66)</f>
        <v>2</v>
      </c>
      <c r="K66" s="15" t="n">
        <f aca="false">Raw_Data!K66</f>
        <v>50000</v>
      </c>
      <c r="L66" s="13" t="str">
        <f aca="false">PROPER(TRIM(Raw_Data!N66))</f>
        <v>Yes</v>
      </c>
      <c r="M66" s="13" t="n">
        <f aca="false">IF(C66="",0,1)</f>
        <v>1</v>
      </c>
      <c r="N66" s="13" t="str">
        <f aca="false">IF(M66=0,"Active",IF(TRIM(Raw_Data!L66)="","Unknown",PROPER(TRIM(Raw_Data!L66))))</f>
        <v>Involuntary</v>
      </c>
      <c r="O66" s="13" t="str">
        <f aca="false">IF(M66=0,"",IF(TRIM(Raw_Data!M66)="","Not Recorded",TRIM(Raw_Data!M66)))</f>
        <v>Restructuring / Layoff</v>
      </c>
      <c r="P66" s="16" t="n">
        <f aca="false">ROUND((IF(C66="",AsOfDate,C66)-B66)/365.25,2)</f>
        <v>11.02</v>
      </c>
      <c r="Q66" s="13" t="str">
        <f aca="false">IF(D66="","Unknown",IF(D66&lt;25,"Under 25",IF(D66&lt;35,"25-34",IF(D66&lt;45,"35-44",IF(D66&lt;55,"45-54","55+")))))</f>
        <v>35-44</v>
      </c>
      <c r="R66" s="13" t="str">
        <f aca="false">IF(P66&lt;1,"0-1 yrs",IF(P66&lt;3,"1-3 yrs",IF(P66&lt;5,"3-5 yrs",IF(P66&lt;10,"5-10 yrs","10+ yrs"))))</f>
        <v>10+ yrs</v>
      </c>
      <c r="S66" s="13" t="str">
        <f aca="false">IF(I66&gt;=4,"High",IF(I66=3,"Medium","Low"))</f>
        <v>High</v>
      </c>
      <c r="T66" s="13" t="n">
        <f aca="false">IF(M66=1,YEAR(C66),"")</f>
        <v>2023</v>
      </c>
      <c r="U66" s="13" t="str">
        <f aca="false">IF(M66=1,YEAR(C66)&amp;"-Q"&amp;ROUNDUP(MONTH(C66)/3,0),"")</f>
        <v>2023-Q4</v>
      </c>
      <c r="V66" s="13" t="n">
        <f aca="false">IF(M66=1,MONTH(C66),"")</f>
        <v>11</v>
      </c>
    </row>
    <row r="67" customFormat="false" ht="15" hidden="false" customHeight="false" outlineLevel="0" collapsed="false">
      <c r="A67" s="13" t="str">
        <f aca="false">TRIM(Raw_Data!A67)</f>
        <v>EMP0066</v>
      </c>
      <c r="B67" s="14" t="n">
        <f aca="false">Raw_Data!B67</f>
        <v>41215</v>
      </c>
      <c r="C67" s="14" t="str">
        <f aca="false">IF(Raw_Data!C67="","",Raw_Data!C67)</f>
        <v/>
      </c>
      <c r="D67" s="13" t="n">
        <f aca="false">IF(Raw_Data!D67="","",Raw_Data!D67)</f>
        <v>42</v>
      </c>
      <c r="E67" s="13" t="str">
        <f aca="false">IF(UPPER(LEFT(TRIM(Raw_Data!E67),1))="M","Male",IF(UPPER(LEFT(TRIM(Raw_Data!E67),1))="F","Female","Unknown"))</f>
        <v>Female</v>
      </c>
      <c r="F67" s="13" t="str">
        <f aca="false">PROPER(TRIM(SUBSTITUTE(Raw_Data!F67,"'","")))</f>
        <v>Bachelors</v>
      </c>
      <c r="G67" s="13" t="str">
        <f aca="false">PROPER(TRIM(Raw_Data!G67))</f>
        <v>Engineering</v>
      </c>
      <c r="H67" s="13" t="str">
        <f aca="false">PROPER(TRIM(Raw_Data!H67))</f>
        <v>Analyst</v>
      </c>
      <c r="I67" s="13" t="n">
        <f aca="false">IF(Raw_Data!I67="",DefaultPerf,Raw_Data!I67)</f>
        <v>1</v>
      </c>
      <c r="J67" s="13" t="n">
        <f aca="false">IF(Raw_Data!J67="",DefaultSat,Raw_Data!J67)</f>
        <v>1</v>
      </c>
      <c r="K67" s="15" t="n">
        <f aca="false">Raw_Data!K67</f>
        <v>76000</v>
      </c>
      <c r="L67" s="13" t="str">
        <f aca="false">PROPER(TRIM(Raw_Data!N67))</f>
        <v>No</v>
      </c>
      <c r="M67" s="13" t="n">
        <f aca="false">IF(C67="",0,1)</f>
        <v>0</v>
      </c>
      <c r="N67" s="13" t="str">
        <f aca="false">IF(M67=0,"Active",IF(TRIM(Raw_Data!L67)="","Unknown",PROPER(TRIM(Raw_Data!L67))))</f>
        <v>Active</v>
      </c>
      <c r="O67" s="13" t="str">
        <f aca="false">IF(M67=0,"",IF(TRIM(Raw_Data!M67)="","Not Recorded",TRIM(Raw_Data!M67)))</f>
        <v/>
      </c>
      <c r="P67" s="16" t="n">
        <f aca="false">ROUND((IF(C67="",AsOfDate,C67)-B67)/365.25,2)</f>
        <v>13.16</v>
      </c>
      <c r="Q67" s="13" t="str">
        <f aca="false">IF(D67="","Unknown",IF(D67&lt;25,"Under 25",IF(D67&lt;35,"25-34",IF(D67&lt;45,"35-44",IF(D67&lt;55,"45-54","55+")))))</f>
        <v>35-44</v>
      </c>
      <c r="R67" s="13" t="str">
        <f aca="false">IF(P67&lt;1,"0-1 yrs",IF(P67&lt;3,"1-3 yrs",IF(P67&lt;5,"3-5 yrs",IF(P67&lt;10,"5-10 yrs","10+ yrs"))))</f>
        <v>10+ yrs</v>
      </c>
      <c r="S67" s="13" t="str">
        <f aca="false">IF(I67&gt;=4,"High",IF(I67=3,"Medium","Low"))</f>
        <v>Low</v>
      </c>
      <c r="T67" s="13" t="str">
        <f aca="false">IF(M67=1,YEAR(C67),"")</f>
        <v/>
      </c>
      <c r="U67" s="13" t="str">
        <f aca="false">IF(M67=1,YEAR(C67)&amp;"-Q"&amp;ROUNDUP(MONTH(C67)/3,0),"")</f>
        <v/>
      </c>
      <c r="V67" s="13" t="str">
        <f aca="false">IF(M67=1,MONTH(C67),"")</f>
        <v/>
      </c>
    </row>
    <row r="68" customFormat="false" ht="15" hidden="false" customHeight="false" outlineLevel="0" collapsed="false">
      <c r="A68" s="13" t="str">
        <f aca="false">TRIM(Raw_Data!A68)</f>
        <v>EMP0067</v>
      </c>
      <c r="B68" s="14" t="n">
        <f aca="false">Raw_Data!B68</f>
        <v>41216</v>
      </c>
      <c r="C68" s="14" t="str">
        <f aca="false">IF(Raw_Data!C68="","",Raw_Data!C68)</f>
        <v/>
      </c>
      <c r="D68" s="13" t="n">
        <f aca="false">IF(Raw_Data!D68="","",Raw_Data!D68)</f>
        <v>45</v>
      </c>
      <c r="E68" s="13" t="str">
        <f aca="false">IF(UPPER(LEFT(TRIM(Raw_Data!E68),1))="M","Male",IF(UPPER(LEFT(TRIM(Raw_Data!E68),1))="F","Female","Unknown"))</f>
        <v>Female</v>
      </c>
      <c r="F68" s="13" t="str">
        <f aca="false">PROPER(TRIM(SUBSTITUTE(Raw_Data!F68,"'","")))</f>
        <v>Bachelors</v>
      </c>
      <c r="G68" s="13" t="str">
        <f aca="false">PROPER(TRIM(Raw_Data!G68))</f>
        <v>Sales</v>
      </c>
      <c r="H68" s="13" t="str">
        <f aca="false">PROPER(TRIM(Raw_Data!H68))</f>
        <v>Associate</v>
      </c>
      <c r="I68" s="13" t="n">
        <f aca="false">IF(Raw_Data!I68="",DefaultPerf,Raw_Data!I68)</f>
        <v>4</v>
      </c>
      <c r="J68" s="13" t="n">
        <f aca="false">IF(Raw_Data!J68="",DefaultSat,Raw_Data!J68)</f>
        <v>2</v>
      </c>
      <c r="K68" s="15" t="n">
        <f aca="false">Raw_Data!K68</f>
        <v>46500</v>
      </c>
      <c r="L68" s="13" t="str">
        <f aca="false">PROPER(TRIM(Raw_Data!N68))</f>
        <v>No</v>
      </c>
      <c r="M68" s="13" t="n">
        <f aca="false">IF(C68="",0,1)</f>
        <v>0</v>
      </c>
      <c r="N68" s="13" t="str">
        <f aca="false">IF(M68=0,"Active",IF(TRIM(Raw_Data!L68)="","Unknown",PROPER(TRIM(Raw_Data!L68))))</f>
        <v>Active</v>
      </c>
      <c r="O68" s="13" t="str">
        <f aca="false">IF(M68=0,"",IF(TRIM(Raw_Data!M68)="","Not Recorded",TRIM(Raw_Data!M68)))</f>
        <v/>
      </c>
      <c r="P68" s="16" t="n">
        <f aca="false">ROUND((IF(C68="",AsOfDate,C68)-B68)/365.25,2)</f>
        <v>13.16</v>
      </c>
      <c r="Q68" s="13" t="str">
        <f aca="false">IF(D68="","Unknown",IF(D68&lt;25,"Under 25",IF(D68&lt;35,"25-34",IF(D68&lt;45,"35-44",IF(D68&lt;55,"45-54","55+")))))</f>
        <v>45-54</v>
      </c>
      <c r="R68" s="13" t="str">
        <f aca="false">IF(P68&lt;1,"0-1 yrs",IF(P68&lt;3,"1-3 yrs",IF(P68&lt;5,"3-5 yrs",IF(P68&lt;10,"5-10 yrs","10+ yrs"))))</f>
        <v>10+ yrs</v>
      </c>
      <c r="S68" s="13" t="str">
        <f aca="false">IF(I68&gt;=4,"High",IF(I68=3,"Medium","Low"))</f>
        <v>High</v>
      </c>
      <c r="T68" s="13" t="str">
        <f aca="false">IF(M68=1,YEAR(C68),"")</f>
        <v/>
      </c>
      <c r="U68" s="13" t="str">
        <f aca="false">IF(M68=1,YEAR(C68)&amp;"-Q"&amp;ROUNDUP(MONTH(C68)/3,0),"")</f>
        <v/>
      </c>
      <c r="V68" s="13" t="str">
        <f aca="false">IF(M68=1,MONTH(C68),"")</f>
        <v/>
      </c>
    </row>
    <row r="69" customFormat="false" ht="15" hidden="false" customHeight="false" outlineLevel="0" collapsed="false">
      <c r="A69" s="13" t="str">
        <f aca="false">TRIM(Raw_Data!A69)</f>
        <v>EMP0068</v>
      </c>
      <c r="B69" s="14" t="n">
        <f aca="false">Raw_Data!B69</f>
        <v>41218</v>
      </c>
      <c r="C69" s="14" t="str">
        <f aca="false">IF(Raw_Data!C69="","",Raw_Data!C69)</f>
        <v/>
      </c>
      <c r="D69" s="13" t="n">
        <f aca="false">IF(Raw_Data!D69="","",Raw_Data!D69)</f>
        <v>43</v>
      </c>
      <c r="E69" s="13" t="str">
        <f aca="false">IF(UPPER(LEFT(TRIM(Raw_Data!E69),1))="M","Male",IF(UPPER(LEFT(TRIM(Raw_Data!E69),1))="F","Female","Unknown"))</f>
        <v>Male</v>
      </c>
      <c r="F69" s="13" t="str">
        <f aca="false">PROPER(TRIM(SUBSTITUTE(Raw_Data!F69,"'","")))</f>
        <v>Bachelors</v>
      </c>
      <c r="G69" s="13" t="str">
        <f aca="false">PROPER(TRIM(Raw_Data!G69))</f>
        <v>Customer Support</v>
      </c>
      <c r="H69" s="13" t="str">
        <f aca="false">PROPER(TRIM(Raw_Data!H69))</f>
        <v>Analyst</v>
      </c>
      <c r="I69" s="13" t="n">
        <f aca="false">IF(Raw_Data!I69="",DefaultPerf,Raw_Data!I69)</f>
        <v>2</v>
      </c>
      <c r="J69" s="13" t="n">
        <f aca="false">IF(Raw_Data!J69="",DefaultSat,Raw_Data!J69)</f>
        <v>3</v>
      </c>
      <c r="K69" s="15" t="n">
        <f aca="false">Raw_Data!K69</f>
        <v>70500</v>
      </c>
      <c r="L69" s="13" t="str">
        <f aca="false">PROPER(TRIM(Raw_Data!N69))</f>
        <v>No</v>
      </c>
      <c r="M69" s="13" t="n">
        <f aca="false">IF(C69="",0,1)</f>
        <v>0</v>
      </c>
      <c r="N69" s="13" t="str">
        <f aca="false">IF(M69=0,"Active",IF(TRIM(Raw_Data!L69)="","Unknown",PROPER(TRIM(Raw_Data!L69))))</f>
        <v>Active</v>
      </c>
      <c r="O69" s="13" t="str">
        <f aca="false">IF(M69=0,"",IF(TRIM(Raw_Data!M69)="","Not Recorded",TRIM(Raw_Data!M69)))</f>
        <v/>
      </c>
      <c r="P69" s="16" t="n">
        <f aca="false">ROUND((IF(C69="",AsOfDate,C69)-B69)/365.25,2)</f>
        <v>13.15</v>
      </c>
      <c r="Q69" s="13" t="str">
        <f aca="false">IF(D69="","Unknown",IF(D69&lt;25,"Under 25",IF(D69&lt;35,"25-34",IF(D69&lt;45,"35-44",IF(D69&lt;55,"45-54","55+")))))</f>
        <v>35-44</v>
      </c>
      <c r="R69" s="13" t="str">
        <f aca="false">IF(P69&lt;1,"0-1 yrs",IF(P69&lt;3,"1-3 yrs",IF(P69&lt;5,"3-5 yrs",IF(P69&lt;10,"5-10 yrs","10+ yrs"))))</f>
        <v>10+ yrs</v>
      </c>
      <c r="S69" s="13" t="str">
        <f aca="false">IF(I69&gt;=4,"High",IF(I69=3,"Medium","Low"))</f>
        <v>Low</v>
      </c>
      <c r="T69" s="13" t="str">
        <f aca="false">IF(M69=1,YEAR(C69),"")</f>
        <v/>
      </c>
      <c r="U69" s="13" t="str">
        <f aca="false">IF(M69=1,YEAR(C69)&amp;"-Q"&amp;ROUNDUP(MONTH(C69)/3,0),"")</f>
        <v/>
      </c>
      <c r="V69" s="13" t="str">
        <f aca="false">IF(M69=1,MONTH(C69),"")</f>
        <v/>
      </c>
    </row>
    <row r="70" customFormat="false" ht="15" hidden="false" customHeight="false" outlineLevel="0" collapsed="false">
      <c r="A70" s="13" t="str">
        <f aca="false">TRIM(Raw_Data!A70)</f>
        <v>EMP0069</v>
      </c>
      <c r="B70" s="14" t="n">
        <f aca="false">Raw_Data!B70</f>
        <v>41226</v>
      </c>
      <c r="C70" s="14" t="str">
        <f aca="false">IF(Raw_Data!C70="","",Raw_Data!C70)</f>
        <v/>
      </c>
      <c r="D70" s="13" t="n">
        <f aca="false">IF(Raw_Data!D70="","",Raw_Data!D70)</f>
        <v>42</v>
      </c>
      <c r="E70" s="13" t="str">
        <f aca="false">IF(UPPER(LEFT(TRIM(Raw_Data!E70),1))="M","Male",IF(UPPER(LEFT(TRIM(Raw_Data!E70),1))="F","Female","Unknown"))</f>
        <v>Female</v>
      </c>
      <c r="F70" s="13" t="str">
        <f aca="false">PROPER(TRIM(SUBSTITUTE(Raw_Data!F70,"'","")))</f>
        <v>Masters</v>
      </c>
      <c r="G70" s="13" t="str">
        <f aca="false">PROPER(TRIM(Raw_Data!G70))</f>
        <v>Engineering</v>
      </c>
      <c r="H70" s="13" t="str">
        <f aca="false">PROPER(TRIM(Raw_Data!H70))</f>
        <v>Senior Analyst</v>
      </c>
      <c r="I70" s="13" t="n">
        <f aca="false">IF(Raw_Data!I70="",DefaultPerf,Raw_Data!I70)</f>
        <v>4</v>
      </c>
      <c r="J70" s="13" t="n">
        <f aca="false">IF(Raw_Data!J70="",DefaultSat,Raw_Data!J70)</f>
        <v>1</v>
      </c>
      <c r="K70" s="15" t="n">
        <f aca="false">Raw_Data!K70</f>
        <v>115500</v>
      </c>
      <c r="L70" s="13" t="str">
        <f aca="false">PROPER(TRIM(Raw_Data!N70))</f>
        <v>No</v>
      </c>
      <c r="M70" s="13" t="n">
        <f aca="false">IF(C70="",0,1)</f>
        <v>0</v>
      </c>
      <c r="N70" s="13" t="str">
        <f aca="false">IF(M70=0,"Active",IF(TRIM(Raw_Data!L70)="","Unknown",PROPER(TRIM(Raw_Data!L70))))</f>
        <v>Active</v>
      </c>
      <c r="O70" s="13" t="str">
        <f aca="false">IF(M70=0,"",IF(TRIM(Raw_Data!M70)="","Not Recorded",TRIM(Raw_Data!M70)))</f>
        <v/>
      </c>
      <c r="P70" s="16" t="n">
        <f aca="false">ROUND((IF(C70="",AsOfDate,C70)-B70)/365.25,2)</f>
        <v>13.13</v>
      </c>
      <c r="Q70" s="13" t="str">
        <f aca="false">IF(D70="","Unknown",IF(D70&lt;25,"Under 25",IF(D70&lt;35,"25-34",IF(D70&lt;45,"35-44",IF(D70&lt;55,"45-54","55+")))))</f>
        <v>35-44</v>
      </c>
      <c r="R70" s="13" t="str">
        <f aca="false">IF(P70&lt;1,"0-1 yrs",IF(P70&lt;3,"1-3 yrs",IF(P70&lt;5,"3-5 yrs",IF(P70&lt;10,"5-10 yrs","10+ yrs"))))</f>
        <v>10+ yrs</v>
      </c>
      <c r="S70" s="13" t="str">
        <f aca="false">IF(I70&gt;=4,"High",IF(I70=3,"Medium","Low"))</f>
        <v>High</v>
      </c>
      <c r="T70" s="13" t="str">
        <f aca="false">IF(M70=1,YEAR(C70),"")</f>
        <v/>
      </c>
      <c r="U70" s="13" t="str">
        <f aca="false">IF(M70=1,YEAR(C70)&amp;"-Q"&amp;ROUNDUP(MONTH(C70)/3,0),"")</f>
        <v/>
      </c>
      <c r="V70" s="13" t="str">
        <f aca="false">IF(M70=1,MONTH(C70),"")</f>
        <v/>
      </c>
    </row>
    <row r="71" customFormat="false" ht="15" hidden="false" customHeight="false" outlineLevel="0" collapsed="false">
      <c r="A71" s="13" t="str">
        <f aca="false">TRIM(Raw_Data!A71)</f>
        <v>EMP0070</v>
      </c>
      <c r="B71" s="14" t="n">
        <f aca="false">Raw_Data!B71</f>
        <v>41226</v>
      </c>
      <c r="C71" s="14" t="str">
        <f aca="false">IF(Raw_Data!C71="","",Raw_Data!C71)</f>
        <v/>
      </c>
      <c r="D71" s="13" t="n">
        <f aca="false">IF(Raw_Data!D71="","",Raw_Data!D71)</f>
        <v>34</v>
      </c>
      <c r="E71" s="13" t="str">
        <f aca="false">IF(UPPER(LEFT(TRIM(Raw_Data!E71),1))="M","Male",IF(UPPER(LEFT(TRIM(Raw_Data!E71),1))="F","Female","Unknown"))</f>
        <v>Male</v>
      </c>
      <c r="F71" s="13" t="str">
        <f aca="false">PROPER(TRIM(SUBSTITUTE(Raw_Data!F71,"'","")))</f>
        <v>Masters</v>
      </c>
      <c r="G71" s="13" t="str">
        <f aca="false">PROPER(TRIM(Raw_Data!G71))</f>
        <v>Operations</v>
      </c>
      <c r="H71" s="13" t="str">
        <f aca="false">PROPER(TRIM(Raw_Data!H71))</f>
        <v>Manager</v>
      </c>
      <c r="I71" s="13" t="n">
        <f aca="false">IF(Raw_Data!I71="",DefaultPerf,Raw_Data!I71)</f>
        <v>4</v>
      </c>
      <c r="J71" s="13" t="n">
        <f aca="false">IF(Raw_Data!J71="",DefaultSat,Raw_Data!J71)</f>
        <v>4</v>
      </c>
      <c r="K71" s="15" t="n">
        <f aca="false">Raw_Data!K71</f>
        <v>222000</v>
      </c>
      <c r="L71" s="13" t="str">
        <f aca="false">PROPER(TRIM(Raw_Data!N71))</f>
        <v>No</v>
      </c>
      <c r="M71" s="13" t="n">
        <f aca="false">IF(C71="",0,1)</f>
        <v>0</v>
      </c>
      <c r="N71" s="13" t="str">
        <f aca="false">IF(M71=0,"Active",IF(TRIM(Raw_Data!L71)="","Unknown",PROPER(TRIM(Raw_Data!L71))))</f>
        <v>Active</v>
      </c>
      <c r="O71" s="13" t="str">
        <f aca="false">IF(M71=0,"",IF(TRIM(Raw_Data!M71)="","Not Recorded",TRIM(Raw_Data!M71)))</f>
        <v/>
      </c>
      <c r="P71" s="16" t="n">
        <f aca="false">ROUND((IF(C71="",AsOfDate,C71)-B71)/365.25,2)</f>
        <v>13.13</v>
      </c>
      <c r="Q71" s="13" t="str">
        <f aca="false">IF(D71="","Unknown",IF(D71&lt;25,"Under 25",IF(D71&lt;35,"25-34",IF(D71&lt;45,"35-44",IF(D71&lt;55,"45-54","55+")))))</f>
        <v>25-34</v>
      </c>
      <c r="R71" s="13" t="str">
        <f aca="false">IF(P71&lt;1,"0-1 yrs",IF(P71&lt;3,"1-3 yrs",IF(P71&lt;5,"3-5 yrs",IF(P71&lt;10,"5-10 yrs","10+ yrs"))))</f>
        <v>10+ yrs</v>
      </c>
      <c r="S71" s="13" t="str">
        <f aca="false">IF(I71&gt;=4,"High",IF(I71=3,"Medium","Low"))</f>
        <v>High</v>
      </c>
      <c r="T71" s="13" t="str">
        <f aca="false">IF(M71=1,YEAR(C71),"")</f>
        <v/>
      </c>
      <c r="U71" s="13" t="str">
        <f aca="false">IF(M71=1,YEAR(C71)&amp;"-Q"&amp;ROUNDUP(MONTH(C71)/3,0),"")</f>
        <v/>
      </c>
      <c r="V71" s="13" t="str">
        <f aca="false">IF(M71=1,MONTH(C71),"")</f>
        <v/>
      </c>
    </row>
    <row r="72" customFormat="false" ht="15" hidden="false" customHeight="false" outlineLevel="0" collapsed="false">
      <c r="A72" s="13" t="str">
        <f aca="false">TRIM(Raw_Data!A72)</f>
        <v>EMP0071</v>
      </c>
      <c r="B72" s="14" t="n">
        <f aca="false">Raw_Data!B72</f>
        <v>41228</v>
      </c>
      <c r="C72" s="14" t="n">
        <f aca="false">IF(Raw_Data!C72="","",Raw_Data!C72)</f>
        <v>45115</v>
      </c>
      <c r="D72" s="13" t="n">
        <f aca="false">IF(Raw_Data!D72="","",Raw_Data!D72)</f>
        <v>38</v>
      </c>
      <c r="E72" s="13" t="str">
        <f aca="false">IF(UPPER(LEFT(TRIM(Raw_Data!E72),1))="M","Male",IF(UPPER(LEFT(TRIM(Raw_Data!E72),1))="F","Female","Unknown"))</f>
        <v>Male</v>
      </c>
      <c r="F72" s="13" t="str">
        <f aca="false">PROPER(TRIM(SUBSTITUTE(Raw_Data!F72,"'","")))</f>
        <v>High School</v>
      </c>
      <c r="G72" s="13" t="str">
        <f aca="false">PROPER(TRIM(Raw_Data!G72))</f>
        <v>Customer Support</v>
      </c>
      <c r="H72" s="13" t="str">
        <f aca="false">PROPER(TRIM(Raw_Data!H72))</f>
        <v>Manager</v>
      </c>
      <c r="I72" s="13" t="n">
        <f aca="false">IF(Raw_Data!I72="",DefaultPerf,Raw_Data!I72)</f>
        <v>4</v>
      </c>
      <c r="J72" s="13" t="n">
        <f aca="false">IF(Raw_Data!J72="",DefaultSat,Raw_Data!J72)</f>
        <v>1</v>
      </c>
      <c r="K72" s="15" t="n">
        <f aca="false">Raw_Data!K72</f>
        <v>234500</v>
      </c>
      <c r="L72" s="13" t="str">
        <f aca="false">PROPER(TRIM(Raw_Data!N72))</f>
        <v>Yes</v>
      </c>
      <c r="M72" s="13" t="n">
        <f aca="false">IF(C72="",0,1)</f>
        <v>1</v>
      </c>
      <c r="N72" s="13" t="str">
        <f aca="false">IF(M72=0,"Active",IF(TRIM(Raw_Data!L72)="","Unknown",PROPER(TRIM(Raw_Data!L72))))</f>
        <v>Involuntary</v>
      </c>
      <c r="O72" s="13" t="str">
        <f aca="false">IF(M72=0,"",IF(TRIM(Raw_Data!M72)="","Not Recorded",TRIM(Raw_Data!M72)))</f>
        <v>Restructuring / Layoff</v>
      </c>
      <c r="P72" s="16" t="n">
        <f aca="false">ROUND((IF(C72="",AsOfDate,C72)-B72)/365.25,2)</f>
        <v>10.64</v>
      </c>
      <c r="Q72" s="13" t="str">
        <f aca="false">IF(D72="","Unknown",IF(D72&lt;25,"Under 25",IF(D72&lt;35,"25-34",IF(D72&lt;45,"35-44",IF(D72&lt;55,"45-54","55+")))))</f>
        <v>35-44</v>
      </c>
      <c r="R72" s="13" t="str">
        <f aca="false">IF(P72&lt;1,"0-1 yrs",IF(P72&lt;3,"1-3 yrs",IF(P72&lt;5,"3-5 yrs",IF(P72&lt;10,"5-10 yrs","10+ yrs"))))</f>
        <v>10+ yrs</v>
      </c>
      <c r="S72" s="13" t="str">
        <f aca="false">IF(I72&gt;=4,"High",IF(I72=3,"Medium","Low"))</f>
        <v>High</v>
      </c>
      <c r="T72" s="13" t="n">
        <f aca="false">IF(M72=1,YEAR(C72),"")</f>
        <v>2023</v>
      </c>
      <c r="U72" s="13" t="str">
        <f aca="false">IF(M72=1,YEAR(C72)&amp;"-Q"&amp;ROUNDUP(MONTH(C72)/3,0),"")</f>
        <v>2023-Q3</v>
      </c>
      <c r="V72" s="13" t="n">
        <f aca="false">IF(M72=1,MONTH(C72),"")</f>
        <v>7</v>
      </c>
    </row>
    <row r="73" customFormat="false" ht="15" hidden="false" customHeight="false" outlineLevel="0" collapsed="false">
      <c r="A73" s="13" t="str">
        <f aca="false">TRIM(Raw_Data!A73)</f>
        <v>EMP0072</v>
      </c>
      <c r="B73" s="14" t="n">
        <f aca="false">Raw_Data!B73</f>
        <v>41233</v>
      </c>
      <c r="C73" s="14" t="n">
        <f aca="false">IF(Raw_Data!C73="","",Raw_Data!C73)</f>
        <v>45553</v>
      </c>
      <c r="D73" s="13" t="n">
        <f aca="false">IF(Raw_Data!D73="","",Raw_Data!D73)</f>
        <v>36</v>
      </c>
      <c r="E73" s="13" t="str">
        <f aca="false">IF(UPPER(LEFT(TRIM(Raw_Data!E73),1))="M","Male",IF(UPPER(LEFT(TRIM(Raw_Data!E73),1))="F","Female","Unknown"))</f>
        <v>Male</v>
      </c>
      <c r="F73" s="13" t="str">
        <f aca="false">PROPER(TRIM(SUBSTITUTE(Raw_Data!F73,"'","")))</f>
        <v>Bachelors</v>
      </c>
      <c r="G73" s="13" t="str">
        <f aca="false">PROPER(TRIM(Raw_Data!G73))</f>
        <v>Operations</v>
      </c>
      <c r="H73" s="13" t="str">
        <f aca="false">PROPER(TRIM(Raw_Data!H73))</f>
        <v>Senior Analyst</v>
      </c>
      <c r="I73" s="13" t="n">
        <f aca="false">IF(Raw_Data!I73="",DefaultPerf,Raw_Data!I73)</f>
        <v>3</v>
      </c>
      <c r="J73" s="13" t="n">
        <f aca="false">IF(Raw_Data!J73="",DefaultSat,Raw_Data!J73)</f>
        <v>3</v>
      </c>
      <c r="K73" s="15" t="n">
        <f aca="false">Raw_Data!K73</f>
        <v>113000</v>
      </c>
      <c r="L73" s="13" t="str">
        <f aca="false">PROPER(TRIM(Raw_Data!N73))</f>
        <v>No</v>
      </c>
      <c r="M73" s="13" t="n">
        <f aca="false">IF(C73="",0,1)</f>
        <v>1</v>
      </c>
      <c r="N73" s="13" t="str">
        <f aca="false">IF(M73=0,"Active",IF(TRIM(Raw_Data!L73)="","Unknown",PROPER(TRIM(Raw_Data!L73))))</f>
        <v>Voluntary</v>
      </c>
      <c r="O73" s="13" t="str">
        <f aca="false">IF(M73=0,"",IF(TRIM(Raw_Data!M73)="","Not Recorded",TRIM(Raw_Data!M73)))</f>
        <v>Better Compensation</v>
      </c>
      <c r="P73" s="16" t="n">
        <f aca="false">ROUND((IF(C73="",AsOfDate,C73)-B73)/365.25,2)</f>
        <v>11.83</v>
      </c>
      <c r="Q73" s="13" t="str">
        <f aca="false">IF(D73="","Unknown",IF(D73&lt;25,"Under 25",IF(D73&lt;35,"25-34",IF(D73&lt;45,"35-44",IF(D73&lt;55,"45-54","55+")))))</f>
        <v>35-44</v>
      </c>
      <c r="R73" s="13" t="str">
        <f aca="false">IF(P73&lt;1,"0-1 yrs",IF(P73&lt;3,"1-3 yrs",IF(P73&lt;5,"3-5 yrs",IF(P73&lt;10,"5-10 yrs","10+ yrs"))))</f>
        <v>10+ yrs</v>
      </c>
      <c r="S73" s="13" t="str">
        <f aca="false">IF(I73&gt;=4,"High",IF(I73=3,"Medium","Low"))</f>
        <v>Medium</v>
      </c>
      <c r="T73" s="13" t="n">
        <f aca="false">IF(M73=1,YEAR(C73),"")</f>
        <v>2024</v>
      </c>
      <c r="U73" s="13" t="str">
        <f aca="false">IF(M73=1,YEAR(C73)&amp;"-Q"&amp;ROUNDUP(MONTH(C73)/3,0),"")</f>
        <v>2024-Q3</v>
      </c>
      <c r="V73" s="13" t="n">
        <f aca="false">IF(M73=1,MONTH(C73),"")</f>
        <v>9</v>
      </c>
    </row>
    <row r="74" customFormat="false" ht="15" hidden="false" customHeight="false" outlineLevel="0" collapsed="false">
      <c r="A74" s="13" t="str">
        <f aca="false">TRIM(Raw_Data!A74)</f>
        <v>EMP0073</v>
      </c>
      <c r="B74" s="14" t="n">
        <f aca="false">Raw_Data!B74</f>
        <v>41236</v>
      </c>
      <c r="C74" s="14" t="str">
        <f aca="false">IF(Raw_Data!C74="","",Raw_Data!C74)</f>
        <v/>
      </c>
      <c r="D74" s="13" t="n">
        <f aca="false">IF(Raw_Data!D74="","",Raw_Data!D74)</f>
        <v>38</v>
      </c>
      <c r="E74" s="13" t="str">
        <f aca="false">IF(UPPER(LEFT(TRIM(Raw_Data!E74),1))="M","Male",IF(UPPER(LEFT(TRIM(Raw_Data!E74),1))="F","Female","Unknown"))</f>
        <v>Male</v>
      </c>
      <c r="F74" s="13" t="str">
        <f aca="false">PROPER(TRIM(SUBSTITUTE(Raw_Data!F74,"'","")))</f>
        <v>Masters</v>
      </c>
      <c r="G74" s="13" t="str">
        <f aca="false">PROPER(TRIM(Raw_Data!G74))</f>
        <v>Customer Support</v>
      </c>
      <c r="H74" s="13" t="str">
        <f aca="false">PROPER(TRIM(Raw_Data!H74))</f>
        <v>Analyst</v>
      </c>
      <c r="I74" s="13" t="n">
        <f aca="false">IF(Raw_Data!I74="",DefaultPerf,Raw_Data!I74)</f>
        <v>3</v>
      </c>
      <c r="J74" s="13" t="n">
        <f aca="false">IF(Raw_Data!J74="",DefaultSat,Raw_Data!J74)</f>
        <v>1</v>
      </c>
      <c r="K74" s="15" t="n">
        <f aca="false">Raw_Data!K74</f>
        <v>85500</v>
      </c>
      <c r="L74" s="13" t="str">
        <f aca="false">PROPER(TRIM(Raw_Data!N74))</f>
        <v>No</v>
      </c>
      <c r="M74" s="13" t="n">
        <f aca="false">IF(C74="",0,1)</f>
        <v>0</v>
      </c>
      <c r="N74" s="13" t="str">
        <f aca="false">IF(M74=0,"Active",IF(TRIM(Raw_Data!L74)="","Unknown",PROPER(TRIM(Raw_Data!L74))))</f>
        <v>Active</v>
      </c>
      <c r="O74" s="13" t="str">
        <f aca="false">IF(M74=0,"",IF(TRIM(Raw_Data!M74)="","Not Recorded",TRIM(Raw_Data!M74)))</f>
        <v/>
      </c>
      <c r="P74" s="16" t="n">
        <f aca="false">ROUND((IF(C74="",AsOfDate,C74)-B74)/365.25,2)</f>
        <v>13.1</v>
      </c>
      <c r="Q74" s="13" t="str">
        <f aca="false">IF(D74="","Unknown",IF(D74&lt;25,"Under 25",IF(D74&lt;35,"25-34",IF(D74&lt;45,"35-44",IF(D74&lt;55,"45-54","55+")))))</f>
        <v>35-44</v>
      </c>
      <c r="R74" s="13" t="str">
        <f aca="false">IF(P74&lt;1,"0-1 yrs",IF(P74&lt;3,"1-3 yrs",IF(P74&lt;5,"3-5 yrs",IF(P74&lt;10,"5-10 yrs","10+ yrs"))))</f>
        <v>10+ yrs</v>
      </c>
      <c r="S74" s="13" t="str">
        <f aca="false">IF(I74&gt;=4,"High",IF(I74=3,"Medium","Low"))</f>
        <v>Medium</v>
      </c>
      <c r="T74" s="13" t="str">
        <f aca="false">IF(M74=1,YEAR(C74),"")</f>
        <v/>
      </c>
      <c r="U74" s="13" t="str">
        <f aca="false">IF(M74=1,YEAR(C74)&amp;"-Q"&amp;ROUNDUP(MONTH(C74)/3,0),"")</f>
        <v/>
      </c>
      <c r="V74" s="13" t="str">
        <f aca="false">IF(M74=1,MONTH(C74),"")</f>
        <v/>
      </c>
    </row>
    <row r="75" customFormat="false" ht="15" hidden="false" customHeight="false" outlineLevel="0" collapsed="false">
      <c r="A75" s="13" t="str">
        <f aca="false">TRIM(Raw_Data!A75)</f>
        <v>EMP0074</v>
      </c>
      <c r="B75" s="14" t="n">
        <f aca="false">Raw_Data!B75</f>
        <v>41239</v>
      </c>
      <c r="C75" s="14" t="str">
        <f aca="false">IF(Raw_Data!C75="","",Raw_Data!C75)</f>
        <v/>
      </c>
      <c r="D75" s="13" t="n">
        <f aca="false">IF(Raw_Data!D75="","",Raw_Data!D75)</f>
        <v>34</v>
      </c>
      <c r="E75" s="13" t="str">
        <f aca="false">IF(UPPER(LEFT(TRIM(Raw_Data!E75),1))="M","Male",IF(UPPER(LEFT(TRIM(Raw_Data!E75),1))="F","Female","Unknown"))</f>
        <v>Male</v>
      </c>
      <c r="F75" s="13" t="str">
        <f aca="false">PROPER(TRIM(SUBSTITUTE(Raw_Data!F75,"'","")))</f>
        <v>Bachelors</v>
      </c>
      <c r="G75" s="13" t="str">
        <f aca="false">PROPER(TRIM(Raw_Data!G75))</f>
        <v>Finance</v>
      </c>
      <c r="H75" s="13" t="str">
        <f aca="false">PROPER(TRIM(Raw_Data!H75))</f>
        <v>Specialist</v>
      </c>
      <c r="I75" s="13" t="n">
        <f aca="false">IF(Raw_Data!I75="",DefaultPerf,Raw_Data!I75)</f>
        <v>2</v>
      </c>
      <c r="J75" s="13" t="n">
        <f aca="false">IF(Raw_Data!J75="",DefaultSat,Raw_Data!J75)</f>
        <v>3</v>
      </c>
      <c r="K75" s="15" t="n">
        <f aca="false">Raw_Data!K75</f>
        <v>134000</v>
      </c>
      <c r="L75" s="13" t="str">
        <f aca="false">PROPER(TRIM(Raw_Data!N75))</f>
        <v>Yes</v>
      </c>
      <c r="M75" s="13" t="n">
        <f aca="false">IF(C75="",0,1)</f>
        <v>0</v>
      </c>
      <c r="N75" s="13" t="str">
        <f aca="false">IF(M75=0,"Active",IF(TRIM(Raw_Data!L75)="","Unknown",PROPER(TRIM(Raw_Data!L75))))</f>
        <v>Active</v>
      </c>
      <c r="O75" s="13" t="str">
        <f aca="false">IF(M75=0,"",IF(TRIM(Raw_Data!M75)="","Not Recorded",TRIM(Raw_Data!M75)))</f>
        <v/>
      </c>
      <c r="P75" s="16" t="n">
        <f aca="false">ROUND((IF(C75="",AsOfDate,C75)-B75)/365.25,2)</f>
        <v>13.1</v>
      </c>
      <c r="Q75" s="13" t="str">
        <f aca="false">IF(D75="","Unknown",IF(D75&lt;25,"Under 25",IF(D75&lt;35,"25-34",IF(D75&lt;45,"35-44",IF(D75&lt;55,"45-54","55+")))))</f>
        <v>25-34</v>
      </c>
      <c r="R75" s="13" t="str">
        <f aca="false">IF(P75&lt;1,"0-1 yrs",IF(P75&lt;3,"1-3 yrs",IF(P75&lt;5,"3-5 yrs",IF(P75&lt;10,"5-10 yrs","10+ yrs"))))</f>
        <v>10+ yrs</v>
      </c>
      <c r="S75" s="13" t="str">
        <f aca="false">IF(I75&gt;=4,"High",IF(I75=3,"Medium","Low"))</f>
        <v>Low</v>
      </c>
      <c r="T75" s="13" t="str">
        <f aca="false">IF(M75=1,YEAR(C75),"")</f>
        <v/>
      </c>
      <c r="U75" s="13" t="str">
        <f aca="false">IF(M75=1,YEAR(C75)&amp;"-Q"&amp;ROUNDUP(MONTH(C75)/3,0),"")</f>
        <v/>
      </c>
      <c r="V75" s="13" t="str">
        <f aca="false">IF(M75=1,MONTH(C75),"")</f>
        <v/>
      </c>
    </row>
    <row r="76" customFormat="false" ht="15" hidden="false" customHeight="false" outlineLevel="0" collapsed="false">
      <c r="A76" s="13" t="str">
        <f aca="false">TRIM(Raw_Data!A76)</f>
        <v>EMP0075</v>
      </c>
      <c r="B76" s="14" t="n">
        <f aca="false">Raw_Data!B76</f>
        <v>41242</v>
      </c>
      <c r="C76" s="14" t="str">
        <f aca="false">IF(Raw_Data!C76="","",Raw_Data!C76)</f>
        <v/>
      </c>
      <c r="D76" s="13" t="n">
        <f aca="false">IF(Raw_Data!D76="","",Raw_Data!D76)</f>
        <v>36</v>
      </c>
      <c r="E76" s="13" t="str">
        <f aca="false">IF(UPPER(LEFT(TRIM(Raw_Data!E76),1))="M","Male",IF(UPPER(LEFT(TRIM(Raw_Data!E76),1))="F","Female","Unknown"))</f>
        <v>Female</v>
      </c>
      <c r="F76" s="13" t="str">
        <f aca="false">PROPER(TRIM(SUBSTITUTE(Raw_Data!F76,"'","")))</f>
        <v>Bachelors</v>
      </c>
      <c r="G76" s="13" t="str">
        <f aca="false">PROPER(TRIM(Raw_Data!G76))</f>
        <v>Engineering</v>
      </c>
      <c r="H76" s="13" t="str">
        <f aca="false">PROPER(TRIM(Raw_Data!H76))</f>
        <v>Manager</v>
      </c>
      <c r="I76" s="13" t="n">
        <f aca="false">IF(Raw_Data!I76="",DefaultPerf,Raw_Data!I76)</f>
        <v>3</v>
      </c>
      <c r="J76" s="13" t="n">
        <f aca="false">IF(Raw_Data!J76="",DefaultSat,Raw_Data!J76)</f>
        <v>2</v>
      </c>
      <c r="K76" s="15" t="n">
        <f aca="false">Raw_Data!K76</f>
        <v>236000</v>
      </c>
      <c r="L76" s="13" t="str">
        <f aca="false">PROPER(TRIM(Raw_Data!N76))</f>
        <v>Yes</v>
      </c>
      <c r="M76" s="13" t="n">
        <f aca="false">IF(C76="",0,1)</f>
        <v>0</v>
      </c>
      <c r="N76" s="13" t="str">
        <f aca="false">IF(M76=0,"Active",IF(TRIM(Raw_Data!L76)="","Unknown",PROPER(TRIM(Raw_Data!L76))))</f>
        <v>Active</v>
      </c>
      <c r="O76" s="13" t="str">
        <f aca="false">IF(M76=0,"",IF(TRIM(Raw_Data!M76)="","Not Recorded",TRIM(Raw_Data!M76)))</f>
        <v/>
      </c>
      <c r="P76" s="16" t="n">
        <f aca="false">ROUND((IF(C76="",AsOfDate,C76)-B76)/365.25,2)</f>
        <v>13.09</v>
      </c>
      <c r="Q76" s="13" t="str">
        <f aca="false">IF(D76="","Unknown",IF(D76&lt;25,"Under 25",IF(D76&lt;35,"25-34",IF(D76&lt;45,"35-44",IF(D76&lt;55,"45-54","55+")))))</f>
        <v>35-44</v>
      </c>
      <c r="R76" s="13" t="str">
        <f aca="false">IF(P76&lt;1,"0-1 yrs",IF(P76&lt;3,"1-3 yrs",IF(P76&lt;5,"3-5 yrs",IF(P76&lt;10,"5-10 yrs","10+ yrs"))))</f>
        <v>10+ yrs</v>
      </c>
      <c r="S76" s="13" t="str">
        <f aca="false">IF(I76&gt;=4,"High",IF(I76=3,"Medium","Low"))</f>
        <v>Medium</v>
      </c>
      <c r="T76" s="13" t="str">
        <f aca="false">IF(M76=1,YEAR(C76),"")</f>
        <v/>
      </c>
      <c r="U76" s="13" t="str">
        <f aca="false">IF(M76=1,YEAR(C76)&amp;"-Q"&amp;ROUNDUP(MONTH(C76)/3,0),"")</f>
        <v/>
      </c>
      <c r="V76" s="13" t="str">
        <f aca="false">IF(M76=1,MONTH(C76),"")</f>
        <v/>
      </c>
    </row>
    <row r="77" customFormat="false" ht="15" hidden="false" customHeight="false" outlineLevel="0" collapsed="false">
      <c r="A77" s="13" t="str">
        <f aca="false">TRIM(Raw_Data!A77)</f>
        <v>EMP0076</v>
      </c>
      <c r="B77" s="14" t="n">
        <f aca="false">Raw_Data!B77</f>
        <v>41251</v>
      </c>
      <c r="C77" s="14" t="n">
        <f aca="false">IF(Raw_Data!C77="","",Raw_Data!C77)</f>
        <v>45408</v>
      </c>
      <c r="D77" s="13" t="n">
        <f aca="false">IF(Raw_Data!D77="","",Raw_Data!D77)</f>
        <v>38</v>
      </c>
      <c r="E77" s="13" t="str">
        <f aca="false">IF(UPPER(LEFT(TRIM(Raw_Data!E77),1))="M","Male",IF(UPPER(LEFT(TRIM(Raw_Data!E77),1))="F","Female","Unknown"))</f>
        <v>Female</v>
      </c>
      <c r="F77" s="13" t="str">
        <f aca="false">PROPER(TRIM(SUBSTITUTE(Raw_Data!F77,"'","")))</f>
        <v>Bachelors</v>
      </c>
      <c r="G77" s="13" t="str">
        <f aca="false">PROPER(TRIM(Raw_Data!G77))</f>
        <v>Engineering</v>
      </c>
      <c r="H77" s="13" t="str">
        <f aca="false">PROPER(TRIM(Raw_Data!H77))</f>
        <v>Specialist</v>
      </c>
      <c r="I77" s="13" t="n">
        <f aca="false">IF(Raw_Data!I77="",DefaultPerf,Raw_Data!I77)</f>
        <v>5</v>
      </c>
      <c r="J77" s="13" t="n">
        <f aca="false">IF(Raw_Data!J77="",DefaultSat,Raw_Data!J77)</f>
        <v>2</v>
      </c>
      <c r="K77" s="15" t="n">
        <f aca="false">Raw_Data!K77</f>
        <v>162000</v>
      </c>
      <c r="L77" s="13" t="str">
        <f aca="false">PROPER(TRIM(Raw_Data!N77))</f>
        <v>Yes</v>
      </c>
      <c r="M77" s="13" t="n">
        <f aca="false">IF(C77="",0,1)</f>
        <v>1</v>
      </c>
      <c r="N77" s="13" t="str">
        <f aca="false">IF(M77=0,"Active",IF(TRIM(Raw_Data!L77)="","Unknown",PROPER(TRIM(Raw_Data!L77))))</f>
        <v>Voluntary</v>
      </c>
      <c r="O77" s="13" t="str">
        <f aca="false">IF(M77=0,"",IF(TRIM(Raw_Data!M77)="","Not Recorded",TRIM(Raw_Data!M77)))</f>
        <v>Relocation</v>
      </c>
      <c r="P77" s="16" t="n">
        <f aca="false">ROUND((IF(C77="",AsOfDate,C77)-B77)/365.25,2)</f>
        <v>11.38</v>
      </c>
      <c r="Q77" s="13" t="str">
        <f aca="false">IF(D77="","Unknown",IF(D77&lt;25,"Under 25",IF(D77&lt;35,"25-34",IF(D77&lt;45,"35-44",IF(D77&lt;55,"45-54","55+")))))</f>
        <v>35-44</v>
      </c>
      <c r="R77" s="13" t="str">
        <f aca="false">IF(P77&lt;1,"0-1 yrs",IF(P77&lt;3,"1-3 yrs",IF(P77&lt;5,"3-5 yrs",IF(P77&lt;10,"5-10 yrs","10+ yrs"))))</f>
        <v>10+ yrs</v>
      </c>
      <c r="S77" s="13" t="str">
        <f aca="false">IF(I77&gt;=4,"High",IF(I77=3,"Medium","Low"))</f>
        <v>High</v>
      </c>
      <c r="T77" s="13" t="n">
        <f aca="false">IF(M77=1,YEAR(C77),"")</f>
        <v>2024</v>
      </c>
      <c r="U77" s="13" t="str">
        <f aca="false">IF(M77=1,YEAR(C77)&amp;"-Q"&amp;ROUNDUP(MONTH(C77)/3,0),"")</f>
        <v>2024-Q2</v>
      </c>
      <c r="V77" s="13" t="n">
        <f aca="false">IF(M77=1,MONTH(C77),"")</f>
        <v>4</v>
      </c>
    </row>
    <row r="78" customFormat="false" ht="15" hidden="false" customHeight="false" outlineLevel="0" collapsed="false">
      <c r="A78" s="13" t="str">
        <f aca="false">TRIM(Raw_Data!A78)</f>
        <v>EMP0077</v>
      </c>
      <c r="B78" s="14" t="n">
        <f aca="false">Raw_Data!B78</f>
        <v>41256</v>
      </c>
      <c r="C78" s="14" t="str">
        <f aca="false">IF(Raw_Data!C78="","",Raw_Data!C78)</f>
        <v/>
      </c>
      <c r="D78" s="13" t="n">
        <f aca="false">IF(Raw_Data!D78="","",Raw_Data!D78)</f>
        <v>48</v>
      </c>
      <c r="E78" s="13" t="str">
        <f aca="false">IF(UPPER(LEFT(TRIM(Raw_Data!E78),1))="M","Male",IF(UPPER(LEFT(TRIM(Raw_Data!E78),1))="F","Female","Unknown"))</f>
        <v>Female</v>
      </c>
      <c r="F78" s="13" t="str">
        <f aca="false">PROPER(TRIM(SUBSTITUTE(Raw_Data!F78,"'","")))</f>
        <v>Masters</v>
      </c>
      <c r="G78" s="13" t="str">
        <f aca="false">PROPER(TRIM(Raw_Data!G78))</f>
        <v>Human Resources</v>
      </c>
      <c r="H78" s="13" t="str">
        <f aca="false">PROPER(TRIM(Raw_Data!H78))</f>
        <v>Associate</v>
      </c>
      <c r="I78" s="13" t="n">
        <f aca="false">IF(Raw_Data!I78="",DefaultPerf,Raw_Data!I78)</f>
        <v>3</v>
      </c>
      <c r="J78" s="13" t="n">
        <f aca="false">IF(Raw_Data!J78="",DefaultSat,Raw_Data!J78)</f>
        <v>4</v>
      </c>
      <c r="K78" s="15" t="n">
        <f aca="false">Raw_Data!K78</f>
        <v>60500</v>
      </c>
      <c r="L78" s="13" t="str">
        <f aca="false">PROPER(TRIM(Raw_Data!N78))</f>
        <v>No</v>
      </c>
      <c r="M78" s="13" t="n">
        <f aca="false">IF(C78="",0,1)</f>
        <v>0</v>
      </c>
      <c r="N78" s="13" t="str">
        <f aca="false">IF(M78=0,"Active",IF(TRIM(Raw_Data!L78)="","Unknown",PROPER(TRIM(Raw_Data!L78))))</f>
        <v>Active</v>
      </c>
      <c r="O78" s="13" t="str">
        <f aca="false">IF(M78=0,"",IF(TRIM(Raw_Data!M78)="","Not Recorded",TRIM(Raw_Data!M78)))</f>
        <v/>
      </c>
      <c r="P78" s="16" t="n">
        <f aca="false">ROUND((IF(C78="",AsOfDate,C78)-B78)/365.25,2)</f>
        <v>13.05</v>
      </c>
      <c r="Q78" s="13" t="str">
        <f aca="false">IF(D78="","Unknown",IF(D78&lt;25,"Under 25",IF(D78&lt;35,"25-34",IF(D78&lt;45,"35-44",IF(D78&lt;55,"45-54","55+")))))</f>
        <v>45-54</v>
      </c>
      <c r="R78" s="13" t="str">
        <f aca="false">IF(P78&lt;1,"0-1 yrs",IF(P78&lt;3,"1-3 yrs",IF(P78&lt;5,"3-5 yrs",IF(P78&lt;10,"5-10 yrs","10+ yrs"))))</f>
        <v>10+ yrs</v>
      </c>
      <c r="S78" s="13" t="str">
        <f aca="false">IF(I78&gt;=4,"High",IF(I78=3,"Medium","Low"))</f>
        <v>Medium</v>
      </c>
      <c r="T78" s="13" t="str">
        <f aca="false">IF(M78=1,YEAR(C78),"")</f>
        <v/>
      </c>
      <c r="U78" s="13" t="str">
        <f aca="false">IF(M78=1,YEAR(C78)&amp;"-Q"&amp;ROUNDUP(MONTH(C78)/3,0),"")</f>
        <v/>
      </c>
      <c r="V78" s="13" t="str">
        <f aca="false">IF(M78=1,MONTH(C78),"")</f>
        <v/>
      </c>
    </row>
    <row r="79" customFormat="false" ht="15" hidden="false" customHeight="false" outlineLevel="0" collapsed="false">
      <c r="A79" s="13" t="str">
        <f aca="false">TRIM(Raw_Data!A79)</f>
        <v>EMP0078</v>
      </c>
      <c r="B79" s="14" t="n">
        <f aca="false">Raw_Data!B79</f>
        <v>41258</v>
      </c>
      <c r="C79" s="14" t="n">
        <f aca="false">IF(Raw_Data!C79="","",Raw_Data!C79)</f>
        <v>45404</v>
      </c>
      <c r="D79" s="13" t="n">
        <f aca="false">IF(Raw_Data!D79="","",Raw_Data!D79)</f>
        <v>34</v>
      </c>
      <c r="E79" s="13" t="str">
        <f aca="false">IF(UPPER(LEFT(TRIM(Raw_Data!E79),1))="M","Male",IF(UPPER(LEFT(TRIM(Raw_Data!E79),1))="F","Female","Unknown"))</f>
        <v>Male</v>
      </c>
      <c r="F79" s="13" t="str">
        <f aca="false">PROPER(TRIM(SUBSTITUTE(Raw_Data!F79,"'","")))</f>
        <v>Masters</v>
      </c>
      <c r="G79" s="13" t="str">
        <f aca="false">PROPER(TRIM(Raw_Data!G79))</f>
        <v>Sales</v>
      </c>
      <c r="H79" s="13" t="str">
        <f aca="false">PROPER(TRIM(Raw_Data!H79))</f>
        <v>Senior Analyst</v>
      </c>
      <c r="I79" s="13" t="n">
        <f aca="false">IF(Raw_Data!I79="",DefaultPerf,Raw_Data!I79)</f>
        <v>3</v>
      </c>
      <c r="J79" s="13" t="n">
        <f aca="false">IF(Raw_Data!J79="",DefaultSat,Raw_Data!J79)</f>
        <v>4</v>
      </c>
      <c r="K79" s="15" t="n">
        <f aca="false">Raw_Data!K79</f>
        <v>118500</v>
      </c>
      <c r="L79" s="13" t="str">
        <f aca="false">PROPER(TRIM(Raw_Data!N79))</f>
        <v>Yes</v>
      </c>
      <c r="M79" s="13" t="n">
        <f aca="false">IF(C79="",0,1)</f>
        <v>1</v>
      </c>
      <c r="N79" s="13" t="str">
        <f aca="false">IF(M79=0,"Active",IF(TRIM(Raw_Data!L79)="","Unknown",PROPER(TRIM(Raw_Data!L79))))</f>
        <v>Voluntary</v>
      </c>
      <c r="O79" s="13" t="str">
        <f aca="false">IF(M79=0,"",IF(TRIM(Raw_Data!M79)="","Not Recorded",TRIM(Raw_Data!M79)))</f>
        <v>Better Compensation</v>
      </c>
      <c r="P79" s="16" t="n">
        <f aca="false">ROUND((IF(C79="",AsOfDate,C79)-B79)/365.25,2)</f>
        <v>11.35</v>
      </c>
      <c r="Q79" s="13" t="str">
        <f aca="false">IF(D79="","Unknown",IF(D79&lt;25,"Under 25",IF(D79&lt;35,"25-34",IF(D79&lt;45,"35-44",IF(D79&lt;55,"45-54","55+")))))</f>
        <v>25-34</v>
      </c>
      <c r="R79" s="13" t="str">
        <f aca="false">IF(P79&lt;1,"0-1 yrs",IF(P79&lt;3,"1-3 yrs",IF(P79&lt;5,"3-5 yrs",IF(P79&lt;10,"5-10 yrs","10+ yrs"))))</f>
        <v>10+ yrs</v>
      </c>
      <c r="S79" s="13" t="str">
        <f aca="false">IF(I79&gt;=4,"High",IF(I79=3,"Medium","Low"))</f>
        <v>Medium</v>
      </c>
      <c r="T79" s="13" t="n">
        <f aca="false">IF(M79=1,YEAR(C79),"")</f>
        <v>2024</v>
      </c>
      <c r="U79" s="13" t="str">
        <f aca="false">IF(M79=1,YEAR(C79)&amp;"-Q"&amp;ROUNDUP(MONTH(C79)/3,0),"")</f>
        <v>2024-Q2</v>
      </c>
      <c r="V79" s="13" t="n">
        <f aca="false">IF(M79=1,MONTH(C79),"")</f>
        <v>4</v>
      </c>
    </row>
    <row r="80" customFormat="false" ht="15" hidden="false" customHeight="false" outlineLevel="0" collapsed="false">
      <c r="A80" s="13" t="str">
        <f aca="false">TRIM(Raw_Data!A80)</f>
        <v>EMP0079</v>
      </c>
      <c r="B80" s="14" t="n">
        <f aca="false">Raw_Data!B80</f>
        <v>41259</v>
      </c>
      <c r="C80" s="14" t="str">
        <f aca="false">IF(Raw_Data!C80="","",Raw_Data!C80)</f>
        <v/>
      </c>
      <c r="D80" s="13" t="n">
        <f aca="false">IF(Raw_Data!D80="","",Raw_Data!D80)</f>
        <v>34</v>
      </c>
      <c r="E80" s="13" t="str">
        <f aca="false">IF(UPPER(LEFT(TRIM(Raw_Data!E80),1))="M","Male",IF(UPPER(LEFT(TRIM(Raw_Data!E80),1))="F","Female","Unknown"))</f>
        <v>Male</v>
      </c>
      <c r="F80" s="13" t="str">
        <f aca="false">PROPER(TRIM(SUBSTITUTE(Raw_Data!F80,"'","")))</f>
        <v>Bachelors</v>
      </c>
      <c r="G80" s="13" t="str">
        <f aca="false">PROPER(TRIM(Raw_Data!G80))</f>
        <v>Sales</v>
      </c>
      <c r="H80" s="13" t="str">
        <f aca="false">PROPER(TRIM(Raw_Data!H80))</f>
        <v>Analyst</v>
      </c>
      <c r="I80" s="13" t="n">
        <f aca="false">IF(Raw_Data!I80="",DefaultPerf,Raw_Data!I80)</f>
        <v>3</v>
      </c>
      <c r="J80" s="13" t="n">
        <f aca="false">IF(Raw_Data!J80="",DefaultSat,Raw_Data!J80)</f>
        <v>4</v>
      </c>
      <c r="K80" s="15" t="n">
        <f aca="false">Raw_Data!K80</f>
        <v>74500</v>
      </c>
      <c r="L80" s="13" t="str">
        <f aca="false">PROPER(TRIM(Raw_Data!N80))</f>
        <v>No</v>
      </c>
      <c r="M80" s="13" t="n">
        <f aca="false">IF(C80="",0,1)</f>
        <v>0</v>
      </c>
      <c r="N80" s="13" t="str">
        <f aca="false">IF(M80=0,"Active",IF(TRIM(Raw_Data!L80)="","Unknown",PROPER(TRIM(Raw_Data!L80))))</f>
        <v>Active</v>
      </c>
      <c r="O80" s="13" t="str">
        <f aca="false">IF(M80=0,"",IF(TRIM(Raw_Data!M80)="","Not Recorded",TRIM(Raw_Data!M80)))</f>
        <v/>
      </c>
      <c r="P80" s="16" t="n">
        <f aca="false">ROUND((IF(C80="",AsOfDate,C80)-B80)/365.25,2)</f>
        <v>13.04</v>
      </c>
      <c r="Q80" s="13" t="str">
        <f aca="false">IF(D80="","Unknown",IF(D80&lt;25,"Under 25",IF(D80&lt;35,"25-34",IF(D80&lt;45,"35-44",IF(D80&lt;55,"45-54","55+")))))</f>
        <v>25-34</v>
      </c>
      <c r="R80" s="13" t="str">
        <f aca="false">IF(P80&lt;1,"0-1 yrs",IF(P80&lt;3,"1-3 yrs",IF(P80&lt;5,"3-5 yrs",IF(P80&lt;10,"5-10 yrs","10+ yrs"))))</f>
        <v>10+ yrs</v>
      </c>
      <c r="S80" s="13" t="str">
        <f aca="false">IF(I80&gt;=4,"High",IF(I80=3,"Medium","Low"))</f>
        <v>Medium</v>
      </c>
      <c r="T80" s="13" t="str">
        <f aca="false">IF(M80=1,YEAR(C80),"")</f>
        <v/>
      </c>
      <c r="U80" s="13" t="str">
        <f aca="false">IF(M80=1,YEAR(C80)&amp;"-Q"&amp;ROUNDUP(MONTH(C80)/3,0),"")</f>
        <v/>
      </c>
      <c r="V80" s="13" t="str">
        <f aca="false">IF(M80=1,MONTH(C80),"")</f>
        <v/>
      </c>
    </row>
    <row r="81" customFormat="false" ht="15" hidden="false" customHeight="false" outlineLevel="0" collapsed="false">
      <c r="A81" s="13" t="str">
        <f aca="false">TRIM(Raw_Data!A81)</f>
        <v>EMP0080</v>
      </c>
      <c r="B81" s="14" t="n">
        <f aca="false">Raw_Data!B81</f>
        <v>41262</v>
      </c>
      <c r="C81" s="14" t="n">
        <f aca="false">IF(Raw_Data!C81="","",Raw_Data!C81)</f>
        <v>44720</v>
      </c>
      <c r="D81" s="13" t="n">
        <f aca="false">IF(Raw_Data!D81="","",Raw_Data!D81)</f>
        <v>38</v>
      </c>
      <c r="E81" s="13" t="str">
        <f aca="false">IF(UPPER(LEFT(TRIM(Raw_Data!E81),1))="M","Male",IF(UPPER(LEFT(TRIM(Raw_Data!E81),1))="F","Female","Unknown"))</f>
        <v>Male</v>
      </c>
      <c r="F81" s="13" t="str">
        <f aca="false">PROPER(TRIM(SUBSTITUTE(Raw_Data!F81,"'","")))</f>
        <v>Bachelors</v>
      </c>
      <c r="G81" s="13" t="str">
        <f aca="false">PROPER(TRIM(Raw_Data!G81))</f>
        <v>Operations</v>
      </c>
      <c r="H81" s="13" t="str">
        <f aca="false">PROPER(TRIM(Raw_Data!H81))</f>
        <v>Team Lead</v>
      </c>
      <c r="I81" s="13" t="n">
        <f aca="false">IF(Raw_Data!I81="",DefaultPerf,Raw_Data!I81)</f>
        <v>2</v>
      </c>
      <c r="J81" s="13" t="n">
        <f aca="false">IF(Raw_Data!J81="",DefaultSat,Raw_Data!J81)</f>
        <v>3</v>
      </c>
      <c r="K81" s="15" t="n">
        <f aca="false">Raw_Data!K81</f>
        <v>151500</v>
      </c>
      <c r="L81" s="13" t="str">
        <f aca="false">PROPER(TRIM(Raw_Data!N81))</f>
        <v>No</v>
      </c>
      <c r="M81" s="13" t="n">
        <f aca="false">IF(C81="",0,1)</f>
        <v>1</v>
      </c>
      <c r="N81" s="13" t="str">
        <f aca="false">IF(M81=0,"Active",IF(TRIM(Raw_Data!L81)="","Unknown",PROPER(TRIM(Raw_Data!L81))))</f>
        <v>Involuntary</v>
      </c>
      <c r="O81" s="13" t="str">
        <f aca="false">IF(M81=0,"",IF(TRIM(Raw_Data!M81)="","Not Recorded",TRIM(Raw_Data!M81)))</f>
        <v>Poor Performance</v>
      </c>
      <c r="P81" s="16" t="n">
        <f aca="false">ROUND((IF(C81="",AsOfDate,C81)-B81)/365.25,2)</f>
        <v>9.47</v>
      </c>
      <c r="Q81" s="13" t="str">
        <f aca="false">IF(D81="","Unknown",IF(D81&lt;25,"Under 25",IF(D81&lt;35,"25-34",IF(D81&lt;45,"35-44",IF(D81&lt;55,"45-54","55+")))))</f>
        <v>35-44</v>
      </c>
      <c r="R81" s="13" t="str">
        <f aca="false">IF(P81&lt;1,"0-1 yrs",IF(P81&lt;3,"1-3 yrs",IF(P81&lt;5,"3-5 yrs",IF(P81&lt;10,"5-10 yrs","10+ yrs"))))</f>
        <v>5-10 yrs</v>
      </c>
      <c r="S81" s="13" t="str">
        <f aca="false">IF(I81&gt;=4,"High",IF(I81=3,"Medium","Low"))</f>
        <v>Low</v>
      </c>
      <c r="T81" s="13" t="n">
        <f aca="false">IF(M81=1,YEAR(C81),"")</f>
        <v>2022</v>
      </c>
      <c r="U81" s="13" t="str">
        <f aca="false">IF(M81=1,YEAR(C81)&amp;"-Q"&amp;ROUNDUP(MONTH(C81)/3,0),"")</f>
        <v>2022-Q2</v>
      </c>
      <c r="V81" s="13" t="n">
        <f aca="false">IF(M81=1,MONTH(C81),"")</f>
        <v>6</v>
      </c>
    </row>
    <row r="82" customFormat="false" ht="15" hidden="false" customHeight="false" outlineLevel="0" collapsed="false">
      <c r="A82" s="13" t="str">
        <f aca="false">TRIM(Raw_Data!A82)</f>
        <v>EMP0081</v>
      </c>
      <c r="B82" s="14" t="n">
        <f aca="false">Raw_Data!B82</f>
        <v>41273</v>
      </c>
      <c r="C82" s="14" t="str">
        <f aca="false">IF(Raw_Data!C82="","",Raw_Data!C82)</f>
        <v/>
      </c>
      <c r="D82" s="13" t="n">
        <f aca="false">IF(Raw_Data!D82="","",Raw_Data!D82)</f>
        <v>50</v>
      </c>
      <c r="E82" s="13" t="str">
        <f aca="false">IF(UPPER(LEFT(TRIM(Raw_Data!E82),1))="M","Male",IF(UPPER(LEFT(TRIM(Raw_Data!E82),1))="F","Female","Unknown"))</f>
        <v>Female</v>
      </c>
      <c r="F82" s="13" t="str">
        <f aca="false">PROPER(TRIM(SUBSTITUTE(Raw_Data!F82,"'","")))</f>
        <v>Bachelors</v>
      </c>
      <c r="G82" s="13" t="str">
        <f aca="false">PROPER(TRIM(Raw_Data!G82))</f>
        <v>Engineering</v>
      </c>
      <c r="H82" s="13" t="str">
        <f aca="false">PROPER(TRIM(Raw_Data!H82))</f>
        <v>Senior Analyst</v>
      </c>
      <c r="I82" s="13" t="n">
        <f aca="false">IF(Raw_Data!I82="",DefaultPerf,Raw_Data!I82)</f>
        <v>3</v>
      </c>
      <c r="J82" s="13" t="n">
        <f aca="false">IF(Raw_Data!J82="",DefaultSat,Raw_Data!J82)</f>
        <v>2</v>
      </c>
      <c r="K82" s="15" t="n">
        <f aca="false">Raw_Data!K82</f>
        <v>123500</v>
      </c>
      <c r="L82" s="13" t="str">
        <f aca="false">PROPER(TRIM(Raw_Data!N82))</f>
        <v>No</v>
      </c>
      <c r="M82" s="13" t="n">
        <f aca="false">IF(C82="",0,1)</f>
        <v>0</v>
      </c>
      <c r="N82" s="13" t="str">
        <f aca="false">IF(M82=0,"Active",IF(TRIM(Raw_Data!L82)="","Unknown",PROPER(TRIM(Raw_Data!L82))))</f>
        <v>Active</v>
      </c>
      <c r="O82" s="13" t="str">
        <f aca="false">IF(M82=0,"",IF(TRIM(Raw_Data!M82)="","Not Recorded",TRIM(Raw_Data!M82)))</f>
        <v/>
      </c>
      <c r="P82" s="16" t="n">
        <f aca="false">ROUND((IF(C82="",AsOfDate,C82)-B82)/365.25,2)</f>
        <v>13</v>
      </c>
      <c r="Q82" s="13" t="str">
        <f aca="false">IF(D82="","Unknown",IF(D82&lt;25,"Under 25",IF(D82&lt;35,"25-34",IF(D82&lt;45,"35-44",IF(D82&lt;55,"45-54","55+")))))</f>
        <v>45-54</v>
      </c>
      <c r="R82" s="13" t="str">
        <f aca="false">IF(P82&lt;1,"0-1 yrs",IF(P82&lt;3,"1-3 yrs",IF(P82&lt;5,"3-5 yrs",IF(P82&lt;10,"5-10 yrs","10+ yrs"))))</f>
        <v>10+ yrs</v>
      </c>
      <c r="S82" s="13" t="str">
        <f aca="false">IF(I82&gt;=4,"High",IF(I82=3,"Medium","Low"))</f>
        <v>Medium</v>
      </c>
      <c r="T82" s="13" t="str">
        <f aca="false">IF(M82=1,YEAR(C82),"")</f>
        <v/>
      </c>
      <c r="U82" s="13" t="str">
        <f aca="false">IF(M82=1,YEAR(C82)&amp;"-Q"&amp;ROUNDUP(MONTH(C82)/3,0),"")</f>
        <v/>
      </c>
      <c r="V82" s="13" t="str">
        <f aca="false">IF(M82=1,MONTH(C82),"")</f>
        <v/>
      </c>
    </row>
    <row r="83" customFormat="false" ht="15" hidden="false" customHeight="false" outlineLevel="0" collapsed="false">
      <c r="A83" s="13" t="str">
        <f aca="false">TRIM(Raw_Data!A83)</f>
        <v>EMP0082</v>
      </c>
      <c r="B83" s="14" t="n">
        <f aca="false">Raw_Data!B83</f>
        <v>41282</v>
      </c>
      <c r="C83" s="14" t="str">
        <f aca="false">IF(Raw_Data!C83="","",Raw_Data!C83)</f>
        <v/>
      </c>
      <c r="D83" s="13" t="n">
        <f aca="false">IF(Raw_Data!D83="","",Raw_Data!D83)</f>
        <v>45</v>
      </c>
      <c r="E83" s="13" t="str">
        <f aca="false">IF(UPPER(LEFT(TRIM(Raw_Data!E83),1))="M","Male",IF(UPPER(LEFT(TRIM(Raw_Data!E83),1))="F","Female","Unknown"))</f>
        <v>Female</v>
      </c>
      <c r="F83" s="13" t="str">
        <f aca="false">PROPER(TRIM(SUBSTITUTE(Raw_Data!F83,"'","")))</f>
        <v>Masters</v>
      </c>
      <c r="G83" s="13" t="str">
        <f aca="false">PROPER(TRIM(Raw_Data!G83))</f>
        <v>Customer Support</v>
      </c>
      <c r="H83" s="13" t="str">
        <f aca="false">PROPER(TRIM(Raw_Data!H83))</f>
        <v>Manager</v>
      </c>
      <c r="I83" s="13" t="n">
        <f aca="false">IF(Raw_Data!I83="",DefaultPerf,Raw_Data!I83)</f>
        <v>3</v>
      </c>
      <c r="J83" s="13" t="n">
        <f aca="false">IF(Raw_Data!J83="",DefaultSat,Raw_Data!J83)</f>
        <v>4</v>
      </c>
      <c r="K83" s="15" t="n">
        <f aca="false">Raw_Data!K83</f>
        <v>226000</v>
      </c>
      <c r="L83" s="13" t="str">
        <f aca="false">PROPER(TRIM(Raw_Data!N83))</f>
        <v>Yes</v>
      </c>
      <c r="M83" s="13" t="n">
        <f aca="false">IF(C83="",0,1)</f>
        <v>0</v>
      </c>
      <c r="N83" s="13" t="str">
        <f aca="false">IF(M83=0,"Active",IF(TRIM(Raw_Data!L83)="","Unknown",PROPER(TRIM(Raw_Data!L83))))</f>
        <v>Active</v>
      </c>
      <c r="O83" s="13" t="str">
        <f aca="false">IF(M83=0,"",IF(TRIM(Raw_Data!M83)="","Not Recorded",TRIM(Raw_Data!M83)))</f>
        <v/>
      </c>
      <c r="P83" s="16" t="n">
        <f aca="false">ROUND((IF(C83="",AsOfDate,C83)-B83)/365.25,2)</f>
        <v>12.98</v>
      </c>
      <c r="Q83" s="13" t="str">
        <f aca="false">IF(D83="","Unknown",IF(D83&lt;25,"Under 25",IF(D83&lt;35,"25-34",IF(D83&lt;45,"35-44",IF(D83&lt;55,"45-54","55+")))))</f>
        <v>45-54</v>
      </c>
      <c r="R83" s="13" t="str">
        <f aca="false">IF(P83&lt;1,"0-1 yrs",IF(P83&lt;3,"1-3 yrs",IF(P83&lt;5,"3-5 yrs",IF(P83&lt;10,"5-10 yrs","10+ yrs"))))</f>
        <v>10+ yrs</v>
      </c>
      <c r="S83" s="13" t="str">
        <f aca="false">IF(I83&gt;=4,"High",IF(I83=3,"Medium","Low"))</f>
        <v>Medium</v>
      </c>
      <c r="T83" s="13" t="str">
        <f aca="false">IF(M83=1,YEAR(C83),"")</f>
        <v/>
      </c>
      <c r="U83" s="13" t="str">
        <f aca="false">IF(M83=1,YEAR(C83)&amp;"-Q"&amp;ROUNDUP(MONTH(C83)/3,0),"")</f>
        <v/>
      </c>
      <c r="V83" s="13" t="str">
        <f aca="false">IF(M83=1,MONTH(C83),"")</f>
        <v/>
      </c>
    </row>
    <row r="84" customFormat="false" ht="15" hidden="false" customHeight="false" outlineLevel="0" collapsed="false">
      <c r="A84" s="13" t="str">
        <f aca="false">TRIM(Raw_Data!A84)</f>
        <v>EMP0083</v>
      </c>
      <c r="B84" s="14" t="n">
        <f aca="false">Raw_Data!B84</f>
        <v>41283</v>
      </c>
      <c r="C84" s="14" t="str">
        <f aca="false">IF(Raw_Data!C84="","",Raw_Data!C84)</f>
        <v/>
      </c>
      <c r="D84" s="13" t="n">
        <f aca="false">IF(Raw_Data!D84="","",Raw_Data!D84)</f>
        <v>40</v>
      </c>
      <c r="E84" s="13" t="str">
        <f aca="false">IF(UPPER(LEFT(TRIM(Raw_Data!E84),1))="M","Male",IF(UPPER(LEFT(TRIM(Raw_Data!E84),1))="F","Female","Unknown"))</f>
        <v>Male</v>
      </c>
      <c r="F84" s="13" t="str">
        <f aca="false">PROPER(TRIM(SUBSTITUTE(Raw_Data!F84,"'","")))</f>
        <v>High School</v>
      </c>
      <c r="G84" s="13" t="str">
        <f aca="false">PROPER(TRIM(Raw_Data!G84))</f>
        <v>Engineering</v>
      </c>
      <c r="H84" s="13" t="str">
        <f aca="false">PROPER(TRIM(Raw_Data!H84))</f>
        <v>Associate</v>
      </c>
      <c r="I84" s="13" t="n">
        <f aca="false">IF(Raw_Data!I84="",DefaultPerf,Raw_Data!I84)</f>
        <v>4</v>
      </c>
      <c r="J84" s="13" t="n">
        <f aca="false">IF(Raw_Data!J84="",DefaultSat,Raw_Data!J84)</f>
        <v>1</v>
      </c>
      <c r="K84" s="15" t="n">
        <f aca="false">Raw_Data!K84</f>
        <v>52500</v>
      </c>
      <c r="L84" s="13" t="str">
        <f aca="false">PROPER(TRIM(Raw_Data!N84))</f>
        <v>No</v>
      </c>
      <c r="M84" s="13" t="n">
        <f aca="false">IF(C84="",0,1)</f>
        <v>0</v>
      </c>
      <c r="N84" s="13" t="str">
        <f aca="false">IF(M84=0,"Active",IF(TRIM(Raw_Data!L84)="","Unknown",PROPER(TRIM(Raw_Data!L84))))</f>
        <v>Active</v>
      </c>
      <c r="O84" s="13" t="str">
        <f aca="false">IF(M84=0,"",IF(TRIM(Raw_Data!M84)="","Not Recorded",TRIM(Raw_Data!M84)))</f>
        <v/>
      </c>
      <c r="P84" s="16" t="n">
        <f aca="false">ROUND((IF(C84="",AsOfDate,C84)-B84)/365.25,2)</f>
        <v>12.97</v>
      </c>
      <c r="Q84" s="13" t="str">
        <f aca="false">IF(D84="","Unknown",IF(D84&lt;25,"Under 25",IF(D84&lt;35,"25-34",IF(D84&lt;45,"35-44",IF(D84&lt;55,"45-54","55+")))))</f>
        <v>35-44</v>
      </c>
      <c r="R84" s="13" t="str">
        <f aca="false">IF(P84&lt;1,"0-1 yrs",IF(P84&lt;3,"1-3 yrs",IF(P84&lt;5,"3-5 yrs",IF(P84&lt;10,"5-10 yrs","10+ yrs"))))</f>
        <v>10+ yrs</v>
      </c>
      <c r="S84" s="13" t="str">
        <f aca="false">IF(I84&gt;=4,"High",IF(I84=3,"Medium","Low"))</f>
        <v>High</v>
      </c>
      <c r="T84" s="13" t="str">
        <f aca="false">IF(M84=1,YEAR(C84),"")</f>
        <v/>
      </c>
      <c r="U84" s="13" t="str">
        <f aca="false">IF(M84=1,YEAR(C84)&amp;"-Q"&amp;ROUNDUP(MONTH(C84)/3,0),"")</f>
        <v/>
      </c>
      <c r="V84" s="13" t="str">
        <f aca="false">IF(M84=1,MONTH(C84),"")</f>
        <v/>
      </c>
    </row>
    <row r="85" customFormat="false" ht="15" hidden="false" customHeight="false" outlineLevel="0" collapsed="false">
      <c r="A85" s="13" t="str">
        <f aca="false">TRIM(Raw_Data!A85)</f>
        <v>EMP0084</v>
      </c>
      <c r="B85" s="14" t="n">
        <f aca="false">Raw_Data!B85</f>
        <v>41285</v>
      </c>
      <c r="C85" s="14" t="str">
        <f aca="false">IF(Raw_Data!C85="","",Raw_Data!C85)</f>
        <v/>
      </c>
      <c r="D85" s="13" t="n">
        <f aca="false">IF(Raw_Data!D85="","",Raw_Data!D85)</f>
        <v>43</v>
      </c>
      <c r="E85" s="13" t="str">
        <f aca="false">IF(UPPER(LEFT(TRIM(Raw_Data!E85),1))="M","Male",IF(UPPER(LEFT(TRIM(Raw_Data!E85),1))="F","Female","Unknown"))</f>
        <v>Male</v>
      </c>
      <c r="F85" s="13" t="str">
        <f aca="false">PROPER(TRIM(SUBSTITUTE(Raw_Data!F85,"'","")))</f>
        <v>High School</v>
      </c>
      <c r="G85" s="13" t="str">
        <f aca="false">PROPER(TRIM(Raw_Data!G85))</f>
        <v>Finance</v>
      </c>
      <c r="H85" s="13" t="str">
        <f aca="false">PROPER(TRIM(Raw_Data!H85))</f>
        <v>Specialist</v>
      </c>
      <c r="I85" s="13" t="n">
        <f aca="false">IF(Raw_Data!I85="",DefaultPerf,Raw_Data!I85)</f>
        <v>3</v>
      </c>
      <c r="J85" s="13" t="n">
        <f aca="false">IF(Raw_Data!J85="",DefaultSat,Raw_Data!J85)</f>
        <v>4</v>
      </c>
      <c r="K85" s="15" t="n">
        <f aca="false">Raw_Data!K85</f>
        <v>148500</v>
      </c>
      <c r="L85" s="13" t="str">
        <f aca="false">PROPER(TRIM(Raw_Data!N85))</f>
        <v>No</v>
      </c>
      <c r="M85" s="13" t="n">
        <f aca="false">IF(C85="",0,1)</f>
        <v>0</v>
      </c>
      <c r="N85" s="13" t="str">
        <f aca="false">IF(M85=0,"Active",IF(TRIM(Raw_Data!L85)="","Unknown",PROPER(TRIM(Raw_Data!L85))))</f>
        <v>Active</v>
      </c>
      <c r="O85" s="13" t="str">
        <f aca="false">IF(M85=0,"",IF(TRIM(Raw_Data!M85)="","Not Recorded",TRIM(Raw_Data!M85)))</f>
        <v/>
      </c>
      <c r="P85" s="16" t="n">
        <f aca="false">ROUND((IF(C85="",AsOfDate,C85)-B85)/365.25,2)</f>
        <v>12.97</v>
      </c>
      <c r="Q85" s="13" t="str">
        <f aca="false">IF(D85="","Unknown",IF(D85&lt;25,"Under 25",IF(D85&lt;35,"25-34",IF(D85&lt;45,"35-44",IF(D85&lt;55,"45-54","55+")))))</f>
        <v>35-44</v>
      </c>
      <c r="R85" s="13" t="str">
        <f aca="false">IF(P85&lt;1,"0-1 yrs",IF(P85&lt;3,"1-3 yrs",IF(P85&lt;5,"3-5 yrs",IF(P85&lt;10,"5-10 yrs","10+ yrs"))))</f>
        <v>10+ yrs</v>
      </c>
      <c r="S85" s="13" t="str">
        <f aca="false">IF(I85&gt;=4,"High",IF(I85=3,"Medium","Low"))</f>
        <v>Medium</v>
      </c>
      <c r="T85" s="13" t="str">
        <f aca="false">IF(M85=1,YEAR(C85),"")</f>
        <v/>
      </c>
      <c r="U85" s="13" t="str">
        <f aca="false">IF(M85=1,YEAR(C85)&amp;"-Q"&amp;ROUNDUP(MONTH(C85)/3,0),"")</f>
        <v/>
      </c>
      <c r="V85" s="13" t="str">
        <f aca="false">IF(M85=1,MONTH(C85),"")</f>
        <v/>
      </c>
    </row>
    <row r="86" customFormat="false" ht="15" hidden="false" customHeight="false" outlineLevel="0" collapsed="false">
      <c r="A86" s="13" t="str">
        <f aca="false">TRIM(Raw_Data!A86)</f>
        <v>EMP0085</v>
      </c>
      <c r="B86" s="14" t="n">
        <f aca="false">Raw_Data!B86</f>
        <v>41287</v>
      </c>
      <c r="C86" s="14" t="str">
        <f aca="false">IF(Raw_Data!C86="","",Raw_Data!C86)</f>
        <v/>
      </c>
      <c r="D86" s="13" t="n">
        <f aca="false">IF(Raw_Data!D86="","",Raw_Data!D86)</f>
        <v>38</v>
      </c>
      <c r="E86" s="13" t="str">
        <f aca="false">IF(UPPER(LEFT(TRIM(Raw_Data!E86),1))="M","Male",IF(UPPER(LEFT(TRIM(Raw_Data!E86),1))="F","Female","Unknown"))</f>
        <v>Female</v>
      </c>
      <c r="F86" s="13" t="str">
        <f aca="false">PROPER(TRIM(SUBSTITUTE(Raw_Data!F86,"'","")))</f>
        <v>Doctorate</v>
      </c>
      <c r="G86" s="13" t="str">
        <f aca="false">PROPER(TRIM(Raw_Data!G86))</f>
        <v>Human Resources</v>
      </c>
      <c r="H86" s="13" t="str">
        <f aca="false">PROPER(TRIM(Raw_Data!H86))</f>
        <v>Associate</v>
      </c>
      <c r="I86" s="13" t="n">
        <f aca="false">IF(Raw_Data!I86="",DefaultPerf,Raw_Data!I86)</f>
        <v>4</v>
      </c>
      <c r="J86" s="13" t="n">
        <f aca="false">IF(Raw_Data!J86="",DefaultSat,Raw_Data!J86)</f>
        <v>4</v>
      </c>
      <c r="K86" s="15" t="n">
        <f aca="false">Raw_Data!K86</f>
        <v>45500</v>
      </c>
      <c r="L86" s="13" t="str">
        <f aca="false">PROPER(TRIM(Raw_Data!N86))</f>
        <v>No</v>
      </c>
      <c r="M86" s="13" t="n">
        <f aca="false">IF(C86="",0,1)</f>
        <v>0</v>
      </c>
      <c r="N86" s="13" t="str">
        <f aca="false">IF(M86=0,"Active",IF(TRIM(Raw_Data!L86)="","Unknown",PROPER(TRIM(Raw_Data!L86))))</f>
        <v>Active</v>
      </c>
      <c r="O86" s="13" t="str">
        <f aca="false">IF(M86=0,"",IF(TRIM(Raw_Data!M86)="","Not Recorded",TRIM(Raw_Data!M86)))</f>
        <v/>
      </c>
      <c r="P86" s="16" t="n">
        <f aca="false">ROUND((IF(C86="",AsOfDate,C86)-B86)/365.25,2)</f>
        <v>12.96</v>
      </c>
      <c r="Q86" s="13" t="str">
        <f aca="false">IF(D86="","Unknown",IF(D86&lt;25,"Under 25",IF(D86&lt;35,"25-34",IF(D86&lt;45,"35-44",IF(D86&lt;55,"45-54","55+")))))</f>
        <v>35-44</v>
      </c>
      <c r="R86" s="13" t="str">
        <f aca="false">IF(P86&lt;1,"0-1 yrs",IF(P86&lt;3,"1-3 yrs",IF(P86&lt;5,"3-5 yrs",IF(P86&lt;10,"5-10 yrs","10+ yrs"))))</f>
        <v>10+ yrs</v>
      </c>
      <c r="S86" s="13" t="str">
        <f aca="false">IF(I86&gt;=4,"High",IF(I86=3,"Medium","Low"))</f>
        <v>High</v>
      </c>
      <c r="T86" s="13" t="str">
        <f aca="false">IF(M86=1,YEAR(C86),"")</f>
        <v/>
      </c>
      <c r="U86" s="13" t="str">
        <f aca="false">IF(M86=1,YEAR(C86)&amp;"-Q"&amp;ROUNDUP(MONTH(C86)/3,0),"")</f>
        <v/>
      </c>
      <c r="V86" s="13" t="str">
        <f aca="false">IF(M86=1,MONTH(C86),"")</f>
        <v/>
      </c>
    </row>
    <row r="87" customFormat="false" ht="15" hidden="false" customHeight="false" outlineLevel="0" collapsed="false">
      <c r="A87" s="13" t="str">
        <f aca="false">TRIM(Raw_Data!A87)</f>
        <v>EMP0086</v>
      </c>
      <c r="B87" s="14" t="n">
        <f aca="false">Raw_Data!B87</f>
        <v>41288</v>
      </c>
      <c r="C87" s="14" t="str">
        <f aca="false">IF(Raw_Data!C87="","",Raw_Data!C87)</f>
        <v/>
      </c>
      <c r="D87" s="13" t="n">
        <f aca="false">IF(Raw_Data!D87="","",Raw_Data!D87)</f>
        <v>43</v>
      </c>
      <c r="E87" s="13" t="str">
        <f aca="false">IF(UPPER(LEFT(TRIM(Raw_Data!E87),1))="M","Male",IF(UPPER(LEFT(TRIM(Raw_Data!E87),1))="F","Female","Unknown"))</f>
        <v>Male</v>
      </c>
      <c r="F87" s="13" t="str">
        <f aca="false">PROPER(TRIM(SUBSTITUTE(Raw_Data!F87,"'","")))</f>
        <v>Bachelors</v>
      </c>
      <c r="G87" s="13" t="str">
        <f aca="false">PROPER(TRIM(Raw_Data!G87))</f>
        <v>Sales</v>
      </c>
      <c r="H87" s="13" t="str">
        <f aca="false">PROPER(TRIM(Raw_Data!H87))</f>
        <v>Analyst</v>
      </c>
      <c r="I87" s="13" t="n">
        <f aca="false">IF(Raw_Data!I87="",DefaultPerf,Raw_Data!I87)</f>
        <v>4</v>
      </c>
      <c r="J87" s="13" t="n">
        <f aca="false">IF(Raw_Data!J87="",DefaultSat,Raw_Data!J87)</f>
        <v>3</v>
      </c>
      <c r="K87" s="15" t="n">
        <f aca="false">Raw_Data!K87</f>
        <v>82000</v>
      </c>
      <c r="L87" s="13" t="str">
        <f aca="false">PROPER(TRIM(Raw_Data!N87))</f>
        <v>No</v>
      </c>
      <c r="M87" s="13" t="n">
        <f aca="false">IF(C87="",0,1)</f>
        <v>0</v>
      </c>
      <c r="N87" s="13" t="str">
        <f aca="false">IF(M87=0,"Active",IF(TRIM(Raw_Data!L87)="","Unknown",PROPER(TRIM(Raw_Data!L87))))</f>
        <v>Active</v>
      </c>
      <c r="O87" s="13" t="str">
        <f aca="false">IF(M87=0,"",IF(TRIM(Raw_Data!M87)="","Not Recorded",TRIM(Raw_Data!M87)))</f>
        <v/>
      </c>
      <c r="P87" s="16" t="n">
        <f aca="false">ROUND((IF(C87="",AsOfDate,C87)-B87)/365.25,2)</f>
        <v>12.96</v>
      </c>
      <c r="Q87" s="13" t="str">
        <f aca="false">IF(D87="","Unknown",IF(D87&lt;25,"Under 25",IF(D87&lt;35,"25-34",IF(D87&lt;45,"35-44",IF(D87&lt;55,"45-54","55+")))))</f>
        <v>35-44</v>
      </c>
      <c r="R87" s="13" t="str">
        <f aca="false">IF(P87&lt;1,"0-1 yrs",IF(P87&lt;3,"1-3 yrs",IF(P87&lt;5,"3-5 yrs",IF(P87&lt;10,"5-10 yrs","10+ yrs"))))</f>
        <v>10+ yrs</v>
      </c>
      <c r="S87" s="13" t="str">
        <f aca="false">IF(I87&gt;=4,"High",IF(I87=3,"Medium","Low"))</f>
        <v>High</v>
      </c>
      <c r="T87" s="13" t="str">
        <f aca="false">IF(M87=1,YEAR(C87),"")</f>
        <v/>
      </c>
      <c r="U87" s="13" t="str">
        <f aca="false">IF(M87=1,YEAR(C87)&amp;"-Q"&amp;ROUNDUP(MONTH(C87)/3,0),"")</f>
        <v/>
      </c>
      <c r="V87" s="13" t="str">
        <f aca="false">IF(M87=1,MONTH(C87),"")</f>
        <v/>
      </c>
    </row>
    <row r="88" customFormat="false" ht="15" hidden="false" customHeight="false" outlineLevel="0" collapsed="false">
      <c r="A88" s="13" t="str">
        <f aca="false">TRIM(Raw_Data!A88)</f>
        <v>EMP0087</v>
      </c>
      <c r="B88" s="14" t="n">
        <f aca="false">Raw_Data!B88</f>
        <v>41289</v>
      </c>
      <c r="C88" s="14" t="str">
        <f aca="false">IF(Raw_Data!C88="","",Raw_Data!C88)</f>
        <v/>
      </c>
      <c r="D88" s="13" t="n">
        <f aca="false">IF(Raw_Data!D88="","",Raw_Data!D88)</f>
        <v>40</v>
      </c>
      <c r="E88" s="13" t="str">
        <f aca="false">IF(UPPER(LEFT(TRIM(Raw_Data!E88),1))="M","Male",IF(UPPER(LEFT(TRIM(Raw_Data!E88),1))="F","Female","Unknown"))</f>
        <v>Female</v>
      </c>
      <c r="F88" s="13" t="str">
        <f aca="false">PROPER(TRIM(SUBSTITUTE(Raw_Data!F88,"'","")))</f>
        <v>Bachelors</v>
      </c>
      <c r="G88" s="13" t="str">
        <f aca="false">PROPER(TRIM(Raw_Data!G88))</f>
        <v>Human Resources</v>
      </c>
      <c r="H88" s="13" t="str">
        <f aca="false">PROPER(TRIM(Raw_Data!H88))</f>
        <v>Team Lead</v>
      </c>
      <c r="I88" s="13" t="n">
        <f aca="false">IF(Raw_Data!I88="",DefaultPerf,Raw_Data!I88)</f>
        <v>3</v>
      </c>
      <c r="J88" s="13" t="n">
        <f aca="false">IF(Raw_Data!J88="",DefaultSat,Raw_Data!J88)</f>
        <v>1</v>
      </c>
      <c r="K88" s="15" t="n">
        <f aca="false">Raw_Data!K88</f>
        <v>173000</v>
      </c>
      <c r="L88" s="13" t="str">
        <f aca="false">PROPER(TRIM(Raw_Data!N88))</f>
        <v>No</v>
      </c>
      <c r="M88" s="13" t="n">
        <f aca="false">IF(C88="",0,1)</f>
        <v>0</v>
      </c>
      <c r="N88" s="13" t="str">
        <f aca="false">IF(M88=0,"Active",IF(TRIM(Raw_Data!L88)="","Unknown",PROPER(TRIM(Raw_Data!L88))))</f>
        <v>Active</v>
      </c>
      <c r="O88" s="13" t="str">
        <f aca="false">IF(M88=0,"",IF(TRIM(Raw_Data!M88)="","Not Recorded",TRIM(Raw_Data!M88)))</f>
        <v/>
      </c>
      <c r="P88" s="16" t="n">
        <f aca="false">ROUND((IF(C88="",AsOfDate,C88)-B88)/365.25,2)</f>
        <v>12.96</v>
      </c>
      <c r="Q88" s="13" t="str">
        <f aca="false">IF(D88="","Unknown",IF(D88&lt;25,"Under 25",IF(D88&lt;35,"25-34",IF(D88&lt;45,"35-44",IF(D88&lt;55,"45-54","55+")))))</f>
        <v>35-44</v>
      </c>
      <c r="R88" s="13" t="str">
        <f aca="false">IF(P88&lt;1,"0-1 yrs",IF(P88&lt;3,"1-3 yrs",IF(P88&lt;5,"3-5 yrs",IF(P88&lt;10,"5-10 yrs","10+ yrs"))))</f>
        <v>10+ yrs</v>
      </c>
      <c r="S88" s="13" t="str">
        <f aca="false">IF(I88&gt;=4,"High",IF(I88=3,"Medium","Low"))</f>
        <v>Medium</v>
      </c>
      <c r="T88" s="13" t="str">
        <f aca="false">IF(M88=1,YEAR(C88),"")</f>
        <v/>
      </c>
      <c r="U88" s="13" t="str">
        <f aca="false">IF(M88=1,YEAR(C88)&amp;"-Q"&amp;ROUNDUP(MONTH(C88)/3,0),"")</f>
        <v/>
      </c>
      <c r="V88" s="13" t="str">
        <f aca="false">IF(M88=1,MONTH(C88),"")</f>
        <v/>
      </c>
    </row>
    <row r="89" customFormat="false" ht="15" hidden="false" customHeight="false" outlineLevel="0" collapsed="false">
      <c r="A89" s="13" t="str">
        <f aca="false">TRIM(Raw_Data!A89)</f>
        <v>EMP0088</v>
      </c>
      <c r="B89" s="14" t="n">
        <f aca="false">Raw_Data!B89</f>
        <v>41290</v>
      </c>
      <c r="C89" s="14" t="str">
        <f aca="false">IF(Raw_Data!C89="","",Raw_Data!C89)</f>
        <v/>
      </c>
      <c r="D89" s="13" t="n">
        <f aca="false">IF(Raw_Data!D89="","",Raw_Data!D89)</f>
        <v>52</v>
      </c>
      <c r="E89" s="13" t="str">
        <f aca="false">IF(UPPER(LEFT(TRIM(Raw_Data!E89),1))="M","Male",IF(UPPER(LEFT(TRIM(Raw_Data!E89),1))="F","Female","Unknown"))</f>
        <v>Female</v>
      </c>
      <c r="F89" s="13" t="str">
        <f aca="false">PROPER(TRIM(SUBSTITUTE(Raw_Data!F89,"'","")))</f>
        <v>Masters</v>
      </c>
      <c r="G89" s="13" t="str">
        <f aca="false">PROPER(TRIM(Raw_Data!G89))</f>
        <v>Engineering</v>
      </c>
      <c r="H89" s="13" t="str">
        <f aca="false">PROPER(TRIM(Raw_Data!H89))</f>
        <v>Manager</v>
      </c>
      <c r="I89" s="17" t="n">
        <f aca="false">IF(Raw_Data!I89="",DefaultPerf,Raw_Data!I89)</f>
        <v>3</v>
      </c>
      <c r="J89" s="13" t="n">
        <f aca="false">IF(Raw_Data!J89="",DefaultSat,Raw_Data!J89)</f>
        <v>4</v>
      </c>
      <c r="K89" s="15" t="n">
        <f aca="false">Raw_Data!K89</f>
        <v>175500</v>
      </c>
      <c r="L89" s="13" t="str">
        <f aca="false">PROPER(TRIM(Raw_Data!N89))</f>
        <v>No</v>
      </c>
      <c r="M89" s="13" t="n">
        <f aca="false">IF(C89="",0,1)</f>
        <v>0</v>
      </c>
      <c r="N89" s="13" t="str">
        <f aca="false">IF(M89=0,"Active",IF(TRIM(Raw_Data!L89)="","Unknown",PROPER(TRIM(Raw_Data!L89))))</f>
        <v>Active</v>
      </c>
      <c r="O89" s="13" t="str">
        <f aca="false">IF(M89=0,"",IF(TRIM(Raw_Data!M89)="","Not Recorded",TRIM(Raw_Data!M89)))</f>
        <v/>
      </c>
      <c r="P89" s="16" t="n">
        <f aca="false">ROUND((IF(C89="",AsOfDate,C89)-B89)/365.25,2)</f>
        <v>12.96</v>
      </c>
      <c r="Q89" s="13" t="str">
        <f aca="false">IF(D89="","Unknown",IF(D89&lt;25,"Under 25",IF(D89&lt;35,"25-34",IF(D89&lt;45,"35-44",IF(D89&lt;55,"45-54","55+")))))</f>
        <v>45-54</v>
      </c>
      <c r="R89" s="13" t="str">
        <f aca="false">IF(P89&lt;1,"0-1 yrs",IF(P89&lt;3,"1-3 yrs",IF(P89&lt;5,"3-5 yrs",IF(P89&lt;10,"5-10 yrs","10+ yrs"))))</f>
        <v>10+ yrs</v>
      </c>
      <c r="S89" s="13" t="str">
        <f aca="false">IF(I89&gt;=4,"High",IF(I89=3,"Medium","Low"))</f>
        <v>Medium</v>
      </c>
      <c r="T89" s="13" t="str">
        <f aca="false">IF(M89=1,YEAR(C89),"")</f>
        <v/>
      </c>
      <c r="U89" s="13" t="str">
        <f aca="false">IF(M89=1,YEAR(C89)&amp;"-Q"&amp;ROUNDUP(MONTH(C89)/3,0),"")</f>
        <v/>
      </c>
      <c r="V89" s="13" t="str">
        <f aca="false">IF(M89=1,MONTH(C89),"")</f>
        <v/>
      </c>
    </row>
    <row r="90" customFormat="false" ht="15" hidden="false" customHeight="false" outlineLevel="0" collapsed="false">
      <c r="A90" s="13" t="str">
        <f aca="false">TRIM(Raw_Data!A90)</f>
        <v>EMP0089</v>
      </c>
      <c r="B90" s="14" t="n">
        <f aca="false">Raw_Data!B90</f>
        <v>41291</v>
      </c>
      <c r="C90" s="14" t="str">
        <f aca="false">IF(Raw_Data!C90="","",Raw_Data!C90)</f>
        <v/>
      </c>
      <c r="D90" s="13" t="n">
        <f aca="false">IF(Raw_Data!D90="","",Raw_Data!D90)</f>
        <v>37</v>
      </c>
      <c r="E90" s="13" t="str">
        <f aca="false">IF(UPPER(LEFT(TRIM(Raw_Data!E90),1))="M","Male",IF(UPPER(LEFT(TRIM(Raw_Data!E90),1))="F","Female","Unknown"))</f>
        <v>Female</v>
      </c>
      <c r="F90" s="13" t="str">
        <f aca="false">PROPER(TRIM(SUBSTITUTE(Raw_Data!F90,"'","")))</f>
        <v>Masters</v>
      </c>
      <c r="G90" s="13" t="str">
        <f aca="false">PROPER(TRIM(Raw_Data!G90))</f>
        <v>Customer Support</v>
      </c>
      <c r="H90" s="13" t="str">
        <f aca="false">PROPER(TRIM(Raw_Data!H90))</f>
        <v>Associate</v>
      </c>
      <c r="I90" s="13" t="n">
        <f aca="false">IF(Raw_Data!I90="",DefaultPerf,Raw_Data!I90)</f>
        <v>3</v>
      </c>
      <c r="J90" s="13" t="n">
        <f aca="false">IF(Raw_Data!J90="",DefaultSat,Raw_Data!J90)</f>
        <v>4</v>
      </c>
      <c r="K90" s="15" t="n">
        <f aca="false">Raw_Data!K90</f>
        <v>44500</v>
      </c>
      <c r="L90" s="13" t="str">
        <f aca="false">PROPER(TRIM(Raw_Data!N90))</f>
        <v>Yes</v>
      </c>
      <c r="M90" s="13" t="n">
        <f aca="false">IF(C90="",0,1)</f>
        <v>0</v>
      </c>
      <c r="N90" s="13" t="str">
        <f aca="false">IF(M90=0,"Active",IF(TRIM(Raw_Data!L90)="","Unknown",PROPER(TRIM(Raw_Data!L90))))</f>
        <v>Active</v>
      </c>
      <c r="O90" s="13" t="str">
        <f aca="false">IF(M90=0,"",IF(TRIM(Raw_Data!M90)="","Not Recorded",TRIM(Raw_Data!M90)))</f>
        <v/>
      </c>
      <c r="P90" s="16" t="n">
        <f aca="false">ROUND((IF(C90="",AsOfDate,C90)-B90)/365.25,2)</f>
        <v>12.95</v>
      </c>
      <c r="Q90" s="13" t="str">
        <f aca="false">IF(D90="","Unknown",IF(D90&lt;25,"Under 25",IF(D90&lt;35,"25-34",IF(D90&lt;45,"35-44",IF(D90&lt;55,"45-54","55+")))))</f>
        <v>35-44</v>
      </c>
      <c r="R90" s="13" t="str">
        <f aca="false">IF(P90&lt;1,"0-1 yrs",IF(P90&lt;3,"1-3 yrs",IF(P90&lt;5,"3-5 yrs",IF(P90&lt;10,"5-10 yrs","10+ yrs"))))</f>
        <v>10+ yrs</v>
      </c>
      <c r="S90" s="13" t="str">
        <f aca="false">IF(I90&gt;=4,"High",IF(I90=3,"Medium","Low"))</f>
        <v>Medium</v>
      </c>
      <c r="T90" s="13" t="str">
        <f aca="false">IF(M90=1,YEAR(C90),"")</f>
        <v/>
      </c>
      <c r="U90" s="13" t="str">
        <f aca="false">IF(M90=1,YEAR(C90)&amp;"-Q"&amp;ROUNDUP(MONTH(C90)/3,0),"")</f>
        <v/>
      </c>
      <c r="V90" s="13" t="str">
        <f aca="false">IF(M90=1,MONTH(C90),"")</f>
        <v/>
      </c>
    </row>
    <row r="91" customFormat="false" ht="15" hidden="false" customHeight="false" outlineLevel="0" collapsed="false">
      <c r="A91" s="13" t="str">
        <f aca="false">TRIM(Raw_Data!A91)</f>
        <v>EMP0090</v>
      </c>
      <c r="B91" s="14" t="n">
        <f aca="false">Raw_Data!B91</f>
        <v>41292</v>
      </c>
      <c r="C91" s="14" t="str">
        <f aca="false">IF(Raw_Data!C91="","",Raw_Data!C91)</f>
        <v/>
      </c>
      <c r="D91" s="13" t="n">
        <f aca="false">IF(Raw_Data!D91="","",Raw_Data!D91)</f>
        <v>44</v>
      </c>
      <c r="E91" s="13" t="str">
        <f aca="false">IF(UPPER(LEFT(TRIM(Raw_Data!E91),1))="M","Male",IF(UPPER(LEFT(TRIM(Raw_Data!E91),1))="F","Female","Unknown"))</f>
        <v>Male</v>
      </c>
      <c r="F91" s="13" t="str">
        <f aca="false">PROPER(TRIM(SUBSTITUTE(Raw_Data!F91,"'","")))</f>
        <v>Bachelors</v>
      </c>
      <c r="G91" s="13" t="str">
        <f aca="false">PROPER(TRIM(Raw_Data!G91))</f>
        <v>Engineering</v>
      </c>
      <c r="H91" s="13" t="str">
        <f aca="false">PROPER(TRIM(Raw_Data!H91))</f>
        <v>Team Lead</v>
      </c>
      <c r="I91" s="13" t="n">
        <f aca="false">IF(Raw_Data!I91="",DefaultPerf,Raw_Data!I91)</f>
        <v>2</v>
      </c>
      <c r="J91" s="13" t="n">
        <f aca="false">IF(Raw_Data!J91="",DefaultSat,Raw_Data!J91)</f>
        <v>3</v>
      </c>
      <c r="K91" s="15" t="n">
        <f aca="false">Raw_Data!K91</f>
        <v>170000</v>
      </c>
      <c r="L91" s="13" t="str">
        <f aca="false">PROPER(TRIM(Raw_Data!N91))</f>
        <v>No</v>
      </c>
      <c r="M91" s="13" t="n">
        <f aca="false">IF(C91="",0,1)</f>
        <v>0</v>
      </c>
      <c r="N91" s="13" t="str">
        <f aca="false">IF(M91=0,"Active",IF(TRIM(Raw_Data!L91)="","Unknown",PROPER(TRIM(Raw_Data!L91))))</f>
        <v>Active</v>
      </c>
      <c r="O91" s="13" t="str">
        <f aca="false">IF(M91=0,"",IF(TRIM(Raw_Data!M91)="","Not Recorded",TRIM(Raw_Data!M91)))</f>
        <v/>
      </c>
      <c r="P91" s="16" t="n">
        <f aca="false">ROUND((IF(C91="",AsOfDate,C91)-B91)/365.25,2)</f>
        <v>12.95</v>
      </c>
      <c r="Q91" s="13" t="str">
        <f aca="false">IF(D91="","Unknown",IF(D91&lt;25,"Under 25",IF(D91&lt;35,"25-34",IF(D91&lt;45,"35-44",IF(D91&lt;55,"45-54","55+")))))</f>
        <v>35-44</v>
      </c>
      <c r="R91" s="13" t="str">
        <f aca="false">IF(P91&lt;1,"0-1 yrs",IF(P91&lt;3,"1-3 yrs",IF(P91&lt;5,"3-5 yrs",IF(P91&lt;10,"5-10 yrs","10+ yrs"))))</f>
        <v>10+ yrs</v>
      </c>
      <c r="S91" s="13" t="str">
        <f aca="false">IF(I91&gt;=4,"High",IF(I91=3,"Medium","Low"))</f>
        <v>Low</v>
      </c>
      <c r="T91" s="13" t="str">
        <f aca="false">IF(M91=1,YEAR(C91),"")</f>
        <v/>
      </c>
      <c r="U91" s="13" t="str">
        <f aca="false">IF(M91=1,YEAR(C91)&amp;"-Q"&amp;ROUNDUP(MONTH(C91)/3,0),"")</f>
        <v/>
      </c>
      <c r="V91" s="13" t="str">
        <f aca="false">IF(M91=1,MONTH(C91),"")</f>
        <v/>
      </c>
    </row>
    <row r="92" customFormat="false" ht="15" hidden="false" customHeight="false" outlineLevel="0" collapsed="false">
      <c r="A92" s="13" t="str">
        <f aca="false">TRIM(Raw_Data!A92)</f>
        <v>EMP0091</v>
      </c>
      <c r="B92" s="14" t="n">
        <f aca="false">Raw_Data!B92</f>
        <v>41292</v>
      </c>
      <c r="C92" s="14" t="n">
        <f aca="false">IF(Raw_Data!C92="","",Raw_Data!C92)</f>
        <v>45243</v>
      </c>
      <c r="D92" s="13" t="n">
        <f aca="false">IF(Raw_Data!D92="","",Raw_Data!D92)</f>
        <v>42</v>
      </c>
      <c r="E92" s="13" t="str">
        <f aca="false">IF(UPPER(LEFT(TRIM(Raw_Data!E92),1))="M","Male",IF(UPPER(LEFT(TRIM(Raw_Data!E92),1))="F","Female","Unknown"))</f>
        <v>Female</v>
      </c>
      <c r="F92" s="13" t="str">
        <f aca="false">PROPER(TRIM(SUBSTITUTE(Raw_Data!F92,"'","")))</f>
        <v>Diploma</v>
      </c>
      <c r="G92" s="13" t="str">
        <f aca="false">PROPER(TRIM(Raw_Data!G92))</f>
        <v>Operations</v>
      </c>
      <c r="H92" s="13" t="str">
        <f aca="false">PROPER(TRIM(Raw_Data!H92))</f>
        <v>Associate</v>
      </c>
      <c r="I92" s="13" t="n">
        <f aca="false">IF(Raw_Data!I92="",DefaultPerf,Raw_Data!I92)</f>
        <v>2</v>
      </c>
      <c r="J92" s="13" t="n">
        <f aca="false">IF(Raw_Data!J92="",DefaultSat,Raw_Data!J92)</f>
        <v>1</v>
      </c>
      <c r="K92" s="15" t="n">
        <f aca="false">Raw_Data!K92</f>
        <v>46500</v>
      </c>
      <c r="L92" s="13" t="str">
        <f aca="false">PROPER(TRIM(Raw_Data!N92))</f>
        <v>No</v>
      </c>
      <c r="M92" s="13" t="n">
        <f aca="false">IF(C92="",0,1)</f>
        <v>1</v>
      </c>
      <c r="N92" s="13" t="str">
        <f aca="false">IF(M92=0,"Active",IF(TRIM(Raw_Data!L92)="","Unknown",PROPER(TRIM(Raw_Data!L92))))</f>
        <v>Involuntary</v>
      </c>
      <c r="O92" s="13" t="str">
        <f aca="false">IF(M92=0,"",IF(TRIM(Raw_Data!M92)="","Not Recorded",TRIM(Raw_Data!M92)))</f>
        <v>Policy Violation</v>
      </c>
      <c r="P92" s="16" t="n">
        <f aca="false">ROUND((IF(C92="",AsOfDate,C92)-B92)/365.25,2)</f>
        <v>10.82</v>
      </c>
      <c r="Q92" s="13" t="str">
        <f aca="false">IF(D92="","Unknown",IF(D92&lt;25,"Under 25",IF(D92&lt;35,"25-34",IF(D92&lt;45,"35-44",IF(D92&lt;55,"45-54","55+")))))</f>
        <v>35-44</v>
      </c>
      <c r="R92" s="13" t="str">
        <f aca="false">IF(P92&lt;1,"0-1 yrs",IF(P92&lt;3,"1-3 yrs",IF(P92&lt;5,"3-5 yrs",IF(P92&lt;10,"5-10 yrs","10+ yrs"))))</f>
        <v>10+ yrs</v>
      </c>
      <c r="S92" s="13" t="str">
        <f aca="false">IF(I92&gt;=4,"High",IF(I92=3,"Medium","Low"))</f>
        <v>Low</v>
      </c>
      <c r="T92" s="13" t="n">
        <f aca="false">IF(M92=1,YEAR(C92),"")</f>
        <v>2023</v>
      </c>
      <c r="U92" s="13" t="str">
        <f aca="false">IF(M92=1,YEAR(C92)&amp;"-Q"&amp;ROUNDUP(MONTH(C92)/3,0),"")</f>
        <v>2023-Q4</v>
      </c>
      <c r="V92" s="13" t="n">
        <f aca="false">IF(M92=1,MONTH(C92),"")</f>
        <v>11</v>
      </c>
    </row>
    <row r="93" customFormat="false" ht="15" hidden="false" customHeight="false" outlineLevel="0" collapsed="false">
      <c r="A93" s="13" t="str">
        <f aca="false">TRIM(Raw_Data!A93)</f>
        <v>EMP0092</v>
      </c>
      <c r="B93" s="14" t="n">
        <f aca="false">Raw_Data!B93</f>
        <v>41292</v>
      </c>
      <c r="C93" s="14" t="str">
        <f aca="false">IF(Raw_Data!C93="","",Raw_Data!C93)</f>
        <v/>
      </c>
      <c r="D93" s="13" t="n">
        <f aca="false">IF(Raw_Data!D93="","",Raw_Data!D93)</f>
        <v>41</v>
      </c>
      <c r="E93" s="13" t="str">
        <f aca="false">IF(UPPER(LEFT(TRIM(Raw_Data!E93),1))="M","Male",IF(UPPER(LEFT(TRIM(Raw_Data!E93),1))="F","Female","Unknown"))</f>
        <v>Female</v>
      </c>
      <c r="F93" s="13" t="str">
        <f aca="false">PROPER(TRIM(SUBSTITUTE(Raw_Data!F93,"'","")))</f>
        <v>Bachelors</v>
      </c>
      <c r="G93" s="13" t="str">
        <f aca="false">PROPER(TRIM(Raw_Data!G93))</f>
        <v>Engineering</v>
      </c>
      <c r="H93" s="13" t="str">
        <f aca="false">PROPER(TRIM(Raw_Data!H93))</f>
        <v>Analyst</v>
      </c>
      <c r="I93" s="13" t="n">
        <f aca="false">IF(Raw_Data!I93="",DefaultPerf,Raw_Data!I93)</f>
        <v>3</v>
      </c>
      <c r="J93" s="13" t="n">
        <f aca="false">IF(Raw_Data!J93="",DefaultSat,Raw_Data!J93)</f>
        <v>2</v>
      </c>
      <c r="K93" s="15" t="n">
        <f aca="false">Raw_Data!K93</f>
        <v>74000</v>
      </c>
      <c r="L93" s="13" t="str">
        <f aca="false">PROPER(TRIM(Raw_Data!N93))</f>
        <v>No</v>
      </c>
      <c r="M93" s="13" t="n">
        <f aca="false">IF(C93="",0,1)</f>
        <v>0</v>
      </c>
      <c r="N93" s="13" t="str">
        <f aca="false">IF(M93=0,"Active",IF(TRIM(Raw_Data!L93)="","Unknown",PROPER(TRIM(Raw_Data!L93))))</f>
        <v>Active</v>
      </c>
      <c r="O93" s="13" t="str">
        <f aca="false">IF(M93=0,"",IF(TRIM(Raw_Data!M93)="","Not Recorded",TRIM(Raw_Data!M93)))</f>
        <v/>
      </c>
      <c r="P93" s="16" t="n">
        <f aca="false">ROUND((IF(C93="",AsOfDate,C93)-B93)/365.25,2)</f>
        <v>12.95</v>
      </c>
      <c r="Q93" s="13" t="str">
        <f aca="false">IF(D93="","Unknown",IF(D93&lt;25,"Under 25",IF(D93&lt;35,"25-34",IF(D93&lt;45,"35-44",IF(D93&lt;55,"45-54","55+")))))</f>
        <v>35-44</v>
      </c>
      <c r="R93" s="13" t="str">
        <f aca="false">IF(P93&lt;1,"0-1 yrs",IF(P93&lt;3,"1-3 yrs",IF(P93&lt;5,"3-5 yrs",IF(P93&lt;10,"5-10 yrs","10+ yrs"))))</f>
        <v>10+ yrs</v>
      </c>
      <c r="S93" s="13" t="str">
        <f aca="false">IF(I93&gt;=4,"High",IF(I93=3,"Medium","Low"))</f>
        <v>Medium</v>
      </c>
      <c r="T93" s="13" t="str">
        <f aca="false">IF(M93=1,YEAR(C93),"")</f>
        <v/>
      </c>
      <c r="U93" s="13" t="str">
        <f aca="false">IF(M93=1,YEAR(C93)&amp;"-Q"&amp;ROUNDUP(MONTH(C93)/3,0),"")</f>
        <v/>
      </c>
      <c r="V93" s="13" t="str">
        <f aca="false">IF(M93=1,MONTH(C93),"")</f>
        <v/>
      </c>
    </row>
    <row r="94" customFormat="false" ht="15" hidden="false" customHeight="false" outlineLevel="0" collapsed="false">
      <c r="A94" s="13" t="str">
        <f aca="false">TRIM(Raw_Data!A94)</f>
        <v>EMP0093</v>
      </c>
      <c r="B94" s="14" t="n">
        <f aca="false">Raw_Data!B94</f>
        <v>41295</v>
      </c>
      <c r="C94" s="14" t="str">
        <f aca="false">IF(Raw_Data!C94="","",Raw_Data!C94)</f>
        <v/>
      </c>
      <c r="D94" s="13" t="n">
        <f aca="false">IF(Raw_Data!D94="","",Raw_Data!D94)</f>
        <v>43</v>
      </c>
      <c r="E94" s="13" t="str">
        <f aca="false">IF(UPPER(LEFT(TRIM(Raw_Data!E94),1))="M","Male",IF(UPPER(LEFT(TRIM(Raw_Data!E94),1))="F","Female","Unknown"))</f>
        <v>Female</v>
      </c>
      <c r="F94" s="13" t="str">
        <f aca="false">PROPER(TRIM(SUBSTITUTE(Raw_Data!F94,"'","")))</f>
        <v>Diploma</v>
      </c>
      <c r="G94" s="13" t="str">
        <f aca="false">PROPER(TRIM(Raw_Data!G94))</f>
        <v>Operations</v>
      </c>
      <c r="H94" s="13" t="str">
        <f aca="false">PROPER(TRIM(Raw_Data!H94))</f>
        <v>Associate</v>
      </c>
      <c r="I94" s="13" t="n">
        <f aca="false">IF(Raw_Data!I94="",DefaultPerf,Raw_Data!I94)</f>
        <v>4</v>
      </c>
      <c r="J94" s="13" t="n">
        <f aca="false">IF(Raw_Data!J94="",DefaultSat,Raw_Data!J94)</f>
        <v>3</v>
      </c>
      <c r="K94" s="15" t="n">
        <f aca="false">Raw_Data!K94</f>
        <v>50000</v>
      </c>
      <c r="L94" s="13" t="str">
        <f aca="false">PROPER(TRIM(Raw_Data!N94))</f>
        <v>Yes</v>
      </c>
      <c r="M94" s="13" t="n">
        <f aca="false">IF(C94="",0,1)</f>
        <v>0</v>
      </c>
      <c r="N94" s="13" t="str">
        <f aca="false">IF(M94=0,"Active",IF(TRIM(Raw_Data!L94)="","Unknown",PROPER(TRIM(Raw_Data!L94))))</f>
        <v>Active</v>
      </c>
      <c r="O94" s="13" t="str">
        <f aca="false">IF(M94=0,"",IF(TRIM(Raw_Data!M94)="","Not Recorded",TRIM(Raw_Data!M94)))</f>
        <v/>
      </c>
      <c r="P94" s="16" t="n">
        <f aca="false">ROUND((IF(C94="",AsOfDate,C94)-B94)/365.25,2)</f>
        <v>12.94</v>
      </c>
      <c r="Q94" s="13" t="str">
        <f aca="false">IF(D94="","Unknown",IF(D94&lt;25,"Under 25",IF(D94&lt;35,"25-34",IF(D94&lt;45,"35-44",IF(D94&lt;55,"45-54","55+")))))</f>
        <v>35-44</v>
      </c>
      <c r="R94" s="13" t="str">
        <f aca="false">IF(P94&lt;1,"0-1 yrs",IF(P94&lt;3,"1-3 yrs",IF(P94&lt;5,"3-5 yrs",IF(P94&lt;10,"5-10 yrs","10+ yrs"))))</f>
        <v>10+ yrs</v>
      </c>
      <c r="S94" s="13" t="str">
        <f aca="false">IF(I94&gt;=4,"High",IF(I94=3,"Medium","Low"))</f>
        <v>High</v>
      </c>
      <c r="T94" s="13" t="str">
        <f aca="false">IF(M94=1,YEAR(C94),"")</f>
        <v/>
      </c>
      <c r="U94" s="13" t="str">
        <f aca="false">IF(M94=1,YEAR(C94)&amp;"-Q"&amp;ROUNDUP(MONTH(C94)/3,0),"")</f>
        <v/>
      </c>
      <c r="V94" s="13" t="str">
        <f aca="false">IF(M94=1,MONTH(C94),"")</f>
        <v/>
      </c>
    </row>
    <row r="95" customFormat="false" ht="15" hidden="false" customHeight="false" outlineLevel="0" collapsed="false">
      <c r="A95" s="13" t="str">
        <f aca="false">TRIM(Raw_Data!A95)</f>
        <v>EMP0094</v>
      </c>
      <c r="B95" s="14" t="n">
        <f aca="false">Raw_Data!B95</f>
        <v>41297</v>
      </c>
      <c r="C95" s="14" t="str">
        <f aca="false">IF(Raw_Data!C95="","",Raw_Data!C95)</f>
        <v/>
      </c>
      <c r="D95" s="13" t="n">
        <f aca="false">IF(Raw_Data!D95="","",Raw_Data!D95)</f>
        <v>53</v>
      </c>
      <c r="E95" s="13" t="str">
        <f aca="false">IF(UPPER(LEFT(TRIM(Raw_Data!E95),1))="M","Male",IF(UPPER(LEFT(TRIM(Raw_Data!E95),1))="F","Female","Unknown"))</f>
        <v>Male</v>
      </c>
      <c r="F95" s="13" t="str">
        <f aca="false">PROPER(TRIM(SUBSTITUTE(Raw_Data!F95,"'","")))</f>
        <v>High School</v>
      </c>
      <c r="G95" s="13" t="str">
        <f aca="false">PROPER(TRIM(Raw_Data!G95))</f>
        <v>Operations</v>
      </c>
      <c r="H95" s="13" t="str">
        <f aca="false">PROPER(TRIM(Raw_Data!H95))</f>
        <v>Manager</v>
      </c>
      <c r="I95" s="13" t="n">
        <f aca="false">IF(Raw_Data!I95="",DefaultPerf,Raw_Data!I95)</f>
        <v>4</v>
      </c>
      <c r="J95" s="13" t="n">
        <f aca="false">IF(Raw_Data!J95="",DefaultSat,Raw_Data!J95)</f>
        <v>4</v>
      </c>
      <c r="K95" s="15" t="n">
        <f aca="false">Raw_Data!K95</f>
        <v>220000</v>
      </c>
      <c r="L95" s="13" t="str">
        <f aca="false">PROPER(TRIM(Raw_Data!N95))</f>
        <v>Yes</v>
      </c>
      <c r="M95" s="13" t="n">
        <f aca="false">IF(C95="",0,1)</f>
        <v>0</v>
      </c>
      <c r="N95" s="13" t="str">
        <f aca="false">IF(M95=0,"Active",IF(TRIM(Raw_Data!L95)="","Unknown",PROPER(TRIM(Raw_Data!L95))))</f>
        <v>Active</v>
      </c>
      <c r="O95" s="13" t="str">
        <f aca="false">IF(M95=0,"",IF(TRIM(Raw_Data!M95)="","Not Recorded",TRIM(Raw_Data!M95)))</f>
        <v/>
      </c>
      <c r="P95" s="16" t="n">
        <f aca="false">ROUND((IF(C95="",AsOfDate,C95)-B95)/365.25,2)</f>
        <v>12.94</v>
      </c>
      <c r="Q95" s="13" t="str">
        <f aca="false">IF(D95="","Unknown",IF(D95&lt;25,"Under 25",IF(D95&lt;35,"25-34",IF(D95&lt;45,"35-44",IF(D95&lt;55,"45-54","55+")))))</f>
        <v>45-54</v>
      </c>
      <c r="R95" s="13" t="str">
        <f aca="false">IF(P95&lt;1,"0-1 yrs",IF(P95&lt;3,"1-3 yrs",IF(P95&lt;5,"3-5 yrs",IF(P95&lt;10,"5-10 yrs","10+ yrs"))))</f>
        <v>10+ yrs</v>
      </c>
      <c r="S95" s="13" t="str">
        <f aca="false">IF(I95&gt;=4,"High",IF(I95=3,"Medium","Low"))</f>
        <v>High</v>
      </c>
      <c r="T95" s="13" t="str">
        <f aca="false">IF(M95=1,YEAR(C95),"")</f>
        <v/>
      </c>
      <c r="U95" s="13" t="str">
        <f aca="false">IF(M95=1,YEAR(C95)&amp;"-Q"&amp;ROUNDUP(MONTH(C95)/3,0),"")</f>
        <v/>
      </c>
      <c r="V95" s="13" t="str">
        <f aca="false">IF(M95=1,MONTH(C95),"")</f>
        <v/>
      </c>
    </row>
    <row r="96" customFormat="false" ht="15" hidden="false" customHeight="false" outlineLevel="0" collapsed="false">
      <c r="A96" s="13" t="str">
        <f aca="false">TRIM(Raw_Data!A96)</f>
        <v>EMP0095</v>
      </c>
      <c r="B96" s="14" t="n">
        <f aca="false">Raw_Data!B96</f>
        <v>41299</v>
      </c>
      <c r="C96" s="14" t="str">
        <f aca="false">IF(Raw_Data!C96="","",Raw_Data!C96)</f>
        <v/>
      </c>
      <c r="D96" s="13" t="n">
        <f aca="false">IF(Raw_Data!D96="","",Raw_Data!D96)</f>
        <v>35</v>
      </c>
      <c r="E96" s="13" t="str">
        <f aca="false">IF(UPPER(LEFT(TRIM(Raw_Data!E96),1))="M","Male",IF(UPPER(LEFT(TRIM(Raw_Data!E96),1))="F","Female","Unknown"))</f>
        <v>Male</v>
      </c>
      <c r="F96" s="13" t="str">
        <f aca="false">PROPER(TRIM(SUBSTITUTE(Raw_Data!F96,"'","")))</f>
        <v>High School</v>
      </c>
      <c r="G96" s="13" t="str">
        <f aca="false">PROPER(TRIM(Raw_Data!G96))</f>
        <v>Customer Support</v>
      </c>
      <c r="H96" s="13" t="str">
        <f aca="false">PROPER(TRIM(Raw_Data!H96))</f>
        <v>Associate</v>
      </c>
      <c r="I96" s="13" t="n">
        <f aca="false">IF(Raw_Data!I96="",DefaultPerf,Raw_Data!I96)</f>
        <v>3</v>
      </c>
      <c r="J96" s="13" t="n">
        <f aca="false">IF(Raw_Data!J96="",DefaultSat,Raw_Data!J96)</f>
        <v>2</v>
      </c>
      <c r="K96" s="15" t="n">
        <f aca="false">Raw_Data!K96</f>
        <v>53500</v>
      </c>
      <c r="L96" s="13" t="str">
        <f aca="false">PROPER(TRIM(Raw_Data!N96))</f>
        <v>No</v>
      </c>
      <c r="M96" s="13" t="n">
        <f aca="false">IF(C96="",0,1)</f>
        <v>0</v>
      </c>
      <c r="N96" s="13" t="str">
        <f aca="false">IF(M96=0,"Active",IF(TRIM(Raw_Data!L96)="","Unknown",PROPER(TRIM(Raw_Data!L96))))</f>
        <v>Active</v>
      </c>
      <c r="O96" s="13" t="str">
        <f aca="false">IF(M96=0,"",IF(TRIM(Raw_Data!M96)="","Not Recorded",TRIM(Raw_Data!M96)))</f>
        <v/>
      </c>
      <c r="P96" s="16" t="n">
        <f aca="false">ROUND((IF(C96="",AsOfDate,C96)-B96)/365.25,2)</f>
        <v>12.93</v>
      </c>
      <c r="Q96" s="13" t="str">
        <f aca="false">IF(D96="","Unknown",IF(D96&lt;25,"Under 25",IF(D96&lt;35,"25-34",IF(D96&lt;45,"35-44",IF(D96&lt;55,"45-54","55+")))))</f>
        <v>35-44</v>
      </c>
      <c r="R96" s="13" t="str">
        <f aca="false">IF(P96&lt;1,"0-1 yrs",IF(P96&lt;3,"1-3 yrs",IF(P96&lt;5,"3-5 yrs",IF(P96&lt;10,"5-10 yrs","10+ yrs"))))</f>
        <v>10+ yrs</v>
      </c>
      <c r="S96" s="13" t="str">
        <f aca="false">IF(I96&gt;=4,"High",IF(I96=3,"Medium","Low"))</f>
        <v>Medium</v>
      </c>
      <c r="T96" s="13" t="str">
        <f aca="false">IF(M96=1,YEAR(C96),"")</f>
        <v/>
      </c>
      <c r="U96" s="13" t="str">
        <f aca="false">IF(M96=1,YEAR(C96)&amp;"-Q"&amp;ROUNDUP(MONTH(C96)/3,0),"")</f>
        <v/>
      </c>
      <c r="V96" s="13" t="str">
        <f aca="false">IF(M96=1,MONTH(C96),"")</f>
        <v/>
      </c>
    </row>
    <row r="97" customFormat="false" ht="15" hidden="false" customHeight="false" outlineLevel="0" collapsed="false">
      <c r="A97" s="13" t="str">
        <f aca="false">TRIM(Raw_Data!A97)</f>
        <v>EMP0096</v>
      </c>
      <c r="B97" s="14" t="n">
        <f aca="false">Raw_Data!B97</f>
        <v>41308</v>
      </c>
      <c r="C97" s="14" t="n">
        <f aca="false">IF(Raw_Data!C97="","",Raw_Data!C97)</f>
        <v>44562</v>
      </c>
      <c r="D97" s="13" t="n">
        <f aca="false">IF(Raw_Data!D97="","",Raw_Data!D97)</f>
        <v>39</v>
      </c>
      <c r="E97" s="13" t="str">
        <f aca="false">IF(UPPER(LEFT(TRIM(Raw_Data!E97),1))="M","Male",IF(UPPER(LEFT(TRIM(Raw_Data!E97),1))="F","Female","Unknown"))</f>
        <v>Male</v>
      </c>
      <c r="F97" s="13" t="str">
        <f aca="false">PROPER(TRIM(SUBSTITUTE(Raw_Data!F97,"'","")))</f>
        <v>Bachelors</v>
      </c>
      <c r="G97" s="13" t="str">
        <f aca="false">PROPER(TRIM(Raw_Data!G97))</f>
        <v>Operations</v>
      </c>
      <c r="H97" s="13" t="str">
        <f aca="false">PROPER(TRIM(Raw_Data!H97))</f>
        <v>Specialist</v>
      </c>
      <c r="I97" s="13" t="n">
        <f aca="false">IF(Raw_Data!I97="",DefaultPerf,Raw_Data!I97)</f>
        <v>3</v>
      </c>
      <c r="J97" s="13" t="n">
        <f aca="false">IF(Raw_Data!J97="",DefaultSat,Raw_Data!J97)</f>
        <v>1</v>
      </c>
      <c r="K97" s="15" t="n">
        <f aca="false">Raw_Data!K97</f>
        <v>134500</v>
      </c>
      <c r="L97" s="13" t="str">
        <f aca="false">PROPER(TRIM(Raw_Data!N97))</f>
        <v>Yes</v>
      </c>
      <c r="M97" s="13" t="n">
        <f aca="false">IF(C97="",0,1)</f>
        <v>1</v>
      </c>
      <c r="N97" s="13" t="str">
        <f aca="false">IF(M97=0,"Active",IF(TRIM(Raw_Data!L97)="","Unknown",PROPER(TRIM(Raw_Data!L97))))</f>
        <v>Voluntary</v>
      </c>
      <c r="O97" s="13" t="str">
        <f aca="false">IF(M97=0,"",IF(TRIM(Raw_Data!M97)="","Not Recorded",TRIM(Raw_Data!M97)))</f>
        <v>Job Dissatisfaction</v>
      </c>
      <c r="P97" s="16" t="n">
        <f aca="false">ROUND((IF(C97="",AsOfDate,C97)-B97)/365.25,2)</f>
        <v>8.91</v>
      </c>
      <c r="Q97" s="13" t="str">
        <f aca="false">IF(D97="","Unknown",IF(D97&lt;25,"Under 25",IF(D97&lt;35,"25-34",IF(D97&lt;45,"35-44",IF(D97&lt;55,"45-54","55+")))))</f>
        <v>35-44</v>
      </c>
      <c r="R97" s="13" t="str">
        <f aca="false">IF(P97&lt;1,"0-1 yrs",IF(P97&lt;3,"1-3 yrs",IF(P97&lt;5,"3-5 yrs",IF(P97&lt;10,"5-10 yrs","10+ yrs"))))</f>
        <v>5-10 yrs</v>
      </c>
      <c r="S97" s="13" t="str">
        <f aca="false">IF(I97&gt;=4,"High",IF(I97=3,"Medium","Low"))</f>
        <v>Medium</v>
      </c>
      <c r="T97" s="13" t="n">
        <f aca="false">IF(M97=1,YEAR(C97),"")</f>
        <v>2022</v>
      </c>
      <c r="U97" s="13" t="str">
        <f aca="false">IF(M97=1,YEAR(C97)&amp;"-Q"&amp;ROUNDUP(MONTH(C97)/3,0),"")</f>
        <v>2022-Q1</v>
      </c>
      <c r="V97" s="13" t="n">
        <f aca="false">IF(M97=1,MONTH(C97),"")</f>
        <v>1</v>
      </c>
    </row>
    <row r="98" customFormat="false" ht="15" hidden="false" customHeight="false" outlineLevel="0" collapsed="false">
      <c r="A98" s="13" t="str">
        <f aca="false">TRIM(Raw_Data!A98)</f>
        <v>EMP0097</v>
      </c>
      <c r="B98" s="14" t="n">
        <f aca="false">Raw_Data!B98</f>
        <v>41313</v>
      </c>
      <c r="C98" s="14" t="n">
        <f aca="false">IF(Raw_Data!C98="","",Raw_Data!C98)</f>
        <v>44620</v>
      </c>
      <c r="D98" s="13" t="n">
        <f aca="false">IF(Raw_Data!D98="","",Raw_Data!D98)</f>
        <v>43</v>
      </c>
      <c r="E98" s="13" t="str">
        <f aca="false">IF(UPPER(LEFT(TRIM(Raw_Data!E98),1))="M","Male",IF(UPPER(LEFT(TRIM(Raw_Data!E98),1))="F","Female","Unknown"))</f>
        <v>Male</v>
      </c>
      <c r="F98" s="13" t="str">
        <f aca="false">PROPER(TRIM(SUBSTITUTE(Raw_Data!F98,"'","")))</f>
        <v>Bachelors</v>
      </c>
      <c r="G98" s="13" t="str">
        <f aca="false">PROPER(TRIM(Raw_Data!G98))</f>
        <v>Operations</v>
      </c>
      <c r="H98" s="13" t="str">
        <f aca="false">PROPER(TRIM(Raw_Data!H98))</f>
        <v>Senior Analyst</v>
      </c>
      <c r="I98" s="13" t="n">
        <f aca="false">IF(Raw_Data!I98="",DefaultPerf,Raw_Data!I98)</f>
        <v>2</v>
      </c>
      <c r="J98" s="13" t="n">
        <f aca="false">IF(Raw_Data!J98="",DefaultSat,Raw_Data!J98)</f>
        <v>2</v>
      </c>
      <c r="K98" s="15" t="n">
        <f aca="false">Raw_Data!K98</f>
        <v>119000</v>
      </c>
      <c r="L98" s="13" t="str">
        <f aca="false">PROPER(TRIM(Raw_Data!N98))</f>
        <v>No</v>
      </c>
      <c r="M98" s="13" t="n">
        <f aca="false">IF(C98="",0,1)</f>
        <v>1</v>
      </c>
      <c r="N98" s="13" t="str">
        <f aca="false">IF(M98=0,"Active",IF(TRIM(Raw_Data!L98)="","Unknown",PROPER(TRIM(Raw_Data!L98))))</f>
        <v>Voluntary</v>
      </c>
      <c r="O98" s="13" t="str">
        <f aca="false">IF(M98=0,"",IF(TRIM(Raw_Data!M98)="","Not Recorded",TRIM(Raw_Data!M98)))</f>
        <v>Not Recorded</v>
      </c>
      <c r="P98" s="16" t="n">
        <f aca="false">ROUND((IF(C98="",AsOfDate,C98)-B98)/365.25,2)</f>
        <v>9.05</v>
      </c>
      <c r="Q98" s="13" t="str">
        <f aca="false">IF(D98="","Unknown",IF(D98&lt;25,"Under 25",IF(D98&lt;35,"25-34",IF(D98&lt;45,"35-44",IF(D98&lt;55,"45-54","55+")))))</f>
        <v>35-44</v>
      </c>
      <c r="R98" s="13" t="str">
        <f aca="false">IF(P98&lt;1,"0-1 yrs",IF(P98&lt;3,"1-3 yrs",IF(P98&lt;5,"3-5 yrs",IF(P98&lt;10,"5-10 yrs","10+ yrs"))))</f>
        <v>5-10 yrs</v>
      </c>
      <c r="S98" s="13" t="str">
        <f aca="false">IF(I98&gt;=4,"High",IF(I98=3,"Medium","Low"))</f>
        <v>Low</v>
      </c>
      <c r="T98" s="13" t="n">
        <f aca="false">IF(M98=1,YEAR(C98),"")</f>
        <v>2022</v>
      </c>
      <c r="U98" s="13" t="str">
        <f aca="false">IF(M98=1,YEAR(C98)&amp;"-Q"&amp;ROUNDUP(MONTH(C98)/3,0),"")</f>
        <v>2022-Q1</v>
      </c>
      <c r="V98" s="13" t="n">
        <f aca="false">IF(M98=1,MONTH(C98),"")</f>
        <v>2</v>
      </c>
    </row>
    <row r="99" customFormat="false" ht="15" hidden="false" customHeight="false" outlineLevel="0" collapsed="false">
      <c r="A99" s="13" t="str">
        <f aca="false">TRIM(Raw_Data!A99)</f>
        <v>EMP0098</v>
      </c>
      <c r="B99" s="14" t="n">
        <f aca="false">Raw_Data!B99</f>
        <v>41316</v>
      </c>
      <c r="C99" s="14" t="str">
        <f aca="false">IF(Raw_Data!C99="","",Raw_Data!C99)</f>
        <v/>
      </c>
      <c r="D99" s="13" t="n">
        <f aca="false">IF(Raw_Data!D99="","",Raw_Data!D99)</f>
        <v>37</v>
      </c>
      <c r="E99" s="13" t="str">
        <f aca="false">IF(UPPER(LEFT(TRIM(Raw_Data!E99),1))="M","Male",IF(UPPER(LEFT(TRIM(Raw_Data!E99),1))="F","Female","Unknown"))</f>
        <v>Male</v>
      </c>
      <c r="F99" s="13" t="str">
        <f aca="false">PROPER(TRIM(SUBSTITUTE(Raw_Data!F99,"'","")))</f>
        <v>Diploma</v>
      </c>
      <c r="G99" s="13" t="str">
        <f aca="false">PROPER(TRIM(Raw_Data!G99))</f>
        <v>Sales</v>
      </c>
      <c r="H99" s="13" t="str">
        <f aca="false">PROPER(TRIM(Raw_Data!H99))</f>
        <v>Specialist</v>
      </c>
      <c r="I99" s="13" t="n">
        <f aca="false">IF(Raw_Data!I99="",DefaultPerf,Raw_Data!I99)</f>
        <v>1</v>
      </c>
      <c r="J99" s="13" t="n">
        <f aca="false">IF(Raw_Data!J99="",DefaultSat,Raw_Data!J99)</f>
        <v>3</v>
      </c>
      <c r="K99" s="15" t="n">
        <f aca="false">Raw_Data!K99</f>
        <v>116500</v>
      </c>
      <c r="L99" s="13" t="str">
        <f aca="false">PROPER(TRIM(Raw_Data!N99))</f>
        <v>No</v>
      </c>
      <c r="M99" s="13" t="n">
        <f aca="false">IF(C99="",0,1)</f>
        <v>0</v>
      </c>
      <c r="N99" s="13" t="str">
        <f aca="false">IF(M99=0,"Active",IF(TRIM(Raw_Data!L99)="","Unknown",PROPER(TRIM(Raw_Data!L99))))</f>
        <v>Active</v>
      </c>
      <c r="O99" s="13" t="str">
        <f aca="false">IF(M99=0,"",IF(TRIM(Raw_Data!M99)="","Not Recorded",TRIM(Raw_Data!M99)))</f>
        <v/>
      </c>
      <c r="P99" s="16" t="n">
        <f aca="false">ROUND((IF(C99="",AsOfDate,C99)-B99)/365.25,2)</f>
        <v>12.88</v>
      </c>
      <c r="Q99" s="13" t="str">
        <f aca="false">IF(D99="","Unknown",IF(D99&lt;25,"Under 25",IF(D99&lt;35,"25-34",IF(D99&lt;45,"35-44",IF(D99&lt;55,"45-54","55+")))))</f>
        <v>35-44</v>
      </c>
      <c r="R99" s="13" t="str">
        <f aca="false">IF(P99&lt;1,"0-1 yrs",IF(P99&lt;3,"1-3 yrs",IF(P99&lt;5,"3-5 yrs",IF(P99&lt;10,"5-10 yrs","10+ yrs"))))</f>
        <v>10+ yrs</v>
      </c>
      <c r="S99" s="13" t="str">
        <f aca="false">IF(I99&gt;=4,"High",IF(I99=3,"Medium","Low"))</f>
        <v>Low</v>
      </c>
      <c r="T99" s="13" t="str">
        <f aca="false">IF(M99=1,YEAR(C99),"")</f>
        <v/>
      </c>
      <c r="U99" s="13" t="str">
        <f aca="false">IF(M99=1,YEAR(C99)&amp;"-Q"&amp;ROUNDUP(MONTH(C99)/3,0),"")</f>
        <v/>
      </c>
      <c r="V99" s="13" t="str">
        <f aca="false">IF(M99=1,MONTH(C99),"")</f>
        <v/>
      </c>
    </row>
    <row r="100" customFormat="false" ht="15" hidden="false" customHeight="false" outlineLevel="0" collapsed="false">
      <c r="A100" s="13" t="str">
        <f aca="false">TRIM(Raw_Data!A100)</f>
        <v>EMP0099</v>
      </c>
      <c r="B100" s="14" t="n">
        <f aca="false">Raw_Data!B100</f>
        <v>41320</v>
      </c>
      <c r="C100" s="14" t="n">
        <f aca="false">IF(Raw_Data!C100="","",Raw_Data!C100)</f>
        <v>44639</v>
      </c>
      <c r="D100" s="13" t="n">
        <f aca="false">IF(Raw_Data!D100="","",Raw_Data!D100)</f>
        <v>32</v>
      </c>
      <c r="E100" s="13" t="str">
        <f aca="false">IF(UPPER(LEFT(TRIM(Raw_Data!E100),1))="M","Male",IF(UPPER(LEFT(TRIM(Raw_Data!E100),1))="F","Female","Unknown"))</f>
        <v>Female</v>
      </c>
      <c r="F100" s="13" t="str">
        <f aca="false">PROPER(TRIM(SUBSTITUTE(Raw_Data!F100,"'","")))</f>
        <v>High School</v>
      </c>
      <c r="G100" s="13" t="str">
        <f aca="false">PROPER(TRIM(Raw_Data!G100))</f>
        <v>Engineering</v>
      </c>
      <c r="H100" s="13" t="str">
        <f aca="false">PROPER(TRIM(Raw_Data!H100))</f>
        <v>Associate</v>
      </c>
      <c r="I100" s="13" t="n">
        <f aca="false">IF(Raw_Data!I100="",DefaultPerf,Raw_Data!I100)</f>
        <v>3</v>
      </c>
      <c r="J100" s="13" t="n">
        <f aca="false">IF(Raw_Data!J100="",DefaultSat,Raw_Data!J100)</f>
        <v>2</v>
      </c>
      <c r="K100" s="15" t="n">
        <f aca="false">Raw_Data!K100</f>
        <v>53500</v>
      </c>
      <c r="L100" s="13" t="str">
        <f aca="false">PROPER(TRIM(Raw_Data!N100))</f>
        <v>Yes</v>
      </c>
      <c r="M100" s="13" t="n">
        <f aca="false">IF(C100="",0,1)</f>
        <v>1</v>
      </c>
      <c r="N100" s="13" t="str">
        <f aca="false">IF(M100=0,"Active",IF(TRIM(Raw_Data!L100)="","Unknown",PROPER(TRIM(Raw_Data!L100))))</f>
        <v>Voluntary</v>
      </c>
      <c r="O100" s="13" t="str">
        <f aca="false">IF(M100=0,"",IF(TRIM(Raw_Data!M100)="","Not Recorded",TRIM(Raw_Data!M100)))</f>
        <v>Manager Issues</v>
      </c>
      <c r="P100" s="16" t="n">
        <f aca="false">ROUND((IF(C100="",AsOfDate,C100)-B100)/365.25,2)</f>
        <v>9.09</v>
      </c>
      <c r="Q100" s="13" t="str">
        <f aca="false">IF(D100="","Unknown",IF(D100&lt;25,"Under 25",IF(D100&lt;35,"25-34",IF(D100&lt;45,"35-44",IF(D100&lt;55,"45-54","55+")))))</f>
        <v>25-34</v>
      </c>
      <c r="R100" s="13" t="str">
        <f aca="false">IF(P100&lt;1,"0-1 yrs",IF(P100&lt;3,"1-3 yrs",IF(P100&lt;5,"3-5 yrs",IF(P100&lt;10,"5-10 yrs","10+ yrs"))))</f>
        <v>5-10 yrs</v>
      </c>
      <c r="S100" s="13" t="str">
        <f aca="false">IF(I100&gt;=4,"High",IF(I100=3,"Medium","Low"))</f>
        <v>Medium</v>
      </c>
      <c r="T100" s="13" t="n">
        <f aca="false">IF(M100=1,YEAR(C100),"")</f>
        <v>2022</v>
      </c>
      <c r="U100" s="13" t="str">
        <f aca="false">IF(M100=1,YEAR(C100)&amp;"-Q"&amp;ROUNDUP(MONTH(C100)/3,0),"")</f>
        <v>2022-Q1</v>
      </c>
      <c r="V100" s="13" t="n">
        <f aca="false">IF(M100=1,MONTH(C100),"")</f>
        <v>3</v>
      </c>
    </row>
    <row r="101" customFormat="false" ht="15" hidden="false" customHeight="false" outlineLevel="0" collapsed="false">
      <c r="A101" s="13" t="str">
        <f aca="false">TRIM(Raw_Data!A101)</f>
        <v>EMP0100</v>
      </c>
      <c r="B101" s="14" t="n">
        <f aca="false">Raw_Data!B101</f>
        <v>41321</v>
      </c>
      <c r="C101" s="14" t="n">
        <f aca="false">IF(Raw_Data!C101="","",Raw_Data!C101)</f>
        <v>44768</v>
      </c>
      <c r="D101" s="13" t="n">
        <f aca="false">IF(Raw_Data!D101="","",Raw_Data!D101)</f>
        <v>30</v>
      </c>
      <c r="E101" s="13" t="str">
        <f aca="false">IF(UPPER(LEFT(TRIM(Raw_Data!E101),1))="M","Male",IF(UPPER(LEFT(TRIM(Raw_Data!E101),1))="F","Female","Unknown"))</f>
        <v>Male</v>
      </c>
      <c r="F101" s="13" t="str">
        <f aca="false">PROPER(TRIM(SUBSTITUTE(Raw_Data!F101,"'","")))</f>
        <v>Diploma</v>
      </c>
      <c r="G101" s="13" t="str">
        <f aca="false">PROPER(TRIM(Raw_Data!G101))</f>
        <v>Operations</v>
      </c>
      <c r="H101" s="13" t="str">
        <f aca="false">PROPER(TRIM(Raw_Data!H101))</f>
        <v>Analyst</v>
      </c>
      <c r="I101" s="13" t="n">
        <f aca="false">IF(Raw_Data!I101="",DefaultPerf,Raw_Data!I101)</f>
        <v>3</v>
      </c>
      <c r="J101" s="13" t="n">
        <f aca="false">IF(Raw_Data!J101="",DefaultSat,Raw_Data!J101)</f>
        <v>3</v>
      </c>
      <c r="K101" s="15" t="n">
        <f aca="false">Raw_Data!K101</f>
        <v>86000</v>
      </c>
      <c r="L101" s="13" t="str">
        <f aca="false">PROPER(TRIM(Raw_Data!N101))</f>
        <v>No</v>
      </c>
      <c r="M101" s="13" t="n">
        <f aca="false">IF(C101="",0,1)</f>
        <v>1</v>
      </c>
      <c r="N101" s="13" t="str">
        <f aca="false">IF(M101=0,"Active",IF(TRIM(Raw_Data!L101)="","Unknown",PROPER(TRIM(Raw_Data!L101))))</f>
        <v>Voluntary</v>
      </c>
      <c r="O101" s="13" t="str">
        <f aca="false">IF(M101=0,"",IF(TRIM(Raw_Data!M101)="","Not Recorded",TRIM(Raw_Data!M101)))</f>
        <v>Work-Life Balance</v>
      </c>
      <c r="P101" s="16" t="n">
        <f aca="false">ROUND((IF(C101="",AsOfDate,C101)-B101)/365.25,2)</f>
        <v>9.44</v>
      </c>
      <c r="Q101" s="13" t="str">
        <f aca="false">IF(D101="","Unknown",IF(D101&lt;25,"Under 25",IF(D101&lt;35,"25-34",IF(D101&lt;45,"35-44",IF(D101&lt;55,"45-54","55+")))))</f>
        <v>25-34</v>
      </c>
      <c r="R101" s="13" t="str">
        <f aca="false">IF(P101&lt;1,"0-1 yrs",IF(P101&lt;3,"1-3 yrs",IF(P101&lt;5,"3-5 yrs",IF(P101&lt;10,"5-10 yrs","10+ yrs"))))</f>
        <v>5-10 yrs</v>
      </c>
      <c r="S101" s="13" t="str">
        <f aca="false">IF(I101&gt;=4,"High",IF(I101=3,"Medium","Low"))</f>
        <v>Medium</v>
      </c>
      <c r="T101" s="13" t="n">
        <f aca="false">IF(M101=1,YEAR(C101),"")</f>
        <v>2022</v>
      </c>
      <c r="U101" s="13" t="str">
        <f aca="false">IF(M101=1,YEAR(C101)&amp;"-Q"&amp;ROUNDUP(MONTH(C101)/3,0),"")</f>
        <v>2022-Q3</v>
      </c>
      <c r="V101" s="13" t="n">
        <f aca="false">IF(M101=1,MONTH(C101),"")</f>
        <v>7</v>
      </c>
    </row>
    <row r="102" customFormat="false" ht="15" hidden="false" customHeight="false" outlineLevel="0" collapsed="false">
      <c r="A102" s="13" t="str">
        <f aca="false">TRIM(Raw_Data!A102)</f>
        <v>EMP0101</v>
      </c>
      <c r="B102" s="14" t="n">
        <f aca="false">Raw_Data!B102</f>
        <v>41324</v>
      </c>
      <c r="C102" s="14" t="n">
        <f aca="false">IF(Raw_Data!C102="","",Raw_Data!C102)</f>
        <v>44905</v>
      </c>
      <c r="D102" s="13" t="n">
        <f aca="false">IF(Raw_Data!D102="","",Raw_Data!D102)</f>
        <v>48</v>
      </c>
      <c r="E102" s="13" t="str">
        <f aca="false">IF(UPPER(LEFT(TRIM(Raw_Data!E102),1))="M","Male",IF(UPPER(LEFT(TRIM(Raw_Data!E102),1))="F","Female","Unknown"))</f>
        <v>Male</v>
      </c>
      <c r="F102" s="13" t="str">
        <f aca="false">PROPER(TRIM(SUBSTITUTE(Raw_Data!F102,"'","")))</f>
        <v>Diploma</v>
      </c>
      <c r="G102" s="13" t="str">
        <f aca="false">PROPER(TRIM(Raw_Data!G102))</f>
        <v>Human Resources</v>
      </c>
      <c r="H102" s="13" t="str">
        <f aca="false">PROPER(TRIM(Raw_Data!H102))</f>
        <v>Senior Analyst</v>
      </c>
      <c r="I102" s="13" t="n">
        <f aca="false">IF(Raw_Data!I102="",DefaultPerf,Raw_Data!I102)</f>
        <v>3</v>
      </c>
      <c r="J102" s="13" t="n">
        <f aca="false">IF(Raw_Data!J102="",DefaultSat,Raw_Data!J102)</f>
        <v>2</v>
      </c>
      <c r="K102" s="15" t="n">
        <f aca="false">Raw_Data!K102</f>
        <v>115500</v>
      </c>
      <c r="L102" s="13" t="str">
        <f aca="false">PROPER(TRIM(Raw_Data!N102))</f>
        <v>No</v>
      </c>
      <c r="M102" s="13" t="n">
        <f aca="false">IF(C102="",0,1)</f>
        <v>1</v>
      </c>
      <c r="N102" s="13" t="str">
        <f aca="false">IF(M102=0,"Active",IF(TRIM(Raw_Data!L102)="","Unknown",PROPER(TRIM(Raw_Data!L102))))</f>
        <v>Voluntary</v>
      </c>
      <c r="O102" s="13" t="str">
        <f aca="false">IF(M102=0,"",IF(TRIM(Raw_Data!M102)="","Not Recorded",TRIM(Raw_Data!M102)))</f>
        <v>Not Recorded</v>
      </c>
      <c r="P102" s="16" t="n">
        <f aca="false">ROUND((IF(C102="",AsOfDate,C102)-B102)/365.25,2)</f>
        <v>9.8</v>
      </c>
      <c r="Q102" s="13" t="str">
        <f aca="false">IF(D102="","Unknown",IF(D102&lt;25,"Under 25",IF(D102&lt;35,"25-34",IF(D102&lt;45,"35-44",IF(D102&lt;55,"45-54","55+")))))</f>
        <v>45-54</v>
      </c>
      <c r="R102" s="13" t="str">
        <f aca="false">IF(P102&lt;1,"0-1 yrs",IF(P102&lt;3,"1-3 yrs",IF(P102&lt;5,"3-5 yrs",IF(P102&lt;10,"5-10 yrs","10+ yrs"))))</f>
        <v>5-10 yrs</v>
      </c>
      <c r="S102" s="13" t="str">
        <f aca="false">IF(I102&gt;=4,"High",IF(I102=3,"Medium","Low"))</f>
        <v>Medium</v>
      </c>
      <c r="T102" s="13" t="n">
        <f aca="false">IF(M102=1,YEAR(C102),"")</f>
        <v>2022</v>
      </c>
      <c r="U102" s="13" t="str">
        <f aca="false">IF(M102=1,YEAR(C102)&amp;"-Q"&amp;ROUNDUP(MONTH(C102)/3,0),"")</f>
        <v>2022-Q4</v>
      </c>
      <c r="V102" s="13" t="n">
        <f aca="false">IF(M102=1,MONTH(C102),"")</f>
        <v>12</v>
      </c>
    </row>
    <row r="103" customFormat="false" ht="15" hidden="false" customHeight="false" outlineLevel="0" collapsed="false">
      <c r="A103" s="13" t="str">
        <f aca="false">TRIM(Raw_Data!A103)</f>
        <v>EMP0102</v>
      </c>
      <c r="B103" s="14" t="n">
        <f aca="false">Raw_Data!B103</f>
        <v>41329</v>
      </c>
      <c r="C103" s="14" t="str">
        <f aca="false">IF(Raw_Data!C103="","",Raw_Data!C103)</f>
        <v/>
      </c>
      <c r="D103" s="13" t="n">
        <f aca="false">IF(Raw_Data!D103="","",Raw_Data!D103)</f>
        <v>44</v>
      </c>
      <c r="E103" s="13" t="str">
        <f aca="false">IF(UPPER(LEFT(TRIM(Raw_Data!E103),1))="M","Male",IF(UPPER(LEFT(TRIM(Raw_Data!E103),1))="F","Female","Unknown"))</f>
        <v>Female</v>
      </c>
      <c r="F103" s="13" t="str">
        <f aca="false">PROPER(TRIM(SUBSTITUTE(Raw_Data!F103,"'","")))</f>
        <v>High School</v>
      </c>
      <c r="G103" s="13" t="str">
        <f aca="false">PROPER(TRIM(Raw_Data!G103))</f>
        <v>Operations</v>
      </c>
      <c r="H103" s="13" t="str">
        <f aca="false">PROPER(TRIM(Raw_Data!H103))</f>
        <v>Analyst</v>
      </c>
      <c r="I103" s="13" t="n">
        <f aca="false">IF(Raw_Data!I103="",DefaultPerf,Raw_Data!I103)</f>
        <v>4</v>
      </c>
      <c r="J103" s="13" t="n">
        <f aca="false">IF(Raw_Data!J103="",DefaultSat,Raw_Data!J103)</f>
        <v>2</v>
      </c>
      <c r="K103" s="15" t="n">
        <f aca="false">Raw_Data!K103</f>
        <v>79500</v>
      </c>
      <c r="L103" s="13" t="str">
        <f aca="false">PROPER(TRIM(Raw_Data!N103))</f>
        <v>No</v>
      </c>
      <c r="M103" s="13" t="n">
        <f aca="false">IF(C103="",0,1)</f>
        <v>0</v>
      </c>
      <c r="N103" s="13" t="str">
        <f aca="false">IF(M103=0,"Active",IF(TRIM(Raw_Data!L103)="","Unknown",PROPER(TRIM(Raw_Data!L103))))</f>
        <v>Active</v>
      </c>
      <c r="O103" s="13" t="str">
        <f aca="false">IF(M103=0,"",IF(TRIM(Raw_Data!M103)="","Not Recorded",TRIM(Raw_Data!M103)))</f>
        <v/>
      </c>
      <c r="P103" s="16" t="n">
        <f aca="false">ROUND((IF(C103="",AsOfDate,C103)-B103)/365.25,2)</f>
        <v>12.85</v>
      </c>
      <c r="Q103" s="13" t="str">
        <f aca="false">IF(D103="","Unknown",IF(D103&lt;25,"Under 25",IF(D103&lt;35,"25-34",IF(D103&lt;45,"35-44",IF(D103&lt;55,"45-54","55+")))))</f>
        <v>35-44</v>
      </c>
      <c r="R103" s="13" t="str">
        <f aca="false">IF(P103&lt;1,"0-1 yrs",IF(P103&lt;3,"1-3 yrs",IF(P103&lt;5,"3-5 yrs",IF(P103&lt;10,"5-10 yrs","10+ yrs"))))</f>
        <v>10+ yrs</v>
      </c>
      <c r="S103" s="13" t="str">
        <f aca="false">IF(I103&gt;=4,"High",IF(I103=3,"Medium","Low"))</f>
        <v>High</v>
      </c>
      <c r="T103" s="13" t="str">
        <f aca="false">IF(M103=1,YEAR(C103),"")</f>
        <v/>
      </c>
      <c r="U103" s="13" t="str">
        <f aca="false">IF(M103=1,YEAR(C103)&amp;"-Q"&amp;ROUNDUP(MONTH(C103)/3,0),"")</f>
        <v/>
      </c>
      <c r="V103" s="13" t="str">
        <f aca="false">IF(M103=1,MONTH(C103),"")</f>
        <v/>
      </c>
    </row>
    <row r="104" customFormat="false" ht="15" hidden="false" customHeight="false" outlineLevel="0" collapsed="false">
      <c r="A104" s="13" t="str">
        <f aca="false">TRIM(Raw_Data!A104)</f>
        <v>EMP0103</v>
      </c>
      <c r="B104" s="14" t="n">
        <f aca="false">Raw_Data!B104</f>
        <v>41340</v>
      </c>
      <c r="C104" s="14" t="n">
        <f aca="false">IF(Raw_Data!C104="","",Raw_Data!C104)</f>
        <v>44593</v>
      </c>
      <c r="D104" s="13" t="n">
        <f aca="false">IF(Raw_Data!D104="","",Raw_Data!D104)</f>
        <v>34</v>
      </c>
      <c r="E104" s="13" t="str">
        <f aca="false">IF(UPPER(LEFT(TRIM(Raw_Data!E104),1))="M","Male",IF(UPPER(LEFT(TRIM(Raw_Data!E104),1))="F","Female","Unknown"))</f>
        <v>Female</v>
      </c>
      <c r="F104" s="13" t="str">
        <f aca="false">PROPER(TRIM(SUBSTITUTE(Raw_Data!F104,"'","")))</f>
        <v>Bachelors</v>
      </c>
      <c r="G104" s="13" t="str">
        <f aca="false">PROPER(TRIM(Raw_Data!G104))</f>
        <v>Customer Support</v>
      </c>
      <c r="H104" s="13" t="str">
        <f aca="false">PROPER(TRIM(Raw_Data!H104))</f>
        <v>Senior Analyst</v>
      </c>
      <c r="I104" s="13" t="n">
        <f aca="false">IF(Raw_Data!I104="",DefaultPerf,Raw_Data!I104)</f>
        <v>5</v>
      </c>
      <c r="J104" s="13" t="n">
        <f aca="false">IF(Raw_Data!J104="",DefaultSat,Raw_Data!J104)</f>
        <v>1</v>
      </c>
      <c r="K104" s="15" t="n">
        <f aca="false">Raw_Data!K104</f>
        <v>112000</v>
      </c>
      <c r="L104" s="13" t="str">
        <f aca="false">PROPER(TRIM(Raw_Data!N104))</f>
        <v>No</v>
      </c>
      <c r="M104" s="13" t="n">
        <f aca="false">IF(C104="",0,1)</f>
        <v>1</v>
      </c>
      <c r="N104" s="13" t="str">
        <f aca="false">IF(M104=0,"Active",IF(TRIM(Raw_Data!L104)="","Unknown",PROPER(TRIM(Raw_Data!L104))))</f>
        <v>Voluntary</v>
      </c>
      <c r="O104" s="13" t="str">
        <f aca="false">IF(M104=0,"",IF(TRIM(Raw_Data!M104)="","Not Recorded",TRIM(Raw_Data!M104)))</f>
        <v>Career Growth</v>
      </c>
      <c r="P104" s="16" t="n">
        <f aca="false">ROUND((IF(C104="",AsOfDate,C104)-B104)/365.25,2)</f>
        <v>8.91</v>
      </c>
      <c r="Q104" s="13" t="str">
        <f aca="false">IF(D104="","Unknown",IF(D104&lt;25,"Under 25",IF(D104&lt;35,"25-34",IF(D104&lt;45,"35-44",IF(D104&lt;55,"45-54","55+")))))</f>
        <v>25-34</v>
      </c>
      <c r="R104" s="13" t="str">
        <f aca="false">IF(P104&lt;1,"0-1 yrs",IF(P104&lt;3,"1-3 yrs",IF(P104&lt;5,"3-5 yrs",IF(P104&lt;10,"5-10 yrs","10+ yrs"))))</f>
        <v>5-10 yrs</v>
      </c>
      <c r="S104" s="13" t="str">
        <f aca="false">IF(I104&gt;=4,"High",IF(I104=3,"Medium","Low"))</f>
        <v>High</v>
      </c>
      <c r="T104" s="13" t="n">
        <f aca="false">IF(M104=1,YEAR(C104),"")</f>
        <v>2022</v>
      </c>
      <c r="U104" s="13" t="str">
        <f aca="false">IF(M104=1,YEAR(C104)&amp;"-Q"&amp;ROUNDUP(MONTH(C104)/3,0),"")</f>
        <v>2022-Q1</v>
      </c>
      <c r="V104" s="13" t="n">
        <f aca="false">IF(M104=1,MONTH(C104),"")</f>
        <v>2</v>
      </c>
    </row>
    <row r="105" customFormat="false" ht="15" hidden="false" customHeight="false" outlineLevel="0" collapsed="false">
      <c r="A105" s="13" t="str">
        <f aca="false">TRIM(Raw_Data!A105)</f>
        <v>EMP0104</v>
      </c>
      <c r="B105" s="14" t="n">
        <f aca="false">Raw_Data!B105</f>
        <v>41341</v>
      </c>
      <c r="C105" s="14" t="str">
        <f aca="false">IF(Raw_Data!C105="","",Raw_Data!C105)</f>
        <v/>
      </c>
      <c r="D105" s="13" t="n">
        <f aca="false">IF(Raw_Data!D105="","",Raw_Data!D105)</f>
        <v>39</v>
      </c>
      <c r="E105" s="13" t="str">
        <f aca="false">IF(UPPER(LEFT(TRIM(Raw_Data!E105),1))="M","Male",IF(UPPER(LEFT(TRIM(Raw_Data!E105),1))="F","Female","Unknown"))</f>
        <v>Female</v>
      </c>
      <c r="F105" s="13" t="str">
        <f aca="false">PROPER(TRIM(SUBSTITUTE(Raw_Data!F105,"'","")))</f>
        <v>Bachelors</v>
      </c>
      <c r="G105" s="13" t="str">
        <f aca="false">PROPER(TRIM(Raw_Data!G105))</f>
        <v>Engineering</v>
      </c>
      <c r="H105" s="13" t="str">
        <f aca="false">PROPER(TRIM(Raw_Data!H105))</f>
        <v>Associate</v>
      </c>
      <c r="I105" s="13" t="n">
        <f aca="false">IF(Raw_Data!I105="",DefaultPerf,Raw_Data!I105)</f>
        <v>3</v>
      </c>
      <c r="J105" s="13" t="n">
        <f aca="false">IF(Raw_Data!J105="",DefaultSat,Raw_Data!J105)</f>
        <v>4</v>
      </c>
      <c r="K105" s="15" t="n">
        <f aca="false">Raw_Data!K105</f>
        <v>46500</v>
      </c>
      <c r="L105" s="13" t="str">
        <f aca="false">PROPER(TRIM(Raw_Data!N105))</f>
        <v>Yes</v>
      </c>
      <c r="M105" s="13" t="n">
        <f aca="false">IF(C105="",0,1)</f>
        <v>0</v>
      </c>
      <c r="N105" s="13" t="str">
        <f aca="false">IF(M105=0,"Active",IF(TRIM(Raw_Data!L105)="","Unknown",PROPER(TRIM(Raw_Data!L105))))</f>
        <v>Active</v>
      </c>
      <c r="O105" s="13" t="str">
        <f aca="false">IF(M105=0,"",IF(TRIM(Raw_Data!M105)="","Not Recorded",TRIM(Raw_Data!M105)))</f>
        <v/>
      </c>
      <c r="P105" s="16" t="n">
        <f aca="false">ROUND((IF(C105="",AsOfDate,C105)-B105)/365.25,2)</f>
        <v>12.82</v>
      </c>
      <c r="Q105" s="13" t="str">
        <f aca="false">IF(D105="","Unknown",IF(D105&lt;25,"Under 25",IF(D105&lt;35,"25-34",IF(D105&lt;45,"35-44",IF(D105&lt;55,"45-54","55+")))))</f>
        <v>35-44</v>
      </c>
      <c r="R105" s="13" t="str">
        <f aca="false">IF(P105&lt;1,"0-1 yrs",IF(P105&lt;3,"1-3 yrs",IF(P105&lt;5,"3-5 yrs",IF(P105&lt;10,"5-10 yrs","10+ yrs"))))</f>
        <v>10+ yrs</v>
      </c>
      <c r="S105" s="13" t="str">
        <f aca="false">IF(I105&gt;=4,"High",IF(I105=3,"Medium","Low"))</f>
        <v>Medium</v>
      </c>
      <c r="T105" s="13" t="str">
        <f aca="false">IF(M105=1,YEAR(C105),"")</f>
        <v/>
      </c>
      <c r="U105" s="13" t="str">
        <f aca="false">IF(M105=1,YEAR(C105)&amp;"-Q"&amp;ROUNDUP(MONTH(C105)/3,0),"")</f>
        <v/>
      </c>
      <c r="V105" s="13" t="str">
        <f aca="false">IF(M105=1,MONTH(C105),"")</f>
        <v/>
      </c>
    </row>
    <row r="106" customFormat="false" ht="15" hidden="false" customHeight="false" outlineLevel="0" collapsed="false">
      <c r="A106" s="13" t="str">
        <f aca="false">TRIM(Raw_Data!A106)</f>
        <v>EMP0105</v>
      </c>
      <c r="B106" s="14" t="n">
        <f aca="false">Raw_Data!B106</f>
        <v>41347</v>
      </c>
      <c r="C106" s="14" t="str">
        <f aca="false">IF(Raw_Data!C106="","",Raw_Data!C106)</f>
        <v/>
      </c>
      <c r="D106" s="13" t="n">
        <f aca="false">IF(Raw_Data!D106="","",Raw_Data!D106)</f>
        <v>40</v>
      </c>
      <c r="E106" s="13" t="str">
        <f aca="false">IF(UPPER(LEFT(TRIM(Raw_Data!E106),1))="M","Male",IF(UPPER(LEFT(TRIM(Raw_Data!E106),1))="F","Female","Unknown"))</f>
        <v>Male</v>
      </c>
      <c r="F106" s="13" t="str">
        <f aca="false">PROPER(TRIM(SUBSTITUTE(Raw_Data!F106,"'","")))</f>
        <v>Diploma</v>
      </c>
      <c r="G106" s="13" t="str">
        <f aca="false">PROPER(TRIM(Raw_Data!G106))</f>
        <v>Human Resources</v>
      </c>
      <c r="H106" s="13" t="str">
        <f aca="false">PROPER(TRIM(Raw_Data!H106))</f>
        <v>Associate</v>
      </c>
      <c r="I106" s="13" t="n">
        <f aca="false">IF(Raw_Data!I106="",DefaultPerf,Raw_Data!I106)</f>
        <v>3</v>
      </c>
      <c r="J106" s="13" t="n">
        <f aca="false">IF(Raw_Data!J106="",DefaultSat,Raw_Data!J106)</f>
        <v>3</v>
      </c>
      <c r="K106" s="15" t="n">
        <f aca="false">Raw_Data!K106</f>
        <v>51500</v>
      </c>
      <c r="L106" s="13" t="str">
        <f aca="false">PROPER(TRIM(Raw_Data!N106))</f>
        <v>No</v>
      </c>
      <c r="M106" s="13" t="n">
        <f aca="false">IF(C106="",0,1)</f>
        <v>0</v>
      </c>
      <c r="N106" s="13" t="str">
        <f aca="false">IF(M106=0,"Active",IF(TRIM(Raw_Data!L106)="","Unknown",PROPER(TRIM(Raw_Data!L106))))</f>
        <v>Active</v>
      </c>
      <c r="O106" s="13" t="str">
        <f aca="false">IF(M106=0,"",IF(TRIM(Raw_Data!M106)="","Not Recorded",TRIM(Raw_Data!M106)))</f>
        <v/>
      </c>
      <c r="P106" s="16" t="n">
        <f aca="false">ROUND((IF(C106="",AsOfDate,C106)-B106)/365.25,2)</f>
        <v>12.8</v>
      </c>
      <c r="Q106" s="13" t="str">
        <f aca="false">IF(D106="","Unknown",IF(D106&lt;25,"Under 25",IF(D106&lt;35,"25-34",IF(D106&lt;45,"35-44",IF(D106&lt;55,"45-54","55+")))))</f>
        <v>35-44</v>
      </c>
      <c r="R106" s="13" t="str">
        <f aca="false">IF(P106&lt;1,"0-1 yrs",IF(P106&lt;3,"1-3 yrs",IF(P106&lt;5,"3-5 yrs",IF(P106&lt;10,"5-10 yrs","10+ yrs"))))</f>
        <v>10+ yrs</v>
      </c>
      <c r="S106" s="13" t="str">
        <f aca="false">IF(I106&gt;=4,"High",IF(I106=3,"Medium","Low"))</f>
        <v>Medium</v>
      </c>
      <c r="T106" s="13" t="str">
        <f aca="false">IF(M106=1,YEAR(C106),"")</f>
        <v/>
      </c>
      <c r="U106" s="13" t="str">
        <f aca="false">IF(M106=1,YEAR(C106)&amp;"-Q"&amp;ROUNDUP(MONTH(C106)/3,0),"")</f>
        <v/>
      </c>
      <c r="V106" s="13" t="str">
        <f aca="false">IF(M106=1,MONTH(C106),"")</f>
        <v/>
      </c>
    </row>
    <row r="107" customFormat="false" ht="15" hidden="false" customHeight="false" outlineLevel="0" collapsed="false">
      <c r="A107" s="13" t="str">
        <f aca="false">TRIM(Raw_Data!A107)</f>
        <v>EMP0106</v>
      </c>
      <c r="B107" s="14" t="n">
        <f aca="false">Raw_Data!B107</f>
        <v>41351</v>
      </c>
      <c r="C107" s="14" t="str">
        <f aca="false">IF(Raw_Data!C107="","",Raw_Data!C107)</f>
        <v/>
      </c>
      <c r="D107" s="13" t="n">
        <f aca="false">IF(Raw_Data!D107="","",Raw_Data!D107)</f>
        <v>43</v>
      </c>
      <c r="E107" s="13" t="str">
        <f aca="false">IF(UPPER(LEFT(TRIM(Raw_Data!E107),1))="M","Male",IF(UPPER(LEFT(TRIM(Raw_Data!E107),1))="F","Female","Unknown"))</f>
        <v>Male</v>
      </c>
      <c r="F107" s="13" t="str">
        <f aca="false">PROPER(TRIM(SUBSTITUTE(Raw_Data!F107,"'","")))</f>
        <v>Diploma</v>
      </c>
      <c r="G107" s="13" t="str">
        <f aca="false">PROPER(TRIM(Raw_Data!G107))</f>
        <v>Engineering</v>
      </c>
      <c r="H107" s="13" t="str">
        <f aca="false">PROPER(TRIM(Raw_Data!H107))</f>
        <v>Senior Analyst</v>
      </c>
      <c r="I107" s="13" t="n">
        <f aca="false">IF(Raw_Data!I107="",DefaultPerf,Raw_Data!I107)</f>
        <v>4</v>
      </c>
      <c r="J107" s="17" t="n">
        <f aca="false">IF(Raw_Data!J107="",DefaultSat,Raw_Data!J107)</f>
        <v>3</v>
      </c>
      <c r="K107" s="15" t="n">
        <f aca="false">Raw_Data!K107</f>
        <v>112500</v>
      </c>
      <c r="L107" s="13" t="str">
        <f aca="false">PROPER(TRIM(Raw_Data!N107))</f>
        <v>No</v>
      </c>
      <c r="M107" s="13" t="n">
        <f aca="false">IF(C107="",0,1)</f>
        <v>0</v>
      </c>
      <c r="N107" s="13" t="str">
        <f aca="false">IF(M107=0,"Active",IF(TRIM(Raw_Data!L107)="","Unknown",PROPER(TRIM(Raw_Data!L107))))</f>
        <v>Active</v>
      </c>
      <c r="O107" s="13" t="str">
        <f aca="false">IF(M107=0,"",IF(TRIM(Raw_Data!M107)="","Not Recorded",TRIM(Raw_Data!M107)))</f>
        <v/>
      </c>
      <c r="P107" s="16" t="n">
        <f aca="false">ROUND((IF(C107="",AsOfDate,C107)-B107)/365.25,2)</f>
        <v>12.79</v>
      </c>
      <c r="Q107" s="13" t="str">
        <f aca="false">IF(D107="","Unknown",IF(D107&lt;25,"Under 25",IF(D107&lt;35,"25-34",IF(D107&lt;45,"35-44",IF(D107&lt;55,"45-54","55+")))))</f>
        <v>35-44</v>
      </c>
      <c r="R107" s="13" t="str">
        <f aca="false">IF(P107&lt;1,"0-1 yrs",IF(P107&lt;3,"1-3 yrs",IF(P107&lt;5,"3-5 yrs",IF(P107&lt;10,"5-10 yrs","10+ yrs"))))</f>
        <v>10+ yrs</v>
      </c>
      <c r="S107" s="13" t="str">
        <f aca="false">IF(I107&gt;=4,"High",IF(I107=3,"Medium","Low"))</f>
        <v>High</v>
      </c>
      <c r="T107" s="13" t="str">
        <f aca="false">IF(M107=1,YEAR(C107),"")</f>
        <v/>
      </c>
      <c r="U107" s="13" t="str">
        <f aca="false">IF(M107=1,YEAR(C107)&amp;"-Q"&amp;ROUNDUP(MONTH(C107)/3,0),"")</f>
        <v/>
      </c>
      <c r="V107" s="13" t="str">
        <f aca="false">IF(M107=1,MONTH(C107),"")</f>
        <v/>
      </c>
    </row>
    <row r="108" customFormat="false" ht="15" hidden="false" customHeight="false" outlineLevel="0" collapsed="false">
      <c r="A108" s="13" t="str">
        <f aca="false">TRIM(Raw_Data!A108)</f>
        <v>EMP0107</v>
      </c>
      <c r="B108" s="14" t="n">
        <f aca="false">Raw_Data!B108</f>
        <v>41353</v>
      </c>
      <c r="C108" s="14" t="str">
        <f aca="false">IF(Raw_Data!C108="","",Raw_Data!C108)</f>
        <v/>
      </c>
      <c r="D108" s="13" t="n">
        <f aca="false">IF(Raw_Data!D108="","",Raw_Data!D108)</f>
        <v>37</v>
      </c>
      <c r="E108" s="13" t="str">
        <f aca="false">IF(UPPER(LEFT(TRIM(Raw_Data!E108),1))="M","Male",IF(UPPER(LEFT(TRIM(Raw_Data!E108),1))="F","Female","Unknown"))</f>
        <v>Female</v>
      </c>
      <c r="F108" s="13" t="str">
        <f aca="false">PROPER(TRIM(SUBSTITUTE(Raw_Data!F108,"'","")))</f>
        <v>High School</v>
      </c>
      <c r="G108" s="13" t="str">
        <f aca="false">PROPER(TRIM(Raw_Data!G108))</f>
        <v>Customer Support</v>
      </c>
      <c r="H108" s="13" t="str">
        <f aca="false">PROPER(TRIM(Raw_Data!H108))</f>
        <v>Associate</v>
      </c>
      <c r="I108" s="13" t="n">
        <f aca="false">IF(Raw_Data!I108="",DefaultPerf,Raw_Data!I108)</f>
        <v>3</v>
      </c>
      <c r="J108" s="13" t="n">
        <f aca="false">IF(Raw_Data!J108="",DefaultSat,Raw_Data!J108)</f>
        <v>1</v>
      </c>
      <c r="K108" s="15" t="n">
        <f aca="false">Raw_Data!K108</f>
        <v>48500</v>
      </c>
      <c r="L108" s="13" t="str">
        <f aca="false">PROPER(TRIM(Raw_Data!N108))</f>
        <v>No</v>
      </c>
      <c r="M108" s="13" t="n">
        <f aca="false">IF(C108="",0,1)</f>
        <v>0</v>
      </c>
      <c r="N108" s="13" t="str">
        <f aca="false">IF(M108=0,"Active",IF(TRIM(Raw_Data!L108)="","Unknown",PROPER(TRIM(Raw_Data!L108))))</f>
        <v>Active</v>
      </c>
      <c r="O108" s="13" t="str">
        <f aca="false">IF(M108=0,"",IF(TRIM(Raw_Data!M108)="","Not Recorded",TRIM(Raw_Data!M108)))</f>
        <v/>
      </c>
      <c r="P108" s="16" t="n">
        <f aca="false">ROUND((IF(C108="",AsOfDate,C108)-B108)/365.25,2)</f>
        <v>12.78</v>
      </c>
      <c r="Q108" s="13" t="str">
        <f aca="false">IF(D108="","Unknown",IF(D108&lt;25,"Under 25",IF(D108&lt;35,"25-34",IF(D108&lt;45,"35-44",IF(D108&lt;55,"45-54","55+")))))</f>
        <v>35-44</v>
      </c>
      <c r="R108" s="13" t="str">
        <f aca="false">IF(P108&lt;1,"0-1 yrs",IF(P108&lt;3,"1-3 yrs",IF(P108&lt;5,"3-5 yrs",IF(P108&lt;10,"5-10 yrs","10+ yrs"))))</f>
        <v>10+ yrs</v>
      </c>
      <c r="S108" s="13" t="str">
        <f aca="false">IF(I108&gt;=4,"High",IF(I108=3,"Medium","Low"))</f>
        <v>Medium</v>
      </c>
      <c r="T108" s="13" t="str">
        <f aca="false">IF(M108=1,YEAR(C108),"")</f>
        <v/>
      </c>
      <c r="U108" s="13" t="str">
        <f aca="false">IF(M108=1,YEAR(C108)&amp;"-Q"&amp;ROUNDUP(MONTH(C108)/3,0),"")</f>
        <v/>
      </c>
      <c r="V108" s="13" t="str">
        <f aca="false">IF(M108=1,MONTH(C108),"")</f>
        <v/>
      </c>
    </row>
    <row r="109" customFormat="false" ht="15" hidden="false" customHeight="false" outlineLevel="0" collapsed="false">
      <c r="A109" s="13" t="str">
        <f aca="false">TRIM(Raw_Data!A109)</f>
        <v>EMP0108</v>
      </c>
      <c r="B109" s="14" t="n">
        <f aca="false">Raw_Data!B109</f>
        <v>41355</v>
      </c>
      <c r="C109" s="14" t="n">
        <f aca="false">IF(Raw_Data!C109="","",Raw_Data!C109)</f>
        <v>44658</v>
      </c>
      <c r="D109" s="13" t="n">
        <f aca="false">IF(Raw_Data!D109="","",Raw_Data!D109)</f>
        <v>41</v>
      </c>
      <c r="E109" s="13" t="str">
        <f aca="false">IF(UPPER(LEFT(TRIM(Raw_Data!E109),1))="M","Male",IF(UPPER(LEFT(TRIM(Raw_Data!E109),1))="F","Female","Unknown"))</f>
        <v>Male</v>
      </c>
      <c r="F109" s="13" t="str">
        <f aca="false">PROPER(TRIM(SUBSTITUTE(Raw_Data!F109,"'","")))</f>
        <v>Bachelors</v>
      </c>
      <c r="G109" s="13" t="str">
        <f aca="false">PROPER(TRIM(Raw_Data!G109))</f>
        <v>Sales</v>
      </c>
      <c r="H109" s="13" t="str">
        <f aca="false">PROPER(TRIM(Raw_Data!H109))</f>
        <v>Team Lead</v>
      </c>
      <c r="I109" s="13" t="n">
        <f aca="false">IF(Raw_Data!I109="",DefaultPerf,Raw_Data!I109)</f>
        <v>3</v>
      </c>
      <c r="J109" s="13" t="n">
        <f aca="false">IF(Raw_Data!J109="",DefaultSat,Raw_Data!J109)</f>
        <v>2</v>
      </c>
      <c r="K109" s="15" t="n">
        <f aca="false">Raw_Data!K109</f>
        <v>175000</v>
      </c>
      <c r="L109" s="13" t="str">
        <f aca="false">PROPER(TRIM(Raw_Data!N109))</f>
        <v>Yes</v>
      </c>
      <c r="M109" s="13" t="n">
        <f aca="false">IF(C109="",0,1)</f>
        <v>1</v>
      </c>
      <c r="N109" s="13" t="str">
        <f aca="false">IF(M109=0,"Active",IF(TRIM(Raw_Data!L109)="","Unknown",PROPER(TRIM(Raw_Data!L109))))</f>
        <v>Voluntary</v>
      </c>
      <c r="O109" s="13" t="str">
        <f aca="false">IF(M109=0,"",IF(TRIM(Raw_Data!M109)="","Not Recorded",TRIM(Raw_Data!M109)))</f>
        <v>Better Compensation</v>
      </c>
      <c r="P109" s="16" t="n">
        <f aca="false">ROUND((IF(C109="",AsOfDate,C109)-B109)/365.25,2)</f>
        <v>9.04</v>
      </c>
      <c r="Q109" s="13" t="str">
        <f aca="false">IF(D109="","Unknown",IF(D109&lt;25,"Under 25",IF(D109&lt;35,"25-34",IF(D109&lt;45,"35-44",IF(D109&lt;55,"45-54","55+")))))</f>
        <v>35-44</v>
      </c>
      <c r="R109" s="13" t="str">
        <f aca="false">IF(P109&lt;1,"0-1 yrs",IF(P109&lt;3,"1-3 yrs",IF(P109&lt;5,"3-5 yrs",IF(P109&lt;10,"5-10 yrs","10+ yrs"))))</f>
        <v>5-10 yrs</v>
      </c>
      <c r="S109" s="13" t="str">
        <f aca="false">IF(I109&gt;=4,"High",IF(I109=3,"Medium","Low"))</f>
        <v>Medium</v>
      </c>
      <c r="T109" s="13" t="n">
        <f aca="false">IF(M109=1,YEAR(C109),"")</f>
        <v>2022</v>
      </c>
      <c r="U109" s="13" t="str">
        <f aca="false">IF(M109=1,YEAR(C109)&amp;"-Q"&amp;ROUNDUP(MONTH(C109)/3,0),"")</f>
        <v>2022-Q2</v>
      </c>
      <c r="V109" s="13" t="n">
        <f aca="false">IF(M109=1,MONTH(C109),"")</f>
        <v>4</v>
      </c>
    </row>
    <row r="110" customFormat="false" ht="15" hidden="false" customHeight="false" outlineLevel="0" collapsed="false">
      <c r="A110" s="13" t="str">
        <f aca="false">TRIM(Raw_Data!A110)</f>
        <v>EMP0109</v>
      </c>
      <c r="B110" s="14" t="n">
        <f aca="false">Raw_Data!B110</f>
        <v>41359</v>
      </c>
      <c r="C110" s="14" t="n">
        <f aca="false">IF(Raw_Data!C110="","",Raw_Data!C110)</f>
        <v>44978</v>
      </c>
      <c r="D110" s="13" t="n">
        <f aca="false">IF(Raw_Data!D110="","",Raw_Data!D110)</f>
        <v>42</v>
      </c>
      <c r="E110" s="13" t="str">
        <f aca="false">IF(UPPER(LEFT(TRIM(Raw_Data!E110),1))="M","Male",IF(UPPER(LEFT(TRIM(Raw_Data!E110),1))="F","Female","Unknown"))</f>
        <v>Female</v>
      </c>
      <c r="F110" s="13" t="str">
        <f aca="false">PROPER(TRIM(SUBSTITUTE(Raw_Data!F110,"'","")))</f>
        <v>High School</v>
      </c>
      <c r="G110" s="13" t="str">
        <f aca="false">PROPER(TRIM(Raw_Data!G110))</f>
        <v>Engineering</v>
      </c>
      <c r="H110" s="13" t="str">
        <f aca="false">PROPER(TRIM(Raw_Data!H110))</f>
        <v>Senior Analyst</v>
      </c>
      <c r="I110" s="13" t="n">
        <f aca="false">IF(Raw_Data!I110="",DefaultPerf,Raw_Data!I110)</f>
        <v>2</v>
      </c>
      <c r="J110" s="13" t="n">
        <f aca="false">IF(Raw_Data!J110="",DefaultSat,Raw_Data!J110)</f>
        <v>3</v>
      </c>
      <c r="K110" s="15" t="n">
        <f aca="false">Raw_Data!K110</f>
        <v>107000</v>
      </c>
      <c r="L110" s="13" t="str">
        <f aca="false">PROPER(TRIM(Raw_Data!N110))</f>
        <v>Yes</v>
      </c>
      <c r="M110" s="13" t="n">
        <f aca="false">IF(C110="",0,1)</f>
        <v>1</v>
      </c>
      <c r="N110" s="13" t="str">
        <f aca="false">IF(M110=0,"Active",IF(TRIM(Raw_Data!L110)="","Unknown",PROPER(TRIM(Raw_Data!L110))))</f>
        <v>Involuntary</v>
      </c>
      <c r="O110" s="13" t="str">
        <f aca="false">IF(M110=0,"",IF(TRIM(Raw_Data!M110)="","Not Recorded",TRIM(Raw_Data!M110)))</f>
        <v>End of Contract</v>
      </c>
      <c r="P110" s="16" t="n">
        <f aca="false">ROUND((IF(C110="",AsOfDate,C110)-B110)/365.25,2)</f>
        <v>9.91</v>
      </c>
      <c r="Q110" s="13" t="str">
        <f aca="false">IF(D110="","Unknown",IF(D110&lt;25,"Under 25",IF(D110&lt;35,"25-34",IF(D110&lt;45,"35-44",IF(D110&lt;55,"45-54","55+")))))</f>
        <v>35-44</v>
      </c>
      <c r="R110" s="13" t="str">
        <f aca="false">IF(P110&lt;1,"0-1 yrs",IF(P110&lt;3,"1-3 yrs",IF(P110&lt;5,"3-5 yrs",IF(P110&lt;10,"5-10 yrs","10+ yrs"))))</f>
        <v>5-10 yrs</v>
      </c>
      <c r="S110" s="13" t="str">
        <f aca="false">IF(I110&gt;=4,"High",IF(I110=3,"Medium","Low"))</f>
        <v>Low</v>
      </c>
      <c r="T110" s="13" t="n">
        <f aca="false">IF(M110=1,YEAR(C110),"")</f>
        <v>2023</v>
      </c>
      <c r="U110" s="13" t="str">
        <f aca="false">IF(M110=1,YEAR(C110)&amp;"-Q"&amp;ROUNDUP(MONTH(C110)/3,0),"")</f>
        <v>2023-Q1</v>
      </c>
      <c r="V110" s="13" t="n">
        <f aca="false">IF(M110=1,MONTH(C110),"")</f>
        <v>2</v>
      </c>
    </row>
    <row r="111" customFormat="false" ht="15" hidden="false" customHeight="false" outlineLevel="0" collapsed="false">
      <c r="A111" s="13" t="str">
        <f aca="false">TRIM(Raw_Data!A111)</f>
        <v>EMP0110</v>
      </c>
      <c r="B111" s="14" t="n">
        <f aca="false">Raw_Data!B111</f>
        <v>41360</v>
      </c>
      <c r="C111" s="14" t="str">
        <f aca="false">IF(Raw_Data!C111="","",Raw_Data!C111)</f>
        <v/>
      </c>
      <c r="D111" s="13" t="n">
        <f aca="false">IF(Raw_Data!D111="","",Raw_Data!D111)</f>
        <v>49</v>
      </c>
      <c r="E111" s="13" t="str">
        <f aca="false">IF(UPPER(LEFT(TRIM(Raw_Data!E111),1))="M","Male",IF(UPPER(LEFT(TRIM(Raw_Data!E111),1))="F","Female","Unknown"))</f>
        <v>Male</v>
      </c>
      <c r="F111" s="13" t="str">
        <f aca="false">PROPER(TRIM(SUBSTITUTE(Raw_Data!F111,"'","")))</f>
        <v>Bachelors</v>
      </c>
      <c r="G111" s="13" t="str">
        <f aca="false">PROPER(TRIM(Raw_Data!G111))</f>
        <v>Engineering</v>
      </c>
      <c r="H111" s="13" t="str">
        <f aca="false">PROPER(TRIM(Raw_Data!H111))</f>
        <v>Team Lead</v>
      </c>
      <c r="I111" s="13" t="n">
        <f aca="false">IF(Raw_Data!I111="",DefaultPerf,Raw_Data!I111)</f>
        <v>2</v>
      </c>
      <c r="J111" s="13" t="n">
        <f aca="false">IF(Raw_Data!J111="",DefaultSat,Raw_Data!J111)</f>
        <v>2</v>
      </c>
      <c r="K111" s="15" t="n">
        <f aca="false">Raw_Data!K111</f>
        <v>180500</v>
      </c>
      <c r="L111" s="13" t="str">
        <f aca="false">PROPER(TRIM(Raw_Data!N111))</f>
        <v>No</v>
      </c>
      <c r="M111" s="13" t="n">
        <f aca="false">IF(C111="",0,1)</f>
        <v>0</v>
      </c>
      <c r="N111" s="13" t="str">
        <f aca="false">IF(M111=0,"Active",IF(TRIM(Raw_Data!L111)="","Unknown",PROPER(TRIM(Raw_Data!L111))))</f>
        <v>Active</v>
      </c>
      <c r="O111" s="13" t="str">
        <f aca="false">IF(M111=0,"",IF(TRIM(Raw_Data!M111)="","Not Recorded",TRIM(Raw_Data!M111)))</f>
        <v/>
      </c>
      <c r="P111" s="16" t="n">
        <f aca="false">ROUND((IF(C111="",AsOfDate,C111)-B111)/365.25,2)</f>
        <v>12.76</v>
      </c>
      <c r="Q111" s="13" t="str">
        <f aca="false">IF(D111="","Unknown",IF(D111&lt;25,"Under 25",IF(D111&lt;35,"25-34",IF(D111&lt;45,"35-44",IF(D111&lt;55,"45-54","55+")))))</f>
        <v>45-54</v>
      </c>
      <c r="R111" s="13" t="str">
        <f aca="false">IF(P111&lt;1,"0-1 yrs",IF(P111&lt;3,"1-3 yrs",IF(P111&lt;5,"3-5 yrs",IF(P111&lt;10,"5-10 yrs","10+ yrs"))))</f>
        <v>10+ yrs</v>
      </c>
      <c r="S111" s="13" t="str">
        <f aca="false">IF(I111&gt;=4,"High",IF(I111=3,"Medium","Low"))</f>
        <v>Low</v>
      </c>
      <c r="T111" s="13" t="str">
        <f aca="false">IF(M111=1,YEAR(C111),"")</f>
        <v/>
      </c>
      <c r="U111" s="13" t="str">
        <f aca="false">IF(M111=1,YEAR(C111)&amp;"-Q"&amp;ROUNDUP(MONTH(C111)/3,0),"")</f>
        <v/>
      </c>
      <c r="V111" s="13" t="str">
        <f aca="false">IF(M111=1,MONTH(C111),"")</f>
        <v/>
      </c>
    </row>
    <row r="112" customFormat="false" ht="15" hidden="false" customHeight="false" outlineLevel="0" collapsed="false">
      <c r="A112" s="13" t="str">
        <f aca="false">TRIM(Raw_Data!A112)</f>
        <v>EMP0111</v>
      </c>
      <c r="B112" s="14" t="n">
        <f aca="false">Raw_Data!B112</f>
        <v>41362</v>
      </c>
      <c r="C112" s="14" t="str">
        <f aca="false">IF(Raw_Data!C112="","",Raw_Data!C112)</f>
        <v/>
      </c>
      <c r="D112" s="13" t="n">
        <f aca="false">IF(Raw_Data!D112="","",Raw_Data!D112)</f>
        <v>44</v>
      </c>
      <c r="E112" s="13" t="str">
        <f aca="false">IF(UPPER(LEFT(TRIM(Raw_Data!E112),1))="M","Male",IF(UPPER(LEFT(TRIM(Raw_Data!E112),1))="F","Female","Unknown"))</f>
        <v>Female</v>
      </c>
      <c r="F112" s="13" t="str">
        <f aca="false">PROPER(TRIM(SUBSTITUTE(Raw_Data!F112,"'","")))</f>
        <v>Masters</v>
      </c>
      <c r="G112" s="13" t="str">
        <f aca="false">PROPER(TRIM(Raw_Data!G112))</f>
        <v>Sales</v>
      </c>
      <c r="H112" s="13" t="str">
        <f aca="false">PROPER(TRIM(Raw_Data!H112))</f>
        <v>Team Lead</v>
      </c>
      <c r="I112" s="13" t="n">
        <f aca="false">IF(Raw_Data!I112="",DefaultPerf,Raw_Data!I112)</f>
        <v>4</v>
      </c>
      <c r="J112" s="13" t="n">
        <f aca="false">IF(Raw_Data!J112="",DefaultSat,Raw_Data!J112)</f>
        <v>3</v>
      </c>
      <c r="K112" s="15" t="n">
        <f aca="false">Raw_Data!K112</f>
        <v>141500</v>
      </c>
      <c r="L112" s="13" t="str">
        <f aca="false">PROPER(TRIM(Raw_Data!N112))</f>
        <v>No</v>
      </c>
      <c r="M112" s="13" t="n">
        <f aca="false">IF(C112="",0,1)</f>
        <v>0</v>
      </c>
      <c r="N112" s="13" t="str">
        <f aca="false">IF(M112=0,"Active",IF(TRIM(Raw_Data!L112)="","Unknown",PROPER(TRIM(Raw_Data!L112))))</f>
        <v>Active</v>
      </c>
      <c r="O112" s="13" t="str">
        <f aca="false">IF(M112=0,"",IF(TRIM(Raw_Data!M112)="","Not Recorded",TRIM(Raw_Data!M112)))</f>
        <v/>
      </c>
      <c r="P112" s="16" t="n">
        <f aca="false">ROUND((IF(C112="",AsOfDate,C112)-B112)/365.25,2)</f>
        <v>12.76</v>
      </c>
      <c r="Q112" s="13" t="str">
        <f aca="false">IF(D112="","Unknown",IF(D112&lt;25,"Under 25",IF(D112&lt;35,"25-34",IF(D112&lt;45,"35-44",IF(D112&lt;55,"45-54","55+")))))</f>
        <v>35-44</v>
      </c>
      <c r="R112" s="13" t="str">
        <f aca="false">IF(P112&lt;1,"0-1 yrs",IF(P112&lt;3,"1-3 yrs",IF(P112&lt;5,"3-5 yrs",IF(P112&lt;10,"5-10 yrs","10+ yrs"))))</f>
        <v>10+ yrs</v>
      </c>
      <c r="S112" s="13" t="str">
        <f aca="false">IF(I112&gt;=4,"High",IF(I112=3,"Medium","Low"))</f>
        <v>High</v>
      </c>
      <c r="T112" s="13" t="str">
        <f aca="false">IF(M112=1,YEAR(C112),"")</f>
        <v/>
      </c>
      <c r="U112" s="13" t="str">
        <f aca="false">IF(M112=1,YEAR(C112)&amp;"-Q"&amp;ROUNDUP(MONTH(C112)/3,0),"")</f>
        <v/>
      </c>
      <c r="V112" s="13" t="str">
        <f aca="false">IF(M112=1,MONTH(C112),"")</f>
        <v/>
      </c>
    </row>
    <row r="113" customFormat="false" ht="15" hidden="false" customHeight="false" outlineLevel="0" collapsed="false">
      <c r="A113" s="13" t="str">
        <f aca="false">TRIM(Raw_Data!A113)</f>
        <v>EMP0112</v>
      </c>
      <c r="B113" s="14" t="n">
        <f aca="false">Raw_Data!B113</f>
        <v>41363</v>
      </c>
      <c r="C113" s="14" t="n">
        <f aca="false">IF(Raw_Data!C113="","",Raw_Data!C113)</f>
        <v>45516</v>
      </c>
      <c r="D113" s="13" t="n">
        <f aca="false">IF(Raw_Data!D113="","",Raw_Data!D113)</f>
        <v>44</v>
      </c>
      <c r="E113" s="13" t="str">
        <f aca="false">IF(UPPER(LEFT(TRIM(Raw_Data!E113),1))="M","Male",IF(UPPER(LEFT(TRIM(Raw_Data!E113),1))="F","Female","Unknown"))</f>
        <v>Male</v>
      </c>
      <c r="F113" s="13" t="str">
        <f aca="false">PROPER(TRIM(SUBSTITUTE(Raw_Data!F113,"'","")))</f>
        <v>Diploma</v>
      </c>
      <c r="G113" s="13" t="str">
        <f aca="false">PROPER(TRIM(Raw_Data!G113))</f>
        <v>Sales</v>
      </c>
      <c r="H113" s="13" t="str">
        <f aca="false">PROPER(TRIM(Raw_Data!H113))</f>
        <v>Specialist</v>
      </c>
      <c r="I113" s="13" t="n">
        <f aca="false">IF(Raw_Data!I113="",DefaultPerf,Raw_Data!I113)</f>
        <v>4</v>
      </c>
      <c r="J113" s="13" t="n">
        <f aca="false">IF(Raw_Data!J113="",DefaultSat,Raw_Data!J113)</f>
        <v>4</v>
      </c>
      <c r="K113" s="15" t="n">
        <f aca="false">Raw_Data!K113</f>
        <v>122500</v>
      </c>
      <c r="L113" s="13" t="str">
        <f aca="false">PROPER(TRIM(Raw_Data!N113))</f>
        <v>No</v>
      </c>
      <c r="M113" s="13" t="n">
        <f aca="false">IF(C113="",0,1)</f>
        <v>1</v>
      </c>
      <c r="N113" s="13" t="str">
        <f aca="false">IF(M113=0,"Active",IF(TRIM(Raw_Data!L113)="","Unknown",PROPER(TRIM(Raw_Data!L113))))</f>
        <v>Voluntary</v>
      </c>
      <c r="O113" s="13" t="str">
        <f aca="false">IF(M113=0,"",IF(TRIM(Raw_Data!M113)="","Not Recorded",TRIM(Raw_Data!M113)))</f>
        <v>Further Studies</v>
      </c>
      <c r="P113" s="16" t="n">
        <f aca="false">ROUND((IF(C113="",AsOfDate,C113)-B113)/365.25,2)</f>
        <v>11.37</v>
      </c>
      <c r="Q113" s="13" t="str">
        <f aca="false">IF(D113="","Unknown",IF(D113&lt;25,"Under 25",IF(D113&lt;35,"25-34",IF(D113&lt;45,"35-44",IF(D113&lt;55,"45-54","55+")))))</f>
        <v>35-44</v>
      </c>
      <c r="R113" s="13" t="str">
        <f aca="false">IF(P113&lt;1,"0-1 yrs",IF(P113&lt;3,"1-3 yrs",IF(P113&lt;5,"3-5 yrs",IF(P113&lt;10,"5-10 yrs","10+ yrs"))))</f>
        <v>10+ yrs</v>
      </c>
      <c r="S113" s="13" t="str">
        <f aca="false">IF(I113&gt;=4,"High",IF(I113=3,"Medium","Low"))</f>
        <v>High</v>
      </c>
      <c r="T113" s="13" t="n">
        <f aca="false">IF(M113=1,YEAR(C113),"")</f>
        <v>2024</v>
      </c>
      <c r="U113" s="13" t="str">
        <f aca="false">IF(M113=1,YEAR(C113)&amp;"-Q"&amp;ROUNDUP(MONTH(C113)/3,0),"")</f>
        <v>2024-Q3</v>
      </c>
      <c r="V113" s="13" t="n">
        <f aca="false">IF(M113=1,MONTH(C113),"")</f>
        <v>8</v>
      </c>
    </row>
    <row r="114" customFormat="false" ht="15" hidden="false" customHeight="false" outlineLevel="0" collapsed="false">
      <c r="A114" s="13" t="str">
        <f aca="false">TRIM(Raw_Data!A114)</f>
        <v>EMP0113</v>
      </c>
      <c r="B114" s="14" t="n">
        <f aca="false">Raw_Data!B114</f>
        <v>41365</v>
      </c>
      <c r="C114" s="14" t="str">
        <f aca="false">IF(Raw_Data!C114="","",Raw_Data!C114)</f>
        <v/>
      </c>
      <c r="D114" s="13" t="n">
        <f aca="false">IF(Raw_Data!D114="","",Raw_Data!D114)</f>
        <v>44</v>
      </c>
      <c r="E114" s="13" t="str">
        <f aca="false">IF(UPPER(LEFT(TRIM(Raw_Data!E114),1))="M","Male",IF(UPPER(LEFT(TRIM(Raw_Data!E114),1))="F","Female","Unknown"))</f>
        <v>Female</v>
      </c>
      <c r="F114" s="13" t="str">
        <f aca="false">PROPER(TRIM(SUBSTITUTE(Raw_Data!F114,"'","")))</f>
        <v>Diploma</v>
      </c>
      <c r="G114" s="13" t="str">
        <f aca="false">PROPER(TRIM(Raw_Data!G114))</f>
        <v>Operations</v>
      </c>
      <c r="H114" s="13" t="str">
        <f aca="false">PROPER(TRIM(Raw_Data!H114))</f>
        <v>Manager</v>
      </c>
      <c r="I114" s="13" t="n">
        <f aca="false">IF(Raw_Data!I114="",DefaultPerf,Raw_Data!I114)</f>
        <v>4</v>
      </c>
      <c r="J114" s="13" t="n">
        <f aca="false">IF(Raw_Data!J114="",DefaultSat,Raw_Data!J114)</f>
        <v>3</v>
      </c>
      <c r="K114" s="15" t="n">
        <f aca="false">Raw_Data!K114</f>
        <v>265500</v>
      </c>
      <c r="L114" s="13" t="str">
        <f aca="false">PROPER(TRIM(Raw_Data!N114))</f>
        <v>Yes</v>
      </c>
      <c r="M114" s="13" t="n">
        <f aca="false">IF(C114="",0,1)</f>
        <v>0</v>
      </c>
      <c r="N114" s="13" t="str">
        <f aca="false">IF(M114=0,"Active",IF(TRIM(Raw_Data!L114)="","Unknown",PROPER(TRIM(Raw_Data!L114))))</f>
        <v>Active</v>
      </c>
      <c r="O114" s="13" t="str">
        <f aca="false">IF(M114=0,"",IF(TRIM(Raw_Data!M114)="","Not Recorded",TRIM(Raw_Data!M114)))</f>
        <v/>
      </c>
      <c r="P114" s="16" t="n">
        <f aca="false">ROUND((IF(C114="",AsOfDate,C114)-B114)/365.25,2)</f>
        <v>12.75</v>
      </c>
      <c r="Q114" s="13" t="str">
        <f aca="false">IF(D114="","Unknown",IF(D114&lt;25,"Under 25",IF(D114&lt;35,"25-34",IF(D114&lt;45,"35-44",IF(D114&lt;55,"45-54","55+")))))</f>
        <v>35-44</v>
      </c>
      <c r="R114" s="13" t="str">
        <f aca="false">IF(P114&lt;1,"0-1 yrs",IF(P114&lt;3,"1-3 yrs",IF(P114&lt;5,"3-5 yrs",IF(P114&lt;10,"5-10 yrs","10+ yrs"))))</f>
        <v>10+ yrs</v>
      </c>
      <c r="S114" s="13" t="str">
        <f aca="false">IF(I114&gt;=4,"High",IF(I114=3,"Medium","Low"))</f>
        <v>High</v>
      </c>
      <c r="T114" s="13" t="str">
        <f aca="false">IF(M114=1,YEAR(C114),"")</f>
        <v/>
      </c>
      <c r="U114" s="13" t="str">
        <f aca="false">IF(M114=1,YEAR(C114)&amp;"-Q"&amp;ROUNDUP(MONTH(C114)/3,0),"")</f>
        <v/>
      </c>
      <c r="V114" s="13" t="str">
        <f aca="false">IF(M114=1,MONTH(C114),"")</f>
        <v/>
      </c>
    </row>
    <row r="115" customFormat="false" ht="15" hidden="false" customHeight="false" outlineLevel="0" collapsed="false">
      <c r="A115" s="13" t="str">
        <f aca="false">TRIM(Raw_Data!A115)</f>
        <v>EMP0114</v>
      </c>
      <c r="B115" s="14" t="n">
        <f aca="false">Raw_Data!B115</f>
        <v>41367</v>
      </c>
      <c r="C115" s="14" t="str">
        <f aca="false">IF(Raw_Data!C115="","",Raw_Data!C115)</f>
        <v/>
      </c>
      <c r="D115" s="13" t="n">
        <f aca="false">IF(Raw_Data!D115="","",Raw_Data!D115)</f>
        <v>48</v>
      </c>
      <c r="E115" s="13" t="str">
        <f aca="false">IF(UPPER(LEFT(TRIM(Raw_Data!E115),1))="M","Male",IF(UPPER(LEFT(TRIM(Raw_Data!E115),1))="F","Female","Unknown"))</f>
        <v>Female</v>
      </c>
      <c r="F115" s="13" t="str">
        <f aca="false">PROPER(TRIM(SUBSTITUTE(Raw_Data!F115,"'","")))</f>
        <v>Masters</v>
      </c>
      <c r="G115" s="13" t="str">
        <f aca="false">PROPER(TRIM(Raw_Data!G115))</f>
        <v>Operations</v>
      </c>
      <c r="H115" s="13" t="str">
        <f aca="false">PROPER(TRIM(Raw_Data!H115))</f>
        <v>Associate</v>
      </c>
      <c r="I115" s="13" t="n">
        <f aca="false">IF(Raw_Data!I115="",DefaultPerf,Raw_Data!I115)</f>
        <v>3</v>
      </c>
      <c r="J115" s="13" t="n">
        <f aca="false">IF(Raw_Data!J115="",DefaultSat,Raw_Data!J115)</f>
        <v>2</v>
      </c>
      <c r="K115" s="15" t="n">
        <f aca="false">Raw_Data!K115</f>
        <v>53500</v>
      </c>
      <c r="L115" s="13" t="str">
        <f aca="false">PROPER(TRIM(Raw_Data!N115))</f>
        <v>Yes</v>
      </c>
      <c r="M115" s="13" t="n">
        <f aca="false">IF(C115="",0,1)</f>
        <v>0</v>
      </c>
      <c r="N115" s="13" t="str">
        <f aca="false">IF(M115=0,"Active",IF(TRIM(Raw_Data!L115)="","Unknown",PROPER(TRIM(Raw_Data!L115))))</f>
        <v>Active</v>
      </c>
      <c r="O115" s="13" t="str">
        <f aca="false">IF(M115=0,"",IF(TRIM(Raw_Data!M115)="","Not Recorded",TRIM(Raw_Data!M115)))</f>
        <v/>
      </c>
      <c r="P115" s="16" t="n">
        <f aca="false">ROUND((IF(C115="",AsOfDate,C115)-B115)/365.25,2)</f>
        <v>12.74</v>
      </c>
      <c r="Q115" s="13" t="str">
        <f aca="false">IF(D115="","Unknown",IF(D115&lt;25,"Under 25",IF(D115&lt;35,"25-34",IF(D115&lt;45,"35-44",IF(D115&lt;55,"45-54","55+")))))</f>
        <v>45-54</v>
      </c>
      <c r="R115" s="13" t="str">
        <f aca="false">IF(P115&lt;1,"0-1 yrs",IF(P115&lt;3,"1-3 yrs",IF(P115&lt;5,"3-5 yrs",IF(P115&lt;10,"5-10 yrs","10+ yrs"))))</f>
        <v>10+ yrs</v>
      </c>
      <c r="S115" s="13" t="str">
        <f aca="false">IF(I115&gt;=4,"High",IF(I115=3,"Medium","Low"))</f>
        <v>Medium</v>
      </c>
      <c r="T115" s="13" t="str">
        <f aca="false">IF(M115=1,YEAR(C115),"")</f>
        <v/>
      </c>
      <c r="U115" s="13" t="str">
        <f aca="false">IF(M115=1,YEAR(C115)&amp;"-Q"&amp;ROUNDUP(MONTH(C115)/3,0),"")</f>
        <v/>
      </c>
      <c r="V115" s="13" t="str">
        <f aca="false">IF(M115=1,MONTH(C115),"")</f>
        <v/>
      </c>
    </row>
    <row r="116" customFormat="false" ht="15" hidden="false" customHeight="false" outlineLevel="0" collapsed="false">
      <c r="A116" s="13" t="str">
        <f aca="false">TRIM(Raw_Data!A116)</f>
        <v>EMP0115</v>
      </c>
      <c r="B116" s="14" t="n">
        <f aca="false">Raw_Data!B116</f>
        <v>41369</v>
      </c>
      <c r="C116" s="14" t="str">
        <f aca="false">IF(Raw_Data!C116="","",Raw_Data!C116)</f>
        <v/>
      </c>
      <c r="D116" s="13" t="n">
        <f aca="false">IF(Raw_Data!D116="","",Raw_Data!D116)</f>
        <v>45</v>
      </c>
      <c r="E116" s="13" t="str">
        <f aca="false">IF(UPPER(LEFT(TRIM(Raw_Data!E116),1))="M","Male",IF(UPPER(LEFT(TRIM(Raw_Data!E116),1))="F","Female","Unknown"))</f>
        <v>Male</v>
      </c>
      <c r="F116" s="13" t="str">
        <f aca="false">PROPER(TRIM(SUBSTITUTE(Raw_Data!F116,"'","")))</f>
        <v>Bachelors</v>
      </c>
      <c r="G116" s="13" t="str">
        <f aca="false">PROPER(TRIM(Raw_Data!G116))</f>
        <v>Sales</v>
      </c>
      <c r="H116" s="13" t="str">
        <f aca="false">PROPER(TRIM(Raw_Data!H116))</f>
        <v>Senior Analyst</v>
      </c>
      <c r="I116" s="13" t="n">
        <f aca="false">IF(Raw_Data!I116="",DefaultPerf,Raw_Data!I116)</f>
        <v>4</v>
      </c>
      <c r="J116" s="13" t="n">
        <f aca="false">IF(Raw_Data!J116="",DefaultSat,Raw_Data!J116)</f>
        <v>3</v>
      </c>
      <c r="K116" s="15" t="n">
        <f aca="false">Raw_Data!K116</f>
        <v>118500</v>
      </c>
      <c r="L116" s="13" t="str">
        <f aca="false">PROPER(TRIM(Raw_Data!N116))</f>
        <v>No</v>
      </c>
      <c r="M116" s="13" t="n">
        <f aca="false">IF(C116="",0,1)</f>
        <v>0</v>
      </c>
      <c r="N116" s="13" t="str">
        <f aca="false">IF(M116=0,"Active",IF(TRIM(Raw_Data!L116)="","Unknown",PROPER(TRIM(Raw_Data!L116))))</f>
        <v>Active</v>
      </c>
      <c r="O116" s="13" t="str">
        <f aca="false">IF(M116=0,"",IF(TRIM(Raw_Data!M116)="","Not Recorded",TRIM(Raw_Data!M116)))</f>
        <v/>
      </c>
      <c r="P116" s="16" t="n">
        <f aca="false">ROUND((IF(C116="",AsOfDate,C116)-B116)/365.25,2)</f>
        <v>12.74</v>
      </c>
      <c r="Q116" s="13" t="str">
        <f aca="false">IF(D116="","Unknown",IF(D116&lt;25,"Under 25",IF(D116&lt;35,"25-34",IF(D116&lt;45,"35-44",IF(D116&lt;55,"45-54","55+")))))</f>
        <v>45-54</v>
      </c>
      <c r="R116" s="13" t="str">
        <f aca="false">IF(P116&lt;1,"0-1 yrs",IF(P116&lt;3,"1-3 yrs",IF(P116&lt;5,"3-5 yrs",IF(P116&lt;10,"5-10 yrs","10+ yrs"))))</f>
        <v>10+ yrs</v>
      </c>
      <c r="S116" s="13" t="str">
        <f aca="false">IF(I116&gt;=4,"High",IF(I116=3,"Medium","Low"))</f>
        <v>High</v>
      </c>
      <c r="T116" s="13" t="str">
        <f aca="false">IF(M116=1,YEAR(C116),"")</f>
        <v/>
      </c>
      <c r="U116" s="13" t="str">
        <f aca="false">IF(M116=1,YEAR(C116)&amp;"-Q"&amp;ROUNDUP(MONTH(C116)/3,0),"")</f>
        <v/>
      </c>
      <c r="V116" s="13" t="str">
        <f aca="false">IF(M116=1,MONTH(C116),"")</f>
        <v/>
      </c>
    </row>
    <row r="117" customFormat="false" ht="15" hidden="false" customHeight="false" outlineLevel="0" collapsed="false">
      <c r="A117" s="13" t="str">
        <f aca="false">TRIM(Raw_Data!A117)</f>
        <v>EMP0116</v>
      </c>
      <c r="B117" s="14" t="n">
        <f aca="false">Raw_Data!B117</f>
        <v>41373</v>
      </c>
      <c r="C117" s="14" t="str">
        <f aca="false">IF(Raw_Data!C117="","",Raw_Data!C117)</f>
        <v/>
      </c>
      <c r="D117" s="13" t="n">
        <f aca="false">IF(Raw_Data!D117="","",Raw_Data!D117)</f>
        <v>41</v>
      </c>
      <c r="E117" s="13" t="str">
        <f aca="false">IF(UPPER(LEFT(TRIM(Raw_Data!E117),1))="M","Male",IF(UPPER(LEFT(TRIM(Raw_Data!E117),1))="F","Female","Unknown"))</f>
        <v>Male</v>
      </c>
      <c r="F117" s="13" t="str">
        <f aca="false">PROPER(TRIM(SUBSTITUTE(Raw_Data!F117,"'","")))</f>
        <v>High School</v>
      </c>
      <c r="G117" s="13" t="str">
        <f aca="false">PROPER(TRIM(Raw_Data!G117))</f>
        <v>Engineering</v>
      </c>
      <c r="H117" s="13" t="str">
        <f aca="false">PROPER(TRIM(Raw_Data!H117))</f>
        <v>Associate</v>
      </c>
      <c r="I117" s="13" t="n">
        <f aca="false">IF(Raw_Data!I117="",DefaultPerf,Raw_Data!I117)</f>
        <v>3</v>
      </c>
      <c r="J117" s="13" t="n">
        <f aca="false">IF(Raw_Data!J117="",DefaultSat,Raw_Data!J117)</f>
        <v>4</v>
      </c>
      <c r="K117" s="15" t="n">
        <f aca="false">Raw_Data!K117</f>
        <v>48500</v>
      </c>
      <c r="L117" s="13" t="str">
        <f aca="false">PROPER(TRIM(Raw_Data!N117))</f>
        <v>No</v>
      </c>
      <c r="M117" s="13" t="n">
        <f aca="false">IF(C117="",0,1)</f>
        <v>0</v>
      </c>
      <c r="N117" s="13" t="str">
        <f aca="false">IF(M117=0,"Active",IF(TRIM(Raw_Data!L117)="","Unknown",PROPER(TRIM(Raw_Data!L117))))</f>
        <v>Active</v>
      </c>
      <c r="O117" s="13" t="str">
        <f aca="false">IF(M117=0,"",IF(TRIM(Raw_Data!M117)="","Not Recorded",TRIM(Raw_Data!M117)))</f>
        <v/>
      </c>
      <c r="P117" s="16" t="n">
        <f aca="false">ROUND((IF(C117="",AsOfDate,C117)-B117)/365.25,2)</f>
        <v>12.73</v>
      </c>
      <c r="Q117" s="13" t="str">
        <f aca="false">IF(D117="","Unknown",IF(D117&lt;25,"Under 25",IF(D117&lt;35,"25-34",IF(D117&lt;45,"35-44",IF(D117&lt;55,"45-54","55+")))))</f>
        <v>35-44</v>
      </c>
      <c r="R117" s="13" t="str">
        <f aca="false">IF(P117&lt;1,"0-1 yrs",IF(P117&lt;3,"1-3 yrs",IF(P117&lt;5,"3-5 yrs",IF(P117&lt;10,"5-10 yrs","10+ yrs"))))</f>
        <v>10+ yrs</v>
      </c>
      <c r="S117" s="13" t="str">
        <f aca="false">IF(I117&gt;=4,"High",IF(I117=3,"Medium","Low"))</f>
        <v>Medium</v>
      </c>
      <c r="T117" s="13" t="str">
        <f aca="false">IF(M117=1,YEAR(C117),"")</f>
        <v/>
      </c>
      <c r="U117" s="13" t="str">
        <f aca="false">IF(M117=1,YEAR(C117)&amp;"-Q"&amp;ROUNDUP(MONTH(C117)/3,0),"")</f>
        <v/>
      </c>
      <c r="V117" s="13" t="str">
        <f aca="false">IF(M117=1,MONTH(C117),"")</f>
        <v/>
      </c>
    </row>
    <row r="118" customFormat="false" ht="15" hidden="false" customHeight="false" outlineLevel="0" collapsed="false">
      <c r="A118" s="13" t="str">
        <f aca="false">TRIM(Raw_Data!A118)</f>
        <v>EMP0117</v>
      </c>
      <c r="B118" s="14" t="n">
        <f aca="false">Raw_Data!B118</f>
        <v>41381</v>
      </c>
      <c r="C118" s="14" t="n">
        <f aca="false">IF(Raw_Data!C118="","",Raw_Data!C118)</f>
        <v>45179</v>
      </c>
      <c r="D118" s="13" t="n">
        <f aca="false">IF(Raw_Data!D118="","",Raw_Data!D118)</f>
        <v>36</v>
      </c>
      <c r="E118" s="13" t="str">
        <f aca="false">IF(UPPER(LEFT(TRIM(Raw_Data!E118),1))="M","Male",IF(UPPER(LEFT(TRIM(Raw_Data!E118),1))="F","Female","Unknown"))</f>
        <v>Male</v>
      </c>
      <c r="F118" s="13" t="str">
        <f aca="false">PROPER(TRIM(SUBSTITUTE(Raw_Data!F118,"'","")))</f>
        <v>Masters</v>
      </c>
      <c r="G118" s="13" t="str">
        <f aca="false">PROPER(TRIM(Raw_Data!G118))</f>
        <v>Customer Support</v>
      </c>
      <c r="H118" s="13" t="str">
        <f aca="false">PROPER(TRIM(Raw_Data!H118))</f>
        <v>Specialist</v>
      </c>
      <c r="I118" s="13" t="n">
        <f aca="false">IF(Raw_Data!I118="",DefaultPerf,Raw_Data!I118)</f>
        <v>4</v>
      </c>
      <c r="J118" s="13" t="n">
        <f aca="false">IF(Raw_Data!J118="",DefaultSat,Raw_Data!J118)</f>
        <v>1</v>
      </c>
      <c r="K118" s="15" t="n">
        <f aca="false">Raw_Data!K118</f>
        <v>135500</v>
      </c>
      <c r="L118" s="13" t="str">
        <f aca="false">PROPER(TRIM(Raw_Data!N118))</f>
        <v>No</v>
      </c>
      <c r="M118" s="13" t="n">
        <f aca="false">IF(C118="",0,1)</f>
        <v>1</v>
      </c>
      <c r="N118" s="13" t="str">
        <f aca="false">IF(M118=0,"Active",IF(TRIM(Raw_Data!L118)="","Unknown",PROPER(TRIM(Raw_Data!L118))))</f>
        <v>Voluntary</v>
      </c>
      <c r="O118" s="13" t="str">
        <f aca="false">IF(M118=0,"",IF(TRIM(Raw_Data!M118)="","Not Recorded",TRIM(Raw_Data!M118)))</f>
        <v>Work-Life Balance</v>
      </c>
      <c r="P118" s="16" t="n">
        <f aca="false">ROUND((IF(C118="",AsOfDate,C118)-B118)/365.25,2)</f>
        <v>10.4</v>
      </c>
      <c r="Q118" s="13" t="str">
        <f aca="false">IF(D118="","Unknown",IF(D118&lt;25,"Under 25",IF(D118&lt;35,"25-34",IF(D118&lt;45,"35-44",IF(D118&lt;55,"45-54","55+")))))</f>
        <v>35-44</v>
      </c>
      <c r="R118" s="13" t="str">
        <f aca="false">IF(P118&lt;1,"0-1 yrs",IF(P118&lt;3,"1-3 yrs",IF(P118&lt;5,"3-5 yrs",IF(P118&lt;10,"5-10 yrs","10+ yrs"))))</f>
        <v>10+ yrs</v>
      </c>
      <c r="S118" s="13" t="str">
        <f aca="false">IF(I118&gt;=4,"High",IF(I118=3,"Medium","Low"))</f>
        <v>High</v>
      </c>
      <c r="T118" s="13" t="n">
        <f aca="false">IF(M118=1,YEAR(C118),"")</f>
        <v>2023</v>
      </c>
      <c r="U118" s="13" t="str">
        <f aca="false">IF(M118=1,YEAR(C118)&amp;"-Q"&amp;ROUNDUP(MONTH(C118)/3,0),"")</f>
        <v>2023-Q3</v>
      </c>
      <c r="V118" s="13" t="n">
        <f aca="false">IF(M118=1,MONTH(C118),"")</f>
        <v>9</v>
      </c>
    </row>
    <row r="119" customFormat="false" ht="15" hidden="false" customHeight="false" outlineLevel="0" collapsed="false">
      <c r="A119" s="13" t="str">
        <f aca="false">TRIM(Raw_Data!A119)</f>
        <v>EMP0118</v>
      </c>
      <c r="B119" s="14" t="n">
        <f aca="false">Raw_Data!B119</f>
        <v>41381</v>
      </c>
      <c r="C119" s="14" t="str">
        <f aca="false">IF(Raw_Data!C119="","",Raw_Data!C119)</f>
        <v/>
      </c>
      <c r="D119" s="13" t="n">
        <f aca="false">IF(Raw_Data!D119="","",Raw_Data!D119)</f>
        <v>39</v>
      </c>
      <c r="E119" s="13" t="str">
        <f aca="false">IF(UPPER(LEFT(TRIM(Raw_Data!E119),1))="M","Male",IF(UPPER(LEFT(TRIM(Raw_Data!E119),1))="F","Female","Unknown"))</f>
        <v>Male</v>
      </c>
      <c r="F119" s="13" t="str">
        <f aca="false">PROPER(TRIM(SUBSTITUTE(Raw_Data!F119,"'","")))</f>
        <v>High School</v>
      </c>
      <c r="G119" s="13" t="str">
        <f aca="false">PROPER(TRIM(Raw_Data!G119))</f>
        <v>Sales</v>
      </c>
      <c r="H119" s="13" t="str">
        <f aca="false">PROPER(TRIM(Raw_Data!H119))</f>
        <v>Team Lead</v>
      </c>
      <c r="I119" s="13" t="n">
        <f aca="false">IF(Raw_Data!I119="",DefaultPerf,Raw_Data!I119)</f>
        <v>3</v>
      </c>
      <c r="J119" s="13" t="n">
        <f aca="false">IF(Raw_Data!J119="",DefaultSat,Raw_Data!J119)</f>
        <v>1</v>
      </c>
      <c r="K119" s="15" t="n">
        <f aca="false">Raw_Data!K119</f>
        <v>159000</v>
      </c>
      <c r="L119" s="13" t="str">
        <f aca="false">PROPER(TRIM(Raw_Data!N119))</f>
        <v>No</v>
      </c>
      <c r="M119" s="13" t="n">
        <f aca="false">IF(C119="",0,1)</f>
        <v>0</v>
      </c>
      <c r="N119" s="13" t="str">
        <f aca="false">IF(M119=0,"Active",IF(TRIM(Raw_Data!L119)="","Unknown",PROPER(TRIM(Raw_Data!L119))))</f>
        <v>Active</v>
      </c>
      <c r="O119" s="13" t="str">
        <f aca="false">IF(M119=0,"",IF(TRIM(Raw_Data!M119)="","Not Recorded",TRIM(Raw_Data!M119)))</f>
        <v/>
      </c>
      <c r="P119" s="16" t="n">
        <f aca="false">ROUND((IF(C119="",AsOfDate,C119)-B119)/365.25,2)</f>
        <v>12.71</v>
      </c>
      <c r="Q119" s="13" t="str">
        <f aca="false">IF(D119="","Unknown",IF(D119&lt;25,"Under 25",IF(D119&lt;35,"25-34",IF(D119&lt;45,"35-44",IF(D119&lt;55,"45-54","55+")))))</f>
        <v>35-44</v>
      </c>
      <c r="R119" s="13" t="str">
        <f aca="false">IF(P119&lt;1,"0-1 yrs",IF(P119&lt;3,"1-3 yrs",IF(P119&lt;5,"3-5 yrs",IF(P119&lt;10,"5-10 yrs","10+ yrs"))))</f>
        <v>10+ yrs</v>
      </c>
      <c r="S119" s="13" t="str">
        <f aca="false">IF(I119&gt;=4,"High",IF(I119=3,"Medium","Low"))</f>
        <v>Medium</v>
      </c>
      <c r="T119" s="13" t="str">
        <f aca="false">IF(M119=1,YEAR(C119),"")</f>
        <v/>
      </c>
      <c r="U119" s="13" t="str">
        <f aca="false">IF(M119=1,YEAR(C119)&amp;"-Q"&amp;ROUNDUP(MONTH(C119)/3,0),"")</f>
        <v/>
      </c>
      <c r="V119" s="13" t="str">
        <f aca="false">IF(M119=1,MONTH(C119),"")</f>
        <v/>
      </c>
    </row>
    <row r="120" customFormat="false" ht="15" hidden="false" customHeight="false" outlineLevel="0" collapsed="false">
      <c r="A120" s="13" t="str">
        <f aca="false">TRIM(Raw_Data!A120)</f>
        <v>EMP0119</v>
      </c>
      <c r="B120" s="14" t="n">
        <f aca="false">Raw_Data!B120</f>
        <v>41385</v>
      </c>
      <c r="C120" s="14" t="n">
        <f aca="false">IF(Raw_Data!C120="","",Raw_Data!C120)</f>
        <v>45569</v>
      </c>
      <c r="D120" s="13" t="n">
        <f aca="false">IF(Raw_Data!D120="","",Raw_Data!D120)</f>
        <v>41</v>
      </c>
      <c r="E120" s="13" t="str">
        <f aca="false">IF(UPPER(LEFT(TRIM(Raw_Data!E120),1))="M","Male",IF(UPPER(LEFT(TRIM(Raw_Data!E120),1))="F","Female","Unknown"))</f>
        <v>Male</v>
      </c>
      <c r="F120" s="13" t="str">
        <f aca="false">PROPER(TRIM(SUBSTITUTE(Raw_Data!F120,"'","")))</f>
        <v>Bachelors</v>
      </c>
      <c r="G120" s="13" t="str">
        <f aca="false">PROPER(TRIM(Raw_Data!G120))</f>
        <v>Sales</v>
      </c>
      <c r="H120" s="13" t="str">
        <f aca="false">PROPER(TRIM(Raw_Data!H120))</f>
        <v>Team Lead</v>
      </c>
      <c r="I120" s="13" t="n">
        <f aca="false">IF(Raw_Data!I120="",DefaultPerf,Raw_Data!I120)</f>
        <v>5</v>
      </c>
      <c r="J120" s="13" t="n">
        <f aca="false">IF(Raw_Data!J120="",DefaultSat,Raw_Data!J120)</f>
        <v>3</v>
      </c>
      <c r="K120" s="15" t="n">
        <f aca="false">Raw_Data!K120</f>
        <v>168500</v>
      </c>
      <c r="L120" s="13" t="str">
        <f aca="false">PROPER(TRIM(Raw_Data!N120))</f>
        <v>Yes</v>
      </c>
      <c r="M120" s="13" t="n">
        <f aca="false">IF(C120="",0,1)</f>
        <v>1</v>
      </c>
      <c r="N120" s="13" t="str">
        <f aca="false">IF(M120=0,"Active",IF(TRIM(Raw_Data!L120)="","Unknown",PROPER(TRIM(Raw_Data!L120))))</f>
        <v>Voluntary</v>
      </c>
      <c r="O120" s="13" t="str">
        <f aca="false">IF(M120=0,"",IF(TRIM(Raw_Data!M120)="","Not Recorded",TRIM(Raw_Data!M120)))</f>
        <v>Work-Life Balance</v>
      </c>
      <c r="P120" s="16" t="n">
        <f aca="false">ROUND((IF(C120="",AsOfDate,C120)-B120)/365.25,2)</f>
        <v>11.46</v>
      </c>
      <c r="Q120" s="13" t="str">
        <f aca="false">IF(D120="","Unknown",IF(D120&lt;25,"Under 25",IF(D120&lt;35,"25-34",IF(D120&lt;45,"35-44",IF(D120&lt;55,"45-54","55+")))))</f>
        <v>35-44</v>
      </c>
      <c r="R120" s="13" t="str">
        <f aca="false">IF(P120&lt;1,"0-1 yrs",IF(P120&lt;3,"1-3 yrs",IF(P120&lt;5,"3-5 yrs",IF(P120&lt;10,"5-10 yrs","10+ yrs"))))</f>
        <v>10+ yrs</v>
      </c>
      <c r="S120" s="13" t="str">
        <f aca="false">IF(I120&gt;=4,"High",IF(I120=3,"Medium","Low"))</f>
        <v>High</v>
      </c>
      <c r="T120" s="13" t="n">
        <f aca="false">IF(M120=1,YEAR(C120),"")</f>
        <v>2024</v>
      </c>
      <c r="U120" s="13" t="str">
        <f aca="false">IF(M120=1,YEAR(C120)&amp;"-Q"&amp;ROUNDUP(MONTH(C120)/3,0),"")</f>
        <v>2024-Q4</v>
      </c>
      <c r="V120" s="13" t="n">
        <f aca="false">IF(M120=1,MONTH(C120),"")</f>
        <v>10</v>
      </c>
    </row>
    <row r="121" customFormat="false" ht="15" hidden="false" customHeight="false" outlineLevel="0" collapsed="false">
      <c r="A121" s="13" t="str">
        <f aca="false">TRIM(Raw_Data!A121)</f>
        <v>EMP0120</v>
      </c>
      <c r="B121" s="14" t="n">
        <f aca="false">Raw_Data!B121</f>
        <v>41388</v>
      </c>
      <c r="C121" s="14" t="str">
        <f aca="false">IF(Raw_Data!C121="","",Raw_Data!C121)</f>
        <v/>
      </c>
      <c r="D121" s="13" t="n">
        <f aca="false">IF(Raw_Data!D121="","",Raw_Data!D121)</f>
        <v>38</v>
      </c>
      <c r="E121" s="13" t="str">
        <f aca="false">IF(UPPER(LEFT(TRIM(Raw_Data!E121),1))="M","Male",IF(UPPER(LEFT(TRIM(Raw_Data!E121),1))="F","Female","Unknown"))</f>
        <v>Male</v>
      </c>
      <c r="F121" s="13" t="str">
        <f aca="false">PROPER(TRIM(SUBSTITUTE(Raw_Data!F121,"'","")))</f>
        <v>Diploma</v>
      </c>
      <c r="G121" s="13" t="str">
        <f aca="false">PROPER(TRIM(Raw_Data!G121))</f>
        <v>Operations</v>
      </c>
      <c r="H121" s="13" t="str">
        <f aca="false">PROPER(TRIM(Raw_Data!H121))</f>
        <v>Senior Analyst</v>
      </c>
      <c r="I121" s="13" t="n">
        <f aca="false">IF(Raw_Data!I121="",DefaultPerf,Raw_Data!I121)</f>
        <v>3</v>
      </c>
      <c r="J121" s="13" t="n">
        <f aca="false">IF(Raw_Data!J121="",DefaultSat,Raw_Data!J121)</f>
        <v>3</v>
      </c>
      <c r="K121" s="15" t="n">
        <f aca="false">Raw_Data!K121</f>
        <v>130000</v>
      </c>
      <c r="L121" s="13" t="str">
        <f aca="false">PROPER(TRIM(Raw_Data!N121))</f>
        <v>No</v>
      </c>
      <c r="M121" s="13" t="n">
        <f aca="false">IF(C121="",0,1)</f>
        <v>0</v>
      </c>
      <c r="N121" s="13" t="str">
        <f aca="false">IF(M121=0,"Active",IF(TRIM(Raw_Data!L121)="","Unknown",PROPER(TRIM(Raw_Data!L121))))</f>
        <v>Active</v>
      </c>
      <c r="O121" s="13" t="str">
        <f aca="false">IF(M121=0,"",IF(TRIM(Raw_Data!M121)="","Not Recorded",TRIM(Raw_Data!M121)))</f>
        <v/>
      </c>
      <c r="P121" s="16" t="n">
        <f aca="false">ROUND((IF(C121="",AsOfDate,C121)-B121)/365.25,2)</f>
        <v>12.69</v>
      </c>
      <c r="Q121" s="13" t="str">
        <f aca="false">IF(D121="","Unknown",IF(D121&lt;25,"Under 25",IF(D121&lt;35,"25-34",IF(D121&lt;45,"35-44",IF(D121&lt;55,"45-54","55+")))))</f>
        <v>35-44</v>
      </c>
      <c r="R121" s="13" t="str">
        <f aca="false">IF(P121&lt;1,"0-1 yrs",IF(P121&lt;3,"1-3 yrs",IF(P121&lt;5,"3-5 yrs",IF(P121&lt;10,"5-10 yrs","10+ yrs"))))</f>
        <v>10+ yrs</v>
      </c>
      <c r="S121" s="13" t="str">
        <f aca="false">IF(I121&gt;=4,"High",IF(I121=3,"Medium","Low"))</f>
        <v>Medium</v>
      </c>
      <c r="T121" s="13" t="str">
        <f aca="false">IF(M121=1,YEAR(C121),"")</f>
        <v/>
      </c>
      <c r="U121" s="13" t="str">
        <f aca="false">IF(M121=1,YEAR(C121)&amp;"-Q"&amp;ROUNDUP(MONTH(C121)/3,0),"")</f>
        <v/>
      </c>
      <c r="V121" s="13" t="str">
        <f aca="false">IF(M121=1,MONTH(C121),"")</f>
        <v/>
      </c>
    </row>
    <row r="122" customFormat="false" ht="15" hidden="false" customHeight="false" outlineLevel="0" collapsed="false">
      <c r="A122" s="13" t="str">
        <f aca="false">TRIM(Raw_Data!A122)</f>
        <v>EMP0121</v>
      </c>
      <c r="B122" s="14" t="n">
        <f aca="false">Raw_Data!B122</f>
        <v>41390</v>
      </c>
      <c r="C122" s="14" t="str">
        <f aca="false">IF(Raw_Data!C122="","",Raw_Data!C122)</f>
        <v/>
      </c>
      <c r="D122" s="13" t="n">
        <f aca="false">IF(Raw_Data!D122="","",Raw_Data!D122)</f>
        <v>41</v>
      </c>
      <c r="E122" s="13" t="str">
        <f aca="false">IF(UPPER(LEFT(TRIM(Raw_Data!E122),1))="M","Male",IF(UPPER(LEFT(TRIM(Raw_Data!E122),1))="F","Female","Unknown"))</f>
        <v>Female</v>
      </c>
      <c r="F122" s="13" t="str">
        <f aca="false">PROPER(TRIM(SUBSTITUTE(Raw_Data!F122,"'","")))</f>
        <v>Masters</v>
      </c>
      <c r="G122" s="13" t="str">
        <f aca="false">PROPER(TRIM(Raw_Data!G122))</f>
        <v>Engineering</v>
      </c>
      <c r="H122" s="13" t="str">
        <f aca="false">PROPER(TRIM(Raw_Data!H122))</f>
        <v>Manager</v>
      </c>
      <c r="I122" s="13" t="n">
        <f aca="false">IF(Raw_Data!I122="",DefaultPerf,Raw_Data!I122)</f>
        <v>2</v>
      </c>
      <c r="J122" s="13" t="n">
        <f aca="false">IF(Raw_Data!J122="",DefaultSat,Raw_Data!J122)</f>
        <v>3</v>
      </c>
      <c r="K122" s="15" t="n">
        <f aca="false">Raw_Data!K122</f>
        <v>246500</v>
      </c>
      <c r="L122" s="13" t="str">
        <f aca="false">PROPER(TRIM(Raw_Data!N122))</f>
        <v>No</v>
      </c>
      <c r="M122" s="13" t="n">
        <f aca="false">IF(C122="",0,1)</f>
        <v>0</v>
      </c>
      <c r="N122" s="13" t="str">
        <f aca="false">IF(M122=0,"Active",IF(TRIM(Raw_Data!L122)="","Unknown",PROPER(TRIM(Raw_Data!L122))))</f>
        <v>Active</v>
      </c>
      <c r="O122" s="13" t="str">
        <f aca="false">IF(M122=0,"",IF(TRIM(Raw_Data!M122)="","Not Recorded",TRIM(Raw_Data!M122)))</f>
        <v/>
      </c>
      <c r="P122" s="16" t="n">
        <f aca="false">ROUND((IF(C122="",AsOfDate,C122)-B122)/365.25,2)</f>
        <v>12.68</v>
      </c>
      <c r="Q122" s="13" t="str">
        <f aca="false">IF(D122="","Unknown",IF(D122&lt;25,"Under 25",IF(D122&lt;35,"25-34",IF(D122&lt;45,"35-44",IF(D122&lt;55,"45-54","55+")))))</f>
        <v>35-44</v>
      </c>
      <c r="R122" s="13" t="str">
        <f aca="false">IF(P122&lt;1,"0-1 yrs",IF(P122&lt;3,"1-3 yrs",IF(P122&lt;5,"3-5 yrs",IF(P122&lt;10,"5-10 yrs","10+ yrs"))))</f>
        <v>10+ yrs</v>
      </c>
      <c r="S122" s="13" t="str">
        <f aca="false">IF(I122&gt;=4,"High",IF(I122=3,"Medium","Low"))</f>
        <v>Low</v>
      </c>
      <c r="T122" s="13" t="str">
        <f aca="false">IF(M122=1,YEAR(C122),"")</f>
        <v/>
      </c>
      <c r="U122" s="13" t="str">
        <f aca="false">IF(M122=1,YEAR(C122)&amp;"-Q"&amp;ROUNDUP(MONTH(C122)/3,0),"")</f>
        <v/>
      </c>
      <c r="V122" s="13" t="str">
        <f aca="false">IF(M122=1,MONTH(C122),"")</f>
        <v/>
      </c>
    </row>
    <row r="123" customFormat="false" ht="15" hidden="false" customHeight="false" outlineLevel="0" collapsed="false">
      <c r="A123" s="13" t="str">
        <f aca="false">TRIM(Raw_Data!A123)</f>
        <v>EMP0122</v>
      </c>
      <c r="B123" s="14" t="n">
        <f aca="false">Raw_Data!B123</f>
        <v>41391</v>
      </c>
      <c r="C123" s="14" t="n">
        <f aca="false">IF(Raw_Data!C123="","",Raw_Data!C123)</f>
        <v>45638</v>
      </c>
      <c r="D123" s="13" t="str">
        <f aca="false">IF(Raw_Data!D123="","",Raw_Data!D123)</f>
        <v/>
      </c>
      <c r="E123" s="13" t="str">
        <f aca="false">IF(UPPER(LEFT(TRIM(Raw_Data!E123),1))="M","Male",IF(UPPER(LEFT(TRIM(Raw_Data!E123),1))="F","Female","Unknown"))</f>
        <v>Male</v>
      </c>
      <c r="F123" s="13" t="str">
        <f aca="false">PROPER(TRIM(SUBSTITUTE(Raw_Data!F123,"'","")))</f>
        <v>Diploma</v>
      </c>
      <c r="G123" s="13" t="str">
        <f aca="false">PROPER(TRIM(Raw_Data!G123))</f>
        <v>Operations</v>
      </c>
      <c r="H123" s="13" t="str">
        <f aca="false">PROPER(TRIM(Raw_Data!H123))</f>
        <v>Analyst</v>
      </c>
      <c r="I123" s="13" t="n">
        <f aca="false">IF(Raw_Data!I123="",DefaultPerf,Raw_Data!I123)</f>
        <v>4</v>
      </c>
      <c r="J123" s="13" t="n">
        <f aca="false">IF(Raw_Data!J123="",DefaultSat,Raw_Data!J123)</f>
        <v>3</v>
      </c>
      <c r="K123" s="15" t="n">
        <f aca="false">Raw_Data!K123</f>
        <v>69500</v>
      </c>
      <c r="L123" s="13" t="str">
        <f aca="false">PROPER(TRIM(Raw_Data!N123))</f>
        <v>No</v>
      </c>
      <c r="M123" s="13" t="n">
        <f aca="false">IF(C123="",0,1)</f>
        <v>1</v>
      </c>
      <c r="N123" s="13" t="str">
        <f aca="false">IF(M123=0,"Active",IF(TRIM(Raw_Data!L123)="","Unknown",PROPER(TRIM(Raw_Data!L123))))</f>
        <v>Voluntary</v>
      </c>
      <c r="O123" s="13" t="str">
        <f aca="false">IF(M123=0,"",IF(TRIM(Raw_Data!M123)="","Not Recorded",TRIM(Raw_Data!M123)))</f>
        <v>Better Compensation</v>
      </c>
      <c r="P123" s="16" t="n">
        <f aca="false">ROUND((IF(C123="",AsOfDate,C123)-B123)/365.25,2)</f>
        <v>11.63</v>
      </c>
      <c r="Q123" s="13" t="str">
        <f aca="false">IF(D123="","Unknown",IF(D123&lt;25,"Under 25",IF(D123&lt;35,"25-34",IF(D123&lt;45,"35-44",IF(D123&lt;55,"45-54","55+")))))</f>
        <v>Unknown</v>
      </c>
      <c r="R123" s="13" t="str">
        <f aca="false">IF(P123&lt;1,"0-1 yrs",IF(P123&lt;3,"1-3 yrs",IF(P123&lt;5,"3-5 yrs",IF(P123&lt;10,"5-10 yrs","10+ yrs"))))</f>
        <v>10+ yrs</v>
      </c>
      <c r="S123" s="13" t="str">
        <f aca="false">IF(I123&gt;=4,"High",IF(I123=3,"Medium","Low"))</f>
        <v>High</v>
      </c>
      <c r="T123" s="13" t="n">
        <f aca="false">IF(M123=1,YEAR(C123),"")</f>
        <v>2024</v>
      </c>
      <c r="U123" s="13" t="str">
        <f aca="false">IF(M123=1,YEAR(C123)&amp;"-Q"&amp;ROUNDUP(MONTH(C123)/3,0),"")</f>
        <v>2024-Q4</v>
      </c>
      <c r="V123" s="13" t="n">
        <f aca="false">IF(M123=1,MONTH(C123),"")</f>
        <v>12</v>
      </c>
    </row>
    <row r="124" customFormat="false" ht="15" hidden="false" customHeight="false" outlineLevel="0" collapsed="false">
      <c r="A124" s="13" t="str">
        <f aca="false">TRIM(Raw_Data!A124)</f>
        <v>EMP0123</v>
      </c>
      <c r="B124" s="14" t="n">
        <f aca="false">Raw_Data!B124</f>
        <v>41405</v>
      </c>
      <c r="C124" s="14" t="str">
        <f aca="false">IF(Raw_Data!C124="","",Raw_Data!C124)</f>
        <v/>
      </c>
      <c r="D124" s="13" t="n">
        <f aca="false">IF(Raw_Data!D124="","",Raw_Data!D124)</f>
        <v>42</v>
      </c>
      <c r="E124" s="13" t="str">
        <f aca="false">IF(UPPER(LEFT(TRIM(Raw_Data!E124),1))="M","Male",IF(UPPER(LEFT(TRIM(Raw_Data!E124),1))="F","Female","Unknown"))</f>
        <v>Female</v>
      </c>
      <c r="F124" s="13" t="str">
        <f aca="false">PROPER(TRIM(SUBSTITUTE(Raw_Data!F124,"'","")))</f>
        <v>Bachelors</v>
      </c>
      <c r="G124" s="13" t="str">
        <f aca="false">PROPER(TRIM(Raw_Data!G124))</f>
        <v>Customer Support</v>
      </c>
      <c r="H124" s="13" t="str">
        <f aca="false">PROPER(TRIM(Raw_Data!H124))</f>
        <v>Analyst</v>
      </c>
      <c r="I124" s="13" t="n">
        <f aca="false">IF(Raw_Data!I124="",DefaultPerf,Raw_Data!I124)</f>
        <v>4</v>
      </c>
      <c r="J124" s="13" t="n">
        <f aca="false">IF(Raw_Data!J124="",DefaultSat,Raw_Data!J124)</f>
        <v>1</v>
      </c>
      <c r="K124" s="15" t="n">
        <f aca="false">Raw_Data!K124</f>
        <v>70000</v>
      </c>
      <c r="L124" s="13" t="str">
        <f aca="false">PROPER(TRIM(Raw_Data!N124))</f>
        <v>No</v>
      </c>
      <c r="M124" s="13" t="n">
        <f aca="false">IF(C124="",0,1)</f>
        <v>0</v>
      </c>
      <c r="N124" s="13" t="str">
        <f aca="false">IF(M124=0,"Active",IF(TRIM(Raw_Data!L124)="","Unknown",PROPER(TRIM(Raw_Data!L124))))</f>
        <v>Active</v>
      </c>
      <c r="O124" s="13" t="str">
        <f aca="false">IF(M124=0,"",IF(TRIM(Raw_Data!M124)="","Not Recorded",TRIM(Raw_Data!M124)))</f>
        <v/>
      </c>
      <c r="P124" s="16" t="n">
        <f aca="false">ROUND((IF(C124="",AsOfDate,C124)-B124)/365.25,2)</f>
        <v>12.64</v>
      </c>
      <c r="Q124" s="13" t="str">
        <f aca="false">IF(D124="","Unknown",IF(D124&lt;25,"Under 25",IF(D124&lt;35,"25-34",IF(D124&lt;45,"35-44",IF(D124&lt;55,"45-54","55+")))))</f>
        <v>35-44</v>
      </c>
      <c r="R124" s="13" t="str">
        <f aca="false">IF(P124&lt;1,"0-1 yrs",IF(P124&lt;3,"1-3 yrs",IF(P124&lt;5,"3-5 yrs",IF(P124&lt;10,"5-10 yrs","10+ yrs"))))</f>
        <v>10+ yrs</v>
      </c>
      <c r="S124" s="13" t="str">
        <f aca="false">IF(I124&gt;=4,"High",IF(I124=3,"Medium","Low"))</f>
        <v>High</v>
      </c>
      <c r="T124" s="13" t="str">
        <f aca="false">IF(M124=1,YEAR(C124),"")</f>
        <v/>
      </c>
      <c r="U124" s="13" t="str">
        <f aca="false">IF(M124=1,YEAR(C124)&amp;"-Q"&amp;ROUNDUP(MONTH(C124)/3,0),"")</f>
        <v/>
      </c>
      <c r="V124" s="13" t="str">
        <f aca="false">IF(M124=1,MONTH(C124),"")</f>
        <v/>
      </c>
    </row>
    <row r="125" customFormat="false" ht="15" hidden="false" customHeight="false" outlineLevel="0" collapsed="false">
      <c r="A125" s="13" t="str">
        <f aca="false">TRIM(Raw_Data!A125)</f>
        <v>EMP0124</v>
      </c>
      <c r="B125" s="14" t="n">
        <f aca="false">Raw_Data!B125</f>
        <v>41405</v>
      </c>
      <c r="C125" s="14" t="n">
        <f aca="false">IF(Raw_Data!C125="","",Raw_Data!C125)</f>
        <v>44707</v>
      </c>
      <c r="D125" s="13" t="n">
        <f aca="false">IF(Raw_Data!D125="","",Raw_Data!D125)</f>
        <v>38</v>
      </c>
      <c r="E125" s="13" t="str">
        <f aca="false">IF(UPPER(LEFT(TRIM(Raw_Data!E125),1))="M","Male",IF(UPPER(LEFT(TRIM(Raw_Data!E125),1))="F","Female","Unknown"))</f>
        <v>Female</v>
      </c>
      <c r="F125" s="13" t="str">
        <f aca="false">PROPER(TRIM(SUBSTITUTE(Raw_Data!F125,"'","")))</f>
        <v>Bachelors</v>
      </c>
      <c r="G125" s="13" t="str">
        <f aca="false">PROPER(TRIM(Raw_Data!G125))</f>
        <v>Customer Support</v>
      </c>
      <c r="H125" s="13" t="str">
        <f aca="false">PROPER(TRIM(Raw_Data!H125))</f>
        <v>Specialist</v>
      </c>
      <c r="I125" s="13" t="n">
        <f aca="false">IF(Raw_Data!I125="",DefaultPerf,Raw_Data!I125)</f>
        <v>3</v>
      </c>
      <c r="J125" s="13" t="n">
        <f aca="false">IF(Raw_Data!J125="",DefaultSat,Raw_Data!J125)</f>
        <v>2</v>
      </c>
      <c r="K125" s="15" t="n">
        <f aca="false">Raw_Data!K125</f>
        <v>111500</v>
      </c>
      <c r="L125" s="13" t="str">
        <f aca="false">PROPER(TRIM(Raw_Data!N125))</f>
        <v>No</v>
      </c>
      <c r="M125" s="13" t="n">
        <f aca="false">IF(C125="",0,1)</f>
        <v>1</v>
      </c>
      <c r="N125" s="13" t="str">
        <f aca="false">IF(M125=0,"Active",IF(TRIM(Raw_Data!L125)="","Unknown",PROPER(TRIM(Raw_Data!L125))))</f>
        <v>Voluntary</v>
      </c>
      <c r="O125" s="13" t="str">
        <f aca="false">IF(M125=0,"",IF(TRIM(Raw_Data!M125)="","Not Recorded",TRIM(Raw_Data!M125)))</f>
        <v>Manager Issues</v>
      </c>
      <c r="P125" s="16" t="n">
        <f aca="false">ROUND((IF(C125="",AsOfDate,C125)-B125)/365.25,2)</f>
        <v>9.04</v>
      </c>
      <c r="Q125" s="13" t="str">
        <f aca="false">IF(D125="","Unknown",IF(D125&lt;25,"Under 25",IF(D125&lt;35,"25-34",IF(D125&lt;45,"35-44",IF(D125&lt;55,"45-54","55+")))))</f>
        <v>35-44</v>
      </c>
      <c r="R125" s="13" t="str">
        <f aca="false">IF(P125&lt;1,"0-1 yrs",IF(P125&lt;3,"1-3 yrs",IF(P125&lt;5,"3-5 yrs",IF(P125&lt;10,"5-10 yrs","10+ yrs"))))</f>
        <v>5-10 yrs</v>
      </c>
      <c r="S125" s="13" t="str">
        <f aca="false">IF(I125&gt;=4,"High",IF(I125=3,"Medium","Low"))</f>
        <v>Medium</v>
      </c>
      <c r="T125" s="13" t="n">
        <f aca="false">IF(M125=1,YEAR(C125),"")</f>
        <v>2022</v>
      </c>
      <c r="U125" s="13" t="str">
        <f aca="false">IF(M125=1,YEAR(C125)&amp;"-Q"&amp;ROUNDUP(MONTH(C125)/3,0),"")</f>
        <v>2022-Q2</v>
      </c>
      <c r="V125" s="13" t="n">
        <f aca="false">IF(M125=1,MONTH(C125),"")</f>
        <v>5</v>
      </c>
    </row>
    <row r="126" customFormat="false" ht="15" hidden="false" customHeight="false" outlineLevel="0" collapsed="false">
      <c r="A126" s="13" t="str">
        <f aca="false">TRIM(Raw_Data!A126)</f>
        <v>EMP0125</v>
      </c>
      <c r="B126" s="14" t="n">
        <f aca="false">Raw_Data!B126</f>
        <v>41415</v>
      </c>
      <c r="C126" s="14" t="str">
        <f aca="false">IF(Raw_Data!C126="","",Raw_Data!C126)</f>
        <v/>
      </c>
      <c r="D126" s="13" t="n">
        <f aca="false">IF(Raw_Data!D126="","",Raw_Data!D126)</f>
        <v>43</v>
      </c>
      <c r="E126" s="13" t="str">
        <f aca="false">IF(UPPER(LEFT(TRIM(Raw_Data!E126),1))="M","Male",IF(UPPER(LEFT(TRIM(Raw_Data!E126),1))="F","Female","Unknown"))</f>
        <v>Male</v>
      </c>
      <c r="F126" s="13" t="str">
        <f aca="false">PROPER(TRIM(SUBSTITUTE(Raw_Data!F126,"'","")))</f>
        <v>Bachelors</v>
      </c>
      <c r="G126" s="13" t="str">
        <f aca="false">PROPER(TRIM(Raw_Data!G126))</f>
        <v>Customer Support</v>
      </c>
      <c r="H126" s="13" t="str">
        <f aca="false">PROPER(TRIM(Raw_Data!H126))</f>
        <v>Team Lead</v>
      </c>
      <c r="I126" s="13" t="n">
        <f aca="false">IF(Raw_Data!I126="",DefaultPerf,Raw_Data!I126)</f>
        <v>4</v>
      </c>
      <c r="J126" s="17" t="n">
        <f aca="false">IF(Raw_Data!J126="",DefaultSat,Raw_Data!J126)</f>
        <v>3</v>
      </c>
      <c r="K126" s="15" t="n">
        <f aca="false">Raw_Data!K126</f>
        <v>187500</v>
      </c>
      <c r="L126" s="13" t="str">
        <f aca="false">PROPER(TRIM(Raw_Data!N126))</f>
        <v>No</v>
      </c>
      <c r="M126" s="13" t="n">
        <f aca="false">IF(C126="",0,1)</f>
        <v>0</v>
      </c>
      <c r="N126" s="13" t="str">
        <f aca="false">IF(M126=0,"Active",IF(TRIM(Raw_Data!L126)="","Unknown",PROPER(TRIM(Raw_Data!L126))))</f>
        <v>Active</v>
      </c>
      <c r="O126" s="13" t="str">
        <f aca="false">IF(M126=0,"",IF(TRIM(Raw_Data!M126)="","Not Recorded",TRIM(Raw_Data!M126)))</f>
        <v/>
      </c>
      <c r="P126" s="16" t="n">
        <f aca="false">ROUND((IF(C126="",AsOfDate,C126)-B126)/365.25,2)</f>
        <v>12.61</v>
      </c>
      <c r="Q126" s="13" t="str">
        <f aca="false">IF(D126="","Unknown",IF(D126&lt;25,"Under 25",IF(D126&lt;35,"25-34",IF(D126&lt;45,"35-44",IF(D126&lt;55,"45-54","55+")))))</f>
        <v>35-44</v>
      </c>
      <c r="R126" s="13" t="str">
        <f aca="false">IF(P126&lt;1,"0-1 yrs",IF(P126&lt;3,"1-3 yrs",IF(P126&lt;5,"3-5 yrs",IF(P126&lt;10,"5-10 yrs","10+ yrs"))))</f>
        <v>10+ yrs</v>
      </c>
      <c r="S126" s="13" t="str">
        <f aca="false">IF(I126&gt;=4,"High",IF(I126=3,"Medium","Low"))</f>
        <v>High</v>
      </c>
      <c r="T126" s="13" t="str">
        <f aca="false">IF(M126=1,YEAR(C126),"")</f>
        <v/>
      </c>
      <c r="U126" s="13" t="str">
        <f aca="false">IF(M126=1,YEAR(C126)&amp;"-Q"&amp;ROUNDUP(MONTH(C126)/3,0),"")</f>
        <v/>
      </c>
      <c r="V126" s="13" t="str">
        <f aca="false">IF(M126=1,MONTH(C126),"")</f>
        <v/>
      </c>
    </row>
    <row r="127" customFormat="false" ht="15" hidden="false" customHeight="false" outlineLevel="0" collapsed="false">
      <c r="A127" s="13" t="str">
        <f aca="false">TRIM(Raw_Data!A127)</f>
        <v>EMP0126</v>
      </c>
      <c r="B127" s="14" t="n">
        <f aca="false">Raw_Data!B127</f>
        <v>41417</v>
      </c>
      <c r="C127" s="14" t="str">
        <f aca="false">IF(Raw_Data!C127="","",Raw_Data!C127)</f>
        <v/>
      </c>
      <c r="D127" s="13" t="n">
        <f aca="false">IF(Raw_Data!D127="","",Raw_Data!D127)</f>
        <v>47</v>
      </c>
      <c r="E127" s="13" t="str">
        <f aca="false">IF(UPPER(LEFT(TRIM(Raw_Data!E127),1))="M","Male",IF(UPPER(LEFT(TRIM(Raw_Data!E127),1))="F","Female","Unknown"))</f>
        <v>Male</v>
      </c>
      <c r="F127" s="13" t="str">
        <f aca="false">PROPER(TRIM(SUBSTITUTE(Raw_Data!F127,"'","")))</f>
        <v>Bachelors</v>
      </c>
      <c r="G127" s="13" t="str">
        <f aca="false">PROPER(TRIM(Raw_Data!G127))</f>
        <v>Customer Support</v>
      </c>
      <c r="H127" s="13" t="str">
        <f aca="false">PROPER(TRIM(Raw_Data!H127))</f>
        <v>Associate</v>
      </c>
      <c r="I127" s="13" t="n">
        <f aca="false">IF(Raw_Data!I127="",DefaultPerf,Raw_Data!I127)</f>
        <v>3</v>
      </c>
      <c r="J127" s="13" t="n">
        <f aca="false">IF(Raw_Data!J127="",DefaultSat,Raw_Data!J127)</f>
        <v>4</v>
      </c>
      <c r="K127" s="15" t="n">
        <f aca="false">Raw_Data!K127</f>
        <v>53500</v>
      </c>
      <c r="L127" s="13" t="str">
        <f aca="false">PROPER(TRIM(Raw_Data!N127))</f>
        <v>No</v>
      </c>
      <c r="M127" s="13" t="n">
        <f aca="false">IF(C127="",0,1)</f>
        <v>0</v>
      </c>
      <c r="N127" s="13" t="str">
        <f aca="false">IF(M127=0,"Active",IF(TRIM(Raw_Data!L127)="","Unknown",PROPER(TRIM(Raw_Data!L127))))</f>
        <v>Active</v>
      </c>
      <c r="O127" s="13" t="str">
        <f aca="false">IF(M127=0,"",IF(TRIM(Raw_Data!M127)="","Not Recorded",TRIM(Raw_Data!M127)))</f>
        <v/>
      </c>
      <c r="P127" s="16" t="n">
        <f aca="false">ROUND((IF(C127="",AsOfDate,C127)-B127)/365.25,2)</f>
        <v>12.61</v>
      </c>
      <c r="Q127" s="13" t="str">
        <f aca="false">IF(D127="","Unknown",IF(D127&lt;25,"Under 25",IF(D127&lt;35,"25-34",IF(D127&lt;45,"35-44",IF(D127&lt;55,"45-54","55+")))))</f>
        <v>45-54</v>
      </c>
      <c r="R127" s="13" t="str">
        <f aca="false">IF(P127&lt;1,"0-1 yrs",IF(P127&lt;3,"1-3 yrs",IF(P127&lt;5,"3-5 yrs",IF(P127&lt;10,"5-10 yrs","10+ yrs"))))</f>
        <v>10+ yrs</v>
      </c>
      <c r="S127" s="13" t="str">
        <f aca="false">IF(I127&gt;=4,"High",IF(I127=3,"Medium","Low"))</f>
        <v>Medium</v>
      </c>
      <c r="T127" s="13" t="str">
        <f aca="false">IF(M127=1,YEAR(C127),"")</f>
        <v/>
      </c>
      <c r="U127" s="13" t="str">
        <f aca="false">IF(M127=1,YEAR(C127)&amp;"-Q"&amp;ROUNDUP(MONTH(C127)/3,0),"")</f>
        <v/>
      </c>
      <c r="V127" s="13" t="str">
        <f aca="false">IF(M127=1,MONTH(C127),"")</f>
        <v/>
      </c>
    </row>
    <row r="128" customFormat="false" ht="15" hidden="false" customHeight="false" outlineLevel="0" collapsed="false">
      <c r="A128" s="13" t="str">
        <f aca="false">TRIM(Raw_Data!A128)</f>
        <v>EMP0127</v>
      </c>
      <c r="B128" s="14" t="n">
        <f aca="false">Raw_Data!B128</f>
        <v>41421</v>
      </c>
      <c r="C128" s="14" t="n">
        <f aca="false">IF(Raw_Data!C128="","",Raw_Data!C128)</f>
        <v>45536</v>
      </c>
      <c r="D128" s="13" t="n">
        <f aca="false">IF(Raw_Data!D128="","",Raw_Data!D128)</f>
        <v>41</v>
      </c>
      <c r="E128" s="13" t="str">
        <f aca="false">IF(UPPER(LEFT(TRIM(Raw_Data!E128),1))="M","Male",IF(UPPER(LEFT(TRIM(Raw_Data!E128),1))="F","Female","Unknown"))</f>
        <v>Female</v>
      </c>
      <c r="F128" s="13" t="str">
        <f aca="false">PROPER(TRIM(SUBSTITUTE(Raw_Data!F128,"'","")))</f>
        <v>Bachelors</v>
      </c>
      <c r="G128" s="13" t="str">
        <f aca="false">PROPER(TRIM(Raw_Data!G128))</f>
        <v>Engineering</v>
      </c>
      <c r="H128" s="13" t="str">
        <f aca="false">PROPER(TRIM(Raw_Data!H128))</f>
        <v>Analyst</v>
      </c>
      <c r="I128" s="13" t="n">
        <f aca="false">IF(Raw_Data!I128="",DefaultPerf,Raw_Data!I128)</f>
        <v>2</v>
      </c>
      <c r="J128" s="13" t="n">
        <f aca="false">IF(Raw_Data!J128="",DefaultSat,Raw_Data!J128)</f>
        <v>3</v>
      </c>
      <c r="K128" s="15" t="n">
        <f aca="false">Raw_Data!K128</f>
        <v>82500</v>
      </c>
      <c r="L128" s="13" t="str">
        <f aca="false">PROPER(TRIM(Raw_Data!N128))</f>
        <v>Yes</v>
      </c>
      <c r="M128" s="13" t="n">
        <f aca="false">IF(C128="",0,1)</f>
        <v>1</v>
      </c>
      <c r="N128" s="13" t="str">
        <f aca="false">IF(M128=0,"Active",IF(TRIM(Raw_Data!L128)="","Unknown",PROPER(TRIM(Raw_Data!L128))))</f>
        <v>Voluntary</v>
      </c>
      <c r="O128" s="13" t="str">
        <f aca="false">IF(M128=0,"",IF(TRIM(Raw_Data!M128)="","Not Recorded",TRIM(Raw_Data!M128)))</f>
        <v>Manager Issues</v>
      </c>
      <c r="P128" s="16" t="n">
        <f aca="false">ROUND((IF(C128="",AsOfDate,C128)-B128)/365.25,2)</f>
        <v>11.27</v>
      </c>
      <c r="Q128" s="13" t="str">
        <f aca="false">IF(D128="","Unknown",IF(D128&lt;25,"Under 25",IF(D128&lt;35,"25-34",IF(D128&lt;45,"35-44",IF(D128&lt;55,"45-54","55+")))))</f>
        <v>35-44</v>
      </c>
      <c r="R128" s="13" t="str">
        <f aca="false">IF(P128&lt;1,"0-1 yrs",IF(P128&lt;3,"1-3 yrs",IF(P128&lt;5,"3-5 yrs",IF(P128&lt;10,"5-10 yrs","10+ yrs"))))</f>
        <v>10+ yrs</v>
      </c>
      <c r="S128" s="13" t="str">
        <f aca="false">IF(I128&gt;=4,"High",IF(I128=3,"Medium","Low"))</f>
        <v>Low</v>
      </c>
      <c r="T128" s="13" t="n">
        <f aca="false">IF(M128=1,YEAR(C128),"")</f>
        <v>2024</v>
      </c>
      <c r="U128" s="13" t="str">
        <f aca="false">IF(M128=1,YEAR(C128)&amp;"-Q"&amp;ROUNDUP(MONTH(C128)/3,0),"")</f>
        <v>2024-Q3</v>
      </c>
      <c r="V128" s="13" t="n">
        <f aca="false">IF(M128=1,MONTH(C128),"")</f>
        <v>9</v>
      </c>
    </row>
    <row r="129" customFormat="false" ht="15" hidden="false" customHeight="false" outlineLevel="0" collapsed="false">
      <c r="A129" s="13" t="str">
        <f aca="false">TRIM(Raw_Data!A129)</f>
        <v>EMP0128</v>
      </c>
      <c r="B129" s="14" t="n">
        <f aca="false">Raw_Data!B129</f>
        <v>41422</v>
      </c>
      <c r="C129" s="14" t="str">
        <f aca="false">IF(Raw_Data!C129="","",Raw_Data!C129)</f>
        <v/>
      </c>
      <c r="D129" s="13" t="n">
        <f aca="false">IF(Raw_Data!D129="","",Raw_Data!D129)</f>
        <v>34</v>
      </c>
      <c r="E129" s="13" t="str">
        <f aca="false">IF(UPPER(LEFT(TRIM(Raw_Data!E129),1))="M","Male",IF(UPPER(LEFT(TRIM(Raw_Data!E129),1))="F","Female","Unknown"))</f>
        <v>Male</v>
      </c>
      <c r="F129" s="13" t="str">
        <f aca="false">PROPER(TRIM(SUBSTITUTE(Raw_Data!F129,"'","")))</f>
        <v>Bachelors</v>
      </c>
      <c r="G129" s="13" t="str">
        <f aca="false">PROPER(TRIM(Raw_Data!G129))</f>
        <v>Customer Support</v>
      </c>
      <c r="H129" s="13" t="str">
        <f aca="false">PROPER(TRIM(Raw_Data!H129))</f>
        <v>Analyst</v>
      </c>
      <c r="I129" s="13" t="n">
        <f aca="false">IF(Raw_Data!I129="",DefaultPerf,Raw_Data!I129)</f>
        <v>3</v>
      </c>
      <c r="J129" s="13" t="n">
        <f aca="false">IF(Raw_Data!J129="",DefaultSat,Raw_Data!J129)</f>
        <v>3</v>
      </c>
      <c r="K129" s="15" t="n">
        <f aca="false">Raw_Data!K129</f>
        <v>70500</v>
      </c>
      <c r="L129" s="13" t="str">
        <f aca="false">PROPER(TRIM(Raw_Data!N129))</f>
        <v>No</v>
      </c>
      <c r="M129" s="13" t="n">
        <f aca="false">IF(C129="",0,1)</f>
        <v>0</v>
      </c>
      <c r="N129" s="13" t="str">
        <f aca="false">IF(M129=0,"Active",IF(TRIM(Raw_Data!L129)="","Unknown",PROPER(TRIM(Raw_Data!L129))))</f>
        <v>Active</v>
      </c>
      <c r="O129" s="13" t="str">
        <f aca="false">IF(M129=0,"",IF(TRIM(Raw_Data!M129)="","Not Recorded",TRIM(Raw_Data!M129)))</f>
        <v/>
      </c>
      <c r="P129" s="16" t="n">
        <f aca="false">ROUND((IF(C129="",AsOfDate,C129)-B129)/365.25,2)</f>
        <v>12.59</v>
      </c>
      <c r="Q129" s="13" t="str">
        <f aca="false">IF(D129="","Unknown",IF(D129&lt;25,"Under 25",IF(D129&lt;35,"25-34",IF(D129&lt;45,"35-44",IF(D129&lt;55,"45-54","55+")))))</f>
        <v>25-34</v>
      </c>
      <c r="R129" s="13" t="str">
        <f aca="false">IF(P129&lt;1,"0-1 yrs",IF(P129&lt;3,"1-3 yrs",IF(P129&lt;5,"3-5 yrs",IF(P129&lt;10,"5-10 yrs","10+ yrs"))))</f>
        <v>10+ yrs</v>
      </c>
      <c r="S129" s="13" t="str">
        <f aca="false">IF(I129&gt;=4,"High",IF(I129=3,"Medium","Low"))</f>
        <v>Medium</v>
      </c>
      <c r="T129" s="13" t="str">
        <f aca="false">IF(M129=1,YEAR(C129),"")</f>
        <v/>
      </c>
      <c r="U129" s="13" t="str">
        <f aca="false">IF(M129=1,YEAR(C129)&amp;"-Q"&amp;ROUNDUP(MONTH(C129)/3,0),"")</f>
        <v/>
      </c>
      <c r="V129" s="13" t="str">
        <f aca="false">IF(M129=1,MONTH(C129),"")</f>
        <v/>
      </c>
    </row>
    <row r="130" customFormat="false" ht="15" hidden="false" customHeight="false" outlineLevel="0" collapsed="false">
      <c r="A130" s="13" t="str">
        <f aca="false">TRIM(Raw_Data!A130)</f>
        <v>EMP0129</v>
      </c>
      <c r="B130" s="14" t="n">
        <f aca="false">Raw_Data!B130</f>
        <v>41426</v>
      </c>
      <c r="C130" s="14" t="n">
        <f aca="false">IF(Raw_Data!C130="","",Raw_Data!C130)</f>
        <v>45770</v>
      </c>
      <c r="D130" s="13" t="n">
        <f aca="false">IF(Raw_Data!D130="","",Raw_Data!D130)</f>
        <v>44</v>
      </c>
      <c r="E130" s="13" t="str">
        <f aca="false">IF(UPPER(LEFT(TRIM(Raw_Data!E130),1))="M","Male",IF(UPPER(LEFT(TRIM(Raw_Data!E130),1))="F","Female","Unknown"))</f>
        <v>Female</v>
      </c>
      <c r="F130" s="13" t="str">
        <f aca="false">PROPER(TRIM(SUBSTITUTE(Raw_Data!F130,"'","")))</f>
        <v>Bachelors</v>
      </c>
      <c r="G130" s="13" t="str">
        <f aca="false">PROPER(TRIM(Raw_Data!G130))</f>
        <v>Engineering</v>
      </c>
      <c r="H130" s="13" t="str">
        <f aca="false">PROPER(TRIM(Raw_Data!H130))</f>
        <v>Associate</v>
      </c>
      <c r="I130" s="13" t="n">
        <f aca="false">IF(Raw_Data!I130="",DefaultPerf,Raw_Data!I130)</f>
        <v>4</v>
      </c>
      <c r="J130" s="13" t="n">
        <f aca="false">IF(Raw_Data!J130="",DefaultSat,Raw_Data!J130)</f>
        <v>4</v>
      </c>
      <c r="K130" s="15" t="n">
        <f aca="false">Raw_Data!K130</f>
        <v>57500</v>
      </c>
      <c r="L130" s="13" t="str">
        <f aca="false">PROPER(TRIM(Raw_Data!N130))</f>
        <v>No</v>
      </c>
      <c r="M130" s="13" t="n">
        <f aca="false">IF(C130="",0,1)</f>
        <v>1</v>
      </c>
      <c r="N130" s="13" t="str">
        <f aca="false">IF(M130=0,"Active",IF(TRIM(Raw_Data!L130)="","Unknown",PROPER(TRIM(Raw_Data!L130))))</f>
        <v>Voluntary</v>
      </c>
      <c r="O130" s="13" t="str">
        <f aca="false">IF(M130=0,"",IF(TRIM(Raw_Data!M130)="","Not Recorded",TRIM(Raw_Data!M130)))</f>
        <v>Personal Reasons</v>
      </c>
      <c r="P130" s="16" t="n">
        <f aca="false">ROUND((IF(C130="",AsOfDate,C130)-B130)/365.25,2)</f>
        <v>11.89</v>
      </c>
      <c r="Q130" s="13" t="str">
        <f aca="false">IF(D130="","Unknown",IF(D130&lt;25,"Under 25",IF(D130&lt;35,"25-34",IF(D130&lt;45,"35-44",IF(D130&lt;55,"45-54","55+")))))</f>
        <v>35-44</v>
      </c>
      <c r="R130" s="13" t="str">
        <f aca="false">IF(P130&lt;1,"0-1 yrs",IF(P130&lt;3,"1-3 yrs",IF(P130&lt;5,"3-5 yrs",IF(P130&lt;10,"5-10 yrs","10+ yrs"))))</f>
        <v>10+ yrs</v>
      </c>
      <c r="S130" s="13" t="str">
        <f aca="false">IF(I130&gt;=4,"High",IF(I130=3,"Medium","Low"))</f>
        <v>High</v>
      </c>
      <c r="T130" s="13" t="n">
        <f aca="false">IF(M130=1,YEAR(C130),"")</f>
        <v>2025</v>
      </c>
      <c r="U130" s="13" t="str">
        <f aca="false">IF(M130=1,YEAR(C130)&amp;"-Q"&amp;ROUNDUP(MONTH(C130)/3,0),"")</f>
        <v>2025-Q2</v>
      </c>
      <c r="V130" s="13" t="n">
        <f aca="false">IF(M130=1,MONTH(C130),"")</f>
        <v>4</v>
      </c>
    </row>
    <row r="131" customFormat="false" ht="15" hidden="false" customHeight="false" outlineLevel="0" collapsed="false">
      <c r="A131" s="13" t="str">
        <f aca="false">TRIM(Raw_Data!A131)</f>
        <v>EMP0130</v>
      </c>
      <c r="B131" s="14" t="n">
        <f aca="false">Raw_Data!B131</f>
        <v>41426</v>
      </c>
      <c r="C131" s="14" t="n">
        <f aca="false">IF(Raw_Data!C131="","",Raw_Data!C131)</f>
        <v>45285</v>
      </c>
      <c r="D131" s="13" t="n">
        <f aca="false">IF(Raw_Data!D131="","",Raw_Data!D131)</f>
        <v>40</v>
      </c>
      <c r="E131" s="13" t="str">
        <f aca="false">IF(UPPER(LEFT(TRIM(Raw_Data!E131),1))="M","Male",IF(UPPER(LEFT(TRIM(Raw_Data!E131),1))="F","Female","Unknown"))</f>
        <v>Female</v>
      </c>
      <c r="F131" s="13" t="str">
        <f aca="false">PROPER(TRIM(SUBSTITUTE(Raw_Data!F131,"'","")))</f>
        <v>Diploma</v>
      </c>
      <c r="G131" s="13" t="str">
        <f aca="false">PROPER(TRIM(Raw_Data!G131))</f>
        <v>Operations</v>
      </c>
      <c r="H131" s="13" t="str">
        <f aca="false">PROPER(TRIM(Raw_Data!H131))</f>
        <v>Associate</v>
      </c>
      <c r="I131" s="17" t="n">
        <f aca="false">IF(Raw_Data!I131="",DefaultPerf,Raw_Data!I131)</f>
        <v>3</v>
      </c>
      <c r="J131" s="13" t="n">
        <f aca="false">IF(Raw_Data!J131="",DefaultSat,Raw_Data!J131)</f>
        <v>1</v>
      </c>
      <c r="K131" s="15" t="n">
        <f aca="false">Raw_Data!K131</f>
        <v>40000</v>
      </c>
      <c r="L131" s="13" t="str">
        <f aca="false">PROPER(TRIM(Raw_Data!N131))</f>
        <v>Yes</v>
      </c>
      <c r="M131" s="13" t="n">
        <f aca="false">IF(C131="",0,1)</f>
        <v>1</v>
      </c>
      <c r="N131" s="13" t="str">
        <f aca="false">IF(M131=0,"Active",IF(TRIM(Raw_Data!L131)="","Unknown",PROPER(TRIM(Raw_Data!L131))))</f>
        <v>Voluntary</v>
      </c>
      <c r="O131" s="13" t="str">
        <f aca="false">IF(M131=0,"",IF(TRIM(Raw_Data!M131)="","Not Recorded",TRIM(Raw_Data!M131)))</f>
        <v>Manager Issues</v>
      </c>
      <c r="P131" s="16" t="n">
        <f aca="false">ROUND((IF(C131="",AsOfDate,C131)-B131)/365.25,2)</f>
        <v>10.57</v>
      </c>
      <c r="Q131" s="13" t="str">
        <f aca="false">IF(D131="","Unknown",IF(D131&lt;25,"Under 25",IF(D131&lt;35,"25-34",IF(D131&lt;45,"35-44",IF(D131&lt;55,"45-54","55+")))))</f>
        <v>35-44</v>
      </c>
      <c r="R131" s="13" t="str">
        <f aca="false">IF(P131&lt;1,"0-1 yrs",IF(P131&lt;3,"1-3 yrs",IF(P131&lt;5,"3-5 yrs",IF(P131&lt;10,"5-10 yrs","10+ yrs"))))</f>
        <v>10+ yrs</v>
      </c>
      <c r="S131" s="13" t="str">
        <f aca="false">IF(I131&gt;=4,"High",IF(I131=3,"Medium","Low"))</f>
        <v>Medium</v>
      </c>
      <c r="T131" s="13" t="n">
        <f aca="false">IF(M131=1,YEAR(C131),"")</f>
        <v>2023</v>
      </c>
      <c r="U131" s="13" t="str">
        <f aca="false">IF(M131=1,YEAR(C131)&amp;"-Q"&amp;ROUNDUP(MONTH(C131)/3,0),"")</f>
        <v>2023-Q4</v>
      </c>
      <c r="V131" s="13" t="n">
        <f aca="false">IF(M131=1,MONTH(C131),"")</f>
        <v>12</v>
      </c>
    </row>
    <row r="132" customFormat="false" ht="15" hidden="false" customHeight="false" outlineLevel="0" collapsed="false">
      <c r="A132" s="13" t="str">
        <f aca="false">TRIM(Raw_Data!A132)</f>
        <v>EMP0131</v>
      </c>
      <c r="B132" s="14" t="n">
        <f aca="false">Raw_Data!B132</f>
        <v>41427</v>
      </c>
      <c r="C132" s="14" t="n">
        <f aca="false">IF(Raw_Data!C132="","",Raw_Data!C132)</f>
        <v>45095</v>
      </c>
      <c r="D132" s="13" t="n">
        <f aca="false">IF(Raw_Data!D132="","",Raw_Data!D132)</f>
        <v>40</v>
      </c>
      <c r="E132" s="13" t="str">
        <f aca="false">IF(UPPER(LEFT(TRIM(Raw_Data!E132),1))="M","Male",IF(UPPER(LEFT(TRIM(Raw_Data!E132),1))="F","Female","Unknown"))</f>
        <v>Male</v>
      </c>
      <c r="F132" s="13" t="str">
        <f aca="false">PROPER(TRIM(SUBSTITUTE(Raw_Data!F132,"'","")))</f>
        <v>Diploma</v>
      </c>
      <c r="G132" s="13" t="str">
        <f aca="false">PROPER(TRIM(Raw_Data!G132))</f>
        <v>Engineering</v>
      </c>
      <c r="H132" s="13" t="str">
        <f aca="false">PROPER(TRIM(Raw_Data!H132))</f>
        <v>Team Lead</v>
      </c>
      <c r="I132" s="13" t="n">
        <f aca="false">IF(Raw_Data!I132="",DefaultPerf,Raw_Data!I132)</f>
        <v>3</v>
      </c>
      <c r="J132" s="13" t="n">
        <f aca="false">IF(Raw_Data!J132="",DefaultSat,Raw_Data!J132)</f>
        <v>2</v>
      </c>
      <c r="K132" s="15" t="n">
        <f aca="false">Raw_Data!K132</f>
        <v>184000</v>
      </c>
      <c r="L132" s="13" t="str">
        <f aca="false">PROPER(TRIM(Raw_Data!N132))</f>
        <v>No</v>
      </c>
      <c r="M132" s="13" t="n">
        <f aca="false">IF(C132="",0,1)</f>
        <v>1</v>
      </c>
      <c r="N132" s="13" t="str">
        <f aca="false">IF(M132=0,"Active",IF(TRIM(Raw_Data!L132)="","Unknown",PROPER(TRIM(Raw_Data!L132))))</f>
        <v>Involuntary</v>
      </c>
      <c r="O132" s="13" t="str">
        <f aca="false">IF(M132=0,"",IF(TRIM(Raw_Data!M132)="","Not Recorded",TRIM(Raw_Data!M132)))</f>
        <v>Restructuring / Layoff</v>
      </c>
      <c r="P132" s="16" t="n">
        <f aca="false">ROUND((IF(C132="",AsOfDate,C132)-B132)/365.25,2)</f>
        <v>10.04</v>
      </c>
      <c r="Q132" s="13" t="str">
        <f aca="false">IF(D132="","Unknown",IF(D132&lt;25,"Under 25",IF(D132&lt;35,"25-34",IF(D132&lt;45,"35-44",IF(D132&lt;55,"45-54","55+")))))</f>
        <v>35-44</v>
      </c>
      <c r="R132" s="13" t="str">
        <f aca="false">IF(P132&lt;1,"0-1 yrs",IF(P132&lt;3,"1-3 yrs",IF(P132&lt;5,"3-5 yrs",IF(P132&lt;10,"5-10 yrs","10+ yrs"))))</f>
        <v>10+ yrs</v>
      </c>
      <c r="S132" s="13" t="str">
        <f aca="false">IF(I132&gt;=4,"High",IF(I132=3,"Medium","Low"))</f>
        <v>Medium</v>
      </c>
      <c r="T132" s="13" t="n">
        <f aca="false">IF(M132=1,YEAR(C132),"")</f>
        <v>2023</v>
      </c>
      <c r="U132" s="13" t="str">
        <f aca="false">IF(M132=1,YEAR(C132)&amp;"-Q"&amp;ROUNDUP(MONTH(C132)/3,0),"")</f>
        <v>2023-Q2</v>
      </c>
      <c r="V132" s="13" t="n">
        <f aca="false">IF(M132=1,MONTH(C132),"")</f>
        <v>6</v>
      </c>
    </row>
    <row r="133" customFormat="false" ht="15" hidden="false" customHeight="false" outlineLevel="0" collapsed="false">
      <c r="A133" s="13" t="str">
        <f aca="false">TRIM(Raw_Data!A133)</f>
        <v>EMP0132</v>
      </c>
      <c r="B133" s="14" t="n">
        <f aca="false">Raw_Data!B133</f>
        <v>41434</v>
      </c>
      <c r="C133" s="14" t="str">
        <f aca="false">IF(Raw_Data!C133="","",Raw_Data!C133)</f>
        <v/>
      </c>
      <c r="D133" s="13" t="n">
        <f aca="false">IF(Raw_Data!D133="","",Raw_Data!D133)</f>
        <v>41</v>
      </c>
      <c r="E133" s="13" t="str">
        <f aca="false">IF(UPPER(LEFT(TRIM(Raw_Data!E133),1))="M","Male",IF(UPPER(LEFT(TRIM(Raw_Data!E133),1))="F","Female","Unknown"))</f>
        <v>Male</v>
      </c>
      <c r="F133" s="13" t="str">
        <f aca="false">PROPER(TRIM(SUBSTITUTE(Raw_Data!F133,"'","")))</f>
        <v>Bachelors</v>
      </c>
      <c r="G133" s="13" t="str">
        <f aca="false">PROPER(TRIM(Raw_Data!G133))</f>
        <v>Sales</v>
      </c>
      <c r="H133" s="13" t="str">
        <f aca="false">PROPER(TRIM(Raw_Data!H133))</f>
        <v>Manager</v>
      </c>
      <c r="I133" s="13" t="n">
        <f aca="false">IF(Raw_Data!I133="",DefaultPerf,Raw_Data!I133)</f>
        <v>5</v>
      </c>
      <c r="J133" s="13" t="n">
        <f aca="false">IF(Raw_Data!J133="",DefaultSat,Raw_Data!J133)</f>
        <v>4</v>
      </c>
      <c r="K133" s="15" t="n">
        <f aca="false">Raw_Data!K133</f>
        <v>257000</v>
      </c>
      <c r="L133" s="13" t="str">
        <f aca="false">PROPER(TRIM(Raw_Data!N133))</f>
        <v>No</v>
      </c>
      <c r="M133" s="13" t="n">
        <f aca="false">IF(C133="",0,1)</f>
        <v>0</v>
      </c>
      <c r="N133" s="13" t="str">
        <f aca="false">IF(M133=0,"Active",IF(TRIM(Raw_Data!L133)="","Unknown",PROPER(TRIM(Raw_Data!L133))))</f>
        <v>Active</v>
      </c>
      <c r="O133" s="13" t="str">
        <f aca="false">IF(M133=0,"",IF(TRIM(Raw_Data!M133)="","Not Recorded",TRIM(Raw_Data!M133)))</f>
        <v/>
      </c>
      <c r="P133" s="16" t="n">
        <f aca="false">ROUND((IF(C133="",AsOfDate,C133)-B133)/365.25,2)</f>
        <v>12.56</v>
      </c>
      <c r="Q133" s="13" t="str">
        <f aca="false">IF(D133="","Unknown",IF(D133&lt;25,"Under 25",IF(D133&lt;35,"25-34",IF(D133&lt;45,"35-44",IF(D133&lt;55,"45-54","55+")))))</f>
        <v>35-44</v>
      </c>
      <c r="R133" s="13" t="str">
        <f aca="false">IF(P133&lt;1,"0-1 yrs",IF(P133&lt;3,"1-3 yrs",IF(P133&lt;5,"3-5 yrs",IF(P133&lt;10,"5-10 yrs","10+ yrs"))))</f>
        <v>10+ yrs</v>
      </c>
      <c r="S133" s="13" t="str">
        <f aca="false">IF(I133&gt;=4,"High",IF(I133=3,"Medium","Low"))</f>
        <v>High</v>
      </c>
      <c r="T133" s="13" t="str">
        <f aca="false">IF(M133=1,YEAR(C133),"")</f>
        <v/>
      </c>
      <c r="U133" s="13" t="str">
        <f aca="false">IF(M133=1,YEAR(C133)&amp;"-Q"&amp;ROUNDUP(MONTH(C133)/3,0),"")</f>
        <v/>
      </c>
      <c r="V133" s="13" t="str">
        <f aca="false">IF(M133=1,MONTH(C133),"")</f>
        <v/>
      </c>
    </row>
    <row r="134" customFormat="false" ht="15" hidden="false" customHeight="false" outlineLevel="0" collapsed="false">
      <c r="A134" s="13" t="str">
        <f aca="false">TRIM(Raw_Data!A134)</f>
        <v>EMP0133</v>
      </c>
      <c r="B134" s="14" t="n">
        <f aca="false">Raw_Data!B134</f>
        <v>41437</v>
      </c>
      <c r="C134" s="14" t="str">
        <f aca="false">IF(Raw_Data!C134="","",Raw_Data!C134)</f>
        <v/>
      </c>
      <c r="D134" s="13" t="n">
        <f aca="false">IF(Raw_Data!D134="","",Raw_Data!D134)</f>
        <v>38</v>
      </c>
      <c r="E134" s="13" t="str">
        <f aca="false">IF(UPPER(LEFT(TRIM(Raw_Data!E134),1))="M","Male",IF(UPPER(LEFT(TRIM(Raw_Data!E134),1))="F","Female","Unknown"))</f>
        <v>Male</v>
      </c>
      <c r="F134" s="13" t="str">
        <f aca="false">PROPER(TRIM(SUBSTITUTE(Raw_Data!F134,"'","")))</f>
        <v>Bachelors</v>
      </c>
      <c r="G134" s="13" t="str">
        <f aca="false">PROPER(TRIM(Raw_Data!G134))</f>
        <v>Operations</v>
      </c>
      <c r="H134" s="13" t="str">
        <f aca="false">PROPER(TRIM(Raw_Data!H134))</f>
        <v>Senior Analyst</v>
      </c>
      <c r="I134" s="13" t="n">
        <f aca="false">IF(Raw_Data!I134="",DefaultPerf,Raw_Data!I134)</f>
        <v>3</v>
      </c>
      <c r="J134" s="13" t="n">
        <f aca="false">IF(Raw_Data!J134="",DefaultSat,Raw_Data!J134)</f>
        <v>3</v>
      </c>
      <c r="K134" s="15" t="n">
        <f aca="false">Raw_Data!K134</f>
        <v>107000</v>
      </c>
      <c r="L134" s="13" t="str">
        <f aca="false">PROPER(TRIM(Raw_Data!N134))</f>
        <v>Yes</v>
      </c>
      <c r="M134" s="13" t="n">
        <f aca="false">IF(C134="",0,1)</f>
        <v>0</v>
      </c>
      <c r="N134" s="13" t="str">
        <f aca="false">IF(M134=0,"Active",IF(TRIM(Raw_Data!L134)="","Unknown",PROPER(TRIM(Raw_Data!L134))))</f>
        <v>Active</v>
      </c>
      <c r="O134" s="13" t="str">
        <f aca="false">IF(M134=0,"",IF(TRIM(Raw_Data!M134)="","Not Recorded",TRIM(Raw_Data!M134)))</f>
        <v/>
      </c>
      <c r="P134" s="16" t="n">
        <f aca="false">ROUND((IF(C134="",AsOfDate,C134)-B134)/365.25,2)</f>
        <v>12.55</v>
      </c>
      <c r="Q134" s="13" t="str">
        <f aca="false">IF(D134="","Unknown",IF(D134&lt;25,"Under 25",IF(D134&lt;35,"25-34",IF(D134&lt;45,"35-44",IF(D134&lt;55,"45-54","55+")))))</f>
        <v>35-44</v>
      </c>
      <c r="R134" s="13" t="str">
        <f aca="false">IF(P134&lt;1,"0-1 yrs",IF(P134&lt;3,"1-3 yrs",IF(P134&lt;5,"3-5 yrs",IF(P134&lt;10,"5-10 yrs","10+ yrs"))))</f>
        <v>10+ yrs</v>
      </c>
      <c r="S134" s="13" t="str">
        <f aca="false">IF(I134&gt;=4,"High",IF(I134=3,"Medium","Low"))</f>
        <v>Medium</v>
      </c>
      <c r="T134" s="13" t="str">
        <f aca="false">IF(M134=1,YEAR(C134),"")</f>
        <v/>
      </c>
      <c r="U134" s="13" t="str">
        <f aca="false">IF(M134=1,YEAR(C134)&amp;"-Q"&amp;ROUNDUP(MONTH(C134)/3,0),"")</f>
        <v/>
      </c>
      <c r="V134" s="13" t="str">
        <f aca="false">IF(M134=1,MONTH(C134),"")</f>
        <v/>
      </c>
    </row>
    <row r="135" customFormat="false" ht="15" hidden="false" customHeight="false" outlineLevel="0" collapsed="false">
      <c r="A135" s="13" t="str">
        <f aca="false">TRIM(Raw_Data!A135)</f>
        <v>EMP0134</v>
      </c>
      <c r="B135" s="14" t="n">
        <f aca="false">Raw_Data!B135</f>
        <v>41440</v>
      </c>
      <c r="C135" s="14" t="str">
        <f aca="false">IF(Raw_Data!C135="","",Raw_Data!C135)</f>
        <v/>
      </c>
      <c r="D135" s="13" t="n">
        <f aca="false">IF(Raw_Data!D135="","",Raw_Data!D135)</f>
        <v>35</v>
      </c>
      <c r="E135" s="13" t="str">
        <f aca="false">IF(UPPER(LEFT(TRIM(Raw_Data!E135),1))="M","Male",IF(UPPER(LEFT(TRIM(Raw_Data!E135),1))="F","Female","Unknown"))</f>
        <v>Male</v>
      </c>
      <c r="F135" s="13" t="str">
        <f aca="false">PROPER(TRIM(SUBSTITUTE(Raw_Data!F135,"'","")))</f>
        <v>Bachelors</v>
      </c>
      <c r="G135" s="13" t="str">
        <f aca="false">PROPER(TRIM(Raw_Data!G135))</f>
        <v>Customer Support</v>
      </c>
      <c r="H135" s="13" t="str">
        <f aca="false">PROPER(TRIM(Raw_Data!H135))</f>
        <v>Associate</v>
      </c>
      <c r="I135" s="13" t="n">
        <f aca="false">IF(Raw_Data!I135="",DefaultPerf,Raw_Data!I135)</f>
        <v>2</v>
      </c>
      <c r="J135" s="13" t="n">
        <f aca="false">IF(Raw_Data!J135="",DefaultSat,Raw_Data!J135)</f>
        <v>1</v>
      </c>
      <c r="K135" s="15" t="n">
        <f aca="false">Raw_Data!K135</f>
        <v>49000</v>
      </c>
      <c r="L135" s="13" t="str">
        <f aca="false">PROPER(TRIM(Raw_Data!N135))</f>
        <v>No</v>
      </c>
      <c r="M135" s="13" t="n">
        <f aca="false">IF(C135="",0,1)</f>
        <v>0</v>
      </c>
      <c r="N135" s="13" t="str">
        <f aca="false">IF(M135=0,"Active",IF(TRIM(Raw_Data!L135)="","Unknown",PROPER(TRIM(Raw_Data!L135))))</f>
        <v>Active</v>
      </c>
      <c r="O135" s="13" t="str">
        <f aca="false">IF(M135=0,"",IF(TRIM(Raw_Data!M135)="","Not Recorded",TRIM(Raw_Data!M135)))</f>
        <v/>
      </c>
      <c r="P135" s="16" t="n">
        <f aca="false">ROUND((IF(C135="",AsOfDate,C135)-B135)/365.25,2)</f>
        <v>12.54</v>
      </c>
      <c r="Q135" s="13" t="str">
        <f aca="false">IF(D135="","Unknown",IF(D135&lt;25,"Under 25",IF(D135&lt;35,"25-34",IF(D135&lt;45,"35-44",IF(D135&lt;55,"45-54","55+")))))</f>
        <v>35-44</v>
      </c>
      <c r="R135" s="13" t="str">
        <f aca="false">IF(P135&lt;1,"0-1 yrs",IF(P135&lt;3,"1-3 yrs",IF(P135&lt;5,"3-5 yrs",IF(P135&lt;10,"5-10 yrs","10+ yrs"))))</f>
        <v>10+ yrs</v>
      </c>
      <c r="S135" s="13" t="str">
        <f aca="false">IF(I135&gt;=4,"High",IF(I135=3,"Medium","Low"))</f>
        <v>Low</v>
      </c>
      <c r="T135" s="13" t="str">
        <f aca="false">IF(M135=1,YEAR(C135),"")</f>
        <v/>
      </c>
      <c r="U135" s="13" t="str">
        <f aca="false">IF(M135=1,YEAR(C135)&amp;"-Q"&amp;ROUNDUP(MONTH(C135)/3,0),"")</f>
        <v/>
      </c>
      <c r="V135" s="13" t="str">
        <f aca="false">IF(M135=1,MONTH(C135),"")</f>
        <v/>
      </c>
    </row>
    <row r="136" customFormat="false" ht="15" hidden="false" customHeight="false" outlineLevel="0" collapsed="false">
      <c r="A136" s="13" t="str">
        <f aca="false">TRIM(Raw_Data!A136)</f>
        <v>EMP0135</v>
      </c>
      <c r="B136" s="14" t="n">
        <f aca="false">Raw_Data!B136</f>
        <v>41443</v>
      </c>
      <c r="C136" s="14" t="str">
        <f aca="false">IF(Raw_Data!C136="","",Raw_Data!C136)</f>
        <v/>
      </c>
      <c r="D136" s="13" t="n">
        <f aca="false">IF(Raw_Data!D136="","",Raw_Data!D136)</f>
        <v>44</v>
      </c>
      <c r="E136" s="13" t="str">
        <f aca="false">IF(UPPER(LEFT(TRIM(Raw_Data!E136),1))="M","Male",IF(UPPER(LEFT(TRIM(Raw_Data!E136),1))="F","Female","Unknown"))</f>
        <v>Female</v>
      </c>
      <c r="F136" s="13" t="str">
        <f aca="false">PROPER(TRIM(SUBSTITUTE(Raw_Data!F136,"'","")))</f>
        <v>Bachelors</v>
      </c>
      <c r="G136" s="13" t="str">
        <f aca="false">PROPER(TRIM(Raw_Data!G136))</f>
        <v>Sales</v>
      </c>
      <c r="H136" s="13" t="str">
        <f aca="false">PROPER(TRIM(Raw_Data!H136))</f>
        <v>Manager</v>
      </c>
      <c r="I136" s="13" t="n">
        <f aca="false">IF(Raw_Data!I136="",DefaultPerf,Raw_Data!I136)</f>
        <v>4</v>
      </c>
      <c r="J136" s="13" t="n">
        <f aca="false">IF(Raw_Data!J136="",DefaultSat,Raw_Data!J136)</f>
        <v>3</v>
      </c>
      <c r="K136" s="15" t="n">
        <f aca="false">Raw_Data!K136</f>
        <v>208000</v>
      </c>
      <c r="L136" s="13" t="str">
        <f aca="false">PROPER(TRIM(Raw_Data!N136))</f>
        <v>No</v>
      </c>
      <c r="M136" s="13" t="n">
        <f aca="false">IF(C136="",0,1)</f>
        <v>0</v>
      </c>
      <c r="N136" s="13" t="str">
        <f aca="false">IF(M136=0,"Active",IF(TRIM(Raw_Data!L136)="","Unknown",PROPER(TRIM(Raw_Data!L136))))</f>
        <v>Active</v>
      </c>
      <c r="O136" s="13" t="str">
        <f aca="false">IF(M136=0,"",IF(TRIM(Raw_Data!M136)="","Not Recorded",TRIM(Raw_Data!M136)))</f>
        <v/>
      </c>
      <c r="P136" s="16" t="n">
        <f aca="false">ROUND((IF(C136="",AsOfDate,C136)-B136)/365.25,2)</f>
        <v>12.54</v>
      </c>
      <c r="Q136" s="13" t="str">
        <f aca="false">IF(D136="","Unknown",IF(D136&lt;25,"Under 25",IF(D136&lt;35,"25-34",IF(D136&lt;45,"35-44",IF(D136&lt;55,"45-54","55+")))))</f>
        <v>35-44</v>
      </c>
      <c r="R136" s="13" t="str">
        <f aca="false">IF(P136&lt;1,"0-1 yrs",IF(P136&lt;3,"1-3 yrs",IF(P136&lt;5,"3-5 yrs",IF(P136&lt;10,"5-10 yrs","10+ yrs"))))</f>
        <v>10+ yrs</v>
      </c>
      <c r="S136" s="13" t="str">
        <f aca="false">IF(I136&gt;=4,"High",IF(I136=3,"Medium","Low"))</f>
        <v>High</v>
      </c>
      <c r="T136" s="13" t="str">
        <f aca="false">IF(M136=1,YEAR(C136),"")</f>
        <v/>
      </c>
      <c r="U136" s="13" t="str">
        <f aca="false">IF(M136=1,YEAR(C136)&amp;"-Q"&amp;ROUNDUP(MONTH(C136)/3,0),"")</f>
        <v/>
      </c>
      <c r="V136" s="13" t="str">
        <f aca="false">IF(M136=1,MONTH(C136),"")</f>
        <v/>
      </c>
    </row>
    <row r="137" customFormat="false" ht="15" hidden="false" customHeight="false" outlineLevel="0" collapsed="false">
      <c r="A137" s="13" t="str">
        <f aca="false">TRIM(Raw_Data!A137)</f>
        <v>EMP0136</v>
      </c>
      <c r="B137" s="14" t="n">
        <f aca="false">Raw_Data!B137</f>
        <v>41448</v>
      </c>
      <c r="C137" s="14" t="str">
        <f aca="false">IF(Raw_Data!C137="","",Raw_Data!C137)</f>
        <v/>
      </c>
      <c r="D137" s="13" t="n">
        <f aca="false">IF(Raw_Data!D137="","",Raw_Data!D137)</f>
        <v>45</v>
      </c>
      <c r="E137" s="13" t="str">
        <f aca="false">IF(UPPER(LEFT(TRIM(Raw_Data!E137),1))="M","Male",IF(UPPER(LEFT(TRIM(Raw_Data!E137),1))="F","Female","Unknown"))</f>
        <v>Male</v>
      </c>
      <c r="F137" s="13" t="str">
        <f aca="false">PROPER(TRIM(SUBSTITUTE(Raw_Data!F137,"'","")))</f>
        <v>Bachelors</v>
      </c>
      <c r="G137" s="13" t="str">
        <f aca="false">PROPER(TRIM(Raw_Data!G137))</f>
        <v>Human Resources</v>
      </c>
      <c r="H137" s="13" t="str">
        <f aca="false">PROPER(TRIM(Raw_Data!H137))</f>
        <v>Analyst</v>
      </c>
      <c r="I137" s="13" t="n">
        <f aca="false">IF(Raw_Data!I137="",DefaultPerf,Raw_Data!I137)</f>
        <v>3</v>
      </c>
      <c r="J137" s="13" t="n">
        <f aca="false">IF(Raw_Data!J137="",DefaultSat,Raw_Data!J137)</f>
        <v>1</v>
      </c>
      <c r="K137" s="15" t="n">
        <f aca="false">Raw_Data!K137</f>
        <v>72500</v>
      </c>
      <c r="L137" s="13" t="str">
        <f aca="false">PROPER(TRIM(Raw_Data!N137))</f>
        <v>No</v>
      </c>
      <c r="M137" s="13" t="n">
        <f aca="false">IF(C137="",0,1)</f>
        <v>0</v>
      </c>
      <c r="N137" s="13" t="str">
        <f aca="false">IF(M137=0,"Active",IF(TRIM(Raw_Data!L137)="","Unknown",PROPER(TRIM(Raw_Data!L137))))</f>
        <v>Active</v>
      </c>
      <c r="O137" s="13" t="str">
        <f aca="false">IF(M137=0,"",IF(TRIM(Raw_Data!M137)="","Not Recorded",TRIM(Raw_Data!M137)))</f>
        <v/>
      </c>
      <c r="P137" s="16" t="n">
        <f aca="false">ROUND((IF(C137="",AsOfDate,C137)-B137)/365.25,2)</f>
        <v>12.52</v>
      </c>
      <c r="Q137" s="13" t="str">
        <f aca="false">IF(D137="","Unknown",IF(D137&lt;25,"Under 25",IF(D137&lt;35,"25-34",IF(D137&lt;45,"35-44",IF(D137&lt;55,"45-54","55+")))))</f>
        <v>45-54</v>
      </c>
      <c r="R137" s="13" t="str">
        <f aca="false">IF(P137&lt;1,"0-1 yrs",IF(P137&lt;3,"1-3 yrs",IF(P137&lt;5,"3-5 yrs",IF(P137&lt;10,"5-10 yrs","10+ yrs"))))</f>
        <v>10+ yrs</v>
      </c>
      <c r="S137" s="13" t="str">
        <f aca="false">IF(I137&gt;=4,"High",IF(I137=3,"Medium","Low"))</f>
        <v>Medium</v>
      </c>
      <c r="T137" s="13" t="str">
        <f aca="false">IF(M137=1,YEAR(C137),"")</f>
        <v/>
      </c>
      <c r="U137" s="13" t="str">
        <f aca="false">IF(M137=1,YEAR(C137)&amp;"-Q"&amp;ROUNDUP(MONTH(C137)/3,0),"")</f>
        <v/>
      </c>
      <c r="V137" s="13" t="str">
        <f aca="false">IF(M137=1,MONTH(C137),"")</f>
        <v/>
      </c>
    </row>
    <row r="138" customFormat="false" ht="15" hidden="false" customHeight="false" outlineLevel="0" collapsed="false">
      <c r="A138" s="13" t="str">
        <f aca="false">TRIM(Raw_Data!A138)</f>
        <v>EMP0137</v>
      </c>
      <c r="B138" s="14" t="n">
        <f aca="false">Raw_Data!B138</f>
        <v>41450</v>
      </c>
      <c r="C138" s="14" t="str">
        <f aca="false">IF(Raw_Data!C138="","",Raw_Data!C138)</f>
        <v/>
      </c>
      <c r="D138" s="13" t="n">
        <f aca="false">IF(Raw_Data!D138="","",Raw_Data!D138)</f>
        <v>34</v>
      </c>
      <c r="E138" s="13" t="str">
        <f aca="false">IF(UPPER(LEFT(TRIM(Raw_Data!E138),1))="M","Male",IF(UPPER(LEFT(TRIM(Raw_Data!E138),1))="F","Female","Unknown"))</f>
        <v>Female</v>
      </c>
      <c r="F138" s="13" t="str">
        <f aca="false">PROPER(TRIM(SUBSTITUTE(Raw_Data!F138,"'","")))</f>
        <v>Bachelors</v>
      </c>
      <c r="G138" s="13" t="str">
        <f aca="false">PROPER(TRIM(Raw_Data!G138))</f>
        <v>Engineering</v>
      </c>
      <c r="H138" s="13" t="str">
        <f aca="false">PROPER(TRIM(Raw_Data!H138))</f>
        <v>Associate</v>
      </c>
      <c r="I138" s="13" t="n">
        <f aca="false">IF(Raw_Data!I138="",DefaultPerf,Raw_Data!I138)</f>
        <v>4</v>
      </c>
      <c r="J138" s="13" t="n">
        <f aca="false">IF(Raw_Data!J138="",DefaultSat,Raw_Data!J138)</f>
        <v>2</v>
      </c>
      <c r="K138" s="15" t="n">
        <f aca="false">Raw_Data!K138</f>
        <v>44500</v>
      </c>
      <c r="L138" s="13" t="str">
        <f aca="false">PROPER(TRIM(Raw_Data!N138))</f>
        <v>No</v>
      </c>
      <c r="M138" s="13" t="n">
        <f aca="false">IF(C138="",0,1)</f>
        <v>0</v>
      </c>
      <c r="N138" s="13" t="str">
        <f aca="false">IF(M138=0,"Active",IF(TRIM(Raw_Data!L138)="","Unknown",PROPER(TRIM(Raw_Data!L138))))</f>
        <v>Active</v>
      </c>
      <c r="O138" s="13" t="str">
        <f aca="false">IF(M138=0,"",IF(TRIM(Raw_Data!M138)="","Not Recorded",TRIM(Raw_Data!M138)))</f>
        <v/>
      </c>
      <c r="P138" s="16" t="n">
        <f aca="false">ROUND((IF(C138="",AsOfDate,C138)-B138)/365.25,2)</f>
        <v>12.52</v>
      </c>
      <c r="Q138" s="13" t="str">
        <f aca="false">IF(D138="","Unknown",IF(D138&lt;25,"Under 25",IF(D138&lt;35,"25-34",IF(D138&lt;45,"35-44",IF(D138&lt;55,"45-54","55+")))))</f>
        <v>25-34</v>
      </c>
      <c r="R138" s="13" t="str">
        <f aca="false">IF(P138&lt;1,"0-1 yrs",IF(P138&lt;3,"1-3 yrs",IF(P138&lt;5,"3-5 yrs",IF(P138&lt;10,"5-10 yrs","10+ yrs"))))</f>
        <v>10+ yrs</v>
      </c>
      <c r="S138" s="13" t="str">
        <f aca="false">IF(I138&gt;=4,"High",IF(I138=3,"Medium","Low"))</f>
        <v>High</v>
      </c>
      <c r="T138" s="13" t="str">
        <f aca="false">IF(M138=1,YEAR(C138),"")</f>
        <v/>
      </c>
      <c r="U138" s="13" t="str">
        <f aca="false">IF(M138=1,YEAR(C138)&amp;"-Q"&amp;ROUNDUP(MONTH(C138)/3,0),"")</f>
        <v/>
      </c>
      <c r="V138" s="13" t="str">
        <f aca="false">IF(M138=1,MONTH(C138),"")</f>
        <v/>
      </c>
    </row>
    <row r="139" customFormat="false" ht="15" hidden="false" customHeight="false" outlineLevel="0" collapsed="false">
      <c r="A139" s="13" t="str">
        <f aca="false">TRIM(Raw_Data!A139)</f>
        <v>EMP0138</v>
      </c>
      <c r="B139" s="14" t="n">
        <f aca="false">Raw_Data!B139</f>
        <v>41454</v>
      </c>
      <c r="C139" s="14" t="str">
        <f aca="false">IF(Raw_Data!C139="","",Raw_Data!C139)</f>
        <v/>
      </c>
      <c r="D139" s="13" t="n">
        <f aca="false">IF(Raw_Data!D139="","",Raw_Data!D139)</f>
        <v>39</v>
      </c>
      <c r="E139" s="13" t="str">
        <f aca="false">IF(UPPER(LEFT(TRIM(Raw_Data!E139),1))="M","Male",IF(UPPER(LEFT(TRIM(Raw_Data!E139),1))="F","Female","Unknown"))</f>
        <v>Male</v>
      </c>
      <c r="F139" s="13" t="str">
        <f aca="false">PROPER(TRIM(SUBSTITUTE(Raw_Data!F139,"'","")))</f>
        <v>Doctorate</v>
      </c>
      <c r="G139" s="13" t="str">
        <f aca="false">PROPER(TRIM(Raw_Data!G139))</f>
        <v>Finance</v>
      </c>
      <c r="H139" s="13" t="str">
        <f aca="false">PROPER(TRIM(Raw_Data!H139))</f>
        <v>Specialist</v>
      </c>
      <c r="I139" s="13" t="n">
        <f aca="false">IF(Raw_Data!I139="",DefaultPerf,Raw_Data!I139)</f>
        <v>3</v>
      </c>
      <c r="J139" s="13" t="n">
        <f aca="false">IF(Raw_Data!J139="",DefaultSat,Raw_Data!J139)</f>
        <v>2</v>
      </c>
      <c r="K139" s="15" t="n">
        <f aca="false">Raw_Data!K139</f>
        <v>139500</v>
      </c>
      <c r="L139" s="13" t="str">
        <f aca="false">PROPER(TRIM(Raw_Data!N139))</f>
        <v>No</v>
      </c>
      <c r="M139" s="13" t="n">
        <f aca="false">IF(C139="",0,1)</f>
        <v>0</v>
      </c>
      <c r="N139" s="13" t="str">
        <f aca="false">IF(M139=0,"Active",IF(TRIM(Raw_Data!L139)="","Unknown",PROPER(TRIM(Raw_Data!L139))))</f>
        <v>Active</v>
      </c>
      <c r="O139" s="13" t="str">
        <f aca="false">IF(M139=0,"",IF(TRIM(Raw_Data!M139)="","Not Recorded",TRIM(Raw_Data!M139)))</f>
        <v/>
      </c>
      <c r="P139" s="16" t="n">
        <f aca="false">ROUND((IF(C139="",AsOfDate,C139)-B139)/365.25,2)</f>
        <v>12.51</v>
      </c>
      <c r="Q139" s="13" t="str">
        <f aca="false">IF(D139="","Unknown",IF(D139&lt;25,"Under 25",IF(D139&lt;35,"25-34",IF(D139&lt;45,"35-44",IF(D139&lt;55,"45-54","55+")))))</f>
        <v>35-44</v>
      </c>
      <c r="R139" s="13" t="str">
        <f aca="false">IF(P139&lt;1,"0-1 yrs",IF(P139&lt;3,"1-3 yrs",IF(P139&lt;5,"3-5 yrs",IF(P139&lt;10,"5-10 yrs","10+ yrs"))))</f>
        <v>10+ yrs</v>
      </c>
      <c r="S139" s="13" t="str">
        <f aca="false">IF(I139&gt;=4,"High",IF(I139=3,"Medium","Low"))</f>
        <v>Medium</v>
      </c>
      <c r="T139" s="13" t="str">
        <f aca="false">IF(M139=1,YEAR(C139),"")</f>
        <v/>
      </c>
      <c r="U139" s="13" t="str">
        <f aca="false">IF(M139=1,YEAR(C139)&amp;"-Q"&amp;ROUNDUP(MONTH(C139)/3,0),"")</f>
        <v/>
      </c>
      <c r="V139" s="13" t="str">
        <f aca="false">IF(M139=1,MONTH(C139),"")</f>
        <v/>
      </c>
    </row>
    <row r="140" customFormat="false" ht="15" hidden="false" customHeight="false" outlineLevel="0" collapsed="false">
      <c r="A140" s="13" t="str">
        <f aca="false">TRIM(Raw_Data!A140)</f>
        <v>EMP0139</v>
      </c>
      <c r="B140" s="14" t="n">
        <f aca="false">Raw_Data!B140</f>
        <v>41454</v>
      </c>
      <c r="C140" s="14" t="str">
        <f aca="false">IF(Raw_Data!C140="","",Raw_Data!C140)</f>
        <v/>
      </c>
      <c r="D140" s="13" t="n">
        <f aca="false">IF(Raw_Data!D140="","",Raw_Data!D140)</f>
        <v>34</v>
      </c>
      <c r="E140" s="13" t="str">
        <f aca="false">IF(UPPER(LEFT(TRIM(Raw_Data!E140),1))="M","Male",IF(UPPER(LEFT(TRIM(Raw_Data!E140),1))="F","Female","Unknown"))</f>
        <v>Female</v>
      </c>
      <c r="F140" s="13" t="str">
        <f aca="false">PROPER(TRIM(SUBSTITUTE(Raw_Data!F140,"'","")))</f>
        <v>Bachelors</v>
      </c>
      <c r="G140" s="13" t="str">
        <f aca="false">PROPER(TRIM(Raw_Data!G140))</f>
        <v>Customer Support</v>
      </c>
      <c r="H140" s="13" t="str">
        <f aca="false">PROPER(TRIM(Raw_Data!H140))</f>
        <v>Specialist</v>
      </c>
      <c r="I140" s="17" t="n">
        <f aca="false">IF(Raw_Data!I140="",DefaultPerf,Raw_Data!I140)</f>
        <v>3</v>
      </c>
      <c r="J140" s="13" t="n">
        <f aca="false">IF(Raw_Data!J140="",DefaultSat,Raw_Data!J140)</f>
        <v>3</v>
      </c>
      <c r="K140" s="15" t="n">
        <f aca="false">Raw_Data!K140</f>
        <v>151000</v>
      </c>
      <c r="L140" s="13" t="str">
        <f aca="false">PROPER(TRIM(Raw_Data!N140))</f>
        <v>No</v>
      </c>
      <c r="M140" s="13" t="n">
        <f aca="false">IF(C140="",0,1)</f>
        <v>0</v>
      </c>
      <c r="N140" s="13" t="str">
        <f aca="false">IF(M140=0,"Active",IF(TRIM(Raw_Data!L140)="","Unknown",PROPER(TRIM(Raw_Data!L140))))</f>
        <v>Active</v>
      </c>
      <c r="O140" s="13" t="str">
        <f aca="false">IF(M140=0,"",IF(TRIM(Raw_Data!M140)="","Not Recorded",TRIM(Raw_Data!M140)))</f>
        <v/>
      </c>
      <c r="P140" s="16" t="n">
        <f aca="false">ROUND((IF(C140="",AsOfDate,C140)-B140)/365.25,2)</f>
        <v>12.51</v>
      </c>
      <c r="Q140" s="13" t="str">
        <f aca="false">IF(D140="","Unknown",IF(D140&lt;25,"Under 25",IF(D140&lt;35,"25-34",IF(D140&lt;45,"35-44",IF(D140&lt;55,"45-54","55+")))))</f>
        <v>25-34</v>
      </c>
      <c r="R140" s="13" t="str">
        <f aca="false">IF(P140&lt;1,"0-1 yrs",IF(P140&lt;3,"1-3 yrs",IF(P140&lt;5,"3-5 yrs",IF(P140&lt;10,"5-10 yrs","10+ yrs"))))</f>
        <v>10+ yrs</v>
      </c>
      <c r="S140" s="13" t="str">
        <f aca="false">IF(I140&gt;=4,"High",IF(I140=3,"Medium","Low"))</f>
        <v>Medium</v>
      </c>
      <c r="T140" s="13" t="str">
        <f aca="false">IF(M140=1,YEAR(C140),"")</f>
        <v/>
      </c>
      <c r="U140" s="13" t="str">
        <f aca="false">IF(M140=1,YEAR(C140)&amp;"-Q"&amp;ROUNDUP(MONTH(C140)/3,0),"")</f>
        <v/>
      </c>
      <c r="V140" s="13" t="str">
        <f aca="false">IF(M140=1,MONTH(C140),"")</f>
        <v/>
      </c>
    </row>
    <row r="141" customFormat="false" ht="15" hidden="false" customHeight="false" outlineLevel="0" collapsed="false">
      <c r="A141" s="13" t="str">
        <f aca="false">TRIM(Raw_Data!A141)</f>
        <v>EMP0140</v>
      </c>
      <c r="B141" s="14" t="n">
        <f aca="false">Raw_Data!B141</f>
        <v>41460</v>
      </c>
      <c r="C141" s="14" t="n">
        <f aca="false">IF(Raw_Data!C141="","",Raw_Data!C141)</f>
        <v>45790</v>
      </c>
      <c r="D141" s="13" t="n">
        <f aca="false">IF(Raw_Data!D141="","",Raw_Data!D141)</f>
        <v>33</v>
      </c>
      <c r="E141" s="13" t="str">
        <f aca="false">IF(UPPER(LEFT(TRIM(Raw_Data!E141),1))="M","Male",IF(UPPER(LEFT(TRIM(Raw_Data!E141),1))="F","Female","Unknown"))</f>
        <v>Male</v>
      </c>
      <c r="F141" s="13" t="str">
        <f aca="false">PROPER(TRIM(SUBSTITUTE(Raw_Data!F141,"'","")))</f>
        <v>Bachelors</v>
      </c>
      <c r="G141" s="13" t="str">
        <f aca="false">PROPER(TRIM(Raw_Data!G141))</f>
        <v>Engineering</v>
      </c>
      <c r="H141" s="13" t="str">
        <f aca="false">PROPER(TRIM(Raw_Data!H141))</f>
        <v>Specialist</v>
      </c>
      <c r="I141" s="13" t="n">
        <f aca="false">IF(Raw_Data!I141="",DefaultPerf,Raw_Data!I141)</f>
        <v>5</v>
      </c>
      <c r="J141" s="13" t="n">
        <f aca="false">IF(Raw_Data!J141="",DefaultSat,Raw_Data!J141)</f>
        <v>4</v>
      </c>
      <c r="K141" s="15" t="n">
        <f aca="false">Raw_Data!K141</f>
        <v>161000</v>
      </c>
      <c r="L141" s="13" t="str">
        <f aca="false">PROPER(TRIM(Raw_Data!N141))</f>
        <v>No</v>
      </c>
      <c r="M141" s="13" t="n">
        <f aca="false">IF(C141="",0,1)</f>
        <v>1</v>
      </c>
      <c r="N141" s="13" t="str">
        <f aca="false">IF(M141=0,"Active",IF(TRIM(Raw_Data!L141)="","Unknown",PROPER(TRIM(Raw_Data!L141))))</f>
        <v>Unknown</v>
      </c>
      <c r="O141" s="13" t="str">
        <f aca="false">IF(M141=0,"",IF(TRIM(Raw_Data!M141)="","Not Recorded",TRIM(Raw_Data!M141)))</f>
        <v>Better Compensation</v>
      </c>
      <c r="P141" s="16" t="n">
        <f aca="false">ROUND((IF(C141="",AsOfDate,C141)-B141)/365.25,2)</f>
        <v>11.85</v>
      </c>
      <c r="Q141" s="13" t="str">
        <f aca="false">IF(D141="","Unknown",IF(D141&lt;25,"Under 25",IF(D141&lt;35,"25-34",IF(D141&lt;45,"35-44",IF(D141&lt;55,"45-54","55+")))))</f>
        <v>25-34</v>
      </c>
      <c r="R141" s="13" t="str">
        <f aca="false">IF(P141&lt;1,"0-1 yrs",IF(P141&lt;3,"1-3 yrs",IF(P141&lt;5,"3-5 yrs",IF(P141&lt;10,"5-10 yrs","10+ yrs"))))</f>
        <v>10+ yrs</v>
      </c>
      <c r="S141" s="13" t="str">
        <f aca="false">IF(I141&gt;=4,"High",IF(I141=3,"Medium","Low"))</f>
        <v>High</v>
      </c>
      <c r="T141" s="13" t="n">
        <f aca="false">IF(M141=1,YEAR(C141),"")</f>
        <v>2025</v>
      </c>
      <c r="U141" s="13" t="str">
        <f aca="false">IF(M141=1,YEAR(C141)&amp;"-Q"&amp;ROUNDUP(MONTH(C141)/3,0),"")</f>
        <v>2025-Q2</v>
      </c>
      <c r="V141" s="13" t="n">
        <f aca="false">IF(M141=1,MONTH(C141),"")</f>
        <v>5</v>
      </c>
    </row>
    <row r="142" customFormat="false" ht="15" hidden="false" customHeight="false" outlineLevel="0" collapsed="false">
      <c r="A142" s="13" t="str">
        <f aca="false">TRIM(Raw_Data!A142)</f>
        <v>EMP0141</v>
      </c>
      <c r="B142" s="14" t="n">
        <f aca="false">Raw_Data!B142</f>
        <v>41469</v>
      </c>
      <c r="C142" s="14" t="n">
        <f aca="false">IF(Raw_Data!C142="","",Raw_Data!C142)</f>
        <v>45074</v>
      </c>
      <c r="D142" s="13" t="n">
        <f aca="false">IF(Raw_Data!D142="","",Raw_Data!D142)</f>
        <v>43</v>
      </c>
      <c r="E142" s="13" t="str">
        <f aca="false">IF(UPPER(LEFT(TRIM(Raw_Data!E142),1))="M","Male",IF(UPPER(LEFT(TRIM(Raw_Data!E142),1))="F","Female","Unknown"))</f>
        <v>Female</v>
      </c>
      <c r="F142" s="13" t="str">
        <f aca="false">PROPER(TRIM(SUBSTITUTE(Raw_Data!F142,"'","")))</f>
        <v>Bachelors</v>
      </c>
      <c r="G142" s="13" t="str">
        <f aca="false">PROPER(TRIM(Raw_Data!G142))</f>
        <v>Customer Support</v>
      </c>
      <c r="H142" s="13" t="str">
        <f aca="false">PROPER(TRIM(Raw_Data!H142))</f>
        <v>Analyst</v>
      </c>
      <c r="I142" s="13" t="n">
        <f aca="false">IF(Raw_Data!I142="",DefaultPerf,Raw_Data!I142)</f>
        <v>2</v>
      </c>
      <c r="J142" s="13" t="n">
        <f aca="false">IF(Raw_Data!J142="",DefaultSat,Raw_Data!J142)</f>
        <v>3</v>
      </c>
      <c r="K142" s="15" t="n">
        <f aca="false">Raw_Data!K142</f>
        <v>65500</v>
      </c>
      <c r="L142" s="13" t="str">
        <f aca="false">PROPER(TRIM(Raw_Data!N142))</f>
        <v>Yes</v>
      </c>
      <c r="M142" s="13" t="n">
        <f aca="false">IF(C142="",0,1)</f>
        <v>1</v>
      </c>
      <c r="N142" s="13" t="str">
        <f aca="false">IF(M142=0,"Active",IF(TRIM(Raw_Data!L142)="","Unknown",PROPER(TRIM(Raw_Data!L142))))</f>
        <v>Voluntary</v>
      </c>
      <c r="O142" s="13" t="str">
        <f aca="false">IF(M142=0,"",IF(TRIM(Raw_Data!M142)="","Not Recorded",TRIM(Raw_Data!M142)))</f>
        <v>Further Studies</v>
      </c>
      <c r="P142" s="16" t="n">
        <f aca="false">ROUND((IF(C142="",AsOfDate,C142)-B142)/365.25,2)</f>
        <v>9.87</v>
      </c>
      <c r="Q142" s="13" t="str">
        <f aca="false">IF(D142="","Unknown",IF(D142&lt;25,"Under 25",IF(D142&lt;35,"25-34",IF(D142&lt;45,"35-44",IF(D142&lt;55,"45-54","55+")))))</f>
        <v>35-44</v>
      </c>
      <c r="R142" s="13" t="str">
        <f aca="false">IF(P142&lt;1,"0-1 yrs",IF(P142&lt;3,"1-3 yrs",IF(P142&lt;5,"3-5 yrs",IF(P142&lt;10,"5-10 yrs","10+ yrs"))))</f>
        <v>5-10 yrs</v>
      </c>
      <c r="S142" s="13" t="str">
        <f aca="false">IF(I142&gt;=4,"High",IF(I142=3,"Medium","Low"))</f>
        <v>Low</v>
      </c>
      <c r="T142" s="13" t="n">
        <f aca="false">IF(M142=1,YEAR(C142),"")</f>
        <v>2023</v>
      </c>
      <c r="U142" s="13" t="str">
        <f aca="false">IF(M142=1,YEAR(C142)&amp;"-Q"&amp;ROUNDUP(MONTH(C142)/3,0),"")</f>
        <v>2023-Q2</v>
      </c>
      <c r="V142" s="13" t="n">
        <f aca="false">IF(M142=1,MONTH(C142),"")</f>
        <v>5</v>
      </c>
    </row>
    <row r="143" customFormat="false" ht="15" hidden="false" customHeight="false" outlineLevel="0" collapsed="false">
      <c r="A143" s="13" t="str">
        <f aca="false">TRIM(Raw_Data!A143)</f>
        <v>EMP0142</v>
      </c>
      <c r="B143" s="14" t="n">
        <f aca="false">Raw_Data!B143</f>
        <v>41469</v>
      </c>
      <c r="C143" s="14" t="n">
        <f aca="false">IF(Raw_Data!C143="","",Raw_Data!C143)</f>
        <v>45375</v>
      </c>
      <c r="D143" s="13" t="n">
        <f aca="false">IF(Raw_Data!D143="","",Raw_Data!D143)</f>
        <v>39</v>
      </c>
      <c r="E143" s="13" t="str">
        <f aca="false">IF(UPPER(LEFT(TRIM(Raw_Data!E143),1))="M","Male",IF(UPPER(LEFT(TRIM(Raw_Data!E143),1))="F","Female","Unknown"))</f>
        <v>Male</v>
      </c>
      <c r="F143" s="13" t="str">
        <f aca="false">PROPER(TRIM(SUBSTITUTE(Raw_Data!F143,"'","")))</f>
        <v>High School</v>
      </c>
      <c r="G143" s="13" t="str">
        <f aca="false">PROPER(TRIM(Raw_Data!G143))</f>
        <v>Engineering</v>
      </c>
      <c r="H143" s="13" t="str">
        <f aca="false">PROPER(TRIM(Raw_Data!H143))</f>
        <v>Analyst</v>
      </c>
      <c r="I143" s="13" t="n">
        <f aca="false">IF(Raw_Data!I143="",DefaultPerf,Raw_Data!I143)</f>
        <v>3</v>
      </c>
      <c r="J143" s="13" t="n">
        <f aca="false">IF(Raw_Data!J143="",DefaultSat,Raw_Data!J143)</f>
        <v>3</v>
      </c>
      <c r="K143" s="15" t="n">
        <f aca="false">Raw_Data!K143</f>
        <v>80000</v>
      </c>
      <c r="L143" s="13" t="str">
        <f aca="false">PROPER(TRIM(Raw_Data!N143))</f>
        <v>Yes</v>
      </c>
      <c r="M143" s="13" t="n">
        <f aca="false">IF(C143="",0,1)</f>
        <v>1</v>
      </c>
      <c r="N143" s="13" t="str">
        <f aca="false">IF(M143=0,"Active",IF(TRIM(Raw_Data!L143)="","Unknown",PROPER(TRIM(Raw_Data!L143))))</f>
        <v>Voluntary</v>
      </c>
      <c r="O143" s="13" t="str">
        <f aca="false">IF(M143=0,"",IF(TRIM(Raw_Data!M143)="","Not Recorded",TRIM(Raw_Data!M143)))</f>
        <v>Personal Reasons</v>
      </c>
      <c r="P143" s="16" t="n">
        <f aca="false">ROUND((IF(C143="",AsOfDate,C143)-B143)/365.25,2)</f>
        <v>10.69</v>
      </c>
      <c r="Q143" s="13" t="str">
        <f aca="false">IF(D143="","Unknown",IF(D143&lt;25,"Under 25",IF(D143&lt;35,"25-34",IF(D143&lt;45,"35-44",IF(D143&lt;55,"45-54","55+")))))</f>
        <v>35-44</v>
      </c>
      <c r="R143" s="13" t="str">
        <f aca="false">IF(P143&lt;1,"0-1 yrs",IF(P143&lt;3,"1-3 yrs",IF(P143&lt;5,"3-5 yrs",IF(P143&lt;10,"5-10 yrs","10+ yrs"))))</f>
        <v>10+ yrs</v>
      </c>
      <c r="S143" s="13" t="str">
        <f aca="false">IF(I143&gt;=4,"High",IF(I143=3,"Medium","Low"))</f>
        <v>Medium</v>
      </c>
      <c r="T143" s="13" t="n">
        <f aca="false">IF(M143=1,YEAR(C143),"")</f>
        <v>2024</v>
      </c>
      <c r="U143" s="13" t="str">
        <f aca="false">IF(M143=1,YEAR(C143)&amp;"-Q"&amp;ROUNDUP(MONTH(C143)/3,0),"")</f>
        <v>2024-Q1</v>
      </c>
      <c r="V143" s="13" t="n">
        <f aca="false">IF(M143=1,MONTH(C143),"")</f>
        <v>3</v>
      </c>
    </row>
    <row r="144" customFormat="false" ht="15" hidden="false" customHeight="false" outlineLevel="0" collapsed="false">
      <c r="A144" s="13" t="str">
        <f aca="false">TRIM(Raw_Data!A144)</f>
        <v>EMP0143</v>
      </c>
      <c r="B144" s="14" t="n">
        <f aca="false">Raw_Data!B144</f>
        <v>41470</v>
      </c>
      <c r="C144" s="14" t="str">
        <f aca="false">IF(Raw_Data!C144="","",Raw_Data!C144)</f>
        <v/>
      </c>
      <c r="D144" s="13" t="n">
        <f aca="false">IF(Raw_Data!D144="","",Raw_Data!D144)</f>
        <v>49</v>
      </c>
      <c r="E144" s="13" t="str">
        <f aca="false">IF(UPPER(LEFT(TRIM(Raw_Data!E144),1))="M","Male",IF(UPPER(LEFT(TRIM(Raw_Data!E144),1))="F","Female","Unknown"))</f>
        <v>Male</v>
      </c>
      <c r="F144" s="13" t="str">
        <f aca="false">PROPER(TRIM(SUBSTITUTE(Raw_Data!F144,"'","")))</f>
        <v>Doctorate</v>
      </c>
      <c r="G144" s="13" t="str">
        <f aca="false">PROPER(TRIM(Raw_Data!G144))</f>
        <v>Sales</v>
      </c>
      <c r="H144" s="13" t="str">
        <f aca="false">PROPER(TRIM(Raw_Data!H144))</f>
        <v>Associate</v>
      </c>
      <c r="I144" s="13" t="n">
        <f aca="false">IF(Raw_Data!I144="",DefaultPerf,Raw_Data!I144)</f>
        <v>3</v>
      </c>
      <c r="J144" s="13" t="n">
        <f aca="false">IF(Raw_Data!J144="",DefaultSat,Raw_Data!J144)</f>
        <v>4</v>
      </c>
      <c r="K144" s="15" t="n">
        <f aca="false">Raw_Data!K144</f>
        <v>47000</v>
      </c>
      <c r="L144" s="13" t="str">
        <f aca="false">PROPER(TRIM(Raw_Data!N144))</f>
        <v>No</v>
      </c>
      <c r="M144" s="13" t="n">
        <f aca="false">IF(C144="",0,1)</f>
        <v>0</v>
      </c>
      <c r="N144" s="13" t="str">
        <f aca="false">IF(M144=0,"Active",IF(TRIM(Raw_Data!L144)="","Unknown",PROPER(TRIM(Raw_Data!L144))))</f>
        <v>Active</v>
      </c>
      <c r="O144" s="13" t="str">
        <f aca="false">IF(M144=0,"",IF(TRIM(Raw_Data!M144)="","Not Recorded",TRIM(Raw_Data!M144)))</f>
        <v/>
      </c>
      <c r="P144" s="16" t="n">
        <f aca="false">ROUND((IF(C144="",AsOfDate,C144)-B144)/365.25,2)</f>
        <v>12.46</v>
      </c>
      <c r="Q144" s="13" t="str">
        <f aca="false">IF(D144="","Unknown",IF(D144&lt;25,"Under 25",IF(D144&lt;35,"25-34",IF(D144&lt;45,"35-44",IF(D144&lt;55,"45-54","55+")))))</f>
        <v>45-54</v>
      </c>
      <c r="R144" s="13" t="str">
        <f aca="false">IF(P144&lt;1,"0-1 yrs",IF(P144&lt;3,"1-3 yrs",IF(P144&lt;5,"3-5 yrs",IF(P144&lt;10,"5-10 yrs","10+ yrs"))))</f>
        <v>10+ yrs</v>
      </c>
      <c r="S144" s="13" t="str">
        <f aca="false">IF(I144&gt;=4,"High",IF(I144=3,"Medium","Low"))</f>
        <v>Medium</v>
      </c>
      <c r="T144" s="13" t="str">
        <f aca="false">IF(M144=1,YEAR(C144),"")</f>
        <v/>
      </c>
      <c r="U144" s="13" t="str">
        <f aca="false">IF(M144=1,YEAR(C144)&amp;"-Q"&amp;ROUNDUP(MONTH(C144)/3,0),"")</f>
        <v/>
      </c>
      <c r="V144" s="13" t="str">
        <f aca="false">IF(M144=1,MONTH(C144),"")</f>
        <v/>
      </c>
    </row>
    <row r="145" customFormat="false" ht="15" hidden="false" customHeight="false" outlineLevel="0" collapsed="false">
      <c r="A145" s="13" t="str">
        <f aca="false">TRIM(Raw_Data!A145)</f>
        <v>EMP0144</v>
      </c>
      <c r="B145" s="14" t="n">
        <f aca="false">Raw_Data!B145</f>
        <v>41473</v>
      </c>
      <c r="C145" s="14" t="n">
        <f aca="false">IF(Raw_Data!C145="","",Raw_Data!C145)</f>
        <v>45048</v>
      </c>
      <c r="D145" s="13" t="n">
        <f aca="false">IF(Raw_Data!D145="","",Raw_Data!D145)</f>
        <v>31</v>
      </c>
      <c r="E145" s="13" t="str">
        <f aca="false">IF(UPPER(LEFT(TRIM(Raw_Data!E145),1))="M","Male",IF(UPPER(LEFT(TRIM(Raw_Data!E145),1))="F","Female","Unknown"))</f>
        <v>Female</v>
      </c>
      <c r="F145" s="13" t="str">
        <f aca="false">PROPER(TRIM(SUBSTITUTE(Raw_Data!F145,"'","")))</f>
        <v>Masters</v>
      </c>
      <c r="G145" s="13" t="str">
        <f aca="false">PROPER(TRIM(Raw_Data!G145))</f>
        <v>Operations</v>
      </c>
      <c r="H145" s="13" t="str">
        <f aca="false">PROPER(TRIM(Raw_Data!H145))</f>
        <v>Senior Analyst</v>
      </c>
      <c r="I145" s="13" t="n">
        <f aca="false">IF(Raw_Data!I145="",DefaultPerf,Raw_Data!I145)</f>
        <v>1</v>
      </c>
      <c r="J145" s="13" t="n">
        <f aca="false">IF(Raw_Data!J145="",DefaultSat,Raw_Data!J145)</f>
        <v>3</v>
      </c>
      <c r="K145" s="15" t="n">
        <f aca="false">Raw_Data!K145</f>
        <v>121000</v>
      </c>
      <c r="L145" s="13" t="str">
        <f aca="false">PROPER(TRIM(Raw_Data!N145))</f>
        <v>No</v>
      </c>
      <c r="M145" s="13" t="n">
        <f aca="false">IF(C145="",0,1)</f>
        <v>1</v>
      </c>
      <c r="N145" s="13" t="str">
        <f aca="false">IF(M145=0,"Active",IF(TRIM(Raw_Data!L145)="","Unknown",PROPER(TRIM(Raw_Data!L145))))</f>
        <v>Involuntary</v>
      </c>
      <c r="O145" s="13" t="str">
        <f aca="false">IF(M145=0,"",IF(TRIM(Raw_Data!M145)="","Not Recorded",TRIM(Raw_Data!M145)))</f>
        <v>Not Recorded</v>
      </c>
      <c r="P145" s="16" t="n">
        <f aca="false">ROUND((IF(C145="",AsOfDate,C145)-B145)/365.25,2)</f>
        <v>9.79</v>
      </c>
      <c r="Q145" s="13" t="str">
        <f aca="false">IF(D145="","Unknown",IF(D145&lt;25,"Under 25",IF(D145&lt;35,"25-34",IF(D145&lt;45,"35-44",IF(D145&lt;55,"45-54","55+")))))</f>
        <v>25-34</v>
      </c>
      <c r="R145" s="13" t="str">
        <f aca="false">IF(P145&lt;1,"0-1 yrs",IF(P145&lt;3,"1-3 yrs",IF(P145&lt;5,"3-5 yrs",IF(P145&lt;10,"5-10 yrs","10+ yrs"))))</f>
        <v>5-10 yrs</v>
      </c>
      <c r="S145" s="13" t="str">
        <f aca="false">IF(I145&gt;=4,"High",IF(I145=3,"Medium","Low"))</f>
        <v>Low</v>
      </c>
      <c r="T145" s="13" t="n">
        <f aca="false">IF(M145=1,YEAR(C145),"")</f>
        <v>2023</v>
      </c>
      <c r="U145" s="13" t="str">
        <f aca="false">IF(M145=1,YEAR(C145)&amp;"-Q"&amp;ROUNDUP(MONTH(C145)/3,0),"")</f>
        <v>2023-Q2</v>
      </c>
      <c r="V145" s="13" t="n">
        <f aca="false">IF(M145=1,MONTH(C145),"")</f>
        <v>5</v>
      </c>
    </row>
    <row r="146" customFormat="false" ht="15" hidden="false" customHeight="false" outlineLevel="0" collapsed="false">
      <c r="A146" s="13" t="str">
        <f aca="false">TRIM(Raw_Data!A146)</f>
        <v>EMP0145</v>
      </c>
      <c r="B146" s="14" t="n">
        <f aca="false">Raw_Data!B146</f>
        <v>41478</v>
      </c>
      <c r="C146" s="14" t="n">
        <f aca="false">IF(Raw_Data!C146="","",Raw_Data!C146)</f>
        <v>45820</v>
      </c>
      <c r="D146" s="13" t="n">
        <f aca="false">IF(Raw_Data!D146="","",Raw_Data!D146)</f>
        <v>41</v>
      </c>
      <c r="E146" s="13" t="str">
        <f aca="false">IF(UPPER(LEFT(TRIM(Raw_Data!E146),1))="M","Male",IF(UPPER(LEFT(TRIM(Raw_Data!E146),1))="F","Female","Unknown"))</f>
        <v>Female</v>
      </c>
      <c r="F146" s="13" t="str">
        <f aca="false">PROPER(TRIM(SUBSTITUTE(Raw_Data!F146,"'","")))</f>
        <v>Doctorate</v>
      </c>
      <c r="G146" s="13" t="str">
        <f aca="false">PROPER(TRIM(Raw_Data!G146))</f>
        <v>Engineering</v>
      </c>
      <c r="H146" s="13" t="str">
        <f aca="false">PROPER(TRIM(Raw_Data!H146))</f>
        <v>Analyst</v>
      </c>
      <c r="I146" s="13" t="n">
        <f aca="false">IF(Raw_Data!I146="",DefaultPerf,Raw_Data!I146)</f>
        <v>3</v>
      </c>
      <c r="J146" s="13" t="n">
        <f aca="false">IF(Raw_Data!J146="",DefaultSat,Raw_Data!J146)</f>
        <v>2</v>
      </c>
      <c r="K146" s="15" t="n">
        <f aca="false">Raw_Data!K146</f>
        <v>64500</v>
      </c>
      <c r="L146" s="13" t="str">
        <f aca="false">PROPER(TRIM(Raw_Data!N146))</f>
        <v>No</v>
      </c>
      <c r="M146" s="13" t="n">
        <f aca="false">IF(C146="",0,1)</f>
        <v>1</v>
      </c>
      <c r="N146" s="13" t="str">
        <f aca="false">IF(M146=0,"Active",IF(TRIM(Raw_Data!L146)="","Unknown",PROPER(TRIM(Raw_Data!L146))))</f>
        <v>Voluntary</v>
      </c>
      <c r="O146" s="13" t="str">
        <f aca="false">IF(M146=0,"",IF(TRIM(Raw_Data!M146)="","Not Recorded",TRIM(Raw_Data!M146)))</f>
        <v>Better Compensation</v>
      </c>
      <c r="P146" s="16" t="n">
        <f aca="false">ROUND((IF(C146="",AsOfDate,C146)-B146)/365.25,2)</f>
        <v>11.89</v>
      </c>
      <c r="Q146" s="13" t="str">
        <f aca="false">IF(D146="","Unknown",IF(D146&lt;25,"Under 25",IF(D146&lt;35,"25-34",IF(D146&lt;45,"35-44",IF(D146&lt;55,"45-54","55+")))))</f>
        <v>35-44</v>
      </c>
      <c r="R146" s="13" t="str">
        <f aca="false">IF(P146&lt;1,"0-1 yrs",IF(P146&lt;3,"1-3 yrs",IF(P146&lt;5,"3-5 yrs",IF(P146&lt;10,"5-10 yrs","10+ yrs"))))</f>
        <v>10+ yrs</v>
      </c>
      <c r="S146" s="13" t="str">
        <f aca="false">IF(I146&gt;=4,"High",IF(I146=3,"Medium","Low"))</f>
        <v>Medium</v>
      </c>
      <c r="T146" s="13" t="n">
        <f aca="false">IF(M146=1,YEAR(C146),"")</f>
        <v>2025</v>
      </c>
      <c r="U146" s="13" t="str">
        <f aca="false">IF(M146=1,YEAR(C146)&amp;"-Q"&amp;ROUNDUP(MONTH(C146)/3,0),"")</f>
        <v>2025-Q2</v>
      </c>
      <c r="V146" s="13" t="n">
        <f aca="false">IF(M146=1,MONTH(C146),"")</f>
        <v>6</v>
      </c>
    </row>
    <row r="147" customFormat="false" ht="15" hidden="false" customHeight="false" outlineLevel="0" collapsed="false">
      <c r="A147" s="13" t="str">
        <f aca="false">TRIM(Raw_Data!A147)</f>
        <v>EMP0146</v>
      </c>
      <c r="B147" s="14" t="n">
        <f aca="false">Raw_Data!B147</f>
        <v>41483</v>
      </c>
      <c r="C147" s="14" t="str">
        <f aca="false">IF(Raw_Data!C147="","",Raw_Data!C147)</f>
        <v/>
      </c>
      <c r="D147" s="13" t="n">
        <f aca="false">IF(Raw_Data!D147="","",Raw_Data!D147)</f>
        <v>46</v>
      </c>
      <c r="E147" s="13" t="str">
        <f aca="false">IF(UPPER(LEFT(TRIM(Raw_Data!E147),1))="M","Male",IF(UPPER(LEFT(TRIM(Raw_Data!E147),1))="F","Female","Unknown"))</f>
        <v>Male</v>
      </c>
      <c r="F147" s="13" t="str">
        <f aca="false">PROPER(TRIM(SUBSTITUTE(Raw_Data!F147,"'","")))</f>
        <v>Bachelors</v>
      </c>
      <c r="G147" s="13" t="str">
        <f aca="false">PROPER(TRIM(Raw_Data!G147))</f>
        <v>Engineering</v>
      </c>
      <c r="H147" s="13" t="str">
        <f aca="false">PROPER(TRIM(Raw_Data!H147))</f>
        <v>Specialist</v>
      </c>
      <c r="I147" s="13" t="n">
        <f aca="false">IF(Raw_Data!I147="",DefaultPerf,Raw_Data!I147)</f>
        <v>4</v>
      </c>
      <c r="J147" s="13" t="n">
        <f aca="false">IF(Raw_Data!J147="",DefaultSat,Raw_Data!J147)</f>
        <v>4</v>
      </c>
      <c r="K147" s="15" t="n">
        <f aca="false">Raw_Data!K147</f>
        <v>106000</v>
      </c>
      <c r="L147" s="13" t="str">
        <f aca="false">PROPER(TRIM(Raw_Data!N147))</f>
        <v>Yes</v>
      </c>
      <c r="M147" s="13" t="n">
        <f aca="false">IF(C147="",0,1)</f>
        <v>0</v>
      </c>
      <c r="N147" s="13" t="str">
        <f aca="false">IF(M147=0,"Active",IF(TRIM(Raw_Data!L147)="","Unknown",PROPER(TRIM(Raw_Data!L147))))</f>
        <v>Active</v>
      </c>
      <c r="O147" s="13" t="str">
        <f aca="false">IF(M147=0,"",IF(TRIM(Raw_Data!M147)="","Not Recorded",TRIM(Raw_Data!M147)))</f>
        <v/>
      </c>
      <c r="P147" s="16" t="n">
        <f aca="false">ROUND((IF(C147="",AsOfDate,C147)-B147)/365.25,2)</f>
        <v>12.43</v>
      </c>
      <c r="Q147" s="13" t="str">
        <f aca="false">IF(D147="","Unknown",IF(D147&lt;25,"Under 25",IF(D147&lt;35,"25-34",IF(D147&lt;45,"35-44",IF(D147&lt;55,"45-54","55+")))))</f>
        <v>45-54</v>
      </c>
      <c r="R147" s="13" t="str">
        <f aca="false">IF(P147&lt;1,"0-1 yrs",IF(P147&lt;3,"1-3 yrs",IF(P147&lt;5,"3-5 yrs",IF(P147&lt;10,"5-10 yrs","10+ yrs"))))</f>
        <v>10+ yrs</v>
      </c>
      <c r="S147" s="13" t="str">
        <f aca="false">IF(I147&gt;=4,"High",IF(I147=3,"Medium","Low"))</f>
        <v>High</v>
      </c>
      <c r="T147" s="13" t="str">
        <f aca="false">IF(M147=1,YEAR(C147),"")</f>
        <v/>
      </c>
      <c r="U147" s="13" t="str">
        <f aca="false">IF(M147=1,YEAR(C147)&amp;"-Q"&amp;ROUNDUP(MONTH(C147)/3,0),"")</f>
        <v/>
      </c>
      <c r="V147" s="13" t="str">
        <f aca="false">IF(M147=1,MONTH(C147),"")</f>
        <v/>
      </c>
    </row>
    <row r="148" customFormat="false" ht="15" hidden="false" customHeight="false" outlineLevel="0" collapsed="false">
      <c r="A148" s="13" t="str">
        <f aca="false">TRIM(Raw_Data!A148)</f>
        <v>EMP0147</v>
      </c>
      <c r="B148" s="14" t="n">
        <f aca="false">Raw_Data!B148</f>
        <v>41487</v>
      </c>
      <c r="C148" s="14" t="n">
        <f aca="false">IF(Raw_Data!C148="","",Raw_Data!C148)</f>
        <v>45864</v>
      </c>
      <c r="D148" s="13" t="n">
        <f aca="false">IF(Raw_Data!D148="","",Raw_Data!D148)</f>
        <v>46</v>
      </c>
      <c r="E148" s="13" t="str">
        <f aca="false">IF(UPPER(LEFT(TRIM(Raw_Data!E148),1))="M","Male",IF(UPPER(LEFT(TRIM(Raw_Data!E148),1))="F","Female","Unknown"))</f>
        <v>Male</v>
      </c>
      <c r="F148" s="13" t="str">
        <f aca="false">PROPER(TRIM(SUBSTITUTE(Raw_Data!F148,"'","")))</f>
        <v>Masters</v>
      </c>
      <c r="G148" s="13" t="str">
        <f aca="false">PROPER(TRIM(Raw_Data!G148))</f>
        <v>Operations</v>
      </c>
      <c r="H148" s="13" t="str">
        <f aca="false">PROPER(TRIM(Raw_Data!H148))</f>
        <v>Team Lead</v>
      </c>
      <c r="I148" s="13" t="n">
        <f aca="false">IF(Raw_Data!I148="",DefaultPerf,Raw_Data!I148)</f>
        <v>5</v>
      </c>
      <c r="J148" s="13" t="n">
        <f aca="false">IF(Raw_Data!J148="",DefaultSat,Raw_Data!J148)</f>
        <v>2</v>
      </c>
      <c r="K148" s="15" t="n">
        <f aca="false">Raw_Data!K148</f>
        <v>143500</v>
      </c>
      <c r="L148" s="13" t="str">
        <f aca="false">PROPER(TRIM(Raw_Data!N148))</f>
        <v>No</v>
      </c>
      <c r="M148" s="13" t="n">
        <f aca="false">IF(C148="",0,1)</f>
        <v>1</v>
      </c>
      <c r="N148" s="13" t="str">
        <f aca="false">IF(M148=0,"Active",IF(TRIM(Raw_Data!L148)="","Unknown",PROPER(TRIM(Raw_Data!L148))))</f>
        <v>Voluntary</v>
      </c>
      <c r="O148" s="13" t="str">
        <f aca="false">IF(M148=0,"",IF(TRIM(Raw_Data!M148)="","Not Recorded",TRIM(Raw_Data!M148)))</f>
        <v>Job Dissatisfaction</v>
      </c>
      <c r="P148" s="16" t="n">
        <f aca="false">ROUND((IF(C148="",AsOfDate,C148)-B148)/365.25,2)</f>
        <v>11.98</v>
      </c>
      <c r="Q148" s="13" t="str">
        <f aca="false">IF(D148="","Unknown",IF(D148&lt;25,"Under 25",IF(D148&lt;35,"25-34",IF(D148&lt;45,"35-44",IF(D148&lt;55,"45-54","55+")))))</f>
        <v>45-54</v>
      </c>
      <c r="R148" s="13" t="str">
        <f aca="false">IF(P148&lt;1,"0-1 yrs",IF(P148&lt;3,"1-3 yrs",IF(P148&lt;5,"3-5 yrs",IF(P148&lt;10,"5-10 yrs","10+ yrs"))))</f>
        <v>10+ yrs</v>
      </c>
      <c r="S148" s="13" t="str">
        <f aca="false">IF(I148&gt;=4,"High",IF(I148=3,"Medium","Low"))</f>
        <v>High</v>
      </c>
      <c r="T148" s="13" t="n">
        <f aca="false">IF(M148=1,YEAR(C148),"")</f>
        <v>2025</v>
      </c>
      <c r="U148" s="13" t="str">
        <f aca="false">IF(M148=1,YEAR(C148)&amp;"-Q"&amp;ROUNDUP(MONTH(C148)/3,0),"")</f>
        <v>2025-Q3</v>
      </c>
      <c r="V148" s="13" t="n">
        <f aca="false">IF(M148=1,MONTH(C148),"")</f>
        <v>7</v>
      </c>
    </row>
    <row r="149" customFormat="false" ht="15" hidden="false" customHeight="false" outlineLevel="0" collapsed="false">
      <c r="A149" s="13" t="str">
        <f aca="false">TRIM(Raw_Data!A149)</f>
        <v>EMP0148</v>
      </c>
      <c r="B149" s="14" t="n">
        <f aca="false">Raw_Data!B149</f>
        <v>41487</v>
      </c>
      <c r="C149" s="14" t="str">
        <f aca="false">IF(Raw_Data!C149="","",Raw_Data!C149)</f>
        <v/>
      </c>
      <c r="D149" s="13" t="n">
        <f aca="false">IF(Raw_Data!D149="","",Raw_Data!D149)</f>
        <v>51</v>
      </c>
      <c r="E149" s="13" t="str">
        <f aca="false">IF(UPPER(LEFT(TRIM(Raw_Data!E149),1))="M","Male",IF(UPPER(LEFT(TRIM(Raw_Data!E149),1))="F","Female","Unknown"))</f>
        <v>Male</v>
      </c>
      <c r="F149" s="13" t="str">
        <f aca="false">PROPER(TRIM(SUBSTITUTE(Raw_Data!F149,"'","")))</f>
        <v>Masters</v>
      </c>
      <c r="G149" s="13" t="str">
        <f aca="false">PROPER(TRIM(Raw_Data!G149))</f>
        <v>Finance</v>
      </c>
      <c r="H149" s="13" t="str">
        <f aca="false">PROPER(TRIM(Raw_Data!H149))</f>
        <v>Team Lead</v>
      </c>
      <c r="I149" s="13" t="n">
        <f aca="false">IF(Raw_Data!I149="",DefaultPerf,Raw_Data!I149)</f>
        <v>5</v>
      </c>
      <c r="J149" s="13" t="n">
        <f aca="false">IF(Raw_Data!J149="",DefaultSat,Raw_Data!J149)</f>
        <v>1</v>
      </c>
      <c r="K149" s="15" t="n">
        <f aca="false">Raw_Data!K149</f>
        <v>187000</v>
      </c>
      <c r="L149" s="13" t="str">
        <f aca="false">PROPER(TRIM(Raw_Data!N149))</f>
        <v>No</v>
      </c>
      <c r="M149" s="13" t="n">
        <f aca="false">IF(C149="",0,1)</f>
        <v>0</v>
      </c>
      <c r="N149" s="13" t="str">
        <f aca="false">IF(M149=0,"Active",IF(TRIM(Raw_Data!L149)="","Unknown",PROPER(TRIM(Raw_Data!L149))))</f>
        <v>Active</v>
      </c>
      <c r="O149" s="13" t="str">
        <f aca="false">IF(M149=0,"",IF(TRIM(Raw_Data!M149)="","Not Recorded",TRIM(Raw_Data!M149)))</f>
        <v/>
      </c>
      <c r="P149" s="16" t="n">
        <f aca="false">ROUND((IF(C149="",AsOfDate,C149)-B149)/365.25,2)</f>
        <v>12.42</v>
      </c>
      <c r="Q149" s="13" t="str">
        <f aca="false">IF(D149="","Unknown",IF(D149&lt;25,"Under 25",IF(D149&lt;35,"25-34",IF(D149&lt;45,"35-44",IF(D149&lt;55,"45-54","55+")))))</f>
        <v>45-54</v>
      </c>
      <c r="R149" s="13" t="str">
        <f aca="false">IF(P149&lt;1,"0-1 yrs",IF(P149&lt;3,"1-3 yrs",IF(P149&lt;5,"3-5 yrs",IF(P149&lt;10,"5-10 yrs","10+ yrs"))))</f>
        <v>10+ yrs</v>
      </c>
      <c r="S149" s="13" t="str">
        <f aca="false">IF(I149&gt;=4,"High",IF(I149=3,"Medium","Low"))</f>
        <v>High</v>
      </c>
      <c r="T149" s="13" t="str">
        <f aca="false">IF(M149=1,YEAR(C149),"")</f>
        <v/>
      </c>
      <c r="U149" s="13" t="str">
        <f aca="false">IF(M149=1,YEAR(C149)&amp;"-Q"&amp;ROUNDUP(MONTH(C149)/3,0),"")</f>
        <v/>
      </c>
      <c r="V149" s="13" t="str">
        <f aca="false">IF(M149=1,MONTH(C149),"")</f>
        <v/>
      </c>
    </row>
    <row r="150" customFormat="false" ht="15" hidden="false" customHeight="false" outlineLevel="0" collapsed="false">
      <c r="A150" s="13" t="str">
        <f aca="false">TRIM(Raw_Data!A150)</f>
        <v>EMP0149</v>
      </c>
      <c r="B150" s="14" t="n">
        <f aca="false">Raw_Data!B150</f>
        <v>41490</v>
      </c>
      <c r="C150" s="14" t="str">
        <f aca="false">IF(Raw_Data!C150="","",Raw_Data!C150)</f>
        <v/>
      </c>
      <c r="D150" s="13" t="n">
        <f aca="false">IF(Raw_Data!D150="","",Raw_Data!D150)</f>
        <v>43</v>
      </c>
      <c r="E150" s="13" t="str">
        <f aca="false">IF(UPPER(LEFT(TRIM(Raw_Data!E150),1))="M","Male",IF(UPPER(LEFT(TRIM(Raw_Data!E150),1))="F","Female","Unknown"))</f>
        <v>Male</v>
      </c>
      <c r="F150" s="13" t="str">
        <f aca="false">PROPER(TRIM(SUBSTITUTE(Raw_Data!F150,"'","")))</f>
        <v>Diploma</v>
      </c>
      <c r="G150" s="13" t="str">
        <f aca="false">PROPER(TRIM(Raw_Data!G150))</f>
        <v>Sales</v>
      </c>
      <c r="H150" s="13" t="str">
        <f aca="false">PROPER(TRIM(Raw_Data!H150))</f>
        <v>Associate</v>
      </c>
      <c r="I150" s="13" t="n">
        <f aca="false">IF(Raw_Data!I150="",DefaultPerf,Raw_Data!I150)</f>
        <v>3</v>
      </c>
      <c r="J150" s="13" t="n">
        <f aca="false">IF(Raw_Data!J150="",DefaultSat,Raw_Data!J150)</f>
        <v>2</v>
      </c>
      <c r="K150" s="15" t="n">
        <f aca="false">Raw_Data!K150</f>
        <v>42000</v>
      </c>
      <c r="L150" s="13" t="str">
        <f aca="false">PROPER(TRIM(Raw_Data!N150))</f>
        <v>No</v>
      </c>
      <c r="M150" s="13" t="n">
        <f aca="false">IF(C150="",0,1)</f>
        <v>0</v>
      </c>
      <c r="N150" s="13" t="str">
        <f aca="false">IF(M150=0,"Active",IF(TRIM(Raw_Data!L150)="","Unknown",PROPER(TRIM(Raw_Data!L150))))</f>
        <v>Active</v>
      </c>
      <c r="O150" s="13" t="str">
        <f aca="false">IF(M150=0,"",IF(TRIM(Raw_Data!M150)="","Not Recorded",TRIM(Raw_Data!M150)))</f>
        <v/>
      </c>
      <c r="P150" s="16" t="n">
        <f aca="false">ROUND((IF(C150="",AsOfDate,C150)-B150)/365.25,2)</f>
        <v>12.41</v>
      </c>
      <c r="Q150" s="13" t="str">
        <f aca="false">IF(D150="","Unknown",IF(D150&lt;25,"Under 25",IF(D150&lt;35,"25-34",IF(D150&lt;45,"35-44",IF(D150&lt;55,"45-54","55+")))))</f>
        <v>35-44</v>
      </c>
      <c r="R150" s="13" t="str">
        <f aca="false">IF(P150&lt;1,"0-1 yrs",IF(P150&lt;3,"1-3 yrs",IF(P150&lt;5,"3-5 yrs",IF(P150&lt;10,"5-10 yrs","10+ yrs"))))</f>
        <v>10+ yrs</v>
      </c>
      <c r="S150" s="13" t="str">
        <f aca="false">IF(I150&gt;=4,"High",IF(I150=3,"Medium","Low"))</f>
        <v>Medium</v>
      </c>
      <c r="T150" s="13" t="str">
        <f aca="false">IF(M150=1,YEAR(C150),"")</f>
        <v/>
      </c>
      <c r="U150" s="13" t="str">
        <f aca="false">IF(M150=1,YEAR(C150)&amp;"-Q"&amp;ROUNDUP(MONTH(C150)/3,0),"")</f>
        <v/>
      </c>
      <c r="V150" s="13" t="str">
        <f aca="false">IF(M150=1,MONTH(C150),"")</f>
        <v/>
      </c>
    </row>
    <row r="151" customFormat="false" ht="15" hidden="false" customHeight="false" outlineLevel="0" collapsed="false">
      <c r="A151" s="13" t="str">
        <f aca="false">TRIM(Raw_Data!A151)</f>
        <v>EMP0150</v>
      </c>
      <c r="B151" s="14" t="n">
        <f aca="false">Raw_Data!B151</f>
        <v>41495</v>
      </c>
      <c r="C151" s="14" t="str">
        <f aca="false">IF(Raw_Data!C151="","",Raw_Data!C151)</f>
        <v/>
      </c>
      <c r="D151" s="13" t="n">
        <f aca="false">IF(Raw_Data!D151="","",Raw_Data!D151)</f>
        <v>44</v>
      </c>
      <c r="E151" s="13" t="str">
        <f aca="false">IF(UPPER(LEFT(TRIM(Raw_Data!E151),1))="M","Male",IF(UPPER(LEFT(TRIM(Raw_Data!E151),1))="F","Female","Unknown"))</f>
        <v>Male</v>
      </c>
      <c r="F151" s="13" t="str">
        <f aca="false">PROPER(TRIM(SUBSTITUTE(Raw_Data!F151,"'","")))</f>
        <v>Bachelors</v>
      </c>
      <c r="G151" s="13" t="str">
        <f aca="false">PROPER(TRIM(Raw_Data!G151))</f>
        <v>Customer Support</v>
      </c>
      <c r="H151" s="13" t="str">
        <f aca="false">PROPER(TRIM(Raw_Data!H151))</f>
        <v>Senior Analyst</v>
      </c>
      <c r="I151" s="13" t="n">
        <f aca="false">IF(Raw_Data!I151="",DefaultPerf,Raw_Data!I151)</f>
        <v>4</v>
      </c>
      <c r="J151" s="13" t="n">
        <f aca="false">IF(Raw_Data!J151="",DefaultSat,Raw_Data!J151)</f>
        <v>2</v>
      </c>
      <c r="K151" s="15" t="n">
        <f aca="false">Raw_Data!K151</f>
        <v>127000</v>
      </c>
      <c r="L151" s="13" t="str">
        <f aca="false">PROPER(TRIM(Raw_Data!N151))</f>
        <v>No</v>
      </c>
      <c r="M151" s="13" t="n">
        <f aca="false">IF(C151="",0,1)</f>
        <v>0</v>
      </c>
      <c r="N151" s="13" t="str">
        <f aca="false">IF(M151=0,"Active",IF(TRIM(Raw_Data!L151)="","Unknown",PROPER(TRIM(Raw_Data!L151))))</f>
        <v>Active</v>
      </c>
      <c r="O151" s="13" t="str">
        <f aca="false">IF(M151=0,"",IF(TRIM(Raw_Data!M151)="","Not Recorded",TRIM(Raw_Data!M151)))</f>
        <v/>
      </c>
      <c r="P151" s="16" t="n">
        <f aca="false">ROUND((IF(C151="",AsOfDate,C151)-B151)/365.25,2)</f>
        <v>12.39</v>
      </c>
      <c r="Q151" s="13" t="str">
        <f aca="false">IF(D151="","Unknown",IF(D151&lt;25,"Under 25",IF(D151&lt;35,"25-34",IF(D151&lt;45,"35-44",IF(D151&lt;55,"45-54","55+")))))</f>
        <v>35-44</v>
      </c>
      <c r="R151" s="13" t="str">
        <f aca="false">IF(P151&lt;1,"0-1 yrs",IF(P151&lt;3,"1-3 yrs",IF(P151&lt;5,"3-5 yrs",IF(P151&lt;10,"5-10 yrs","10+ yrs"))))</f>
        <v>10+ yrs</v>
      </c>
      <c r="S151" s="13" t="str">
        <f aca="false">IF(I151&gt;=4,"High",IF(I151=3,"Medium","Low"))</f>
        <v>High</v>
      </c>
      <c r="T151" s="13" t="str">
        <f aca="false">IF(M151=1,YEAR(C151),"")</f>
        <v/>
      </c>
      <c r="U151" s="13" t="str">
        <f aca="false">IF(M151=1,YEAR(C151)&amp;"-Q"&amp;ROUNDUP(MONTH(C151)/3,0),"")</f>
        <v/>
      </c>
      <c r="V151" s="13" t="str">
        <f aca="false">IF(M151=1,MONTH(C151),"")</f>
        <v/>
      </c>
    </row>
    <row r="152" customFormat="false" ht="15" hidden="false" customHeight="false" outlineLevel="0" collapsed="false">
      <c r="A152" s="13" t="str">
        <f aca="false">TRIM(Raw_Data!A152)</f>
        <v>EMP0151</v>
      </c>
      <c r="B152" s="14" t="n">
        <f aca="false">Raw_Data!B152</f>
        <v>41497</v>
      </c>
      <c r="C152" s="14" t="n">
        <f aca="false">IF(Raw_Data!C152="","",Raw_Data!C152)</f>
        <v>45302</v>
      </c>
      <c r="D152" s="13" t="n">
        <f aca="false">IF(Raw_Data!D152="","",Raw_Data!D152)</f>
        <v>42</v>
      </c>
      <c r="E152" s="13" t="str">
        <f aca="false">IF(UPPER(LEFT(TRIM(Raw_Data!E152),1))="M","Male",IF(UPPER(LEFT(TRIM(Raw_Data!E152),1))="F","Female","Unknown"))</f>
        <v>Male</v>
      </c>
      <c r="F152" s="13" t="str">
        <f aca="false">PROPER(TRIM(SUBSTITUTE(Raw_Data!F152,"'","")))</f>
        <v>High School</v>
      </c>
      <c r="G152" s="13" t="str">
        <f aca="false">PROPER(TRIM(Raw_Data!G152))</f>
        <v>Sales</v>
      </c>
      <c r="H152" s="13" t="str">
        <f aca="false">PROPER(TRIM(Raw_Data!H152))</f>
        <v>Associate</v>
      </c>
      <c r="I152" s="13" t="n">
        <f aca="false">IF(Raw_Data!I152="",DefaultPerf,Raw_Data!I152)</f>
        <v>5</v>
      </c>
      <c r="J152" s="13" t="n">
        <f aca="false">IF(Raw_Data!J152="",DefaultSat,Raw_Data!J152)</f>
        <v>4</v>
      </c>
      <c r="K152" s="15" t="n">
        <f aca="false">Raw_Data!K152</f>
        <v>48000</v>
      </c>
      <c r="L152" s="13" t="str">
        <f aca="false">PROPER(TRIM(Raw_Data!N152))</f>
        <v>No</v>
      </c>
      <c r="M152" s="13" t="n">
        <f aca="false">IF(C152="",0,1)</f>
        <v>1</v>
      </c>
      <c r="N152" s="13" t="str">
        <f aca="false">IF(M152=0,"Active",IF(TRIM(Raw_Data!L152)="","Unknown",PROPER(TRIM(Raw_Data!L152))))</f>
        <v>Voluntary</v>
      </c>
      <c r="O152" s="13" t="str">
        <f aca="false">IF(M152=0,"",IF(TRIM(Raw_Data!M152)="","Not Recorded",TRIM(Raw_Data!M152)))</f>
        <v>Career Growth</v>
      </c>
      <c r="P152" s="16" t="n">
        <f aca="false">ROUND((IF(C152="",AsOfDate,C152)-B152)/365.25,2)</f>
        <v>10.42</v>
      </c>
      <c r="Q152" s="13" t="str">
        <f aca="false">IF(D152="","Unknown",IF(D152&lt;25,"Under 25",IF(D152&lt;35,"25-34",IF(D152&lt;45,"35-44",IF(D152&lt;55,"45-54","55+")))))</f>
        <v>35-44</v>
      </c>
      <c r="R152" s="13" t="str">
        <f aca="false">IF(P152&lt;1,"0-1 yrs",IF(P152&lt;3,"1-3 yrs",IF(P152&lt;5,"3-5 yrs",IF(P152&lt;10,"5-10 yrs","10+ yrs"))))</f>
        <v>10+ yrs</v>
      </c>
      <c r="S152" s="13" t="str">
        <f aca="false">IF(I152&gt;=4,"High",IF(I152=3,"Medium","Low"))</f>
        <v>High</v>
      </c>
      <c r="T152" s="13" t="n">
        <f aca="false">IF(M152=1,YEAR(C152),"")</f>
        <v>2024</v>
      </c>
      <c r="U152" s="13" t="str">
        <f aca="false">IF(M152=1,YEAR(C152)&amp;"-Q"&amp;ROUNDUP(MONTH(C152)/3,0),"")</f>
        <v>2024-Q1</v>
      </c>
      <c r="V152" s="13" t="n">
        <f aca="false">IF(M152=1,MONTH(C152),"")</f>
        <v>1</v>
      </c>
    </row>
    <row r="153" customFormat="false" ht="15" hidden="false" customHeight="false" outlineLevel="0" collapsed="false">
      <c r="A153" s="13" t="str">
        <f aca="false">TRIM(Raw_Data!A153)</f>
        <v>EMP0152</v>
      </c>
      <c r="B153" s="14" t="n">
        <f aca="false">Raw_Data!B153</f>
        <v>41502</v>
      </c>
      <c r="C153" s="14" t="str">
        <f aca="false">IF(Raw_Data!C153="","",Raw_Data!C153)</f>
        <v/>
      </c>
      <c r="D153" s="13" t="n">
        <f aca="false">IF(Raw_Data!D153="","",Raw_Data!D153)</f>
        <v>45</v>
      </c>
      <c r="E153" s="13" t="str">
        <f aca="false">IF(UPPER(LEFT(TRIM(Raw_Data!E153),1))="M","Male",IF(UPPER(LEFT(TRIM(Raw_Data!E153),1))="F","Female","Unknown"))</f>
        <v>Male</v>
      </c>
      <c r="F153" s="13" t="str">
        <f aca="false">PROPER(TRIM(SUBSTITUTE(Raw_Data!F153,"'","")))</f>
        <v>Masters</v>
      </c>
      <c r="G153" s="13" t="str">
        <f aca="false">PROPER(TRIM(Raw_Data!G153))</f>
        <v>Finance</v>
      </c>
      <c r="H153" s="13" t="str">
        <f aca="false">PROPER(TRIM(Raw_Data!H153))</f>
        <v>Analyst</v>
      </c>
      <c r="I153" s="13" t="n">
        <f aca="false">IF(Raw_Data!I153="",DefaultPerf,Raw_Data!I153)</f>
        <v>3</v>
      </c>
      <c r="J153" s="13" t="n">
        <f aca="false">IF(Raw_Data!J153="",DefaultSat,Raw_Data!J153)</f>
        <v>2</v>
      </c>
      <c r="K153" s="15" t="n">
        <f aca="false">Raw_Data!K153</f>
        <v>81000</v>
      </c>
      <c r="L153" s="13" t="str">
        <f aca="false">PROPER(TRIM(Raw_Data!N153))</f>
        <v>No</v>
      </c>
      <c r="M153" s="13" t="n">
        <f aca="false">IF(C153="",0,1)</f>
        <v>0</v>
      </c>
      <c r="N153" s="13" t="str">
        <f aca="false">IF(M153=0,"Active",IF(TRIM(Raw_Data!L153)="","Unknown",PROPER(TRIM(Raw_Data!L153))))</f>
        <v>Active</v>
      </c>
      <c r="O153" s="13" t="str">
        <f aca="false">IF(M153=0,"",IF(TRIM(Raw_Data!M153)="","Not Recorded",TRIM(Raw_Data!M153)))</f>
        <v/>
      </c>
      <c r="P153" s="16" t="n">
        <f aca="false">ROUND((IF(C153="",AsOfDate,C153)-B153)/365.25,2)</f>
        <v>12.38</v>
      </c>
      <c r="Q153" s="13" t="str">
        <f aca="false">IF(D153="","Unknown",IF(D153&lt;25,"Under 25",IF(D153&lt;35,"25-34",IF(D153&lt;45,"35-44",IF(D153&lt;55,"45-54","55+")))))</f>
        <v>45-54</v>
      </c>
      <c r="R153" s="13" t="str">
        <f aca="false">IF(P153&lt;1,"0-1 yrs",IF(P153&lt;3,"1-3 yrs",IF(P153&lt;5,"3-5 yrs",IF(P153&lt;10,"5-10 yrs","10+ yrs"))))</f>
        <v>10+ yrs</v>
      </c>
      <c r="S153" s="13" t="str">
        <f aca="false">IF(I153&gt;=4,"High",IF(I153=3,"Medium","Low"))</f>
        <v>Medium</v>
      </c>
      <c r="T153" s="13" t="str">
        <f aca="false">IF(M153=1,YEAR(C153),"")</f>
        <v/>
      </c>
      <c r="U153" s="13" t="str">
        <f aca="false">IF(M153=1,YEAR(C153)&amp;"-Q"&amp;ROUNDUP(MONTH(C153)/3,0),"")</f>
        <v/>
      </c>
      <c r="V153" s="13" t="str">
        <f aca="false">IF(M153=1,MONTH(C153),"")</f>
        <v/>
      </c>
    </row>
    <row r="154" customFormat="false" ht="15" hidden="false" customHeight="false" outlineLevel="0" collapsed="false">
      <c r="A154" s="13" t="str">
        <f aca="false">TRIM(Raw_Data!A154)</f>
        <v>EMP0153</v>
      </c>
      <c r="B154" s="14" t="n">
        <f aca="false">Raw_Data!B154</f>
        <v>41503</v>
      </c>
      <c r="C154" s="14" t="n">
        <f aca="false">IF(Raw_Data!C154="","",Raw_Data!C154)</f>
        <v>45811</v>
      </c>
      <c r="D154" s="13" t="n">
        <f aca="false">IF(Raw_Data!D154="","",Raw_Data!D154)</f>
        <v>42</v>
      </c>
      <c r="E154" s="13" t="str">
        <f aca="false">IF(UPPER(LEFT(TRIM(Raw_Data!E154),1))="M","Male",IF(UPPER(LEFT(TRIM(Raw_Data!E154),1))="F","Female","Unknown"))</f>
        <v>Male</v>
      </c>
      <c r="F154" s="13" t="str">
        <f aca="false">PROPER(TRIM(SUBSTITUTE(Raw_Data!F154,"'","")))</f>
        <v>Bachelors</v>
      </c>
      <c r="G154" s="13" t="str">
        <f aca="false">PROPER(TRIM(Raw_Data!G154))</f>
        <v>Customer Support</v>
      </c>
      <c r="H154" s="13" t="str">
        <f aca="false">PROPER(TRIM(Raw_Data!H154))</f>
        <v>Analyst</v>
      </c>
      <c r="I154" s="13" t="n">
        <f aca="false">IF(Raw_Data!I154="",DefaultPerf,Raw_Data!I154)</f>
        <v>4</v>
      </c>
      <c r="J154" s="13" t="n">
        <f aca="false">IF(Raw_Data!J154="",DefaultSat,Raw_Data!J154)</f>
        <v>3</v>
      </c>
      <c r="K154" s="15" t="n">
        <f aca="false">Raw_Data!K154</f>
        <v>72000</v>
      </c>
      <c r="L154" s="13" t="str">
        <f aca="false">PROPER(TRIM(Raw_Data!N154))</f>
        <v>Yes</v>
      </c>
      <c r="M154" s="13" t="n">
        <f aca="false">IF(C154="",0,1)</f>
        <v>1</v>
      </c>
      <c r="N154" s="13" t="str">
        <f aca="false">IF(M154=0,"Active",IF(TRIM(Raw_Data!L154)="","Unknown",PROPER(TRIM(Raw_Data!L154))))</f>
        <v>Voluntary</v>
      </c>
      <c r="O154" s="13" t="str">
        <f aca="false">IF(M154=0,"",IF(TRIM(Raw_Data!M154)="","Not Recorded",TRIM(Raw_Data!M154)))</f>
        <v>Relocation</v>
      </c>
      <c r="P154" s="16" t="n">
        <f aca="false">ROUND((IF(C154="",AsOfDate,C154)-B154)/365.25,2)</f>
        <v>11.79</v>
      </c>
      <c r="Q154" s="13" t="str">
        <f aca="false">IF(D154="","Unknown",IF(D154&lt;25,"Under 25",IF(D154&lt;35,"25-34",IF(D154&lt;45,"35-44",IF(D154&lt;55,"45-54","55+")))))</f>
        <v>35-44</v>
      </c>
      <c r="R154" s="13" t="str">
        <f aca="false">IF(P154&lt;1,"0-1 yrs",IF(P154&lt;3,"1-3 yrs",IF(P154&lt;5,"3-5 yrs",IF(P154&lt;10,"5-10 yrs","10+ yrs"))))</f>
        <v>10+ yrs</v>
      </c>
      <c r="S154" s="13" t="str">
        <f aca="false">IF(I154&gt;=4,"High",IF(I154=3,"Medium","Low"))</f>
        <v>High</v>
      </c>
      <c r="T154" s="13" t="n">
        <f aca="false">IF(M154=1,YEAR(C154),"")</f>
        <v>2025</v>
      </c>
      <c r="U154" s="13" t="str">
        <f aca="false">IF(M154=1,YEAR(C154)&amp;"-Q"&amp;ROUNDUP(MONTH(C154)/3,0),"")</f>
        <v>2025-Q2</v>
      </c>
      <c r="V154" s="13" t="n">
        <f aca="false">IF(M154=1,MONTH(C154),"")</f>
        <v>6</v>
      </c>
    </row>
    <row r="155" customFormat="false" ht="15" hidden="false" customHeight="false" outlineLevel="0" collapsed="false">
      <c r="A155" s="13" t="str">
        <f aca="false">TRIM(Raw_Data!A155)</f>
        <v>EMP0154</v>
      </c>
      <c r="B155" s="14" t="n">
        <f aca="false">Raw_Data!B155</f>
        <v>41504</v>
      </c>
      <c r="C155" s="14" t="n">
        <f aca="false">IF(Raw_Data!C155="","",Raw_Data!C155)</f>
        <v>45389</v>
      </c>
      <c r="D155" s="13" t="n">
        <f aca="false">IF(Raw_Data!D155="","",Raw_Data!D155)</f>
        <v>40</v>
      </c>
      <c r="E155" s="13" t="str">
        <f aca="false">IF(UPPER(LEFT(TRIM(Raw_Data!E155),1))="M","Male",IF(UPPER(LEFT(TRIM(Raw_Data!E155),1))="F","Female","Unknown"))</f>
        <v>Female</v>
      </c>
      <c r="F155" s="13" t="str">
        <f aca="false">PROPER(TRIM(SUBSTITUTE(Raw_Data!F155,"'","")))</f>
        <v>Masters</v>
      </c>
      <c r="G155" s="13" t="str">
        <f aca="false">PROPER(TRIM(Raw_Data!G155))</f>
        <v>Customer Support</v>
      </c>
      <c r="H155" s="13" t="str">
        <f aca="false">PROPER(TRIM(Raw_Data!H155))</f>
        <v>Senior Analyst</v>
      </c>
      <c r="I155" s="13" t="n">
        <f aca="false">IF(Raw_Data!I155="",DefaultPerf,Raw_Data!I155)</f>
        <v>3</v>
      </c>
      <c r="J155" s="17" t="n">
        <f aca="false">IF(Raw_Data!J155="",DefaultSat,Raw_Data!J155)</f>
        <v>3</v>
      </c>
      <c r="K155" s="15" t="n">
        <f aca="false">Raw_Data!K155</f>
        <v>130500</v>
      </c>
      <c r="L155" s="13" t="str">
        <f aca="false">PROPER(TRIM(Raw_Data!N155))</f>
        <v>Yes</v>
      </c>
      <c r="M155" s="13" t="n">
        <f aca="false">IF(C155="",0,1)</f>
        <v>1</v>
      </c>
      <c r="N155" s="13" t="str">
        <f aca="false">IF(M155=0,"Active",IF(TRIM(Raw_Data!L155)="","Unknown",PROPER(TRIM(Raw_Data!L155))))</f>
        <v>Voluntary</v>
      </c>
      <c r="O155" s="13" t="str">
        <f aca="false">IF(M155=0,"",IF(TRIM(Raw_Data!M155)="","Not Recorded",TRIM(Raw_Data!M155)))</f>
        <v>Job Dissatisfaction</v>
      </c>
      <c r="P155" s="16" t="n">
        <f aca="false">ROUND((IF(C155="",AsOfDate,C155)-B155)/365.25,2)</f>
        <v>10.64</v>
      </c>
      <c r="Q155" s="13" t="str">
        <f aca="false">IF(D155="","Unknown",IF(D155&lt;25,"Under 25",IF(D155&lt;35,"25-34",IF(D155&lt;45,"35-44",IF(D155&lt;55,"45-54","55+")))))</f>
        <v>35-44</v>
      </c>
      <c r="R155" s="13" t="str">
        <f aca="false">IF(P155&lt;1,"0-1 yrs",IF(P155&lt;3,"1-3 yrs",IF(P155&lt;5,"3-5 yrs",IF(P155&lt;10,"5-10 yrs","10+ yrs"))))</f>
        <v>10+ yrs</v>
      </c>
      <c r="S155" s="13" t="str">
        <f aca="false">IF(I155&gt;=4,"High",IF(I155=3,"Medium","Low"))</f>
        <v>Medium</v>
      </c>
      <c r="T155" s="13" t="n">
        <f aca="false">IF(M155=1,YEAR(C155),"")</f>
        <v>2024</v>
      </c>
      <c r="U155" s="13" t="str">
        <f aca="false">IF(M155=1,YEAR(C155)&amp;"-Q"&amp;ROUNDUP(MONTH(C155)/3,0),"")</f>
        <v>2024-Q2</v>
      </c>
      <c r="V155" s="13" t="n">
        <f aca="false">IF(M155=1,MONTH(C155),"")</f>
        <v>4</v>
      </c>
    </row>
    <row r="156" customFormat="false" ht="15" hidden="false" customHeight="false" outlineLevel="0" collapsed="false">
      <c r="A156" s="13" t="str">
        <f aca="false">TRIM(Raw_Data!A156)</f>
        <v>EMP0155</v>
      </c>
      <c r="B156" s="14" t="n">
        <f aca="false">Raw_Data!B156</f>
        <v>41510</v>
      </c>
      <c r="C156" s="14" t="str">
        <f aca="false">IF(Raw_Data!C156="","",Raw_Data!C156)</f>
        <v/>
      </c>
      <c r="D156" s="13" t="n">
        <f aca="false">IF(Raw_Data!D156="","",Raw_Data!D156)</f>
        <v>40</v>
      </c>
      <c r="E156" s="13" t="str">
        <f aca="false">IF(UPPER(LEFT(TRIM(Raw_Data!E156),1))="M","Male",IF(UPPER(LEFT(TRIM(Raw_Data!E156),1))="F","Female","Unknown"))</f>
        <v>Male</v>
      </c>
      <c r="F156" s="13" t="str">
        <f aca="false">PROPER(TRIM(SUBSTITUTE(Raw_Data!F156,"'","")))</f>
        <v>Bachelors</v>
      </c>
      <c r="G156" s="13" t="str">
        <f aca="false">PROPER(TRIM(Raw_Data!G156))</f>
        <v>Customer Support</v>
      </c>
      <c r="H156" s="13" t="str">
        <f aca="false">PROPER(TRIM(Raw_Data!H156))</f>
        <v>Associate</v>
      </c>
      <c r="I156" s="13" t="n">
        <f aca="false">IF(Raw_Data!I156="",DefaultPerf,Raw_Data!I156)</f>
        <v>3</v>
      </c>
      <c r="J156" s="13" t="n">
        <f aca="false">IF(Raw_Data!J156="",DefaultSat,Raw_Data!J156)</f>
        <v>3</v>
      </c>
      <c r="K156" s="15" t="n">
        <f aca="false">Raw_Data!K156</f>
        <v>48500</v>
      </c>
      <c r="L156" s="13" t="str">
        <f aca="false">PROPER(TRIM(Raw_Data!N156))</f>
        <v>No</v>
      </c>
      <c r="M156" s="13" t="n">
        <f aca="false">IF(C156="",0,1)</f>
        <v>0</v>
      </c>
      <c r="N156" s="13" t="str">
        <f aca="false">IF(M156=0,"Active",IF(TRIM(Raw_Data!L156)="","Unknown",PROPER(TRIM(Raw_Data!L156))))</f>
        <v>Active</v>
      </c>
      <c r="O156" s="13" t="str">
        <f aca="false">IF(M156=0,"",IF(TRIM(Raw_Data!M156)="","Not Recorded",TRIM(Raw_Data!M156)))</f>
        <v/>
      </c>
      <c r="P156" s="16" t="n">
        <f aca="false">ROUND((IF(C156="",AsOfDate,C156)-B156)/365.25,2)</f>
        <v>12.35</v>
      </c>
      <c r="Q156" s="13" t="str">
        <f aca="false">IF(D156="","Unknown",IF(D156&lt;25,"Under 25",IF(D156&lt;35,"25-34",IF(D156&lt;45,"35-44",IF(D156&lt;55,"45-54","55+")))))</f>
        <v>35-44</v>
      </c>
      <c r="R156" s="13" t="str">
        <f aca="false">IF(P156&lt;1,"0-1 yrs",IF(P156&lt;3,"1-3 yrs",IF(P156&lt;5,"3-5 yrs",IF(P156&lt;10,"5-10 yrs","10+ yrs"))))</f>
        <v>10+ yrs</v>
      </c>
      <c r="S156" s="13" t="str">
        <f aca="false">IF(I156&gt;=4,"High",IF(I156=3,"Medium","Low"))</f>
        <v>Medium</v>
      </c>
      <c r="T156" s="13" t="str">
        <f aca="false">IF(M156=1,YEAR(C156),"")</f>
        <v/>
      </c>
      <c r="U156" s="13" t="str">
        <f aca="false">IF(M156=1,YEAR(C156)&amp;"-Q"&amp;ROUNDUP(MONTH(C156)/3,0),"")</f>
        <v/>
      </c>
      <c r="V156" s="13" t="str">
        <f aca="false">IF(M156=1,MONTH(C156),"")</f>
        <v/>
      </c>
    </row>
    <row r="157" customFormat="false" ht="15" hidden="false" customHeight="false" outlineLevel="0" collapsed="false">
      <c r="A157" s="13" t="str">
        <f aca="false">TRIM(Raw_Data!A157)</f>
        <v>EMP0156</v>
      </c>
      <c r="B157" s="14" t="n">
        <f aca="false">Raw_Data!B157</f>
        <v>41513</v>
      </c>
      <c r="C157" s="14" t="str">
        <f aca="false">IF(Raw_Data!C157="","",Raw_Data!C157)</f>
        <v/>
      </c>
      <c r="D157" s="13" t="n">
        <f aca="false">IF(Raw_Data!D157="","",Raw_Data!D157)</f>
        <v>45</v>
      </c>
      <c r="E157" s="13" t="str">
        <f aca="false">IF(UPPER(LEFT(TRIM(Raw_Data!E157),1))="M","Male",IF(UPPER(LEFT(TRIM(Raw_Data!E157),1))="F","Female","Unknown"))</f>
        <v>Female</v>
      </c>
      <c r="F157" s="13" t="str">
        <f aca="false">PROPER(TRIM(SUBSTITUTE(Raw_Data!F157,"'","")))</f>
        <v>Bachelors</v>
      </c>
      <c r="G157" s="13" t="str">
        <f aca="false">PROPER(TRIM(Raw_Data!G157))</f>
        <v>Engineering</v>
      </c>
      <c r="H157" s="13" t="str">
        <f aca="false">PROPER(TRIM(Raw_Data!H157))</f>
        <v>Associate</v>
      </c>
      <c r="I157" s="13" t="n">
        <f aca="false">IF(Raw_Data!I157="",DefaultPerf,Raw_Data!I157)</f>
        <v>3</v>
      </c>
      <c r="J157" s="13" t="n">
        <f aca="false">IF(Raw_Data!J157="",DefaultSat,Raw_Data!J157)</f>
        <v>1</v>
      </c>
      <c r="K157" s="15" t="n">
        <f aca="false">Raw_Data!K157</f>
        <v>48000</v>
      </c>
      <c r="L157" s="13" t="str">
        <f aca="false">PROPER(TRIM(Raw_Data!N157))</f>
        <v>Yes</v>
      </c>
      <c r="M157" s="13" t="n">
        <f aca="false">IF(C157="",0,1)</f>
        <v>0</v>
      </c>
      <c r="N157" s="13" t="str">
        <f aca="false">IF(M157=0,"Active",IF(TRIM(Raw_Data!L157)="","Unknown",PROPER(TRIM(Raw_Data!L157))))</f>
        <v>Active</v>
      </c>
      <c r="O157" s="13" t="str">
        <f aca="false">IF(M157=0,"",IF(TRIM(Raw_Data!M157)="","Not Recorded",TRIM(Raw_Data!M157)))</f>
        <v/>
      </c>
      <c r="P157" s="16" t="n">
        <f aca="false">ROUND((IF(C157="",AsOfDate,C157)-B157)/365.25,2)</f>
        <v>12.34</v>
      </c>
      <c r="Q157" s="13" t="str">
        <f aca="false">IF(D157="","Unknown",IF(D157&lt;25,"Under 25",IF(D157&lt;35,"25-34",IF(D157&lt;45,"35-44",IF(D157&lt;55,"45-54","55+")))))</f>
        <v>45-54</v>
      </c>
      <c r="R157" s="13" t="str">
        <f aca="false">IF(P157&lt;1,"0-1 yrs",IF(P157&lt;3,"1-3 yrs",IF(P157&lt;5,"3-5 yrs",IF(P157&lt;10,"5-10 yrs","10+ yrs"))))</f>
        <v>10+ yrs</v>
      </c>
      <c r="S157" s="13" t="str">
        <f aca="false">IF(I157&gt;=4,"High",IF(I157=3,"Medium","Low"))</f>
        <v>Medium</v>
      </c>
      <c r="T157" s="13" t="str">
        <f aca="false">IF(M157=1,YEAR(C157),"")</f>
        <v/>
      </c>
      <c r="U157" s="13" t="str">
        <f aca="false">IF(M157=1,YEAR(C157)&amp;"-Q"&amp;ROUNDUP(MONTH(C157)/3,0),"")</f>
        <v/>
      </c>
      <c r="V157" s="13" t="str">
        <f aca="false">IF(M157=1,MONTH(C157),"")</f>
        <v/>
      </c>
    </row>
    <row r="158" customFormat="false" ht="15" hidden="false" customHeight="false" outlineLevel="0" collapsed="false">
      <c r="A158" s="13" t="str">
        <f aca="false">TRIM(Raw_Data!A158)</f>
        <v>EMP0157</v>
      </c>
      <c r="B158" s="14" t="n">
        <f aca="false">Raw_Data!B158</f>
        <v>41514</v>
      </c>
      <c r="C158" s="14" t="str">
        <f aca="false">IF(Raw_Data!C158="","",Raw_Data!C158)</f>
        <v/>
      </c>
      <c r="D158" s="13" t="n">
        <f aca="false">IF(Raw_Data!D158="","",Raw_Data!D158)</f>
        <v>39</v>
      </c>
      <c r="E158" s="13" t="str">
        <f aca="false">IF(UPPER(LEFT(TRIM(Raw_Data!E158),1))="M","Male",IF(UPPER(LEFT(TRIM(Raw_Data!E158),1))="F","Female","Unknown"))</f>
        <v>Female</v>
      </c>
      <c r="F158" s="13" t="str">
        <f aca="false">PROPER(TRIM(SUBSTITUTE(Raw_Data!F158,"'","")))</f>
        <v>Bachelors</v>
      </c>
      <c r="G158" s="13" t="str">
        <f aca="false">PROPER(TRIM(Raw_Data!G158))</f>
        <v>Customer Support</v>
      </c>
      <c r="H158" s="13" t="str">
        <f aca="false">PROPER(TRIM(Raw_Data!H158))</f>
        <v>Manager</v>
      </c>
      <c r="I158" s="13" t="n">
        <f aca="false">IF(Raw_Data!I158="",DefaultPerf,Raw_Data!I158)</f>
        <v>5</v>
      </c>
      <c r="J158" s="13" t="n">
        <f aca="false">IF(Raw_Data!J158="",DefaultSat,Raw_Data!J158)</f>
        <v>2</v>
      </c>
      <c r="K158" s="15" t="n">
        <f aca="false">Raw_Data!K158</f>
        <v>238500</v>
      </c>
      <c r="L158" s="13" t="str">
        <f aca="false">PROPER(TRIM(Raw_Data!N158))</f>
        <v>No</v>
      </c>
      <c r="M158" s="13" t="n">
        <f aca="false">IF(C158="",0,1)</f>
        <v>0</v>
      </c>
      <c r="N158" s="13" t="str">
        <f aca="false">IF(M158=0,"Active",IF(TRIM(Raw_Data!L158)="","Unknown",PROPER(TRIM(Raw_Data!L158))))</f>
        <v>Active</v>
      </c>
      <c r="O158" s="13" t="str">
        <f aca="false">IF(M158=0,"",IF(TRIM(Raw_Data!M158)="","Not Recorded",TRIM(Raw_Data!M158)))</f>
        <v/>
      </c>
      <c r="P158" s="16" t="n">
        <f aca="false">ROUND((IF(C158="",AsOfDate,C158)-B158)/365.25,2)</f>
        <v>12.34</v>
      </c>
      <c r="Q158" s="13" t="str">
        <f aca="false">IF(D158="","Unknown",IF(D158&lt;25,"Under 25",IF(D158&lt;35,"25-34",IF(D158&lt;45,"35-44",IF(D158&lt;55,"45-54","55+")))))</f>
        <v>35-44</v>
      </c>
      <c r="R158" s="13" t="str">
        <f aca="false">IF(P158&lt;1,"0-1 yrs",IF(P158&lt;3,"1-3 yrs",IF(P158&lt;5,"3-5 yrs",IF(P158&lt;10,"5-10 yrs","10+ yrs"))))</f>
        <v>10+ yrs</v>
      </c>
      <c r="S158" s="13" t="str">
        <f aca="false">IF(I158&gt;=4,"High",IF(I158=3,"Medium","Low"))</f>
        <v>High</v>
      </c>
      <c r="T158" s="13" t="str">
        <f aca="false">IF(M158=1,YEAR(C158),"")</f>
        <v/>
      </c>
      <c r="U158" s="13" t="str">
        <f aca="false">IF(M158=1,YEAR(C158)&amp;"-Q"&amp;ROUNDUP(MONTH(C158)/3,0),"")</f>
        <v/>
      </c>
      <c r="V158" s="13" t="str">
        <f aca="false">IF(M158=1,MONTH(C158),"")</f>
        <v/>
      </c>
    </row>
    <row r="159" customFormat="false" ht="15" hidden="false" customHeight="false" outlineLevel="0" collapsed="false">
      <c r="A159" s="13" t="str">
        <f aca="false">TRIM(Raw_Data!A159)</f>
        <v>EMP0158</v>
      </c>
      <c r="B159" s="14" t="n">
        <f aca="false">Raw_Data!B159</f>
        <v>41516</v>
      </c>
      <c r="C159" s="14" t="str">
        <f aca="false">IF(Raw_Data!C159="","",Raw_Data!C159)</f>
        <v/>
      </c>
      <c r="D159" s="13" t="n">
        <f aca="false">IF(Raw_Data!D159="","",Raw_Data!D159)</f>
        <v>37</v>
      </c>
      <c r="E159" s="13" t="str">
        <f aca="false">IF(UPPER(LEFT(TRIM(Raw_Data!E159),1))="M","Male",IF(UPPER(LEFT(TRIM(Raw_Data!E159),1))="F","Female","Unknown"))</f>
        <v>Female</v>
      </c>
      <c r="F159" s="13" t="str">
        <f aca="false">PROPER(TRIM(SUBSTITUTE(Raw_Data!F159,"'","")))</f>
        <v>Masters</v>
      </c>
      <c r="G159" s="13" t="str">
        <f aca="false">PROPER(TRIM(Raw_Data!G159))</f>
        <v>Engineering</v>
      </c>
      <c r="H159" s="13" t="str">
        <f aca="false">PROPER(TRIM(Raw_Data!H159))</f>
        <v>Associate</v>
      </c>
      <c r="I159" s="13" t="n">
        <f aca="false">IF(Raw_Data!I159="",DefaultPerf,Raw_Data!I159)</f>
        <v>3</v>
      </c>
      <c r="J159" s="13" t="n">
        <f aca="false">IF(Raw_Data!J159="",DefaultSat,Raw_Data!J159)</f>
        <v>3</v>
      </c>
      <c r="K159" s="15" t="n">
        <f aca="false">Raw_Data!K159</f>
        <v>47500</v>
      </c>
      <c r="L159" s="13" t="str">
        <f aca="false">PROPER(TRIM(Raw_Data!N159))</f>
        <v>No</v>
      </c>
      <c r="M159" s="13" t="n">
        <f aca="false">IF(C159="",0,1)</f>
        <v>0</v>
      </c>
      <c r="N159" s="13" t="str">
        <f aca="false">IF(M159=0,"Active",IF(TRIM(Raw_Data!L159)="","Unknown",PROPER(TRIM(Raw_Data!L159))))</f>
        <v>Active</v>
      </c>
      <c r="O159" s="13" t="str">
        <f aca="false">IF(M159=0,"",IF(TRIM(Raw_Data!M159)="","Not Recorded",TRIM(Raw_Data!M159)))</f>
        <v/>
      </c>
      <c r="P159" s="16" t="n">
        <f aca="false">ROUND((IF(C159="",AsOfDate,C159)-B159)/365.25,2)</f>
        <v>12.34</v>
      </c>
      <c r="Q159" s="13" t="str">
        <f aca="false">IF(D159="","Unknown",IF(D159&lt;25,"Under 25",IF(D159&lt;35,"25-34",IF(D159&lt;45,"35-44",IF(D159&lt;55,"45-54","55+")))))</f>
        <v>35-44</v>
      </c>
      <c r="R159" s="13" t="str">
        <f aca="false">IF(P159&lt;1,"0-1 yrs",IF(P159&lt;3,"1-3 yrs",IF(P159&lt;5,"3-5 yrs",IF(P159&lt;10,"5-10 yrs","10+ yrs"))))</f>
        <v>10+ yrs</v>
      </c>
      <c r="S159" s="13" t="str">
        <f aca="false">IF(I159&gt;=4,"High",IF(I159=3,"Medium","Low"))</f>
        <v>Medium</v>
      </c>
      <c r="T159" s="13" t="str">
        <f aca="false">IF(M159=1,YEAR(C159),"")</f>
        <v/>
      </c>
      <c r="U159" s="13" t="str">
        <f aca="false">IF(M159=1,YEAR(C159)&amp;"-Q"&amp;ROUNDUP(MONTH(C159)/3,0),"")</f>
        <v/>
      </c>
      <c r="V159" s="13" t="str">
        <f aca="false">IF(M159=1,MONTH(C159),"")</f>
        <v/>
      </c>
    </row>
    <row r="160" customFormat="false" ht="15" hidden="false" customHeight="false" outlineLevel="0" collapsed="false">
      <c r="A160" s="13" t="str">
        <f aca="false">TRIM(Raw_Data!A160)</f>
        <v>EMP0159</v>
      </c>
      <c r="B160" s="14" t="n">
        <f aca="false">Raw_Data!B160</f>
        <v>41519</v>
      </c>
      <c r="C160" s="14" t="str">
        <f aca="false">IF(Raw_Data!C160="","",Raw_Data!C160)</f>
        <v/>
      </c>
      <c r="D160" s="13" t="n">
        <f aca="false">IF(Raw_Data!D160="","",Raw_Data!D160)</f>
        <v>46</v>
      </c>
      <c r="E160" s="13" t="str">
        <f aca="false">IF(UPPER(LEFT(TRIM(Raw_Data!E160),1))="M","Male",IF(UPPER(LEFT(TRIM(Raw_Data!E160),1))="F","Female","Unknown"))</f>
        <v>Male</v>
      </c>
      <c r="F160" s="13" t="str">
        <f aca="false">PROPER(TRIM(SUBSTITUTE(Raw_Data!F160,"'","")))</f>
        <v>Diploma</v>
      </c>
      <c r="G160" s="13" t="str">
        <f aca="false">PROPER(TRIM(Raw_Data!G160))</f>
        <v>Finance</v>
      </c>
      <c r="H160" s="13" t="str">
        <f aca="false">PROPER(TRIM(Raw_Data!H160))</f>
        <v>Analyst</v>
      </c>
      <c r="I160" s="13" t="n">
        <f aca="false">IF(Raw_Data!I160="",DefaultPerf,Raw_Data!I160)</f>
        <v>4</v>
      </c>
      <c r="J160" s="13" t="n">
        <f aca="false">IF(Raw_Data!J160="",DefaultSat,Raw_Data!J160)</f>
        <v>4</v>
      </c>
      <c r="K160" s="15" t="n">
        <f aca="false">Raw_Data!K160</f>
        <v>67000</v>
      </c>
      <c r="L160" s="13" t="str">
        <f aca="false">PROPER(TRIM(Raw_Data!N160))</f>
        <v>No</v>
      </c>
      <c r="M160" s="13" t="n">
        <f aca="false">IF(C160="",0,1)</f>
        <v>0</v>
      </c>
      <c r="N160" s="13" t="str">
        <f aca="false">IF(M160=0,"Active",IF(TRIM(Raw_Data!L160)="","Unknown",PROPER(TRIM(Raw_Data!L160))))</f>
        <v>Active</v>
      </c>
      <c r="O160" s="13" t="str">
        <f aca="false">IF(M160=0,"",IF(TRIM(Raw_Data!M160)="","Not Recorded",TRIM(Raw_Data!M160)))</f>
        <v/>
      </c>
      <c r="P160" s="16" t="n">
        <f aca="false">ROUND((IF(C160="",AsOfDate,C160)-B160)/365.25,2)</f>
        <v>12.33</v>
      </c>
      <c r="Q160" s="13" t="str">
        <f aca="false">IF(D160="","Unknown",IF(D160&lt;25,"Under 25",IF(D160&lt;35,"25-34",IF(D160&lt;45,"35-44",IF(D160&lt;55,"45-54","55+")))))</f>
        <v>45-54</v>
      </c>
      <c r="R160" s="13" t="str">
        <f aca="false">IF(P160&lt;1,"0-1 yrs",IF(P160&lt;3,"1-3 yrs",IF(P160&lt;5,"3-5 yrs",IF(P160&lt;10,"5-10 yrs","10+ yrs"))))</f>
        <v>10+ yrs</v>
      </c>
      <c r="S160" s="13" t="str">
        <f aca="false">IF(I160&gt;=4,"High",IF(I160=3,"Medium","Low"))</f>
        <v>High</v>
      </c>
      <c r="T160" s="13" t="str">
        <f aca="false">IF(M160=1,YEAR(C160),"")</f>
        <v/>
      </c>
      <c r="U160" s="13" t="str">
        <f aca="false">IF(M160=1,YEAR(C160)&amp;"-Q"&amp;ROUNDUP(MONTH(C160)/3,0),"")</f>
        <v/>
      </c>
      <c r="V160" s="13" t="str">
        <f aca="false">IF(M160=1,MONTH(C160),"")</f>
        <v/>
      </c>
    </row>
    <row r="161" customFormat="false" ht="15" hidden="false" customHeight="false" outlineLevel="0" collapsed="false">
      <c r="A161" s="13" t="str">
        <f aca="false">TRIM(Raw_Data!A161)</f>
        <v>EMP0160</v>
      </c>
      <c r="B161" s="14" t="n">
        <f aca="false">Raw_Data!B161</f>
        <v>41525</v>
      </c>
      <c r="C161" s="14" t="str">
        <f aca="false">IF(Raw_Data!C161="","",Raw_Data!C161)</f>
        <v/>
      </c>
      <c r="D161" s="13" t="n">
        <f aca="false">IF(Raw_Data!D161="","",Raw_Data!D161)</f>
        <v>40</v>
      </c>
      <c r="E161" s="13" t="str">
        <f aca="false">IF(UPPER(LEFT(TRIM(Raw_Data!E161),1))="M","Male",IF(UPPER(LEFT(TRIM(Raw_Data!E161),1))="F","Female","Unknown"))</f>
        <v>Female</v>
      </c>
      <c r="F161" s="13" t="str">
        <f aca="false">PROPER(TRIM(SUBSTITUTE(Raw_Data!F161,"'","")))</f>
        <v>Diploma</v>
      </c>
      <c r="G161" s="13" t="str">
        <f aca="false">PROPER(TRIM(Raw_Data!G161))</f>
        <v>Sales</v>
      </c>
      <c r="H161" s="13" t="str">
        <f aca="false">PROPER(TRIM(Raw_Data!H161))</f>
        <v>Analyst</v>
      </c>
      <c r="I161" s="13" t="n">
        <f aca="false">IF(Raw_Data!I161="",DefaultPerf,Raw_Data!I161)</f>
        <v>3</v>
      </c>
      <c r="J161" s="13" t="n">
        <f aca="false">IF(Raw_Data!J161="",DefaultSat,Raw_Data!J161)</f>
        <v>2</v>
      </c>
      <c r="K161" s="15" t="n">
        <f aca="false">Raw_Data!K161</f>
        <v>75000</v>
      </c>
      <c r="L161" s="13" t="str">
        <f aca="false">PROPER(TRIM(Raw_Data!N161))</f>
        <v>No</v>
      </c>
      <c r="M161" s="13" t="n">
        <f aca="false">IF(C161="",0,1)</f>
        <v>0</v>
      </c>
      <c r="N161" s="13" t="str">
        <f aca="false">IF(M161=0,"Active",IF(TRIM(Raw_Data!L161)="","Unknown",PROPER(TRIM(Raw_Data!L161))))</f>
        <v>Active</v>
      </c>
      <c r="O161" s="13" t="str">
        <f aca="false">IF(M161=0,"",IF(TRIM(Raw_Data!M161)="","Not Recorded",TRIM(Raw_Data!M161)))</f>
        <v/>
      </c>
      <c r="P161" s="16" t="n">
        <f aca="false">ROUND((IF(C161="",AsOfDate,C161)-B161)/365.25,2)</f>
        <v>12.31</v>
      </c>
      <c r="Q161" s="13" t="str">
        <f aca="false">IF(D161="","Unknown",IF(D161&lt;25,"Under 25",IF(D161&lt;35,"25-34",IF(D161&lt;45,"35-44",IF(D161&lt;55,"45-54","55+")))))</f>
        <v>35-44</v>
      </c>
      <c r="R161" s="13" t="str">
        <f aca="false">IF(P161&lt;1,"0-1 yrs",IF(P161&lt;3,"1-3 yrs",IF(P161&lt;5,"3-5 yrs",IF(P161&lt;10,"5-10 yrs","10+ yrs"))))</f>
        <v>10+ yrs</v>
      </c>
      <c r="S161" s="13" t="str">
        <f aca="false">IF(I161&gt;=4,"High",IF(I161=3,"Medium","Low"))</f>
        <v>Medium</v>
      </c>
      <c r="T161" s="13" t="str">
        <f aca="false">IF(M161=1,YEAR(C161),"")</f>
        <v/>
      </c>
      <c r="U161" s="13" t="str">
        <f aca="false">IF(M161=1,YEAR(C161)&amp;"-Q"&amp;ROUNDUP(MONTH(C161)/3,0),"")</f>
        <v/>
      </c>
      <c r="V161" s="13" t="str">
        <f aca="false">IF(M161=1,MONTH(C161),"")</f>
        <v/>
      </c>
    </row>
    <row r="162" customFormat="false" ht="15" hidden="false" customHeight="false" outlineLevel="0" collapsed="false">
      <c r="A162" s="13" t="str">
        <f aca="false">TRIM(Raw_Data!A162)</f>
        <v>EMP0161</v>
      </c>
      <c r="B162" s="14" t="n">
        <f aca="false">Raw_Data!B162</f>
        <v>41526</v>
      </c>
      <c r="C162" s="14" t="n">
        <f aca="false">IF(Raw_Data!C162="","",Raw_Data!C162)</f>
        <v>45411</v>
      </c>
      <c r="D162" s="13" t="n">
        <f aca="false">IF(Raw_Data!D162="","",Raw_Data!D162)</f>
        <v>38</v>
      </c>
      <c r="E162" s="13" t="str">
        <f aca="false">IF(UPPER(LEFT(TRIM(Raw_Data!E162),1))="M","Male",IF(UPPER(LEFT(TRIM(Raw_Data!E162),1))="F","Female","Unknown"))</f>
        <v>Male</v>
      </c>
      <c r="F162" s="13" t="str">
        <f aca="false">PROPER(TRIM(SUBSTITUTE(Raw_Data!F162,"'","")))</f>
        <v>Bachelors</v>
      </c>
      <c r="G162" s="13" t="str">
        <f aca="false">PROPER(TRIM(Raw_Data!G162))</f>
        <v>Engineering</v>
      </c>
      <c r="H162" s="13" t="str">
        <f aca="false">PROPER(TRIM(Raw_Data!H162))</f>
        <v>Associate</v>
      </c>
      <c r="I162" s="13" t="n">
        <f aca="false">IF(Raw_Data!I162="",DefaultPerf,Raw_Data!I162)</f>
        <v>2</v>
      </c>
      <c r="J162" s="13" t="n">
        <f aca="false">IF(Raw_Data!J162="",DefaultSat,Raw_Data!J162)</f>
        <v>1</v>
      </c>
      <c r="K162" s="15" t="n">
        <f aca="false">Raw_Data!K162</f>
        <v>50000</v>
      </c>
      <c r="L162" s="13" t="str">
        <f aca="false">PROPER(TRIM(Raw_Data!N162))</f>
        <v>No</v>
      </c>
      <c r="M162" s="13" t="n">
        <f aca="false">IF(C162="",0,1)</f>
        <v>1</v>
      </c>
      <c r="N162" s="13" t="str">
        <f aca="false">IF(M162=0,"Active",IF(TRIM(Raw_Data!L162)="","Unknown",PROPER(TRIM(Raw_Data!L162))))</f>
        <v>Voluntary</v>
      </c>
      <c r="O162" s="13" t="str">
        <f aca="false">IF(M162=0,"",IF(TRIM(Raw_Data!M162)="","Not Recorded",TRIM(Raw_Data!M162)))</f>
        <v>Career Growth</v>
      </c>
      <c r="P162" s="16" t="n">
        <f aca="false">ROUND((IF(C162="",AsOfDate,C162)-B162)/365.25,2)</f>
        <v>10.64</v>
      </c>
      <c r="Q162" s="13" t="str">
        <f aca="false">IF(D162="","Unknown",IF(D162&lt;25,"Under 25",IF(D162&lt;35,"25-34",IF(D162&lt;45,"35-44",IF(D162&lt;55,"45-54","55+")))))</f>
        <v>35-44</v>
      </c>
      <c r="R162" s="13" t="str">
        <f aca="false">IF(P162&lt;1,"0-1 yrs",IF(P162&lt;3,"1-3 yrs",IF(P162&lt;5,"3-5 yrs",IF(P162&lt;10,"5-10 yrs","10+ yrs"))))</f>
        <v>10+ yrs</v>
      </c>
      <c r="S162" s="13" t="str">
        <f aca="false">IF(I162&gt;=4,"High",IF(I162=3,"Medium","Low"))</f>
        <v>Low</v>
      </c>
      <c r="T162" s="13" t="n">
        <f aca="false">IF(M162=1,YEAR(C162),"")</f>
        <v>2024</v>
      </c>
      <c r="U162" s="13" t="str">
        <f aca="false">IF(M162=1,YEAR(C162)&amp;"-Q"&amp;ROUNDUP(MONTH(C162)/3,0),"")</f>
        <v>2024-Q2</v>
      </c>
      <c r="V162" s="13" t="n">
        <f aca="false">IF(M162=1,MONTH(C162),"")</f>
        <v>4</v>
      </c>
    </row>
    <row r="163" customFormat="false" ht="15" hidden="false" customHeight="false" outlineLevel="0" collapsed="false">
      <c r="A163" s="13" t="str">
        <f aca="false">TRIM(Raw_Data!A163)</f>
        <v>EMP0162</v>
      </c>
      <c r="B163" s="14" t="n">
        <f aca="false">Raw_Data!B163</f>
        <v>41530</v>
      </c>
      <c r="C163" s="14" t="str">
        <f aca="false">IF(Raw_Data!C163="","",Raw_Data!C163)</f>
        <v/>
      </c>
      <c r="D163" s="13" t="n">
        <f aca="false">IF(Raw_Data!D163="","",Raw_Data!D163)</f>
        <v>43</v>
      </c>
      <c r="E163" s="13" t="str">
        <f aca="false">IF(UPPER(LEFT(TRIM(Raw_Data!E163),1))="M","Male",IF(UPPER(LEFT(TRIM(Raw_Data!E163),1))="F","Female","Unknown"))</f>
        <v>Male</v>
      </c>
      <c r="F163" s="13" t="str">
        <f aca="false">PROPER(TRIM(SUBSTITUTE(Raw_Data!F163,"'","")))</f>
        <v>Masters</v>
      </c>
      <c r="G163" s="13" t="str">
        <f aca="false">PROPER(TRIM(Raw_Data!G163))</f>
        <v>Sales</v>
      </c>
      <c r="H163" s="13" t="str">
        <f aca="false">PROPER(TRIM(Raw_Data!H163))</f>
        <v>Analyst</v>
      </c>
      <c r="I163" s="13" t="n">
        <f aca="false">IF(Raw_Data!I163="",DefaultPerf,Raw_Data!I163)</f>
        <v>3</v>
      </c>
      <c r="J163" s="13" t="n">
        <f aca="false">IF(Raw_Data!J163="",DefaultSat,Raw_Data!J163)</f>
        <v>1</v>
      </c>
      <c r="K163" s="15" t="n">
        <f aca="false">Raw_Data!K163</f>
        <v>76000</v>
      </c>
      <c r="L163" s="13" t="str">
        <f aca="false">PROPER(TRIM(Raw_Data!N163))</f>
        <v>No</v>
      </c>
      <c r="M163" s="13" t="n">
        <f aca="false">IF(C163="",0,1)</f>
        <v>0</v>
      </c>
      <c r="N163" s="13" t="str">
        <f aca="false">IF(M163=0,"Active",IF(TRIM(Raw_Data!L163)="","Unknown",PROPER(TRIM(Raw_Data!L163))))</f>
        <v>Active</v>
      </c>
      <c r="O163" s="13" t="str">
        <f aca="false">IF(M163=0,"",IF(TRIM(Raw_Data!M163)="","Not Recorded",TRIM(Raw_Data!M163)))</f>
        <v/>
      </c>
      <c r="P163" s="16" t="n">
        <f aca="false">ROUND((IF(C163="",AsOfDate,C163)-B163)/365.25,2)</f>
        <v>12.3</v>
      </c>
      <c r="Q163" s="13" t="str">
        <f aca="false">IF(D163="","Unknown",IF(D163&lt;25,"Under 25",IF(D163&lt;35,"25-34",IF(D163&lt;45,"35-44",IF(D163&lt;55,"45-54","55+")))))</f>
        <v>35-44</v>
      </c>
      <c r="R163" s="13" t="str">
        <f aca="false">IF(P163&lt;1,"0-1 yrs",IF(P163&lt;3,"1-3 yrs",IF(P163&lt;5,"3-5 yrs",IF(P163&lt;10,"5-10 yrs","10+ yrs"))))</f>
        <v>10+ yrs</v>
      </c>
      <c r="S163" s="13" t="str">
        <f aca="false">IF(I163&gt;=4,"High",IF(I163=3,"Medium","Low"))</f>
        <v>Medium</v>
      </c>
      <c r="T163" s="13" t="str">
        <f aca="false">IF(M163=1,YEAR(C163),"")</f>
        <v/>
      </c>
      <c r="U163" s="13" t="str">
        <f aca="false">IF(M163=1,YEAR(C163)&amp;"-Q"&amp;ROUNDUP(MONTH(C163)/3,0),"")</f>
        <v/>
      </c>
      <c r="V163" s="13" t="str">
        <f aca="false">IF(M163=1,MONTH(C163),"")</f>
        <v/>
      </c>
    </row>
    <row r="164" customFormat="false" ht="15" hidden="false" customHeight="false" outlineLevel="0" collapsed="false">
      <c r="A164" s="13" t="str">
        <f aca="false">TRIM(Raw_Data!A164)</f>
        <v>EMP0163</v>
      </c>
      <c r="B164" s="14" t="n">
        <f aca="false">Raw_Data!B164</f>
        <v>41531</v>
      </c>
      <c r="C164" s="14" t="n">
        <f aca="false">IF(Raw_Data!C164="","",Raw_Data!C164)</f>
        <v>45277</v>
      </c>
      <c r="D164" s="13" t="n">
        <f aca="false">IF(Raw_Data!D164="","",Raw_Data!D164)</f>
        <v>37</v>
      </c>
      <c r="E164" s="13" t="str">
        <f aca="false">IF(UPPER(LEFT(TRIM(Raw_Data!E164),1))="M","Male",IF(UPPER(LEFT(TRIM(Raw_Data!E164),1))="F","Female","Unknown"))</f>
        <v>Female</v>
      </c>
      <c r="F164" s="13" t="str">
        <f aca="false">PROPER(TRIM(SUBSTITUTE(Raw_Data!F164,"'","")))</f>
        <v>Masters</v>
      </c>
      <c r="G164" s="13" t="str">
        <f aca="false">PROPER(TRIM(Raw_Data!G164))</f>
        <v>Customer Support</v>
      </c>
      <c r="H164" s="13" t="str">
        <f aca="false">PROPER(TRIM(Raw_Data!H164))</f>
        <v>Senior Analyst</v>
      </c>
      <c r="I164" s="13" t="n">
        <f aca="false">IF(Raw_Data!I164="",DefaultPerf,Raw_Data!I164)</f>
        <v>3</v>
      </c>
      <c r="J164" s="13" t="n">
        <f aca="false">IF(Raw_Data!J164="",DefaultSat,Raw_Data!J164)</f>
        <v>4</v>
      </c>
      <c r="K164" s="15" t="n">
        <f aca="false">Raw_Data!K164</f>
        <v>110000</v>
      </c>
      <c r="L164" s="13" t="str">
        <f aca="false">PROPER(TRIM(Raw_Data!N164))</f>
        <v>No</v>
      </c>
      <c r="M164" s="13" t="n">
        <f aca="false">IF(C164="",0,1)</f>
        <v>1</v>
      </c>
      <c r="N164" s="13" t="str">
        <f aca="false">IF(M164=0,"Active",IF(TRIM(Raw_Data!L164)="","Unknown",PROPER(TRIM(Raw_Data!L164))))</f>
        <v>Voluntary</v>
      </c>
      <c r="O164" s="13" t="str">
        <f aca="false">IF(M164=0,"",IF(TRIM(Raw_Data!M164)="","Not Recorded",TRIM(Raw_Data!M164)))</f>
        <v>Career Growth</v>
      </c>
      <c r="P164" s="16" t="n">
        <f aca="false">ROUND((IF(C164="",AsOfDate,C164)-B164)/365.25,2)</f>
        <v>10.26</v>
      </c>
      <c r="Q164" s="13" t="str">
        <f aca="false">IF(D164="","Unknown",IF(D164&lt;25,"Under 25",IF(D164&lt;35,"25-34",IF(D164&lt;45,"35-44",IF(D164&lt;55,"45-54","55+")))))</f>
        <v>35-44</v>
      </c>
      <c r="R164" s="13" t="str">
        <f aca="false">IF(P164&lt;1,"0-1 yrs",IF(P164&lt;3,"1-3 yrs",IF(P164&lt;5,"3-5 yrs",IF(P164&lt;10,"5-10 yrs","10+ yrs"))))</f>
        <v>10+ yrs</v>
      </c>
      <c r="S164" s="13" t="str">
        <f aca="false">IF(I164&gt;=4,"High",IF(I164=3,"Medium","Low"))</f>
        <v>Medium</v>
      </c>
      <c r="T164" s="13" t="n">
        <f aca="false">IF(M164=1,YEAR(C164),"")</f>
        <v>2023</v>
      </c>
      <c r="U164" s="13" t="str">
        <f aca="false">IF(M164=1,YEAR(C164)&amp;"-Q"&amp;ROUNDUP(MONTH(C164)/3,0),"")</f>
        <v>2023-Q4</v>
      </c>
      <c r="V164" s="13" t="n">
        <f aca="false">IF(M164=1,MONTH(C164),"")</f>
        <v>12</v>
      </c>
    </row>
    <row r="165" customFormat="false" ht="15" hidden="false" customHeight="false" outlineLevel="0" collapsed="false">
      <c r="A165" s="13" t="str">
        <f aca="false">TRIM(Raw_Data!A165)</f>
        <v>EMP0164</v>
      </c>
      <c r="B165" s="14" t="n">
        <f aca="false">Raw_Data!B165</f>
        <v>41539</v>
      </c>
      <c r="C165" s="14" t="str">
        <f aca="false">IF(Raw_Data!C165="","",Raw_Data!C165)</f>
        <v/>
      </c>
      <c r="D165" s="13" t="n">
        <f aca="false">IF(Raw_Data!D165="","",Raw_Data!D165)</f>
        <v>37</v>
      </c>
      <c r="E165" s="13" t="str">
        <f aca="false">IF(UPPER(LEFT(TRIM(Raw_Data!E165),1))="M","Male",IF(UPPER(LEFT(TRIM(Raw_Data!E165),1))="F","Female","Unknown"))</f>
        <v>Male</v>
      </c>
      <c r="F165" s="13" t="str">
        <f aca="false">PROPER(TRIM(SUBSTITUTE(Raw_Data!F165,"'","")))</f>
        <v>High School</v>
      </c>
      <c r="G165" s="13" t="str">
        <f aca="false">PROPER(TRIM(Raw_Data!G165))</f>
        <v>Customer Support</v>
      </c>
      <c r="H165" s="13" t="str">
        <f aca="false">PROPER(TRIM(Raw_Data!H165))</f>
        <v>Analyst</v>
      </c>
      <c r="I165" s="13" t="n">
        <f aca="false">IF(Raw_Data!I165="",DefaultPerf,Raw_Data!I165)</f>
        <v>3</v>
      </c>
      <c r="J165" s="13" t="n">
        <f aca="false">IF(Raw_Data!J165="",DefaultSat,Raw_Data!J165)</f>
        <v>2</v>
      </c>
      <c r="K165" s="15" t="n">
        <f aca="false">Raw_Data!K165</f>
        <v>74000</v>
      </c>
      <c r="L165" s="13" t="str">
        <f aca="false">PROPER(TRIM(Raw_Data!N165))</f>
        <v>No</v>
      </c>
      <c r="M165" s="13" t="n">
        <f aca="false">IF(C165="",0,1)</f>
        <v>0</v>
      </c>
      <c r="N165" s="13" t="str">
        <f aca="false">IF(M165=0,"Active",IF(TRIM(Raw_Data!L165)="","Unknown",PROPER(TRIM(Raw_Data!L165))))</f>
        <v>Active</v>
      </c>
      <c r="O165" s="13" t="str">
        <f aca="false">IF(M165=0,"",IF(TRIM(Raw_Data!M165)="","Not Recorded",TRIM(Raw_Data!M165)))</f>
        <v/>
      </c>
      <c r="P165" s="16" t="n">
        <f aca="false">ROUND((IF(C165="",AsOfDate,C165)-B165)/365.25,2)</f>
        <v>12.27</v>
      </c>
      <c r="Q165" s="13" t="str">
        <f aca="false">IF(D165="","Unknown",IF(D165&lt;25,"Under 25",IF(D165&lt;35,"25-34",IF(D165&lt;45,"35-44",IF(D165&lt;55,"45-54","55+")))))</f>
        <v>35-44</v>
      </c>
      <c r="R165" s="13" t="str">
        <f aca="false">IF(P165&lt;1,"0-1 yrs",IF(P165&lt;3,"1-3 yrs",IF(P165&lt;5,"3-5 yrs",IF(P165&lt;10,"5-10 yrs","10+ yrs"))))</f>
        <v>10+ yrs</v>
      </c>
      <c r="S165" s="13" t="str">
        <f aca="false">IF(I165&gt;=4,"High",IF(I165=3,"Medium","Low"))</f>
        <v>Medium</v>
      </c>
      <c r="T165" s="13" t="str">
        <f aca="false">IF(M165=1,YEAR(C165),"")</f>
        <v/>
      </c>
      <c r="U165" s="13" t="str">
        <f aca="false">IF(M165=1,YEAR(C165)&amp;"-Q"&amp;ROUNDUP(MONTH(C165)/3,0),"")</f>
        <v/>
      </c>
      <c r="V165" s="13" t="str">
        <f aca="false">IF(M165=1,MONTH(C165),"")</f>
        <v/>
      </c>
    </row>
    <row r="166" customFormat="false" ht="15" hidden="false" customHeight="false" outlineLevel="0" collapsed="false">
      <c r="A166" s="13" t="str">
        <f aca="false">TRIM(Raw_Data!A166)</f>
        <v>EMP0165</v>
      </c>
      <c r="B166" s="14" t="n">
        <f aca="false">Raw_Data!B166</f>
        <v>41542</v>
      </c>
      <c r="C166" s="14" t="n">
        <f aca="false">IF(Raw_Data!C166="","",Raw_Data!C166)</f>
        <v>45283</v>
      </c>
      <c r="D166" s="13" t="n">
        <f aca="false">IF(Raw_Data!D166="","",Raw_Data!D166)</f>
        <v>44</v>
      </c>
      <c r="E166" s="13" t="str">
        <f aca="false">IF(UPPER(LEFT(TRIM(Raw_Data!E166),1))="M","Male",IF(UPPER(LEFT(TRIM(Raw_Data!E166),1))="F","Female","Unknown"))</f>
        <v>Female</v>
      </c>
      <c r="F166" s="13" t="str">
        <f aca="false">PROPER(TRIM(SUBSTITUTE(Raw_Data!F166,"'","")))</f>
        <v>Masters</v>
      </c>
      <c r="G166" s="13" t="str">
        <f aca="false">PROPER(TRIM(Raw_Data!G166))</f>
        <v>Sales</v>
      </c>
      <c r="H166" s="13" t="str">
        <f aca="false">PROPER(TRIM(Raw_Data!H166))</f>
        <v>Senior Analyst</v>
      </c>
      <c r="I166" s="13" t="n">
        <f aca="false">IF(Raw_Data!I166="",DefaultPerf,Raw_Data!I166)</f>
        <v>4</v>
      </c>
      <c r="J166" s="13" t="n">
        <f aca="false">IF(Raw_Data!J166="",DefaultSat,Raw_Data!J166)</f>
        <v>2</v>
      </c>
      <c r="K166" s="15" t="n">
        <f aca="false">Raw_Data!K166</f>
        <v>105500</v>
      </c>
      <c r="L166" s="13" t="str">
        <f aca="false">PROPER(TRIM(Raw_Data!N166))</f>
        <v>No</v>
      </c>
      <c r="M166" s="13" t="n">
        <f aca="false">IF(C166="",0,1)</f>
        <v>1</v>
      </c>
      <c r="N166" s="13" t="str">
        <f aca="false">IF(M166=0,"Active",IF(TRIM(Raw_Data!L166)="","Unknown",PROPER(TRIM(Raw_Data!L166))))</f>
        <v>Involuntary</v>
      </c>
      <c r="O166" s="13" t="str">
        <f aca="false">IF(M166=0,"",IF(TRIM(Raw_Data!M166)="","Not Recorded",TRIM(Raw_Data!M166)))</f>
        <v>End of Contract</v>
      </c>
      <c r="P166" s="16" t="n">
        <f aca="false">ROUND((IF(C166="",AsOfDate,C166)-B166)/365.25,2)</f>
        <v>10.24</v>
      </c>
      <c r="Q166" s="13" t="str">
        <f aca="false">IF(D166="","Unknown",IF(D166&lt;25,"Under 25",IF(D166&lt;35,"25-34",IF(D166&lt;45,"35-44",IF(D166&lt;55,"45-54","55+")))))</f>
        <v>35-44</v>
      </c>
      <c r="R166" s="13" t="str">
        <f aca="false">IF(P166&lt;1,"0-1 yrs",IF(P166&lt;3,"1-3 yrs",IF(P166&lt;5,"3-5 yrs",IF(P166&lt;10,"5-10 yrs","10+ yrs"))))</f>
        <v>10+ yrs</v>
      </c>
      <c r="S166" s="13" t="str">
        <f aca="false">IF(I166&gt;=4,"High",IF(I166=3,"Medium","Low"))</f>
        <v>High</v>
      </c>
      <c r="T166" s="13" t="n">
        <f aca="false">IF(M166=1,YEAR(C166),"")</f>
        <v>2023</v>
      </c>
      <c r="U166" s="13" t="str">
        <f aca="false">IF(M166=1,YEAR(C166)&amp;"-Q"&amp;ROUNDUP(MONTH(C166)/3,0),"")</f>
        <v>2023-Q4</v>
      </c>
      <c r="V166" s="13" t="n">
        <f aca="false">IF(M166=1,MONTH(C166),"")</f>
        <v>12</v>
      </c>
    </row>
    <row r="167" customFormat="false" ht="15" hidden="false" customHeight="false" outlineLevel="0" collapsed="false">
      <c r="A167" s="13" t="str">
        <f aca="false">TRIM(Raw_Data!A167)</f>
        <v>EMP0166</v>
      </c>
      <c r="B167" s="14" t="n">
        <f aca="false">Raw_Data!B167</f>
        <v>41544</v>
      </c>
      <c r="C167" s="14" t="str">
        <f aca="false">IF(Raw_Data!C167="","",Raw_Data!C167)</f>
        <v/>
      </c>
      <c r="D167" s="13" t="n">
        <f aca="false">IF(Raw_Data!D167="","",Raw_Data!D167)</f>
        <v>47</v>
      </c>
      <c r="E167" s="13" t="str">
        <f aca="false">IF(UPPER(LEFT(TRIM(Raw_Data!E167),1))="M","Male",IF(UPPER(LEFT(TRIM(Raw_Data!E167),1))="F","Female","Unknown"))</f>
        <v>Female</v>
      </c>
      <c r="F167" s="13" t="str">
        <f aca="false">PROPER(TRIM(SUBSTITUTE(Raw_Data!F167,"'","")))</f>
        <v>Diploma</v>
      </c>
      <c r="G167" s="13" t="str">
        <f aca="false">PROPER(TRIM(Raw_Data!G167))</f>
        <v>Operations</v>
      </c>
      <c r="H167" s="13" t="str">
        <f aca="false">PROPER(TRIM(Raw_Data!H167))</f>
        <v>Manager</v>
      </c>
      <c r="I167" s="13" t="n">
        <f aca="false">IF(Raw_Data!I167="",DefaultPerf,Raw_Data!I167)</f>
        <v>3</v>
      </c>
      <c r="J167" s="13" t="n">
        <f aca="false">IF(Raw_Data!J167="",DefaultSat,Raw_Data!J167)</f>
        <v>1</v>
      </c>
      <c r="K167" s="15" t="n">
        <f aca="false">Raw_Data!K167</f>
        <v>241500</v>
      </c>
      <c r="L167" s="13" t="str">
        <f aca="false">PROPER(TRIM(Raw_Data!N167))</f>
        <v>No</v>
      </c>
      <c r="M167" s="13" t="n">
        <f aca="false">IF(C167="",0,1)</f>
        <v>0</v>
      </c>
      <c r="N167" s="13" t="str">
        <f aca="false">IF(M167=0,"Active",IF(TRIM(Raw_Data!L167)="","Unknown",PROPER(TRIM(Raw_Data!L167))))</f>
        <v>Active</v>
      </c>
      <c r="O167" s="13" t="str">
        <f aca="false">IF(M167=0,"",IF(TRIM(Raw_Data!M167)="","Not Recorded",TRIM(Raw_Data!M167)))</f>
        <v/>
      </c>
      <c r="P167" s="16" t="n">
        <f aca="false">ROUND((IF(C167="",AsOfDate,C167)-B167)/365.25,2)</f>
        <v>12.26</v>
      </c>
      <c r="Q167" s="13" t="str">
        <f aca="false">IF(D167="","Unknown",IF(D167&lt;25,"Under 25",IF(D167&lt;35,"25-34",IF(D167&lt;45,"35-44",IF(D167&lt;55,"45-54","55+")))))</f>
        <v>45-54</v>
      </c>
      <c r="R167" s="13" t="str">
        <f aca="false">IF(P167&lt;1,"0-1 yrs",IF(P167&lt;3,"1-3 yrs",IF(P167&lt;5,"3-5 yrs",IF(P167&lt;10,"5-10 yrs","10+ yrs"))))</f>
        <v>10+ yrs</v>
      </c>
      <c r="S167" s="13" t="str">
        <f aca="false">IF(I167&gt;=4,"High",IF(I167=3,"Medium","Low"))</f>
        <v>Medium</v>
      </c>
      <c r="T167" s="13" t="str">
        <f aca="false">IF(M167=1,YEAR(C167),"")</f>
        <v/>
      </c>
      <c r="U167" s="13" t="str">
        <f aca="false">IF(M167=1,YEAR(C167)&amp;"-Q"&amp;ROUNDUP(MONTH(C167)/3,0),"")</f>
        <v/>
      </c>
      <c r="V167" s="13" t="str">
        <f aca="false">IF(M167=1,MONTH(C167),"")</f>
        <v/>
      </c>
    </row>
    <row r="168" customFormat="false" ht="15" hidden="false" customHeight="false" outlineLevel="0" collapsed="false">
      <c r="A168" s="13" t="str">
        <f aca="false">TRIM(Raw_Data!A168)</f>
        <v>EMP0167</v>
      </c>
      <c r="B168" s="14" t="n">
        <f aca="false">Raw_Data!B168</f>
        <v>41552</v>
      </c>
      <c r="C168" s="14" t="str">
        <f aca="false">IF(Raw_Data!C168="","",Raw_Data!C168)</f>
        <v/>
      </c>
      <c r="D168" s="13" t="n">
        <f aca="false">IF(Raw_Data!D168="","",Raw_Data!D168)</f>
        <v>37</v>
      </c>
      <c r="E168" s="13" t="str">
        <f aca="false">IF(UPPER(LEFT(TRIM(Raw_Data!E168),1))="M","Male",IF(UPPER(LEFT(TRIM(Raw_Data!E168),1))="F","Female","Unknown"))</f>
        <v>Male</v>
      </c>
      <c r="F168" s="13" t="str">
        <f aca="false">PROPER(TRIM(SUBSTITUTE(Raw_Data!F168,"'","")))</f>
        <v>Masters</v>
      </c>
      <c r="G168" s="13" t="str">
        <f aca="false">PROPER(TRIM(Raw_Data!G168))</f>
        <v>Engineering</v>
      </c>
      <c r="H168" s="13" t="str">
        <f aca="false">PROPER(TRIM(Raw_Data!H168))</f>
        <v>Associate</v>
      </c>
      <c r="I168" s="13" t="n">
        <f aca="false">IF(Raw_Data!I168="",DefaultPerf,Raw_Data!I168)</f>
        <v>4</v>
      </c>
      <c r="J168" s="13" t="n">
        <f aca="false">IF(Raw_Data!J168="",DefaultSat,Raw_Data!J168)</f>
        <v>3</v>
      </c>
      <c r="K168" s="15" t="n">
        <f aca="false">Raw_Data!K168</f>
        <v>45500</v>
      </c>
      <c r="L168" s="13" t="str">
        <f aca="false">PROPER(TRIM(Raw_Data!N168))</f>
        <v>No</v>
      </c>
      <c r="M168" s="13" t="n">
        <f aca="false">IF(C168="",0,1)</f>
        <v>0</v>
      </c>
      <c r="N168" s="13" t="str">
        <f aca="false">IF(M168=0,"Active",IF(TRIM(Raw_Data!L168)="","Unknown",PROPER(TRIM(Raw_Data!L168))))</f>
        <v>Active</v>
      </c>
      <c r="O168" s="13" t="str">
        <f aca="false">IF(M168=0,"",IF(TRIM(Raw_Data!M168)="","Not Recorded",TRIM(Raw_Data!M168)))</f>
        <v/>
      </c>
      <c r="P168" s="16" t="n">
        <f aca="false">ROUND((IF(C168="",AsOfDate,C168)-B168)/365.25,2)</f>
        <v>12.24</v>
      </c>
      <c r="Q168" s="13" t="str">
        <f aca="false">IF(D168="","Unknown",IF(D168&lt;25,"Under 25",IF(D168&lt;35,"25-34",IF(D168&lt;45,"35-44",IF(D168&lt;55,"45-54","55+")))))</f>
        <v>35-44</v>
      </c>
      <c r="R168" s="13" t="str">
        <f aca="false">IF(P168&lt;1,"0-1 yrs",IF(P168&lt;3,"1-3 yrs",IF(P168&lt;5,"3-5 yrs",IF(P168&lt;10,"5-10 yrs","10+ yrs"))))</f>
        <v>10+ yrs</v>
      </c>
      <c r="S168" s="13" t="str">
        <f aca="false">IF(I168&gt;=4,"High",IF(I168=3,"Medium","Low"))</f>
        <v>High</v>
      </c>
      <c r="T168" s="13" t="str">
        <f aca="false">IF(M168=1,YEAR(C168),"")</f>
        <v/>
      </c>
      <c r="U168" s="13" t="str">
        <f aca="false">IF(M168=1,YEAR(C168)&amp;"-Q"&amp;ROUNDUP(MONTH(C168)/3,0),"")</f>
        <v/>
      </c>
      <c r="V168" s="13" t="str">
        <f aca="false">IF(M168=1,MONTH(C168),"")</f>
        <v/>
      </c>
    </row>
    <row r="169" customFormat="false" ht="15" hidden="false" customHeight="false" outlineLevel="0" collapsed="false">
      <c r="A169" s="13" t="str">
        <f aca="false">TRIM(Raw_Data!A169)</f>
        <v>EMP0168</v>
      </c>
      <c r="B169" s="14" t="n">
        <f aca="false">Raw_Data!B169</f>
        <v>41556</v>
      </c>
      <c r="C169" s="14" t="str">
        <f aca="false">IF(Raw_Data!C169="","",Raw_Data!C169)</f>
        <v/>
      </c>
      <c r="D169" s="13" t="n">
        <f aca="false">IF(Raw_Data!D169="","",Raw_Data!D169)</f>
        <v>40</v>
      </c>
      <c r="E169" s="13" t="str">
        <f aca="false">IF(UPPER(LEFT(TRIM(Raw_Data!E169),1))="M","Male",IF(UPPER(LEFT(TRIM(Raw_Data!E169),1))="F","Female","Unknown"))</f>
        <v>Male</v>
      </c>
      <c r="F169" s="13" t="str">
        <f aca="false">PROPER(TRIM(SUBSTITUTE(Raw_Data!F169,"'","")))</f>
        <v>Bachelors</v>
      </c>
      <c r="G169" s="13" t="str">
        <f aca="false">PROPER(TRIM(Raw_Data!G169))</f>
        <v>Sales</v>
      </c>
      <c r="H169" s="13" t="str">
        <f aca="false">PROPER(TRIM(Raw_Data!H169))</f>
        <v>Senior Analyst</v>
      </c>
      <c r="I169" s="13" t="n">
        <f aca="false">IF(Raw_Data!I169="",DefaultPerf,Raw_Data!I169)</f>
        <v>5</v>
      </c>
      <c r="J169" s="13" t="n">
        <f aca="false">IF(Raw_Data!J169="",DefaultSat,Raw_Data!J169)</f>
        <v>2</v>
      </c>
      <c r="K169" s="15" t="n">
        <f aca="false">Raw_Data!K169</f>
        <v>121000</v>
      </c>
      <c r="L169" s="13" t="str">
        <f aca="false">PROPER(TRIM(Raw_Data!N169))</f>
        <v>Yes</v>
      </c>
      <c r="M169" s="13" t="n">
        <f aca="false">IF(C169="",0,1)</f>
        <v>0</v>
      </c>
      <c r="N169" s="13" t="str">
        <f aca="false">IF(M169=0,"Active",IF(TRIM(Raw_Data!L169)="","Unknown",PROPER(TRIM(Raw_Data!L169))))</f>
        <v>Active</v>
      </c>
      <c r="O169" s="13" t="str">
        <f aca="false">IF(M169=0,"",IF(TRIM(Raw_Data!M169)="","Not Recorded",TRIM(Raw_Data!M169)))</f>
        <v/>
      </c>
      <c r="P169" s="16" t="n">
        <f aca="false">ROUND((IF(C169="",AsOfDate,C169)-B169)/365.25,2)</f>
        <v>12.23</v>
      </c>
      <c r="Q169" s="13" t="str">
        <f aca="false">IF(D169="","Unknown",IF(D169&lt;25,"Under 25",IF(D169&lt;35,"25-34",IF(D169&lt;45,"35-44",IF(D169&lt;55,"45-54","55+")))))</f>
        <v>35-44</v>
      </c>
      <c r="R169" s="13" t="str">
        <f aca="false">IF(P169&lt;1,"0-1 yrs",IF(P169&lt;3,"1-3 yrs",IF(P169&lt;5,"3-5 yrs",IF(P169&lt;10,"5-10 yrs","10+ yrs"))))</f>
        <v>10+ yrs</v>
      </c>
      <c r="S169" s="13" t="str">
        <f aca="false">IF(I169&gt;=4,"High",IF(I169=3,"Medium","Low"))</f>
        <v>High</v>
      </c>
      <c r="T169" s="13" t="str">
        <f aca="false">IF(M169=1,YEAR(C169),"")</f>
        <v/>
      </c>
      <c r="U169" s="13" t="str">
        <f aca="false">IF(M169=1,YEAR(C169)&amp;"-Q"&amp;ROUNDUP(MONTH(C169)/3,0),"")</f>
        <v/>
      </c>
      <c r="V169" s="13" t="str">
        <f aca="false">IF(M169=1,MONTH(C169),"")</f>
        <v/>
      </c>
    </row>
    <row r="170" customFormat="false" ht="15" hidden="false" customHeight="false" outlineLevel="0" collapsed="false">
      <c r="A170" s="13" t="str">
        <f aca="false">TRIM(Raw_Data!A170)</f>
        <v>EMP0169</v>
      </c>
      <c r="B170" s="14" t="n">
        <f aca="false">Raw_Data!B170</f>
        <v>41562</v>
      </c>
      <c r="C170" s="14" t="str">
        <f aca="false">IF(Raw_Data!C170="","",Raw_Data!C170)</f>
        <v/>
      </c>
      <c r="D170" s="13" t="n">
        <f aca="false">IF(Raw_Data!D170="","",Raw_Data!D170)</f>
        <v>44</v>
      </c>
      <c r="E170" s="13" t="str">
        <f aca="false">IF(UPPER(LEFT(TRIM(Raw_Data!E170),1))="M","Male",IF(UPPER(LEFT(TRIM(Raw_Data!E170),1))="F","Female","Unknown"))</f>
        <v>Female</v>
      </c>
      <c r="F170" s="13" t="str">
        <f aca="false">PROPER(TRIM(SUBSTITUTE(Raw_Data!F170,"'","")))</f>
        <v>Doctorate</v>
      </c>
      <c r="G170" s="13" t="str">
        <f aca="false">PROPER(TRIM(Raw_Data!G170))</f>
        <v>Finance</v>
      </c>
      <c r="H170" s="13" t="str">
        <f aca="false">PROPER(TRIM(Raw_Data!H170))</f>
        <v>Associate</v>
      </c>
      <c r="I170" s="13" t="n">
        <f aca="false">IF(Raw_Data!I170="",DefaultPerf,Raw_Data!I170)</f>
        <v>4</v>
      </c>
      <c r="J170" s="13" t="n">
        <f aca="false">IF(Raw_Data!J170="",DefaultSat,Raw_Data!J170)</f>
        <v>1</v>
      </c>
      <c r="K170" s="15" t="n">
        <f aca="false">Raw_Data!K170</f>
        <v>50000</v>
      </c>
      <c r="L170" s="13" t="str">
        <f aca="false">PROPER(TRIM(Raw_Data!N170))</f>
        <v>No</v>
      </c>
      <c r="M170" s="13" t="n">
        <f aca="false">IF(C170="",0,1)</f>
        <v>0</v>
      </c>
      <c r="N170" s="13" t="str">
        <f aca="false">IF(M170=0,"Active",IF(TRIM(Raw_Data!L170)="","Unknown",PROPER(TRIM(Raw_Data!L170))))</f>
        <v>Active</v>
      </c>
      <c r="O170" s="13" t="str">
        <f aca="false">IF(M170=0,"",IF(TRIM(Raw_Data!M170)="","Not Recorded",TRIM(Raw_Data!M170)))</f>
        <v/>
      </c>
      <c r="P170" s="16" t="n">
        <f aca="false">ROUND((IF(C170="",AsOfDate,C170)-B170)/365.25,2)</f>
        <v>12.21</v>
      </c>
      <c r="Q170" s="13" t="str">
        <f aca="false">IF(D170="","Unknown",IF(D170&lt;25,"Under 25",IF(D170&lt;35,"25-34",IF(D170&lt;45,"35-44",IF(D170&lt;55,"45-54","55+")))))</f>
        <v>35-44</v>
      </c>
      <c r="R170" s="13" t="str">
        <f aca="false">IF(P170&lt;1,"0-1 yrs",IF(P170&lt;3,"1-3 yrs",IF(P170&lt;5,"3-5 yrs",IF(P170&lt;10,"5-10 yrs","10+ yrs"))))</f>
        <v>10+ yrs</v>
      </c>
      <c r="S170" s="13" t="str">
        <f aca="false">IF(I170&gt;=4,"High",IF(I170=3,"Medium","Low"))</f>
        <v>High</v>
      </c>
      <c r="T170" s="13" t="str">
        <f aca="false">IF(M170=1,YEAR(C170),"")</f>
        <v/>
      </c>
      <c r="U170" s="13" t="str">
        <f aca="false">IF(M170=1,YEAR(C170)&amp;"-Q"&amp;ROUNDUP(MONTH(C170)/3,0),"")</f>
        <v/>
      </c>
      <c r="V170" s="13" t="str">
        <f aca="false">IF(M170=1,MONTH(C170),"")</f>
        <v/>
      </c>
    </row>
    <row r="171" customFormat="false" ht="15" hidden="false" customHeight="false" outlineLevel="0" collapsed="false">
      <c r="A171" s="13" t="str">
        <f aca="false">TRIM(Raw_Data!A171)</f>
        <v>EMP0170</v>
      </c>
      <c r="B171" s="14" t="n">
        <f aca="false">Raw_Data!B171</f>
        <v>41562</v>
      </c>
      <c r="C171" s="14" t="str">
        <f aca="false">IF(Raw_Data!C171="","",Raw_Data!C171)</f>
        <v/>
      </c>
      <c r="D171" s="13" t="n">
        <f aca="false">IF(Raw_Data!D171="","",Raw_Data!D171)</f>
        <v>47</v>
      </c>
      <c r="E171" s="13" t="str">
        <f aca="false">IF(UPPER(LEFT(TRIM(Raw_Data!E171),1))="M","Male",IF(UPPER(LEFT(TRIM(Raw_Data!E171),1))="F","Female","Unknown"))</f>
        <v>Male</v>
      </c>
      <c r="F171" s="13" t="str">
        <f aca="false">PROPER(TRIM(SUBSTITUTE(Raw_Data!F171,"'","")))</f>
        <v>High School</v>
      </c>
      <c r="G171" s="13" t="str">
        <f aca="false">PROPER(TRIM(Raw_Data!G171))</f>
        <v>Sales</v>
      </c>
      <c r="H171" s="13" t="str">
        <f aca="false">PROPER(TRIM(Raw_Data!H171))</f>
        <v>Analyst</v>
      </c>
      <c r="I171" s="13" t="n">
        <f aca="false">IF(Raw_Data!I171="",DefaultPerf,Raw_Data!I171)</f>
        <v>2</v>
      </c>
      <c r="J171" s="13" t="n">
        <f aca="false">IF(Raw_Data!J171="",DefaultSat,Raw_Data!J171)</f>
        <v>3</v>
      </c>
      <c r="K171" s="15" t="n">
        <f aca="false">Raw_Data!K171</f>
        <v>80000</v>
      </c>
      <c r="L171" s="13" t="str">
        <f aca="false">PROPER(TRIM(Raw_Data!N171))</f>
        <v>No</v>
      </c>
      <c r="M171" s="13" t="n">
        <f aca="false">IF(C171="",0,1)</f>
        <v>0</v>
      </c>
      <c r="N171" s="13" t="str">
        <f aca="false">IF(M171=0,"Active",IF(TRIM(Raw_Data!L171)="","Unknown",PROPER(TRIM(Raw_Data!L171))))</f>
        <v>Active</v>
      </c>
      <c r="O171" s="13" t="str">
        <f aca="false">IF(M171=0,"",IF(TRIM(Raw_Data!M171)="","Not Recorded",TRIM(Raw_Data!M171)))</f>
        <v/>
      </c>
      <c r="P171" s="16" t="n">
        <f aca="false">ROUND((IF(C171="",AsOfDate,C171)-B171)/365.25,2)</f>
        <v>12.21</v>
      </c>
      <c r="Q171" s="13" t="str">
        <f aca="false">IF(D171="","Unknown",IF(D171&lt;25,"Under 25",IF(D171&lt;35,"25-34",IF(D171&lt;45,"35-44",IF(D171&lt;55,"45-54","55+")))))</f>
        <v>45-54</v>
      </c>
      <c r="R171" s="13" t="str">
        <f aca="false">IF(P171&lt;1,"0-1 yrs",IF(P171&lt;3,"1-3 yrs",IF(P171&lt;5,"3-5 yrs",IF(P171&lt;10,"5-10 yrs","10+ yrs"))))</f>
        <v>10+ yrs</v>
      </c>
      <c r="S171" s="13" t="str">
        <f aca="false">IF(I171&gt;=4,"High",IF(I171=3,"Medium","Low"))</f>
        <v>Low</v>
      </c>
      <c r="T171" s="13" t="str">
        <f aca="false">IF(M171=1,YEAR(C171),"")</f>
        <v/>
      </c>
      <c r="U171" s="13" t="str">
        <f aca="false">IF(M171=1,YEAR(C171)&amp;"-Q"&amp;ROUNDUP(MONTH(C171)/3,0),"")</f>
        <v/>
      </c>
      <c r="V171" s="13" t="str">
        <f aca="false">IF(M171=1,MONTH(C171),"")</f>
        <v/>
      </c>
    </row>
    <row r="172" customFormat="false" ht="15" hidden="false" customHeight="false" outlineLevel="0" collapsed="false">
      <c r="A172" s="13" t="str">
        <f aca="false">TRIM(Raw_Data!A172)</f>
        <v>EMP0171</v>
      </c>
      <c r="B172" s="14" t="n">
        <f aca="false">Raw_Data!B172</f>
        <v>41565</v>
      </c>
      <c r="C172" s="14" t="str">
        <f aca="false">IF(Raw_Data!C172="","",Raw_Data!C172)</f>
        <v/>
      </c>
      <c r="D172" s="13" t="n">
        <f aca="false">IF(Raw_Data!D172="","",Raw_Data!D172)</f>
        <v>45</v>
      </c>
      <c r="E172" s="13" t="str">
        <f aca="false">IF(UPPER(LEFT(TRIM(Raw_Data!E172),1))="M","Male",IF(UPPER(LEFT(TRIM(Raw_Data!E172),1))="F","Female","Unknown"))</f>
        <v>Male</v>
      </c>
      <c r="F172" s="13" t="str">
        <f aca="false">PROPER(TRIM(SUBSTITUTE(Raw_Data!F172,"'","")))</f>
        <v>Bachelors</v>
      </c>
      <c r="G172" s="13" t="str">
        <f aca="false">PROPER(TRIM(Raw_Data!G172))</f>
        <v>Sales</v>
      </c>
      <c r="H172" s="13" t="str">
        <f aca="false">PROPER(TRIM(Raw_Data!H172))</f>
        <v>Specialist</v>
      </c>
      <c r="I172" s="13" t="n">
        <f aca="false">IF(Raw_Data!I172="",DefaultPerf,Raw_Data!I172)</f>
        <v>5</v>
      </c>
      <c r="J172" s="13" t="n">
        <f aca="false">IF(Raw_Data!J172="",DefaultSat,Raw_Data!J172)</f>
        <v>3</v>
      </c>
      <c r="K172" s="15" t="n">
        <f aca="false">Raw_Data!K172</f>
        <v>133500</v>
      </c>
      <c r="L172" s="13" t="str">
        <f aca="false">PROPER(TRIM(Raw_Data!N172))</f>
        <v>No</v>
      </c>
      <c r="M172" s="13" t="n">
        <f aca="false">IF(C172="",0,1)</f>
        <v>0</v>
      </c>
      <c r="N172" s="13" t="str">
        <f aca="false">IF(M172=0,"Active",IF(TRIM(Raw_Data!L172)="","Unknown",PROPER(TRIM(Raw_Data!L172))))</f>
        <v>Active</v>
      </c>
      <c r="O172" s="13" t="str">
        <f aca="false">IF(M172=0,"",IF(TRIM(Raw_Data!M172)="","Not Recorded",TRIM(Raw_Data!M172)))</f>
        <v/>
      </c>
      <c r="P172" s="16" t="n">
        <f aca="false">ROUND((IF(C172="",AsOfDate,C172)-B172)/365.25,2)</f>
        <v>12.2</v>
      </c>
      <c r="Q172" s="13" t="str">
        <f aca="false">IF(D172="","Unknown",IF(D172&lt;25,"Under 25",IF(D172&lt;35,"25-34",IF(D172&lt;45,"35-44",IF(D172&lt;55,"45-54","55+")))))</f>
        <v>45-54</v>
      </c>
      <c r="R172" s="13" t="str">
        <f aca="false">IF(P172&lt;1,"0-1 yrs",IF(P172&lt;3,"1-3 yrs",IF(P172&lt;5,"3-5 yrs",IF(P172&lt;10,"5-10 yrs","10+ yrs"))))</f>
        <v>10+ yrs</v>
      </c>
      <c r="S172" s="13" t="str">
        <f aca="false">IF(I172&gt;=4,"High",IF(I172=3,"Medium","Low"))</f>
        <v>High</v>
      </c>
      <c r="T172" s="13" t="str">
        <f aca="false">IF(M172=1,YEAR(C172),"")</f>
        <v/>
      </c>
      <c r="U172" s="13" t="str">
        <f aca="false">IF(M172=1,YEAR(C172)&amp;"-Q"&amp;ROUNDUP(MONTH(C172)/3,0),"")</f>
        <v/>
      </c>
      <c r="V172" s="13" t="str">
        <f aca="false">IF(M172=1,MONTH(C172),"")</f>
        <v/>
      </c>
    </row>
    <row r="173" customFormat="false" ht="15" hidden="false" customHeight="false" outlineLevel="0" collapsed="false">
      <c r="A173" s="13" t="str">
        <f aca="false">TRIM(Raw_Data!A173)</f>
        <v>EMP0172</v>
      </c>
      <c r="B173" s="14" t="n">
        <f aca="false">Raw_Data!B173</f>
        <v>41566</v>
      </c>
      <c r="C173" s="14" t="str">
        <f aca="false">IF(Raw_Data!C173="","",Raw_Data!C173)</f>
        <v/>
      </c>
      <c r="D173" s="13" t="n">
        <f aca="false">IF(Raw_Data!D173="","",Raw_Data!D173)</f>
        <v>45</v>
      </c>
      <c r="E173" s="13" t="str">
        <f aca="false">IF(UPPER(LEFT(TRIM(Raw_Data!E173),1))="M","Male",IF(UPPER(LEFT(TRIM(Raw_Data!E173),1))="F","Female","Unknown"))</f>
        <v>Male</v>
      </c>
      <c r="F173" s="13" t="str">
        <f aca="false">PROPER(TRIM(SUBSTITUTE(Raw_Data!F173,"'","")))</f>
        <v>Bachelors</v>
      </c>
      <c r="G173" s="13" t="str">
        <f aca="false">PROPER(TRIM(Raw_Data!G173))</f>
        <v>Engineering</v>
      </c>
      <c r="H173" s="13" t="str">
        <f aca="false">PROPER(TRIM(Raw_Data!H173))</f>
        <v>Manager</v>
      </c>
      <c r="I173" s="13" t="n">
        <f aca="false">IF(Raw_Data!I173="",DefaultPerf,Raw_Data!I173)</f>
        <v>3</v>
      </c>
      <c r="J173" s="13" t="n">
        <f aca="false">IF(Raw_Data!J173="",DefaultSat,Raw_Data!J173)</f>
        <v>2</v>
      </c>
      <c r="K173" s="15" t="n">
        <f aca="false">Raw_Data!K173</f>
        <v>242500</v>
      </c>
      <c r="L173" s="13" t="str">
        <f aca="false">PROPER(TRIM(Raw_Data!N173))</f>
        <v>No</v>
      </c>
      <c r="M173" s="13" t="n">
        <f aca="false">IF(C173="",0,1)</f>
        <v>0</v>
      </c>
      <c r="N173" s="13" t="str">
        <f aca="false">IF(M173=0,"Active",IF(TRIM(Raw_Data!L173)="","Unknown",PROPER(TRIM(Raw_Data!L173))))</f>
        <v>Active</v>
      </c>
      <c r="O173" s="13" t="str">
        <f aca="false">IF(M173=0,"",IF(TRIM(Raw_Data!M173)="","Not Recorded",TRIM(Raw_Data!M173)))</f>
        <v/>
      </c>
      <c r="P173" s="16" t="n">
        <f aca="false">ROUND((IF(C173="",AsOfDate,C173)-B173)/365.25,2)</f>
        <v>12.2</v>
      </c>
      <c r="Q173" s="13" t="str">
        <f aca="false">IF(D173="","Unknown",IF(D173&lt;25,"Under 25",IF(D173&lt;35,"25-34",IF(D173&lt;45,"35-44",IF(D173&lt;55,"45-54","55+")))))</f>
        <v>45-54</v>
      </c>
      <c r="R173" s="13" t="str">
        <f aca="false">IF(P173&lt;1,"0-1 yrs",IF(P173&lt;3,"1-3 yrs",IF(P173&lt;5,"3-5 yrs",IF(P173&lt;10,"5-10 yrs","10+ yrs"))))</f>
        <v>10+ yrs</v>
      </c>
      <c r="S173" s="13" t="str">
        <f aca="false">IF(I173&gt;=4,"High",IF(I173=3,"Medium","Low"))</f>
        <v>Medium</v>
      </c>
      <c r="T173" s="13" t="str">
        <f aca="false">IF(M173=1,YEAR(C173),"")</f>
        <v/>
      </c>
      <c r="U173" s="13" t="str">
        <f aca="false">IF(M173=1,YEAR(C173)&amp;"-Q"&amp;ROUNDUP(MONTH(C173)/3,0),"")</f>
        <v/>
      </c>
      <c r="V173" s="13" t="str">
        <f aca="false">IF(M173=1,MONTH(C173),"")</f>
        <v/>
      </c>
    </row>
    <row r="174" customFormat="false" ht="15" hidden="false" customHeight="false" outlineLevel="0" collapsed="false">
      <c r="A174" s="13" t="str">
        <f aca="false">TRIM(Raw_Data!A174)</f>
        <v>EMP0173</v>
      </c>
      <c r="B174" s="14" t="n">
        <f aca="false">Raw_Data!B174</f>
        <v>41575</v>
      </c>
      <c r="C174" s="14" t="n">
        <f aca="false">IF(Raw_Data!C174="","",Raw_Data!C174)</f>
        <v>45394</v>
      </c>
      <c r="D174" s="13" t="n">
        <f aca="false">IF(Raw_Data!D174="","",Raw_Data!D174)</f>
        <v>37</v>
      </c>
      <c r="E174" s="13" t="str">
        <f aca="false">IF(UPPER(LEFT(TRIM(Raw_Data!E174),1))="M","Male",IF(UPPER(LEFT(TRIM(Raw_Data!E174),1))="F","Female","Unknown"))</f>
        <v>Male</v>
      </c>
      <c r="F174" s="13" t="str">
        <f aca="false">PROPER(TRIM(SUBSTITUTE(Raw_Data!F174,"'","")))</f>
        <v>Diploma</v>
      </c>
      <c r="G174" s="13" t="str">
        <f aca="false">PROPER(TRIM(Raw_Data!G174))</f>
        <v>Engineering</v>
      </c>
      <c r="H174" s="13" t="str">
        <f aca="false">PROPER(TRIM(Raw_Data!H174))</f>
        <v>Analyst</v>
      </c>
      <c r="I174" s="13" t="n">
        <f aca="false">IF(Raw_Data!I174="",DefaultPerf,Raw_Data!I174)</f>
        <v>3</v>
      </c>
      <c r="J174" s="13" t="n">
        <f aca="false">IF(Raw_Data!J174="",DefaultSat,Raw_Data!J174)</f>
        <v>1</v>
      </c>
      <c r="K174" s="15" t="n">
        <f aca="false">Raw_Data!K174</f>
        <v>68500</v>
      </c>
      <c r="L174" s="13" t="str">
        <f aca="false">PROPER(TRIM(Raw_Data!N174))</f>
        <v>No</v>
      </c>
      <c r="M174" s="13" t="n">
        <f aca="false">IF(C174="",0,1)</f>
        <v>1</v>
      </c>
      <c r="N174" s="13" t="str">
        <f aca="false">IF(M174=0,"Active",IF(TRIM(Raw_Data!L174)="","Unknown",PROPER(TRIM(Raw_Data!L174))))</f>
        <v>Voluntary</v>
      </c>
      <c r="O174" s="13" t="str">
        <f aca="false">IF(M174=0,"",IF(TRIM(Raw_Data!M174)="","Not Recorded",TRIM(Raw_Data!M174)))</f>
        <v>Work-Life Balance</v>
      </c>
      <c r="P174" s="16" t="n">
        <f aca="false">ROUND((IF(C174="",AsOfDate,C174)-B174)/365.25,2)</f>
        <v>10.46</v>
      </c>
      <c r="Q174" s="13" t="str">
        <f aca="false">IF(D174="","Unknown",IF(D174&lt;25,"Under 25",IF(D174&lt;35,"25-34",IF(D174&lt;45,"35-44",IF(D174&lt;55,"45-54","55+")))))</f>
        <v>35-44</v>
      </c>
      <c r="R174" s="13" t="str">
        <f aca="false">IF(P174&lt;1,"0-1 yrs",IF(P174&lt;3,"1-3 yrs",IF(P174&lt;5,"3-5 yrs",IF(P174&lt;10,"5-10 yrs","10+ yrs"))))</f>
        <v>10+ yrs</v>
      </c>
      <c r="S174" s="13" t="str">
        <f aca="false">IF(I174&gt;=4,"High",IF(I174=3,"Medium","Low"))</f>
        <v>Medium</v>
      </c>
      <c r="T174" s="13" t="n">
        <f aca="false">IF(M174=1,YEAR(C174),"")</f>
        <v>2024</v>
      </c>
      <c r="U174" s="13" t="str">
        <f aca="false">IF(M174=1,YEAR(C174)&amp;"-Q"&amp;ROUNDUP(MONTH(C174)/3,0),"")</f>
        <v>2024-Q2</v>
      </c>
      <c r="V174" s="13" t="n">
        <f aca="false">IF(M174=1,MONTH(C174),"")</f>
        <v>4</v>
      </c>
    </row>
    <row r="175" customFormat="false" ht="15" hidden="false" customHeight="false" outlineLevel="0" collapsed="false">
      <c r="A175" s="13" t="str">
        <f aca="false">TRIM(Raw_Data!A175)</f>
        <v>EMP0174</v>
      </c>
      <c r="B175" s="14" t="n">
        <f aca="false">Raw_Data!B175</f>
        <v>41591</v>
      </c>
      <c r="C175" s="14" t="str">
        <f aca="false">IF(Raw_Data!C175="","",Raw_Data!C175)</f>
        <v/>
      </c>
      <c r="D175" s="13" t="n">
        <f aca="false">IF(Raw_Data!D175="","",Raw_Data!D175)</f>
        <v>42</v>
      </c>
      <c r="E175" s="13" t="str">
        <f aca="false">IF(UPPER(LEFT(TRIM(Raw_Data!E175),1))="M","Male",IF(UPPER(LEFT(TRIM(Raw_Data!E175),1))="F","Female","Unknown"))</f>
        <v>Male</v>
      </c>
      <c r="F175" s="13" t="str">
        <f aca="false">PROPER(TRIM(SUBSTITUTE(Raw_Data!F175,"'","")))</f>
        <v>Masters</v>
      </c>
      <c r="G175" s="13" t="str">
        <f aca="false">PROPER(TRIM(Raw_Data!G175))</f>
        <v>Engineering</v>
      </c>
      <c r="H175" s="13" t="str">
        <f aca="false">PROPER(TRIM(Raw_Data!H175))</f>
        <v>Senior Analyst</v>
      </c>
      <c r="I175" s="13" t="n">
        <f aca="false">IF(Raw_Data!I175="",DefaultPerf,Raw_Data!I175)</f>
        <v>4</v>
      </c>
      <c r="J175" s="13" t="n">
        <f aca="false">IF(Raw_Data!J175="",DefaultSat,Raw_Data!J175)</f>
        <v>3</v>
      </c>
      <c r="K175" s="15" t="n">
        <f aca="false">Raw_Data!K175</f>
        <v>128500</v>
      </c>
      <c r="L175" s="13" t="str">
        <f aca="false">PROPER(TRIM(Raw_Data!N175))</f>
        <v>Yes</v>
      </c>
      <c r="M175" s="13" t="n">
        <f aca="false">IF(C175="",0,1)</f>
        <v>0</v>
      </c>
      <c r="N175" s="13" t="str">
        <f aca="false">IF(M175=0,"Active",IF(TRIM(Raw_Data!L175)="","Unknown",PROPER(TRIM(Raw_Data!L175))))</f>
        <v>Active</v>
      </c>
      <c r="O175" s="13" t="str">
        <f aca="false">IF(M175=0,"",IF(TRIM(Raw_Data!M175)="","Not Recorded",TRIM(Raw_Data!M175)))</f>
        <v/>
      </c>
      <c r="P175" s="16" t="n">
        <f aca="false">ROUND((IF(C175="",AsOfDate,C175)-B175)/365.25,2)</f>
        <v>12.13</v>
      </c>
      <c r="Q175" s="13" t="str">
        <f aca="false">IF(D175="","Unknown",IF(D175&lt;25,"Under 25",IF(D175&lt;35,"25-34",IF(D175&lt;45,"35-44",IF(D175&lt;55,"45-54","55+")))))</f>
        <v>35-44</v>
      </c>
      <c r="R175" s="13" t="str">
        <f aca="false">IF(P175&lt;1,"0-1 yrs",IF(P175&lt;3,"1-3 yrs",IF(P175&lt;5,"3-5 yrs",IF(P175&lt;10,"5-10 yrs","10+ yrs"))))</f>
        <v>10+ yrs</v>
      </c>
      <c r="S175" s="13" t="str">
        <f aca="false">IF(I175&gt;=4,"High",IF(I175=3,"Medium","Low"))</f>
        <v>High</v>
      </c>
      <c r="T175" s="13" t="str">
        <f aca="false">IF(M175=1,YEAR(C175),"")</f>
        <v/>
      </c>
      <c r="U175" s="13" t="str">
        <f aca="false">IF(M175=1,YEAR(C175)&amp;"-Q"&amp;ROUNDUP(MONTH(C175)/3,0),"")</f>
        <v/>
      </c>
      <c r="V175" s="13" t="str">
        <f aca="false">IF(M175=1,MONTH(C175),"")</f>
        <v/>
      </c>
    </row>
    <row r="176" customFormat="false" ht="15" hidden="false" customHeight="false" outlineLevel="0" collapsed="false">
      <c r="A176" s="13" t="str">
        <f aca="false">TRIM(Raw_Data!A176)</f>
        <v>EMP0175</v>
      </c>
      <c r="B176" s="14" t="n">
        <f aca="false">Raw_Data!B176</f>
        <v>41592</v>
      </c>
      <c r="C176" s="14" t="str">
        <f aca="false">IF(Raw_Data!C176="","",Raw_Data!C176)</f>
        <v/>
      </c>
      <c r="D176" s="13" t="n">
        <f aca="false">IF(Raw_Data!D176="","",Raw_Data!D176)</f>
        <v>46</v>
      </c>
      <c r="E176" s="13" t="str">
        <f aca="false">IF(UPPER(LEFT(TRIM(Raw_Data!E176),1))="M","Male",IF(UPPER(LEFT(TRIM(Raw_Data!E176),1))="F","Female","Unknown"))</f>
        <v>Male</v>
      </c>
      <c r="F176" s="13" t="str">
        <f aca="false">PROPER(TRIM(SUBSTITUTE(Raw_Data!F176,"'","")))</f>
        <v>Bachelors</v>
      </c>
      <c r="G176" s="13" t="str">
        <f aca="false">PROPER(TRIM(Raw_Data!G176))</f>
        <v>Engineering</v>
      </c>
      <c r="H176" s="13" t="str">
        <f aca="false">PROPER(TRIM(Raw_Data!H176))</f>
        <v>Analyst</v>
      </c>
      <c r="I176" s="13" t="n">
        <f aca="false">IF(Raw_Data!I176="",DefaultPerf,Raw_Data!I176)</f>
        <v>4</v>
      </c>
      <c r="J176" s="13" t="n">
        <f aca="false">IF(Raw_Data!J176="",DefaultSat,Raw_Data!J176)</f>
        <v>1</v>
      </c>
      <c r="K176" s="15" t="n">
        <f aca="false">Raw_Data!K176</f>
        <v>76500</v>
      </c>
      <c r="L176" s="13" t="str">
        <f aca="false">PROPER(TRIM(Raw_Data!N176))</f>
        <v>No</v>
      </c>
      <c r="M176" s="13" t="n">
        <f aca="false">IF(C176="",0,1)</f>
        <v>0</v>
      </c>
      <c r="N176" s="13" t="str">
        <f aca="false">IF(M176=0,"Active",IF(TRIM(Raw_Data!L176)="","Unknown",PROPER(TRIM(Raw_Data!L176))))</f>
        <v>Active</v>
      </c>
      <c r="O176" s="13" t="str">
        <f aca="false">IF(M176=0,"",IF(TRIM(Raw_Data!M176)="","Not Recorded",TRIM(Raw_Data!M176)))</f>
        <v/>
      </c>
      <c r="P176" s="16" t="n">
        <f aca="false">ROUND((IF(C176="",AsOfDate,C176)-B176)/365.25,2)</f>
        <v>12.13</v>
      </c>
      <c r="Q176" s="13" t="str">
        <f aca="false">IF(D176="","Unknown",IF(D176&lt;25,"Under 25",IF(D176&lt;35,"25-34",IF(D176&lt;45,"35-44",IF(D176&lt;55,"45-54","55+")))))</f>
        <v>45-54</v>
      </c>
      <c r="R176" s="13" t="str">
        <f aca="false">IF(P176&lt;1,"0-1 yrs",IF(P176&lt;3,"1-3 yrs",IF(P176&lt;5,"3-5 yrs",IF(P176&lt;10,"5-10 yrs","10+ yrs"))))</f>
        <v>10+ yrs</v>
      </c>
      <c r="S176" s="13" t="str">
        <f aca="false">IF(I176&gt;=4,"High",IF(I176=3,"Medium","Low"))</f>
        <v>High</v>
      </c>
      <c r="T176" s="13" t="str">
        <f aca="false">IF(M176=1,YEAR(C176),"")</f>
        <v/>
      </c>
      <c r="U176" s="13" t="str">
        <f aca="false">IF(M176=1,YEAR(C176)&amp;"-Q"&amp;ROUNDUP(MONTH(C176)/3,0),"")</f>
        <v/>
      </c>
      <c r="V176" s="13" t="str">
        <f aca="false">IF(M176=1,MONTH(C176),"")</f>
        <v/>
      </c>
    </row>
    <row r="177" customFormat="false" ht="15" hidden="false" customHeight="false" outlineLevel="0" collapsed="false">
      <c r="A177" s="13" t="str">
        <f aca="false">TRIM(Raw_Data!A177)</f>
        <v>EMP0176</v>
      </c>
      <c r="B177" s="14" t="n">
        <f aca="false">Raw_Data!B177</f>
        <v>41592</v>
      </c>
      <c r="C177" s="14" t="n">
        <f aca="false">IF(Raw_Data!C177="","",Raw_Data!C177)</f>
        <v>45960</v>
      </c>
      <c r="D177" s="13" t="n">
        <f aca="false">IF(Raw_Data!D177="","",Raw_Data!D177)</f>
        <v>35</v>
      </c>
      <c r="E177" s="13" t="str">
        <f aca="false">IF(UPPER(LEFT(TRIM(Raw_Data!E177),1))="M","Male",IF(UPPER(LEFT(TRIM(Raw_Data!E177),1))="F","Female","Unknown"))</f>
        <v>Female</v>
      </c>
      <c r="F177" s="13" t="str">
        <f aca="false">PROPER(TRIM(SUBSTITUTE(Raw_Data!F177,"'","")))</f>
        <v>Masters</v>
      </c>
      <c r="G177" s="13" t="str">
        <f aca="false">PROPER(TRIM(Raw_Data!G177))</f>
        <v>Sales</v>
      </c>
      <c r="H177" s="13" t="str">
        <f aca="false">PROPER(TRIM(Raw_Data!H177))</f>
        <v>Associate</v>
      </c>
      <c r="I177" s="13" t="n">
        <f aca="false">IF(Raw_Data!I177="",DefaultPerf,Raw_Data!I177)</f>
        <v>3</v>
      </c>
      <c r="J177" s="13" t="n">
        <f aca="false">IF(Raw_Data!J177="",DefaultSat,Raw_Data!J177)</f>
        <v>2</v>
      </c>
      <c r="K177" s="15" t="n">
        <f aca="false">Raw_Data!K177</f>
        <v>49000</v>
      </c>
      <c r="L177" s="13" t="str">
        <f aca="false">PROPER(TRIM(Raw_Data!N177))</f>
        <v>No</v>
      </c>
      <c r="M177" s="13" t="n">
        <f aca="false">IF(C177="",0,1)</f>
        <v>1</v>
      </c>
      <c r="N177" s="13" t="str">
        <f aca="false">IF(M177=0,"Active",IF(TRIM(Raw_Data!L177)="","Unknown",PROPER(TRIM(Raw_Data!L177))))</f>
        <v>Voluntary</v>
      </c>
      <c r="O177" s="13" t="str">
        <f aca="false">IF(M177=0,"",IF(TRIM(Raw_Data!M177)="","Not Recorded",TRIM(Raw_Data!M177)))</f>
        <v>Relocation</v>
      </c>
      <c r="P177" s="16" t="n">
        <f aca="false">ROUND((IF(C177="",AsOfDate,C177)-B177)/365.25,2)</f>
        <v>11.96</v>
      </c>
      <c r="Q177" s="13" t="str">
        <f aca="false">IF(D177="","Unknown",IF(D177&lt;25,"Under 25",IF(D177&lt;35,"25-34",IF(D177&lt;45,"35-44",IF(D177&lt;55,"45-54","55+")))))</f>
        <v>35-44</v>
      </c>
      <c r="R177" s="13" t="str">
        <f aca="false">IF(P177&lt;1,"0-1 yrs",IF(P177&lt;3,"1-3 yrs",IF(P177&lt;5,"3-5 yrs",IF(P177&lt;10,"5-10 yrs","10+ yrs"))))</f>
        <v>10+ yrs</v>
      </c>
      <c r="S177" s="13" t="str">
        <f aca="false">IF(I177&gt;=4,"High",IF(I177=3,"Medium","Low"))</f>
        <v>Medium</v>
      </c>
      <c r="T177" s="13" t="n">
        <f aca="false">IF(M177=1,YEAR(C177),"")</f>
        <v>2025</v>
      </c>
      <c r="U177" s="13" t="str">
        <f aca="false">IF(M177=1,YEAR(C177)&amp;"-Q"&amp;ROUNDUP(MONTH(C177)/3,0),"")</f>
        <v>2025-Q4</v>
      </c>
      <c r="V177" s="13" t="n">
        <f aca="false">IF(M177=1,MONTH(C177),"")</f>
        <v>10</v>
      </c>
    </row>
    <row r="178" customFormat="false" ht="15" hidden="false" customHeight="false" outlineLevel="0" collapsed="false">
      <c r="A178" s="13" t="str">
        <f aca="false">TRIM(Raw_Data!A178)</f>
        <v>EMP0177</v>
      </c>
      <c r="B178" s="14" t="n">
        <f aca="false">Raw_Data!B178</f>
        <v>41594</v>
      </c>
      <c r="C178" s="14" t="n">
        <f aca="false">IF(Raw_Data!C178="","",Raw_Data!C178)</f>
        <v>45315</v>
      </c>
      <c r="D178" s="13" t="n">
        <f aca="false">IF(Raw_Data!D178="","",Raw_Data!D178)</f>
        <v>44</v>
      </c>
      <c r="E178" s="13" t="str">
        <f aca="false">IF(UPPER(LEFT(TRIM(Raw_Data!E178),1))="M","Male",IF(UPPER(LEFT(TRIM(Raw_Data!E178),1))="F","Female","Unknown"))</f>
        <v>Male</v>
      </c>
      <c r="F178" s="13" t="str">
        <f aca="false">PROPER(TRIM(SUBSTITUTE(Raw_Data!F178,"'","")))</f>
        <v>Masters</v>
      </c>
      <c r="G178" s="13" t="str">
        <f aca="false">PROPER(TRIM(Raw_Data!G178))</f>
        <v>Engineering</v>
      </c>
      <c r="H178" s="13" t="str">
        <f aca="false">PROPER(TRIM(Raw_Data!H178))</f>
        <v>Associate</v>
      </c>
      <c r="I178" s="13" t="n">
        <f aca="false">IF(Raw_Data!I178="",DefaultPerf,Raw_Data!I178)</f>
        <v>4</v>
      </c>
      <c r="J178" s="13" t="n">
        <f aca="false">IF(Raw_Data!J178="",DefaultSat,Raw_Data!J178)</f>
        <v>2</v>
      </c>
      <c r="K178" s="15" t="n">
        <f aca="false">Raw_Data!K178</f>
        <v>48500</v>
      </c>
      <c r="L178" s="13" t="str">
        <f aca="false">PROPER(TRIM(Raw_Data!N178))</f>
        <v>Yes</v>
      </c>
      <c r="M178" s="13" t="n">
        <f aca="false">IF(C178="",0,1)</f>
        <v>1</v>
      </c>
      <c r="N178" s="13" t="str">
        <f aca="false">IF(M178=0,"Active",IF(TRIM(Raw_Data!L178)="","Unknown",PROPER(TRIM(Raw_Data!L178))))</f>
        <v>Voluntary</v>
      </c>
      <c r="O178" s="13" t="str">
        <f aca="false">IF(M178=0,"",IF(TRIM(Raw_Data!M178)="","Not Recorded",TRIM(Raw_Data!M178)))</f>
        <v>Work-Life Balance</v>
      </c>
      <c r="P178" s="16" t="n">
        <f aca="false">ROUND((IF(C178="",AsOfDate,C178)-B178)/365.25,2)</f>
        <v>10.19</v>
      </c>
      <c r="Q178" s="13" t="str">
        <f aca="false">IF(D178="","Unknown",IF(D178&lt;25,"Under 25",IF(D178&lt;35,"25-34",IF(D178&lt;45,"35-44",IF(D178&lt;55,"45-54","55+")))))</f>
        <v>35-44</v>
      </c>
      <c r="R178" s="13" t="str">
        <f aca="false">IF(P178&lt;1,"0-1 yrs",IF(P178&lt;3,"1-3 yrs",IF(P178&lt;5,"3-5 yrs",IF(P178&lt;10,"5-10 yrs","10+ yrs"))))</f>
        <v>10+ yrs</v>
      </c>
      <c r="S178" s="13" t="str">
        <f aca="false">IF(I178&gt;=4,"High",IF(I178=3,"Medium","Low"))</f>
        <v>High</v>
      </c>
      <c r="T178" s="13" t="n">
        <f aca="false">IF(M178=1,YEAR(C178),"")</f>
        <v>2024</v>
      </c>
      <c r="U178" s="13" t="str">
        <f aca="false">IF(M178=1,YEAR(C178)&amp;"-Q"&amp;ROUNDUP(MONTH(C178)/3,0),"")</f>
        <v>2024-Q1</v>
      </c>
      <c r="V178" s="13" t="n">
        <f aca="false">IF(M178=1,MONTH(C178),"")</f>
        <v>1</v>
      </c>
    </row>
    <row r="179" customFormat="false" ht="15" hidden="false" customHeight="false" outlineLevel="0" collapsed="false">
      <c r="A179" s="13" t="str">
        <f aca="false">TRIM(Raw_Data!A179)</f>
        <v>EMP0178</v>
      </c>
      <c r="B179" s="14" t="n">
        <f aca="false">Raw_Data!B179</f>
        <v>41594</v>
      </c>
      <c r="C179" s="14" t="str">
        <f aca="false">IF(Raw_Data!C179="","",Raw_Data!C179)</f>
        <v/>
      </c>
      <c r="D179" s="13" t="n">
        <f aca="false">IF(Raw_Data!D179="","",Raw_Data!D179)</f>
        <v>42</v>
      </c>
      <c r="E179" s="13" t="str">
        <f aca="false">IF(UPPER(LEFT(TRIM(Raw_Data!E179),1))="M","Male",IF(UPPER(LEFT(TRIM(Raw_Data!E179),1))="F","Female","Unknown"))</f>
        <v>Male</v>
      </c>
      <c r="F179" s="13" t="str">
        <f aca="false">PROPER(TRIM(SUBSTITUTE(Raw_Data!F179,"'","")))</f>
        <v>Bachelors</v>
      </c>
      <c r="G179" s="13" t="str">
        <f aca="false">PROPER(TRIM(Raw_Data!G179))</f>
        <v>Human Resources</v>
      </c>
      <c r="H179" s="13" t="str">
        <f aca="false">PROPER(TRIM(Raw_Data!H179))</f>
        <v>Senior Analyst</v>
      </c>
      <c r="I179" s="13" t="n">
        <f aca="false">IF(Raw_Data!I179="",DefaultPerf,Raw_Data!I179)</f>
        <v>1</v>
      </c>
      <c r="J179" s="13" t="n">
        <f aca="false">IF(Raw_Data!J179="",DefaultSat,Raw_Data!J179)</f>
        <v>1</v>
      </c>
      <c r="K179" s="15" t="n">
        <f aca="false">Raw_Data!K179</f>
        <v>138000</v>
      </c>
      <c r="L179" s="13" t="str">
        <f aca="false">PROPER(TRIM(Raw_Data!N179))</f>
        <v>No</v>
      </c>
      <c r="M179" s="13" t="n">
        <f aca="false">IF(C179="",0,1)</f>
        <v>0</v>
      </c>
      <c r="N179" s="13" t="str">
        <f aca="false">IF(M179=0,"Active",IF(TRIM(Raw_Data!L179)="","Unknown",PROPER(TRIM(Raw_Data!L179))))</f>
        <v>Active</v>
      </c>
      <c r="O179" s="13" t="str">
        <f aca="false">IF(M179=0,"",IF(TRIM(Raw_Data!M179)="","Not Recorded",TRIM(Raw_Data!M179)))</f>
        <v/>
      </c>
      <c r="P179" s="16" t="n">
        <f aca="false">ROUND((IF(C179="",AsOfDate,C179)-B179)/365.25,2)</f>
        <v>12.12</v>
      </c>
      <c r="Q179" s="13" t="str">
        <f aca="false">IF(D179="","Unknown",IF(D179&lt;25,"Under 25",IF(D179&lt;35,"25-34",IF(D179&lt;45,"35-44",IF(D179&lt;55,"45-54","55+")))))</f>
        <v>35-44</v>
      </c>
      <c r="R179" s="13" t="str">
        <f aca="false">IF(P179&lt;1,"0-1 yrs",IF(P179&lt;3,"1-3 yrs",IF(P179&lt;5,"3-5 yrs",IF(P179&lt;10,"5-10 yrs","10+ yrs"))))</f>
        <v>10+ yrs</v>
      </c>
      <c r="S179" s="13" t="str">
        <f aca="false">IF(I179&gt;=4,"High",IF(I179=3,"Medium","Low"))</f>
        <v>Low</v>
      </c>
      <c r="T179" s="13" t="str">
        <f aca="false">IF(M179=1,YEAR(C179),"")</f>
        <v/>
      </c>
      <c r="U179" s="13" t="str">
        <f aca="false">IF(M179=1,YEAR(C179)&amp;"-Q"&amp;ROUNDUP(MONTH(C179)/3,0),"")</f>
        <v/>
      </c>
      <c r="V179" s="13" t="str">
        <f aca="false">IF(M179=1,MONTH(C179),"")</f>
        <v/>
      </c>
    </row>
    <row r="180" customFormat="false" ht="15" hidden="false" customHeight="false" outlineLevel="0" collapsed="false">
      <c r="A180" s="13" t="str">
        <f aca="false">TRIM(Raw_Data!A180)</f>
        <v>EMP0179</v>
      </c>
      <c r="B180" s="14" t="n">
        <f aca="false">Raw_Data!B180</f>
        <v>41602</v>
      </c>
      <c r="C180" s="14" t="str">
        <f aca="false">IF(Raw_Data!C180="","",Raw_Data!C180)</f>
        <v/>
      </c>
      <c r="D180" s="13" t="n">
        <f aca="false">IF(Raw_Data!D180="","",Raw_Data!D180)</f>
        <v>38</v>
      </c>
      <c r="E180" s="13" t="str">
        <f aca="false">IF(UPPER(LEFT(TRIM(Raw_Data!E180),1))="M","Male",IF(UPPER(LEFT(TRIM(Raw_Data!E180),1))="F","Female","Unknown"))</f>
        <v>Male</v>
      </c>
      <c r="F180" s="13" t="str">
        <f aca="false">PROPER(TRIM(SUBSTITUTE(Raw_Data!F180,"'","")))</f>
        <v>Bachelors</v>
      </c>
      <c r="G180" s="13" t="str">
        <f aca="false">PROPER(TRIM(Raw_Data!G180))</f>
        <v>Engineering</v>
      </c>
      <c r="H180" s="13" t="str">
        <f aca="false">PROPER(TRIM(Raw_Data!H180))</f>
        <v>Team Lead</v>
      </c>
      <c r="I180" s="13" t="n">
        <f aca="false">IF(Raw_Data!I180="",DefaultPerf,Raw_Data!I180)</f>
        <v>4</v>
      </c>
      <c r="J180" s="13" t="n">
        <f aca="false">IF(Raw_Data!J180="",DefaultSat,Raw_Data!J180)</f>
        <v>3</v>
      </c>
      <c r="K180" s="15" t="n">
        <f aca="false">Raw_Data!K180</f>
        <v>154500</v>
      </c>
      <c r="L180" s="13" t="str">
        <f aca="false">PROPER(TRIM(Raw_Data!N180))</f>
        <v>Yes</v>
      </c>
      <c r="M180" s="13" t="n">
        <f aca="false">IF(C180="",0,1)</f>
        <v>0</v>
      </c>
      <c r="N180" s="13" t="str">
        <f aca="false">IF(M180=0,"Active",IF(TRIM(Raw_Data!L180)="","Unknown",PROPER(TRIM(Raw_Data!L180))))</f>
        <v>Active</v>
      </c>
      <c r="O180" s="13" t="str">
        <f aca="false">IF(M180=0,"",IF(TRIM(Raw_Data!M180)="","Not Recorded",TRIM(Raw_Data!M180)))</f>
        <v/>
      </c>
      <c r="P180" s="16" t="n">
        <f aca="false">ROUND((IF(C180="",AsOfDate,C180)-B180)/365.25,2)</f>
        <v>12.1</v>
      </c>
      <c r="Q180" s="13" t="str">
        <f aca="false">IF(D180="","Unknown",IF(D180&lt;25,"Under 25",IF(D180&lt;35,"25-34",IF(D180&lt;45,"35-44",IF(D180&lt;55,"45-54","55+")))))</f>
        <v>35-44</v>
      </c>
      <c r="R180" s="13" t="str">
        <f aca="false">IF(P180&lt;1,"0-1 yrs",IF(P180&lt;3,"1-3 yrs",IF(P180&lt;5,"3-5 yrs",IF(P180&lt;10,"5-10 yrs","10+ yrs"))))</f>
        <v>10+ yrs</v>
      </c>
      <c r="S180" s="13" t="str">
        <f aca="false">IF(I180&gt;=4,"High",IF(I180=3,"Medium","Low"))</f>
        <v>High</v>
      </c>
      <c r="T180" s="13" t="str">
        <f aca="false">IF(M180=1,YEAR(C180),"")</f>
        <v/>
      </c>
      <c r="U180" s="13" t="str">
        <f aca="false">IF(M180=1,YEAR(C180)&amp;"-Q"&amp;ROUNDUP(MONTH(C180)/3,0),"")</f>
        <v/>
      </c>
      <c r="V180" s="13" t="str">
        <f aca="false">IF(M180=1,MONTH(C180),"")</f>
        <v/>
      </c>
    </row>
    <row r="181" customFormat="false" ht="15" hidden="false" customHeight="false" outlineLevel="0" collapsed="false">
      <c r="A181" s="13" t="str">
        <f aca="false">TRIM(Raw_Data!A181)</f>
        <v>EMP0180</v>
      </c>
      <c r="B181" s="14" t="n">
        <f aca="false">Raw_Data!B181</f>
        <v>41605</v>
      </c>
      <c r="C181" s="14" t="n">
        <f aca="false">IF(Raw_Data!C181="","",Raw_Data!C181)</f>
        <v>44569</v>
      </c>
      <c r="D181" s="13" t="n">
        <f aca="false">IF(Raw_Data!D181="","",Raw_Data!D181)</f>
        <v>40</v>
      </c>
      <c r="E181" s="13" t="str">
        <f aca="false">IF(UPPER(LEFT(TRIM(Raw_Data!E181),1))="M","Male",IF(UPPER(LEFT(TRIM(Raw_Data!E181),1))="F","Female","Unknown"))</f>
        <v>Male</v>
      </c>
      <c r="F181" s="13" t="str">
        <f aca="false">PROPER(TRIM(SUBSTITUTE(Raw_Data!F181,"'","")))</f>
        <v>Bachelors</v>
      </c>
      <c r="G181" s="13" t="str">
        <f aca="false">PROPER(TRIM(Raw_Data!G181))</f>
        <v>Customer Support</v>
      </c>
      <c r="H181" s="13" t="str">
        <f aca="false">PROPER(TRIM(Raw_Data!H181))</f>
        <v>Associate</v>
      </c>
      <c r="I181" s="13" t="n">
        <f aca="false">IF(Raw_Data!I181="",DefaultPerf,Raw_Data!I181)</f>
        <v>3</v>
      </c>
      <c r="J181" s="13" t="n">
        <f aca="false">IF(Raw_Data!J181="",DefaultSat,Raw_Data!J181)</f>
        <v>4</v>
      </c>
      <c r="K181" s="15" t="n">
        <f aca="false">Raw_Data!K181</f>
        <v>56000</v>
      </c>
      <c r="L181" s="13" t="str">
        <f aca="false">PROPER(TRIM(Raw_Data!N181))</f>
        <v>No</v>
      </c>
      <c r="M181" s="13" t="n">
        <f aca="false">IF(C181="",0,1)</f>
        <v>1</v>
      </c>
      <c r="N181" s="13" t="str">
        <f aca="false">IF(M181=0,"Active",IF(TRIM(Raw_Data!L181)="","Unknown",PROPER(TRIM(Raw_Data!L181))))</f>
        <v>Voluntary</v>
      </c>
      <c r="O181" s="13" t="str">
        <f aca="false">IF(M181=0,"",IF(TRIM(Raw_Data!M181)="","Not Recorded",TRIM(Raw_Data!M181)))</f>
        <v>Manager Issues</v>
      </c>
      <c r="P181" s="16" t="n">
        <f aca="false">ROUND((IF(C181="",AsOfDate,C181)-B181)/365.25,2)</f>
        <v>8.11</v>
      </c>
      <c r="Q181" s="13" t="str">
        <f aca="false">IF(D181="","Unknown",IF(D181&lt;25,"Under 25",IF(D181&lt;35,"25-34",IF(D181&lt;45,"35-44",IF(D181&lt;55,"45-54","55+")))))</f>
        <v>35-44</v>
      </c>
      <c r="R181" s="13" t="str">
        <f aca="false">IF(P181&lt;1,"0-1 yrs",IF(P181&lt;3,"1-3 yrs",IF(P181&lt;5,"3-5 yrs",IF(P181&lt;10,"5-10 yrs","10+ yrs"))))</f>
        <v>5-10 yrs</v>
      </c>
      <c r="S181" s="13" t="str">
        <f aca="false">IF(I181&gt;=4,"High",IF(I181=3,"Medium","Low"))</f>
        <v>Medium</v>
      </c>
      <c r="T181" s="13" t="n">
        <f aca="false">IF(M181=1,YEAR(C181),"")</f>
        <v>2022</v>
      </c>
      <c r="U181" s="13" t="str">
        <f aca="false">IF(M181=1,YEAR(C181)&amp;"-Q"&amp;ROUNDUP(MONTH(C181)/3,0),"")</f>
        <v>2022-Q1</v>
      </c>
      <c r="V181" s="13" t="n">
        <f aca="false">IF(M181=1,MONTH(C181),"")</f>
        <v>1</v>
      </c>
    </row>
    <row r="182" customFormat="false" ht="15" hidden="false" customHeight="false" outlineLevel="0" collapsed="false">
      <c r="A182" s="13" t="str">
        <f aca="false">TRIM(Raw_Data!A182)</f>
        <v>EMP0181</v>
      </c>
      <c r="B182" s="14" t="n">
        <f aca="false">Raw_Data!B182</f>
        <v>41606</v>
      </c>
      <c r="C182" s="14" t="str">
        <f aca="false">IF(Raw_Data!C182="","",Raw_Data!C182)</f>
        <v/>
      </c>
      <c r="D182" s="13" t="n">
        <f aca="false">IF(Raw_Data!D182="","",Raw_Data!D182)</f>
        <v>43</v>
      </c>
      <c r="E182" s="13" t="str">
        <f aca="false">IF(UPPER(LEFT(TRIM(Raw_Data!E182),1))="M","Male",IF(UPPER(LEFT(TRIM(Raw_Data!E182),1))="F","Female","Unknown"))</f>
        <v>Female</v>
      </c>
      <c r="F182" s="13" t="str">
        <f aca="false">PROPER(TRIM(SUBSTITUTE(Raw_Data!F182,"'","")))</f>
        <v>Masters</v>
      </c>
      <c r="G182" s="13" t="str">
        <f aca="false">PROPER(TRIM(Raw_Data!G182))</f>
        <v>Sales</v>
      </c>
      <c r="H182" s="13" t="str">
        <f aca="false">PROPER(TRIM(Raw_Data!H182))</f>
        <v>Specialist</v>
      </c>
      <c r="I182" s="13" t="n">
        <f aca="false">IF(Raw_Data!I182="",DefaultPerf,Raw_Data!I182)</f>
        <v>3</v>
      </c>
      <c r="J182" s="13" t="n">
        <f aca="false">IF(Raw_Data!J182="",DefaultSat,Raw_Data!J182)</f>
        <v>1</v>
      </c>
      <c r="K182" s="15" t="n">
        <f aca="false">Raw_Data!K182</f>
        <v>170500</v>
      </c>
      <c r="L182" s="13" t="str">
        <f aca="false">PROPER(TRIM(Raw_Data!N182))</f>
        <v>No</v>
      </c>
      <c r="M182" s="13" t="n">
        <f aca="false">IF(C182="",0,1)</f>
        <v>0</v>
      </c>
      <c r="N182" s="13" t="str">
        <f aca="false">IF(M182=0,"Active",IF(TRIM(Raw_Data!L182)="","Unknown",PROPER(TRIM(Raw_Data!L182))))</f>
        <v>Active</v>
      </c>
      <c r="O182" s="13" t="str">
        <f aca="false">IF(M182=0,"",IF(TRIM(Raw_Data!M182)="","Not Recorded",TRIM(Raw_Data!M182)))</f>
        <v/>
      </c>
      <c r="P182" s="16" t="n">
        <f aca="false">ROUND((IF(C182="",AsOfDate,C182)-B182)/365.25,2)</f>
        <v>12.09</v>
      </c>
      <c r="Q182" s="13" t="str">
        <f aca="false">IF(D182="","Unknown",IF(D182&lt;25,"Under 25",IF(D182&lt;35,"25-34",IF(D182&lt;45,"35-44",IF(D182&lt;55,"45-54","55+")))))</f>
        <v>35-44</v>
      </c>
      <c r="R182" s="13" t="str">
        <f aca="false">IF(P182&lt;1,"0-1 yrs",IF(P182&lt;3,"1-3 yrs",IF(P182&lt;5,"3-5 yrs",IF(P182&lt;10,"5-10 yrs","10+ yrs"))))</f>
        <v>10+ yrs</v>
      </c>
      <c r="S182" s="13" t="str">
        <f aca="false">IF(I182&gt;=4,"High",IF(I182=3,"Medium","Low"))</f>
        <v>Medium</v>
      </c>
      <c r="T182" s="13" t="str">
        <f aca="false">IF(M182=1,YEAR(C182),"")</f>
        <v/>
      </c>
      <c r="U182" s="13" t="str">
        <f aca="false">IF(M182=1,YEAR(C182)&amp;"-Q"&amp;ROUNDUP(MONTH(C182)/3,0),"")</f>
        <v/>
      </c>
      <c r="V182" s="13" t="str">
        <f aca="false">IF(M182=1,MONTH(C182),"")</f>
        <v/>
      </c>
    </row>
    <row r="183" customFormat="false" ht="15" hidden="false" customHeight="false" outlineLevel="0" collapsed="false">
      <c r="A183" s="13" t="str">
        <f aca="false">TRIM(Raw_Data!A183)</f>
        <v>EMP0182</v>
      </c>
      <c r="B183" s="14" t="n">
        <f aca="false">Raw_Data!B183</f>
        <v>41612</v>
      </c>
      <c r="C183" s="14" t="str">
        <f aca="false">IF(Raw_Data!C183="","",Raw_Data!C183)</f>
        <v/>
      </c>
      <c r="D183" s="13" t="n">
        <f aca="false">IF(Raw_Data!D183="","",Raw_Data!D183)</f>
        <v>38</v>
      </c>
      <c r="E183" s="13" t="str">
        <f aca="false">IF(UPPER(LEFT(TRIM(Raw_Data!E183),1))="M","Male",IF(UPPER(LEFT(TRIM(Raw_Data!E183),1))="F","Female","Unknown"))</f>
        <v>Female</v>
      </c>
      <c r="F183" s="13" t="str">
        <f aca="false">PROPER(TRIM(SUBSTITUTE(Raw_Data!F183,"'","")))</f>
        <v>Masters</v>
      </c>
      <c r="G183" s="13" t="str">
        <f aca="false">PROPER(TRIM(Raw_Data!G183))</f>
        <v>Sales</v>
      </c>
      <c r="H183" s="13" t="str">
        <f aca="false">PROPER(TRIM(Raw_Data!H183))</f>
        <v>Senior Analyst</v>
      </c>
      <c r="I183" s="13" t="n">
        <f aca="false">IF(Raw_Data!I183="",DefaultPerf,Raw_Data!I183)</f>
        <v>2</v>
      </c>
      <c r="J183" s="13" t="n">
        <f aca="false">IF(Raw_Data!J183="",DefaultSat,Raw_Data!J183)</f>
        <v>4</v>
      </c>
      <c r="K183" s="15" t="n">
        <f aca="false">Raw_Data!K183</f>
        <v>117000</v>
      </c>
      <c r="L183" s="13" t="str">
        <f aca="false">PROPER(TRIM(Raw_Data!N183))</f>
        <v>No</v>
      </c>
      <c r="M183" s="13" t="n">
        <f aca="false">IF(C183="",0,1)</f>
        <v>0</v>
      </c>
      <c r="N183" s="13" t="str">
        <f aca="false">IF(M183=0,"Active",IF(TRIM(Raw_Data!L183)="","Unknown",PROPER(TRIM(Raw_Data!L183))))</f>
        <v>Active</v>
      </c>
      <c r="O183" s="13" t="str">
        <f aca="false">IF(M183=0,"",IF(TRIM(Raw_Data!M183)="","Not Recorded",TRIM(Raw_Data!M183)))</f>
        <v/>
      </c>
      <c r="P183" s="16" t="n">
        <f aca="false">ROUND((IF(C183="",AsOfDate,C183)-B183)/365.25,2)</f>
        <v>12.07</v>
      </c>
      <c r="Q183" s="13" t="str">
        <f aca="false">IF(D183="","Unknown",IF(D183&lt;25,"Under 25",IF(D183&lt;35,"25-34",IF(D183&lt;45,"35-44",IF(D183&lt;55,"45-54","55+")))))</f>
        <v>35-44</v>
      </c>
      <c r="R183" s="13" t="str">
        <f aca="false">IF(P183&lt;1,"0-1 yrs",IF(P183&lt;3,"1-3 yrs",IF(P183&lt;5,"3-5 yrs",IF(P183&lt;10,"5-10 yrs","10+ yrs"))))</f>
        <v>10+ yrs</v>
      </c>
      <c r="S183" s="13" t="str">
        <f aca="false">IF(I183&gt;=4,"High",IF(I183=3,"Medium","Low"))</f>
        <v>Low</v>
      </c>
      <c r="T183" s="13" t="str">
        <f aca="false">IF(M183=1,YEAR(C183),"")</f>
        <v/>
      </c>
      <c r="U183" s="13" t="str">
        <f aca="false">IF(M183=1,YEAR(C183)&amp;"-Q"&amp;ROUNDUP(MONTH(C183)/3,0),"")</f>
        <v/>
      </c>
      <c r="V183" s="13" t="str">
        <f aca="false">IF(M183=1,MONTH(C183),"")</f>
        <v/>
      </c>
    </row>
    <row r="184" customFormat="false" ht="15" hidden="false" customHeight="false" outlineLevel="0" collapsed="false">
      <c r="A184" s="13" t="str">
        <f aca="false">TRIM(Raw_Data!A184)</f>
        <v>EMP0183</v>
      </c>
      <c r="B184" s="14" t="n">
        <f aca="false">Raw_Data!B184</f>
        <v>41613</v>
      </c>
      <c r="C184" s="14" t="str">
        <f aca="false">IF(Raw_Data!C184="","",Raw_Data!C184)</f>
        <v/>
      </c>
      <c r="D184" s="13" t="n">
        <f aca="false">IF(Raw_Data!D184="","",Raw_Data!D184)</f>
        <v>40</v>
      </c>
      <c r="E184" s="13" t="str">
        <f aca="false">IF(UPPER(LEFT(TRIM(Raw_Data!E184),1))="M","Male",IF(UPPER(LEFT(TRIM(Raw_Data!E184),1))="F","Female","Unknown"))</f>
        <v>Male</v>
      </c>
      <c r="F184" s="13" t="str">
        <f aca="false">PROPER(TRIM(SUBSTITUTE(Raw_Data!F184,"'","")))</f>
        <v>Masters</v>
      </c>
      <c r="G184" s="13" t="str">
        <f aca="false">PROPER(TRIM(Raw_Data!G184))</f>
        <v>Engineering</v>
      </c>
      <c r="H184" s="13" t="str">
        <f aca="false">PROPER(TRIM(Raw_Data!H184))</f>
        <v>Analyst</v>
      </c>
      <c r="I184" s="13" t="n">
        <f aca="false">IF(Raw_Data!I184="",DefaultPerf,Raw_Data!I184)</f>
        <v>3</v>
      </c>
      <c r="J184" s="13" t="n">
        <f aca="false">IF(Raw_Data!J184="",DefaultSat,Raw_Data!J184)</f>
        <v>2</v>
      </c>
      <c r="K184" s="15" t="n">
        <f aca="false">Raw_Data!K184</f>
        <v>71000</v>
      </c>
      <c r="L184" s="13" t="str">
        <f aca="false">PROPER(TRIM(Raw_Data!N184))</f>
        <v>No</v>
      </c>
      <c r="M184" s="13" t="n">
        <f aca="false">IF(C184="",0,1)</f>
        <v>0</v>
      </c>
      <c r="N184" s="13" t="str">
        <f aca="false">IF(M184=0,"Active",IF(TRIM(Raw_Data!L184)="","Unknown",PROPER(TRIM(Raw_Data!L184))))</f>
        <v>Active</v>
      </c>
      <c r="O184" s="13" t="str">
        <f aca="false">IF(M184=0,"",IF(TRIM(Raw_Data!M184)="","Not Recorded",TRIM(Raw_Data!M184)))</f>
        <v/>
      </c>
      <c r="P184" s="16" t="n">
        <f aca="false">ROUND((IF(C184="",AsOfDate,C184)-B184)/365.25,2)</f>
        <v>12.07</v>
      </c>
      <c r="Q184" s="13" t="str">
        <f aca="false">IF(D184="","Unknown",IF(D184&lt;25,"Under 25",IF(D184&lt;35,"25-34",IF(D184&lt;45,"35-44",IF(D184&lt;55,"45-54","55+")))))</f>
        <v>35-44</v>
      </c>
      <c r="R184" s="13" t="str">
        <f aca="false">IF(P184&lt;1,"0-1 yrs",IF(P184&lt;3,"1-3 yrs",IF(P184&lt;5,"3-5 yrs",IF(P184&lt;10,"5-10 yrs","10+ yrs"))))</f>
        <v>10+ yrs</v>
      </c>
      <c r="S184" s="13" t="str">
        <f aca="false">IF(I184&gt;=4,"High",IF(I184=3,"Medium","Low"))</f>
        <v>Medium</v>
      </c>
      <c r="T184" s="13" t="str">
        <f aca="false">IF(M184=1,YEAR(C184),"")</f>
        <v/>
      </c>
      <c r="U184" s="13" t="str">
        <f aca="false">IF(M184=1,YEAR(C184)&amp;"-Q"&amp;ROUNDUP(MONTH(C184)/3,0),"")</f>
        <v/>
      </c>
      <c r="V184" s="13" t="str">
        <f aca="false">IF(M184=1,MONTH(C184),"")</f>
        <v/>
      </c>
    </row>
    <row r="185" customFormat="false" ht="15" hidden="false" customHeight="false" outlineLevel="0" collapsed="false">
      <c r="A185" s="13" t="str">
        <f aca="false">TRIM(Raw_Data!A185)</f>
        <v>EMP0184</v>
      </c>
      <c r="B185" s="14" t="n">
        <f aca="false">Raw_Data!B185</f>
        <v>41619</v>
      </c>
      <c r="C185" s="14" t="str">
        <f aca="false">IF(Raw_Data!C185="","",Raw_Data!C185)</f>
        <v/>
      </c>
      <c r="D185" s="13" t="n">
        <f aca="false">IF(Raw_Data!D185="","",Raw_Data!D185)</f>
        <v>37</v>
      </c>
      <c r="E185" s="13" t="str">
        <f aca="false">IF(UPPER(LEFT(TRIM(Raw_Data!E185),1))="M","Male",IF(UPPER(LEFT(TRIM(Raw_Data!E185),1))="F","Female","Unknown"))</f>
        <v>Male</v>
      </c>
      <c r="F185" s="13" t="str">
        <f aca="false">PROPER(TRIM(SUBSTITUTE(Raw_Data!F185,"'","")))</f>
        <v>High School</v>
      </c>
      <c r="G185" s="13" t="str">
        <f aca="false">PROPER(TRIM(Raw_Data!G185))</f>
        <v>Sales</v>
      </c>
      <c r="H185" s="13" t="str">
        <f aca="false">PROPER(TRIM(Raw_Data!H185))</f>
        <v>Senior Analyst</v>
      </c>
      <c r="I185" s="13" t="n">
        <f aca="false">IF(Raw_Data!I185="",DefaultPerf,Raw_Data!I185)</f>
        <v>3</v>
      </c>
      <c r="J185" s="13" t="n">
        <f aca="false">IF(Raw_Data!J185="",DefaultSat,Raw_Data!J185)</f>
        <v>4</v>
      </c>
      <c r="K185" s="15" t="n">
        <f aca="false">Raw_Data!K185</f>
        <v>98000</v>
      </c>
      <c r="L185" s="13" t="str">
        <f aca="false">PROPER(TRIM(Raw_Data!N185))</f>
        <v>Yes</v>
      </c>
      <c r="M185" s="13" t="n">
        <f aca="false">IF(C185="",0,1)</f>
        <v>0</v>
      </c>
      <c r="N185" s="13" t="str">
        <f aca="false">IF(M185=0,"Active",IF(TRIM(Raw_Data!L185)="","Unknown",PROPER(TRIM(Raw_Data!L185))))</f>
        <v>Active</v>
      </c>
      <c r="O185" s="13" t="str">
        <f aca="false">IF(M185=0,"",IF(TRIM(Raw_Data!M185)="","Not Recorded",TRIM(Raw_Data!M185)))</f>
        <v/>
      </c>
      <c r="P185" s="16" t="n">
        <f aca="false">ROUND((IF(C185="",AsOfDate,C185)-B185)/365.25,2)</f>
        <v>12.05</v>
      </c>
      <c r="Q185" s="13" t="str">
        <f aca="false">IF(D185="","Unknown",IF(D185&lt;25,"Under 25",IF(D185&lt;35,"25-34",IF(D185&lt;45,"35-44",IF(D185&lt;55,"45-54","55+")))))</f>
        <v>35-44</v>
      </c>
      <c r="R185" s="13" t="str">
        <f aca="false">IF(P185&lt;1,"0-1 yrs",IF(P185&lt;3,"1-3 yrs",IF(P185&lt;5,"3-5 yrs",IF(P185&lt;10,"5-10 yrs","10+ yrs"))))</f>
        <v>10+ yrs</v>
      </c>
      <c r="S185" s="13" t="str">
        <f aca="false">IF(I185&gt;=4,"High",IF(I185=3,"Medium","Low"))</f>
        <v>Medium</v>
      </c>
      <c r="T185" s="13" t="str">
        <f aca="false">IF(M185=1,YEAR(C185),"")</f>
        <v/>
      </c>
      <c r="U185" s="13" t="str">
        <f aca="false">IF(M185=1,YEAR(C185)&amp;"-Q"&amp;ROUNDUP(MONTH(C185)/3,0),"")</f>
        <v/>
      </c>
      <c r="V185" s="13" t="str">
        <f aca="false">IF(M185=1,MONTH(C185),"")</f>
        <v/>
      </c>
    </row>
    <row r="186" customFormat="false" ht="15" hidden="false" customHeight="false" outlineLevel="0" collapsed="false">
      <c r="A186" s="13" t="str">
        <f aca="false">TRIM(Raw_Data!A186)</f>
        <v>EMP0185</v>
      </c>
      <c r="B186" s="14" t="n">
        <f aca="false">Raw_Data!B186</f>
        <v>41625</v>
      </c>
      <c r="C186" s="14" t="n">
        <f aca="false">IF(Raw_Data!C186="","",Raw_Data!C186)</f>
        <v>45370</v>
      </c>
      <c r="D186" s="13" t="n">
        <f aca="false">IF(Raw_Data!D186="","",Raw_Data!D186)</f>
        <v>38</v>
      </c>
      <c r="E186" s="13" t="str">
        <f aca="false">IF(UPPER(LEFT(TRIM(Raw_Data!E186),1))="M","Male",IF(UPPER(LEFT(TRIM(Raw_Data!E186),1))="F","Female","Unknown"))</f>
        <v>Female</v>
      </c>
      <c r="F186" s="13" t="str">
        <f aca="false">PROPER(TRIM(SUBSTITUTE(Raw_Data!F186,"'","")))</f>
        <v>Bachelors</v>
      </c>
      <c r="G186" s="13" t="str">
        <f aca="false">PROPER(TRIM(Raw_Data!G186))</f>
        <v>Engineering</v>
      </c>
      <c r="H186" s="13" t="str">
        <f aca="false">PROPER(TRIM(Raw_Data!H186))</f>
        <v>Associate</v>
      </c>
      <c r="I186" s="13" t="n">
        <f aca="false">IF(Raw_Data!I186="",DefaultPerf,Raw_Data!I186)</f>
        <v>4</v>
      </c>
      <c r="J186" s="13" t="n">
        <f aca="false">IF(Raw_Data!J186="",DefaultSat,Raw_Data!J186)</f>
        <v>3</v>
      </c>
      <c r="K186" s="15" t="n">
        <f aca="false">Raw_Data!K186</f>
        <v>50000</v>
      </c>
      <c r="L186" s="13" t="str">
        <f aca="false">PROPER(TRIM(Raw_Data!N186))</f>
        <v>No</v>
      </c>
      <c r="M186" s="13" t="n">
        <f aca="false">IF(C186="",0,1)</f>
        <v>1</v>
      </c>
      <c r="N186" s="13" t="str">
        <f aca="false">IF(M186=0,"Active",IF(TRIM(Raw_Data!L186)="","Unknown",PROPER(TRIM(Raw_Data!L186))))</f>
        <v>Voluntary</v>
      </c>
      <c r="O186" s="13" t="str">
        <f aca="false">IF(M186=0,"",IF(TRIM(Raw_Data!M186)="","Not Recorded",TRIM(Raw_Data!M186)))</f>
        <v>Better Compensation</v>
      </c>
      <c r="P186" s="16" t="n">
        <f aca="false">ROUND((IF(C186="",AsOfDate,C186)-B186)/365.25,2)</f>
        <v>10.25</v>
      </c>
      <c r="Q186" s="13" t="str">
        <f aca="false">IF(D186="","Unknown",IF(D186&lt;25,"Under 25",IF(D186&lt;35,"25-34",IF(D186&lt;45,"35-44",IF(D186&lt;55,"45-54","55+")))))</f>
        <v>35-44</v>
      </c>
      <c r="R186" s="13" t="str">
        <f aca="false">IF(P186&lt;1,"0-1 yrs",IF(P186&lt;3,"1-3 yrs",IF(P186&lt;5,"3-5 yrs",IF(P186&lt;10,"5-10 yrs","10+ yrs"))))</f>
        <v>10+ yrs</v>
      </c>
      <c r="S186" s="13" t="str">
        <f aca="false">IF(I186&gt;=4,"High",IF(I186=3,"Medium","Low"))</f>
        <v>High</v>
      </c>
      <c r="T186" s="13" t="n">
        <f aca="false">IF(M186=1,YEAR(C186),"")</f>
        <v>2024</v>
      </c>
      <c r="U186" s="13" t="str">
        <f aca="false">IF(M186=1,YEAR(C186)&amp;"-Q"&amp;ROUNDUP(MONTH(C186)/3,0),"")</f>
        <v>2024-Q1</v>
      </c>
      <c r="V186" s="13" t="n">
        <f aca="false">IF(M186=1,MONTH(C186),"")</f>
        <v>3</v>
      </c>
    </row>
    <row r="187" customFormat="false" ht="15" hidden="false" customHeight="false" outlineLevel="0" collapsed="false">
      <c r="A187" s="13" t="str">
        <f aca="false">TRIM(Raw_Data!A187)</f>
        <v>EMP0186</v>
      </c>
      <c r="B187" s="14" t="n">
        <f aca="false">Raw_Data!B187</f>
        <v>41626</v>
      </c>
      <c r="C187" s="14" t="n">
        <f aca="false">IF(Raw_Data!C187="","",Raw_Data!C187)</f>
        <v>45360</v>
      </c>
      <c r="D187" s="13" t="n">
        <f aca="false">IF(Raw_Data!D187="","",Raw_Data!D187)</f>
        <v>34</v>
      </c>
      <c r="E187" s="13" t="str">
        <f aca="false">IF(UPPER(LEFT(TRIM(Raw_Data!E187),1))="M","Male",IF(UPPER(LEFT(TRIM(Raw_Data!E187),1))="F","Female","Unknown"))</f>
        <v>Male</v>
      </c>
      <c r="F187" s="13" t="str">
        <f aca="false">PROPER(TRIM(SUBSTITUTE(Raw_Data!F187,"'","")))</f>
        <v>High School</v>
      </c>
      <c r="G187" s="13" t="str">
        <f aca="false">PROPER(TRIM(Raw_Data!G187))</f>
        <v>Finance</v>
      </c>
      <c r="H187" s="13" t="str">
        <f aca="false">PROPER(TRIM(Raw_Data!H187))</f>
        <v>Associate</v>
      </c>
      <c r="I187" s="13" t="n">
        <f aca="false">IF(Raw_Data!I187="",DefaultPerf,Raw_Data!I187)</f>
        <v>4</v>
      </c>
      <c r="J187" s="13" t="n">
        <f aca="false">IF(Raw_Data!J187="",DefaultSat,Raw_Data!J187)</f>
        <v>1</v>
      </c>
      <c r="K187" s="15" t="n">
        <f aca="false">Raw_Data!K187</f>
        <v>48000</v>
      </c>
      <c r="L187" s="13" t="str">
        <f aca="false">PROPER(TRIM(Raw_Data!N187))</f>
        <v>No</v>
      </c>
      <c r="M187" s="13" t="n">
        <f aca="false">IF(C187="",0,1)</f>
        <v>1</v>
      </c>
      <c r="N187" s="13" t="str">
        <f aca="false">IF(M187=0,"Active",IF(TRIM(Raw_Data!L187)="","Unknown",PROPER(TRIM(Raw_Data!L187))))</f>
        <v>Voluntary</v>
      </c>
      <c r="O187" s="13" t="str">
        <f aca="false">IF(M187=0,"",IF(TRIM(Raw_Data!M187)="","Not Recorded",TRIM(Raw_Data!M187)))</f>
        <v>Further Studies</v>
      </c>
      <c r="P187" s="16" t="n">
        <f aca="false">ROUND((IF(C187="",AsOfDate,C187)-B187)/365.25,2)</f>
        <v>10.22</v>
      </c>
      <c r="Q187" s="13" t="str">
        <f aca="false">IF(D187="","Unknown",IF(D187&lt;25,"Under 25",IF(D187&lt;35,"25-34",IF(D187&lt;45,"35-44",IF(D187&lt;55,"45-54","55+")))))</f>
        <v>25-34</v>
      </c>
      <c r="R187" s="13" t="str">
        <f aca="false">IF(P187&lt;1,"0-1 yrs",IF(P187&lt;3,"1-3 yrs",IF(P187&lt;5,"3-5 yrs",IF(P187&lt;10,"5-10 yrs","10+ yrs"))))</f>
        <v>10+ yrs</v>
      </c>
      <c r="S187" s="13" t="str">
        <f aca="false">IF(I187&gt;=4,"High",IF(I187=3,"Medium","Low"))</f>
        <v>High</v>
      </c>
      <c r="T187" s="13" t="n">
        <f aca="false">IF(M187=1,YEAR(C187),"")</f>
        <v>2024</v>
      </c>
      <c r="U187" s="13" t="str">
        <f aca="false">IF(M187=1,YEAR(C187)&amp;"-Q"&amp;ROUNDUP(MONTH(C187)/3,0),"")</f>
        <v>2024-Q1</v>
      </c>
      <c r="V187" s="13" t="n">
        <f aca="false">IF(M187=1,MONTH(C187),"")</f>
        <v>3</v>
      </c>
    </row>
    <row r="188" customFormat="false" ht="15" hidden="false" customHeight="false" outlineLevel="0" collapsed="false">
      <c r="A188" s="13" t="str">
        <f aca="false">TRIM(Raw_Data!A188)</f>
        <v>EMP0187</v>
      </c>
      <c r="B188" s="14" t="n">
        <f aca="false">Raw_Data!B188</f>
        <v>41628</v>
      </c>
      <c r="C188" s="14" t="str">
        <f aca="false">IF(Raw_Data!C188="","",Raw_Data!C188)</f>
        <v/>
      </c>
      <c r="D188" s="13" t="n">
        <f aca="false">IF(Raw_Data!D188="","",Raw_Data!D188)</f>
        <v>34</v>
      </c>
      <c r="E188" s="13" t="str">
        <f aca="false">IF(UPPER(LEFT(TRIM(Raw_Data!E188),1))="M","Male",IF(UPPER(LEFT(TRIM(Raw_Data!E188),1))="F","Female","Unknown"))</f>
        <v>Male</v>
      </c>
      <c r="F188" s="13" t="str">
        <f aca="false">PROPER(TRIM(SUBSTITUTE(Raw_Data!F188,"'","")))</f>
        <v>Doctorate</v>
      </c>
      <c r="G188" s="13" t="str">
        <f aca="false">PROPER(TRIM(Raw_Data!G188))</f>
        <v>Engineering</v>
      </c>
      <c r="H188" s="13" t="str">
        <f aca="false">PROPER(TRIM(Raw_Data!H188))</f>
        <v>Analyst</v>
      </c>
      <c r="I188" s="13" t="n">
        <f aca="false">IF(Raw_Data!I188="",DefaultPerf,Raw_Data!I188)</f>
        <v>5</v>
      </c>
      <c r="J188" s="13" t="n">
        <f aca="false">IF(Raw_Data!J188="",DefaultSat,Raw_Data!J188)</f>
        <v>3</v>
      </c>
      <c r="K188" s="15" t="n">
        <f aca="false">Raw_Data!K188</f>
        <v>67000</v>
      </c>
      <c r="L188" s="13" t="str">
        <f aca="false">PROPER(TRIM(Raw_Data!N188))</f>
        <v>No</v>
      </c>
      <c r="M188" s="13" t="n">
        <f aca="false">IF(C188="",0,1)</f>
        <v>0</v>
      </c>
      <c r="N188" s="13" t="str">
        <f aca="false">IF(M188=0,"Active",IF(TRIM(Raw_Data!L188)="","Unknown",PROPER(TRIM(Raw_Data!L188))))</f>
        <v>Active</v>
      </c>
      <c r="O188" s="13" t="str">
        <f aca="false">IF(M188=0,"",IF(TRIM(Raw_Data!M188)="","Not Recorded",TRIM(Raw_Data!M188)))</f>
        <v/>
      </c>
      <c r="P188" s="16" t="n">
        <f aca="false">ROUND((IF(C188="",AsOfDate,C188)-B188)/365.25,2)</f>
        <v>12.03</v>
      </c>
      <c r="Q188" s="13" t="str">
        <f aca="false">IF(D188="","Unknown",IF(D188&lt;25,"Under 25",IF(D188&lt;35,"25-34",IF(D188&lt;45,"35-44",IF(D188&lt;55,"45-54","55+")))))</f>
        <v>25-34</v>
      </c>
      <c r="R188" s="13" t="str">
        <f aca="false">IF(P188&lt;1,"0-1 yrs",IF(P188&lt;3,"1-3 yrs",IF(P188&lt;5,"3-5 yrs",IF(P188&lt;10,"5-10 yrs","10+ yrs"))))</f>
        <v>10+ yrs</v>
      </c>
      <c r="S188" s="13" t="str">
        <f aca="false">IF(I188&gt;=4,"High",IF(I188=3,"Medium","Low"))</f>
        <v>High</v>
      </c>
      <c r="T188" s="13" t="str">
        <f aca="false">IF(M188=1,YEAR(C188),"")</f>
        <v/>
      </c>
      <c r="U188" s="13" t="str">
        <f aca="false">IF(M188=1,YEAR(C188)&amp;"-Q"&amp;ROUNDUP(MONTH(C188)/3,0),"")</f>
        <v/>
      </c>
      <c r="V188" s="13" t="str">
        <f aca="false">IF(M188=1,MONTH(C188),"")</f>
        <v/>
      </c>
    </row>
    <row r="189" customFormat="false" ht="15" hidden="false" customHeight="false" outlineLevel="0" collapsed="false">
      <c r="A189" s="13" t="str">
        <f aca="false">TRIM(Raw_Data!A189)</f>
        <v>EMP0188</v>
      </c>
      <c r="B189" s="14" t="n">
        <f aca="false">Raw_Data!B189</f>
        <v>41642</v>
      </c>
      <c r="C189" s="14" t="str">
        <f aca="false">IF(Raw_Data!C189="","",Raw_Data!C189)</f>
        <v/>
      </c>
      <c r="D189" s="13" t="n">
        <f aca="false">IF(Raw_Data!D189="","",Raw_Data!D189)</f>
        <v>45</v>
      </c>
      <c r="E189" s="13" t="str">
        <f aca="false">IF(UPPER(LEFT(TRIM(Raw_Data!E189),1))="M","Male",IF(UPPER(LEFT(TRIM(Raw_Data!E189),1))="F","Female","Unknown"))</f>
        <v>Female</v>
      </c>
      <c r="F189" s="13" t="str">
        <f aca="false">PROPER(TRIM(SUBSTITUTE(Raw_Data!F189,"'","")))</f>
        <v>Masters</v>
      </c>
      <c r="G189" s="13" t="str">
        <f aca="false">PROPER(TRIM(Raw_Data!G189))</f>
        <v>Sales</v>
      </c>
      <c r="H189" s="13" t="str">
        <f aca="false">PROPER(TRIM(Raw_Data!H189))</f>
        <v>Senior Analyst</v>
      </c>
      <c r="I189" s="13" t="n">
        <f aca="false">IF(Raw_Data!I189="",DefaultPerf,Raw_Data!I189)</f>
        <v>4</v>
      </c>
      <c r="J189" s="13" t="n">
        <f aca="false">IF(Raw_Data!J189="",DefaultSat,Raw_Data!J189)</f>
        <v>1</v>
      </c>
      <c r="K189" s="15" t="n">
        <f aca="false">Raw_Data!K189</f>
        <v>107500</v>
      </c>
      <c r="L189" s="13" t="str">
        <f aca="false">PROPER(TRIM(Raw_Data!N189))</f>
        <v>No</v>
      </c>
      <c r="M189" s="13" t="n">
        <f aca="false">IF(C189="",0,1)</f>
        <v>0</v>
      </c>
      <c r="N189" s="13" t="str">
        <f aca="false">IF(M189=0,"Active",IF(TRIM(Raw_Data!L189)="","Unknown",PROPER(TRIM(Raw_Data!L189))))</f>
        <v>Active</v>
      </c>
      <c r="O189" s="13" t="str">
        <f aca="false">IF(M189=0,"",IF(TRIM(Raw_Data!M189)="","Not Recorded",TRIM(Raw_Data!M189)))</f>
        <v/>
      </c>
      <c r="P189" s="16" t="n">
        <f aca="false">ROUND((IF(C189="",AsOfDate,C189)-B189)/365.25,2)</f>
        <v>11.99</v>
      </c>
      <c r="Q189" s="13" t="str">
        <f aca="false">IF(D189="","Unknown",IF(D189&lt;25,"Under 25",IF(D189&lt;35,"25-34",IF(D189&lt;45,"35-44",IF(D189&lt;55,"45-54","55+")))))</f>
        <v>45-54</v>
      </c>
      <c r="R189" s="13" t="str">
        <f aca="false">IF(P189&lt;1,"0-1 yrs",IF(P189&lt;3,"1-3 yrs",IF(P189&lt;5,"3-5 yrs",IF(P189&lt;10,"5-10 yrs","10+ yrs"))))</f>
        <v>10+ yrs</v>
      </c>
      <c r="S189" s="13" t="str">
        <f aca="false">IF(I189&gt;=4,"High",IF(I189=3,"Medium","Low"))</f>
        <v>High</v>
      </c>
      <c r="T189" s="13" t="str">
        <f aca="false">IF(M189=1,YEAR(C189),"")</f>
        <v/>
      </c>
      <c r="U189" s="13" t="str">
        <f aca="false">IF(M189=1,YEAR(C189)&amp;"-Q"&amp;ROUNDUP(MONTH(C189)/3,0),"")</f>
        <v/>
      </c>
      <c r="V189" s="13" t="str">
        <f aca="false">IF(M189=1,MONTH(C189),"")</f>
        <v/>
      </c>
    </row>
    <row r="190" customFormat="false" ht="15" hidden="false" customHeight="false" outlineLevel="0" collapsed="false">
      <c r="A190" s="13" t="str">
        <f aca="false">TRIM(Raw_Data!A190)</f>
        <v>EMP0189</v>
      </c>
      <c r="B190" s="14" t="n">
        <f aca="false">Raw_Data!B190</f>
        <v>41647</v>
      </c>
      <c r="C190" s="14" t="n">
        <f aca="false">IF(Raw_Data!C190="","",Raw_Data!C190)</f>
        <v>45561</v>
      </c>
      <c r="D190" s="13" t="n">
        <f aca="false">IF(Raw_Data!D190="","",Raw_Data!D190)</f>
        <v>32</v>
      </c>
      <c r="E190" s="13" t="str">
        <f aca="false">IF(UPPER(LEFT(TRIM(Raw_Data!E190),1))="M","Male",IF(UPPER(LEFT(TRIM(Raw_Data!E190),1))="F","Female","Unknown"))</f>
        <v>Female</v>
      </c>
      <c r="F190" s="13" t="str">
        <f aca="false">PROPER(TRIM(SUBSTITUTE(Raw_Data!F190,"'","")))</f>
        <v>Bachelors</v>
      </c>
      <c r="G190" s="13" t="str">
        <f aca="false">PROPER(TRIM(Raw_Data!G190))</f>
        <v>Engineering</v>
      </c>
      <c r="H190" s="13" t="str">
        <f aca="false">PROPER(TRIM(Raw_Data!H190))</f>
        <v>Associate</v>
      </c>
      <c r="I190" s="13" t="n">
        <f aca="false">IF(Raw_Data!I190="",DefaultPerf,Raw_Data!I190)</f>
        <v>5</v>
      </c>
      <c r="J190" s="13" t="n">
        <f aca="false">IF(Raw_Data!J190="",DefaultSat,Raw_Data!J190)</f>
        <v>3</v>
      </c>
      <c r="K190" s="15" t="n">
        <f aca="false">Raw_Data!K190</f>
        <v>39000</v>
      </c>
      <c r="L190" s="13" t="str">
        <f aca="false">PROPER(TRIM(Raw_Data!N190))</f>
        <v>Yes</v>
      </c>
      <c r="M190" s="13" t="n">
        <f aca="false">IF(C190="",0,1)</f>
        <v>1</v>
      </c>
      <c r="N190" s="13" t="str">
        <f aca="false">IF(M190=0,"Active",IF(TRIM(Raw_Data!L190)="","Unknown",PROPER(TRIM(Raw_Data!L190))))</f>
        <v>Voluntary</v>
      </c>
      <c r="O190" s="13" t="str">
        <f aca="false">IF(M190=0,"",IF(TRIM(Raw_Data!M190)="","Not Recorded",TRIM(Raw_Data!M190)))</f>
        <v>Job Dissatisfaction</v>
      </c>
      <c r="P190" s="16" t="n">
        <f aca="false">ROUND((IF(C190="",AsOfDate,C190)-B190)/365.25,2)</f>
        <v>10.72</v>
      </c>
      <c r="Q190" s="13" t="str">
        <f aca="false">IF(D190="","Unknown",IF(D190&lt;25,"Under 25",IF(D190&lt;35,"25-34",IF(D190&lt;45,"35-44",IF(D190&lt;55,"45-54","55+")))))</f>
        <v>25-34</v>
      </c>
      <c r="R190" s="13" t="str">
        <f aca="false">IF(P190&lt;1,"0-1 yrs",IF(P190&lt;3,"1-3 yrs",IF(P190&lt;5,"3-5 yrs",IF(P190&lt;10,"5-10 yrs","10+ yrs"))))</f>
        <v>10+ yrs</v>
      </c>
      <c r="S190" s="13" t="str">
        <f aca="false">IF(I190&gt;=4,"High",IF(I190=3,"Medium","Low"))</f>
        <v>High</v>
      </c>
      <c r="T190" s="13" t="n">
        <f aca="false">IF(M190=1,YEAR(C190),"")</f>
        <v>2024</v>
      </c>
      <c r="U190" s="13" t="str">
        <f aca="false">IF(M190=1,YEAR(C190)&amp;"-Q"&amp;ROUNDUP(MONTH(C190)/3,0),"")</f>
        <v>2024-Q3</v>
      </c>
      <c r="V190" s="13" t="n">
        <f aca="false">IF(M190=1,MONTH(C190),"")</f>
        <v>9</v>
      </c>
    </row>
    <row r="191" customFormat="false" ht="15" hidden="false" customHeight="false" outlineLevel="0" collapsed="false">
      <c r="A191" s="13" t="str">
        <f aca="false">TRIM(Raw_Data!A191)</f>
        <v>EMP0190</v>
      </c>
      <c r="B191" s="14" t="n">
        <f aca="false">Raw_Data!B191</f>
        <v>41649</v>
      </c>
      <c r="C191" s="14" t="str">
        <f aca="false">IF(Raw_Data!C191="","",Raw_Data!C191)</f>
        <v/>
      </c>
      <c r="D191" s="13" t="n">
        <f aca="false">IF(Raw_Data!D191="","",Raw_Data!D191)</f>
        <v>34</v>
      </c>
      <c r="E191" s="13" t="str">
        <f aca="false">IF(UPPER(LEFT(TRIM(Raw_Data!E191),1))="M","Male",IF(UPPER(LEFT(TRIM(Raw_Data!E191),1))="F","Female","Unknown"))</f>
        <v>Male</v>
      </c>
      <c r="F191" s="13" t="str">
        <f aca="false">PROPER(TRIM(SUBSTITUTE(Raw_Data!F191,"'","")))</f>
        <v>Bachelors</v>
      </c>
      <c r="G191" s="13" t="str">
        <f aca="false">PROPER(TRIM(Raw_Data!G191))</f>
        <v>Operations</v>
      </c>
      <c r="H191" s="13" t="str">
        <f aca="false">PROPER(TRIM(Raw_Data!H191))</f>
        <v>Associate</v>
      </c>
      <c r="I191" s="13" t="n">
        <f aca="false">IF(Raw_Data!I191="",DefaultPerf,Raw_Data!I191)</f>
        <v>4</v>
      </c>
      <c r="J191" s="13" t="n">
        <f aca="false">IF(Raw_Data!J191="",DefaultSat,Raw_Data!J191)</f>
        <v>1</v>
      </c>
      <c r="K191" s="15" t="n">
        <f aca="false">Raw_Data!K191</f>
        <v>51000</v>
      </c>
      <c r="L191" s="13" t="str">
        <f aca="false">PROPER(TRIM(Raw_Data!N191))</f>
        <v>No</v>
      </c>
      <c r="M191" s="13" t="n">
        <f aca="false">IF(C191="",0,1)</f>
        <v>0</v>
      </c>
      <c r="N191" s="13" t="str">
        <f aca="false">IF(M191=0,"Active",IF(TRIM(Raw_Data!L191)="","Unknown",PROPER(TRIM(Raw_Data!L191))))</f>
        <v>Active</v>
      </c>
      <c r="O191" s="13" t="str">
        <f aca="false">IF(M191=0,"",IF(TRIM(Raw_Data!M191)="","Not Recorded",TRIM(Raw_Data!M191)))</f>
        <v/>
      </c>
      <c r="P191" s="16" t="n">
        <f aca="false">ROUND((IF(C191="",AsOfDate,C191)-B191)/365.25,2)</f>
        <v>11.97</v>
      </c>
      <c r="Q191" s="13" t="str">
        <f aca="false">IF(D191="","Unknown",IF(D191&lt;25,"Under 25",IF(D191&lt;35,"25-34",IF(D191&lt;45,"35-44",IF(D191&lt;55,"45-54","55+")))))</f>
        <v>25-34</v>
      </c>
      <c r="R191" s="13" t="str">
        <f aca="false">IF(P191&lt;1,"0-1 yrs",IF(P191&lt;3,"1-3 yrs",IF(P191&lt;5,"3-5 yrs",IF(P191&lt;10,"5-10 yrs","10+ yrs"))))</f>
        <v>10+ yrs</v>
      </c>
      <c r="S191" s="13" t="str">
        <f aca="false">IF(I191&gt;=4,"High",IF(I191=3,"Medium","Low"))</f>
        <v>High</v>
      </c>
      <c r="T191" s="13" t="str">
        <f aca="false">IF(M191=1,YEAR(C191),"")</f>
        <v/>
      </c>
      <c r="U191" s="13" t="str">
        <f aca="false">IF(M191=1,YEAR(C191)&amp;"-Q"&amp;ROUNDUP(MONTH(C191)/3,0),"")</f>
        <v/>
      </c>
      <c r="V191" s="13" t="str">
        <f aca="false">IF(M191=1,MONTH(C191),"")</f>
        <v/>
      </c>
    </row>
    <row r="192" customFormat="false" ht="15" hidden="false" customHeight="false" outlineLevel="0" collapsed="false">
      <c r="A192" s="13" t="str">
        <f aca="false">TRIM(Raw_Data!A192)</f>
        <v>EMP0191</v>
      </c>
      <c r="B192" s="14" t="n">
        <f aca="false">Raw_Data!B192</f>
        <v>41654</v>
      </c>
      <c r="C192" s="14" t="str">
        <f aca="false">IF(Raw_Data!C192="","",Raw_Data!C192)</f>
        <v/>
      </c>
      <c r="D192" s="13" t="n">
        <f aca="false">IF(Raw_Data!D192="","",Raw_Data!D192)</f>
        <v>36</v>
      </c>
      <c r="E192" s="13" t="str">
        <f aca="false">IF(UPPER(LEFT(TRIM(Raw_Data!E192),1))="M","Male",IF(UPPER(LEFT(TRIM(Raw_Data!E192),1))="F","Female","Unknown"))</f>
        <v>Female</v>
      </c>
      <c r="F192" s="13" t="str">
        <f aca="false">PROPER(TRIM(SUBSTITUTE(Raw_Data!F192,"'","")))</f>
        <v>Diploma</v>
      </c>
      <c r="G192" s="13" t="str">
        <f aca="false">PROPER(TRIM(Raw_Data!G192))</f>
        <v>Engineering</v>
      </c>
      <c r="H192" s="13" t="str">
        <f aca="false">PROPER(TRIM(Raw_Data!H192))</f>
        <v>Manager</v>
      </c>
      <c r="I192" s="13" t="n">
        <f aca="false">IF(Raw_Data!I192="",DefaultPerf,Raw_Data!I192)</f>
        <v>3</v>
      </c>
      <c r="J192" s="13" t="n">
        <f aca="false">IF(Raw_Data!J192="",DefaultSat,Raw_Data!J192)</f>
        <v>4</v>
      </c>
      <c r="K192" s="15" t="n">
        <f aca="false">Raw_Data!K192</f>
        <v>198500</v>
      </c>
      <c r="L192" s="13" t="str">
        <f aca="false">PROPER(TRIM(Raw_Data!N192))</f>
        <v>No</v>
      </c>
      <c r="M192" s="13" t="n">
        <f aca="false">IF(C192="",0,1)</f>
        <v>0</v>
      </c>
      <c r="N192" s="13" t="str">
        <f aca="false">IF(M192=0,"Active",IF(TRIM(Raw_Data!L192)="","Unknown",PROPER(TRIM(Raw_Data!L192))))</f>
        <v>Active</v>
      </c>
      <c r="O192" s="13" t="str">
        <f aca="false">IF(M192=0,"",IF(TRIM(Raw_Data!M192)="","Not Recorded",TRIM(Raw_Data!M192)))</f>
        <v/>
      </c>
      <c r="P192" s="16" t="n">
        <f aca="false">ROUND((IF(C192="",AsOfDate,C192)-B192)/365.25,2)</f>
        <v>11.96</v>
      </c>
      <c r="Q192" s="13" t="str">
        <f aca="false">IF(D192="","Unknown",IF(D192&lt;25,"Under 25",IF(D192&lt;35,"25-34",IF(D192&lt;45,"35-44",IF(D192&lt;55,"45-54","55+")))))</f>
        <v>35-44</v>
      </c>
      <c r="R192" s="13" t="str">
        <f aca="false">IF(P192&lt;1,"0-1 yrs",IF(P192&lt;3,"1-3 yrs",IF(P192&lt;5,"3-5 yrs",IF(P192&lt;10,"5-10 yrs","10+ yrs"))))</f>
        <v>10+ yrs</v>
      </c>
      <c r="S192" s="13" t="str">
        <f aca="false">IF(I192&gt;=4,"High",IF(I192=3,"Medium","Low"))</f>
        <v>Medium</v>
      </c>
      <c r="T192" s="13" t="str">
        <f aca="false">IF(M192=1,YEAR(C192),"")</f>
        <v/>
      </c>
      <c r="U192" s="13" t="str">
        <f aca="false">IF(M192=1,YEAR(C192)&amp;"-Q"&amp;ROUNDUP(MONTH(C192)/3,0),"")</f>
        <v/>
      </c>
      <c r="V192" s="13" t="str">
        <f aca="false">IF(M192=1,MONTH(C192),"")</f>
        <v/>
      </c>
    </row>
    <row r="193" customFormat="false" ht="15" hidden="false" customHeight="false" outlineLevel="0" collapsed="false">
      <c r="A193" s="13" t="str">
        <f aca="false">TRIM(Raw_Data!A193)</f>
        <v>EMP0192</v>
      </c>
      <c r="B193" s="14" t="n">
        <f aca="false">Raw_Data!B193</f>
        <v>41656</v>
      </c>
      <c r="C193" s="14" t="str">
        <f aca="false">IF(Raw_Data!C193="","",Raw_Data!C193)</f>
        <v/>
      </c>
      <c r="D193" s="13" t="n">
        <f aca="false">IF(Raw_Data!D193="","",Raw_Data!D193)</f>
        <v>52</v>
      </c>
      <c r="E193" s="13" t="str">
        <f aca="false">IF(UPPER(LEFT(TRIM(Raw_Data!E193),1))="M","Male",IF(UPPER(LEFT(TRIM(Raw_Data!E193),1))="F","Female","Unknown"))</f>
        <v>Female</v>
      </c>
      <c r="F193" s="13" t="str">
        <f aca="false">PROPER(TRIM(SUBSTITUTE(Raw_Data!F193,"'","")))</f>
        <v>Bachelors</v>
      </c>
      <c r="G193" s="13" t="str">
        <f aca="false">PROPER(TRIM(Raw_Data!G193))</f>
        <v>Engineering</v>
      </c>
      <c r="H193" s="13" t="str">
        <f aca="false">PROPER(TRIM(Raw_Data!H193))</f>
        <v>Senior Analyst</v>
      </c>
      <c r="I193" s="13" t="n">
        <f aca="false">IF(Raw_Data!I193="",DefaultPerf,Raw_Data!I193)</f>
        <v>3</v>
      </c>
      <c r="J193" s="13" t="n">
        <f aca="false">IF(Raw_Data!J193="",DefaultSat,Raw_Data!J193)</f>
        <v>3</v>
      </c>
      <c r="K193" s="15" t="n">
        <f aca="false">Raw_Data!K193</f>
        <v>113000</v>
      </c>
      <c r="L193" s="13" t="str">
        <f aca="false">PROPER(TRIM(Raw_Data!N193))</f>
        <v>No</v>
      </c>
      <c r="M193" s="13" t="n">
        <f aca="false">IF(C193="",0,1)</f>
        <v>0</v>
      </c>
      <c r="N193" s="13" t="str">
        <f aca="false">IF(M193=0,"Active",IF(TRIM(Raw_Data!L193)="","Unknown",PROPER(TRIM(Raw_Data!L193))))</f>
        <v>Active</v>
      </c>
      <c r="O193" s="13" t="str">
        <f aca="false">IF(M193=0,"",IF(TRIM(Raw_Data!M193)="","Not Recorded",TRIM(Raw_Data!M193)))</f>
        <v/>
      </c>
      <c r="P193" s="16" t="n">
        <f aca="false">ROUND((IF(C193="",AsOfDate,C193)-B193)/365.25,2)</f>
        <v>11.95</v>
      </c>
      <c r="Q193" s="13" t="str">
        <f aca="false">IF(D193="","Unknown",IF(D193&lt;25,"Under 25",IF(D193&lt;35,"25-34",IF(D193&lt;45,"35-44",IF(D193&lt;55,"45-54","55+")))))</f>
        <v>45-54</v>
      </c>
      <c r="R193" s="13" t="str">
        <f aca="false">IF(P193&lt;1,"0-1 yrs",IF(P193&lt;3,"1-3 yrs",IF(P193&lt;5,"3-5 yrs",IF(P193&lt;10,"5-10 yrs","10+ yrs"))))</f>
        <v>10+ yrs</v>
      </c>
      <c r="S193" s="13" t="str">
        <f aca="false">IF(I193&gt;=4,"High",IF(I193=3,"Medium","Low"))</f>
        <v>Medium</v>
      </c>
      <c r="T193" s="13" t="str">
        <f aca="false">IF(M193=1,YEAR(C193),"")</f>
        <v/>
      </c>
      <c r="U193" s="13" t="str">
        <f aca="false">IF(M193=1,YEAR(C193)&amp;"-Q"&amp;ROUNDUP(MONTH(C193)/3,0),"")</f>
        <v/>
      </c>
      <c r="V193" s="13" t="str">
        <f aca="false">IF(M193=1,MONTH(C193),"")</f>
        <v/>
      </c>
    </row>
    <row r="194" customFormat="false" ht="15" hidden="false" customHeight="false" outlineLevel="0" collapsed="false">
      <c r="A194" s="13" t="str">
        <f aca="false">TRIM(Raw_Data!A194)</f>
        <v>EMP0193</v>
      </c>
      <c r="B194" s="14" t="n">
        <f aca="false">Raw_Data!B194</f>
        <v>41658</v>
      </c>
      <c r="C194" s="14" t="n">
        <f aca="false">IF(Raw_Data!C194="","",Raw_Data!C194)</f>
        <v>45936</v>
      </c>
      <c r="D194" s="13" t="n">
        <f aca="false">IF(Raw_Data!D194="","",Raw_Data!D194)</f>
        <v>33</v>
      </c>
      <c r="E194" s="13" t="str">
        <f aca="false">IF(UPPER(LEFT(TRIM(Raw_Data!E194),1))="M","Male",IF(UPPER(LEFT(TRIM(Raw_Data!E194),1))="F","Female","Unknown"))</f>
        <v>Female</v>
      </c>
      <c r="F194" s="13" t="str">
        <f aca="false">PROPER(TRIM(SUBSTITUTE(Raw_Data!F194,"'","")))</f>
        <v>Bachelors</v>
      </c>
      <c r="G194" s="13" t="str">
        <f aca="false">PROPER(TRIM(Raw_Data!G194))</f>
        <v>Finance</v>
      </c>
      <c r="H194" s="13" t="str">
        <f aca="false">PROPER(TRIM(Raw_Data!H194))</f>
        <v>Team Lead</v>
      </c>
      <c r="I194" s="13" t="n">
        <f aca="false">IF(Raw_Data!I194="",DefaultPerf,Raw_Data!I194)</f>
        <v>4</v>
      </c>
      <c r="J194" s="13" t="n">
        <f aca="false">IF(Raw_Data!J194="",DefaultSat,Raw_Data!J194)</f>
        <v>3</v>
      </c>
      <c r="K194" s="15" t="n">
        <f aca="false">Raw_Data!K194</f>
        <v>169500</v>
      </c>
      <c r="L194" s="13" t="str">
        <f aca="false">PROPER(TRIM(Raw_Data!N194))</f>
        <v>Yes</v>
      </c>
      <c r="M194" s="13" t="n">
        <f aca="false">IF(C194="",0,1)</f>
        <v>1</v>
      </c>
      <c r="N194" s="13" t="str">
        <f aca="false">IF(M194=0,"Active",IF(TRIM(Raw_Data!L194)="","Unknown",PROPER(TRIM(Raw_Data!L194))))</f>
        <v>Voluntary</v>
      </c>
      <c r="O194" s="13" t="str">
        <f aca="false">IF(M194=0,"",IF(TRIM(Raw_Data!M194)="","Not Recorded",TRIM(Raw_Data!M194)))</f>
        <v>Better Compensation</v>
      </c>
      <c r="P194" s="16" t="n">
        <f aca="false">ROUND((IF(C194="",AsOfDate,C194)-B194)/365.25,2)</f>
        <v>11.71</v>
      </c>
      <c r="Q194" s="13" t="str">
        <f aca="false">IF(D194="","Unknown",IF(D194&lt;25,"Under 25",IF(D194&lt;35,"25-34",IF(D194&lt;45,"35-44",IF(D194&lt;55,"45-54","55+")))))</f>
        <v>25-34</v>
      </c>
      <c r="R194" s="13" t="str">
        <f aca="false">IF(P194&lt;1,"0-1 yrs",IF(P194&lt;3,"1-3 yrs",IF(P194&lt;5,"3-5 yrs",IF(P194&lt;10,"5-10 yrs","10+ yrs"))))</f>
        <v>10+ yrs</v>
      </c>
      <c r="S194" s="13" t="str">
        <f aca="false">IF(I194&gt;=4,"High",IF(I194=3,"Medium","Low"))</f>
        <v>High</v>
      </c>
      <c r="T194" s="13" t="n">
        <f aca="false">IF(M194=1,YEAR(C194),"")</f>
        <v>2025</v>
      </c>
      <c r="U194" s="13" t="str">
        <f aca="false">IF(M194=1,YEAR(C194)&amp;"-Q"&amp;ROUNDUP(MONTH(C194)/3,0),"")</f>
        <v>2025-Q4</v>
      </c>
      <c r="V194" s="13" t="n">
        <f aca="false">IF(M194=1,MONTH(C194),"")</f>
        <v>10</v>
      </c>
    </row>
    <row r="195" customFormat="false" ht="15" hidden="false" customHeight="false" outlineLevel="0" collapsed="false">
      <c r="A195" s="13" t="str">
        <f aca="false">TRIM(Raw_Data!A195)</f>
        <v>EMP0194</v>
      </c>
      <c r="B195" s="14" t="n">
        <f aca="false">Raw_Data!B195</f>
        <v>41660</v>
      </c>
      <c r="C195" s="14" t="str">
        <f aca="false">IF(Raw_Data!C195="","",Raw_Data!C195)</f>
        <v/>
      </c>
      <c r="D195" s="13" t="n">
        <f aca="false">IF(Raw_Data!D195="","",Raw_Data!D195)</f>
        <v>39</v>
      </c>
      <c r="E195" s="13" t="str">
        <f aca="false">IF(UPPER(LEFT(TRIM(Raw_Data!E195),1))="M","Male",IF(UPPER(LEFT(TRIM(Raw_Data!E195),1))="F","Female","Unknown"))</f>
        <v>Male</v>
      </c>
      <c r="F195" s="13" t="str">
        <f aca="false">PROPER(TRIM(SUBSTITUTE(Raw_Data!F195,"'","")))</f>
        <v>Masters</v>
      </c>
      <c r="G195" s="13" t="str">
        <f aca="false">PROPER(TRIM(Raw_Data!G195))</f>
        <v>Engineering</v>
      </c>
      <c r="H195" s="13" t="str">
        <f aca="false">PROPER(TRIM(Raw_Data!H195))</f>
        <v>Manager</v>
      </c>
      <c r="I195" s="13" t="n">
        <f aca="false">IF(Raw_Data!I195="",DefaultPerf,Raw_Data!I195)</f>
        <v>2</v>
      </c>
      <c r="J195" s="17" t="n">
        <f aca="false">IF(Raw_Data!J195="",DefaultSat,Raw_Data!J195)</f>
        <v>3</v>
      </c>
      <c r="K195" s="15" t="n">
        <f aca="false">Raw_Data!K195</f>
        <v>252500</v>
      </c>
      <c r="L195" s="13" t="str">
        <f aca="false">PROPER(TRIM(Raw_Data!N195))</f>
        <v>No</v>
      </c>
      <c r="M195" s="13" t="n">
        <f aca="false">IF(C195="",0,1)</f>
        <v>0</v>
      </c>
      <c r="N195" s="13" t="str">
        <f aca="false">IF(M195=0,"Active",IF(TRIM(Raw_Data!L195)="","Unknown",PROPER(TRIM(Raw_Data!L195))))</f>
        <v>Active</v>
      </c>
      <c r="O195" s="13" t="str">
        <f aca="false">IF(M195=0,"",IF(TRIM(Raw_Data!M195)="","Not Recorded",TRIM(Raw_Data!M195)))</f>
        <v/>
      </c>
      <c r="P195" s="16" t="n">
        <f aca="false">ROUND((IF(C195="",AsOfDate,C195)-B195)/365.25,2)</f>
        <v>11.94</v>
      </c>
      <c r="Q195" s="13" t="str">
        <f aca="false">IF(D195="","Unknown",IF(D195&lt;25,"Under 25",IF(D195&lt;35,"25-34",IF(D195&lt;45,"35-44",IF(D195&lt;55,"45-54","55+")))))</f>
        <v>35-44</v>
      </c>
      <c r="R195" s="13" t="str">
        <f aca="false">IF(P195&lt;1,"0-1 yrs",IF(P195&lt;3,"1-3 yrs",IF(P195&lt;5,"3-5 yrs",IF(P195&lt;10,"5-10 yrs","10+ yrs"))))</f>
        <v>10+ yrs</v>
      </c>
      <c r="S195" s="13" t="str">
        <f aca="false">IF(I195&gt;=4,"High",IF(I195=3,"Medium","Low"))</f>
        <v>Low</v>
      </c>
      <c r="T195" s="13" t="str">
        <f aca="false">IF(M195=1,YEAR(C195),"")</f>
        <v/>
      </c>
      <c r="U195" s="13" t="str">
        <f aca="false">IF(M195=1,YEAR(C195)&amp;"-Q"&amp;ROUNDUP(MONTH(C195)/3,0),"")</f>
        <v/>
      </c>
      <c r="V195" s="13" t="str">
        <f aca="false">IF(M195=1,MONTH(C195),"")</f>
        <v/>
      </c>
    </row>
    <row r="196" customFormat="false" ht="15" hidden="false" customHeight="false" outlineLevel="0" collapsed="false">
      <c r="A196" s="13" t="str">
        <f aca="false">TRIM(Raw_Data!A196)</f>
        <v>EMP0195</v>
      </c>
      <c r="B196" s="14" t="n">
        <f aca="false">Raw_Data!B196</f>
        <v>41661</v>
      </c>
      <c r="C196" s="14" t="str">
        <f aca="false">IF(Raw_Data!C196="","",Raw_Data!C196)</f>
        <v/>
      </c>
      <c r="D196" s="13" t="n">
        <f aca="false">IF(Raw_Data!D196="","",Raw_Data!D196)</f>
        <v>37</v>
      </c>
      <c r="E196" s="13" t="str">
        <f aca="false">IF(UPPER(LEFT(TRIM(Raw_Data!E196),1))="M","Male",IF(UPPER(LEFT(TRIM(Raw_Data!E196),1))="F","Female","Unknown"))</f>
        <v>Male</v>
      </c>
      <c r="F196" s="13" t="str">
        <f aca="false">PROPER(TRIM(SUBSTITUTE(Raw_Data!F196,"'","")))</f>
        <v>Diploma</v>
      </c>
      <c r="G196" s="13" t="str">
        <f aca="false">PROPER(TRIM(Raw_Data!G196))</f>
        <v>Operations</v>
      </c>
      <c r="H196" s="13" t="str">
        <f aca="false">PROPER(TRIM(Raw_Data!H196))</f>
        <v>Associate</v>
      </c>
      <c r="I196" s="13" t="n">
        <f aca="false">IF(Raw_Data!I196="",DefaultPerf,Raw_Data!I196)</f>
        <v>4</v>
      </c>
      <c r="J196" s="13" t="n">
        <f aca="false">IF(Raw_Data!J196="",DefaultSat,Raw_Data!J196)</f>
        <v>1</v>
      </c>
      <c r="K196" s="15" t="n">
        <f aca="false">Raw_Data!K196</f>
        <v>48000</v>
      </c>
      <c r="L196" s="13" t="str">
        <f aca="false">PROPER(TRIM(Raw_Data!N196))</f>
        <v>No</v>
      </c>
      <c r="M196" s="13" t="n">
        <f aca="false">IF(C196="",0,1)</f>
        <v>0</v>
      </c>
      <c r="N196" s="13" t="str">
        <f aca="false">IF(M196=0,"Active",IF(TRIM(Raw_Data!L196)="","Unknown",PROPER(TRIM(Raw_Data!L196))))</f>
        <v>Active</v>
      </c>
      <c r="O196" s="13" t="str">
        <f aca="false">IF(M196=0,"",IF(TRIM(Raw_Data!M196)="","Not Recorded",TRIM(Raw_Data!M196)))</f>
        <v/>
      </c>
      <c r="P196" s="16" t="n">
        <f aca="false">ROUND((IF(C196="",AsOfDate,C196)-B196)/365.25,2)</f>
        <v>11.94</v>
      </c>
      <c r="Q196" s="13" t="str">
        <f aca="false">IF(D196="","Unknown",IF(D196&lt;25,"Under 25",IF(D196&lt;35,"25-34",IF(D196&lt;45,"35-44",IF(D196&lt;55,"45-54","55+")))))</f>
        <v>35-44</v>
      </c>
      <c r="R196" s="13" t="str">
        <f aca="false">IF(P196&lt;1,"0-1 yrs",IF(P196&lt;3,"1-3 yrs",IF(P196&lt;5,"3-5 yrs",IF(P196&lt;10,"5-10 yrs","10+ yrs"))))</f>
        <v>10+ yrs</v>
      </c>
      <c r="S196" s="13" t="str">
        <f aca="false">IF(I196&gt;=4,"High",IF(I196=3,"Medium","Low"))</f>
        <v>High</v>
      </c>
      <c r="T196" s="13" t="str">
        <f aca="false">IF(M196=1,YEAR(C196),"")</f>
        <v/>
      </c>
      <c r="U196" s="13" t="str">
        <f aca="false">IF(M196=1,YEAR(C196)&amp;"-Q"&amp;ROUNDUP(MONTH(C196)/3,0),"")</f>
        <v/>
      </c>
      <c r="V196" s="13" t="str">
        <f aca="false">IF(M196=1,MONTH(C196),"")</f>
        <v/>
      </c>
    </row>
    <row r="197" customFormat="false" ht="15" hidden="false" customHeight="false" outlineLevel="0" collapsed="false">
      <c r="A197" s="13" t="str">
        <f aca="false">TRIM(Raw_Data!A197)</f>
        <v>EMP0196</v>
      </c>
      <c r="B197" s="14" t="n">
        <f aca="false">Raw_Data!B197</f>
        <v>41666</v>
      </c>
      <c r="C197" s="14" t="str">
        <f aca="false">IF(Raw_Data!C197="","",Raw_Data!C197)</f>
        <v/>
      </c>
      <c r="D197" s="13" t="n">
        <f aca="false">IF(Raw_Data!D197="","",Raw_Data!D197)</f>
        <v>45</v>
      </c>
      <c r="E197" s="13" t="str">
        <f aca="false">IF(UPPER(LEFT(TRIM(Raw_Data!E197),1))="M","Male",IF(UPPER(LEFT(TRIM(Raw_Data!E197),1))="F","Female","Unknown"))</f>
        <v>Female</v>
      </c>
      <c r="F197" s="13" t="str">
        <f aca="false">PROPER(TRIM(SUBSTITUTE(Raw_Data!F197,"'","")))</f>
        <v>Bachelors</v>
      </c>
      <c r="G197" s="13" t="str">
        <f aca="false">PROPER(TRIM(Raw_Data!G197))</f>
        <v>Sales</v>
      </c>
      <c r="H197" s="13" t="str">
        <f aca="false">PROPER(TRIM(Raw_Data!H197))</f>
        <v>Analyst</v>
      </c>
      <c r="I197" s="13" t="n">
        <f aca="false">IF(Raw_Data!I197="",DefaultPerf,Raw_Data!I197)</f>
        <v>3</v>
      </c>
      <c r="J197" s="13" t="n">
        <f aca="false">IF(Raw_Data!J197="",DefaultSat,Raw_Data!J197)</f>
        <v>3</v>
      </c>
      <c r="K197" s="15" t="n">
        <f aca="false">Raw_Data!K197</f>
        <v>71500</v>
      </c>
      <c r="L197" s="13" t="str">
        <f aca="false">PROPER(TRIM(Raw_Data!N197))</f>
        <v>No</v>
      </c>
      <c r="M197" s="13" t="n">
        <f aca="false">IF(C197="",0,1)</f>
        <v>0</v>
      </c>
      <c r="N197" s="13" t="str">
        <f aca="false">IF(M197=0,"Active",IF(TRIM(Raw_Data!L197)="","Unknown",PROPER(TRIM(Raw_Data!L197))))</f>
        <v>Active</v>
      </c>
      <c r="O197" s="13" t="str">
        <f aca="false">IF(M197=0,"",IF(TRIM(Raw_Data!M197)="","Not Recorded",TRIM(Raw_Data!M197)))</f>
        <v/>
      </c>
      <c r="P197" s="16" t="n">
        <f aca="false">ROUND((IF(C197="",AsOfDate,C197)-B197)/365.25,2)</f>
        <v>11.93</v>
      </c>
      <c r="Q197" s="13" t="str">
        <f aca="false">IF(D197="","Unknown",IF(D197&lt;25,"Under 25",IF(D197&lt;35,"25-34",IF(D197&lt;45,"35-44",IF(D197&lt;55,"45-54","55+")))))</f>
        <v>45-54</v>
      </c>
      <c r="R197" s="13" t="str">
        <f aca="false">IF(P197&lt;1,"0-1 yrs",IF(P197&lt;3,"1-3 yrs",IF(P197&lt;5,"3-5 yrs",IF(P197&lt;10,"5-10 yrs","10+ yrs"))))</f>
        <v>10+ yrs</v>
      </c>
      <c r="S197" s="13" t="str">
        <f aca="false">IF(I197&gt;=4,"High",IF(I197=3,"Medium","Low"))</f>
        <v>Medium</v>
      </c>
      <c r="T197" s="13" t="str">
        <f aca="false">IF(M197=1,YEAR(C197),"")</f>
        <v/>
      </c>
      <c r="U197" s="13" t="str">
        <f aca="false">IF(M197=1,YEAR(C197)&amp;"-Q"&amp;ROUNDUP(MONTH(C197)/3,0),"")</f>
        <v/>
      </c>
      <c r="V197" s="13" t="str">
        <f aca="false">IF(M197=1,MONTH(C197),"")</f>
        <v/>
      </c>
    </row>
    <row r="198" customFormat="false" ht="15" hidden="false" customHeight="false" outlineLevel="0" collapsed="false">
      <c r="A198" s="13" t="str">
        <f aca="false">TRIM(Raw_Data!A198)</f>
        <v>EMP0197</v>
      </c>
      <c r="B198" s="14" t="n">
        <f aca="false">Raw_Data!B198</f>
        <v>41668</v>
      </c>
      <c r="C198" s="14" t="str">
        <f aca="false">IF(Raw_Data!C198="","",Raw_Data!C198)</f>
        <v/>
      </c>
      <c r="D198" s="13" t="n">
        <f aca="false">IF(Raw_Data!D198="","",Raw_Data!D198)</f>
        <v>37</v>
      </c>
      <c r="E198" s="13" t="str">
        <f aca="false">IF(UPPER(LEFT(TRIM(Raw_Data!E198),1))="M","Male",IF(UPPER(LEFT(TRIM(Raw_Data!E198),1))="F","Female","Unknown"))</f>
        <v>Female</v>
      </c>
      <c r="F198" s="13" t="str">
        <f aca="false">PROPER(TRIM(SUBSTITUTE(Raw_Data!F198,"'","")))</f>
        <v>Masters</v>
      </c>
      <c r="G198" s="13" t="str">
        <f aca="false">PROPER(TRIM(Raw_Data!G198))</f>
        <v>Sales</v>
      </c>
      <c r="H198" s="13" t="str">
        <f aca="false">PROPER(TRIM(Raw_Data!H198))</f>
        <v>Manager</v>
      </c>
      <c r="I198" s="13" t="n">
        <f aca="false">IF(Raw_Data!I198="",DefaultPerf,Raw_Data!I198)</f>
        <v>4</v>
      </c>
      <c r="J198" s="13" t="n">
        <f aca="false">IF(Raw_Data!J198="",DefaultSat,Raw_Data!J198)</f>
        <v>3</v>
      </c>
      <c r="K198" s="15" t="n">
        <f aca="false">Raw_Data!K198</f>
        <v>240000</v>
      </c>
      <c r="L198" s="13" t="str">
        <f aca="false">PROPER(TRIM(Raw_Data!N198))</f>
        <v>Yes</v>
      </c>
      <c r="M198" s="13" t="n">
        <f aca="false">IF(C198="",0,1)</f>
        <v>0</v>
      </c>
      <c r="N198" s="13" t="str">
        <f aca="false">IF(M198=0,"Active",IF(TRIM(Raw_Data!L198)="","Unknown",PROPER(TRIM(Raw_Data!L198))))</f>
        <v>Active</v>
      </c>
      <c r="O198" s="13" t="str">
        <f aca="false">IF(M198=0,"",IF(TRIM(Raw_Data!M198)="","Not Recorded",TRIM(Raw_Data!M198)))</f>
        <v/>
      </c>
      <c r="P198" s="16" t="n">
        <f aca="false">ROUND((IF(C198="",AsOfDate,C198)-B198)/365.25,2)</f>
        <v>11.92</v>
      </c>
      <c r="Q198" s="13" t="str">
        <f aca="false">IF(D198="","Unknown",IF(D198&lt;25,"Under 25",IF(D198&lt;35,"25-34",IF(D198&lt;45,"35-44",IF(D198&lt;55,"45-54","55+")))))</f>
        <v>35-44</v>
      </c>
      <c r="R198" s="13" t="str">
        <f aca="false">IF(P198&lt;1,"0-1 yrs",IF(P198&lt;3,"1-3 yrs",IF(P198&lt;5,"3-5 yrs",IF(P198&lt;10,"5-10 yrs","10+ yrs"))))</f>
        <v>10+ yrs</v>
      </c>
      <c r="S198" s="13" t="str">
        <f aca="false">IF(I198&gt;=4,"High",IF(I198=3,"Medium","Low"))</f>
        <v>High</v>
      </c>
      <c r="T198" s="13" t="str">
        <f aca="false">IF(M198=1,YEAR(C198),"")</f>
        <v/>
      </c>
      <c r="U198" s="13" t="str">
        <f aca="false">IF(M198=1,YEAR(C198)&amp;"-Q"&amp;ROUNDUP(MONTH(C198)/3,0),"")</f>
        <v/>
      </c>
      <c r="V198" s="13" t="str">
        <f aca="false">IF(M198=1,MONTH(C198),"")</f>
        <v/>
      </c>
    </row>
    <row r="199" customFormat="false" ht="15" hidden="false" customHeight="false" outlineLevel="0" collapsed="false">
      <c r="A199" s="13" t="str">
        <f aca="false">TRIM(Raw_Data!A199)</f>
        <v>EMP0198</v>
      </c>
      <c r="B199" s="14" t="n">
        <f aca="false">Raw_Data!B199</f>
        <v>41673</v>
      </c>
      <c r="C199" s="14" t="n">
        <f aca="false">IF(Raw_Data!C199="","",Raw_Data!C199)</f>
        <v>44889</v>
      </c>
      <c r="D199" s="13" t="n">
        <f aca="false">IF(Raw_Data!D199="","",Raw_Data!D199)</f>
        <v>44</v>
      </c>
      <c r="E199" s="13" t="str">
        <f aca="false">IF(UPPER(LEFT(TRIM(Raw_Data!E199),1))="M","Male",IF(UPPER(LEFT(TRIM(Raw_Data!E199),1))="F","Female","Unknown"))</f>
        <v>Female</v>
      </c>
      <c r="F199" s="13" t="str">
        <f aca="false">PROPER(TRIM(SUBSTITUTE(Raw_Data!F199,"'","")))</f>
        <v>Masters</v>
      </c>
      <c r="G199" s="13" t="str">
        <f aca="false">PROPER(TRIM(Raw_Data!G199))</f>
        <v>Engineering</v>
      </c>
      <c r="H199" s="13" t="str">
        <f aca="false">PROPER(TRIM(Raw_Data!H199))</f>
        <v>Associate</v>
      </c>
      <c r="I199" s="13" t="n">
        <f aca="false">IF(Raw_Data!I199="",DefaultPerf,Raw_Data!I199)</f>
        <v>4</v>
      </c>
      <c r="J199" s="13" t="n">
        <f aca="false">IF(Raw_Data!J199="",DefaultSat,Raw_Data!J199)</f>
        <v>1</v>
      </c>
      <c r="K199" s="15" t="n">
        <f aca="false">Raw_Data!K199</f>
        <v>44500</v>
      </c>
      <c r="L199" s="13" t="str">
        <f aca="false">PROPER(TRIM(Raw_Data!N199))</f>
        <v>Yes</v>
      </c>
      <c r="M199" s="13" t="n">
        <f aca="false">IF(C199="",0,1)</f>
        <v>1</v>
      </c>
      <c r="N199" s="13" t="str">
        <f aca="false">IF(M199=0,"Active",IF(TRIM(Raw_Data!L199)="","Unknown",PROPER(TRIM(Raw_Data!L199))))</f>
        <v>Voluntary</v>
      </c>
      <c r="O199" s="13" t="str">
        <f aca="false">IF(M199=0,"",IF(TRIM(Raw_Data!M199)="","Not Recorded",TRIM(Raw_Data!M199)))</f>
        <v>Work-Life Balance</v>
      </c>
      <c r="P199" s="16" t="n">
        <f aca="false">ROUND((IF(C199="",AsOfDate,C199)-B199)/365.25,2)</f>
        <v>8.8</v>
      </c>
      <c r="Q199" s="13" t="str">
        <f aca="false">IF(D199="","Unknown",IF(D199&lt;25,"Under 25",IF(D199&lt;35,"25-34",IF(D199&lt;45,"35-44",IF(D199&lt;55,"45-54","55+")))))</f>
        <v>35-44</v>
      </c>
      <c r="R199" s="13" t="str">
        <f aca="false">IF(P199&lt;1,"0-1 yrs",IF(P199&lt;3,"1-3 yrs",IF(P199&lt;5,"3-5 yrs",IF(P199&lt;10,"5-10 yrs","10+ yrs"))))</f>
        <v>5-10 yrs</v>
      </c>
      <c r="S199" s="13" t="str">
        <f aca="false">IF(I199&gt;=4,"High",IF(I199=3,"Medium","Low"))</f>
        <v>High</v>
      </c>
      <c r="T199" s="13" t="n">
        <f aca="false">IF(M199=1,YEAR(C199),"")</f>
        <v>2022</v>
      </c>
      <c r="U199" s="13" t="str">
        <f aca="false">IF(M199=1,YEAR(C199)&amp;"-Q"&amp;ROUNDUP(MONTH(C199)/3,0),"")</f>
        <v>2022-Q4</v>
      </c>
      <c r="V199" s="13" t="n">
        <f aca="false">IF(M199=1,MONTH(C199),"")</f>
        <v>11</v>
      </c>
    </row>
    <row r="200" customFormat="false" ht="15" hidden="false" customHeight="false" outlineLevel="0" collapsed="false">
      <c r="A200" s="13" t="str">
        <f aca="false">TRIM(Raw_Data!A200)</f>
        <v>EMP0199</v>
      </c>
      <c r="B200" s="14" t="n">
        <f aca="false">Raw_Data!B200</f>
        <v>41673</v>
      </c>
      <c r="C200" s="14" t="str">
        <f aca="false">IF(Raw_Data!C200="","",Raw_Data!C200)</f>
        <v/>
      </c>
      <c r="D200" s="13" t="n">
        <f aca="false">IF(Raw_Data!D200="","",Raw_Data!D200)</f>
        <v>41</v>
      </c>
      <c r="E200" s="13" t="str">
        <f aca="false">IF(UPPER(LEFT(TRIM(Raw_Data!E200),1))="M","Male",IF(UPPER(LEFT(TRIM(Raw_Data!E200),1))="F","Female","Unknown"))</f>
        <v>Male</v>
      </c>
      <c r="F200" s="13" t="str">
        <f aca="false">PROPER(TRIM(SUBSTITUTE(Raw_Data!F200,"'","")))</f>
        <v>High School</v>
      </c>
      <c r="G200" s="13" t="str">
        <f aca="false">PROPER(TRIM(Raw_Data!G200))</f>
        <v>Customer Support</v>
      </c>
      <c r="H200" s="13" t="str">
        <f aca="false">PROPER(TRIM(Raw_Data!H200))</f>
        <v>Manager</v>
      </c>
      <c r="I200" s="13" t="n">
        <f aca="false">IF(Raw_Data!I200="",DefaultPerf,Raw_Data!I200)</f>
        <v>3</v>
      </c>
      <c r="J200" s="13" t="n">
        <f aca="false">IF(Raw_Data!J200="",DefaultSat,Raw_Data!J200)</f>
        <v>3</v>
      </c>
      <c r="K200" s="15" t="n">
        <f aca="false">Raw_Data!K200</f>
        <v>213000</v>
      </c>
      <c r="L200" s="13" t="str">
        <f aca="false">PROPER(TRIM(Raw_Data!N200))</f>
        <v>No</v>
      </c>
      <c r="M200" s="13" t="n">
        <f aca="false">IF(C200="",0,1)</f>
        <v>0</v>
      </c>
      <c r="N200" s="13" t="str">
        <f aca="false">IF(M200=0,"Active",IF(TRIM(Raw_Data!L200)="","Unknown",PROPER(TRIM(Raw_Data!L200))))</f>
        <v>Active</v>
      </c>
      <c r="O200" s="13" t="str">
        <f aca="false">IF(M200=0,"",IF(TRIM(Raw_Data!M200)="","Not Recorded",TRIM(Raw_Data!M200)))</f>
        <v/>
      </c>
      <c r="P200" s="16" t="n">
        <f aca="false">ROUND((IF(C200="",AsOfDate,C200)-B200)/365.25,2)</f>
        <v>11.91</v>
      </c>
      <c r="Q200" s="13" t="str">
        <f aca="false">IF(D200="","Unknown",IF(D200&lt;25,"Under 25",IF(D200&lt;35,"25-34",IF(D200&lt;45,"35-44",IF(D200&lt;55,"45-54","55+")))))</f>
        <v>35-44</v>
      </c>
      <c r="R200" s="13" t="str">
        <f aca="false">IF(P200&lt;1,"0-1 yrs",IF(P200&lt;3,"1-3 yrs",IF(P200&lt;5,"3-5 yrs",IF(P200&lt;10,"5-10 yrs","10+ yrs"))))</f>
        <v>10+ yrs</v>
      </c>
      <c r="S200" s="13" t="str">
        <f aca="false">IF(I200&gt;=4,"High",IF(I200=3,"Medium","Low"))</f>
        <v>Medium</v>
      </c>
      <c r="T200" s="13" t="str">
        <f aca="false">IF(M200=1,YEAR(C200),"")</f>
        <v/>
      </c>
      <c r="U200" s="13" t="str">
        <f aca="false">IF(M200=1,YEAR(C200)&amp;"-Q"&amp;ROUNDUP(MONTH(C200)/3,0),"")</f>
        <v/>
      </c>
      <c r="V200" s="13" t="str">
        <f aca="false">IF(M200=1,MONTH(C200),"")</f>
        <v/>
      </c>
    </row>
    <row r="201" customFormat="false" ht="15" hidden="false" customHeight="false" outlineLevel="0" collapsed="false">
      <c r="A201" s="13" t="str">
        <f aca="false">TRIM(Raw_Data!A201)</f>
        <v>EMP0200</v>
      </c>
      <c r="B201" s="14" t="n">
        <f aca="false">Raw_Data!B201</f>
        <v>41689</v>
      </c>
      <c r="C201" s="14" t="str">
        <f aca="false">IF(Raw_Data!C201="","",Raw_Data!C201)</f>
        <v/>
      </c>
      <c r="D201" s="13" t="n">
        <f aca="false">IF(Raw_Data!D201="","",Raw_Data!D201)</f>
        <v>48</v>
      </c>
      <c r="E201" s="13" t="str">
        <f aca="false">IF(UPPER(LEFT(TRIM(Raw_Data!E201),1))="M","Male",IF(UPPER(LEFT(TRIM(Raw_Data!E201),1))="F","Female","Unknown"))</f>
        <v>Male</v>
      </c>
      <c r="F201" s="13" t="str">
        <f aca="false">PROPER(TRIM(SUBSTITUTE(Raw_Data!F201,"'","")))</f>
        <v>Bachelors</v>
      </c>
      <c r="G201" s="13" t="str">
        <f aca="false">PROPER(TRIM(Raw_Data!G201))</f>
        <v>Customer Support</v>
      </c>
      <c r="H201" s="13" t="str">
        <f aca="false">PROPER(TRIM(Raw_Data!H201))</f>
        <v>Manager</v>
      </c>
      <c r="I201" s="13" t="n">
        <f aca="false">IF(Raw_Data!I201="",DefaultPerf,Raw_Data!I201)</f>
        <v>5</v>
      </c>
      <c r="J201" s="13" t="n">
        <f aca="false">IF(Raw_Data!J201="",DefaultSat,Raw_Data!J201)</f>
        <v>1</v>
      </c>
      <c r="K201" s="15" t="n">
        <f aca="false">Raw_Data!K201</f>
        <v>197000</v>
      </c>
      <c r="L201" s="13" t="str">
        <f aca="false">PROPER(TRIM(Raw_Data!N201))</f>
        <v>No</v>
      </c>
      <c r="M201" s="13" t="n">
        <f aca="false">IF(C201="",0,1)</f>
        <v>0</v>
      </c>
      <c r="N201" s="13" t="str">
        <f aca="false">IF(M201=0,"Active",IF(TRIM(Raw_Data!L201)="","Unknown",PROPER(TRIM(Raw_Data!L201))))</f>
        <v>Active</v>
      </c>
      <c r="O201" s="13" t="str">
        <f aca="false">IF(M201=0,"",IF(TRIM(Raw_Data!M201)="","Not Recorded",TRIM(Raw_Data!M201)))</f>
        <v/>
      </c>
      <c r="P201" s="16" t="n">
        <f aca="false">ROUND((IF(C201="",AsOfDate,C201)-B201)/365.25,2)</f>
        <v>11.86</v>
      </c>
      <c r="Q201" s="13" t="str">
        <f aca="false">IF(D201="","Unknown",IF(D201&lt;25,"Under 25",IF(D201&lt;35,"25-34",IF(D201&lt;45,"35-44",IF(D201&lt;55,"45-54","55+")))))</f>
        <v>45-54</v>
      </c>
      <c r="R201" s="13" t="str">
        <f aca="false">IF(P201&lt;1,"0-1 yrs",IF(P201&lt;3,"1-3 yrs",IF(P201&lt;5,"3-5 yrs",IF(P201&lt;10,"5-10 yrs","10+ yrs"))))</f>
        <v>10+ yrs</v>
      </c>
      <c r="S201" s="13" t="str">
        <f aca="false">IF(I201&gt;=4,"High",IF(I201=3,"Medium","Low"))</f>
        <v>High</v>
      </c>
      <c r="T201" s="13" t="str">
        <f aca="false">IF(M201=1,YEAR(C201),"")</f>
        <v/>
      </c>
      <c r="U201" s="13" t="str">
        <f aca="false">IF(M201=1,YEAR(C201)&amp;"-Q"&amp;ROUNDUP(MONTH(C201)/3,0),"")</f>
        <v/>
      </c>
      <c r="V201" s="13" t="str">
        <f aca="false">IF(M201=1,MONTH(C201),"")</f>
        <v/>
      </c>
    </row>
    <row r="202" customFormat="false" ht="15" hidden="false" customHeight="false" outlineLevel="0" collapsed="false">
      <c r="A202" s="13" t="str">
        <f aca="false">TRIM(Raw_Data!A202)</f>
        <v>EMP0201</v>
      </c>
      <c r="B202" s="14" t="n">
        <f aca="false">Raw_Data!B202</f>
        <v>41689</v>
      </c>
      <c r="C202" s="14" t="str">
        <f aca="false">IF(Raw_Data!C202="","",Raw_Data!C202)</f>
        <v/>
      </c>
      <c r="D202" s="13" t="n">
        <f aca="false">IF(Raw_Data!D202="","",Raw_Data!D202)</f>
        <v>43</v>
      </c>
      <c r="E202" s="13" t="str">
        <f aca="false">IF(UPPER(LEFT(TRIM(Raw_Data!E202),1))="M","Male",IF(UPPER(LEFT(TRIM(Raw_Data!E202),1))="F","Female","Unknown"))</f>
        <v>Female</v>
      </c>
      <c r="F202" s="13" t="str">
        <f aca="false">PROPER(TRIM(SUBSTITUTE(Raw_Data!F202,"'","")))</f>
        <v>Bachelors</v>
      </c>
      <c r="G202" s="13" t="str">
        <f aca="false">PROPER(TRIM(Raw_Data!G202))</f>
        <v>Engineering</v>
      </c>
      <c r="H202" s="13" t="str">
        <f aca="false">PROPER(TRIM(Raw_Data!H202))</f>
        <v>Specialist</v>
      </c>
      <c r="I202" s="13" t="n">
        <f aca="false">IF(Raw_Data!I202="",DefaultPerf,Raw_Data!I202)</f>
        <v>4</v>
      </c>
      <c r="J202" s="13" t="n">
        <f aca="false">IF(Raw_Data!J202="",DefaultSat,Raw_Data!J202)</f>
        <v>3</v>
      </c>
      <c r="K202" s="15" t="n">
        <f aca="false">Raw_Data!K202</f>
        <v>129000</v>
      </c>
      <c r="L202" s="13" t="str">
        <f aca="false">PROPER(TRIM(Raw_Data!N202))</f>
        <v>No</v>
      </c>
      <c r="M202" s="13" t="n">
        <f aca="false">IF(C202="",0,1)</f>
        <v>0</v>
      </c>
      <c r="N202" s="13" t="str">
        <f aca="false">IF(M202=0,"Active",IF(TRIM(Raw_Data!L202)="","Unknown",PROPER(TRIM(Raw_Data!L202))))</f>
        <v>Active</v>
      </c>
      <c r="O202" s="13" t="str">
        <f aca="false">IF(M202=0,"",IF(TRIM(Raw_Data!M202)="","Not Recorded",TRIM(Raw_Data!M202)))</f>
        <v/>
      </c>
      <c r="P202" s="16" t="n">
        <f aca="false">ROUND((IF(C202="",AsOfDate,C202)-B202)/365.25,2)</f>
        <v>11.86</v>
      </c>
      <c r="Q202" s="13" t="str">
        <f aca="false">IF(D202="","Unknown",IF(D202&lt;25,"Under 25",IF(D202&lt;35,"25-34",IF(D202&lt;45,"35-44",IF(D202&lt;55,"45-54","55+")))))</f>
        <v>35-44</v>
      </c>
      <c r="R202" s="13" t="str">
        <f aca="false">IF(P202&lt;1,"0-1 yrs",IF(P202&lt;3,"1-3 yrs",IF(P202&lt;5,"3-5 yrs",IF(P202&lt;10,"5-10 yrs","10+ yrs"))))</f>
        <v>10+ yrs</v>
      </c>
      <c r="S202" s="13" t="str">
        <f aca="false">IF(I202&gt;=4,"High",IF(I202=3,"Medium","Low"))</f>
        <v>High</v>
      </c>
      <c r="T202" s="13" t="str">
        <f aca="false">IF(M202=1,YEAR(C202),"")</f>
        <v/>
      </c>
      <c r="U202" s="13" t="str">
        <f aca="false">IF(M202=1,YEAR(C202)&amp;"-Q"&amp;ROUNDUP(MONTH(C202)/3,0),"")</f>
        <v/>
      </c>
      <c r="V202" s="13" t="str">
        <f aca="false">IF(M202=1,MONTH(C202),"")</f>
        <v/>
      </c>
    </row>
    <row r="203" customFormat="false" ht="15" hidden="false" customHeight="false" outlineLevel="0" collapsed="false">
      <c r="A203" s="13" t="str">
        <f aca="false">TRIM(Raw_Data!A203)</f>
        <v>EMP0202</v>
      </c>
      <c r="B203" s="14" t="n">
        <f aca="false">Raw_Data!B203</f>
        <v>41691</v>
      </c>
      <c r="C203" s="14" t="str">
        <f aca="false">IF(Raw_Data!C203="","",Raw_Data!C203)</f>
        <v/>
      </c>
      <c r="D203" s="13" t="n">
        <f aca="false">IF(Raw_Data!D203="","",Raw_Data!D203)</f>
        <v>41</v>
      </c>
      <c r="E203" s="13" t="str">
        <f aca="false">IF(UPPER(LEFT(TRIM(Raw_Data!E203),1))="M","Male",IF(UPPER(LEFT(TRIM(Raw_Data!E203),1))="F","Female","Unknown"))</f>
        <v>Male</v>
      </c>
      <c r="F203" s="13" t="str">
        <f aca="false">PROPER(TRIM(SUBSTITUTE(Raw_Data!F203,"'","")))</f>
        <v>Bachelors</v>
      </c>
      <c r="G203" s="13" t="str">
        <f aca="false">PROPER(TRIM(Raw_Data!G203))</f>
        <v>Human Resources</v>
      </c>
      <c r="H203" s="13" t="str">
        <f aca="false">PROPER(TRIM(Raw_Data!H203))</f>
        <v>Analyst</v>
      </c>
      <c r="I203" s="13" t="n">
        <f aca="false">IF(Raw_Data!I203="",DefaultPerf,Raw_Data!I203)</f>
        <v>3</v>
      </c>
      <c r="J203" s="13" t="n">
        <f aca="false">IF(Raw_Data!J203="",DefaultSat,Raw_Data!J203)</f>
        <v>2</v>
      </c>
      <c r="K203" s="15" t="n">
        <f aca="false">Raw_Data!K203</f>
        <v>68000</v>
      </c>
      <c r="L203" s="13" t="str">
        <f aca="false">PROPER(TRIM(Raw_Data!N203))</f>
        <v>No</v>
      </c>
      <c r="M203" s="13" t="n">
        <f aca="false">IF(C203="",0,1)</f>
        <v>0</v>
      </c>
      <c r="N203" s="13" t="str">
        <f aca="false">IF(M203=0,"Active",IF(TRIM(Raw_Data!L203)="","Unknown",PROPER(TRIM(Raw_Data!L203))))</f>
        <v>Active</v>
      </c>
      <c r="O203" s="13" t="str">
        <f aca="false">IF(M203=0,"",IF(TRIM(Raw_Data!M203)="","Not Recorded",TRIM(Raw_Data!M203)))</f>
        <v/>
      </c>
      <c r="P203" s="16" t="n">
        <f aca="false">ROUND((IF(C203="",AsOfDate,C203)-B203)/365.25,2)</f>
        <v>11.86</v>
      </c>
      <c r="Q203" s="13" t="str">
        <f aca="false">IF(D203="","Unknown",IF(D203&lt;25,"Under 25",IF(D203&lt;35,"25-34",IF(D203&lt;45,"35-44",IF(D203&lt;55,"45-54","55+")))))</f>
        <v>35-44</v>
      </c>
      <c r="R203" s="13" t="str">
        <f aca="false">IF(P203&lt;1,"0-1 yrs",IF(P203&lt;3,"1-3 yrs",IF(P203&lt;5,"3-5 yrs",IF(P203&lt;10,"5-10 yrs","10+ yrs"))))</f>
        <v>10+ yrs</v>
      </c>
      <c r="S203" s="13" t="str">
        <f aca="false">IF(I203&gt;=4,"High",IF(I203=3,"Medium","Low"))</f>
        <v>Medium</v>
      </c>
      <c r="T203" s="13" t="str">
        <f aca="false">IF(M203=1,YEAR(C203),"")</f>
        <v/>
      </c>
      <c r="U203" s="13" t="str">
        <f aca="false">IF(M203=1,YEAR(C203)&amp;"-Q"&amp;ROUNDUP(MONTH(C203)/3,0),"")</f>
        <v/>
      </c>
      <c r="V203" s="13" t="str">
        <f aca="false">IF(M203=1,MONTH(C203),"")</f>
        <v/>
      </c>
    </row>
    <row r="204" customFormat="false" ht="15" hidden="false" customHeight="false" outlineLevel="0" collapsed="false">
      <c r="A204" s="13" t="str">
        <f aca="false">TRIM(Raw_Data!A204)</f>
        <v>EMP0203</v>
      </c>
      <c r="B204" s="14" t="n">
        <f aca="false">Raw_Data!B204</f>
        <v>41697</v>
      </c>
      <c r="C204" s="14" t="str">
        <f aca="false">IF(Raw_Data!C204="","",Raw_Data!C204)</f>
        <v/>
      </c>
      <c r="D204" s="13" t="n">
        <f aca="false">IF(Raw_Data!D204="","",Raw_Data!D204)</f>
        <v>35</v>
      </c>
      <c r="E204" s="13" t="str">
        <f aca="false">IF(UPPER(LEFT(TRIM(Raw_Data!E204),1))="M","Male",IF(UPPER(LEFT(TRIM(Raw_Data!E204),1))="F","Female","Unknown"))</f>
        <v>Female</v>
      </c>
      <c r="F204" s="13" t="str">
        <f aca="false">PROPER(TRIM(SUBSTITUTE(Raw_Data!F204,"'","")))</f>
        <v>Bachelors</v>
      </c>
      <c r="G204" s="13" t="str">
        <f aca="false">PROPER(TRIM(Raw_Data!G204))</f>
        <v>Operations</v>
      </c>
      <c r="H204" s="13" t="str">
        <f aca="false">PROPER(TRIM(Raw_Data!H204))</f>
        <v>Senior Analyst</v>
      </c>
      <c r="I204" s="13" t="n">
        <f aca="false">IF(Raw_Data!I204="",DefaultPerf,Raw_Data!I204)</f>
        <v>3</v>
      </c>
      <c r="J204" s="13" t="n">
        <f aca="false">IF(Raw_Data!J204="",DefaultSat,Raw_Data!J204)</f>
        <v>4</v>
      </c>
      <c r="K204" s="15" t="n">
        <f aca="false">Raw_Data!K204</f>
        <v>120500</v>
      </c>
      <c r="L204" s="13" t="str">
        <f aca="false">PROPER(TRIM(Raw_Data!N204))</f>
        <v>No</v>
      </c>
      <c r="M204" s="13" t="n">
        <f aca="false">IF(C204="",0,1)</f>
        <v>0</v>
      </c>
      <c r="N204" s="13" t="str">
        <f aca="false">IF(M204=0,"Active",IF(TRIM(Raw_Data!L204)="","Unknown",PROPER(TRIM(Raw_Data!L204))))</f>
        <v>Active</v>
      </c>
      <c r="O204" s="13" t="str">
        <f aca="false">IF(M204=0,"",IF(TRIM(Raw_Data!M204)="","Not Recorded",TRIM(Raw_Data!M204)))</f>
        <v/>
      </c>
      <c r="P204" s="16" t="n">
        <f aca="false">ROUND((IF(C204="",AsOfDate,C204)-B204)/365.25,2)</f>
        <v>11.84</v>
      </c>
      <c r="Q204" s="13" t="str">
        <f aca="false">IF(D204="","Unknown",IF(D204&lt;25,"Under 25",IF(D204&lt;35,"25-34",IF(D204&lt;45,"35-44",IF(D204&lt;55,"45-54","55+")))))</f>
        <v>35-44</v>
      </c>
      <c r="R204" s="13" t="str">
        <f aca="false">IF(P204&lt;1,"0-1 yrs",IF(P204&lt;3,"1-3 yrs",IF(P204&lt;5,"3-5 yrs",IF(P204&lt;10,"5-10 yrs","10+ yrs"))))</f>
        <v>10+ yrs</v>
      </c>
      <c r="S204" s="13" t="str">
        <f aca="false">IF(I204&gt;=4,"High",IF(I204=3,"Medium","Low"))</f>
        <v>Medium</v>
      </c>
      <c r="T204" s="13" t="str">
        <f aca="false">IF(M204=1,YEAR(C204),"")</f>
        <v/>
      </c>
      <c r="U204" s="13" t="str">
        <f aca="false">IF(M204=1,YEAR(C204)&amp;"-Q"&amp;ROUNDUP(MONTH(C204)/3,0),"")</f>
        <v/>
      </c>
      <c r="V204" s="13" t="str">
        <f aca="false">IF(M204=1,MONTH(C204),"")</f>
        <v/>
      </c>
    </row>
    <row r="205" customFormat="false" ht="15" hidden="false" customHeight="false" outlineLevel="0" collapsed="false">
      <c r="A205" s="13" t="str">
        <f aca="false">TRIM(Raw_Data!A205)</f>
        <v>EMP0204</v>
      </c>
      <c r="B205" s="14" t="n">
        <f aca="false">Raw_Data!B205</f>
        <v>41698</v>
      </c>
      <c r="C205" s="14" t="str">
        <f aca="false">IF(Raw_Data!C205="","",Raw_Data!C205)</f>
        <v/>
      </c>
      <c r="D205" s="13" t="n">
        <f aca="false">IF(Raw_Data!D205="","",Raw_Data!D205)</f>
        <v>38</v>
      </c>
      <c r="E205" s="13" t="str">
        <f aca="false">IF(UPPER(LEFT(TRIM(Raw_Data!E205),1))="M","Male",IF(UPPER(LEFT(TRIM(Raw_Data!E205),1))="F","Female","Unknown"))</f>
        <v>Female</v>
      </c>
      <c r="F205" s="13" t="str">
        <f aca="false">PROPER(TRIM(SUBSTITUTE(Raw_Data!F205,"'","")))</f>
        <v>Bachelors</v>
      </c>
      <c r="G205" s="13" t="str">
        <f aca="false">PROPER(TRIM(Raw_Data!G205))</f>
        <v>Engineering</v>
      </c>
      <c r="H205" s="13" t="str">
        <f aca="false">PROPER(TRIM(Raw_Data!H205))</f>
        <v>Associate</v>
      </c>
      <c r="I205" s="13" t="n">
        <f aca="false">IF(Raw_Data!I205="",DefaultPerf,Raw_Data!I205)</f>
        <v>2</v>
      </c>
      <c r="J205" s="13" t="n">
        <f aca="false">IF(Raw_Data!J205="",DefaultSat,Raw_Data!J205)</f>
        <v>4</v>
      </c>
      <c r="K205" s="15" t="n">
        <f aca="false">Raw_Data!K205</f>
        <v>52500</v>
      </c>
      <c r="L205" s="13" t="str">
        <f aca="false">PROPER(TRIM(Raw_Data!N205))</f>
        <v>No</v>
      </c>
      <c r="M205" s="13" t="n">
        <f aca="false">IF(C205="",0,1)</f>
        <v>0</v>
      </c>
      <c r="N205" s="13" t="str">
        <f aca="false">IF(M205=0,"Active",IF(TRIM(Raw_Data!L205)="","Unknown",PROPER(TRIM(Raw_Data!L205))))</f>
        <v>Active</v>
      </c>
      <c r="O205" s="13" t="str">
        <f aca="false">IF(M205=0,"",IF(TRIM(Raw_Data!M205)="","Not Recorded",TRIM(Raw_Data!M205)))</f>
        <v/>
      </c>
      <c r="P205" s="16" t="n">
        <f aca="false">ROUND((IF(C205="",AsOfDate,C205)-B205)/365.25,2)</f>
        <v>11.84</v>
      </c>
      <c r="Q205" s="13" t="str">
        <f aca="false">IF(D205="","Unknown",IF(D205&lt;25,"Under 25",IF(D205&lt;35,"25-34",IF(D205&lt;45,"35-44",IF(D205&lt;55,"45-54","55+")))))</f>
        <v>35-44</v>
      </c>
      <c r="R205" s="13" t="str">
        <f aca="false">IF(P205&lt;1,"0-1 yrs",IF(P205&lt;3,"1-3 yrs",IF(P205&lt;5,"3-5 yrs",IF(P205&lt;10,"5-10 yrs","10+ yrs"))))</f>
        <v>10+ yrs</v>
      </c>
      <c r="S205" s="13" t="str">
        <f aca="false">IF(I205&gt;=4,"High",IF(I205=3,"Medium","Low"))</f>
        <v>Low</v>
      </c>
      <c r="T205" s="13" t="str">
        <f aca="false">IF(M205=1,YEAR(C205),"")</f>
        <v/>
      </c>
      <c r="U205" s="13" t="str">
        <f aca="false">IF(M205=1,YEAR(C205)&amp;"-Q"&amp;ROUNDUP(MONTH(C205)/3,0),"")</f>
        <v/>
      </c>
      <c r="V205" s="13" t="str">
        <f aca="false">IF(M205=1,MONTH(C205),"")</f>
        <v/>
      </c>
    </row>
    <row r="206" customFormat="false" ht="15" hidden="false" customHeight="false" outlineLevel="0" collapsed="false">
      <c r="A206" s="13" t="str">
        <f aca="false">TRIM(Raw_Data!A206)</f>
        <v>EMP0205</v>
      </c>
      <c r="B206" s="14" t="n">
        <f aca="false">Raw_Data!B206</f>
        <v>41701</v>
      </c>
      <c r="C206" s="14" t="str">
        <f aca="false">IF(Raw_Data!C206="","",Raw_Data!C206)</f>
        <v/>
      </c>
      <c r="D206" s="13" t="n">
        <f aca="false">IF(Raw_Data!D206="","",Raw_Data!D206)</f>
        <v>40</v>
      </c>
      <c r="E206" s="13" t="str">
        <f aca="false">IF(UPPER(LEFT(TRIM(Raw_Data!E206),1))="M","Male",IF(UPPER(LEFT(TRIM(Raw_Data!E206),1))="F","Female","Unknown"))</f>
        <v>Female</v>
      </c>
      <c r="F206" s="13" t="str">
        <f aca="false">PROPER(TRIM(SUBSTITUTE(Raw_Data!F206,"'","")))</f>
        <v>Doctorate</v>
      </c>
      <c r="G206" s="13" t="str">
        <f aca="false">PROPER(TRIM(Raw_Data!G206))</f>
        <v>Operations</v>
      </c>
      <c r="H206" s="13" t="str">
        <f aca="false">PROPER(TRIM(Raw_Data!H206))</f>
        <v>Analyst</v>
      </c>
      <c r="I206" s="13" t="n">
        <f aca="false">IF(Raw_Data!I206="",DefaultPerf,Raw_Data!I206)</f>
        <v>3</v>
      </c>
      <c r="J206" s="13" t="n">
        <f aca="false">IF(Raw_Data!J206="",DefaultSat,Raw_Data!J206)</f>
        <v>3</v>
      </c>
      <c r="K206" s="15" t="n">
        <f aca="false">Raw_Data!K206</f>
        <v>71000</v>
      </c>
      <c r="L206" s="13" t="str">
        <f aca="false">PROPER(TRIM(Raw_Data!N206))</f>
        <v>Yes</v>
      </c>
      <c r="M206" s="13" t="n">
        <f aca="false">IF(C206="",0,1)</f>
        <v>0</v>
      </c>
      <c r="N206" s="13" t="str">
        <f aca="false">IF(M206=0,"Active",IF(TRIM(Raw_Data!L206)="","Unknown",PROPER(TRIM(Raw_Data!L206))))</f>
        <v>Active</v>
      </c>
      <c r="O206" s="13" t="str">
        <f aca="false">IF(M206=0,"",IF(TRIM(Raw_Data!M206)="","Not Recorded",TRIM(Raw_Data!M206)))</f>
        <v/>
      </c>
      <c r="P206" s="16" t="n">
        <f aca="false">ROUND((IF(C206="",AsOfDate,C206)-B206)/365.25,2)</f>
        <v>11.83</v>
      </c>
      <c r="Q206" s="13" t="str">
        <f aca="false">IF(D206="","Unknown",IF(D206&lt;25,"Under 25",IF(D206&lt;35,"25-34",IF(D206&lt;45,"35-44",IF(D206&lt;55,"45-54","55+")))))</f>
        <v>35-44</v>
      </c>
      <c r="R206" s="13" t="str">
        <f aca="false">IF(P206&lt;1,"0-1 yrs",IF(P206&lt;3,"1-3 yrs",IF(P206&lt;5,"3-5 yrs",IF(P206&lt;10,"5-10 yrs","10+ yrs"))))</f>
        <v>10+ yrs</v>
      </c>
      <c r="S206" s="13" t="str">
        <f aca="false">IF(I206&gt;=4,"High",IF(I206=3,"Medium","Low"))</f>
        <v>Medium</v>
      </c>
      <c r="T206" s="13" t="str">
        <f aca="false">IF(M206=1,YEAR(C206),"")</f>
        <v/>
      </c>
      <c r="U206" s="13" t="str">
        <f aca="false">IF(M206=1,YEAR(C206)&amp;"-Q"&amp;ROUNDUP(MONTH(C206)/3,0),"")</f>
        <v/>
      </c>
      <c r="V206" s="13" t="str">
        <f aca="false">IF(M206=1,MONTH(C206),"")</f>
        <v/>
      </c>
    </row>
    <row r="207" customFormat="false" ht="15" hidden="false" customHeight="false" outlineLevel="0" collapsed="false">
      <c r="A207" s="13" t="str">
        <f aca="false">TRIM(Raw_Data!A207)</f>
        <v>EMP0206</v>
      </c>
      <c r="B207" s="14" t="n">
        <f aca="false">Raw_Data!B207</f>
        <v>41701</v>
      </c>
      <c r="C207" s="14" t="str">
        <f aca="false">IF(Raw_Data!C207="","",Raw_Data!C207)</f>
        <v/>
      </c>
      <c r="D207" s="13" t="n">
        <f aca="false">IF(Raw_Data!D207="","",Raw_Data!D207)</f>
        <v>39</v>
      </c>
      <c r="E207" s="13" t="str">
        <f aca="false">IF(UPPER(LEFT(TRIM(Raw_Data!E207),1))="M","Male",IF(UPPER(LEFT(TRIM(Raw_Data!E207),1))="F","Female","Unknown"))</f>
        <v>Male</v>
      </c>
      <c r="F207" s="13" t="str">
        <f aca="false">PROPER(TRIM(SUBSTITUTE(Raw_Data!F207,"'","")))</f>
        <v>Bachelors</v>
      </c>
      <c r="G207" s="13" t="str">
        <f aca="false">PROPER(TRIM(Raw_Data!G207))</f>
        <v>Human Resources</v>
      </c>
      <c r="H207" s="13" t="str">
        <f aca="false">PROPER(TRIM(Raw_Data!H207))</f>
        <v>Associate</v>
      </c>
      <c r="I207" s="13" t="n">
        <f aca="false">IF(Raw_Data!I207="",DefaultPerf,Raw_Data!I207)</f>
        <v>5</v>
      </c>
      <c r="J207" s="13" t="n">
        <f aca="false">IF(Raw_Data!J207="",DefaultSat,Raw_Data!J207)</f>
        <v>4</v>
      </c>
      <c r="K207" s="15" t="n">
        <f aca="false">Raw_Data!K207</f>
        <v>49000</v>
      </c>
      <c r="L207" s="13" t="str">
        <f aca="false">PROPER(TRIM(Raw_Data!N207))</f>
        <v>No</v>
      </c>
      <c r="M207" s="13" t="n">
        <f aca="false">IF(C207="",0,1)</f>
        <v>0</v>
      </c>
      <c r="N207" s="13" t="str">
        <f aca="false">IF(M207=0,"Active",IF(TRIM(Raw_Data!L207)="","Unknown",PROPER(TRIM(Raw_Data!L207))))</f>
        <v>Active</v>
      </c>
      <c r="O207" s="13" t="str">
        <f aca="false">IF(M207=0,"",IF(TRIM(Raw_Data!M207)="","Not Recorded",TRIM(Raw_Data!M207)))</f>
        <v/>
      </c>
      <c r="P207" s="16" t="n">
        <f aca="false">ROUND((IF(C207="",AsOfDate,C207)-B207)/365.25,2)</f>
        <v>11.83</v>
      </c>
      <c r="Q207" s="13" t="str">
        <f aca="false">IF(D207="","Unknown",IF(D207&lt;25,"Under 25",IF(D207&lt;35,"25-34",IF(D207&lt;45,"35-44",IF(D207&lt;55,"45-54","55+")))))</f>
        <v>35-44</v>
      </c>
      <c r="R207" s="13" t="str">
        <f aca="false">IF(P207&lt;1,"0-1 yrs",IF(P207&lt;3,"1-3 yrs",IF(P207&lt;5,"3-5 yrs",IF(P207&lt;10,"5-10 yrs","10+ yrs"))))</f>
        <v>10+ yrs</v>
      </c>
      <c r="S207" s="13" t="str">
        <f aca="false">IF(I207&gt;=4,"High",IF(I207=3,"Medium","Low"))</f>
        <v>High</v>
      </c>
      <c r="T207" s="13" t="str">
        <f aca="false">IF(M207=1,YEAR(C207),"")</f>
        <v/>
      </c>
      <c r="U207" s="13" t="str">
        <f aca="false">IF(M207=1,YEAR(C207)&amp;"-Q"&amp;ROUNDUP(MONTH(C207)/3,0),"")</f>
        <v/>
      </c>
      <c r="V207" s="13" t="str">
        <f aca="false">IF(M207=1,MONTH(C207),"")</f>
        <v/>
      </c>
    </row>
    <row r="208" customFormat="false" ht="15" hidden="false" customHeight="false" outlineLevel="0" collapsed="false">
      <c r="A208" s="13" t="str">
        <f aca="false">TRIM(Raw_Data!A208)</f>
        <v>EMP0207</v>
      </c>
      <c r="B208" s="14" t="n">
        <f aca="false">Raw_Data!B208</f>
        <v>41714</v>
      </c>
      <c r="C208" s="14" t="n">
        <f aca="false">IF(Raw_Data!C208="","",Raw_Data!C208)</f>
        <v>45023</v>
      </c>
      <c r="D208" s="13" t="n">
        <f aca="false">IF(Raw_Data!D208="","",Raw_Data!D208)</f>
        <v>41</v>
      </c>
      <c r="E208" s="13" t="str">
        <f aca="false">IF(UPPER(LEFT(TRIM(Raw_Data!E208),1))="M","Male",IF(UPPER(LEFT(TRIM(Raw_Data!E208),1))="F","Female","Unknown"))</f>
        <v>Female</v>
      </c>
      <c r="F208" s="13" t="str">
        <f aca="false">PROPER(TRIM(SUBSTITUTE(Raw_Data!F208,"'","")))</f>
        <v>Bachelors</v>
      </c>
      <c r="G208" s="13" t="str">
        <f aca="false">PROPER(TRIM(Raw_Data!G208))</f>
        <v>Sales</v>
      </c>
      <c r="H208" s="13" t="str">
        <f aca="false">PROPER(TRIM(Raw_Data!H208))</f>
        <v>Analyst</v>
      </c>
      <c r="I208" s="13" t="n">
        <f aca="false">IF(Raw_Data!I208="",DefaultPerf,Raw_Data!I208)</f>
        <v>5</v>
      </c>
      <c r="J208" s="13" t="n">
        <f aca="false">IF(Raw_Data!J208="",DefaultSat,Raw_Data!J208)</f>
        <v>1</v>
      </c>
      <c r="K208" s="15" t="n">
        <f aca="false">Raw_Data!K208</f>
        <v>76000</v>
      </c>
      <c r="L208" s="13" t="str">
        <f aca="false">PROPER(TRIM(Raw_Data!N208))</f>
        <v>Yes</v>
      </c>
      <c r="M208" s="13" t="n">
        <f aca="false">IF(C208="",0,1)</f>
        <v>1</v>
      </c>
      <c r="N208" s="13" t="str">
        <f aca="false">IF(M208=0,"Active",IF(TRIM(Raw_Data!L208)="","Unknown",PROPER(TRIM(Raw_Data!L208))))</f>
        <v>Voluntary</v>
      </c>
      <c r="O208" s="13" t="str">
        <f aca="false">IF(M208=0,"",IF(TRIM(Raw_Data!M208)="","Not Recorded",TRIM(Raw_Data!M208)))</f>
        <v>Manager Issues</v>
      </c>
      <c r="P208" s="16" t="n">
        <f aca="false">ROUND((IF(C208="",AsOfDate,C208)-B208)/365.25,2)</f>
        <v>9.06</v>
      </c>
      <c r="Q208" s="13" t="str">
        <f aca="false">IF(D208="","Unknown",IF(D208&lt;25,"Under 25",IF(D208&lt;35,"25-34",IF(D208&lt;45,"35-44",IF(D208&lt;55,"45-54","55+")))))</f>
        <v>35-44</v>
      </c>
      <c r="R208" s="13" t="str">
        <f aca="false">IF(P208&lt;1,"0-1 yrs",IF(P208&lt;3,"1-3 yrs",IF(P208&lt;5,"3-5 yrs",IF(P208&lt;10,"5-10 yrs","10+ yrs"))))</f>
        <v>5-10 yrs</v>
      </c>
      <c r="S208" s="13" t="str">
        <f aca="false">IF(I208&gt;=4,"High",IF(I208=3,"Medium","Low"))</f>
        <v>High</v>
      </c>
      <c r="T208" s="13" t="n">
        <f aca="false">IF(M208=1,YEAR(C208),"")</f>
        <v>2023</v>
      </c>
      <c r="U208" s="13" t="str">
        <f aca="false">IF(M208=1,YEAR(C208)&amp;"-Q"&amp;ROUNDUP(MONTH(C208)/3,0),"")</f>
        <v>2023-Q2</v>
      </c>
      <c r="V208" s="13" t="n">
        <f aca="false">IF(M208=1,MONTH(C208),"")</f>
        <v>4</v>
      </c>
    </row>
    <row r="209" customFormat="false" ht="15" hidden="false" customHeight="false" outlineLevel="0" collapsed="false">
      <c r="A209" s="13" t="str">
        <f aca="false">TRIM(Raw_Data!A209)</f>
        <v>EMP0208</v>
      </c>
      <c r="B209" s="14" t="n">
        <f aca="false">Raw_Data!B209</f>
        <v>41714</v>
      </c>
      <c r="C209" s="14" t="str">
        <f aca="false">IF(Raw_Data!C209="","",Raw_Data!C209)</f>
        <v/>
      </c>
      <c r="D209" s="13" t="n">
        <f aca="false">IF(Raw_Data!D209="","",Raw_Data!D209)</f>
        <v>41</v>
      </c>
      <c r="E209" s="13" t="str">
        <f aca="false">IF(UPPER(LEFT(TRIM(Raw_Data!E209),1))="M","Male",IF(UPPER(LEFT(TRIM(Raw_Data!E209),1))="F","Female","Unknown"))</f>
        <v>Female</v>
      </c>
      <c r="F209" s="13" t="str">
        <f aca="false">PROPER(TRIM(SUBSTITUTE(Raw_Data!F209,"'","")))</f>
        <v>Masters</v>
      </c>
      <c r="G209" s="13" t="str">
        <f aca="false">PROPER(TRIM(Raw_Data!G209))</f>
        <v>Sales</v>
      </c>
      <c r="H209" s="13" t="str">
        <f aca="false">PROPER(TRIM(Raw_Data!H209))</f>
        <v>Specialist</v>
      </c>
      <c r="I209" s="13" t="n">
        <f aca="false">IF(Raw_Data!I209="",DefaultPerf,Raw_Data!I209)</f>
        <v>4</v>
      </c>
      <c r="J209" s="13" t="n">
        <f aca="false">IF(Raw_Data!J209="",DefaultSat,Raw_Data!J209)</f>
        <v>3</v>
      </c>
      <c r="K209" s="15" t="n">
        <f aca="false">Raw_Data!K209</f>
        <v>126500</v>
      </c>
      <c r="L209" s="13" t="str">
        <f aca="false">PROPER(TRIM(Raw_Data!N209))</f>
        <v>Yes</v>
      </c>
      <c r="M209" s="13" t="n">
        <f aca="false">IF(C209="",0,1)</f>
        <v>0</v>
      </c>
      <c r="N209" s="13" t="str">
        <f aca="false">IF(M209=0,"Active",IF(TRIM(Raw_Data!L209)="","Unknown",PROPER(TRIM(Raw_Data!L209))))</f>
        <v>Active</v>
      </c>
      <c r="O209" s="13" t="str">
        <f aca="false">IF(M209=0,"",IF(TRIM(Raw_Data!M209)="","Not Recorded",TRIM(Raw_Data!M209)))</f>
        <v/>
      </c>
      <c r="P209" s="16" t="n">
        <f aca="false">ROUND((IF(C209="",AsOfDate,C209)-B209)/365.25,2)</f>
        <v>11.79</v>
      </c>
      <c r="Q209" s="13" t="str">
        <f aca="false">IF(D209="","Unknown",IF(D209&lt;25,"Under 25",IF(D209&lt;35,"25-34",IF(D209&lt;45,"35-44",IF(D209&lt;55,"45-54","55+")))))</f>
        <v>35-44</v>
      </c>
      <c r="R209" s="13" t="str">
        <f aca="false">IF(P209&lt;1,"0-1 yrs",IF(P209&lt;3,"1-3 yrs",IF(P209&lt;5,"3-5 yrs",IF(P209&lt;10,"5-10 yrs","10+ yrs"))))</f>
        <v>10+ yrs</v>
      </c>
      <c r="S209" s="13" t="str">
        <f aca="false">IF(I209&gt;=4,"High",IF(I209=3,"Medium","Low"))</f>
        <v>High</v>
      </c>
      <c r="T209" s="13" t="str">
        <f aca="false">IF(M209=1,YEAR(C209),"")</f>
        <v/>
      </c>
      <c r="U209" s="13" t="str">
        <f aca="false">IF(M209=1,YEAR(C209)&amp;"-Q"&amp;ROUNDUP(MONTH(C209)/3,0),"")</f>
        <v/>
      </c>
      <c r="V209" s="13" t="str">
        <f aca="false">IF(M209=1,MONTH(C209),"")</f>
        <v/>
      </c>
    </row>
    <row r="210" customFormat="false" ht="15" hidden="false" customHeight="false" outlineLevel="0" collapsed="false">
      <c r="A210" s="13" t="str">
        <f aca="false">TRIM(Raw_Data!A210)</f>
        <v>EMP0209</v>
      </c>
      <c r="B210" s="14" t="n">
        <f aca="false">Raw_Data!B210</f>
        <v>41718</v>
      </c>
      <c r="C210" s="14" t="n">
        <f aca="false">IF(Raw_Data!C210="","",Raw_Data!C210)</f>
        <v>44964</v>
      </c>
      <c r="D210" s="13" t="n">
        <f aca="false">IF(Raw_Data!D210="","",Raw_Data!D210)</f>
        <v>42</v>
      </c>
      <c r="E210" s="13" t="str">
        <f aca="false">IF(UPPER(LEFT(TRIM(Raw_Data!E210),1))="M","Male",IF(UPPER(LEFT(TRIM(Raw_Data!E210),1))="F","Female","Unknown"))</f>
        <v>Female</v>
      </c>
      <c r="F210" s="13" t="str">
        <f aca="false">PROPER(TRIM(SUBSTITUTE(Raw_Data!F210,"'","")))</f>
        <v>Bachelors</v>
      </c>
      <c r="G210" s="13" t="str">
        <f aca="false">PROPER(TRIM(Raw_Data!G210))</f>
        <v>Sales</v>
      </c>
      <c r="H210" s="13" t="str">
        <f aca="false">PROPER(TRIM(Raw_Data!H210))</f>
        <v>Associate</v>
      </c>
      <c r="I210" s="13" t="n">
        <f aca="false">IF(Raw_Data!I210="",DefaultPerf,Raw_Data!I210)</f>
        <v>5</v>
      </c>
      <c r="J210" s="13" t="n">
        <f aca="false">IF(Raw_Data!J210="",DefaultSat,Raw_Data!J210)</f>
        <v>1</v>
      </c>
      <c r="K210" s="15" t="n">
        <f aca="false">Raw_Data!K210</f>
        <v>55000</v>
      </c>
      <c r="L210" s="13" t="str">
        <f aca="false">PROPER(TRIM(Raw_Data!N210))</f>
        <v>No</v>
      </c>
      <c r="M210" s="13" t="n">
        <f aca="false">IF(C210="",0,1)</f>
        <v>1</v>
      </c>
      <c r="N210" s="13" t="str">
        <f aca="false">IF(M210=0,"Active",IF(TRIM(Raw_Data!L210)="","Unknown",PROPER(TRIM(Raw_Data!L210))))</f>
        <v>Voluntary</v>
      </c>
      <c r="O210" s="13" t="str">
        <f aca="false">IF(M210=0,"",IF(TRIM(Raw_Data!M210)="","Not Recorded",TRIM(Raw_Data!M210)))</f>
        <v>Better Compensation</v>
      </c>
      <c r="P210" s="16" t="n">
        <f aca="false">ROUND((IF(C210="",AsOfDate,C210)-B210)/365.25,2)</f>
        <v>8.89</v>
      </c>
      <c r="Q210" s="13" t="str">
        <f aca="false">IF(D210="","Unknown",IF(D210&lt;25,"Under 25",IF(D210&lt;35,"25-34",IF(D210&lt;45,"35-44",IF(D210&lt;55,"45-54","55+")))))</f>
        <v>35-44</v>
      </c>
      <c r="R210" s="13" t="str">
        <f aca="false">IF(P210&lt;1,"0-1 yrs",IF(P210&lt;3,"1-3 yrs",IF(P210&lt;5,"3-5 yrs",IF(P210&lt;10,"5-10 yrs","10+ yrs"))))</f>
        <v>5-10 yrs</v>
      </c>
      <c r="S210" s="13" t="str">
        <f aca="false">IF(I210&gt;=4,"High",IF(I210=3,"Medium","Low"))</f>
        <v>High</v>
      </c>
      <c r="T210" s="13" t="n">
        <f aca="false">IF(M210=1,YEAR(C210),"")</f>
        <v>2023</v>
      </c>
      <c r="U210" s="13" t="str">
        <f aca="false">IF(M210=1,YEAR(C210)&amp;"-Q"&amp;ROUNDUP(MONTH(C210)/3,0),"")</f>
        <v>2023-Q1</v>
      </c>
      <c r="V210" s="13" t="n">
        <f aca="false">IF(M210=1,MONTH(C210),"")</f>
        <v>2</v>
      </c>
    </row>
    <row r="211" customFormat="false" ht="15" hidden="false" customHeight="false" outlineLevel="0" collapsed="false">
      <c r="A211" s="13" t="str">
        <f aca="false">TRIM(Raw_Data!A211)</f>
        <v>EMP0210</v>
      </c>
      <c r="B211" s="14" t="n">
        <f aca="false">Raw_Data!B211</f>
        <v>41718</v>
      </c>
      <c r="C211" s="14" t="str">
        <f aca="false">IF(Raw_Data!C211="","",Raw_Data!C211)</f>
        <v/>
      </c>
      <c r="D211" s="13" t="n">
        <f aca="false">IF(Raw_Data!D211="","",Raw_Data!D211)</f>
        <v>40</v>
      </c>
      <c r="E211" s="13" t="str">
        <f aca="false">IF(UPPER(LEFT(TRIM(Raw_Data!E211),1))="M","Male",IF(UPPER(LEFT(TRIM(Raw_Data!E211),1))="F","Female","Unknown"))</f>
        <v>Male</v>
      </c>
      <c r="F211" s="13" t="str">
        <f aca="false">PROPER(TRIM(SUBSTITUTE(Raw_Data!F211,"'","")))</f>
        <v>Masters</v>
      </c>
      <c r="G211" s="13" t="str">
        <f aca="false">PROPER(TRIM(Raw_Data!G211))</f>
        <v>Sales</v>
      </c>
      <c r="H211" s="13" t="str">
        <f aca="false">PROPER(TRIM(Raw_Data!H211))</f>
        <v>Team Lead</v>
      </c>
      <c r="I211" s="13" t="n">
        <f aca="false">IF(Raw_Data!I211="",DefaultPerf,Raw_Data!I211)</f>
        <v>3</v>
      </c>
      <c r="J211" s="17" t="n">
        <f aca="false">IF(Raw_Data!J211="",DefaultSat,Raw_Data!J211)</f>
        <v>3</v>
      </c>
      <c r="K211" s="15" t="n">
        <f aca="false">Raw_Data!K211</f>
        <v>162500</v>
      </c>
      <c r="L211" s="13" t="str">
        <f aca="false">PROPER(TRIM(Raw_Data!N211))</f>
        <v>No</v>
      </c>
      <c r="M211" s="13" t="n">
        <f aca="false">IF(C211="",0,1)</f>
        <v>0</v>
      </c>
      <c r="N211" s="13" t="str">
        <f aca="false">IF(M211=0,"Active",IF(TRIM(Raw_Data!L211)="","Unknown",PROPER(TRIM(Raw_Data!L211))))</f>
        <v>Active</v>
      </c>
      <c r="O211" s="13" t="str">
        <f aca="false">IF(M211=0,"",IF(TRIM(Raw_Data!M211)="","Not Recorded",TRIM(Raw_Data!M211)))</f>
        <v/>
      </c>
      <c r="P211" s="16" t="n">
        <f aca="false">ROUND((IF(C211="",AsOfDate,C211)-B211)/365.25,2)</f>
        <v>11.78</v>
      </c>
      <c r="Q211" s="13" t="str">
        <f aca="false">IF(D211="","Unknown",IF(D211&lt;25,"Under 25",IF(D211&lt;35,"25-34",IF(D211&lt;45,"35-44",IF(D211&lt;55,"45-54","55+")))))</f>
        <v>35-44</v>
      </c>
      <c r="R211" s="13" t="str">
        <f aca="false">IF(P211&lt;1,"0-1 yrs",IF(P211&lt;3,"1-3 yrs",IF(P211&lt;5,"3-5 yrs",IF(P211&lt;10,"5-10 yrs","10+ yrs"))))</f>
        <v>10+ yrs</v>
      </c>
      <c r="S211" s="13" t="str">
        <f aca="false">IF(I211&gt;=4,"High",IF(I211=3,"Medium","Low"))</f>
        <v>Medium</v>
      </c>
      <c r="T211" s="13" t="str">
        <f aca="false">IF(M211=1,YEAR(C211),"")</f>
        <v/>
      </c>
      <c r="U211" s="13" t="str">
        <f aca="false">IF(M211=1,YEAR(C211)&amp;"-Q"&amp;ROUNDUP(MONTH(C211)/3,0),"")</f>
        <v/>
      </c>
      <c r="V211" s="13" t="str">
        <f aca="false">IF(M211=1,MONTH(C211),"")</f>
        <v/>
      </c>
    </row>
    <row r="212" customFormat="false" ht="15" hidden="false" customHeight="false" outlineLevel="0" collapsed="false">
      <c r="A212" s="13" t="str">
        <f aca="false">TRIM(Raw_Data!A212)</f>
        <v>EMP0211</v>
      </c>
      <c r="B212" s="14" t="n">
        <f aca="false">Raw_Data!B212</f>
        <v>41726</v>
      </c>
      <c r="C212" s="14" t="n">
        <f aca="false">IF(Raw_Data!C212="","",Raw_Data!C212)</f>
        <v>44908</v>
      </c>
      <c r="D212" s="13" t="n">
        <f aca="false">IF(Raw_Data!D212="","",Raw_Data!D212)</f>
        <v>36</v>
      </c>
      <c r="E212" s="13" t="str">
        <f aca="false">IF(UPPER(LEFT(TRIM(Raw_Data!E212),1))="M","Male",IF(UPPER(LEFT(TRIM(Raw_Data!E212),1))="F","Female","Unknown"))</f>
        <v>Male</v>
      </c>
      <c r="F212" s="13" t="str">
        <f aca="false">PROPER(TRIM(SUBSTITUTE(Raw_Data!F212,"'","")))</f>
        <v>Masters</v>
      </c>
      <c r="G212" s="13" t="str">
        <f aca="false">PROPER(TRIM(Raw_Data!G212))</f>
        <v>Human Resources</v>
      </c>
      <c r="H212" s="13" t="str">
        <f aca="false">PROPER(TRIM(Raw_Data!H212))</f>
        <v>Associate</v>
      </c>
      <c r="I212" s="13" t="n">
        <f aca="false">IF(Raw_Data!I212="",DefaultPerf,Raw_Data!I212)</f>
        <v>4</v>
      </c>
      <c r="J212" s="13" t="n">
        <f aca="false">IF(Raw_Data!J212="",DefaultSat,Raw_Data!J212)</f>
        <v>3</v>
      </c>
      <c r="K212" s="15" t="n">
        <f aca="false">Raw_Data!K212</f>
        <v>52000</v>
      </c>
      <c r="L212" s="13" t="str">
        <f aca="false">PROPER(TRIM(Raw_Data!N212))</f>
        <v>Yes</v>
      </c>
      <c r="M212" s="13" t="n">
        <f aca="false">IF(C212="",0,1)</f>
        <v>1</v>
      </c>
      <c r="N212" s="13" t="str">
        <f aca="false">IF(M212=0,"Active",IF(TRIM(Raw_Data!L212)="","Unknown",PROPER(TRIM(Raw_Data!L212))))</f>
        <v>Voluntary</v>
      </c>
      <c r="O212" s="13" t="str">
        <f aca="false">IF(M212=0,"",IF(TRIM(Raw_Data!M212)="","Not Recorded",TRIM(Raw_Data!M212)))</f>
        <v>Relocation</v>
      </c>
      <c r="P212" s="16" t="n">
        <f aca="false">ROUND((IF(C212="",AsOfDate,C212)-B212)/365.25,2)</f>
        <v>8.71</v>
      </c>
      <c r="Q212" s="13" t="str">
        <f aca="false">IF(D212="","Unknown",IF(D212&lt;25,"Under 25",IF(D212&lt;35,"25-34",IF(D212&lt;45,"35-44",IF(D212&lt;55,"45-54","55+")))))</f>
        <v>35-44</v>
      </c>
      <c r="R212" s="13" t="str">
        <f aca="false">IF(P212&lt;1,"0-1 yrs",IF(P212&lt;3,"1-3 yrs",IF(P212&lt;5,"3-5 yrs",IF(P212&lt;10,"5-10 yrs","10+ yrs"))))</f>
        <v>5-10 yrs</v>
      </c>
      <c r="S212" s="13" t="str">
        <f aca="false">IF(I212&gt;=4,"High",IF(I212=3,"Medium","Low"))</f>
        <v>High</v>
      </c>
      <c r="T212" s="13" t="n">
        <f aca="false">IF(M212=1,YEAR(C212),"")</f>
        <v>2022</v>
      </c>
      <c r="U212" s="13" t="str">
        <f aca="false">IF(M212=1,YEAR(C212)&amp;"-Q"&amp;ROUNDUP(MONTH(C212)/3,0),"")</f>
        <v>2022-Q4</v>
      </c>
      <c r="V212" s="13" t="n">
        <f aca="false">IF(M212=1,MONTH(C212),"")</f>
        <v>12</v>
      </c>
    </row>
    <row r="213" customFormat="false" ht="15" hidden="false" customHeight="false" outlineLevel="0" collapsed="false">
      <c r="A213" s="13" t="str">
        <f aca="false">TRIM(Raw_Data!A213)</f>
        <v>EMP0212</v>
      </c>
      <c r="B213" s="14" t="n">
        <f aca="false">Raw_Data!B213</f>
        <v>41733</v>
      </c>
      <c r="C213" s="14" t="str">
        <f aca="false">IF(Raw_Data!C213="","",Raw_Data!C213)</f>
        <v/>
      </c>
      <c r="D213" s="13" t="n">
        <f aca="false">IF(Raw_Data!D213="","",Raw_Data!D213)</f>
        <v>45</v>
      </c>
      <c r="E213" s="13" t="str">
        <f aca="false">IF(UPPER(LEFT(TRIM(Raw_Data!E213),1))="M","Male",IF(UPPER(LEFT(TRIM(Raw_Data!E213),1))="F","Female","Unknown"))</f>
        <v>Male</v>
      </c>
      <c r="F213" s="13" t="str">
        <f aca="false">PROPER(TRIM(SUBSTITUTE(Raw_Data!F213,"'","")))</f>
        <v>Diploma</v>
      </c>
      <c r="G213" s="13" t="str">
        <f aca="false">PROPER(TRIM(Raw_Data!G213))</f>
        <v>Engineering</v>
      </c>
      <c r="H213" s="13" t="str">
        <f aca="false">PROPER(TRIM(Raw_Data!H213))</f>
        <v>Associate</v>
      </c>
      <c r="I213" s="13" t="n">
        <f aca="false">IF(Raw_Data!I213="",DefaultPerf,Raw_Data!I213)</f>
        <v>3</v>
      </c>
      <c r="J213" s="13" t="n">
        <f aca="false">IF(Raw_Data!J213="",DefaultSat,Raw_Data!J213)</f>
        <v>2</v>
      </c>
      <c r="K213" s="15" t="n">
        <f aca="false">Raw_Data!K213</f>
        <v>46000</v>
      </c>
      <c r="L213" s="13" t="str">
        <f aca="false">PROPER(TRIM(Raw_Data!N213))</f>
        <v>Yes</v>
      </c>
      <c r="M213" s="13" t="n">
        <f aca="false">IF(C213="",0,1)</f>
        <v>0</v>
      </c>
      <c r="N213" s="13" t="str">
        <f aca="false">IF(M213=0,"Active",IF(TRIM(Raw_Data!L213)="","Unknown",PROPER(TRIM(Raw_Data!L213))))</f>
        <v>Active</v>
      </c>
      <c r="O213" s="13" t="str">
        <f aca="false">IF(M213=0,"",IF(TRIM(Raw_Data!M213)="","Not Recorded",TRIM(Raw_Data!M213)))</f>
        <v/>
      </c>
      <c r="P213" s="16" t="n">
        <f aca="false">ROUND((IF(C213="",AsOfDate,C213)-B213)/365.25,2)</f>
        <v>11.74</v>
      </c>
      <c r="Q213" s="13" t="str">
        <f aca="false">IF(D213="","Unknown",IF(D213&lt;25,"Under 25",IF(D213&lt;35,"25-34",IF(D213&lt;45,"35-44",IF(D213&lt;55,"45-54","55+")))))</f>
        <v>45-54</v>
      </c>
      <c r="R213" s="13" t="str">
        <f aca="false">IF(P213&lt;1,"0-1 yrs",IF(P213&lt;3,"1-3 yrs",IF(P213&lt;5,"3-5 yrs",IF(P213&lt;10,"5-10 yrs","10+ yrs"))))</f>
        <v>10+ yrs</v>
      </c>
      <c r="S213" s="13" t="str">
        <f aca="false">IF(I213&gt;=4,"High",IF(I213=3,"Medium","Low"))</f>
        <v>Medium</v>
      </c>
      <c r="T213" s="13" t="str">
        <f aca="false">IF(M213=1,YEAR(C213),"")</f>
        <v/>
      </c>
      <c r="U213" s="13" t="str">
        <f aca="false">IF(M213=1,YEAR(C213)&amp;"-Q"&amp;ROUNDUP(MONTH(C213)/3,0),"")</f>
        <v/>
      </c>
      <c r="V213" s="13" t="str">
        <f aca="false">IF(M213=1,MONTH(C213),"")</f>
        <v/>
      </c>
    </row>
    <row r="214" customFormat="false" ht="15" hidden="false" customHeight="false" outlineLevel="0" collapsed="false">
      <c r="A214" s="13" t="str">
        <f aca="false">TRIM(Raw_Data!A214)</f>
        <v>EMP0213</v>
      </c>
      <c r="B214" s="14" t="n">
        <f aca="false">Raw_Data!B214</f>
        <v>41741</v>
      </c>
      <c r="C214" s="14" t="n">
        <f aca="false">IF(Raw_Data!C214="","",Raw_Data!C214)</f>
        <v>45054</v>
      </c>
      <c r="D214" s="13" t="n">
        <f aca="false">IF(Raw_Data!D214="","",Raw_Data!D214)</f>
        <v>40</v>
      </c>
      <c r="E214" s="13" t="str">
        <f aca="false">IF(UPPER(LEFT(TRIM(Raw_Data!E214),1))="M","Male",IF(UPPER(LEFT(TRIM(Raw_Data!E214),1))="F","Female","Unknown"))</f>
        <v>Male</v>
      </c>
      <c r="F214" s="13" t="str">
        <f aca="false">PROPER(TRIM(SUBSTITUTE(Raw_Data!F214,"'","")))</f>
        <v>Bachelors</v>
      </c>
      <c r="G214" s="13" t="str">
        <f aca="false">PROPER(TRIM(Raw_Data!G214))</f>
        <v>Sales</v>
      </c>
      <c r="H214" s="13" t="str">
        <f aca="false">PROPER(TRIM(Raw_Data!H214))</f>
        <v>Analyst</v>
      </c>
      <c r="I214" s="13" t="n">
        <f aca="false">IF(Raw_Data!I214="",DefaultPerf,Raw_Data!I214)</f>
        <v>5</v>
      </c>
      <c r="J214" s="13" t="n">
        <f aca="false">IF(Raw_Data!J214="",DefaultSat,Raw_Data!J214)</f>
        <v>3</v>
      </c>
      <c r="K214" s="15" t="n">
        <f aca="false">Raw_Data!K214</f>
        <v>88500</v>
      </c>
      <c r="L214" s="13" t="str">
        <f aca="false">PROPER(TRIM(Raw_Data!N214))</f>
        <v>Yes</v>
      </c>
      <c r="M214" s="13" t="n">
        <f aca="false">IF(C214="",0,1)</f>
        <v>1</v>
      </c>
      <c r="N214" s="13" t="str">
        <f aca="false">IF(M214=0,"Active",IF(TRIM(Raw_Data!L214)="","Unknown",PROPER(TRIM(Raw_Data!L214))))</f>
        <v>Voluntary</v>
      </c>
      <c r="O214" s="13" t="str">
        <f aca="false">IF(M214=0,"",IF(TRIM(Raw_Data!M214)="","Not Recorded",TRIM(Raw_Data!M214)))</f>
        <v>Personal Reasons</v>
      </c>
      <c r="P214" s="16" t="n">
        <f aca="false">ROUND((IF(C214="",AsOfDate,C214)-B214)/365.25,2)</f>
        <v>9.07</v>
      </c>
      <c r="Q214" s="13" t="str">
        <f aca="false">IF(D214="","Unknown",IF(D214&lt;25,"Under 25",IF(D214&lt;35,"25-34",IF(D214&lt;45,"35-44",IF(D214&lt;55,"45-54","55+")))))</f>
        <v>35-44</v>
      </c>
      <c r="R214" s="13" t="str">
        <f aca="false">IF(P214&lt;1,"0-1 yrs",IF(P214&lt;3,"1-3 yrs",IF(P214&lt;5,"3-5 yrs",IF(P214&lt;10,"5-10 yrs","10+ yrs"))))</f>
        <v>5-10 yrs</v>
      </c>
      <c r="S214" s="13" t="str">
        <f aca="false">IF(I214&gt;=4,"High",IF(I214=3,"Medium","Low"))</f>
        <v>High</v>
      </c>
      <c r="T214" s="13" t="n">
        <f aca="false">IF(M214=1,YEAR(C214),"")</f>
        <v>2023</v>
      </c>
      <c r="U214" s="13" t="str">
        <f aca="false">IF(M214=1,YEAR(C214)&amp;"-Q"&amp;ROUNDUP(MONTH(C214)/3,0),"")</f>
        <v>2023-Q2</v>
      </c>
      <c r="V214" s="13" t="n">
        <f aca="false">IF(M214=1,MONTH(C214),"")</f>
        <v>5</v>
      </c>
    </row>
    <row r="215" customFormat="false" ht="15" hidden="false" customHeight="false" outlineLevel="0" collapsed="false">
      <c r="A215" s="13" t="str">
        <f aca="false">TRIM(Raw_Data!A215)</f>
        <v>EMP0214</v>
      </c>
      <c r="B215" s="14" t="n">
        <f aca="false">Raw_Data!B215</f>
        <v>41742</v>
      </c>
      <c r="C215" s="14" t="str">
        <f aca="false">IF(Raw_Data!C215="","",Raw_Data!C215)</f>
        <v/>
      </c>
      <c r="D215" s="13" t="n">
        <f aca="false">IF(Raw_Data!D215="","",Raw_Data!D215)</f>
        <v>45</v>
      </c>
      <c r="E215" s="13" t="str">
        <f aca="false">IF(UPPER(LEFT(TRIM(Raw_Data!E215),1))="M","Male",IF(UPPER(LEFT(TRIM(Raw_Data!E215),1))="F","Female","Unknown"))</f>
        <v>Male</v>
      </c>
      <c r="F215" s="13" t="str">
        <f aca="false">PROPER(TRIM(SUBSTITUTE(Raw_Data!F215,"'","")))</f>
        <v>Bachelors</v>
      </c>
      <c r="G215" s="13" t="str">
        <f aca="false">PROPER(TRIM(Raw_Data!G215))</f>
        <v>Customer Support</v>
      </c>
      <c r="H215" s="13" t="str">
        <f aca="false">PROPER(TRIM(Raw_Data!H215))</f>
        <v>Associate</v>
      </c>
      <c r="I215" s="13" t="n">
        <f aca="false">IF(Raw_Data!I215="",DefaultPerf,Raw_Data!I215)</f>
        <v>1</v>
      </c>
      <c r="J215" s="13" t="n">
        <f aca="false">IF(Raw_Data!J215="",DefaultSat,Raw_Data!J215)</f>
        <v>4</v>
      </c>
      <c r="K215" s="15" t="n">
        <f aca="false">Raw_Data!K215</f>
        <v>47000</v>
      </c>
      <c r="L215" s="13" t="str">
        <f aca="false">PROPER(TRIM(Raw_Data!N215))</f>
        <v>Yes</v>
      </c>
      <c r="M215" s="13" t="n">
        <f aca="false">IF(C215="",0,1)</f>
        <v>0</v>
      </c>
      <c r="N215" s="13" t="str">
        <f aca="false">IF(M215=0,"Active",IF(TRIM(Raw_Data!L215)="","Unknown",PROPER(TRIM(Raw_Data!L215))))</f>
        <v>Active</v>
      </c>
      <c r="O215" s="13" t="str">
        <f aca="false">IF(M215=0,"",IF(TRIM(Raw_Data!M215)="","Not Recorded",TRIM(Raw_Data!M215)))</f>
        <v/>
      </c>
      <c r="P215" s="16" t="n">
        <f aca="false">ROUND((IF(C215="",AsOfDate,C215)-B215)/365.25,2)</f>
        <v>11.72</v>
      </c>
      <c r="Q215" s="13" t="str">
        <f aca="false">IF(D215="","Unknown",IF(D215&lt;25,"Under 25",IF(D215&lt;35,"25-34",IF(D215&lt;45,"35-44",IF(D215&lt;55,"45-54","55+")))))</f>
        <v>45-54</v>
      </c>
      <c r="R215" s="13" t="str">
        <f aca="false">IF(P215&lt;1,"0-1 yrs",IF(P215&lt;3,"1-3 yrs",IF(P215&lt;5,"3-5 yrs",IF(P215&lt;10,"5-10 yrs","10+ yrs"))))</f>
        <v>10+ yrs</v>
      </c>
      <c r="S215" s="13" t="str">
        <f aca="false">IF(I215&gt;=4,"High",IF(I215=3,"Medium","Low"))</f>
        <v>Low</v>
      </c>
      <c r="T215" s="13" t="str">
        <f aca="false">IF(M215=1,YEAR(C215),"")</f>
        <v/>
      </c>
      <c r="U215" s="13" t="str">
        <f aca="false">IF(M215=1,YEAR(C215)&amp;"-Q"&amp;ROUNDUP(MONTH(C215)/3,0),"")</f>
        <v/>
      </c>
      <c r="V215" s="13" t="str">
        <f aca="false">IF(M215=1,MONTH(C215),"")</f>
        <v/>
      </c>
    </row>
    <row r="216" customFormat="false" ht="15" hidden="false" customHeight="false" outlineLevel="0" collapsed="false">
      <c r="A216" s="13" t="str">
        <f aca="false">TRIM(Raw_Data!A216)</f>
        <v>EMP0215</v>
      </c>
      <c r="B216" s="14" t="n">
        <f aca="false">Raw_Data!B216</f>
        <v>41742</v>
      </c>
      <c r="C216" s="14" t="str">
        <f aca="false">IF(Raw_Data!C216="","",Raw_Data!C216)</f>
        <v/>
      </c>
      <c r="D216" s="13" t="n">
        <f aca="false">IF(Raw_Data!D216="","",Raw_Data!D216)</f>
        <v>43</v>
      </c>
      <c r="E216" s="13" t="str">
        <f aca="false">IF(UPPER(LEFT(TRIM(Raw_Data!E216),1))="M","Male",IF(UPPER(LEFT(TRIM(Raw_Data!E216),1))="F","Female","Unknown"))</f>
        <v>Female</v>
      </c>
      <c r="F216" s="13" t="str">
        <f aca="false">PROPER(TRIM(SUBSTITUTE(Raw_Data!F216,"'","")))</f>
        <v>Doctorate</v>
      </c>
      <c r="G216" s="13" t="str">
        <f aca="false">PROPER(TRIM(Raw_Data!G216))</f>
        <v>Engineering</v>
      </c>
      <c r="H216" s="13" t="str">
        <f aca="false">PROPER(TRIM(Raw_Data!H216))</f>
        <v>Specialist</v>
      </c>
      <c r="I216" s="13" t="n">
        <f aca="false">IF(Raw_Data!I216="",DefaultPerf,Raw_Data!I216)</f>
        <v>3</v>
      </c>
      <c r="J216" s="13" t="n">
        <f aca="false">IF(Raw_Data!J216="",DefaultSat,Raw_Data!J216)</f>
        <v>1</v>
      </c>
      <c r="K216" s="15" t="n">
        <f aca="false">Raw_Data!K216</f>
        <v>121500</v>
      </c>
      <c r="L216" s="13" t="str">
        <f aca="false">PROPER(TRIM(Raw_Data!N216))</f>
        <v>No</v>
      </c>
      <c r="M216" s="13" t="n">
        <f aca="false">IF(C216="",0,1)</f>
        <v>0</v>
      </c>
      <c r="N216" s="13" t="str">
        <f aca="false">IF(M216=0,"Active",IF(TRIM(Raw_Data!L216)="","Unknown",PROPER(TRIM(Raw_Data!L216))))</f>
        <v>Active</v>
      </c>
      <c r="O216" s="13" t="str">
        <f aca="false">IF(M216=0,"",IF(TRIM(Raw_Data!M216)="","Not Recorded",TRIM(Raw_Data!M216)))</f>
        <v/>
      </c>
      <c r="P216" s="16" t="n">
        <f aca="false">ROUND((IF(C216="",AsOfDate,C216)-B216)/365.25,2)</f>
        <v>11.72</v>
      </c>
      <c r="Q216" s="13" t="str">
        <f aca="false">IF(D216="","Unknown",IF(D216&lt;25,"Under 25",IF(D216&lt;35,"25-34",IF(D216&lt;45,"35-44",IF(D216&lt;55,"45-54","55+")))))</f>
        <v>35-44</v>
      </c>
      <c r="R216" s="13" t="str">
        <f aca="false">IF(P216&lt;1,"0-1 yrs",IF(P216&lt;3,"1-3 yrs",IF(P216&lt;5,"3-5 yrs",IF(P216&lt;10,"5-10 yrs","10+ yrs"))))</f>
        <v>10+ yrs</v>
      </c>
      <c r="S216" s="13" t="str">
        <f aca="false">IF(I216&gt;=4,"High",IF(I216=3,"Medium","Low"))</f>
        <v>Medium</v>
      </c>
      <c r="T216" s="13" t="str">
        <f aca="false">IF(M216=1,YEAR(C216),"")</f>
        <v/>
      </c>
      <c r="U216" s="13" t="str">
        <f aca="false">IF(M216=1,YEAR(C216)&amp;"-Q"&amp;ROUNDUP(MONTH(C216)/3,0),"")</f>
        <v/>
      </c>
      <c r="V216" s="13" t="str">
        <f aca="false">IF(M216=1,MONTH(C216),"")</f>
        <v/>
      </c>
    </row>
    <row r="217" customFormat="false" ht="15" hidden="false" customHeight="false" outlineLevel="0" collapsed="false">
      <c r="A217" s="13" t="str">
        <f aca="false">TRIM(Raw_Data!A217)</f>
        <v>EMP0216</v>
      </c>
      <c r="B217" s="14" t="n">
        <f aca="false">Raw_Data!B217</f>
        <v>41749</v>
      </c>
      <c r="C217" s="14" t="str">
        <f aca="false">IF(Raw_Data!C217="","",Raw_Data!C217)</f>
        <v/>
      </c>
      <c r="D217" s="13" t="n">
        <f aca="false">IF(Raw_Data!D217="","",Raw_Data!D217)</f>
        <v>38</v>
      </c>
      <c r="E217" s="13" t="str">
        <f aca="false">IF(UPPER(LEFT(TRIM(Raw_Data!E217),1))="M","Male",IF(UPPER(LEFT(TRIM(Raw_Data!E217),1))="F","Female","Unknown"))</f>
        <v>Female</v>
      </c>
      <c r="F217" s="13" t="str">
        <f aca="false">PROPER(TRIM(SUBSTITUTE(Raw_Data!F217,"'","")))</f>
        <v>Bachelors</v>
      </c>
      <c r="G217" s="13" t="str">
        <f aca="false">PROPER(TRIM(Raw_Data!G217))</f>
        <v>Sales</v>
      </c>
      <c r="H217" s="13" t="str">
        <f aca="false">PROPER(TRIM(Raw_Data!H217))</f>
        <v>Senior Analyst</v>
      </c>
      <c r="I217" s="13" t="n">
        <f aca="false">IF(Raw_Data!I217="",DefaultPerf,Raw_Data!I217)</f>
        <v>2</v>
      </c>
      <c r="J217" s="13" t="n">
        <f aca="false">IF(Raw_Data!J217="",DefaultSat,Raw_Data!J217)</f>
        <v>3</v>
      </c>
      <c r="K217" s="15" t="n">
        <f aca="false">Raw_Data!K217</f>
        <v>112500</v>
      </c>
      <c r="L217" s="13" t="str">
        <f aca="false">PROPER(TRIM(Raw_Data!N217))</f>
        <v>No</v>
      </c>
      <c r="M217" s="13" t="n">
        <f aca="false">IF(C217="",0,1)</f>
        <v>0</v>
      </c>
      <c r="N217" s="13" t="str">
        <f aca="false">IF(M217=0,"Active",IF(TRIM(Raw_Data!L217)="","Unknown",PROPER(TRIM(Raw_Data!L217))))</f>
        <v>Active</v>
      </c>
      <c r="O217" s="13" t="str">
        <f aca="false">IF(M217=0,"",IF(TRIM(Raw_Data!M217)="","Not Recorded",TRIM(Raw_Data!M217)))</f>
        <v/>
      </c>
      <c r="P217" s="16" t="n">
        <f aca="false">ROUND((IF(C217="",AsOfDate,C217)-B217)/365.25,2)</f>
        <v>11.7</v>
      </c>
      <c r="Q217" s="13" t="str">
        <f aca="false">IF(D217="","Unknown",IF(D217&lt;25,"Under 25",IF(D217&lt;35,"25-34",IF(D217&lt;45,"35-44",IF(D217&lt;55,"45-54","55+")))))</f>
        <v>35-44</v>
      </c>
      <c r="R217" s="13" t="str">
        <f aca="false">IF(P217&lt;1,"0-1 yrs",IF(P217&lt;3,"1-3 yrs",IF(P217&lt;5,"3-5 yrs",IF(P217&lt;10,"5-10 yrs","10+ yrs"))))</f>
        <v>10+ yrs</v>
      </c>
      <c r="S217" s="13" t="str">
        <f aca="false">IF(I217&gt;=4,"High",IF(I217=3,"Medium","Low"))</f>
        <v>Low</v>
      </c>
      <c r="T217" s="13" t="str">
        <f aca="false">IF(M217=1,YEAR(C217),"")</f>
        <v/>
      </c>
      <c r="U217" s="13" t="str">
        <f aca="false">IF(M217=1,YEAR(C217)&amp;"-Q"&amp;ROUNDUP(MONTH(C217)/3,0),"")</f>
        <v/>
      </c>
      <c r="V217" s="13" t="str">
        <f aca="false">IF(M217=1,MONTH(C217),"")</f>
        <v/>
      </c>
    </row>
    <row r="218" customFormat="false" ht="15" hidden="false" customHeight="false" outlineLevel="0" collapsed="false">
      <c r="A218" s="13" t="str">
        <f aca="false">TRIM(Raw_Data!A218)</f>
        <v>EMP0217</v>
      </c>
      <c r="B218" s="14" t="n">
        <f aca="false">Raw_Data!B218</f>
        <v>41750</v>
      </c>
      <c r="C218" s="14" t="str">
        <f aca="false">IF(Raw_Data!C218="","",Raw_Data!C218)</f>
        <v/>
      </c>
      <c r="D218" s="13" t="n">
        <f aca="false">IF(Raw_Data!D218="","",Raw_Data!D218)</f>
        <v>42</v>
      </c>
      <c r="E218" s="13" t="str">
        <f aca="false">IF(UPPER(LEFT(TRIM(Raw_Data!E218),1))="M","Male",IF(UPPER(LEFT(TRIM(Raw_Data!E218),1))="F","Female","Unknown"))</f>
        <v>Female</v>
      </c>
      <c r="F218" s="13" t="str">
        <f aca="false">PROPER(TRIM(SUBSTITUTE(Raw_Data!F218,"'","")))</f>
        <v>Masters</v>
      </c>
      <c r="G218" s="13" t="str">
        <f aca="false">PROPER(TRIM(Raw_Data!G218))</f>
        <v>Engineering</v>
      </c>
      <c r="H218" s="13" t="str">
        <f aca="false">PROPER(TRIM(Raw_Data!H218))</f>
        <v>Senior Analyst</v>
      </c>
      <c r="I218" s="13" t="n">
        <f aca="false">IF(Raw_Data!I218="",DefaultPerf,Raw_Data!I218)</f>
        <v>3</v>
      </c>
      <c r="J218" s="13" t="n">
        <f aca="false">IF(Raw_Data!J218="",DefaultSat,Raw_Data!J218)</f>
        <v>1</v>
      </c>
      <c r="K218" s="15" t="n">
        <f aca="false">Raw_Data!K218</f>
        <v>116000</v>
      </c>
      <c r="L218" s="13" t="str">
        <f aca="false">PROPER(TRIM(Raw_Data!N218))</f>
        <v>No</v>
      </c>
      <c r="M218" s="13" t="n">
        <f aca="false">IF(C218="",0,1)</f>
        <v>0</v>
      </c>
      <c r="N218" s="13" t="str">
        <f aca="false">IF(M218=0,"Active",IF(TRIM(Raw_Data!L218)="","Unknown",PROPER(TRIM(Raw_Data!L218))))</f>
        <v>Active</v>
      </c>
      <c r="O218" s="13" t="str">
        <f aca="false">IF(M218=0,"",IF(TRIM(Raw_Data!M218)="","Not Recorded",TRIM(Raw_Data!M218)))</f>
        <v/>
      </c>
      <c r="P218" s="16" t="n">
        <f aca="false">ROUND((IF(C218="",AsOfDate,C218)-B218)/365.25,2)</f>
        <v>11.7</v>
      </c>
      <c r="Q218" s="13" t="str">
        <f aca="false">IF(D218="","Unknown",IF(D218&lt;25,"Under 25",IF(D218&lt;35,"25-34",IF(D218&lt;45,"35-44",IF(D218&lt;55,"45-54","55+")))))</f>
        <v>35-44</v>
      </c>
      <c r="R218" s="13" t="str">
        <f aca="false">IF(P218&lt;1,"0-1 yrs",IF(P218&lt;3,"1-3 yrs",IF(P218&lt;5,"3-5 yrs",IF(P218&lt;10,"5-10 yrs","10+ yrs"))))</f>
        <v>10+ yrs</v>
      </c>
      <c r="S218" s="13" t="str">
        <f aca="false">IF(I218&gt;=4,"High",IF(I218=3,"Medium","Low"))</f>
        <v>Medium</v>
      </c>
      <c r="T218" s="13" t="str">
        <f aca="false">IF(M218=1,YEAR(C218),"")</f>
        <v/>
      </c>
      <c r="U218" s="13" t="str">
        <f aca="false">IF(M218=1,YEAR(C218)&amp;"-Q"&amp;ROUNDUP(MONTH(C218)/3,0),"")</f>
        <v/>
      </c>
      <c r="V218" s="13" t="str">
        <f aca="false">IF(M218=1,MONTH(C218),"")</f>
        <v/>
      </c>
    </row>
    <row r="219" customFormat="false" ht="15" hidden="false" customHeight="false" outlineLevel="0" collapsed="false">
      <c r="A219" s="13" t="str">
        <f aca="false">TRIM(Raw_Data!A219)</f>
        <v>EMP0218</v>
      </c>
      <c r="B219" s="14" t="n">
        <f aca="false">Raw_Data!B219</f>
        <v>41750</v>
      </c>
      <c r="C219" s="14" t="str">
        <f aca="false">IF(Raw_Data!C219="","",Raw_Data!C219)</f>
        <v/>
      </c>
      <c r="D219" s="13" t="n">
        <f aca="false">IF(Raw_Data!D219="","",Raw_Data!D219)</f>
        <v>43</v>
      </c>
      <c r="E219" s="13" t="str">
        <f aca="false">IF(UPPER(LEFT(TRIM(Raw_Data!E219),1))="M","Male",IF(UPPER(LEFT(TRIM(Raw_Data!E219),1))="F","Female","Unknown"))</f>
        <v>Male</v>
      </c>
      <c r="F219" s="13" t="str">
        <f aca="false">PROPER(TRIM(SUBSTITUTE(Raw_Data!F219,"'","")))</f>
        <v>Bachelors</v>
      </c>
      <c r="G219" s="13" t="str">
        <f aca="false">PROPER(TRIM(Raw_Data!G219))</f>
        <v>Operations</v>
      </c>
      <c r="H219" s="13" t="str">
        <f aca="false">PROPER(TRIM(Raw_Data!H219))</f>
        <v>Analyst</v>
      </c>
      <c r="I219" s="13" t="n">
        <f aca="false">IF(Raw_Data!I219="",DefaultPerf,Raw_Data!I219)</f>
        <v>1</v>
      </c>
      <c r="J219" s="13" t="n">
        <f aca="false">IF(Raw_Data!J219="",DefaultSat,Raw_Data!J219)</f>
        <v>4</v>
      </c>
      <c r="K219" s="15" t="n">
        <f aca="false">Raw_Data!K219</f>
        <v>79000</v>
      </c>
      <c r="L219" s="13" t="str">
        <f aca="false">PROPER(TRIM(Raw_Data!N219))</f>
        <v>No</v>
      </c>
      <c r="M219" s="13" t="n">
        <f aca="false">IF(C219="",0,1)</f>
        <v>0</v>
      </c>
      <c r="N219" s="13" t="str">
        <f aca="false">IF(M219=0,"Active",IF(TRIM(Raw_Data!L219)="","Unknown",PROPER(TRIM(Raw_Data!L219))))</f>
        <v>Active</v>
      </c>
      <c r="O219" s="13" t="str">
        <f aca="false">IF(M219=0,"",IF(TRIM(Raw_Data!M219)="","Not Recorded",TRIM(Raw_Data!M219)))</f>
        <v/>
      </c>
      <c r="P219" s="16" t="n">
        <f aca="false">ROUND((IF(C219="",AsOfDate,C219)-B219)/365.25,2)</f>
        <v>11.7</v>
      </c>
      <c r="Q219" s="13" t="str">
        <f aca="false">IF(D219="","Unknown",IF(D219&lt;25,"Under 25",IF(D219&lt;35,"25-34",IF(D219&lt;45,"35-44",IF(D219&lt;55,"45-54","55+")))))</f>
        <v>35-44</v>
      </c>
      <c r="R219" s="13" t="str">
        <f aca="false">IF(P219&lt;1,"0-1 yrs",IF(P219&lt;3,"1-3 yrs",IF(P219&lt;5,"3-5 yrs",IF(P219&lt;10,"5-10 yrs","10+ yrs"))))</f>
        <v>10+ yrs</v>
      </c>
      <c r="S219" s="13" t="str">
        <f aca="false">IF(I219&gt;=4,"High",IF(I219=3,"Medium","Low"))</f>
        <v>Low</v>
      </c>
      <c r="T219" s="13" t="str">
        <f aca="false">IF(M219=1,YEAR(C219),"")</f>
        <v/>
      </c>
      <c r="U219" s="13" t="str">
        <f aca="false">IF(M219=1,YEAR(C219)&amp;"-Q"&amp;ROUNDUP(MONTH(C219)/3,0),"")</f>
        <v/>
      </c>
      <c r="V219" s="13" t="str">
        <f aca="false">IF(M219=1,MONTH(C219),"")</f>
        <v/>
      </c>
    </row>
    <row r="220" customFormat="false" ht="15" hidden="false" customHeight="false" outlineLevel="0" collapsed="false">
      <c r="A220" s="13" t="str">
        <f aca="false">TRIM(Raw_Data!A220)</f>
        <v>EMP0219</v>
      </c>
      <c r="B220" s="14" t="n">
        <f aca="false">Raw_Data!B220</f>
        <v>41750</v>
      </c>
      <c r="C220" s="14" t="str">
        <f aca="false">IF(Raw_Data!C220="","",Raw_Data!C220)</f>
        <v/>
      </c>
      <c r="D220" s="13" t="n">
        <f aca="false">IF(Raw_Data!D220="","",Raw_Data!D220)</f>
        <v>41</v>
      </c>
      <c r="E220" s="13" t="str">
        <f aca="false">IF(UPPER(LEFT(TRIM(Raw_Data!E220),1))="M","Male",IF(UPPER(LEFT(TRIM(Raw_Data!E220),1))="F","Female","Unknown"))</f>
        <v>Male</v>
      </c>
      <c r="F220" s="13" t="str">
        <f aca="false">PROPER(TRIM(SUBSTITUTE(Raw_Data!F220,"'","")))</f>
        <v>Masters</v>
      </c>
      <c r="G220" s="13" t="str">
        <f aca="false">PROPER(TRIM(Raw_Data!G220))</f>
        <v>Finance</v>
      </c>
      <c r="H220" s="13" t="str">
        <f aca="false">PROPER(TRIM(Raw_Data!H220))</f>
        <v>Senior Analyst</v>
      </c>
      <c r="I220" s="13" t="n">
        <f aca="false">IF(Raw_Data!I220="",DefaultPerf,Raw_Data!I220)</f>
        <v>4</v>
      </c>
      <c r="J220" s="13" t="n">
        <f aca="false">IF(Raw_Data!J220="",DefaultSat,Raw_Data!J220)</f>
        <v>1</v>
      </c>
      <c r="K220" s="15" t="n">
        <f aca="false">Raw_Data!K220</f>
        <v>108000</v>
      </c>
      <c r="L220" s="13" t="str">
        <f aca="false">PROPER(TRIM(Raw_Data!N220))</f>
        <v>No</v>
      </c>
      <c r="M220" s="13" t="n">
        <f aca="false">IF(C220="",0,1)</f>
        <v>0</v>
      </c>
      <c r="N220" s="13" t="str">
        <f aca="false">IF(M220=0,"Active",IF(TRIM(Raw_Data!L220)="","Unknown",PROPER(TRIM(Raw_Data!L220))))</f>
        <v>Active</v>
      </c>
      <c r="O220" s="13" t="str">
        <f aca="false">IF(M220=0,"",IF(TRIM(Raw_Data!M220)="","Not Recorded",TRIM(Raw_Data!M220)))</f>
        <v/>
      </c>
      <c r="P220" s="16" t="n">
        <f aca="false">ROUND((IF(C220="",AsOfDate,C220)-B220)/365.25,2)</f>
        <v>11.7</v>
      </c>
      <c r="Q220" s="13" t="str">
        <f aca="false">IF(D220="","Unknown",IF(D220&lt;25,"Under 25",IF(D220&lt;35,"25-34",IF(D220&lt;45,"35-44",IF(D220&lt;55,"45-54","55+")))))</f>
        <v>35-44</v>
      </c>
      <c r="R220" s="13" t="str">
        <f aca="false">IF(P220&lt;1,"0-1 yrs",IF(P220&lt;3,"1-3 yrs",IF(P220&lt;5,"3-5 yrs",IF(P220&lt;10,"5-10 yrs","10+ yrs"))))</f>
        <v>10+ yrs</v>
      </c>
      <c r="S220" s="13" t="str">
        <f aca="false">IF(I220&gt;=4,"High",IF(I220=3,"Medium","Low"))</f>
        <v>High</v>
      </c>
      <c r="T220" s="13" t="str">
        <f aca="false">IF(M220=1,YEAR(C220),"")</f>
        <v/>
      </c>
      <c r="U220" s="13" t="str">
        <f aca="false">IF(M220=1,YEAR(C220)&amp;"-Q"&amp;ROUNDUP(MONTH(C220)/3,0),"")</f>
        <v/>
      </c>
      <c r="V220" s="13" t="str">
        <f aca="false">IF(M220=1,MONTH(C220),"")</f>
        <v/>
      </c>
    </row>
    <row r="221" customFormat="false" ht="15" hidden="false" customHeight="false" outlineLevel="0" collapsed="false">
      <c r="A221" s="13" t="str">
        <f aca="false">TRIM(Raw_Data!A221)</f>
        <v>EMP0220</v>
      </c>
      <c r="B221" s="14" t="n">
        <f aca="false">Raw_Data!B221</f>
        <v>41760</v>
      </c>
      <c r="C221" s="14" t="str">
        <f aca="false">IF(Raw_Data!C221="","",Raw_Data!C221)</f>
        <v/>
      </c>
      <c r="D221" s="13" t="n">
        <f aca="false">IF(Raw_Data!D221="","",Raw_Data!D221)</f>
        <v>48</v>
      </c>
      <c r="E221" s="13" t="str">
        <f aca="false">IF(UPPER(LEFT(TRIM(Raw_Data!E221),1))="M","Male",IF(UPPER(LEFT(TRIM(Raw_Data!E221),1))="F","Female","Unknown"))</f>
        <v>Male</v>
      </c>
      <c r="F221" s="13" t="str">
        <f aca="false">PROPER(TRIM(SUBSTITUTE(Raw_Data!F221,"'","")))</f>
        <v>Bachelors</v>
      </c>
      <c r="G221" s="13" t="str">
        <f aca="false">PROPER(TRIM(Raw_Data!G221))</f>
        <v>Operations</v>
      </c>
      <c r="H221" s="13" t="str">
        <f aca="false">PROPER(TRIM(Raw_Data!H221))</f>
        <v>Analyst</v>
      </c>
      <c r="I221" s="13" t="n">
        <f aca="false">IF(Raw_Data!I221="",DefaultPerf,Raw_Data!I221)</f>
        <v>3</v>
      </c>
      <c r="J221" s="13" t="n">
        <f aca="false">IF(Raw_Data!J221="",DefaultSat,Raw_Data!J221)</f>
        <v>4</v>
      </c>
      <c r="K221" s="15" t="n">
        <f aca="false">Raw_Data!K221</f>
        <v>87500</v>
      </c>
      <c r="L221" s="13" t="str">
        <f aca="false">PROPER(TRIM(Raw_Data!N221))</f>
        <v>No</v>
      </c>
      <c r="M221" s="13" t="n">
        <f aca="false">IF(C221="",0,1)</f>
        <v>0</v>
      </c>
      <c r="N221" s="13" t="str">
        <f aca="false">IF(M221=0,"Active",IF(TRIM(Raw_Data!L221)="","Unknown",PROPER(TRIM(Raw_Data!L221))))</f>
        <v>Active</v>
      </c>
      <c r="O221" s="13" t="str">
        <f aca="false">IF(M221=0,"",IF(TRIM(Raw_Data!M221)="","Not Recorded",TRIM(Raw_Data!M221)))</f>
        <v/>
      </c>
      <c r="P221" s="16" t="n">
        <f aca="false">ROUND((IF(C221="",AsOfDate,C221)-B221)/365.25,2)</f>
        <v>11.67</v>
      </c>
      <c r="Q221" s="13" t="str">
        <f aca="false">IF(D221="","Unknown",IF(D221&lt;25,"Under 25",IF(D221&lt;35,"25-34",IF(D221&lt;45,"35-44",IF(D221&lt;55,"45-54","55+")))))</f>
        <v>45-54</v>
      </c>
      <c r="R221" s="13" t="str">
        <f aca="false">IF(P221&lt;1,"0-1 yrs",IF(P221&lt;3,"1-3 yrs",IF(P221&lt;5,"3-5 yrs",IF(P221&lt;10,"5-10 yrs","10+ yrs"))))</f>
        <v>10+ yrs</v>
      </c>
      <c r="S221" s="13" t="str">
        <f aca="false">IF(I221&gt;=4,"High",IF(I221=3,"Medium","Low"))</f>
        <v>Medium</v>
      </c>
      <c r="T221" s="13" t="str">
        <f aca="false">IF(M221=1,YEAR(C221),"")</f>
        <v/>
      </c>
      <c r="U221" s="13" t="str">
        <f aca="false">IF(M221=1,YEAR(C221)&amp;"-Q"&amp;ROUNDUP(MONTH(C221)/3,0),"")</f>
        <v/>
      </c>
      <c r="V221" s="13" t="str">
        <f aca="false">IF(M221=1,MONTH(C221),"")</f>
        <v/>
      </c>
    </row>
    <row r="222" customFormat="false" ht="15" hidden="false" customHeight="false" outlineLevel="0" collapsed="false">
      <c r="A222" s="13" t="str">
        <f aca="false">TRIM(Raw_Data!A222)</f>
        <v>EMP0221</v>
      </c>
      <c r="B222" s="14" t="n">
        <f aca="false">Raw_Data!B222</f>
        <v>41772</v>
      </c>
      <c r="C222" s="14" t="str">
        <f aca="false">IF(Raw_Data!C222="","",Raw_Data!C222)</f>
        <v/>
      </c>
      <c r="D222" s="13" t="n">
        <f aca="false">IF(Raw_Data!D222="","",Raw_Data!D222)</f>
        <v>33</v>
      </c>
      <c r="E222" s="13" t="str">
        <f aca="false">IF(UPPER(LEFT(TRIM(Raw_Data!E222),1))="M","Male",IF(UPPER(LEFT(TRIM(Raw_Data!E222),1))="F","Female","Unknown"))</f>
        <v>Male</v>
      </c>
      <c r="F222" s="13" t="str">
        <f aca="false">PROPER(TRIM(SUBSTITUTE(Raw_Data!F222,"'","")))</f>
        <v>Bachelors</v>
      </c>
      <c r="G222" s="13" t="str">
        <f aca="false">PROPER(TRIM(Raw_Data!G222))</f>
        <v>Engineering</v>
      </c>
      <c r="H222" s="13" t="str">
        <f aca="false">PROPER(TRIM(Raw_Data!H222))</f>
        <v>Senior Analyst</v>
      </c>
      <c r="I222" s="13" t="n">
        <f aca="false">IF(Raw_Data!I222="",DefaultPerf,Raw_Data!I222)</f>
        <v>2</v>
      </c>
      <c r="J222" s="13" t="n">
        <f aca="false">IF(Raw_Data!J222="",DefaultSat,Raw_Data!J222)</f>
        <v>3</v>
      </c>
      <c r="K222" s="15" t="n">
        <f aca="false">Raw_Data!K222</f>
        <v>116000</v>
      </c>
      <c r="L222" s="13" t="str">
        <f aca="false">PROPER(TRIM(Raw_Data!N222))</f>
        <v>No</v>
      </c>
      <c r="M222" s="13" t="n">
        <f aca="false">IF(C222="",0,1)</f>
        <v>0</v>
      </c>
      <c r="N222" s="13" t="str">
        <f aca="false">IF(M222=0,"Active",IF(TRIM(Raw_Data!L222)="","Unknown",PROPER(TRIM(Raw_Data!L222))))</f>
        <v>Active</v>
      </c>
      <c r="O222" s="13" t="str">
        <f aca="false">IF(M222=0,"",IF(TRIM(Raw_Data!M222)="","Not Recorded",TRIM(Raw_Data!M222)))</f>
        <v/>
      </c>
      <c r="P222" s="16" t="n">
        <f aca="false">ROUND((IF(C222="",AsOfDate,C222)-B222)/365.25,2)</f>
        <v>11.64</v>
      </c>
      <c r="Q222" s="13" t="str">
        <f aca="false">IF(D222="","Unknown",IF(D222&lt;25,"Under 25",IF(D222&lt;35,"25-34",IF(D222&lt;45,"35-44",IF(D222&lt;55,"45-54","55+")))))</f>
        <v>25-34</v>
      </c>
      <c r="R222" s="13" t="str">
        <f aca="false">IF(P222&lt;1,"0-1 yrs",IF(P222&lt;3,"1-3 yrs",IF(P222&lt;5,"3-5 yrs",IF(P222&lt;10,"5-10 yrs","10+ yrs"))))</f>
        <v>10+ yrs</v>
      </c>
      <c r="S222" s="13" t="str">
        <f aca="false">IF(I222&gt;=4,"High",IF(I222=3,"Medium","Low"))</f>
        <v>Low</v>
      </c>
      <c r="T222" s="13" t="str">
        <f aca="false">IF(M222=1,YEAR(C222),"")</f>
        <v/>
      </c>
      <c r="U222" s="13" t="str">
        <f aca="false">IF(M222=1,YEAR(C222)&amp;"-Q"&amp;ROUNDUP(MONTH(C222)/3,0),"")</f>
        <v/>
      </c>
      <c r="V222" s="13" t="str">
        <f aca="false">IF(M222=1,MONTH(C222),"")</f>
        <v/>
      </c>
    </row>
    <row r="223" customFormat="false" ht="15" hidden="false" customHeight="false" outlineLevel="0" collapsed="false">
      <c r="A223" s="13" t="str">
        <f aca="false">TRIM(Raw_Data!A223)</f>
        <v>EMP0222</v>
      </c>
      <c r="B223" s="14" t="n">
        <f aca="false">Raw_Data!B223</f>
        <v>41772</v>
      </c>
      <c r="C223" s="14" t="n">
        <f aca="false">IF(Raw_Data!C223="","",Raw_Data!C223)</f>
        <v>45051</v>
      </c>
      <c r="D223" s="13" t="n">
        <f aca="false">IF(Raw_Data!D223="","",Raw_Data!D223)</f>
        <v>39</v>
      </c>
      <c r="E223" s="13" t="str">
        <f aca="false">IF(UPPER(LEFT(TRIM(Raw_Data!E223),1))="M","Male",IF(UPPER(LEFT(TRIM(Raw_Data!E223),1))="F","Female","Unknown"))</f>
        <v>Female</v>
      </c>
      <c r="F223" s="13" t="str">
        <f aca="false">PROPER(TRIM(SUBSTITUTE(Raw_Data!F223,"'","")))</f>
        <v>Masters</v>
      </c>
      <c r="G223" s="13" t="str">
        <f aca="false">PROPER(TRIM(Raw_Data!G223))</f>
        <v>Operations</v>
      </c>
      <c r="H223" s="13" t="str">
        <f aca="false">PROPER(TRIM(Raw_Data!H223))</f>
        <v>Team Lead</v>
      </c>
      <c r="I223" s="13" t="n">
        <f aca="false">IF(Raw_Data!I223="",DefaultPerf,Raw_Data!I223)</f>
        <v>3</v>
      </c>
      <c r="J223" s="13" t="n">
        <f aca="false">IF(Raw_Data!J223="",DefaultSat,Raw_Data!J223)</f>
        <v>3</v>
      </c>
      <c r="K223" s="15" t="n">
        <f aca="false">Raw_Data!K223</f>
        <v>178000</v>
      </c>
      <c r="L223" s="13" t="str">
        <f aca="false">PROPER(TRIM(Raw_Data!N223))</f>
        <v>Yes</v>
      </c>
      <c r="M223" s="13" t="n">
        <f aca="false">IF(C223="",0,1)</f>
        <v>1</v>
      </c>
      <c r="N223" s="13" t="str">
        <f aca="false">IF(M223=0,"Active",IF(TRIM(Raw_Data!L223)="","Unknown",PROPER(TRIM(Raw_Data!L223))))</f>
        <v>Voluntary</v>
      </c>
      <c r="O223" s="13" t="str">
        <f aca="false">IF(M223=0,"",IF(TRIM(Raw_Data!M223)="","Not Recorded",TRIM(Raw_Data!M223)))</f>
        <v>Work-Life Balance</v>
      </c>
      <c r="P223" s="16" t="n">
        <f aca="false">ROUND((IF(C223="",AsOfDate,C223)-B223)/365.25,2)</f>
        <v>8.98</v>
      </c>
      <c r="Q223" s="13" t="str">
        <f aca="false">IF(D223="","Unknown",IF(D223&lt;25,"Under 25",IF(D223&lt;35,"25-34",IF(D223&lt;45,"35-44",IF(D223&lt;55,"45-54","55+")))))</f>
        <v>35-44</v>
      </c>
      <c r="R223" s="13" t="str">
        <f aca="false">IF(P223&lt;1,"0-1 yrs",IF(P223&lt;3,"1-3 yrs",IF(P223&lt;5,"3-5 yrs",IF(P223&lt;10,"5-10 yrs","10+ yrs"))))</f>
        <v>5-10 yrs</v>
      </c>
      <c r="S223" s="13" t="str">
        <f aca="false">IF(I223&gt;=4,"High",IF(I223=3,"Medium","Low"))</f>
        <v>Medium</v>
      </c>
      <c r="T223" s="13" t="n">
        <f aca="false">IF(M223=1,YEAR(C223),"")</f>
        <v>2023</v>
      </c>
      <c r="U223" s="13" t="str">
        <f aca="false">IF(M223=1,YEAR(C223)&amp;"-Q"&amp;ROUNDUP(MONTH(C223)/3,0),"")</f>
        <v>2023-Q2</v>
      </c>
      <c r="V223" s="13" t="n">
        <f aca="false">IF(M223=1,MONTH(C223),"")</f>
        <v>5</v>
      </c>
    </row>
    <row r="224" customFormat="false" ht="15" hidden="false" customHeight="false" outlineLevel="0" collapsed="false">
      <c r="A224" s="13" t="str">
        <f aca="false">TRIM(Raw_Data!A224)</f>
        <v>EMP0223</v>
      </c>
      <c r="B224" s="14" t="n">
        <f aca="false">Raw_Data!B224</f>
        <v>41774</v>
      </c>
      <c r="C224" s="14" t="str">
        <f aca="false">IF(Raw_Data!C224="","",Raw_Data!C224)</f>
        <v/>
      </c>
      <c r="D224" s="13" t="n">
        <f aca="false">IF(Raw_Data!D224="","",Raw_Data!D224)</f>
        <v>41</v>
      </c>
      <c r="E224" s="13" t="str">
        <f aca="false">IF(UPPER(LEFT(TRIM(Raw_Data!E224),1))="M","Male",IF(UPPER(LEFT(TRIM(Raw_Data!E224),1))="F","Female","Unknown"))</f>
        <v>Male</v>
      </c>
      <c r="F224" s="13" t="str">
        <f aca="false">PROPER(TRIM(SUBSTITUTE(Raw_Data!F224,"'","")))</f>
        <v>Masters</v>
      </c>
      <c r="G224" s="13" t="str">
        <f aca="false">PROPER(TRIM(Raw_Data!G224))</f>
        <v>Engineering</v>
      </c>
      <c r="H224" s="13" t="str">
        <f aca="false">PROPER(TRIM(Raw_Data!H224))</f>
        <v>Specialist</v>
      </c>
      <c r="I224" s="13" t="n">
        <f aca="false">IF(Raw_Data!I224="",DefaultPerf,Raw_Data!I224)</f>
        <v>4</v>
      </c>
      <c r="J224" s="13" t="n">
        <f aca="false">IF(Raw_Data!J224="",DefaultSat,Raw_Data!J224)</f>
        <v>2</v>
      </c>
      <c r="K224" s="15" t="n">
        <f aca="false">Raw_Data!K224</f>
        <v>118000</v>
      </c>
      <c r="L224" s="13" t="str">
        <f aca="false">PROPER(TRIM(Raw_Data!N224))</f>
        <v>No</v>
      </c>
      <c r="M224" s="13" t="n">
        <f aca="false">IF(C224="",0,1)</f>
        <v>0</v>
      </c>
      <c r="N224" s="13" t="str">
        <f aca="false">IF(M224=0,"Active",IF(TRIM(Raw_Data!L224)="","Unknown",PROPER(TRIM(Raw_Data!L224))))</f>
        <v>Active</v>
      </c>
      <c r="O224" s="13" t="str">
        <f aca="false">IF(M224=0,"",IF(TRIM(Raw_Data!M224)="","Not Recorded",TRIM(Raw_Data!M224)))</f>
        <v/>
      </c>
      <c r="P224" s="16" t="n">
        <f aca="false">ROUND((IF(C224="",AsOfDate,C224)-B224)/365.25,2)</f>
        <v>11.63</v>
      </c>
      <c r="Q224" s="13" t="str">
        <f aca="false">IF(D224="","Unknown",IF(D224&lt;25,"Under 25",IF(D224&lt;35,"25-34",IF(D224&lt;45,"35-44",IF(D224&lt;55,"45-54","55+")))))</f>
        <v>35-44</v>
      </c>
      <c r="R224" s="13" t="str">
        <f aca="false">IF(P224&lt;1,"0-1 yrs",IF(P224&lt;3,"1-3 yrs",IF(P224&lt;5,"3-5 yrs",IF(P224&lt;10,"5-10 yrs","10+ yrs"))))</f>
        <v>10+ yrs</v>
      </c>
      <c r="S224" s="13" t="str">
        <f aca="false">IF(I224&gt;=4,"High",IF(I224=3,"Medium","Low"))</f>
        <v>High</v>
      </c>
      <c r="T224" s="13" t="str">
        <f aca="false">IF(M224=1,YEAR(C224),"")</f>
        <v/>
      </c>
      <c r="U224" s="13" t="str">
        <f aca="false">IF(M224=1,YEAR(C224)&amp;"-Q"&amp;ROUNDUP(MONTH(C224)/3,0),"")</f>
        <v/>
      </c>
      <c r="V224" s="13" t="str">
        <f aca="false">IF(M224=1,MONTH(C224),"")</f>
        <v/>
      </c>
    </row>
    <row r="225" customFormat="false" ht="15" hidden="false" customHeight="false" outlineLevel="0" collapsed="false">
      <c r="A225" s="13" t="str">
        <f aca="false">TRIM(Raw_Data!A225)</f>
        <v>EMP0224</v>
      </c>
      <c r="B225" s="14" t="n">
        <f aca="false">Raw_Data!B225</f>
        <v>41781</v>
      </c>
      <c r="C225" s="14" t="str">
        <f aca="false">IF(Raw_Data!C225="","",Raw_Data!C225)</f>
        <v/>
      </c>
      <c r="D225" s="13" t="n">
        <f aca="false">IF(Raw_Data!D225="","",Raw_Data!D225)</f>
        <v>46</v>
      </c>
      <c r="E225" s="13" t="str">
        <f aca="false">IF(UPPER(LEFT(TRIM(Raw_Data!E225),1))="M","Male",IF(UPPER(LEFT(TRIM(Raw_Data!E225),1))="F","Female","Unknown"))</f>
        <v>Male</v>
      </c>
      <c r="F225" s="13" t="str">
        <f aca="false">PROPER(TRIM(SUBSTITUTE(Raw_Data!F225,"'","")))</f>
        <v>Masters</v>
      </c>
      <c r="G225" s="13" t="str">
        <f aca="false">PROPER(TRIM(Raw_Data!G225))</f>
        <v>Engineering</v>
      </c>
      <c r="H225" s="13" t="str">
        <f aca="false">PROPER(TRIM(Raw_Data!H225))</f>
        <v>Analyst</v>
      </c>
      <c r="I225" s="13" t="n">
        <f aca="false">IF(Raw_Data!I225="",DefaultPerf,Raw_Data!I225)</f>
        <v>3</v>
      </c>
      <c r="J225" s="13" t="n">
        <f aca="false">IF(Raw_Data!J225="",DefaultSat,Raw_Data!J225)</f>
        <v>1</v>
      </c>
      <c r="K225" s="15" t="n">
        <f aca="false">Raw_Data!K225</f>
        <v>77000</v>
      </c>
      <c r="L225" s="13" t="str">
        <f aca="false">PROPER(TRIM(Raw_Data!N225))</f>
        <v>No</v>
      </c>
      <c r="M225" s="13" t="n">
        <f aca="false">IF(C225="",0,1)</f>
        <v>0</v>
      </c>
      <c r="N225" s="13" t="str">
        <f aca="false">IF(M225=0,"Active",IF(TRIM(Raw_Data!L225)="","Unknown",PROPER(TRIM(Raw_Data!L225))))</f>
        <v>Active</v>
      </c>
      <c r="O225" s="13" t="str">
        <f aca="false">IF(M225=0,"",IF(TRIM(Raw_Data!M225)="","Not Recorded",TRIM(Raw_Data!M225)))</f>
        <v/>
      </c>
      <c r="P225" s="16" t="n">
        <f aca="false">ROUND((IF(C225="",AsOfDate,C225)-B225)/365.25,2)</f>
        <v>11.61</v>
      </c>
      <c r="Q225" s="13" t="str">
        <f aca="false">IF(D225="","Unknown",IF(D225&lt;25,"Under 25",IF(D225&lt;35,"25-34",IF(D225&lt;45,"35-44",IF(D225&lt;55,"45-54","55+")))))</f>
        <v>45-54</v>
      </c>
      <c r="R225" s="13" t="str">
        <f aca="false">IF(P225&lt;1,"0-1 yrs",IF(P225&lt;3,"1-3 yrs",IF(P225&lt;5,"3-5 yrs",IF(P225&lt;10,"5-10 yrs","10+ yrs"))))</f>
        <v>10+ yrs</v>
      </c>
      <c r="S225" s="13" t="str">
        <f aca="false">IF(I225&gt;=4,"High",IF(I225=3,"Medium","Low"))</f>
        <v>Medium</v>
      </c>
      <c r="T225" s="13" t="str">
        <f aca="false">IF(M225=1,YEAR(C225),"")</f>
        <v/>
      </c>
      <c r="U225" s="13" t="str">
        <f aca="false">IF(M225=1,YEAR(C225)&amp;"-Q"&amp;ROUNDUP(MONTH(C225)/3,0),"")</f>
        <v/>
      </c>
      <c r="V225" s="13" t="str">
        <f aca="false">IF(M225=1,MONTH(C225),"")</f>
        <v/>
      </c>
    </row>
    <row r="226" customFormat="false" ht="15" hidden="false" customHeight="false" outlineLevel="0" collapsed="false">
      <c r="A226" s="13" t="str">
        <f aca="false">TRIM(Raw_Data!A226)</f>
        <v>EMP0225</v>
      </c>
      <c r="B226" s="14" t="n">
        <f aca="false">Raw_Data!B226</f>
        <v>41783</v>
      </c>
      <c r="C226" s="14" t="str">
        <f aca="false">IF(Raw_Data!C226="","",Raw_Data!C226)</f>
        <v/>
      </c>
      <c r="D226" s="13" t="n">
        <f aca="false">IF(Raw_Data!D226="","",Raw_Data!D226)</f>
        <v>38</v>
      </c>
      <c r="E226" s="13" t="str">
        <f aca="false">IF(UPPER(LEFT(TRIM(Raw_Data!E226),1))="M","Male",IF(UPPER(LEFT(TRIM(Raw_Data!E226),1))="F","Female","Unknown"))</f>
        <v>Female</v>
      </c>
      <c r="F226" s="13" t="str">
        <f aca="false">PROPER(TRIM(SUBSTITUTE(Raw_Data!F226,"'","")))</f>
        <v>Masters</v>
      </c>
      <c r="G226" s="13" t="str">
        <f aca="false">PROPER(TRIM(Raw_Data!G226))</f>
        <v>Finance</v>
      </c>
      <c r="H226" s="13" t="str">
        <f aca="false">PROPER(TRIM(Raw_Data!H226))</f>
        <v>Team Lead</v>
      </c>
      <c r="I226" s="13" t="n">
        <f aca="false">IF(Raw_Data!I226="",DefaultPerf,Raw_Data!I226)</f>
        <v>3</v>
      </c>
      <c r="J226" s="13" t="n">
        <f aca="false">IF(Raw_Data!J226="",DefaultSat,Raw_Data!J226)</f>
        <v>3</v>
      </c>
      <c r="K226" s="15" t="n">
        <f aca="false">Raw_Data!K226</f>
        <v>155000</v>
      </c>
      <c r="L226" s="13" t="str">
        <f aca="false">PROPER(TRIM(Raw_Data!N226))</f>
        <v>Yes</v>
      </c>
      <c r="M226" s="13" t="n">
        <f aca="false">IF(C226="",0,1)</f>
        <v>0</v>
      </c>
      <c r="N226" s="13" t="str">
        <f aca="false">IF(M226=0,"Active",IF(TRIM(Raw_Data!L226)="","Unknown",PROPER(TRIM(Raw_Data!L226))))</f>
        <v>Active</v>
      </c>
      <c r="O226" s="13" t="str">
        <f aca="false">IF(M226=0,"",IF(TRIM(Raw_Data!M226)="","Not Recorded",TRIM(Raw_Data!M226)))</f>
        <v/>
      </c>
      <c r="P226" s="16" t="n">
        <f aca="false">ROUND((IF(C226="",AsOfDate,C226)-B226)/365.25,2)</f>
        <v>11.61</v>
      </c>
      <c r="Q226" s="13" t="str">
        <f aca="false">IF(D226="","Unknown",IF(D226&lt;25,"Under 25",IF(D226&lt;35,"25-34",IF(D226&lt;45,"35-44",IF(D226&lt;55,"45-54","55+")))))</f>
        <v>35-44</v>
      </c>
      <c r="R226" s="13" t="str">
        <f aca="false">IF(P226&lt;1,"0-1 yrs",IF(P226&lt;3,"1-3 yrs",IF(P226&lt;5,"3-5 yrs",IF(P226&lt;10,"5-10 yrs","10+ yrs"))))</f>
        <v>10+ yrs</v>
      </c>
      <c r="S226" s="13" t="str">
        <f aca="false">IF(I226&gt;=4,"High",IF(I226=3,"Medium","Low"))</f>
        <v>Medium</v>
      </c>
      <c r="T226" s="13" t="str">
        <f aca="false">IF(M226=1,YEAR(C226),"")</f>
        <v/>
      </c>
      <c r="U226" s="13" t="str">
        <f aca="false">IF(M226=1,YEAR(C226)&amp;"-Q"&amp;ROUNDUP(MONTH(C226)/3,0),"")</f>
        <v/>
      </c>
      <c r="V226" s="13" t="str">
        <f aca="false">IF(M226=1,MONTH(C226),"")</f>
        <v/>
      </c>
    </row>
    <row r="227" customFormat="false" ht="15" hidden="false" customHeight="false" outlineLevel="0" collapsed="false">
      <c r="A227" s="13" t="str">
        <f aca="false">TRIM(Raw_Data!A227)</f>
        <v>EMP0226</v>
      </c>
      <c r="B227" s="14" t="n">
        <f aca="false">Raw_Data!B227</f>
        <v>41783</v>
      </c>
      <c r="C227" s="14" t="str">
        <f aca="false">IF(Raw_Data!C227="","",Raw_Data!C227)</f>
        <v/>
      </c>
      <c r="D227" s="13" t="n">
        <f aca="false">IF(Raw_Data!D227="","",Raw_Data!D227)</f>
        <v>42</v>
      </c>
      <c r="E227" s="13" t="str">
        <f aca="false">IF(UPPER(LEFT(TRIM(Raw_Data!E227),1))="M","Male",IF(UPPER(LEFT(TRIM(Raw_Data!E227),1))="F","Female","Unknown"))</f>
        <v>Female</v>
      </c>
      <c r="F227" s="13" t="str">
        <f aca="false">PROPER(TRIM(SUBSTITUTE(Raw_Data!F227,"'","")))</f>
        <v>Masters</v>
      </c>
      <c r="G227" s="13" t="str">
        <f aca="false">PROPER(TRIM(Raw_Data!G227))</f>
        <v>Engineering</v>
      </c>
      <c r="H227" s="13" t="str">
        <f aca="false">PROPER(TRIM(Raw_Data!H227))</f>
        <v>Analyst</v>
      </c>
      <c r="I227" s="13" t="n">
        <f aca="false">IF(Raw_Data!I227="",DefaultPerf,Raw_Data!I227)</f>
        <v>3</v>
      </c>
      <c r="J227" s="13" t="n">
        <f aca="false">IF(Raw_Data!J227="",DefaultSat,Raw_Data!J227)</f>
        <v>3</v>
      </c>
      <c r="K227" s="15" t="n">
        <f aca="false">Raw_Data!K227</f>
        <v>82000</v>
      </c>
      <c r="L227" s="13" t="str">
        <f aca="false">PROPER(TRIM(Raw_Data!N227))</f>
        <v>No</v>
      </c>
      <c r="M227" s="13" t="n">
        <f aca="false">IF(C227="",0,1)</f>
        <v>0</v>
      </c>
      <c r="N227" s="13" t="str">
        <f aca="false">IF(M227=0,"Active",IF(TRIM(Raw_Data!L227)="","Unknown",PROPER(TRIM(Raw_Data!L227))))</f>
        <v>Active</v>
      </c>
      <c r="O227" s="13" t="str">
        <f aca="false">IF(M227=0,"",IF(TRIM(Raw_Data!M227)="","Not Recorded",TRIM(Raw_Data!M227)))</f>
        <v/>
      </c>
      <c r="P227" s="16" t="n">
        <f aca="false">ROUND((IF(C227="",AsOfDate,C227)-B227)/365.25,2)</f>
        <v>11.61</v>
      </c>
      <c r="Q227" s="13" t="str">
        <f aca="false">IF(D227="","Unknown",IF(D227&lt;25,"Under 25",IF(D227&lt;35,"25-34",IF(D227&lt;45,"35-44",IF(D227&lt;55,"45-54","55+")))))</f>
        <v>35-44</v>
      </c>
      <c r="R227" s="13" t="str">
        <f aca="false">IF(P227&lt;1,"0-1 yrs",IF(P227&lt;3,"1-3 yrs",IF(P227&lt;5,"3-5 yrs",IF(P227&lt;10,"5-10 yrs","10+ yrs"))))</f>
        <v>10+ yrs</v>
      </c>
      <c r="S227" s="13" t="str">
        <f aca="false">IF(I227&gt;=4,"High",IF(I227=3,"Medium","Low"))</f>
        <v>Medium</v>
      </c>
      <c r="T227" s="13" t="str">
        <f aca="false">IF(M227=1,YEAR(C227),"")</f>
        <v/>
      </c>
      <c r="U227" s="13" t="str">
        <f aca="false">IF(M227=1,YEAR(C227)&amp;"-Q"&amp;ROUNDUP(MONTH(C227)/3,0),"")</f>
        <v/>
      </c>
      <c r="V227" s="13" t="str">
        <f aca="false">IF(M227=1,MONTH(C227),"")</f>
        <v/>
      </c>
    </row>
    <row r="228" customFormat="false" ht="15" hidden="false" customHeight="false" outlineLevel="0" collapsed="false">
      <c r="A228" s="13" t="str">
        <f aca="false">TRIM(Raw_Data!A228)</f>
        <v>EMP0227</v>
      </c>
      <c r="B228" s="14" t="n">
        <f aca="false">Raw_Data!B228</f>
        <v>41788</v>
      </c>
      <c r="C228" s="14" t="str">
        <f aca="false">IF(Raw_Data!C228="","",Raw_Data!C228)</f>
        <v/>
      </c>
      <c r="D228" s="13" t="n">
        <f aca="false">IF(Raw_Data!D228="","",Raw_Data!D228)</f>
        <v>37</v>
      </c>
      <c r="E228" s="13" t="str">
        <f aca="false">IF(UPPER(LEFT(TRIM(Raw_Data!E228),1))="M","Male",IF(UPPER(LEFT(TRIM(Raw_Data!E228),1))="F","Female","Unknown"))</f>
        <v>Male</v>
      </c>
      <c r="F228" s="13" t="str">
        <f aca="false">PROPER(TRIM(SUBSTITUTE(Raw_Data!F228,"'","")))</f>
        <v>Masters</v>
      </c>
      <c r="G228" s="13" t="str">
        <f aca="false">PROPER(TRIM(Raw_Data!G228))</f>
        <v>Sales</v>
      </c>
      <c r="H228" s="13" t="str">
        <f aca="false">PROPER(TRIM(Raw_Data!H228))</f>
        <v>Senior Analyst</v>
      </c>
      <c r="I228" s="13" t="n">
        <f aca="false">IF(Raw_Data!I228="",DefaultPerf,Raw_Data!I228)</f>
        <v>1</v>
      </c>
      <c r="J228" s="13" t="n">
        <f aca="false">IF(Raw_Data!J228="",DefaultSat,Raw_Data!J228)</f>
        <v>2</v>
      </c>
      <c r="K228" s="15" t="n">
        <f aca="false">Raw_Data!K228</f>
        <v>110000</v>
      </c>
      <c r="L228" s="13" t="str">
        <f aca="false">PROPER(TRIM(Raw_Data!N228))</f>
        <v>Yes</v>
      </c>
      <c r="M228" s="13" t="n">
        <f aca="false">IF(C228="",0,1)</f>
        <v>0</v>
      </c>
      <c r="N228" s="13" t="str">
        <f aca="false">IF(M228=0,"Active",IF(TRIM(Raw_Data!L228)="","Unknown",PROPER(TRIM(Raw_Data!L228))))</f>
        <v>Active</v>
      </c>
      <c r="O228" s="13" t="str">
        <f aca="false">IF(M228=0,"",IF(TRIM(Raw_Data!M228)="","Not Recorded",TRIM(Raw_Data!M228)))</f>
        <v/>
      </c>
      <c r="P228" s="16" t="n">
        <f aca="false">ROUND((IF(C228="",AsOfDate,C228)-B228)/365.25,2)</f>
        <v>11.59</v>
      </c>
      <c r="Q228" s="13" t="str">
        <f aca="false">IF(D228="","Unknown",IF(D228&lt;25,"Under 25",IF(D228&lt;35,"25-34",IF(D228&lt;45,"35-44",IF(D228&lt;55,"45-54","55+")))))</f>
        <v>35-44</v>
      </c>
      <c r="R228" s="13" t="str">
        <f aca="false">IF(P228&lt;1,"0-1 yrs",IF(P228&lt;3,"1-3 yrs",IF(P228&lt;5,"3-5 yrs",IF(P228&lt;10,"5-10 yrs","10+ yrs"))))</f>
        <v>10+ yrs</v>
      </c>
      <c r="S228" s="13" t="str">
        <f aca="false">IF(I228&gt;=4,"High",IF(I228=3,"Medium","Low"))</f>
        <v>Low</v>
      </c>
      <c r="T228" s="13" t="str">
        <f aca="false">IF(M228=1,YEAR(C228),"")</f>
        <v/>
      </c>
      <c r="U228" s="13" t="str">
        <f aca="false">IF(M228=1,YEAR(C228)&amp;"-Q"&amp;ROUNDUP(MONTH(C228)/3,0),"")</f>
        <v/>
      </c>
      <c r="V228" s="13" t="str">
        <f aca="false">IF(M228=1,MONTH(C228),"")</f>
        <v/>
      </c>
    </row>
    <row r="229" customFormat="false" ht="15" hidden="false" customHeight="false" outlineLevel="0" collapsed="false">
      <c r="A229" s="13" t="str">
        <f aca="false">TRIM(Raw_Data!A229)</f>
        <v>EMP0228</v>
      </c>
      <c r="B229" s="14" t="n">
        <f aca="false">Raw_Data!B229</f>
        <v>41795</v>
      </c>
      <c r="C229" s="14" t="str">
        <f aca="false">IF(Raw_Data!C229="","",Raw_Data!C229)</f>
        <v/>
      </c>
      <c r="D229" s="13" t="n">
        <f aca="false">IF(Raw_Data!D229="","",Raw_Data!D229)</f>
        <v>33</v>
      </c>
      <c r="E229" s="13" t="str">
        <f aca="false">IF(UPPER(LEFT(TRIM(Raw_Data!E229),1))="M","Male",IF(UPPER(LEFT(TRIM(Raw_Data!E229),1))="F","Female","Unknown"))</f>
        <v>Male</v>
      </c>
      <c r="F229" s="13" t="str">
        <f aca="false">PROPER(TRIM(SUBSTITUTE(Raw_Data!F229,"'","")))</f>
        <v>Bachelors</v>
      </c>
      <c r="G229" s="13" t="str">
        <f aca="false">PROPER(TRIM(Raw_Data!G229))</f>
        <v>Finance</v>
      </c>
      <c r="H229" s="13" t="str">
        <f aca="false">PROPER(TRIM(Raw_Data!H229))</f>
        <v>Specialist</v>
      </c>
      <c r="I229" s="13" t="n">
        <f aca="false">IF(Raw_Data!I229="",DefaultPerf,Raw_Data!I229)</f>
        <v>4</v>
      </c>
      <c r="J229" s="13" t="n">
        <f aca="false">IF(Raw_Data!J229="",DefaultSat,Raw_Data!J229)</f>
        <v>4</v>
      </c>
      <c r="K229" s="15" t="n">
        <f aca="false">Raw_Data!K229</f>
        <v>121500</v>
      </c>
      <c r="L229" s="13" t="str">
        <f aca="false">PROPER(TRIM(Raw_Data!N229))</f>
        <v>No</v>
      </c>
      <c r="M229" s="13" t="n">
        <f aca="false">IF(C229="",0,1)</f>
        <v>0</v>
      </c>
      <c r="N229" s="13" t="str">
        <f aca="false">IF(M229=0,"Active",IF(TRIM(Raw_Data!L229)="","Unknown",PROPER(TRIM(Raw_Data!L229))))</f>
        <v>Active</v>
      </c>
      <c r="O229" s="13" t="str">
        <f aca="false">IF(M229=0,"",IF(TRIM(Raw_Data!M229)="","Not Recorded",TRIM(Raw_Data!M229)))</f>
        <v/>
      </c>
      <c r="P229" s="16" t="n">
        <f aca="false">ROUND((IF(C229="",AsOfDate,C229)-B229)/365.25,2)</f>
        <v>11.57</v>
      </c>
      <c r="Q229" s="13" t="str">
        <f aca="false">IF(D229="","Unknown",IF(D229&lt;25,"Under 25",IF(D229&lt;35,"25-34",IF(D229&lt;45,"35-44",IF(D229&lt;55,"45-54","55+")))))</f>
        <v>25-34</v>
      </c>
      <c r="R229" s="13" t="str">
        <f aca="false">IF(P229&lt;1,"0-1 yrs",IF(P229&lt;3,"1-3 yrs",IF(P229&lt;5,"3-5 yrs",IF(P229&lt;10,"5-10 yrs","10+ yrs"))))</f>
        <v>10+ yrs</v>
      </c>
      <c r="S229" s="13" t="str">
        <f aca="false">IF(I229&gt;=4,"High",IF(I229=3,"Medium","Low"))</f>
        <v>High</v>
      </c>
      <c r="T229" s="13" t="str">
        <f aca="false">IF(M229=1,YEAR(C229),"")</f>
        <v/>
      </c>
      <c r="U229" s="13" t="str">
        <f aca="false">IF(M229=1,YEAR(C229)&amp;"-Q"&amp;ROUNDUP(MONTH(C229)/3,0),"")</f>
        <v/>
      </c>
      <c r="V229" s="13" t="str">
        <f aca="false">IF(M229=1,MONTH(C229),"")</f>
        <v/>
      </c>
    </row>
    <row r="230" customFormat="false" ht="15" hidden="false" customHeight="false" outlineLevel="0" collapsed="false">
      <c r="A230" s="13" t="str">
        <f aca="false">TRIM(Raw_Data!A230)</f>
        <v>EMP0229</v>
      </c>
      <c r="B230" s="14" t="n">
        <f aca="false">Raw_Data!B230</f>
        <v>41795</v>
      </c>
      <c r="C230" s="14" t="str">
        <f aca="false">IF(Raw_Data!C230="","",Raw_Data!C230)</f>
        <v/>
      </c>
      <c r="D230" s="13" t="n">
        <f aca="false">IF(Raw_Data!D230="","",Raw_Data!D230)</f>
        <v>36</v>
      </c>
      <c r="E230" s="13" t="str">
        <f aca="false">IF(UPPER(LEFT(TRIM(Raw_Data!E230),1))="M","Male",IF(UPPER(LEFT(TRIM(Raw_Data!E230),1))="F","Female","Unknown"))</f>
        <v>Female</v>
      </c>
      <c r="F230" s="13" t="str">
        <f aca="false">PROPER(TRIM(SUBSTITUTE(Raw_Data!F230,"'","")))</f>
        <v>Diploma</v>
      </c>
      <c r="G230" s="13" t="str">
        <f aca="false">PROPER(TRIM(Raw_Data!G230))</f>
        <v>Operations</v>
      </c>
      <c r="H230" s="13" t="str">
        <f aca="false">PROPER(TRIM(Raw_Data!H230))</f>
        <v>Analyst</v>
      </c>
      <c r="I230" s="13" t="n">
        <f aca="false">IF(Raw_Data!I230="",DefaultPerf,Raw_Data!I230)</f>
        <v>4</v>
      </c>
      <c r="J230" s="13" t="n">
        <f aca="false">IF(Raw_Data!J230="",DefaultSat,Raw_Data!J230)</f>
        <v>3</v>
      </c>
      <c r="K230" s="15" t="n">
        <f aca="false">Raw_Data!K230</f>
        <v>74500</v>
      </c>
      <c r="L230" s="13" t="str">
        <f aca="false">PROPER(TRIM(Raw_Data!N230))</f>
        <v>No</v>
      </c>
      <c r="M230" s="13" t="n">
        <f aca="false">IF(C230="",0,1)</f>
        <v>0</v>
      </c>
      <c r="N230" s="13" t="str">
        <f aca="false">IF(M230=0,"Active",IF(TRIM(Raw_Data!L230)="","Unknown",PROPER(TRIM(Raw_Data!L230))))</f>
        <v>Active</v>
      </c>
      <c r="O230" s="13" t="str">
        <f aca="false">IF(M230=0,"",IF(TRIM(Raw_Data!M230)="","Not Recorded",TRIM(Raw_Data!M230)))</f>
        <v/>
      </c>
      <c r="P230" s="16" t="n">
        <f aca="false">ROUND((IF(C230="",AsOfDate,C230)-B230)/365.25,2)</f>
        <v>11.57</v>
      </c>
      <c r="Q230" s="13" t="str">
        <f aca="false">IF(D230="","Unknown",IF(D230&lt;25,"Under 25",IF(D230&lt;35,"25-34",IF(D230&lt;45,"35-44",IF(D230&lt;55,"45-54","55+")))))</f>
        <v>35-44</v>
      </c>
      <c r="R230" s="13" t="str">
        <f aca="false">IF(P230&lt;1,"0-1 yrs",IF(P230&lt;3,"1-3 yrs",IF(P230&lt;5,"3-5 yrs",IF(P230&lt;10,"5-10 yrs","10+ yrs"))))</f>
        <v>10+ yrs</v>
      </c>
      <c r="S230" s="13" t="str">
        <f aca="false">IF(I230&gt;=4,"High",IF(I230=3,"Medium","Low"))</f>
        <v>High</v>
      </c>
      <c r="T230" s="13" t="str">
        <f aca="false">IF(M230=1,YEAR(C230),"")</f>
        <v/>
      </c>
      <c r="U230" s="13" t="str">
        <f aca="false">IF(M230=1,YEAR(C230)&amp;"-Q"&amp;ROUNDUP(MONTH(C230)/3,0),"")</f>
        <v/>
      </c>
      <c r="V230" s="13" t="str">
        <f aca="false">IF(M230=1,MONTH(C230),"")</f>
        <v/>
      </c>
    </row>
    <row r="231" customFormat="false" ht="15" hidden="false" customHeight="false" outlineLevel="0" collapsed="false">
      <c r="A231" s="13" t="str">
        <f aca="false">TRIM(Raw_Data!A231)</f>
        <v>EMP0230</v>
      </c>
      <c r="B231" s="14" t="n">
        <f aca="false">Raw_Data!B231</f>
        <v>41795</v>
      </c>
      <c r="C231" s="14" t="str">
        <f aca="false">IF(Raw_Data!C231="","",Raw_Data!C231)</f>
        <v/>
      </c>
      <c r="D231" s="13" t="n">
        <f aca="false">IF(Raw_Data!D231="","",Raw_Data!D231)</f>
        <v>47</v>
      </c>
      <c r="E231" s="13" t="str">
        <f aca="false">IF(UPPER(LEFT(TRIM(Raw_Data!E231),1))="M","Male",IF(UPPER(LEFT(TRIM(Raw_Data!E231),1))="F","Female","Unknown"))</f>
        <v>Male</v>
      </c>
      <c r="F231" s="13" t="str">
        <f aca="false">PROPER(TRIM(SUBSTITUTE(Raw_Data!F231,"'","")))</f>
        <v>Bachelors</v>
      </c>
      <c r="G231" s="13" t="str">
        <f aca="false">PROPER(TRIM(Raw_Data!G231))</f>
        <v>Engineering</v>
      </c>
      <c r="H231" s="13" t="str">
        <f aca="false">PROPER(TRIM(Raw_Data!H231))</f>
        <v>Team Lead</v>
      </c>
      <c r="I231" s="13" t="n">
        <f aca="false">IF(Raw_Data!I231="",DefaultPerf,Raw_Data!I231)</f>
        <v>3</v>
      </c>
      <c r="J231" s="13" t="n">
        <f aca="false">IF(Raw_Data!J231="",DefaultSat,Raw_Data!J231)</f>
        <v>2</v>
      </c>
      <c r="K231" s="15" t="n">
        <f aca="false">Raw_Data!K231</f>
        <v>162000</v>
      </c>
      <c r="L231" s="13" t="str">
        <f aca="false">PROPER(TRIM(Raw_Data!N231))</f>
        <v>Yes</v>
      </c>
      <c r="M231" s="13" t="n">
        <f aca="false">IF(C231="",0,1)</f>
        <v>0</v>
      </c>
      <c r="N231" s="13" t="str">
        <f aca="false">IF(M231=0,"Active",IF(TRIM(Raw_Data!L231)="","Unknown",PROPER(TRIM(Raw_Data!L231))))</f>
        <v>Active</v>
      </c>
      <c r="O231" s="13" t="str">
        <f aca="false">IF(M231=0,"",IF(TRIM(Raw_Data!M231)="","Not Recorded",TRIM(Raw_Data!M231)))</f>
        <v/>
      </c>
      <c r="P231" s="16" t="n">
        <f aca="false">ROUND((IF(C231="",AsOfDate,C231)-B231)/365.25,2)</f>
        <v>11.57</v>
      </c>
      <c r="Q231" s="13" t="str">
        <f aca="false">IF(D231="","Unknown",IF(D231&lt;25,"Under 25",IF(D231&lt;35,"25-34",IF(D231&lt;45,"35-44",IF(D231&lt;55,"45-54","55+")))))</f>
        <v>45-54</v>
      </c>
      <c r="R231" s="13" t="str">
        <f aca="false">IF(P231&lt;1,"0-1 yrs",IF(P231&lt;3,"1-3 yrs",IF(P231&lt;5,"3-5 yrs",IF(P231&lt;10,"5-10 yrs","10+ yrs"))))</f>
        <v>10+ yrs</v>
      </c>
      <c r="S231" s="13" t="str">
        <f aca="false">IF(I231&gt;=4,"High",IF(I231=3,"Medium","Low"))</f>
        <v>Medium</v>
      </c>
      <c r="T231" s="13" t="str">
        <f aca="false">IF(M231=1,YEAR(C231),"")</f>
        <v/>
      </c>
      <c r="U231" s="13" t="str">
        <f aca="false">IF(M231=1,YEAR(C231)&amp;"-Q"&amp;ROUNDUP(MONTH(C231)/3,0),"")</f>
        <v/>
      </c>
      <c r="V231" s="13" t="str">
        <f aca="false">IF(M231=1,MONTH(C231),"")</f>
        <v/>
      </c>
    </row>
    <row r="232" customFormat="false" ht="15" hidden="false" customHeight="false" outlineLevel="0" collapsed="false">
      <c r="A232" s="13" t="str">
        <f aca="false">TRIM(Raw_Data!A232)</f>
        <v>EMP0231</v>
      </c>
      <c r="B232" s="14" t="n">
        <f aca="false">Raw_Data!B232</f>
        <v>41800</v>
      </c>
      <c r="C232" s="14" t="str">
        <f aca="false">IF(Raw_Data!C232="","",Raw_Data!C232)</f>
        <v/>
      </c>
      <c r="D232" s="13" t="n">
        <f aca="false">IF(Raw_Data!D232="","",Raw_Data!D232)</f>
        <v>34</v>
      </c>
      <c r="E232" s="13" t="str">
        <f aca="false">IF(UPPER(LEFT(TRIM(Raw_Data!E232),1))="M","Male",IF(UPPER(LEFT(TRIM(Raw_Data!E232),1))="F","Female","Unknown"))</f>
        <v>Female</v>
      </c>
      <c r="F232" s="13" t="str">
        <f aca="false">PROPER(TRIM(SUBSTITUTE(Raw_Data!F232,"'","")))</f>
        <v>Bachelors</v>
      </c>
      <c r="G232" s="13" t="str">
        <f aca="false">PROPER(TRIM(Raw_Data!G232))</f>
        <v>Engineering</v>
      </c>
      <c r="H232" s="13" t="str">
        <f aca="false">PROPER(TRIM(Raw_Data!H232))</f>
        <v>Manager</v>
      </c>
      <c r="I232" s="13" t="n">
        <f aca="false">IF(Raw_Data!I232="",DefaultPerf,Raw_Data!I232)</f>
        <v>4</v>
      </c>
      <c r="J232" s="13" t="n">
        <f aca="false">IF(Raw_Data!J232="",DefaultSat,Raw_Data!J232)</f>
        <v>2</v>
      </c>
      <c r="K232" s="15" t="n">
        <f aca="false">Raw_Data!K232</f>
        <v>228000</v>
      </c>
      <c r="L232" s="13" t="str">
        <f aca="false">PROPER(TRIM(Raw_Data!N232))</f>
        <v>No</v>
      </c>
      <c r="M232" s="13" t="n">
        <f aca="false">IF(C232="",0,1)</f>
        <v>0</v>
      </c>
      <c r="N232" s="13" t="str">
        <f aca="false">IF(M232=0,"Active",IF(TRIM(Raw_Data!L232)="","Unknown",PROPER(TRIM(Raw_Data!L232))))</f>
        <v>Active</v>
      </c>
      <c r="O232" s="13" t="str">
        <f aca="false">IF(M232=0,"",IF(TRIM(Raw_Data!M232)="","Not Recorded",TRIM(Raw_Data!M232)))</f>
        <v/>
      </c>
      <c r="P232" s="16" t="n">
        <f aca="false">ROUND((IF(C232="",AsOfDate,C232)-B232)/365.25,2)</f>
        <v>11.56</v>
      </c>
      <c r="Q232" s="13" t="str">
        <f aca="false">IF(D232="","Unknown",IF(D232&lt;25,"Under 25",IF(D232&lt;35,"25-34",IF(D232&lt;45,"35-44",IF(D232&lt;55,"45-54","55+")))))</f>
        <v>25-34</v>
      </c>
      <c r="R232" s="13" t="str">
        <f aca="false">IF(P232&lt;1,"0-1 yrs",IF(P232&lt;3,"1-3 yrs",IF(P232&lt;5,"3-5 yrs",IF(P232&lt;10,"5-10 yrs","10+ yrs"))))</f>
        <v>10+ yrs</v>
      </c>
      <c r="S232" s="13" t="str">
        <f aca="false">IF(I232&gt;=4,"High",IF(I232=3,"Medium","Low"))</f>
        <v>High</v>
      </c>
      <c r="T232" s="13" t="str">
        <f aca="false">IF(M232=1,YEAR(C232),"")</f>
        <v/>
      </c>
      <c r="U232" s="13" t="str">
        <f aca="false">IF(M232=1,YEAR(C232)&amp;"-Q"&amp;ROUNDUP(MONTH(C232)/3,0),"")</f>
        <v/>
      </c>
      <c r="V232" s="13" t="str">
        <f aca="false">IF(M232=1,MONTH(C232),"")</f>
        <v/>
      </c>
    </row>
    <row r="233" customFormat="false" ht="15" hidden="false" customHeight="false" outlineLevel="0" collapsed="false">
      <c r="A233" s="13" t="str">
        <f aca="false">TRIM(Raw_Data!A233)</f>
        <v>EMP0232</v>
      </c>
      <c r="B233" s="14" t="n">
        <f aca="false">Raw_Data!B233</f>
        <v>41804</v>
      </c>
      <c r="C233" s="14" t="n">
        <f aca="false">IF(Raw_Data!C233="","",Raw_Data!C233)</f>
        <v>45056</v>
      </c>
      <c r="D233" s="13" t="n">
        <f aca="false">IF(Raw_Data!D233="","",Raw_Data!D233)</f>
        <v>40</v>
      </c>
      <c r="E233" s="13" t="str">
        <f aca="false">IF(UPPER(LEFT(TRIM(Raw_Data!E233),1))="M","Male",IF(UPPER(LEFT(TRIM(Raw_Data!E233),1))="F","Female","Unknown"))</f>
        <v>Male</v>
      </c>
      <c r="F233" s="13" t="str">
        <f aca="false">PROPER(TRIM(SUBSTITUTE(Raw_Data!F233,"'","")))</f>
        <v>Masters</v>
      </c>
      <c r="G233" s="13" t="str">
        <f aca="false">PROPER(TRIM(Raw_Data!G233))</f>
        <v>Engineering</v>
      </c>
      <c r="H233" s="13" t="str">
        <f aca="false">PROPER(TRIM(Raw_Data!H233))</f>
        <v>Associate</v>
      </c>
      <c r="I233" s="13" t="n">
        <f aca="false">IF(Raw_Data!I233="",DefaultPerf,Raw_Data!I233)</f>
        <v>3</v>
      </c>
      <c r="J233" s="13" t="n">
        <f aca="false">IF(Raw_Data!J233="",DefaultSat,Raw_Data!J233)</f>
        <v>3</v>
      </c>
      <c r="K233" s="15" t="n">
        <f aca="false">Raw_Data!K233</f>
        <v>47500</v>
      </c>
      <c r="L233" s="13" t="str">
        <f aca="false">PROPER(TRIM(Raw_Data!N233))</f>
        <v>Yes</v>
      </c>
      <c r="M233" s="13" t="n">
        <f aca="false">IF(C233="",0,1)</f>
        <v>1</v>
      </c>
      <c r="N233" s="13" t="str">
        <f aca="false">IF(M233=0,"Active",IF(TRIM(Raw_Data!L233)="","Unknown",PROPER(TRIM(Raw_Data!L233))))</f>
        <v>Voluntary</v>
      </c>
      <c r="O233" s="13" t="str">
        <f aca="false">IF(M233=0,"",IF(TRIM(Raw_Data!M233)="","Not Recorded",TRIM(Raw_Data!M233)))</f>
        <v>Relocation</v>
      </c>
      <c r="P233" s="16" t="n">
        <f aca="false">ROUND((IF(C233="",AsOfDate,C233)-B233)/365.25,2)</f>
        <v>8.9</v>
      </c>
      <c r="Q233" s="13" t="str">
        <f aca="false">IF(D233="","Unknown",IF(D233&lt;25,"Under 25",IF(D233&lt;35,"25-34",IF(D233&lt;45,"35-44",IF(D233&lt;55,"45-54","55+")))))</f>
        <v>35-44</v>
      </c>
      <c r="R233" s="13" t="str">
        <f aca="false">IF(P233&lt;1,"0-1 yrs",IF(P233&lt;3,"1-3 yrs",IF(P233&lt;5,"3-5 yrs",IF(P233&lt;10,"5-10 yrs","10+ yrs"))))</f>
        <v>5-10 yrs</v>
      </c>
      <c r="S233" s="13" t="str">
        <f aca="false">IF(I233&gt;=4,"High",IF(I233=3,"Medium","Low"))</f>
        <v>Medium</v>
      </c>
      <c r="T233" s="13" t="n">
        <f aca="false">IF(M233=1,YEAR(C233),"")</f>
        <v>2023</v>
      </c>
      <c r="U233" s="13" t="str">
        <f aca="false">IF(M233=1,YEAR(C233)&amp;"-Q"&amp;ROUNDUP(MONTH(C233)/3,0),"")</f>
        <v>2023-Q2</v>
      </c>
      <c r="V233" s="13" t="n">
        <f aca="false">IF(M233=1,MONTH(C233),"")</f>
        <v>5</v>
      </c>
    </row>
    <row r="234" customFormat="false" ht="15" hidden="false" customHeight="false" outlineLevel="0" collapsed="false">
      <c r="A234" s="13" t="str">
        <f aca="false">TRIM(Raw_Data!A234)</f>
        <v>EMP0233</v>
      </c>
      <c r="B234" s="14" t="n">
        <f aca="false">Raw_Data!B234</f>
        <v>41811</v>
      </c>
      <c r="C234" s="14" t="str">
        <f aca="false">IF(Raw_Data!C234="","",Raw_Data!C234)</f>
        <v/>
      </c>
      <c r="D234" s="13" t="n">
        <f aca="false">IF(Raw_Data!D234="","",Raw_Data!D234)</f>
        <v>33</v>
      </c>
      <c r="E234" s="13" t="str">
        <f aca="false">IF(UPPER(LEFT(TRIM(Raw_Data!E234),1))="M","Male",IF(UPPER(LEFT(TRIM(Raw_Data!E234),1))="F","Female","Unknown"))</f>
        <v>Male</v>
      </c>
      <c r="F234" s="13" t="str">
        <f aca="false">PROPER(TRIM(SUBSTITUTE(Raw_Data!F234,"'","")))</f>
        <v>Bachelors</v>
      </c>
      <c r="G234" s="13" t="str">
        <f aca="false">PROPER(TRIM(Raw_Data!G234))</f>
        <v>Finance</v>
      </c>
      <c r="H234" s="13" t="str">
        <f aca="false">PROPER(TRIM(Raw_Data!H234))</f>
        <v>Associate</v>
      </c>
      <c r="I234" s="13" t="n">
        <f aca="false">IF(Raw_Data!I234="",DefaultPerf,Raw_Data!I234)</f>
        <v>4</v>
      </c>
      <c r="J234" s="13" t="n">
        <f aca="false">IF(Raw_Data!J234="",DefaultSat,Raw_Data!J234)</f>
        <v>4</v>
      </c>
      <c r="K234" s="15" t="n">
        <f aca="false">Raw_Data!K234</f>
        <v>51000</v>
      </c>
      <c r="L234" s="13" t="str">
        <f aca="false">PROPER(TRIM(Raw_Data!N234))</f>
        <v>No</v>
      </c>
      <c r="M234" s="13" t="n">
        <f aca="false">IF(C234="",0,1)</f>
        <v>0</v>
      </c>
      <c r="N234" s="13" t="str">
        <f aca="false">IF(M234=0,"Active",IF(TRIM(Raw_Data!L234)="","Unknown",PROPER(TRIM(Raw_Data!L234))))</f>
        <v>Active</v>
      </c>
      <c r="O234" s="13" t="str">
        <f aca="false">IF(M234=0,"",IF(TRIM(Raw_Data!M234)="","Not Recorded",TRIM(Raw_Data!M234)))</f>
        <v/>
      </c>
      <c r="P234" s="16" t="n">
        <f aca="false">ROUND((IF(C234="",AsOfDate,C234)-B234)/365.25,2)</f>
        <v>11.53</v>
      </c>
      <c r="Q234" s="13" t="str">
        <f aca="false">IF(D234="","Unknown",IF(D234&lt;25,"Under 25",IF(D234&lt;35,"25-34",IF(D234&lt;45,"35-44",IF(D234&lt;55,"45-54","55+")))))</f>
        <v>25-34</v>
      </c>
      <c r="R234" s="13" t="str">
        <f aca="false">IF(P234&lt;1,"0-1 yrs",IF(P234&lt;3,"1-3 yrs",IF(P234&lt;5,"3-5 yrs",IF(P234&lt;10,"5-10 yrs","10+ yrs"))))</f>
        <v>10+ yrs</v>
      </c>
      <c r="S234" s="13" t="str">
        <f aca="false">IF(I234&gt;=4,"High",IF(I234=3,"Medium","Low"))</f>
        <v>High</v>
      </c>
      <c r="T234" s="13" t="str">
        <f aca="false">IF(M234=1,YEAR(C234),"")</f>
        <v/>
      </c>
      <c r="U234" s="13" t="str">
        <f aca="false">IF(M234=1,YEAR(C234)&amp;"-Q"&amp;ROUNDUP(MONTH(C234)/3,0),"")</f>
        <v/>
      </c>
      <c r="V234" s="13" t="str">
        <f aca="false">IF(M234=1,MONTH(C234),"")</f>
        <v/>
      </c>
    </row>
    <row r="235" customFormat="false" ht="15" hidden="false" customHeight="false" outlineLevel="0" collapsed="false">
      <c r="A235" s="13" t="str">
        <f aca="false">TRIM(Raw_Data!A235)</f>
        <v>EMP0234</v>
      </c>
      <c r="B235" s="14" t="n">
        <f aca="false">Raw_Data!B235</f>
        <v>41811</v>
      </c>
      <c r="C235" s="14" t="str">
        <f aca="false">IF(Raw_Data!C235="","",Raw_Data!C235)</f>
        <v/>
      </c>
      <c r="D235" s="13" t="n">
        <f aca="false">IF(Raw_Data!D235="","",Raw_Data!D235)</f>
        <v>44</v>
      </c>
      <c r="E235" s="13" t="str">
        <f aca="false">IF(UPPER(LEFT(TRIM(Raw_Data!E235),1))="M","Male",IF(UPPER(LEFT(TRIM(Raw_Data!E235),1))="F","Female","Unknown"))</f>
        <v>Female</v>
      </c>
      <c r="F235" s="13" t="str">
        <f aca="false">PROPER(TRIM(SUBSTITUTE(Raw_Data!F235,"'","")))</f>
        <v>Bachelors</v>
      </c>
      <c r="G235" s="13" t="str">
        <f aca="false">PROPER(TRIM(Raw_Data!G235))</f>
        <v>Engineering</v>
      </c>
      <c r="H235" s="13" t="str">
        <f aca="false">PROPER(TRIM(Raw_Data!H235))</f>
        <v>Analyst</v>
      </c>
      <c r="I235" s="13" t="n">
        <f aca="false">IF(Raw_Data!I235="",DefaultPerf,Raw_Data!I235)</f>
        <v>4</v>
      </c>
      <c r="J235" s="13" t="n">
        <f aca="false">IF(Raw_Data!J235="",DefaultSat,Raw_Data!J235)</f>
        <v>3</v>
      </c>
      <c r="K235" s="15" t="n">
        <f aca="false">Raw_Data!K235</f>
        <v>82500</v>
      </c>
      <c r="L235" s="13" t="str">
        <f aca="false">PROPER(TRIM(Raw_Data!N235))</f>
        <v>No</v>
      </c>
      <c r="M235" s="13" t="n">
        <f aca="false">IF(C235="",0,1)</f>
        <v>0</v>
      </c>
      <c r="N235" s="13" t="str">
        <f aca="false">IF(M235=0,"Active",IF(TRIM(Raw_Data!L235)="","Unknown",PROPER(TRIM(Raw_Data!L235))))</f>
        <v>Active</v>
      </c>
      <c r="O235" s="13" t="str">
        <f aca="false">IF(M235=0,"",IF(TRIM(Raw_Data!M235)="","Not Recorded",TRIM(Raw_Data!M235)))</f>
        <v/>
      </c>
      <c r="P235" s="16" t="n">
        <f aca="false">ROUND((IF(C235="",AsOfDate,C235)-B235)/365.25,2)</f>
        <v>11.53</v>
      </c>
      <c r="Q235" s="13" t="str">
        <f aca="false">IF(D235="","Unknown",IF(D235&lt;25,"Under 25",IF(D235&lt;35,"25-34",IF(D235&lt;45,"35-44",IF(D235&lt;55,"45-54","55+")))))</f>
        <v>35-44</v>
      </c>
      <c r="R235" s="13" t="str">
        <f aca="false">IF(P235&lt;1,"0-1 yrs",IF(P235&lt;3,"1-3 yrs",IF(P235&lt;5,"3-5 yrs",IF(P235&lt;10,"5-10 yrs","10+ yrs"))))</f>
        <v>10+ yrs</v>
      </c>
      <c r="S235" s="13" t="str">
        <f aca="false">IF(I235&gt;=4,"High",IF(I235=3,"Medium","Low"))</f>
        <v>High</v>
      </c>
      <c r="T235" s="13" t="str">
        <f aca="false">IF(M235=1,YEAR(C235),"")</f>
        <v/>
      </c>
      <c r="U235" s="13" t="str">
        <f aca="false">IF(M235=1,YEAR(C235)&amp;"-Q"&amp;ROUNDUP(MONTH(C235)/3,0),"")</f>
        <v/>
      </c>
      <c r="V235" s="13" t="str">
        <f aca="false">IF(M235=1,MONTH(C235),"")</f>
        <v/>
      </c>
    </row>
    <row r="236" customFormat="false" ht="15" hidden="false" customHeight="false" outlineLevel="0" collapsed="false">
      <c r="A236" s="13" t="str">
        <f aca="false">TRIM(Raw_Data!A236)</f>
        <v>EMP0235</v>
      </c>
      <c r="B236" s="14" t="n">
        <f aca="false">Raw_Data!B236</f>
        <v>41811</v>
      </c>
      <c r="C236" s="14" t="str">
        <f aca="false">IF(Raw_Data!C236="","",Raw_Data!C236)</f>
        <v/>
      </c>
      <c r="D236" s="13" t="n">
        <f aca="false">IF(Raw_Data!D236="","",Raw_Data!D236)</f>
        <v>44</v>
      </c>
      <c r="E236" s="13" t="str">
        <f aca="false">IF(UPPER(LEFT(TRIM(Raw_Data!E236),1))="M","Male",IF(UPPER(LEFT(TRIM(Raw_Data!E236),1))="F","Female","Unknown"))</f>
        <v>Female</v>
      </c>
      <c r="F236" s="13" t="str">
        <f aca="false">PROPER(TRIM(SUBSTITUTE(Raw_Data!F236,"'","")))</f>
        <v>Masters</v>
      </c>
      <c r="G236" s="13" t="str">
        <f aca="false">PROPER(TRIM(Raw_Data!G236))</f>
        <v>Sales</v>
      </c>
      <c r="H236" s="13" t="str">
        <f aca="false">PROPER(TRIM(Raw_Data!H236))</f>
        <v>Associate</v>
      </c>
      <c r="I236" s="13" t="n">
        <f aca="false">IF(Raw_Data!I236="",DefaultPerf,Raw_Data!I236)</f>
        <v>5</v>
      </c>
      <c r="J236" s="13" t="n">
        <f aca="false">IF(Raw_Data!J236="",DefaultSat,Raw_Data!J236)</f>
        <v>2</v>
      </c>
      <c r="K236" s="15" t="n">
        <f aca="false">Raw_Data!K236</f>
        <v>55500</v>
      </c>
      <c r="L236" s="13" t="str">
        <f aca="false">PROPER(TRIM(Raw_Data!N236))</f>
        <v>No</v>
      </c>
      <c r="M236" s="13" t="n">
        <f aca="false">IF(C236="",0,1)</f>
        <v>0</v>
      </c>
      <c r="N236" s="13" t="str">
        <f aca="false">IF(M236=0,"Active",IF(TRIM(Raw_Data!L236)="","Unknown",PROPER(TRIM(Raw_Data!L236))))</f>
        <v>Active</v>
      </c>
      <c r="O236" s="13" t="str">
        <f aca="false">IF(M236=0,"",IF(TRIM(Raw_Data!M236)="","Not Recorded",TRIM(Raw_Data!M236)))</f>
        <v/>
      </c>
      <c r="P236" s="16" t="n">
        <f aca="false">ROUND((IF(C236="",AsOfDate,C236)-B236)/365.25,2)</f>
        <v>11.53</v>
      </c>
      <c r="Q236" s="13" t="str">
        <f aca="false">IF(D236="","Unknown",IF(D236&lt;25,"Under 25",IF(D236&lt;35,"25-34",IF(D236&lt;45,"35-44",IF(D236&lt;55,"45-54","55+")))))</f>
        <v>35-44</v>
      </c>
      <c r="R236" s="13" t="str">
        <f aca="false">IF(P236&lt;1,"0-1 yrs",IF(P236&lt;3,"1-3 yrs",IF(P236&lt;5,"3-5 yrs",IF(P236&lt;10,"5-10 yrs","10+ yrs"))))</f>
        <v>10+ yrs</v>
      </c>
      <c r="S236" s="13" t="str">
        <f aca="false">IF(I236&gt;=4,"High",IF(I236=3,"Medium","Low"))</f>
        <v>High</v>
      </c>
      <c r="T236" s="13" t="str">
        <f aca="false">IF(M236=1,YEAR(C236),"")</f>
        <v/>
      </c>
      <c r="U236" s="13" t="str">
        <f aca="false">IF(M236=1,YEAR(C236)&amp;"-Q"&amp;ROUNDUP(MONTH(C236)/3,0),"")</f>
        <v/>
      </c>
      <c r="V236" s="13" t="str">
        <f aca="false">IF(M236=1,MONTH(C236),"")</f>
        <v/>
      </c>
    </row>
    <row r="237" customFormat="false" ht="15" hidden="false" customHeight="false" outlineLevel="0" collapsed="false">
      <c r="A237" s="13" t="str">
        <f aca="false">TRIM(Raw_Data!A237)</f>
        <v>EMP0236</v>
      </c>
      <c r="B237" s="14" t="n">
        <f aca="false">Raw_Data!B237</f>
        <v>41817</v>
      </c>
      <c r="C237" s="14" t="str">
        <f aca="false">IF(Raw_Data!C237="","",Raw_Data!C237)</f>
        <v/>
      </c>
      <c r="D237" s="13" t="n">
        <f aca="false">IF(Raw_Data!D237="","",Raw_Data!D237)</f>
        <v>41</v>
      </c>
      <c r="E237" s="13" t="str">
        <f aca="false">IF(UPPER(LEFT(TRIM(Raw_Data!E237),1))="M","Male",IF(UPPER(LEFT(TRIM(Raw_Data!E237),1))="F","Female","Unknown"))</f>
        <v>Male</v>
      </c>
      <c r="F237" s="13" t="str">
        <f aca="false">PROPER(TRIM(SUBSTITUTE(Raw_Data!F237,"'","")))</f>
        <v>Bachelors</v>
      </c>
      <c r="G237" s="13" t="str">
        <f aca="false">PROPER(TRIM(Raw_Data!G237))</f>
        <v>Operations</v>
      </c>
      <c r="H237" s="13" t="str">
        <f aca="false">PROPER(TRIM(Raw_Data!H237))</f>
        <v>Manager</v>
      </c>
      <c r="I237" s="13" t="n">
        <f aca="false">IF(Raw_Data!I237="",DefaultPerf,Raw_Data!I237)</f>
        <v>4</v>
      </c>
      <c r="J237" s="13" t="n">
        <f aca="false">IF(Raw_Data!J237="",DefaultSat,Raw_Data!J237)</f>
        <v>3</v>
      </c>
      <c r="K237" s="15" t="n">
        <f aca="false">Raw_Data!K237</f>
        <v>235000</v>
      </c>
      <c r="L237" s="13" t="str">
        <f aca="false">PROPER(TRIM(Raw_Data!N237))</f>
        <v>No</v>
      </c>
      <c r="M237" s="13" t="n">
        <f aca="false">IF(C237="",0,1)</f>
        <v>0</v>
      </c>
      <c r="N237" s="13" t="str">
        <f aca="false">IF(M237=0,"Active",IF(TRIM(Raw_Data!L237)="","Unknown",PROPER(TRIM(Raw_Data!L237))))</f>
        <v>Active</v>
      </c>
      <c r="O237" s="13" t="str">
        <f aca="false">IF(M237=0,"",IF(TRIM(Raw_Data!M237)="","Not Recorded",TRIM(Raw_Data!M237)))</f>
        <v/>
      </c>
      <c r="P237" s="16" t="n">
        <f aca="false">ROUND((IF(C237="",AsOfDate,C237)-B237)/365.25,2)</f>
        <v>11.51</v>
      </c>
      <c r="Q237" s="13" t="str">
        <f aca="false">IF(D237="","Unknown",IF(D237&lt;25,"Under 25",IF(D237&lt;35,"25-34",IF(D237&lt;45,"35-44",IF(D237&lt;55,"45-54","55+")))))</f>
        <v>35-44</v>
      </c>
      <c r="R237" s="13" t="str">
        <f aca="false">IF(P237&lt;1,"0-1 yrs",IF(P237&lt;3,"1-3 yrs",IF(P237&lt;5,"3-5 yrs",IF(P237&lt;10,"5-10 yrs","10+ yrs"))))</f>
        <v>10+ yrs</v>
      </c>
      <c r="S237" s="13" t="str">
        <f aca="false">IF(I237&gt;=4,"High",IF(I237=3,"Medium","Low"))</f>
        <v>High</v>
      </c>
      <c r="T237" s="13" t="str">
        <f aca="false">IF(M237=1,YEAR(C237),"")</f>
        <v/>
      </c>
      <c r="U237" s="13" t="str">
        <f aca="false">IF(M237=1,YEAR(C237)&amp;"-Q"&amp;ROUNDUP(MONTH(C237)/3,0),"")</f>
        <v/>
      </c>
      <c r="V237" s="13" t="str">
        <f aca="false">IF(M237=1,MONTH(C237),"")</f>
        <v/>
      </c>
    </row>
    <row r="238" customFormat="false" ht="15" hidden="false" customHeight="false" outlineLevel="0" collapsed="false">
      <c r="A238" s="13" t="str">
        <f aca="false">TRIM(Raw_Data!A238)</f>
        <v>EMP0237</v>
      </c>
      <c r="B238" s="14" t="n">
        <f aca="false">Raw_Data!B238</f>
        <v>41821</v>
      </c>
      <c r="C238" s="14" t="str">
        <f aca="false">IF(Raw_Data!C238="","",Raw_Data!C238)</f>
        <v/>
      </c>
      <c r="D238" s="13" t="n">
        <f aca="false">IF(Raw_Data!D238="","",Raw_Data!D238)</f>
        <v>38</v>
      </c>
      <c r="E238" s="13" t="str">
        <f aca="false">IF(UPPER(LEFT(TRIM(Raw_Data!E238),1))="M","Male",IF(UPPER(LEFT(TRIM(Raw_Data!E238),1))="F","Female","Unknown"))</f>
        <v>Female</v>
      </c>
      <c r="F238" s="13" t="str">
        <f aca="false">PROPER(TRIM(SUBSTITUTE(Raw_Data!F238,"'","")))</f>
        <v>Bachelors</v>
      </c>
      <c r="G238" s="13" t="str">
        <f aca="false">PROPER(TRIM(Raw_Data!G238))</f>
        <v>Sales</v>
      </c>
      <c r="H238" s="13" t="str">
        <f aca="false">PROPER(TRIM(Raw_Data!H238))</f>
        <v>Associate</v>
      </c>
      <c r="I238" s="13" t="n">
        <f aca="false">IF(Raw_Data!I238="",DefaultPerf,Raw_Data!I238)</f>
        <v>3</v>
      </c>
      <c r="J238" s="13" t="n">
        <f aca="false">IF(Raw_Data!J238="",DefaultSat,Raw_Data!J238)</f>
        <v>2</v>
      </c>
      <c r="K238" s="15" t="n">
        <f aca="false">Raw_Data!K238</f>
        <v>44500</v>
      </c>
      <c r="L238" s="13" t="str">
        <f aca="false">PROPER(TRIM(Raw_Data!N238))</f>
        <v>No</v>
      </c>
      <c r="M238" s="13" t="n">
        <f aca="false">IF(C238="",0,1)</f>
        <v>0</v>
      </c>
      <c r="N238" s="13" t="str">
        <f aca="false">IF(M238=0,"Active",IF(TRIM(Raw_Data!L238)="","Unknown",PROPER(TRIM(Raw_Data!L238))))</f>
        <v>Active</v>
      </c>
      <c r="O238" s="13" t="str">
        <f aca="false">IF(M238=0,"",IF(TRIM(Raw_Data!M238)="","Not Recorded",TRIM(Raw_Data!M238)))</f>
        <v/>
      </c>
      <c r="P238" s="16" t="n">
        <f aca="false">ROUND((IF(C238="",AsOfDate,C238)-B238)/365.25,2)</f>
        <v>11.5</v>
      </c>
      <c r="Q238" s="13" t="str">
        <f aca="false">IF(D238="","Unknown",IF(D238&lt;25,"Under 25",IF(D238&lt;35,"25-34",IF(D238&lt;45,"35-44",IF(D238&lt;55,"45-54","55+")))))</f>
        <v>35-44</v>
      </c>
      <c r="R238" s="13" t="str">
        <f aca="false">IF(P238&lt;1,"0-1 yrs",IF(P238&lt;3,"1-3 yrs",IF(P238&lt;5,"3-5 yrs",IF(P238&lt;10,"5-10 yrs","10+ yrs"))))</f>
        <v>10+ yrs</v>
      </c>
      <c r="S238" s="13" t="str">
        <f aca="false">IF(I238&gt;=4,"High",IF(I238=3,"Medium","Low"))</f>
        <v>Medium</v>
      </c>
      <c r="T238" s="13" t="str">
        <f aca="false">IF(M238=1,YEAR(C238),"")</f>
        <v/>
      </c>
      <c r="U238" s="13" t="str">
        <f aca="false">IF(M238=1,YEAR(C238)&amp;"-Q"&amp;ROUNDUP(MONTH(C238)/3,0),"")</f>
        <v/>
      </c>
      <c r="V238" s="13" t="str">
        <f aca="false">IF(M238=1,MONTH(C238),"")</f>
        <v/>
      </c>
    </row>
    <row r="239" customFormat="false" ht="15" hidden="false" customHeight="false" outlineLevel="0" collapsed="false">
      <c r="A239" s="13" t="str">
        <f aca="false">TRIM(Raw_Data!A239)</f>
        <v>EMP0238</v>
      </c>
      <c r="B239" s="14" t="n">
        <f aca="false">Raw_Data!B239</f>
        <v>41825</v>
      </c>
      <c r="C239" s="14" t="str">
        <f aca="false">IF(Raw_Data!C239="","",Raw_Data!C239)</f>
        <v/>
      </c>
      <c r="D239" s="13" t="n">
        <f aca="false">IF(Raw_Data!D239="","",Raw_Data!D239)</f>
        <v>40</v>
      </c>
      <c r="E239" s="13" t="str">
        <f aca="false">IF(UPPER(LEFT(TRIM(Raw_Data!E239),1))="M","Male",IF(UPPER(LEFT(TRIM(Raw_Data!E239),1))="F","Female","Unknown"))</f>
        <v>Female</v>
      </c>
      <c r="F239" s="13" t="str">
        <f aca="false">PROPER(TRIM(SUBSTITUTE(Raw_Data!F239,"'","")))</f>
        <v>Bachelors</v>
      </c>
      <c r="G239" s="13" t="str">
        <f aca="false">PROPER(TRIM(Raw_Data!G239))</f>
        <v>Operations</v>
      </c>
      <c r="H239" s="13" t="str">
        <f aca="false">PROPER(TRIM(Raw_Data!H239))</f>
        <v>Associate</v>
      </c>
      <c r="I239" s="13" t="n">
        <f aca="false">IF(Raw_Data!I239="",DefaultPerf,Raw_Data!I239)</f>
        <v>4</v>
      </c>
      <c r="J239" s="13" t="n">
        <f aca="false">IF(Raw_Data!J239="",DefaultSat,Raw_Data!J239)</f>
        <v>4</v>
      </c>
      <c r="K239" s="15" t="n">
        <f aca="false">Raw_Data!K239</f>
        <v>56500</v>
      </c>
      <c r="L239" s="13" t="str">
        <f aca="false">PROPER(TRIM(Raw_Data!N239))</f>
        <v>No</v>
      </c>
      <c r="M239" s="13" t="n">
        <f aca="false">IF(C239="",0,1)</f>
        <v>0</v>
      </c>
      <c r="N239" s="13" t="str">
        <f aca="false">IF(M239=0,"Active",IF(TRIM(Raw_Data!L239)="","Unknown",PROPER(TRIM(Raw_Data!L239))))</f>
        <v>Active</v>
      </c>
      <c r="O239" s="13" t="str">
        <f aca="false">IF(M239=0,"",IF(TRIM(Raw_Data!M239)="","Not Recorded",TRIM(Raw_Data!M239)))</f>
        <v/>
      </c>
      <c r="P239" s="16" t="n">
        <f aca="false">ROUND((IF(C239="",AsOfDate,C239)-B239)/365.25,2)</f>
        <v>11.49</v>
      </c>
      <c r="Q239" s="13" t="str">
        <f aca="false">IF(D239="","Unknown",IF(D239&lt;25,"Under 25",IF(D239&lt;35,"25-34",IF(D239&lt;45,"35-44",IF(D239&lt;55,"45-54","55+")))))</f>
        <v>35-44</v>
      </c>
      <c r="R239" s="13" t="str">
        <f aca="false">IF(P239&lt;1,"0-1 yrs",IF(P239&lt;3,"1-3 yrs",IF(P239&lt;5,"3-5 yrs",IF(P239&lt;10,"5-10 yrs","10+ yrs"))))</f>
        <v>10+ yrs</v>
      </c>
      <c r="S239" s="13" t="str">
        <f aca="false">IF(I239&gt;=4,"High",IF(I239=3,"Medium","Low"))</f>
        <v>High</v>
      </c>
      <c r="T239" s="13" t="str">
        <f aca="false">IF(M239=1,YEAR(C239),"")</f>
        <v/>
      </c>
      <c r="U239" s="13" t="str">
        <f aca="false">IF(M239=1,YEAR(C239)&amp;"-Q"&amp;ROUNDUP(MONTH(C239)/3,0),"")</f>
        <v/>
      </c>
      <c r="V239" s="13" t="str">
        <f aca="false">IF(M239=1,MONTH(C239),"")</f>
        <v/>
      </c>
    </row>
    <row r="240" customFormat="false" ht="15" hidden="false" customHeight="false" outlineLevel="0" collapsed="false">
      <c r="A240" s="13" t="str">
        <f aca="false">TRIM(Raw_Data!A240)</f>
        <v>EMP0239</v>
      </c>
      <c r="B240" s="14" t="n">
        <f aca="false">Raw_Data!B240</f>
        <v>41829</v>
      </c>
      <c r="C240" s="14" t="n">
        <f aca="false">IF(Raw_Data!C240="","",Raw_Data!C240)</f>
        <v>44731</v>
      </c>
      <c r="D240" s="13" t="n">
        <f aca="false">IF(Raw_Data!D240="","",Raw_Data!D240)</f>
        <v>38</v>
      </c>
      <c r="E240" s="13" t="str">
        <f aca="false">IF(UPPER(LEFT(TRIM(Raw_Data!E240),1))="M","Male",IF(UPPER(LEFT(TRIM(Raw_Data!E240),1))="F","Female","Unknown"))</f>
        <v>Female</v>
      </c>
      <c r="F240" s="13" t="str">
        <f aca="false">PROPER(TRIM(SUBSTITUTE(Raw_Data!F240,"'","")))</f>
        <v>High School</v>
      </c>
      <c r="G240" s="13" t="str">
        <f aca="false">PROPER(TRIM(Raw_Data!G240))</f>
        <v>Operations</v>
      </c>
      <c r="H240" s="13" t="str">
        <f aca="false">PROPER(TRIM(Raw_Data!H240))</f>
        <v>Senior Analyst</v>
      </c>
      <c r="I240" s="13" t="n">
        <f aca="false">IF(Raw_Data!I240="",DefaultPerf,Raw_Data!I240)</f>
        <v>3</v>
      </c>
      <c r="J240" s="13" t="n">
        <f aca="false">IF(Raw_Data!J240="",DefaultSat,Raw_Data!J240)</f>
        <v>4</v>
      </c>
      <c r="K240" s="15" t="n">
        <f aca="false">Raw_Data!K240</f>
        <v>114500</v>
      </c>
      <c r="L240" s="13" t="str">
        <f aca="false">PROPER(TRIM(Raw_Data!N240))</f>
        <v>No</v>
      </c>
      <c r="M240" s="13" t="n">
        <f aca="false">IF(C240="",0,1)</f>
        <v>1</v>
      </c>
      <c r="N240" s="13" t="str">
        <f aca="false">IF(M240=0,"Active",IF(TRIM(Raw_Data!L240)="","Unknown",PROPER(TRIM(Raw_Data!L240))))</f>
        <v>Voluntary</v>
      </c>
      <c r="O240" s="13" t="str">
        <f aca="false">IF(M240=0,"",IF(TRIM(Raw_Data!M240)="","Not Recorded",TRIM(Raw_Data!M240)))</f>
        <v>Further Studies</v>
      </c>
      <c r="P240" s="16" t="n">
        <f aca="false">ROUND((IF(C240="",AsOfDate,C240)-B240)/365.25,2)</f>
        <v>7.95</v>
      </c>
      <c r="Q240" s="13" t="str">
        <f aca="false">IF(D240="","Unknown",IF(D240&lt;25,"Under 25",IF(D240&lt;35,"25-34",IF(D240&lt;45,"35-44",IF(D240&lt;55,"45-54","55+")))))</f>
        <v>35-44</v>
      </c>
      <c r="R240" s="13" t="str">
        <f aca="false">IF(P240&lt;1,"0-1 yrs",IF(P240&lt;3,"1-3 yrs",IF(P240&lt;5,"3-5 yrs",IF(P240&lt;10,"5-10 yrs","10+ yrs"))))</f>
        <v>5-10 yrs</v>
      </c>
      <c r="S240" s="13" t="str">
        <f aca="false">IF(I240&gt;=4,"High",IF(I240=3,"Medium","Low"))</f>
        <v>Medium</v>
      </c>
      <c r="T240" s="13" t="n">
        <f aca="false">IF(M240=1,YEAR(C240),"")</f>
        <v>2022</v>
      </c>
      <c r="U240" s="13" t="str">
        <f aca="false">IF(M240=1,YEAR(C240)&amp;"-Q"&amp;ROUNDUP(MONTH(C240)/3,0),"")</f>
        <v>2022-Q2</v>
      </c>
      <c r="V240" s="13" t="n">
        <f aca="false">IF(M240=1,MONTH(C240),"")</f>
        <v>6</v>
      </c>
    </row>
    <row r="241" customFormat="false" ht="15" hidden="false" customHeight="false" outlineLevel="0" collapsed="false">
      <c r="A241" s="13" t="str">
        <f aca="false">TRIM(Raw_Data!A241)</f>
        <v>EMP0240</v>
      </c>
      <c r="B241" s="14" t="n">
        <f aca="false">Raw_Data!B241</f>
        <v>41831</v>
      </c>
      <c r="C241" s="14" t="str">
        <f aca="false">IF(Raw_Data!C241="","",Raw_Data!C241)</f>
        <v/>
      </c>
      <c r="D241" s="13" t="n">
        <f aca="false">IF(Raw_Data!D241="","",Raw_Data!D241)</f>
        <v>39</v>
      </c>
      <c r="E241" s="13" t="str">
        <f aca="false">IF(UPPER(LEFT(TRIM(Raw_Data!E241),1))="M","Male",IF(UPPER(LEFT(TRIM(Raw_Data!E241),1))="F","Female","Unknown"))</f>
        <v>Male</v>
      </c>
      <c r="F241" s="13" t="str">
        <f aca="false">PROPER(TRIM(SUBSTITUTE(Raw_Data!F241,"'","")))</f>
        <v>Diploma</v>
      </c>
      <c r="G241" s="13" t="str">
        <f aca="false">PROPER(TRIM(Raw_Data!G241))</f>
        <v>Sales</v>
      </c>
      <c r="H241" s="13" t="str">
        <f aca="false">PROPER(TRIM(Raw_Data!H241))</f>
        <v>Manager</v>
      </c>
      <c r="I241" s="13" t="n">
        <f aca="false">IF(Raw_Data!I241="",DefaultPerf,Raw_Data!I241)</f>
        <v>3</v>
      </c>
      <c r="J241" s="13" t="n">
        <f aca="false">IF(Raw_Data!J241="",DefaultSat,Raw_Data!J241)</f>
        <v>1</v>
      </c>
      <c r="K241" s="15" t="n">
        <f aca="false">Raw_Data!K241</f>
        <v>252500</v>
      </c>
      <c r="L241" s="13" t="str">
        <f aca="false">PROPER(TRIM(Raw_Data!N241))</f>
        <v>No</v>
      </c>
      <c r="M241" s="13" t="n">
        <f aca="false">IF(C241="",0,1)</f>
        <v>0</v>
      </c>
      <c r="N241" s="13" t="str">
        <f aca="false">IF(M241=0,"Active",IF(TRIM(Raw_Data!L241)="","Unknown",PROPER(TRIM(Raw_Data!L241))))</f>
        <v>Active</v>
      </c>
      <c r="O241" s="13" t="str">
        <f aca="false">IF(M241=0,"",IF(TRIM(Raw_Data!M241)="","Not Recorded",TRIM(Raw_Data!M241)))</f>
        <v/>
      </c>
      <c r="P241" s="16" t="n">
        <f aca="false">ROUND((IF(C241="",AsOfDate,C241)-B241)/365.25,2)</f>
        <v>11.47</v>
      </c>
      <c r="Q241" s="13" t="str">
        <f aca="false">IF(D241="","Unknown",IF(D241&lt;25,"Under 25",IF(D241&lt;35,"25-34",IF(D241&lt;45,"35-44",IF(D241&lt;55,"45-54","55+")))))</f>
        <v>35-44</v>
      </c>
      <c r="R241" s="13" t="str">
        <f aca="false">IF(P241&lt;1,"0-1 yrs",IF(P241&lt;3,"1-3 yrs",IF(P241&lt;5,"3-5 yrs",IF(P241&lt;10,"5-10 yrs","10+ yrs"))))</f>
        <v>10+ yrs</v>
      </c>
      <c r="S241" s="13" t="str">
        <f aca="false">IF(I241&gt;=4,"High",IF(I241=3,"Medium","Low"))</f>
        <v>Medium</v>
      </c>
      <c r="T241" s="13" t="str">
        <f aca="false">IF(M241=1,YEAR(C241),"")</f>
        <v/>
      </c>
      <c r="U241" s="13" t="str">
        <f aca="false">IF(M241=1,YEAR(C241)&amp;"-Q"&amp;ROUNDUP(MONTH(C241)/3,0),"")</f>
        <v/>
      </c>
      <c r="V241" s="13" t="str">
        <f aca="false">IF(M241=1,MONTH(C241),"")</f>
        <v/>
      </c>
    </row>
    <row r="242" customFormat="false" ht="15" hidden="false" customHeight="false" outlineLevel="0" collapsed="false">
      <c r="A242" s="13" t="str">
        <f aca="false">TRIM(Raw_Data!A242)</f>
        <v>EMP0241</v>
      </c>
      <c r="B242" s="14" t="n">
        <f aca="false">Raw_Data!B242</f>
        <v>41840</v>
      </c>
      <c r="C242" s="14" t="n">
        <f aca="false">IF(Raw_Data!C242="","",Raw_Data!C242)</f>
        <v>44744</v>
      </c>
      <c r="D242" s="13" t="n">
        <f aca="false">IF(Raw_Data!D242="","",Raw_Data!D242)</f>
        <v>29</v>
      </c>
      <c r="E242" s="13" t="str">
        <f aca="false">IF(UPPER(LEFT(TRIM(Raw_Data!E242),1))="M","Male",IF(UPPER(LEFT(TRIM(Raw_Data!E242),1))="F","Female","Unknown"))</f>
        <v>Female</v>
      </c>
      <c r="F242" s="13" t="str">
        <f aca="false">PROPER(TRIM(SUBSTITUTE(Raw_Data!F242,"'","")))</f>
        <v>Masters</v>
      </c>
      <c r="G242" s="13" t="str">
        <f aca="false">PROPER(TRIM(Raw_Data!G242))</f>
        <v>Sales</v>
      </c>
      <c r="H242" s="13" t="str">
        <f aca="false">PROPER(TRIM(Raw_Data!H242))</f>
        <v>Team Lead</v>
      </c>
      <c r="I242" s="13" t="n">
        <f aca="false">IF(Raw_Data!I242="",DefaultPerf,Raw_Data!I242)</f>
        <v>4</v>
      </c>
      <c r="J242" s="13" t="n">
        <f aca="false">IF(Raw_Data!J242="",DefaultSat,Raw_Data!J242)</f>
        <v>1</v>
      </c>
      <c r="K242" s="15" t="n">
        <f aca="false">Raw_Data!K242</f>
        <v>164000</v>
      </c>
      <c r="L242" s="13" t="str">
        <f aca="false">PROPER(TRIM(Raw_Data!N242))</f>
        <v>Yes</v>
      </c>
      <c r="M242" s="13" t="n">
        <f aca="false">IF(C242="",0,1)</f>
        <v>1</v>
      </c>
      <c r="N242" s="13" t="str">
        <f aca="false">IF(M242=0,"Active",IF(TRIM(Raw_Data!L242)="","Unknown",PROPER(TRIM(Raw_Data!L242))))</f>
        <v>Voluntary</v>
      </c>
      <c r="O242" s="13" t="str">
        <f aca="false">IF(M242=0,"",IF(TRIM(Raw_Data!M242)="","Not Recorded",TRIM(Raw_Data!M242)))</f>
        <v>Job Dissatisfaction</v>
      </c>
      <c r="P242" s="16" t="n">
        <f aca="false">ROUND((IF(C242="",AsOfDate,C242)-B242)/365.25,2)</f>
        <v>7.95</v>
      </c>
      <c r="Q242" s="13" t="str">
        <f aca="false">IF(D242="","Unknown",IF(D242&lt;25,"Under 25",IF(D242&lt;35,"25-34",IF(D242&lt;45,"35-44",IF(D242&lt;55,"45-54","55+")))))</f>
        <v>25-34</v>
      </c>
      <c r="R242" s="13" t="str">
        <f aca="false">IF(P242&lt;1,"0-1 yrs",IF(P242&lt;3,"1-3 yrs",IF(P242&lt;5,"3-5 yrs",IF(P242&lt;10,"5-10 yrs","10+ yrs"))))</f>
        <v>5-10 yrs</v>
      </c>
      <c r="S242" s="13" t="str">
        <f aca="false">IF(I242&gt;=4,"High",IF(I242=3,"Medium","Low"))</f>
        <v>High</v>
      </c>
      <c r="T242" s="13" t="n">
        <f aca="false">IF(M242=1,YEAR(C242),"")</f>
        <v>2022</v>
      </c>
      <c r="U242" s="13" t="str">
        <f aca="false">IF(M242=1,YEAR(C242)&amp;"-Q"&amp;ROUNDUP(MONTH(C242)/3,0),"")</f>
        <v>2022-Q3</v>
      </c>
      <c r="V242" s="13" t="n">
        <f aca="false">IF(M242=1,MONTH(C242),"")</f>
        <v>7</v>
      </c>
    </row>
    <row r="243" customFormat="false" ht="15" hidden="false" customHeight="false" outlineLevel="0" collapsed="false">
      <c r="A243" s="13" t="str">
        <f aca="false">TRIM(Raw_Data!A243)</f>
        <v>EMP0242</v>
      </c>
      <c r="B243" s="14" t="n">
        <f aca="false">Raw_Data!B243</f>
        <v>41841</v>
      </c>
      <c r="C243" s="14" t="str">
        <f aca="false">IF(Raw_Data!C243="","",Raw_Data!C243)</f>
        <v/>
      </c>
      <c r="D243" s="13" t="n">
        <f aca="false">IF(Raw_Data!D243="","",Raw_Data!D243)</f>
        <v>44</v>
      </c>
      <c r="E243" s="13" t="str">
        <f aca="false">IF(UPPER(LEFT(TRIM(Raw_Data!E243),1))="M","Male",IF(UPPER(LEFT(TRIM(Raw_Data!E243),1))="F","Female","Unknown"))</f>
        <v>Female</v>
      </c>
      <c r="F243" s="13" t="str">
        <f aca="false">PROPER(TRIM(SUBSTITUTE(Raw_Data!F243,"'","")))</f>
        <v>Diploma</v>
      </c>
      <c r="G243" s="13" t="str">
        <f aca="false">PROPER(TRIM(Raw_Data!G243))</f>
        <v>Customer Support</v>
      </c>
      <c r="H243" s="13" t="str">
        <f aca="false">PROPER(TRIM(Raw_Data!H243))</f>
        <v>Team Lead</v>
      </c>
      <c r="I243" s="13" t="n">
        <f aca="false">IF(Raw_Data!I243="",DefaultPerf,Raw_Data!I243)</f>
        <v>5</v>
      </c>
      <c r="J243" s="13" t="n">
        <f aca="false">IF(Raw_Data!J243="",DefaultSat,Raw_Data!J243)</f>
        <v>4</v>
      </c>
      <c r="K243" s="15" t="n">
        <f aca="false">Raw_Data!K243</f>
        <v>165000</v>
      </c>
      <c r="L243" s="13" t="str">
        <f aca="false">PROPER(TRIM(Raw_Data!N243))</f>
        <v>No</v>
      </c>
      <c r="M243" s="13" t="n">
        <f aca="false">IF(C243="",0,1)</f>
        <v>0</v>
      </c>
      <c r="N243" s="13" t="str">
        <f aca="false">IF(M243=0,"Active",IF(TRIM(Raw_Data!L243)="","Unknown",PROPER(TRIM(Raw_Data!L243))))</f>
        <v>Active</v>
      </c>
      <c r="O243" s="13" t="str">
        <f aca="false">IF(M243=0,"",IF(TRIM(Raw_Data!M243)="","Not Recorded",TRIM(Raw_Data!M243)))</f>
        <v/>
      </c>
      <c r="P243" s="16" t="n">
        <f aca="false">ROUND((IF(C243="",AsOfDate,C243)-B243)/365.25,2)</f>
        <v>11.45</v>
      </c>
      <c r="Q243" s="13" t="str">
        <f aca="false">IF(D243="","Unknown",IF(D243&lt;25,"Under 25",IF(D243&lt;35,"25-34",IF(D243&lt;45,"35-44",IF(D243&lt;55,"45-54","55+")))))</f>
        <v>35-44</v>
      </c>
      <c r="R243" s="13" t="str">
        <f aca="false">IF(P243&lt;1,"0-1 yrs",IF(P243&lt;3,"1-3 yrs",IF(P243&lt;5,"3-5 yrs",IF(P243&lt;10,"5-10 yrs","10+ yrs"))))</f>
        <v>10+ yrs</v>
      </c>
      <c r="S243" s="13" t="str">
        <f aca="false">IF(I243&gt;=4,"High",IF(I243=3,"Medium","Low"))</f>
        <v>High</v>
      </c>
      <c r="T243" s="13" t="str">
        <f aca="false">IF(M243=1,YEAR(C243),"")</f>
        <v/>
      </c>
      <c r="U243" s="13" t="str">
        <f aca="false">IF(M243=1,YEAR(C243)&amp;"-Q"&amp;ROUNDUP(MONTH(C243)/3,0),"")</f>
        <v/>
      </c>
      <c r="V243" s="13" t="str">
        <f aca="false">IF(M243=1,MONTH(C243),"")</f>
        <v/>
      </c>
    </row>
    <row r="244" customFormat="false" ht="15" hidden="false" customHeight="false" outlineLevel="0" collapsed="false">
      <c r="A244" s="13" t="str">
        <f aca="false">TRIM(Raw_Data!A244)</f>
        <v>EMP0243</v>
      </c>
      <c r="B244" s="14" t="n">
        <f aca="false">Raw_Data!B244</f>
        <v>41844</v>
      </c>
      <c r="C244" s="14" t="str">
        <f aca="false">IF(Raw_Data!C244="","",Raw_Data!C244)</f>
        <v/>
      </c>
      <c r="D244" s="13" t="n">
        <f aca="false">IF(Raw_Data!D244="","",Raw_Data!D244)</f>
        <v>41</v>
      </c>
      <c r="E244" s="13" t="str">
        <f aca="false">IF(UPPER(LEFT(TRIM(Raw_Data!E244),1))="M","Male",IF(UPPER(LEFT(TRIM(Raw_Data!E244),1))="F","Female","Unknown"))</f>
        <v>Female</v>
      </c>
      <c r="F244" s="13" t="str">
        <f aca="false">PROPER(TRIM(SUBSTITUTE(Raw_Data!F244,"'","")))</f>
        <v>Masters</v>
      </c>
      <c r="G244" s="13" t="str">
        <f aca="false">PROPER(TRIM(Raw_Data!G244))</f>
        <v>Customer Support</v>
      </c>
      <c r="H244" s="13" t="str">
        <f aca="false">PROPER(TRIM(Raw_Data!H244))</f>
        <v>Associate</v>
      </c>
      <c r="I244" s="13" t="n">
        <f aca="false">IF(Raw_Data!I244="",DefaultPerf,Raw_Data!I244)</f>
        <v>5</v>
      </c>
      <c r="J244" s="13" t="n">
        <f aca="false">IF(Raw_Data!J244="",DefaultSat,Raw_Data!J244)</f>
        <v>1</v>
      </c>
      <c r="K244" s="15" t="n">
        <f aca="false">Raw_Data!K244</f>
        <v>42000</v>
      </c>
      <c r="L244" s="13" t="str">
        <f aca="false">PROPER(TRIM(Raw_Data!N244))</f>
        <v>No</v>
      </c>
      <c r="M244" s="13" t="n">
        <f aca="false">IF(C244="",0,1)</f>
        <v>0</v>
      </c>
      <c r="N244" s="13" t="str">
        <f aca="false">IF(M244=0,"Active",IF(TRIM(Raw_Data!L244)="","Unknown",PROPER(TRIM(Raw_Data!L244))))</f>
        <v>Active</v>
      </c>
      <c r="O244" s="13" t="str">
        <f aca="false">IF(M244=0,"",IF(TRIM(Raw_Data!M244)="","Not Recorded",TRIM(Raw_Data!M244)))</f>
        <v/>
      </c>
      <c r="P244" s="16" t="n">
        <f aca="false">ROUND((IF(C244="",AsOfDate,C244)-B244)/365.25,2)</f>
        <v>11.44</v>
      </c>
      <c r="Q244" s="13" t="str">
        <f aca="false">IF(D244="","Unknown",IF(D244&lt;25,"Under 25",IF(D244&lt;35,"25-34",IF(D244&lt;45,"35-44",IF(D244&lt;55,"45-54","55+")))))</f>
        <v>35-44</v>
      </c>
      <c r="R244" s="13" t="str">
        <f aca="false">IF(P244&lt;1,"0-1 yrs",IF(P244&lt;3,"1-3 yrs",IF(P244&lt;5,"3-5 yrs",IF(P244&lt;10,"5-10 yrs","10+ yrs"))))</f>
        <v>10+ yrs</v>
      </c>
      <c r="S244" s="13" t="str">
        <f aca="false">IF(I244&gt;=4,"High",IF(I244=3,"Medium","Low"))</f>
        <v>High</v>
      </c>
      <c r="T244" s="13" t="str">
        <f aca="false">IF(M244=1,YEAR(C244),"")</f>
        <v/>
      </c>
      <c r="U244" s="13" t="str">
        <f aca="false">IF(M244=1,YEAR(C244)&amp;"-Q"&amp;ROUNDUP(MONTH(C244)/3,0),"")</f>
        <v/>
      </c>
      <c r="V244" s="13" t="str">
        <f aca="false">IF(M244=1,MONTH(C244),"")</f>
        <v/>
      </c>
    </row>
    <row r="245" customFormat="false" ht="15" hidden="false" customHeight="false" outlineLevel="0" collapsed="false">
      <c r="A245" s="13" t="str">
        <f aca="false">TRIM(Raw_Data!A245)</f>
        <v>EMP0244</v>
      </c>
      <c r="B245" s="14" t="n">
        <f aca="false">Raw_Data!B245</f>
        <v>41847</v>
      </c>
      <c r="C245" s="14" t="str">
        <f aca="false">IF(Raw_Data!C245="","",Raw_Data!C245)</f>
        <v/>
      </c>
      <c r="D245" s="13" t="n">
        <f aca="false">IF(Raw_Data!D245="","",Raw_Data!D245)</f>
        <v>40</v>
      </c>
      <c r="E245" s="13" t="str">
        <f aca="false">IF(UPPER(LEFT(TRIM(Raw_Data!E245),1))="M","Male",IF(UPPER(LEFT(TRIM(Raw_Data!E245),1))="F","Female","Unknown"))</f>
        <v>Male</v>
      </c>
      <c r="F245" s="13" t="str">
        <f aca="false">PROPER(TRIM(SUBSTITUTE(Raw_Data!F245,"'","")))</f>
        <v>Masters</v>
      </c>
      <c r="G245" s="13" t="str">
        <f aca="false">PROPER(TRIM(Raw_Data!G245))</f>
        <v>Sales</v>
      </c>
      <c r="H245" s="13" t="str">
        <f aca="false">PROPER(TRIM(Raw_Data!H245))</f>
        <v>Associate</v>
      </c>
      <c r="I245" s="13" t="n">
        <f aca="false">IF(Raw_Data!I245="",DefaultPerf,Raw_Data!I245)</f>
        <v>3</v>
      </c>
      <c r="J245" s="13" t="n">
        <f aca="false">IF(Raw_Data!J245="",DefaultSat,Raw_Data!J245)</f>
        <v>4</v>
      </c>
      <c r="K245" s="15" t="n">
        <f aca="false">Raw_Data!K245</f>
        <v>37500</v>
      </c>
      <c r="L245" s="13" t="str">
        <f aca="false">PROPER(TRIM(Raw_Data!N245))</f>
        <v>Yes</v>
      </c>
      <c r="M245" s="13" t="n">
        <f aca="false">IF(C245="",0,1)</f>
        <v>0</v>
      </c>
      <c r="N245" s="13" t="str">
        <f aca="false">IF(M245=0,"Active",IF(TRIM(Raw_Data!L245)="","Unknown",PROPER(TRIM(Raw_Data!L245))))</f>
        <v>Active</v>
      </c>
      <c r="O245" s="13" t="str">
        <f aca="false">IF(M245=0,"",IF(TRIM(Raw_Data!M245)="","Not Recorded",TRIM(Raw_Data!M245)))</f>
        <v/>
      </c>
      <c r="P245" s="16" t="n">
        <f aca="false">ROUND((IF(C245="",AsOfDate,C245)-B245)/365.25,2)</f>
        <v>11.43</v>
      </c>
      <c r="Q245" s="13" t="str">
        <f aca="false">IF(D245="","Unknown",IF(D245&lt;25,"Under 25",IF(D245&lt;35,"25-34",IF(D245&lt;45,"35-44",IF(D245&lt;55,"45-54","55+")))))</f>
        <v>35-44</v>
      </c>
      <c r="R245" s="13" t="str">
        <f aca="false">IF(P245&lt;1,"0-1 yrs",IF(P245&lt;3,"1-3 yrs",IF(P245&lt;5,"3-5 yrs",IF(P245&lt;10,"5-10 yrs","10+ yrs"))))</f>
        <v>10+ yrs</v>
      </c>
      <c r="S245" s="13" t="str">
        <f aca="false">IF(I245&gt;=4,"High",IF(I245=3,"Medium","Low"))</f>
        <v>Medium</v>
      </c>
      <c r="T245" s="13" t="str">
        <f aca="false">IF(M245=1,YEAR(C245),"")</f>
        <v/>
      </c>
      <c r="U245" s="13" t="str">
        <f aca="false">IF(M245=1,YEAR(C245)&amp;"-Q"&amp;ROUNDUP(MONTH(C245)/3,0),"")</f>
        <v/>
      </c>
      <c r="V245" s="13" t="str">
        <f aca="false">IF(M245=1,MONTH(C245),"")</f>
        <v/>
      </c>
    </row>
    <row r="246" customFormat="false" ht="15" hidden="false" customHeight="false" outlineLevel="0" collapsed="false">
      <c r="A246" s="13" t="str">
        <f aca="false">TRIM(Raw_Data!A246)</f>
        <v>EMP0245</v>
      </c>
      <c r="B246" s="14" t="n">
        <f aca="false">Raw_Data!B246</f>
        <v>41847</v>
      </c>
      <c r="C246" s="14" t="str">
        <f aca="false">IF(Raw_Data!C246="","",Raw_Data!C246)</f>
        <v/>
      </c>
      <c r="D246" s="13" t="n">
        <f aca="false">IF(Raw_Data!D246="","",Raw_Data!D246)</f>
        <v>38</v>
      </c>
      <c r="E246" s="13" t="str">
        <f aca="false">IF(UPPER(LEFT(TRIM(Raw_Data!E246),1))="M","Male",IF(UPPER(LEFT(TRIM(Raw_Data!E246),1))="F","Female","Unknown"))</f>
        <v>Female</v>
      </c>
      <c r="F246" s="13" t="str">
        <f aca="false">PROPER(TRIM(SUBSTITUTE(Raw_Data!F246,"'","")))</f>
        <v>High School</v>
      </c>
      <c r="G246" s="13" t="str">
        <f aca="false">PROPER(TRIM(Raw_Data!G246))</f>
        <v>Engineering</v>
      </c>
      <c r="H246" s="13" t="str">
        <f aca="false">PROPER(TRIM(Raw_Data!H246))</f>
        <v>Associate</v>
      </c>
      <c r="I246" s="13" t="n">
        <f aca="false">IF(Raw_Data!I246="",DefaultPerf,Raw_Data!I246)</f>
        <v>4</v>
      </c>
      <c r="J246" s="13" t="n">
        <f aca="false">IF(Raw_Data!J246="",DefaultSat,Raw_Data!J246)</f>
        <v>4</v>
      </c>
      <c r="K246" s="15" t="n">
        <f aca="false">Raw_Data!K246</f>
        <v>46000</v>
      </c>
      <c r="L246" s="13" t="str">
        <f aca="false">PROPER(TRIM(Raw_Data!N246))</f>
        <v>No</v>
      </c>
      <c r="M246" s="13" t="n">
        <f aca="false">IF(C246="",0,1)</f>
        <v>0</v>
      </c>
      <c r="N246" s="13" t="str">
        <f aca="false">IF(M246=0,"Active",IF(TRIM(Raw_Data!L246)="","Unknown",PROPER(TRIM(Raw_Data!L246))))</f>
        <v>Active</v>
      </c>
      <c r="O246" s="13" t="str">
        <f aca="false">IF(M246=0,"",IF(TRIM(Raw_Data!M246)="","Not Recorded",TRIM(Raw_Data!M246)))</f>
        <v/>
      </c>
      <c r="P246" s="16" t="n">
        <f aca="false">ROUND((IF(C246="",AsOfDate,C246)-B246)/365.25,2)</f>
        <v>11.43</v>
      </c>
      <c r="Q246" s="13" t="str">
        <f aca="false">IF(D246="","Unknown",IF(D246&lt;25,"Under 25",IF(D246&lt;35,"25-34",IF(D246&lt;45,"35-44",IF(D246&lt;55,"45-54","55+")))))</f>
        <v>35-44</v>
      </c>
      <c r="R246" s="13" t="str">
        <f aca="false">IF(P246&lt;1,"0-1 yrs",IF(P246&lt;3,"1-3 yrs",IF(P246&lt;5,"3-5 yrs",IF(P246&lt;10,"5-10 yrs","10+ yrs"))))</f>
        <v>10+ yrs</v>
      </c>
      <c r="S246" s="13" t="str">
        <f aca="false">IF(I246&gt;=4,"High",IF(I246=3,"Medium","Low"))</f>
        <v>High</v>
      </c>
      <c r="T246" s="13" t="str">
        <f aca="false">IF(M246=1,YEAR(C246),"")</f>
        <v/>
      </c>
      <c r="U246" s="13" t="str">
        <f aca="false">IF(M246=1,YEAR(C246)&amp;"-Q"&amp;ROUNDUP(MONTH(C246)/3,0),"")</f>
        <v/>
      </c>
      <c r="V246" s="13" t="str">
        <f aca="false">IF(M246=1,MONTH(C246),"")</f>
        <v/>
      </c>
    </row>
    <row r="247" customFormat="false" ht="15" hidden="false" customHeight="false" outlineLevel="0" collapsed="false">
      <c r="A247" s="13" t="str">
        <f aca="false">TRIM(Raw_Data!A247)</f>
        <v>EMP0246</v>
      </c>
      <c r="B247" s="14" t="n">
        <f aca="false">Raw_Data!B247</f>
        <v>41848</v>
      </c>
      <c r="C247" s="14" t="n">
        <f aca="false">IF(Raw_Data!C247="","",Raw_Data!C247)</f>
        <v>45207</v>
      </c>
      <c r="D247" s="13" t="n">
        <f aca="false">IF(Raw_Data!D247="","",Raw_Data!D247)</f>
        <v>30</v>
      </c>
      <c r="E247" s="13" t="str">
        <f aca="false">IF(UPPER(LEFT(TRIM(Raw_Data!E247),1))="M","Male",IF(UPPER(LEFT(TRIM(Raw_Data!E247),1))="F","Female","Unknown"))</f>
        <v>Female</v>
      </c>
      <c r="F247" s="13" t="str">
        <f aca="false">PROPER(TRIM(SUBSTITUTE(Raw_Data!F247,"'","")))</f>
        <v>Bachelors</v>
      </c>
      <c r="G247" s="13" t="str">
        <f aca="false">PROPER(TRIM(Raw_Data!G247))</f>
        <v>Sales</v>
      </c>
      <c r="H247" s="13" t="str">
        <f aca="false">PROPER(TRIM(Raw_Data!H247))</f>
        <v>Specialist</v>
      </c>
      <c r="I247" s="13" t="n">
        <f aca="false">IF(Raw_Data!I247="",DefaultPerf,Raw_Data!I247)</f>
        <v>4</v>
      </c>
      <c r="J247" s="13" t="n">
        <f aca="false">IF(Raw_Data!J247="",DefaultSat,Raw_Data!J247)</f>
        <v>3</v>
      </c>
      <c r="K247" s="15" t="n">
        <f aca="false">Raw_Data!K247</f>
        <v>127000</v>
      </c>
      <c r="L247" s="13" t="str">
        <f aca="false">PROPER(TRIM(Raw_Data!N247))</f>
        <v>No</v>
      </c>
      <c r="M247" s="13" t="n">
        <f aca="false">IF(C247="",0,1)</f>
        <v>1</v>
      </c>
      <c r="N247" s="13" t="str">
        <f aca="false">IF(M247=0,"Active",IF(TRIM(Raw_Data!L247)="","Unknown",PROPER(TRIM(Raw_Data!L247))))</f>
        <v>Voluntary</v>
      </c>
      <c r="O247" s="13" t="str">
        <f aca="false">IF(M247=0,"",IF(TRIM(Raw_Data!M247)="","Not Recorded",TRIM(Raw_Data!M247)))</f>
        <v>Work-Life Balance</v>
      </c>
      <c r="P247" s="16" t="n">
        <f aca="false">ROUND((IF(C247="",AsOfDate,C247)-B247)/365.25,2)</f>
        <v>9.2</v>
      </c>
      <c r="Q247" s="13" t="str">
        <f aca="false">IF(D247="","Unknown",IF(D247&lt;25,"Under 25",IF(D247&lt;35,"25-34",IF(D247&lt;45,"35-44",IF(D247&lt;55,"45-54","55+")))))</f>
        <v>25-34</v>
      </c>
      <c r="R247" s="13" t="str">
        <f aca="false">IF(P247&lt;1,"0-1 yrs",IF(P247&lt;3,"1-3 yrs",IF(P247&lt;5,"3-5 yrs",IF(P247&lt;10,"5-10 yrs","10+ yrs"))))</f>
        <v>5-10 yrs</v>
      </c>
      <c r="S247" s="13" t="str">
        <f aca="false">IF(I247&gt;=4,"High",IF(I247=3,"Medium","Low"))</f>
        <v>High</v>
      </c>
      <c r="T247" s="13" t="n">
        <f aca="false">IF(M247=1,YEAR(C247),"")</f>
        <v>2023</v>
      </c>
      <c r="U247" s="13" t="str">
        <f aca="false">IF(M247=1,YEAR(C247)&amp;"-Q"&amp;ROUNDUP(MONTH(C247)/3,0),"")</f>
        <v>2023-Q4</v>
      </c>
      <c r="V247" s="13" t="n">
        <f aca="false">IF(M247=1,MONTH(C247),"")</f>
        <v>10</v>
      </c>
    </row>
    <row r="248" customFormat="false" ht="15" hidden="false" customHeight="false" outlineLevel="0" collapsed="false">
      <c r="A248" s="13" t="str">
        <f aca="false">TRIM(Raw_Data!A248)</f>
        <v>EMP0247</v>
      </c>
      <c r="B248" s="14" t="n">
        <f aca="false">Raw_Data!B248</f>
        <v>41851</v>
      </c>
      <c r="C248" s="14" t="str">
        <f aca="false">IF(Raw_Data!C248="","",Raw_Data!C248)</f>
        <v/>
      </c>
      <c r="D248" s="13" t="n">
        <f aca="false">IF(Raw_Data!D248="","",Raw_Data!D248)</f>
        <v>40</v>
      </c>
      <c r="E248" s="13" t="str">
        <f aca="false">IF(UPPER(LEFT(TRIM(Raw_Data!E248),1))="M","Male",IF(UPPER(LEFT(TRIM(Raw_Data!E248),1))="F","Female","Unknown"))</f>
        <v>Male</v>
      </c>
      <c r="F248" s="13" t="str">
        <f aca="false">PROPER(TRIM(SUBSTITUTE(Raw_Data!F248,"'","")))</f>
        <v>Bachelors</v>
      </c>
      <c r="G248" s="13" t="str">
        <f aca="false">PROPER(TRIM(Raw_Data!G248))</f>
        <v>Engineering</v>
      </c>
      <c r="H248" s="13" t="str">
        <f aca="false">PROPER(TRIM(Raw_Data!H248))</f>
        <v>Analyst</v>
      </c>
      <c r="I248" s="13" t="n">
        <f aca="false">IF(Raw_Data!I248="",DefaultPerf,Raw_Data!I248)</f>
        <v>4</v>
      </c>
      <c r="J248" s="13" t="n">
        <f aca="false">IF(Raw_Data!J248="",DefaultSat,Raw_Data!J248)</f>
        <v>4</v>
      </c>
      <c r="K248" s="15" t="n">
        <f aca="false">Raw_Data!K248</f>
        <v>70500</v>
      </c>
      <c r="L248" s="13" t="str">
        <f aca="false">PROPER(TRIM(Raw_Data!N248))</f>
        <v>No</v>
      </c>
      <c r="M248" s="13" t="n">
        <f aca="false">IF(C248="",0,1)</f>
        <v>0</v>
      </c>
      <c r="N248" s="13" t="str">
        <f aca="false">IF(M248=0,"Active",IF(TRIM(Raw_Data!L248)="","Unknown",PROPER(TRIM(Raw_Data!L248))))</f>
        <v>Active</v>
      </c>
      <c r="O248" s="13" t="str">
        <f aca="false">IF(M248=0,"",IF(TRIM(Raw_Data!M248)="","Not Recorded",TRIM(Raw_Data!M248)))</f>
        <v/>
      </c>
      <c r="P248" s="16" t="n">
        <f aca="false">ROUND((IF(C248="",AsOfDate,C248)-B248)/365.25,2)</f>
        <v>11.42</v>
      </c>
      <c r="Q248" s="13" t="str">
        <f aca="false">IF(D248="","Unknown",IF(D248&lt;25,"Under 25",IF(D248&lt;35,"25-34",IF(D248&lt;45,"35-44",IF(D248&lt;55,"45-54","55+")))))</f>
        <v>35-44</v>
      </c>
      <c r="R248" s="13" t="str">
        <f aca="false">IF(P248&lt;1,"0-1 yrs",IF(P248&lt;3,"1-3 yrs",IF(P248&lt;5,"3-5 yrs",IF(P248&lt;10,"5-10 yrs","10+ yrs"))))</f>
        <v>10+ yrs</v>
      </c>
      <c r="S248" s="13" t="str">
        <f aca="false">IF(I248&gt;=4,"High",IF(I248=3,"Medium","Low"))</f>
        <v>High</v>
      </c>
      <c r="T248" s="13" t="str">
        <f aca="false">IF(M248=1,YEAR(C248),"")</f>
        <v/>
      </c>
      <c r="U248" s="13" t="str">
        <f aca="false">IF(M248=1,YEAR(C248)&amp;"-Q"&amp;ROUNDUP(MONTH(C248)/3,0),"")</f>
        <v/>
      </c>
      <c r="V248" s="13" t="str">
        <f aca="false">IF(M248=1,MONTH(C248),"")</f>
        <v/>
      </c>
    </row>
    <row r="249" customFormat="false" ht="15" hidden="false" customHeight="false" outlineLevel="0" collapsed="false">
      <c r="A249" s="13" t="str">
        <f aca="false">TRIM(Raw_Data!A249)</f>
        <v>EMP0248</v>
      </c>
      <c r="B249" s="14" t="n">
        <f aca="false">Raw_Data!B249</f>
        <v>41858</v>
      </c>
      <c r="C249" s="14" t="n">
        <f aca="false">IF(Raw_Data!C249="","",Raw_Data!C249)</f>
        <v>45449</v>
      </c>
      <c r="D249" s="13" t="n">
        <f aca="false">IF(Raw_Data!D249="","",Raw_Data!D249)</f>
        <v>37</v>
      </c>
      <c r="E249" s="13" t="str">
        <f aca="false">IF(UPPER(LEFT(TRIM(Raw_Data!E249),1))="M","Male",IF(UPPER(LEFT(TRIM(Raw_Data!E249),1))="F","Female","Unknown"))</f>
        <v>Male</v>
      </c>
      <c r="F249" s="13" t="str">
        <f aca="false">PROPER(TRIM(SUBSTITUTE(Raw_Data!F249,"'","")))</f>
        <v>Bachelors</v>
      </c>
      <c r="G249" s="13" t="str">
        <f aca="false">PROPER(TRIM(Raw_Data!G249))</f>
        <v>Customer Support</v>
      </c>
      <c r="H249" s="13" t="str">
        <f aca="false">PROPER(TRIM(Raw_Data!H249))</f>
        <v>Senior Analyst</v>
      </c>
      <c r="I249" s="13" t="n">
        <f aca="false">IF(Raw_Data!I249="",DefaultPerf,Raw_Data!I249)</f>
        <v>3</v>
      </c>
      <c r="J249" s="13" t="n">
        <f aca="false">IF(Raw_Data!J249="",DefaultSat,Raw_Data!J249)</f>
        <v>4</v>
      </c>
      <c r="K249" s="15" t="n">
        <f aca="false">Raw_Data!K249</f>
        <v>114500</v>
      </c>
      <c r="L249" s="13" t="str">
        <f aca="false">PROPER(TRIM(Raw_Data!N249))</f>
        <v>No</v>
      </c>
      <c r="M249" s="13" t="n">
        <f aca="false">IF(C249="",0,1)</f>
        <v>1</v>
      </c>
      <c r="N249" s="13" t="str">
        <f aca="false">IF(M249=0,"Active",IF(TRIM(Raw_Data!L249)="","Unknown",PROPER(TRIM(Raw_Data!L249))))</f>
        <v>Involuntary</v>
      </c>
      <c r="O249" s="13" t="str">
        <f aca="false">IF(M249=0,"",IF(TRIM(Raw_Data!M249)="","Not Recorded",TRIM(Raw_Data!M249)))</f>
        <v>Poor Performance</v>
      </c>
      <c r="P249" s="16" t="n">
        <f aca="false">ROUND((IF(C249="",AsOfDate,C249)-B249)/365.25,2)</f>
        <v>9.83</v>
      </c>
      <c r="Q249" s="13" t="str">
        <f aca="false">IF(D249="","Unknown",IF(D249&lt;25,"Under 25",IF(D249&lt;35,"25-34",IF(D249&lt;45,"35-44",IF(D249&lt;55,"45-54","55+")))))</f>
        <v>35-44</v>
      </c>
      <c r="R249" s="13" t="str">
        <f aca="false">IF(P249&lt;1,"0-1 yrs",IF(P249&lt;3,"1-3 yrs",IF(P249&lt;5,"3-5 yrs",IF(P249&lt;10,"5-10 yrs","10+ yrs"))))</f>
        <v>5-10 yrs</v>
      </c>
      <c r="S249" s="13" t="str">
        <f aca="false">IF(I249&gt;=4,"High",IF(I249=3,"Medium","Low"))</f>
        <v>Medium</v>
      </c>
      <c r="T249" s="13" t="n">
        <f aca="false">IF(M249=1,YEAR(C249),"")</f>
        <v>2024</v>
      </c>
      <c r="U249" s="13" t="str">
        <f aca="false">IF(M249=1,YEAR(C249)&amp;"-Q"&amp;ROUNDUP(MONTH(C249)/3,0),"")</f>
        <v>2024-Q2</v>
      </c>
      <c r="V249" s="13" t="n">
        <f aca="false">IF(M249=1,MONTH(C249),"")</f>
        <v>6</v>
      </c>
    </row>
    <row r="250" customFormat="false" ht="15" hidden="false" customHeight="false" outlineLevel="0" collapsed="false">
      <c r="A250" s="13" t="str">
        <f aca="false">TRIM(Raw_Data!A250)</f>
        <v>EMP0249</v>
      </c>
      <c r="B250" s="14" t="n">
        <f aca="false">Raw_Data!B250</f>
        <v>41859</v>
      </c>
      <c r="C250" s="14" t="str">
        <f aca="false">IF(Raw_Data!C250="","",Raw_Data!C250)</f>
        <v/>
      </c>
      <c r="D250" s="13" t="n">
        <f aca="false">IF(Raw_Data!D250="","",Raw_Data!D250)</f>
        <v>43</v>
      </c>
      <c r="E250" s="13" t="str">
        <f aca="false">IF(UPPER(LEFT(TRIM(Raw_Data!E250),1))="M","Male",IF(UPPER(LEFT(TRIM(Raw_Data!E250),1))="F","Female","Unknown"))</f>
        <v>Female</v>
      </c>
      <c r="F250" s="13" t="str">
        <f aca="false">PROPER(TRIM(SUBSTITUTE(Raw_Data!F250,"'","")))</f>
        <v>Masters</v>
      </c>
      <c r="G250" s="13" t="str">
        <f aca="false">PROPER(TRIM(Raw_Data!G250))</f>
        <v>Operations</v>
      </c>
      <c r="H250" s="13" t="str">
        <f aca="false">PROPER(TRIM(Raw_Data!H250))</f>
        <v>Associate</v>
      </c>
      <c r="I250" s="13" t="n">
        <f aca="false">IF(Raw_Data!I250="",DefaultPerf,Raw_Data!I250)</f>
        <v>4</v>
      </c>
      <c r="J250" s="13" t="n">
        <f aca="false">IF(Raw_Data!J250="",DefaultSat,Raw_Data!J250)</f>
        <v>1</v>
      </c>
      <c r="K250" s="15" t="n">
        <f aca="false">Raw_Data!K250</f>
        <v>47000</v>
      </c>
      <c r="L250" s="13" t="str">
        <f aca="false">PROPER(TRIM(Raw_Data!N250))</f>
        <v>Yes</v>
      </c>
      <c r="M250" s="13" t="n">
        <f aca="false">IF(C250="",0,1)</f>
        <v>0</v>
      </c>
      <c r="N250" s="13" t="str">
        <f aca="false">IF(M250=0,"Active",IF(TRIM(Raw_Data!L250)="","Unknown",PROPER(TRIM(Raw_Data!L250))))</f>
        <v>Active</v>
      </c>
      <c r="O250" s="13" t="str">
        <f aca="false">IF(M250=0,"",IF(TRIM(Raw_Data!M250)="","Not Recorded",TRIM(Raw_Data!M250)))</f>
        <v/>
      </c>
      <c r="P250" s="16" t="n">
        <f aca="false">ROUND((IF(C250="",AsOfDate,C250)-B250)/365.25,2)</f>
        <v>11.4</v>
      </c>
      <c r="Q250" s="13" t="str">
        <f aca="false">IF(D250="","Unknown",IF(D250&lt;25,"Under 25",IF(D250&lt;35,"25-34",IF(D250&lt;45,"35-44",IF(D250&lt;55,"45-54","55+")))))</f>
        <v>35-44</v>
      </c>
      <c r="R250" s="13" t="str">
        <f aca="false">IF(P250&lt;1,"0-1 yrs",IF(P250&lt;3,"1-3 yrs",IF(P250&lt;5,"3-5 yrs",IF(P250&lt;10,"5-10 yrs","10+ yrs"))))</f>
        <v>10+ yrs</v>
      </c>
      <c r="S250" s="13" t="str">
        <f aca="false">IF(I250&gt;=4,"High",IF(I250=3,"Medium","Low"))</f>
        <v>High</v>
      </c>
      <c r="T250" s="13" t="str">
        <f aca="false">IF(M250=1,YEAR(C250),"")</f>
        <v/>
      </c>
      <c r="U250" s="13" t="str">
        <f aca="false">IF(M250=1,YEAR(C250)&amp;"-Q"&amp;ROUNDUP(MONTH(C250)/3,0),"")</f>
        <v/>
      </c>
      <c r="V250" s="13" t="str">
        <f aca="false">IF(M250=1,MONTH(C250),"")</f>
        <v/>
      </c>
    </row>
    <row r="251" customFormat="false" ht="15" hidden="false" customHeight="false" outlineLevel="0" collapsed="false">
      <c r="A251" s="13" t="str">
        <f aca="false">TRIM(Raw_Data!A251)</f>
        <v>EMP0250</v>
      </c>
      <c r="B251" s="14" t="n">
        <f aca="false">Raw_Data!B251</f>
        <v>41866</v>
      </c>
      <c r="C251" s="14" t="str">
        <f aca="false">IF(Raw_Data!C251="","",Raw_Data!C251)</f>
        <v/>
      </c>
      <c r="D251" s="13" t="n">
        <f aca="false">IF(Raw_Data!D251="","",Raw_Data!D251)</f>
        <v>42</v>
      </c>
      <c r="E251" s="13" t="str">
        <f aca="false">IF(UPPER(LEFT(TRIM(Raw_Data!E251),1))="M","Male",IF(UPPER(LEFT(TRIM(Raw_Data!E251),1))="F","Female","Unknown"))</f>
        <v>Female</v>
      </c>
      <c r="F251" s="13" t="str">
        <f aca="false">PROPER(TRIM(SUBSTITUTE(Raw_Data!F251,"'","")))</f>
        <v>Bachelors</v>
      </c>
      <c r="G251" s="13" t="str">
        <f aca="false">PROPER(TRIM(Raw_Data!G251))</f>
        <v>Engineering</v>
      </c>
      <c r="H251" s="13" t="str">
        <f aca="false">PROPER(TRIM(Raw_Data!H251))</f>
        <v>Specialist</v>
      </c>
      <c r="I251" s="13" t="n">
        <f aca="false">IF(Raw_Data!I251="",DefaultPerf,Raw_Data!I251)</f>
        <v>3</v>
      </c>
      <c r="J251" s="13" t="n">
        <f aca="false">IF(Raw_Data!J251="",DefaultSat,Raw_Data!J251)</f>
        <v>3</v>
      </c>
      <c r="K251" s="15" t="n">
        <f aca="false">Raw_Data!K251</f>
        <v>124500</v>
      </c>
      <c r="L251" s="13" t="str">
        <f aca="false">PROPER(TRIM(Raw_Data!N251))</f>
        <v>No</v>
      </c>
      <c r="M251" s="13" t="n">
        <f aca="false">IF(C251="",0,1)</f>
        <v>0</v>
      </c>
      <c r="N251" s="13" t="str">
        <f aca="false">IF(M251=0,"Active",IF(TRIM(Raw_Data!L251)="","Unknown",PROPER(TRIM(Raw_Data!L251))))</f>
        <v>Active</v>
      </c>
      <c r="O251" s="13" t="str">
        <f aca="false">IF(M251=0,"",IF(TRIM(Raw_Data!M251)="","Not Recorded",TRIM(Raw_Data!M251)))</f>
        <v/>
      </c>
      <c r="P251" s="16" t="n">
        <f aca="false">ROUND((IF(C251="",AsOfDate,C251)-B251)/365.25,2)</f>
        <v>11.38</v>
      </c>
      <c r="Q251" s="13" t="str">
        <f aca="false">IF(D251="","Unknown",IF(D251&lt;25,"Under 25",IF(D251&lt;35,"25-34",IF(D251&lt;45,"35-44",IF(D251&lt;55,"45-54","55+")))))</f>
        <v>35-44</v>
      </c>
      <c r="R251" s="13" t="str">
        <f aca="false">IF(P251&lt;1,"0-1 yrs",IF(P251&lt;3,"1-3 yrs",IF(P251&lt;5,"3-5 yrs",IF(P251&lt;10,"5-10 yrs","10+ yrs"))))</f>
        <v>10+ yrs</v>
      </c>
      <c r="S251" s="13" t="str">
        <f aca="false">IF(I251&gt;=4,"High",IF(I251=3,"Medium","Low"))</f>
        <v>Medium</v>
      </c>
      <c r="T251" s="13" t="str">
        <f aca="false">IF(M251=1,YEAR(C251),"")</f>
        <v/>
      </c>
      <c r="U251" s="13" t="str">
        <f aca="false">IF(M251=1,YEAR(C251)&amp;"-Q"&amp;ROUNDUP(MONTH(C251)/3,0),"")</f>
        <v/>
      </c>
      <c r="V251" s="13" t="str">
        <f aca="false">IF(M251=1,MONTH(C251),"")</f>
        <v/>
      </c>
    </row>
    <row r="252" customFormat="false" ht="15" hidden="false" customHeight="false" outlineLevel="0" collapsed="false">
      <c r="A252" s="13" t="str">
        <f aca="false">TRIM(Raw_Data!A252)</f>
        <v>EMP0251</v>
      </c>
      <c r="B252" s="14" t="n">
        <f aca="false">Raw_Data!B252</f>
        <v>41866</v>
      </c>
      <c r="C252" s="14" t="str">
        <f aca="false">IF(Raw_Data!C252="","",Raw_Data!C252)</f>
        <v/>
      </c>
      <c r="D252" s="13" t="n">
        <f aca="false">IF(Raw_Data!D252="","",Raw_Data!D252)</f>
        <v>37</v>
      </c>
      <c r="E252" s="13" t="str">
        <f aca="false">IF(UPPER(LEFT(TRIM(Raw_Data!E252),1))="M","Male",IF(UPPER(LEFT(TRIM(Raw_Data!E252),1))="F","Female","Unknown"))</f>
        <v>Male</v>
      </c>
      <c r="F252" s="13" t="str">
        <f aca="false">PROPER(TRIM(SUBSTITUTE(Raw_Data!F252,"'","")))</f>
        <v>Diploma</v>
      </c>
      <c r="G252" s="13" t="str">
        <f aca="false">PROPER(TRIM(Raw_Data!G252))</f>
        <v>Sales</v>
      </c>
      <c r="H252" s="13" t="str">
        <f aca="false">PROPER(TRIM(Raw_Data!H252))</f>
        <v>Associate</v>
      </c>
      <c r="I252" s="13" t="n">
        <f aca="false">IF(Raw_Data!I252="",DefaultPerf,Raw_Data!I252)</f>
        <v>4</v>
      </c>
      <c r="J252" s="13" t="n">
        <f aca="false">IF(Raw_Data!J252="",DefaultSat,Raw_Data!J252)</f>
        <v>3</v>
      </c>
      <c r="K252" s="15" t="n">
        <f aca="false">Raw_Data!K252</f>
        <v>49000</v>
      </c>
      <c r="L252" s="13" t="str">
        <f aca="false">PROPER(TRIM(Raw_Data!N252))</f>
        <v>No</v>
      </c>
      <c r="M252" s="13" t="n">
        <f aca="false">IF(C252="",0,1)</f>
        <v>0</v>
      </c>
      <c r="N252" s="13" t="str">
        <f aca="false">IF(M252=0,"Active",IF(TRIM(Raw_Data!L252)="","Unknown",PROPER(TRIM(Raw_Data!L252))))</f>
        <v>Active</v>
      </c>
      <c r="O252" s="13" t="str">
        <f aca="false">IF(M252=0,"",IF(TRIM(Raw_Data!M252)="","Not Recorded",TRIM(Raw_Data!M252)))</f>
        <v/>
      </c>
      <c r="P252" s="16" t="n">
        <f aca="false">ROUND((IF(C252="",AsOfDate,C252)-B252)/365.25,2)</f>
        <v>11.38</v>
      </c>
      <c r="Q252" s="13" t="str">
        <f aca="false">IF(D252="","Unknown",IF(D252&lt;25,"Under 25",IF(D252&lt;35,"25-34",IF(D252&lt;45,"35-44",IF(D252&lt;55,"45-54","55+")))))</f>
        <v>35-44</v>
      </c>
      <c r="R252" s="13" t="str">
        <f aca="false">IF(P252&lt;1,"0-1 yrs",IF(P252&lt;3,"1-3 yrs",IF(P252&lt;5,"3-5 yrs",IF(P252&lt;10,"5-10 yrs","10+ yrs"))))</f>
        <v>10+ yrs</v>
      </c>
      <c r="S252" s="13" t="str">
        <f aca="false">IF(I252&gt;=4,"High",IF(I252=3,"Medium","Low"))</f>
        <v>High</v>
      </c>
      <c r="T252" s="13" t="str">
        <f aca="false">IF(M252=1,YEAR(C252),"")</f>
        <v/>
      </c>
      <c r="U252" s="13" t="str">
        <f aca="false">IF(M252=1,YEAR(C252)&amp;"-Q"&amp;ROUNDUP(MONTH(C252)/3,0),"")</f>
        <v/>
      </c>
      <c r="V252" s="13" t="str">
        <f aca="false">IF(M252=1,MONTH(C252),"")</f>
        <v/>
      </c>
    </row>
    <row r="253" customFormat="false" ht="15" hidden="false" customHeight="false" outlineLevel="0" collapsed="false">
      <c r="A253" s="13" t="str">
        <f aca="false">TRIM(Raw_Data!A253)</f>
        <v>EMP0252</v>
      </c>
      <c r="B253" s="14" t="n">
        <f aca="false">Raw_Data!B253</f>
        <v>41867</v>
      </c>
      <c r="C253" s="14" t="str">
        <f aca="false">IF(Raw_Data!C253="","",Raw_Data!C253)</f>
        <v/>
      </c>
      <c r="D253" s="13" t="n">
        <f aca="false">IF(Raw_Data!D253="","",Raw_Data!D253)</f>
        <v>43</v>
      </c>
      <c r="E253" s="13" t="str">
        <f aca="false">IF(UPPER(LEFT(TRIM(Raw_Data!E253),1))="M","Male",IF(UPPER(LEFT(TRIM(Raw_Data!E253),1))="F","Female","Unknown"))</f>
        <v>Male</v>
      </c>
      <c r="F253" s="13" t="str">
        <f aca="false">PROPER(TRIM(SUBSTITUTE(Raw_Data!F253,"'","")))</f>
        <v>Masters</v>
      </c>
      <c r="G253" s="13" t="str">
        <f aca="false">PROPER(TRIM(Raw_Data!G253))</f>
        <v>Operations</v>
      </c>
      <c r="H253" s="13" t="str">
        <f aca="false">PROPER(TRIM(Raw_Data!H253))</f>
        <v>Manager</v>
      </c>
      <c r="I253" s="13" t="n">
        <f aca="false">IF(Raw_Data!I253="",DefaultPerf,Raw_Data!I253)</f>
        <v>5</v>
      </c>
      <c r="J253" s="13" t="n">
        <f aca="false">IF(Raw_Data!J253="",DefaultSat,Raw_Data!J253)</f>
        <v>2</v>
      </c>
      <c r="K253" s="15" t="n">
        <f aca="false">Raw_Data!K253</f>
        <v>224500</v>
      </c>
      <c r="L253" s="13" t="str">
        <f aca="false">PROPER(TRIM(Raw_Data!N253))</f>
        <v>No</v>
      </c>
      <c r="M253" s="13" t="n">
        <f aca="false">IF(C253="",0,1)</f>
        <v>0</v>
      </c>
      <c r="N253" s="13" t="str">
        <f aca="false">IF(M253=0,"Active",IF(TRIM(Raw_Data!L253)="","Unknown",PROPER(TRIM(Raw_Data!L253))))</f>
        <v>Active</v>
      </c>
      <c r="O253" s="13" t="str">
        <f aca="false">IF(M253=0,"",IF(TRIM(Raw_Data!M253)="","Not Recorded",TRIM(Raw_Data!M253)))</f>
        <v/>
      </c>
      <c r="P253" s="16" t="n">
        <f aca="false">ROUND((IF(C253="",AsOfDate,C253)-B253)/365.25,2)</f>
        <v>11.38</v>
      </c>
      <c r="Q253" s="13" t="str">
        <f aca="false">IF(D253="","Unknown",IF(D253&lt;25,"Under 25",IF(D253&lt;35,"25-34",IF(D253&lt;45,"35-44",IF(D253&lt;55,"45-54","55+")))))</f>
        <v>35-44</v>
      </c>
      <c r="R253" s="13" t="str">
        <f aca="false">IF(P253&lt;1,"0-1 yrs",IF(P253&lt;3,"1-3 yrs",IF(P253&lt;5,"3-5 yrs",IF(P253&lt;10,"5-10 yrs","10+ yrs"))))</f>
        <v>10+ yrs</v>
      </c>
      <c r="S253" s="13" t="str">
        <f aca="false">IF(I253&gt;=4,"High",IF(I253=3,"Medium","Low"))</f>
        <v>High</v>
      </c>
      <c r="T253" s="13" t="str">
        <f aca="false">IF(M253=1,YEAR(C253),"")</f>
        <v/>
      </c>
      <c r="U253" s="13" t="str">
        <f aca="false">IF(M253=1,YEAR(C253)&amp;"-Q"&amp;ROUNDUP(MONTH(C253)/3,0),"")</f>
        <v/>
      </c>
      <c r="V253" s="13" t="str">
        <f aca="false">IF(M253=1,MONTH(C253),"")</f>
        <v/>
      </c>
    </row>
    <row r="254" customFormat="false" ht="15" hidden="false" customHeight="false" outlineLevel="0" collapsed="false">
      <c r="A254" s="13" t="str">
        <f aca="false">TRIM(Raw_Data!A254)</f>
        <v>EMP0253</v>
      </c>
      <c r="B254" s="14" t="n">
        <f aca="false">Raw_Data!B254</f>
        <v>41878</v>
      </c>
      <c r="C254" s="14" t="str">
        <f aca="false">IF(Raw_Data!C254="","",Raw_Data!C254)</f>
        <v/>
      </c>
      <c r="D254" s="13" t="n">
        <f aca="false">IF(Raw_Data!D254="","",Raw_Data!D254)</f>
        <v>39</v>
      </c>
      <c r="E254" s="13" t="str">
        <f aca="false">IF(UPPER(LEFT(TRIM(Raw_Data!E254),1))="M","Male",IF(UPPER(LEFT(TRIM(Raw_Data!E254),1))="F","Female","Unknown"))</f>
        <v>Female</v>
      </c>
      <c r="F254" s="13" t="str">
        <f aca="false">PROPER(TRIM(SUBSTITUTE(Raw_Data!F254,"'","")))</f>
        <v>Masters</v>
      </c>
      <c r="G254" s="13" t="str">
        <f aca="false">PROPER(TRIM(Raw_Data!G254))</f>
        <v>Customer Support</v>
      </c>
      <c r="H254" s="13" t="str">
        <f aca="false">PROPER(TRIM(Raw_Data!H254))</f>
        <v>Associate</v>
      </c>
      <c r="I254" s="13" t="n">
        <f aca="false">IF(Raw_Data!I254="",DefaultPerf,Raw_Data!I254)</f>
        <v>3</v>
      </c>
      <c r="J254" s="13" t="n">
        <f aca="false">IF(Raw_Data!J254="",DefaultSat,Raw_Data!J254)</f>
        <v>4</v>
      </c>
      <c r="K254" s="15" t="n">
        <f aca="false">Raw_Data!K254</f>
        <v>42500</v>
      </c>
      <c r="L254" s="13" t="str">
        <f aca="false">PROPER(TRIM(Raw_Data!N254))</f>
        <v>No</v>
      </c>
      <c r="M254" s="13" t="n">
        <f aca="false">IF(C254="",0,1)</f>
        <v>0</v>
      </c>
      <c r="N254" s="13" t="str">
        <f aca="false">IF(M254=0,"Active",IF(TRIM(Raw_Data!L254)="","Unknown",PROPER(TRIM(Raw_Data!L254))))</f>
        <v>Active</v>
      </c>
      <c r="O254" s="13" t="str">
        <f aca="false">IF(M254=0,"",IF(TRIM(Raw_Data!M254)="","Not Recorded",TRIM(Raw_Data!M254)))</f>
        <v/>
      </c>
      <c r="P254" s="16" t="n">
        <f aca="false">ROUND((IF(C254="",AsOfDate,C254)-B254)/365.25,2)</f>
        <v>11.35</v>
      </c>
      <c r="Q254" s="13" t="str">
        <f aca="false">IF(D254="","Unknown",IF(D254&lt;25,"Under 25",IF(D254&lt;35,"25-34",IF(D254&lt;45,"35-44",IF(D254&lt;55,"45-54","55+")))))</f>
        <v>35-44</v>
      </c>
      <c r="R254" s="13" t="str">
        <f aca="false">IF(P254&lt;1,"0-1 yrs",IF(P254&lt;3,"1-3 yrs",IF(P254&lt;5,"3-5 yrs",IF(P254&lt;10,"5-10 yrs","10+ yrs"))))</f>
        <v>10+ yrs</v>
      </c>
      <c r="S254" s="13" t="str">
        <f aca="false">IF(I254&gt;=4,"High",IF(I254=3,"Medium","Low"))</f>
        <v>Medium</v>
      </c>
      <c r="T254" s="13" t="str">
        <f aca="false">IF(M254=1,YEAR(C254),"")</f>
        <v/>
      </c>
      <c r="U254" s="13" t="str">
        <f aca="false">IF(M254=1,YEAR(C254)&amp;"-Q"&amp;ROUNDUP(MONTH(C254)/3,0),"")</f>
        <v/>
      </c>
      <c r="V254" s="13" t="str">
        <f aca="false">IF(M254=1,MONTH(C254),"")</f>
        <v/>
      </c>
    </row>
    <row r="255" customFormat="false" ht="15" hidden="false" customHeight="false" outlineLevel="0" collapsed="false">
      <c r="A255" s="13" t="str">
        <f aca="false">TRIM(Raw_Data!A255)</f>
        <v>EMP0254</v>
      </c>
      <c r="B255" s="14" t="n">
        <f aca="false">Raw_Data!B255</f>
        <v>41885</v>
      </c>
      <c r="C255" s="14" t="str">
        <f aca="false">IF(Raw_Data!C255="","",Raw_Data!C255)</f>
        <v/>
      </c>
      <c r="D255" s="13" t="n">
        <f aca="false">IF(Raw_Data!D255="","",Raw_Data!D255)</f>
        <v>41</v>
      </c>
      <c r="E255" s="13" t="str">
        <f aca="false">IF(UPPER(LEFT(TRIM(Raw_Data!E255),1))="M","Male",IF(UPPER(LEFT(TRIM(Raw_Data!E255),1))="F","Female","Unknown"))</f>
        <v>Female</v>
      </c>
      <c r="F255" s="13" t="str">
        <f aca="false">PROPER(TRIM(SUBSTITUTE(Raw_Data!F255,"'","")))</f>
        <v>Bachelors</v>
      </c>
      <c r="G255" s="13" t="str">
        <f aca="false">PROPER(TRIM(Raw_Data!G255))</f>
        <v>Sales</v>
      </c>
      <c r="H255" s="13" t="str">
        <f aca="false">PROPER(TRIM(Raw_Data!H255))</f>
        <v>Analyst</v>
      </c>
      <c r="I255" s="13" t="n">
        <f aca="false">IF(Raw_Data!I255="",DefaultPerf,Raw_Data!I255)</f>
        <v>2</v>
      </c>
      <c r="J255" s="13" t="n">
        <f aca="false">IF(Raw_Data!J255="",DefaultSat,Raw_Data!J255)</f>
        <v>3</v>
      </c>
      <c r="K255" s="15" t="n">
        <f aca="false">Raw_Data!K255</f>
        <v>75500</v>
      </c>
      <c r="L255" s="13" t="str">
        <f aca="false">PROPER(TRIM(Raw_Data!N255))</f>
        <v>No</v>
      </c>
      <c r="M255" s="13" t="n">
        <f aca="false">IF(C255="",0,1)</f>
        <v>0</v>
      </c>
      <c r="N255" s="13" t="str">
        <f aca="false">IF(M255=0,"Active",IF(TRIM(Raw_Data!L255)="","Unknown",PROPER(TRIM(Raw_Data!L255))))</f>
        <v>Active</v>
      </c>
      <c r="O255" s="13" t="str">
        <f aca="false">IF(M255=0,"",IF(TRIM(Raw_Data!M255)="","Not Recorded",TRIM(Raw_Data!M255)))</f>
        <v/>
      </c>
      <c r="P255" s="16" t="n">
        <f aca="false">ROUND((IF(C255="",AsOfDate,C255)-B255)/365.25,2)</f>
        <v>11.33</v>
      </c>
      <c r="Q255" s="13" t="str">
        <f aca="false">IF(D255="","Unknown",IF(D255&lt;25,"Under 25",IF(D255&lt;35,"25-34",IF(D255&lt;45,"35-44",IF(D255&lt;55,"45-54","55+")))))</f>
        <v>35-44</v>
      </c>
      <c r="R255" s="13" t="str">
        <f aca="false">IF(P255&lt;1,"0-1 yrs",IF(P255&lt;3,"1-3 yrs",IF(P255&lt;5,"3-5 yrs",IF(P255&lt;10,"5-10 yrs","10+ yrs"))))</f>
        <v>10+ yrs</v>
      </c>
      <c r="S255" s="13" t="str">
        <f aca="false">IF(I255&gt;=4,"High",IF(I255=3,"Medium","Low"))</f>
        <v>Low</v>
      </c>
      <c r="T255" s="13" t="str">
        <f aca="false">IF(M255=1,YEAR(C255),"")</f>
        <v/>
      </c>
      <c r="U255" s="13" t="str">
        <f aca="false">IF(M255=1,YEAR(C255)&amp;"-Q"&amp;ROUNDUP(MONTH(C255)/3,0),"")</f>
        <v/>
      </c>
      <c r="V255" s="13" t="str">
        <f aca="false">IF(M255=1,MONTH(C255),"")</f>
        <v/>
      </c>
    </row>
    <row r="256" customFormat="false" ht="15" hidden="false" customHeight="false" outlineLevel="0" collapsed="false">
      <c r="A256" s="13" t="str">
        <f aca="false">TRIM(Raw_Data!A256)</f>
        <v>EMP0255</v>
      </c>
      <c r="B256" s="14" t="n">
        <f aca="false">Raw_Data!B256</f>
        <v>41885</v>
      </c>
      <c r="C256" s="14" t="n">
        <f aca="false">IF(Raw_Data!C256="","",Raw_Data!C256)</f>
        <v>44782</v>
      </c>
      <c r="D256" s="13" t="n">
        <f aca="false">IF(Raw_Data!D256="","",Raw_Data!D256)</f>
        <v>36</v>
      </c>
      <c r="E256" s="13" t="str">
        <f aca="false">IF(UPPER(LEFT(TRIM(Raw_Data!E256),1))="M","Male",IF(UPPER(LEFT(TRIM(Raw_Data!E256),1))="F","Female","Unknown"))</f>
        <v>Female</v>
      </c>
      <c r="F256" s="13" t="str">
        <f aca="false">PROPER(TRIM(SUBSTITUTE(Raw_Data!F256,"'","")))</f>
        <v>Masters</v>
      </c>
      <c r="G256" s="13" t="str">
        <f aca="false">PROPER(TRIM(Raw_Data!G256))</f>
        <v>Sales</v>
      </c>
      <c r="H256" s="13" t="str">
        <f aca="false">PROPER(TRIM(Raw_Data!H256))</f>
        <v>Team Lead</v>
      </c>
      <c r="I256" s="13" t="n">
        <f aca="false">IF(Raw_Data!I256="",DefaultPerf,Raw_Data!I256)</f>
        <v>4</v>
      </c>
      <c r="J256" s="13" t="n">
        <f aca="false">IF(Raw_Data!J256="",DefaultSat,Raw_Data!J256)</f>
        <v>2</v>
      </c>
      <c r="K256" s="15" t="n">
        <f aca="false">Raw_Data!K256</f>
        <v>163000</v>
      </c>
      <c r="L256" s="13" t="str">
        <f aca="false">PROPER(TRIM(Raw_Data!N256))</f>
        <v>Yes</v>
      </c>
      <c r="M256" s="13" t="n">
        <f aca="false">IF(C256="",0,1)</f>
        <v>1</v>
      </c>
      <c r="N256" s="13" t="str">
        <f aca="false">IF(M256=0,"Active",IF(TRIM(Raw_Data!L256)="","Unknown",PROPER(TRIM(Raw_Data!L256))))</f>
        <v>Voluntary</v>
      </c>
      <c r="O256" s="13" t="str">
        <f aca="false">IF(M256=0,"",IF(TRIM(Raw_Data!M256)="","Not Recorded",TRIM(Raw_Data!M256)))</f>
        <v>Better Compensation</v>
      </c>
      <c r="P256" s="16" t="n">
        <f aca="false">ROUND((IF(C256="",AsOfDate,C256)-B256)/365.25,2)</f>
        <v>7.93</v>
      </c>
      <c r="Q256" s="13" t="str">
        <f aca="false">IF(D256="","Unknown",IF(D256&lt;25,"Under 25",IF(D256&lt;35,"25-34",IF(D256&lt;45,"35-44",IF(D256&lt;55,"45-54","55+")))))</f>
        <v>35-44</v>
      </c>
      <c r="R256" s="13" t="str">
        <f aca="false">IF(P256&lt;1,"0-1 yrs",IF(P256&lt;3,"1-3 yrs",IF(P256&lt;5,"3-5 yrs",IF(P256&lt;10,"5-10 yrs","10+ yrs"))))</f>
        <v>5-10 yrs</v>
      </c>
      <c r="S256" s="13" t="str">
        <f aca="false">IF(I256&gt;=4,"High",IF(I256=3,"Medium","Low"))</f>
        <v>High</v>
      </c>
      <c r="T256" s="13" t="n">
        <f aca="false">IF(M256=1,YEAR(C256),"")</f>
        <v>2022</v>
      </c>
      <c r="U256" s="13" t="str">
        <f aca="false">IF(M256=1,YEAR(C256)&amp;"-Q"&amp;ROUNDUP(MONTH(C256)/3,0),"")</f>
        <v>2022-Q3</v>
      </c>
      <c r="V256" s="13" t="n">
        <f aca="false">IF(M256=1,MONTH(C256),"")</f>
        <v>8</v>
      </c>
    </row>
    <row r="257" customFormat="false" ht="15" hidden="false" customHeight="false" outlineLevel="0" collapsed="false">
      <c r="A257" s="13" t="str">
        <f aca="false">TRIM(Raw_Data!A257)</f>
        <v>EMP0256</v>
      </c>
      <c r="B257" s="14" t="n">
        <f aca="false">Raw_Data!B257</f>
        <v>41892</v>
      </c>
      <c r="C257" s="14" t="str">
        <f aca="false">IF(Raw_Data!C257="","",Raw_Data!C257)</f>
        <v/>
      </c>
      <c r="D257" s="13" t="n">
        <f aca="false">IF(Raw_Data!D257="","",Raw_Data!D257)</f>
        <v>43</v>
      </c>
      <c r="E257" s="13" t="str">
        <f aca="false">IF(UPPER(LEFT(TRIM(Raw_Data!E257),1))="M","Male",IF(UPPER(LEFT(TRIM(Raw_Data!E257),1))="F","Female","Unknown"))</f>
        <v>Male</v>
      </c>
      <c r="F257" s="13" t="str">
        <f aca="false">PROPER(TRIM(SUBSTITUTE(Raw_Data!F257,"'","")))</f>
        <v>Bachelors</v>
      </c>
      <c r="G257" s="13" t="str">
        <f aca="false">PROPER(TRIM(Raw_Data!G257))</f>
        <v>Engineering</v>
      </c>
      <c r="H257" s="13" t="str">
        <f aca="false">PROPER(TRIM(Raw_Data!H257))</f>
        <v>Senior Analyst</v>
      </c>
      <c r="I257" s="13" t="n">
        <f aca="false">IF(Raw_Data!I257="",DefaultPerf,Raw_Data!I257)</f>
        <v>2</v>
      </c>
      <c r="J257" s="13" t="n">
        <f aca="false">IF(Raw_Data!J257="",DefaultSat,Raw_Data!J257)</f>
        <v>1</v>
      </c>
      <c r="K257" s="15" t="n">
        <f aca="false">Raw_Data!K257</f>
        <v>106000</v>
      </c>
      <c r="L257" s="13" t="str">
        <f aca="false">PROPER(TRIM(Raw_Data!N257))</f>
        <v>Yes</v>
      </c>
      <c r="M257" s="13" t="n">
        <f aca="false">IF(C257="",0,1)</f>
        <v>0</v>
      </c>
      <c r="N257" s="13" t="str">
        <f aca="false">IF(M257=0,"Active",IF(TRIM(Raw_Data!L257)="","Unknown",PROPER(TRIM(Raw_Data!L257))))</f>
        <v>Active</v>
      </c>
      <c r="O257" s="13" t="str">
        <f aca="false">IF(M257=0,"",IF(TRIM(Raw_Data!M257)="","Not Recorded",TRIM(Raw_Data!M257)))</f>
        <v/>
      </c>
      <c r="P257" s="16" t="n">
        <f aca="false">ROUND((IF(C257="",AsOfDate,C257)-B257)/365.25,2)</f>
        <v>11.31</v>
      </c>
      <c r="Q257" s="13" t="str">
        <f aca="false">IF(D257="","Unknown",IF(D257&lt;25,"Under 25",IF(D257&lt;35,"25-34",IF(D257&lt;45,"35-44",IF(D257&lt;55,"45-54","55+")))))</f>
        <v>35-44</v>
      </c>
      <c r="R257" s="13" t="str">
        <f aca="false">IF(P257&lt;1,"0-1 yrs",IF(P257&lt;3,"1-3 yrs",IF(P257&lt;5,"3-5 yrs",IF(P257&lt;10,"5-10 yrs","10+ yrs"))))</f>
        <v>10+ yrs</v>
      </c>
      <c r="S257" s="13" t="str">
        <f aca="false">IF(I257&gt;=4,"High",IF(I257=3,"Medium","Low"))</f>
        <v>Low</v>
      </c>
      <c r="T257" s="13" t="str">
        <f aca="false">IF(M257=1,YEAR(C257),"")</f>
        <v/>
      </c>
      <c r="U257" s="13" t="str">
        <f aca="false">IF(M257=1,YEAR(C257)&amp;"-Q"&amp;ROUNDUP(MONTH(C257)/3,0),"")</f>
        <v/>
      </c>
      <c r="V257" s="13" t="str">
        <f aca="false">IF(M257=1,MONTH(C257),"")</f>
        <v/>
      </c>
    </row>
    <row r="258" customFormat="false" ht="15" hidden="false" customHeight="false" outlineLevel="0" collapsed="false">
      <c r="A258" s="13" t="str">
        <f aca="false">TRIM(Raw_Data!A258)</f>
        <v>EMP0257</v>
      </c>
      <c r="B258" s="14" t="n">
        <f aca="false">Raw_Data!B258</f>
        <v>41896</v>
      </c>
      <c r="C258" s="14" t="str">
        <f aca="false">IF(Raw_Data!C258="","",Raw_Data!C258)</f>
        <v/>
      </c>
      <c r="D258" s="13" t="n">
        <f aca="false">IF(Raw_Data!D258="","",Raw_Data!D258)</f>
        <v>43</v>
      </c>
      <c r="E258" s="13" t="str">
        <f aca="false">IF(UPPER(LEFT(TRIM(Raw_Data!E258),1))="M","Male",IF(UPPER(LEFT(TRIM(Raw_Data!E258),1))="F","Female","Unknown"))</f>
        <v>Male</v>
      </c>
      <c r="F258" s="13" t="str">
        <f aca="false">PROPER(TRIM(SUBSTITUTE(Raw_Data!F258,"'","")))</f>
        <v>Diploma</v>
      </c>
      <c r="G258" s="13" t="str">
        <f aca="false">PROPER(TRIM(Raw_Data!G258))</f>
        <v>Engineering</v>
      </c>
      <c r="H258" s="13" t="str">
        <f aca="false">PROPER(TRIM(Raw_Data!H258))</f>
        <v>Associate</v>
      </c>
      <c r="I258" s="13" t="n">
        <f aca="false">IF(Raw_Data!I258="",DefaultPerf,Raw_Data!I258)</f>
        <v>3</v>
      </c>
      <c r="J258" s="13" t="n">
        <f aca="false">IF(Raw_Data!J258="",DefaultSat,Raw_Data!J258)</f>
        <v>3</v>
      </c>
      <c r="K258" s="15" t="n">
        <f aca="false">Raw_Data!K258</f>
        <v>40000</v>
      </c>
      <c r="L258" s="13" t="str">
        <f aca="false">PROPER(TRIM(Raw_Data!N258))</f>
        <v>Yes</v>
      </c>
      <c r="M258" s="13" t="n">
        <f aca="false">IF(C258="",0,1)</f>
        <v>0</v>
      </c>
      <c r="N258" s="13" t="str">
        <f aca="false">IF(M258=0,"Active",IF(TRIM(Raw_Data!L258)="","Unknown",PROPER(TRIM(Raw_Data!L258))))</f>
        <v>Active</v>
      </c>
      <c r="O258" s="13" t="str">
        <f aca="false">IF(M258=0,"",IF(TRIM(Raw_Data!M258)="","Not Recorded",TRIM(Raw_Data!M258)))</f>
        <v/>
      </c>
      <c r="P258" s="16" t="n">
        <f aca="false">ROUND((IF(C258="",AsOfDate,C258)-B258)/365.25,2)</f>
        <v>11.3</v>
      </c>
      <c r="Q258" s="13" t="str">
        <f aca="false">IF(D258="","Unknown",IF(D258&lt;25,"Under 25",IF(D258&lt;35,"25-34",IF(D258&lt;45,"35-44",IF(D258&lt;55,"45-54","55+")))))</f>
        <v>35-44</v>
      </c>
      <c r="R258" s="13" t="str">
        <f aca="false">IF(P258&lt;1,"0-1 yrs",IF(P258&lt;3,"1-3 yrs",IF(P258&lt;5,"3-5 yrs",IF(P258&lt;10,"5-10 yrs","10+ yrs"))))</f>
        <v>10+ yrs</v>
      </c>
      <c r="S258" s="13" t="str">
        <f aca="false">IF(I258&gt;=4,"High",IF(I258=3,"Medium","Low"))</f>
        <v>Medium</v>
      </c>
      <c r="T258" s="13" t="str">
        <f aca="false">IF(M258=1,YEAR(C258),"")</f>
        <v/>
      </c>
      <c r="U258" s="13" t="str">
        <f aca="false">IF(M258=1,YEAR(C258)&amp;"-Q"&amp;ROUNDUP(MONTH(C258)/3,0),"")</f>
        <v/>
      </c>
      <c r="V258" s="13" t="str">
        <f aca="false">IF(M258=1,MONTH(C258),"")</f>
        <v/>
      </c>
    </row>
    <row r="259" customFormat="false" ht="15" hidden="false" customHeight="false" outlineLevel="0" collapsed="false">
      <c r="A259" s="13" t="str">
        <f aca="false">TRIM(Raw_Data!A259)</f>
        <v>EMP0258</v>
      </c>
      <c r="B259" s="14" t="n">
        <f aca="false">Raw_Data!B259</f>
        <v>41897</v>
      </c>
      <c r="C259" s="14" t="str">
        <f aca="false">IF(Raw_Data!C259="","",Raw_Data!C259)</f>
        <v/>
      </c>
      <c r="D259" s="13" t="n">
        <f aca="false">IF(Raw_Data!D259="","",Raw_Data!D259)</f>
        <v>43</v>
      </c>
      <c r="E259" s="13" t="str">
        <f aca="false">IF(UPPER(LEFT(TRIM(Raw_Data!E259),1))="M","Male",IF(UPPER(LEFT(TRIM(Raw_Data!E259),1))="F","Female","Unknown"))</f>
        <v>Male</v>
      </c>
      <c r="F259" s="13" t="str">
        <f aca="false">PROPER(TRIM(SUBSTITUTE(Raw_Data!F259,"'","")))</f>
        <v>Bachelors</v>
      </c>
      <c r="G259" s="13" t="str">
        <f aca="false">PROPER(TRIM(Raw_Data!G259))</f>
        <v>Engineering</v>
      </c>
      <c r="H259" s="13" t="str">
        <f aca="false">PROPER(TRIM(Raw_Data!H259))</f>
        <v>Manager</v>
      </c>
      <c r="I259" s="13" t="n">
        <f aca="false">IF(Raw_Data!I259="",DefaultPerf,Raw_Data!I259)</f>
        <v>4</v>
      </c>
      <c r="J259" s="13" t="n">
        <f aca="false">IF(Raw_Data!J259="",DefaultSat,Raw_Data!J259)</f>
        <v>1</v>
      </c>
      <c r="K259" s="15" t="n">
        <f aca="false">Raw_Data!K259</f>
        <v>230000</v>
      </c>
      <c r="L259" s="13" t="str">
        <f aca="false">PROPER(TRIM(Raw_Data!N259))</f>
        <v>Yes</v>
      </c>
      <c r="M259" s="13" t="n">
        <f aca="false">IF(C259="",0,1)</f>
        <v>0</v>
      </c>
      <c r="N259" s="13" t="str">
        <f aca="false">IF(M259=0,"Active",IF(TRIM(Raw_Data!L259)="","Unknown",PROPER(TRIM(Raw_Data!L259))))</f>
        <v>Active</v>
      </c>
      <c r="O259" s="13" t="str">
        <f aca="false">IF(M259=0,"",IF(TRIM(Raw_Data!M259)="","Not Recorded",TRIM(Raw_Data!M259)))</f>
        <v/>
      </c>
      <c r="P259" s="16" t="n">
        <f aca="false">ROUND((IF(C259="",AsOfDate,C259)-B259)/365.25,2)</f>
        <v>11.29</v>
      </c>
      <c r="Q259" s="13" t="str">
        <f aca="false">IF(D259="","Unknown",IF(D259&lt;25,"Under 25",IF(D259&lt;35,"25-34",IF(D259&lt;45,"35-44",IF(D259&lt;55,"45-54","55+")))))</f>
        <v>35-44</v>
      </c>
      <c r="R259" s="13" t="str">
        <f aca="false">IF(P259&lt;1,"0-1 yrs",IF(P259&lt;3,"1-3 yrs",IF(P259&lt;5,"3-5 yrs",IF(P259&lt;10,"5-10 yrs","10+ yrs"))))</f>
        <v>10+ yrs</v>
      </c>
      <c r="S259" s="13" t="str">
        <f aca="false">IF(I259&gt;=4,"High",IF(I259=3,"Medium","Low"))</f>
        <v>High</v>
      </c>
      <c r="T259" s="13" t="str">
        <f aca="false">IF(M259=1,YEAR(C259),"")</f>
        <v/>
      </c>
      <c r="U259" s="13" t="str">
        <f aca="false">IF(M259=1,YEAR(C259)&amp;"-Q"&amp;ROUNDUP(MONTH(C259)/3,0),"")</f>
        <v/>
      </c>
      <c r="V259" s="13" t="str">
        <f aca="false">IF(M259=1,MONTH(C259),"")</f>
        <v/>
      </c>
    </row>
    <row r="260" customFormat="false" ht="15" hidden="false" customHeight="false" outlineLevel="0" collapsed="false">
      <c r="A260" s="13" t="str">
        <f aca="false">TRIM(Raw_Data!A260)</f>
        <v>EMP0259</v>
      </c>
      <c r="B260" s="14" t="n">
        <f aca="false">Raw_Data!B260</f>
        <v>41898</v>
      </c>
      <c r="C260" s="14" t="n">
        <f aca="false">IF(Raw_Data!C260="","",Raw_Data!C260)</f>
        <v>45951</v>
      </c>
      <c r="D260" s="13" t="n">
        <f aca="false">IF(Raw_Data!D260="","",Raw_Data!D260)</f>
        <v>48</v>
      </c>
      <c r="E260" s="13" t="str">
        <f aca="false">IF(UPPER(LEFT(TRIM(Raw_Data!E260),1))="M","Male",IF(UPPER(LEFT(TRIM(Raw_Data!E260),1))="F","Female","Unknown"))</f>
        <v>Male</v>
      </c>
      <c r="F260" s="13" t="str">
        <f aca="false">PROPER(TRIM(SUBSTITUTE(Raw_Data!F260,"'","")))</f>
        <v>Masters</v>
      </c>
      <c r="G260" s="13" t="str">
        <f aca="false">PROPER(TRIM(Raw_Data!G260))</f>
        <v>Engineering</v>
      </c>
      <c r="H260" s="13" t="str">
        <f aca="false">PROPER(TRIM(Raw_Data!H260))</f>
        <v>Specialist</v>
      </c>
      <c r="I260" s="13" t="n">
        <f aca="false">IF(Raw_Data!I260="",DefaultPerf,Raw_Data!I260)</f>
        <v>4</v>
      </c>
      <c r="J260" s="13" t="n">
        <f aca="false">IF(Raw_Data!J260="",DefaultSat,Raw_Data!J260)</f>
        <v>2</v>
      </c>
      <c r="K260" s="15" t="n">
        <f aca="false">Raw_Data!K260</f>
        <v>132000</v>
      </c>
      <c r="L260" s="13" t="str">
        <f aca="false">PROPER(TRIM(Raw_Data!N260))</f>
        <v>No</v>
      </c>
      <c r="M260" s="13" t="n">
        <f aca="false">IF(C260="",0,1)</f>
        <v>1</v>
      </c>
      <c r="N260" s="13" t="str">
        <f aca="false">IF(M260=0,"Active",IF(TRIM(Raw_Data!L260)="","Unknown",PROPER(TRIM(Raw_Data!L260))))</f>
        <v>Voluntary</v>
      </c>
      <c r="O260" s="13" t="str">
        <f aca="false">IF(M260=0,"",IF(TRIM(Raw_Data!M260)="","Not Recorded",TRIM(Raw_Data!M260)))</f>
        <v>Manager Issues</v>
      </c>
      <c r="P260" s="16" t="n">
        <f aca="false">ROUND((IF(C260="",AsOfDate,C260)-B260)/365.25,2)</f>
        <v>11.1</v>
      </c>
      <c r="Q260" s="13" t="str">
        <f aca="false">IF(D260="","Unknown",IF(D260&lt;25,"Under 25",IF(D260&lt;35,"25-34",IF(D260&lt;45,"35-44",IF(D260&lt;55,"45-54","55+")))))</f>
        <v>45-54</v>
      </c>
      <c r="R260" s="13" t="str">
        <f aca="false">IF(P260&lt;1,"0-1 yrs",IF(P260&lt;3,"1-3 yrs",IF(P260&lt;5,"3-5 yrs",IF(P260&lt;10,"5-10 yrs","10+ yrs"))))</f>
        <v>10+ yrs</v>
      </c>
      <c r="S260" s="13" t="str">
        <f aca="false">IF(I260&gt;=4,"High",IF(I260=3,"Medium","Low"))</f>
        <v>High</v>
      </c>
      <c r="T260" s="13" t="n">
        <f aca="false">IF(M260=1,YEAR(C260),"")</f>
        <v>2025</v>
      </c>
      <c r="U260" s="13" t="str">
        <f aca="false">IF(M260=1,YEAR(C260)&amp;"-Q"&amp;ROUNDUP(MONTH(C260)/3,0),"")</f>
        <v>2025-Q4</v>
      </c>
      <c r="V260" s="13" t="n">
        <f aca="false">IF(M260=1,MONTH(C260),"")</f>
        <v>10</v>
      </c>
    </row>
    <row r="261" customFormat="false" ht="15" hidden="false" customHeight="false" outlineLevel="0" collapsed="false">
      <c r="A261" s="13" t="str">
        <f aca="false">TRIM(Raw_Data!A261)</f>
        <v>EMP0260</v>
      </c>
      <c r="B261" s="14" t="n">
        <f aca="false">Raw_Data!B261</f>
        <v>41901</v>
      </c>
      <c r="C261" s="14" t="str">
        <f aca="false">IF(Raw_Data!C261="","",Raw_Data!C261)</f>
        <v/>
      </c>
      <c r="D261" s="13" t="n">
        <f aca="false">IF(Raw_Data!D261="","",Raw_Data!D261)</f>
        <v>46</v>
      </c>
      <c r="E261" s="13" t="str">
        <f aca="false">IF(UPPER(LEFT(TRIM(Raw_Data!E261),1))="M","Male",IF(UPPER(LEFT(TRIM(Raw_Data!E261),1))="F","Female","Unknown"))</f>
        <v>Male</v>
      </c>
      <c r="F261" s="13" t="str">
        <f aca="false">PROPER(TRIM(SUBSTITUTE(Raw_Data!F261,"'","")))</f>
        <v>Bachelors</v>
      </c>
      <c r="G261" s="13" t="str">
        <f aca="false">PROPER(TRIM(Raw_Data!G261))</f>
        <v>Operations</v>
      </c>
      <c r="H261" s="13" t="str">
        <f aca="false">PROPER(TRIM(Raw_Data!H261))</f>
        <v>Specialist</v>
      </c>
      <c r="I261" s="13" t="n">
        <f aca="false">IF(Raw_Data!I261="",DefaultPerf,Raw_Data!I261)</f>
        <v>5</v>
      </c>
      <c r="J261" s="13" t="n">
        <f aca="false">IF(Raw_Data!J261="",DefaultSat,Raw_Data!J261)</f>
        <v>2</v>
      </c>
      <c r="K261" s="15" t="n">
        <f aca="false">Raw_Data!K261</f>
        <v>143500</v>
      </c>
      <c r="L261" s="13" t="str">
        <f aca="false">PROPER(TRIM(Raw_Data!N261))</f>
        <v>No</v>
      </c>
      <c r="M261" s="13" t="n">
        <f aca="false">IF(C261="",0,1)</f>
        <v>0</v>
      </c>
      <c r="N261" s="13" t="str">
        <f aca="false">IF(M261=0,"Active",IF(TRIM(Raw_Data!L261)="","Unknown",PROPER(TRIM(Raw_Data!L261))))</f>
        <v>Active</v>
      </c>
      <c r="O261" s="13" t="str">
        <f aca="false">IF(M261=0,"",IF(TRIM(Raw_Data!M261)="","Not Recorded",TRIM(Raw_Data!M261)))</f>
        <v/>
      </c>
      <c r="P261" s="16" t="n">
        <f aca="false">ROUND((IF(C261="",AsOfDate,C261)-B261)/365.25,2)</f>
        <v>11.28</v>
      </c>
      <c r="Q261" s="13" t="str">
        <f aca="false">IF(D261="","Unknown",IF(D261&lt;25,"Under 25",IF(D261&lt;35,"25-34",IF(D261&lt;45,"35-44",IF(D261&lt;55,"45-54","55+")))))</f>
        <v>45-54</v>
      </c>
      <c r="R261" s="13" t="str">
        <f aca="false">IF(P261&lt;1,"0-1 yrs",IF(P261&lt;3,"1-3 yrs",IF(P261&lt;5,"3-5 yrs",IF(P261&lt;10,"5-10 yrs","10+ yrs"))))</f>
        <v>10+ yrs</v>
      </c>
      <c r="S261" s="13" t="str">
        <f aca="false">IF(I261&gt;=4,"High",IF(I261=3,"Medium","Low"))</f>
        <v>High</v>
      </c>
      <c r="T261" s="13" t="str">
        <f aca="false">IF(M261=1,YEAR(C261),"")</f>
        <v/>
      </c>
      <c r="U261" s="13" t="str">
        <f aca="false">IF(M261=1,YEAR(C261)&amp;"-Q"&amp;ROUNDUP(MONTH(C261)/3,0),"")</f>
        <v/>
      </c>
      <c r="V261" s="13" t="str">
        <f aca="false">IF(M261=1,MONTH(C261),"")</f>
        <v/>
      </c>
    </row>
    <row r="262" customFormat="false" ht="15" hidden="false" customHeight="false" outlineLevel="0" collapsed="false">
      <c r="A262" s="13" t="str">
        <f aca="false">TRIM(Raw_Data!A262)</f>
        <v>EMP0261</v>
      </c>
      <c r="B262" s="14" t="n">
        <f aca="false">Raw_Data!B262</f>
        <v>41907</v>
      </c>
      <c r="C262" s="14" t="n">
        <f aca="false">IF(Raw_Data!C262="","",Raw_Data!C262)</f>
        <v>45704</v>
      </c>
      <c r="D262" s="13" t="n">
        <f aca="false">IF(Raw_Data!D262="","",Raw_Data!D262)</f>
        <v>42</v>
      </c>
      <c r="E262" s="13" t="str">
        <f aca="false">IF(UPPER(LEFT(TRIM(Raw_Data!E262),1))="M","Male",IF(UPPER(LEFT(TRIM(Raw_Data!E262),1))="F","Female","Unknown"))</f>
        <v>Female</v>
      </c>
      <c r="F262" s="13" t="str">
        <f aca="false">PROPER(TRIM(SUBSTITUTE(Raw_Data!F262,"'","")))</f>
        <v>Bachelors</v>
      </c>
      <c r="G262" s="13" t="str">
        <f aca="false">PROPER(TRIM(Raw_Data!G262))</f>
        <v>Operations</v>
      </c>
      <c r="H262" s="13" t="str">
        <f aca="false">PROPER(TRIM(Raw_Data!H262))</f>
        <v>Analyst</v>
      </c>
      <c r="I262" s="13" t="n">
        <f aca="false">IF(Raw_Data!I262="",DefaultPerf,Raw_Data!I262)</f>
        <v>2</v>
      </c>
      <c r="J262" s="13" t="n">
        <f aca="false">IF(Raw_Data!J262="",DefaultSat,Raw_Data!J262)</f>
        <v>2</v>
      </c>
      <c r="K262" s="15" t="n">
        <f aca="false">Raw_Data!K262</f>
        <v>70000</v>
      </c>
      <c r="L262" s="13" t="str">
        <f aca="false">PROPER(TRIM(Raw_Data!N262))</f>
        <v>No</v>
      </c>
      <c r="M262" s="13" t="n">
        <f aca="false">IF(C262="",0,1)</f>
        <v>1</v>
      </c>
      <c r="N262" s="13" t="str">
        <f aca="false">IF(M262=0,"Active",IF(TRIM(Raw_Data!L262)="","Unknown",PROPER(TRIM(Raw_Data!L262))))</f>
        <v>Involuntary</v>
      </c>
      <c r="O262" s="13" t="str">
        <f aca="false">IF(M262=0,"",IF(TRIM(Raw_Data!M262)="","Not Recorded",TRIM(Raw_Data!M262)))</f>
        <v>Poor Performance</v>
      </c>
      <c r="P262" s="16" t="n">
        <f aca="false">ROUND((IF(C262="",AsOfDate,C262)-B262)/365.25,2)</f>
        <v>10.4</v>
      </c>
      <c r="Q262" s="13" t="str">
        <f aca="false">IF(D262="","Unknown",IF(D262&lt;25,"Under 25",IF(D262&lt;35,"25-34",IF(D262&lt;45,"35-44",IF(D262&lt;55,"45-54","55+")))))</f>
        <v>35-44</v>
      </c>
      <c r="R262" s="13" t="str">
        <f aca="false">IF(P262&lt;1,"0-1 yrs",IF(P262&lt;3,"1-3 yrs",IF(P262&lt;5,"3-5 yrs",IF(P262&lt;10,"5-10 yrs","10+ yrs"))))</f>
        <v>10+ yrs</v>
      </c>
      <c r="S262" s="13" t="str">
        <f aca="false">IF(I262&gt;=4,"High",IF(I262=3,"Medium","Low"))</f>
        <v>Low</v>
      </c>
      <c r="T262" s="13" t="n">
        <f aca="false">IF(M262=1,YEAR(C262),"")</f>
        <v>2025</v>
      </c>
      <c r="U262" s="13" t="str">
        <f aca="false">IF(M262=1,YEAR(C262)&amp;"-Q"&amp;ROUNDUP(MONTH(C262)/3,0),"")</f>
        <v>2025-Q1</v>
      </c>
      <c r="V262" s="13" t="n">
        <f aca="false">IF(M262=1,MONTH(C262),"")</f>
        <v>2</v>
      </c>
    </row>
    <row r="263" customFormat="false" ht="15" hidden="false" customHeight="false" outlineLevel="0" collapsed="false">
      <c r="A263" s="13" t="str">
        <f aca="false">TRIM(Raw_Data!A263)</f>
        <v>EMP0262</v>
      </c>
      <c r="B263" s="14" t="n">
        <f aca="false">Raw_Data!B263</f>
        <v>41910</v>
      </c>
      <c r="C263" s="14" t="str">
        <f aca="false">IF(Raw_Data!C263="","",Raw_Data!C263)</f>
        <v/>
      </c>
      <c r="D263" s="13" t="n">
        <f aca="false">IF(Raw_Data!D263="","",Raw_Data!D263)</f>
        <v>38</v>
      </c>
      <c r="E263" s="13" t="str">
        <f aca="false">IF(UPPER(LEFT(TRIM(Raw_Data!E263),1))="M","Male",IF(UPPER(LEFT(TRIM(Raw_Data!E263),1))="F","Female","Unknown"))</f>
        <v>Female</v>
      </c>
      <c r="F263" s="13" t="str">
        <f aca="false">PROPER(TRIM(SUBSTITUTE(Raw_Data!F263,"'","")))</f>
        <v>Diploma</v>
      </c>
      <c r="G263" s="13" t="str">
        <f aca="false">PROPER(TRIM(Raw_Data!G263))</f>
        <v>Customer Support</v>
      </c>
      <c r="H263" s="13" t="str">
        <f aca="false">PROPER(TRIM(Raw_Data!H263))</f>
        <v>Associate</v>
      </c>
      <c r="I263" s="13" t="n">
        <f aca="false">IF(Raw_Data!I263="",DefaultPerf,Raw_Data!I263)</f>
        <v>3</v>
      </c>
      <c r="J263" s="13" t="n">
        <f aca="false">IF(Raw_Data!J263="",DefaultSat,Raw_Data!J263)</f>
        <v>3</v>
      </c>
      <c r="K263" s="15" t="n">
        <f aca="false">Raw_Data!K263</f>
        <v>50500</v>
      </c>
      <c r="L263" s="13" t="str">
        <f aca="false">PROPER(TRIM(Raw_Data!N263))</f>
        <v>No</v>
      </c>
      <c r="M263" s="13" t="n">
        <f aca="false">IF(C263="",0,1)</f>
        <v>0</v>
      </c>
      <c r="N263" s="13" t="str">
        <f aca="false">IF(M263=0,"Active",IF(TRIM(Raw_Data!L263)="","Unknown",PROPER(TRIM(Raw_Data!L263))))</f>
        <v>Active</v>
      </c>
      <c r="O263" s="13" t="str">
        <f aca="false">IF(M263=0,"",IF(TRIM(Raw_Data!M263)="","Not Recorded",TRIM(Raw_Data!M263)))</f>
        <v/>
      </c>
      <c r="P263" s="16" t="n">
        <f aca="false">ROUND((IF(C263="",AsOfDate,C263)-B263)/365.25,2)</f>
        <v>11.26</v>
      </c>
      <c r="Q263" s="13" t="str">
        <f aca="false">IF(D263="","Unknown",IF(D263&lt;25,"Under 25",IF(D263&lt;35,"25-34",IF(D263&lt;45,"35-44",IF(D263&lt;55,"45-54","55+")))))</f>
        <v>35-44</v>
      </c>
      <c r="R263" s="13" t="str">
        <f aca="false">IF(P263&lt;1,"0-1 yrs",IF(P263&lt;3,"1-3 yrs",IF(P263&lt;5,"3-5 yrs",IF(P263&lt;10,"5-10 yrs","10+ yrs"))))</f>
        <v>10+ yrs</v>
      </c>
      <c r="S263" s="13" t="str">
        <f aca="false">IF(I263&gt;=4,"High",IF(I263=3,"Medium","Low"))</f>
        <v>Medium</v>
      </c>
      <c r="T263" s="13" t="str">
        <f aca="false">IF(M263=1,YEAR(C263),"")</f>
        <v/>
      </c>
      <c r="U263" s="13" t="str">
        <f aca="false">IF(M263=1,YEAR(C263)&amp;"-Q"&amp;ROUNDUP(MONTH(C263)/3,0),"")</f>
        <v/>
      </c>
      <c r="V263" s="13" t="str">
        <f aca="false">IF(M263=1,MONTH(C263),"")</f>
        <v/>
      </c>
    </row>
    <row r="264" customFormat="false" ht="15" hidden="false" customHeight="false" outlineLevel="0" collapsed="false">
      <c r="A264" s="13" t="str">
        <f aca="false">TRIM(Raw_Data!A264)</f>
        <v>EMP0263</v>
      </c>
      <c r="B264" s="14" t="n">
        <f aca="false">Raw_Data!B264</f>
        <v>41917</v>
      </c>
      <c r="C264" s="14" t="str">
        <f aca="false">IF(Raw_Data!C264="","",Raw_Data!C264)</f>
        <v/>
      </c>
      <c r="D264" s="13" t="n">
        <f aca="false">IF(Raw_Data!D264="","",Raw_Data!D264)</f>
        <v>39</v>
      </c>
      <c r="E264" s="13" t="str">
        <f aca="false">IF(UPPER(LEFT(TRIM(Raw_Data!E264),1))="M","Male",IF(UPPER(LEFT(TRIM(Raw_Data!E264),1))="F","Female","Unknown"))</f>
        <v>Female</v>
      </c>
      <c r="F264" s="13" t="str">
        <f aca="false">PROPER(TRIM(SUBSTITUTE(Raw_Data!F264,"'","")))</f>
        <v>Masters</v>
      </c>
      <c r="G264" s="13" t="str">
        <f aca="false">PROPER(TRIM(Raw_Data!G264))</f>
        <v>Sales</v>
      </c>
      <c r="H264" s="13" t="str">
        <f aca="false">PROPER(TRIM(Raw_Data!H264))</f>
        <v>Senior Analyst</v>
      </c>
      <c r="I264" s="13" t="n">
        <f aca="false">IF(Raw_Data!I264="",DefaultPerf,Raw_Data!I264)</f>
        <v>4</v>
      </c>
      <c r="J264" s="13" t="n">
        <f aca="false">IF(Raw_Data!J264="",DefaultSat,Raw_Data!J264)</f>
        <v>4</v>
      </c>
      <c r="K264" s="15" t="n">
        <f aca="false">Raw_Data!K264</f>
        <v>125500</v>
      </c>
      <c r="L264" s="13" t="str">
        <f aca="false">PROPER(TRIM(Raw_Data!N264))</f>
        <v>No</v>
      </c>
      <c r="M264" s="13" t="n">
        <f aca="false">IF(C264="",0,1)</f>
        <v>0</v>
      </c>
      <c r="N264" s="13" t="str">
        <f aca="false">IF(M264=0,"Active",IF(TRIM(Raw_Data!L264)="","Unknown",PROPER(TRIM(Raw_Data!L264))))</f>
        <v>Active</v>
      </c>
      <c r="O264" s="13" t="str">
        <f aca="false">IF(M264=0,"",IF(TRIM(Raw_Data!M264)="","Not Recorded",TRIM(Raw_Data!M264)))</f>
        <v/>
      </c>
      <c r="P264" s="16" t="n">
        <f aca="false">ROUND((IF(C264="",AsOfDate,C264)-B264)/365.25,2)</f>
        <v>11.24</v>
      </c>
      <c r="Q264" s="13" t="str">
        <f aca="false">IF(D264="","Unknown",IF(D264&lt;25,"Under 25",IF(D264&lt;35,"25-34",IF(D264&lt;45,"35-44",IF(D264&lt;55,"45-54","55+")))))</f>
        <v>35-44</v>
      </c>
      <c r="R264" s="13" t="str">
        <f aca="false">IF(P264&lt;1,"0-1 yrs",IF(P264&lt;3,"1-3 yrs",IF(P264&lt;5,"3-5 yrs",IF(P264&lt;10,"5-10 yrs","10+ yrs"))))</f>
        <v>10+ yrs</v>
      </c>
      <c r="S264" s="13" t="str">
        <f aca="false">IF(I264&gt;=4,"High",IF(I264=3,"Medium","Low"))</f>
        <v>High</v>
      </c>
      <c r="T264" s="13" t="str">
        <f aca="false">IF(M264=1,YEAR(C264),"")</f>
        <v/>
      </c>
      <c r="U264" s="13" t="str">
        <f aca="false">IF(M264=1,YEAR(C264)&amp;"-Q"&amp;ROUNDUP(MONTH(C264)/3,0),"")</f>
        <v/>
      </c>
      <c r="V264" s="13" t="str">
        <f aca="false">IF(M264=1,MONTH(C264),"")</f>
        <v/>
      </c>
    </row>
    <row r="265" customFormat="false" ht="15" hidden="false" customHeight="false" outlineLevel="0" collapsed="false">
      <c r="A265" s="13" t="str">
        <f aca="false">TRIM(Raw_Data!A265)</f>
        <v>EMP0264</v>
      </c>
      <c r="B265" s="14" t="n">
        <f aca="false">Raw_Data!B265</f>
        <v>41920</v>
      </c>
      <c r="C265" s="14" t="n">
        <f aca="false">IF(Raw_Data!C265="","",Raw_Data!C265)</f>
        <v>45264</v>
      </c>
      <c r="D265" s="13" t="n">
        <f aca="false">IF(Raw_Data!D265="","",Raw_Data!D265)</f>
        <v>39</v>
      </c>
      <c r="E265" s="13" t="str">
        <f aca="false">IF(UPPER(LEFT(TRIM(Raw_Data!E265),1))="M","Male",IF(UPPER(LEFT(TRIM(Raw_Data!E265),1))="F","Female","Unknown"))</f>
        <v>Female</v>
      </c>
      <c r="F265" s="13" t="str">
        <f aca="false">PROPER(TRIM(SUBSTITUTE(Raw_Data!F265,"'","")))</f>
        <v>Diploma</v>
      </c>
      <c r="G265" s="13" t="str">
        <f aca="false">PROPER(TRIM(Raw_Data!G265))</f>
        <v>Human Resources</v>
      </c>
      <c r="H265" s="13" t="str">
        <f aca="false">PROPER(TRIM(Raw_Data!H265))</f>
        <v>Analyst</v>
      </c>
      <c r="I265" s="13" t="n">
        <f aca="false">IF(Raw_Data!I265="",DefaultPerf,Raw_Data!I265)</f>
        <v>2</v>
      </c>
      <c r="J265" s="13" t="n">
        <f aca="false">IF(Raw_Data!J265="",DefaultSat,Raw_Data!J265)</f>
        <v>1</v>
      </c>
      <c r="K265" s="15" t="n">
        <f aca="false">Raw_Data!K265</f>
        <v>69500</v>
      </c>
      <c r="L265" s="13" t="str">
        <f aca="false">PROPER(TRIM(Raw_Data!N265))</f>
        <v>Yes</v>
      </c>
      <c r="M265" s="13" t="n">
        <f aca="false">IF(C265="",0,1)</f>
        <v>1</v>
      </c>
      <c r="N265" s="13" t="str">
        <f aca="false">IF(M265=0,"Active",IF(TRIM(Raw_Data!L265)="","Unknown",PROPER(TRIM(Raw_Data!L265))))</f>
        <v>Voluntary</v>
      </c>
      <c r="O265" s="13" t="str">
        <f aca="false">IF(M265=0,"",IF(TRIM(Raw_Data!M265)="","Not Recorded",TRIM(Raw_Data!M265)))</f>
        <v>Better Compensation</v>
      </c>
      <c r="P265" s="16" t="n">
        <f aca="false">ROUND((IF(C265="",AsOfDate,C265)-B265)/365.25,2)</f>
        <v>9.16</v>
      </c>
      <c r="Q265" s="13" t="str">
        <f aca="false">IF(D265="","Unknown",IF(D265&lt;25,"Under 25",IF(D265&lt;35,"25-34",IF(D265&lt;45,"35-44",IF(D265&lt;55,"45-54","55+")))))</f>
        <v>35-44</v>
      </c>
      <c r="R265" s="13" t="str">
        <f aca="false">IF(P265&lt;1,"0-1 yrs",IF(P265&lt;3,"1-3 yrs",IF(P265&lt;5,"3-5 yrs",IF(P265&lt;10,"5-10 yrs","10+ yrs"))))</f>
        <v>5-10 yrs</v>
      </c>
      <c r="S265" s="13" t="str">
        <f aca="false">IF(I265&gt;=4,"High",IF(I265=3,"Medium","Low"))</f>
        <v>Low</v>
      </c>
      <c r="T265" s="13" t="n">
        <f aca="false">IF(M265=1,YEAR(C265),"")</f>
        <v>2023</v>
      </c>
      <c r="U265" s="13" t="str">
        <f aca="false">IF(M265=1,YEAR(C265)&amp;"-Q"&amp;ROUNDUP(MONTH(C265)/3,0),"")</f>
        <v>2023-Q4</v>
      </c>
      <c r="V265" s="13" t="n">
        <f aca="false">IF(M265=1,MONTH(C265),"")</f>
        <v>12</v>
      </c>
    </row>
    <row r="266" customFormat="false" ht="15" hidden="false" customHeight="false" outlineLevel="0" collapsed="false">
      <c r="A266" s="13" t="str">
        <f aca="false">TRIM(Raw_Data!A266)</f>
        <v>EMP0265</v>
      </c>
      <c r="B266" s="14" t="n">
        <f aca="false">Raw_Data!B266</f>
        <v>41920</v>
      </c>
      <c r="C266" s="14" t="str">
        <f aca="false">IF(Raw_Data!C266="","",Raw_Data!C266)</f>
        <v/>
      </c>
      <c r="D266" s="13" t="n">
        <f aca="false">IF(Raw_Data!D266="","",Raw_Data!D266)</f>
        <v>41</v>
      </c>
      <c r="E266" s="13" t="str">
        <f aca="false">IF(UPPER(LEFT(TRIM(Raw_Data!E266),1))="M","Male",IF(UPPER(LEFT(TRIM(Raw_Data!E266),1))="F","Female","Unknown"))</f>
        <v>Female</v>
      </c>
      <c r="F266" s="13" t="str">
        <f aca="false">PROPER(TRIM(SUBSTITUTE(Raw_Data!F266,"'","")))</f>
        <v>Bachelors</v>
      </c>
      <c r="G266" s="13" t="str">
        <f aca="false">PROPER(TRIM(Raw_Data!G266))</f>
        <v>Engineering</v>
      </c>
      <c r="H266" s="13" t="str">
        <f aca="false">PROPER(TRIM(Raw_Data!H266))</f>
        <v>Team Lead</v>
      </c>
      <c r="I266" s="13" t="n">
        <f aca="false">IF(Raw_Data!I266="",DefaultPerf,Raw_Data!I266)</f>
        <v>3</v>
      </c>
      <c r="J266" s="13" t="n">
        <f aca="false">IF(Raw_Data!J266="",DefaultSat,Raw_Data!J266)</f>
        <v>4</v>
      </c>
      <c r="K266" s="15" t="n">
        <f aca="false">Raw_Data!K266</f>
        <v>181000</v>
      </c>
      <c r="L266" s="13" t="str">
        <f aca="false">PROPER(TRIM(Raw_Data!N266))</f>
        <v>No</v>
      </c>
      <c r="M266" s="13" t="n">
        <f aca="false">IF(C266="",0,1)</f>
        <v>0</v>
      </c>
      <c r="N266" s="13" t="str">
        <f aca="false">IF(M266=0,"Active",IF(TRIM(Raw_Data!L266)="","Unknown",PROPER(TRIM(Raw_Data!L266))))</f>
        <v>Active</v>
      </c>
      <c r="O266" s="13" t="str">
        <f aca="false">IF(M266=0,"",IF(TRIM(Raw_Data!M266)="","Not Recorded",TRIM(Raw_Data!M266)))</f>
        <v/>
      </c>
      <c r="P266" s="16" t="n">
        <f aca="false">ROUND((IF(C266="",AsOfDate,C266)-B266)/365.25,2)</f>
        <v>11.23</v>
      </c>
      <c r="Q266" s="13" t="str">
        <f aca="false">IF(D266="","Unknown",IF(D266&lt;25,"Under 25",IF(D266&lt;35,"25-34",IF(D266&lt;45,"35-44",IF(D266&lt;55,"45-54","55+")))))</f>
        <v>35-44</v>
      </c>
      <c r="R266" s="13" t="str">
        <f aca="false">IF(P266&lt;1,"0-1 yrs",IF(P266&lt;3,"1-3 yrs",IF(P266&lt;5,"3-5 yrs",IF(P266&lt;10,"5-10 yrs","10+ yrs"))))</f>
        <v>10+ yrs</v>
      </c>
      <c r="S266" s="13" t="str">
        <f aca="false">IF(I266&gt;=4,"High",IF(I266=3,"Medium","Low"))</f>
        <v>Medium</v>
      </c>
      <c r="T266" s="13" t="str">
        <f aca="false">IF(M266=1,YEAR(C266),"")</f>
        <v/>
      </c>
      <c r="U266" s="13" t="str">
        <f aca="false">IF(M266=1,YEAR(C266)&amp;"-Q"&amp;ROUNDUP(MONTH(C266)/3,0),"")</f>
        <v/>
      </c>
      <c r="V266" s="13" t="str">
        <f aca="false">IF(M266=1,MONTH(C266),"")</f>
        <v/>
      </c>
    </row>
    <row r="267" customFormat="false" ht="15" hidden="false" customHeight="false" outlineLevel="0" collapsed="false">
      <c r="A267" s="13" t="str">
        <f aca="false">TRIM(Raw_Data!A267)</f>
        <v>EMP0266</v>
      </c>
      <c r="B267" s="14" t="n">
        <f aca="false">Raw_Data!B267</f>
        <v>41922</v>
      </c>
      <c r="C267" s="14" t="str">
        <f aca="false">IF(Raw_Data!C267="","",Raw_Data!C267)</f>
        <v/>
      </c>
      <c r="D267" s="13" t="n">
        <f aca="false">IF(Raw_Data!D267="","",Raw_Data!D267)</f>
        <v>36</v>
      </c>
      <c r="E267" s="13" t="str">
        <f aca="false">IF(UPPER(LEFT(TRIM(Raw_Data!E267),1))="M","Male",IF(UPPER(LEFT(TRIM(Raw_Data!E267),1))="F","Female","Unknown"))</f>
        <v>Male</v>
      </c>
      <c r="F267" s="13" t="str">
        <f aca="false">PROPER(TRIM(SUBSTITUTE(Raw_Data!F267,"'","")))</f>
        <v>Masters</v>
      </c>
      <c r="G267" s="13" t="str">
        <f aca="false">PROPER(TRIM(Raw_Data!G267))</f>
        <v>Operations</v>
      </c>
      <c r="H267" s="13" t="str">
        <f aca="false">PROPER(TRIM(Raw_Data!H267))</f>
        <v>Analyst</v>
      </c>
      <c r="I267" s="13" t="n">
        <f aca="false">IF(Raw_Data!I267="",DefaultPerf,Raw_Data!I267)</f>
        <v>4</v>
      </c>
      <c r="J267" s="13" t="n">
        <f aca="false">IF(Raw_Data!J267="",DefaultSat,Raw_Data!J267)</f>
        <v>4</v>
      </c>
      <c r="K267" s="15" t="n">
        <f aca="false">Raw_Data!K267</f>
        <v>88500</v>
      </c>
      <c r="L267" s="13" t="str">
        <f aca="false">PROPER(TRIM(Raw_Data!N267))</f>
        <v>No</v>
      </c>
      <c r="M267" s="13" t="n">
        <f aca="false">IF(C267="",0,1)</f>
        <v>0</v>
      </c>
      <c r="N267" s="13" t="str">
        <f aca="false">IF(M267=0,"Active",IF(TRIM(Raw_Data!L267)="","Unknown",PROPER(TRIM(Raw_Data!L267))))</f>
        <v>Active</v>
      </c>
      <c r="O267" s="13" t="str">
        <f aca="false">IF(M267=0,"",IF(TRIM(Raw_Data!M267)="","Not Recorded",TRIM(Raw_Data!M267)))</f>
        <v/>
      </c>
      <c r="P267" s="16" t="n">
        <f aca="false">ROUND((IF(C267="",AsOfDate,C267)-B267)/365.25,2)</f>
        <v>11.23</v>
      </c>
      <c r="Q267" s="13" t="str">
        <f aca="false">IF(D267="","Unknown",IF(D267&lt;25,"Under 25",IF(D267&lt;35,"25-34",IF(D267&lt;45,"35-44",IF(D267&lt;55,"45-54","55+")))))</f>
        <v>35-44</v>
      </c>
      <c r="R267" s="13" t="str">
        <f aca="false">IF(P267&lt;1,"0-1 yrs",IF(P267&lt;3,"1-3 yrs",IF(P267&lt;5,"3-5 yrs",IF(P267&lt;10,"5-10 yrs","10+ yrs"))))</f>
        <v>10+ yrs</v>
      </c>
      <c r="S267" s="13" t="str">
        <f aca="false">IF(I267&gt;=4,"High",IF(I267=3,"Medium","Low"))</f>
        <v>High</v>
      </c>
      <c r="T267" s="13" t="str">
        <f aca="false">IF(M267=1,YEAR(C267),"")</f>
        <v/>
      </c>
      <c r="U267" s="13" t="str">
        <f aca="false">IF(M267=1,YEAR(C267)&amp;"-Q"&amp;ROUNDUP(MONTH(C267)/3,0),"")</f>
        <v/>
      </c>
      <c r="V267" s="13" t="str">
        <f aca="false">IF(M267=1,MONTH(C267),"")</f>
        <v/>
      </c>
    </row>
    <row r="268" customFormat="false" ht="15" hidden="false" customHeight="false" outlineLevel="0" collapsed="false">
      <c r="A268" s="13" t="str">
        <f aca="false">TRIM(Raw_Data!A268)</f>
        <v>EMP0267</v>
      </c>
      <c r="B268" s="14" t="n">
        <f aca="false">Raw_Data!B268</f>
        <v>41924</v>
      </c>
      <c r="C268" s="14" t="str">
        <f aca="false">IF(Raw_Data!C268="","",Raw_Data!C268)</f>
        <v/>
      </c>
      <c r="D268" s="13" t="n">
        <f aca="false">IF(Raw_Data!D268="","",Raw_Data!D268)</f>
        <v>35</v>
      </c>
      <c r="E268" s="13" t="str">
        <f aca="false">IF(UPPER(LEFT(TRIM(Raw_Data!E268),1))="M","Male",IF(UPPER(LEFT(TRIM(Raw_Data!E268),1))="F","Female","Unknown"))</f>
        <v>Male</v>
      </c>
      <c r="F268" s="13" t="str">
        <f aca="false">PROPER(TRIM(SUBSTITUTE(Raw_Data!F268,"'","")))</f>
        <v>Diploma</v>
      </c>
      <c r="G268" s="13" t="str">
        <f aca="false">PROPER(TRIM(Raw_Data!G268))</f>
        <v>Sales</v>
      </c>
      <c r="H268" s="13" t="str">
        <f aca="false">PROPER(TRIM(Raw_Data!H268))</f>
        <v>Senior Analyst</v>
      </c>
      <c r="I268" s="13" t="n">
        <f aca="false">IF(Raw_Data!I268="",DefaultPerf,Raw_Data!I268)</f>
        <v>3</v>
      </c>
      <c r="J268" s="13" t="n">
        <f aca="false">IF(Raw_Data!J268="",DefaultSat,Raw_Data!J268)</f>
        <v>3</v>
      </c>
      <c r="K268" s="15" t="n">
        <f aca="false">Raw_Data!K268</f>
        <v>109500</v>
      </c>
      <c r="L268" s="13" t="str">
        <f aca="false">PROPER(TRIM(Raw_Data!N268))</f>
        <v>Yes</v>
      </c>
      <c r="M268" s="13" t="n">
        <f aca="false">IF(C268="",0,1)</f>
        <v>0</v>
      </c>
      <c r="N268" s="13" t="str">
        <f aca="false">IF(M268=0,"Active",IF(TRIM(Raw_Data!L268)="","Unknown",PROPER(TRIM(Raw_Data!L268))))</f>
        <v>Active</v>
      </c>
      <c r="O268" s="13" t="str">
        <f aca="false">IF(M268=0,"",IF(TRIM(Raw_Data!M268)="","Not Recorded",TRIM(Raw_Data!M268)))</f>
        <v/>
      </c>
      <c r="P268" s="16" t="n">
        <f aca="false">ROUND((IF(C268="",AsOfDate,C268)-B268)/365.25,2)</f>
        <v>11.22</v>
      </c>
      <c r="Q268" s="13" t="str">
        <f aca="false">IF(D268="","Unknown",IF(D268&lt;25,"Under 25",IF(D268&lt;35,"25-34",IF(D268&lt;45,"35-44",IF(D268&lt;55,"45-54","55+")))))</f>
        <v>35-44</v>
      </c>
      <c r="R268" s="13" t="str">
        <f aca="false">IF(P268&lt;1,"0-1 yrs",IF(P268&lt;3,"1-3 yrs",IF(P268&lt;5,"3-5 yrs",IF(P268&lt;10,"5-10 yrs","10+ yrs"))))</f>
        <v>10+ yrs</v>
      </c>
      <c r="S268" s="13" t="str">
        <f aca="false">IF(I268&gt;=4,"High",IF(I268=3,"Medium","Low"))</f>
        <v>Medium</v>
      </c>
      <c r="T268" s="13" t="str">
        <f aca="false">IF(M268=1,YEAR(C268),"")</f>
        <v/>
      </c>
      <c r="U268" s="13" t="str">
        <f aca="false">IF(M268=1,YEAR(C268)&amp;"-Q"&amp;ROUNDUP(MONTH(C268)/3,0),"")</f>
        <v/>
      </c>
      <c r="V268" s="13" t="str">
        <f aca="false">IF(M268=1,MONTH(C268),"")</f>
        <v/>
      </c>
    </row>
    <row r="269" customFormat="false" ht="15" hidden="false" customHeight="false" outlineLevel="0" collapsed="false">
      <c r="A269" s="13" t="str">
        <f aca="false">TRIM(Raw_Data!A269)</f>
        <v>EMP0268</v>
      </c>
      <c r="B269" s="14" t="n">
        <f aca="false">Raw_Data!B269</f>
        <v>41930</v>
      </c>
      <c r="C269" s="14" t="str">
        <f aca="false">IF(Raw_Data!C269="","",Raw_Data!C269)</f>
        <v/>
      </c>
      <c r="D269" s="13" t="n">
        <f aca="false">IF(Raw_Data!D269="","",Raw_Data!D269)</f>
        <v>43</v>
      </c>
      <c r="E269" s="13" t="str">
        <f aca="false">IF(UPPER(LEFT(TRIM(Raw_Data!E269),1))="M","Male",IF(UPPER(LEFT(TRIM(Raw_Data!E269),1))="F","Female","Unknown"))</f>
        <v>Female</v>
      </c>
      <c r="F269" s="13" t="str">
        <f aca="false">PROPER(TRIM(SUBSTITUTE(Raw_Data!F269,"'","")))</f>
        <v>Bachelors</v>
      </c>
      <c r="G269" s="13" t="str">
        <f aca="false">PROPER(TRIM(Raw_Data!G269))</f>
        <v>Sales</v>
      </c>
      <c r="H269" s="13" t="str">
        <f aca="false">PROPER(TRIM(Raw_Data!H269))</f>
        <v>Senior Analyst</v>
      </c>
      <c r="I269" s="13" t="n">
        <f aca="false">IF(Raw_Data!I269="",DefaultPerf,Raw_Data!I269)</f>
        <v>3</v>
      </c>
      <c r="J269" s="13" t="n">
        <f aca="false">IF(Raw_Data!J269="",DefaultSat,Raw_Data!J269)</f>
        <v>2</v>
      </c>
      <c r="K269" s="15" t="n">
        <f aca="false">Raw_Data!K269</f>
        <v>124500</v>
      </c>
      <c r="L269" s="13" t="str">
        <f aca="false">PROPER(TRIM(Raw_Data!N269))</f>
        <v>No</v>
      </c>
      <c r="M269" s="13" t="n">
        <f aca="false">IF(C269="",0,1)</f>
        <v>0</v>
      </c>
      <c r="N269" s="13" t="str">
        <f aca="false">IF(M269=0,"Active",IF(TRIM(Raw_Data!L269)="","Unknown",PROPER(TRIM(Raw_Data!L269))))</f>
        <v>Active</v>
      </c>
      <c r="O269" s="13" t="str">
        <f aca="false">IF(M269=0,"",IF(TRIM(Raw_Data!M269)="","Not Recorded",TRIM(Raw_Data!M269)))</f>
        <v/>
      </c>
      <c r="P269" s="16" t="n">
        <f aca="false">ROUND((IF(C269="",AsOfDate,C269)-B269)/365.25,2)</f>
        <v>11.2</v>
      </c>
      <c r="Q269" s="13" t="str">
        <f aca="false">IF(D269="","Unknown",IF(D269&lt;25,"Under 25",IF(D269&lt;35,"25-34",IF(D269&lt;45,"35-44",IF(D269&lt;55,"45-54","55+")))))</f>
        <v>35-44</v>
      </c>
      <c r="R269" s="13" t="str">
        <f aca="false">IF(P269&lt;1,"0-1 yrs",IF(P269&lt;3,"1-3 yrs",IF(P269&lt;5,"3-5 yrs",IF(P269&lt;10,"5-10 yrs","10+ yrs"))))</f>
        <v>10+ yrs</v>
      </c>
      <c r="S269" s="13" t="str">
        <f aca="false">IF(I269&gt;=4,"High",IF(I269=3,"Medium","Low"))</f>
        <v>Medium</v>
      </c>
      <c r="T269" s="13" t="str">
        <f aca="false">IF(M269=1,YEAR(C269),"")</f>
        <v/>
      </c>
      <c r="U269" s="13" t="str">
        <f aca="false">IF(M269=1,YEAR(C269)&amp;"-Q"&amp;ROUNDUP(MONTH(C269)/3,0),"")</f>
        <v/>
      </c>
      <c r="V269" s="13" t="str">
        <f aca="false">IF(M269=1,MONTH(C269),"")</f>
        <v/>
      </c>
    </row>
    <row r="270" customFormat="false" ht="15" hidden="false" customHeight="false" outlineLevel="0" collapsed="false">
      <c r="A270" s="13" t="str">
        <f aca="false">TRIM(Raw_Data!A270)</f>
        <v>EMP0269</v>
      </c>
      <c r="B270" s="14" t="n">
        <f aca="false">Raw_Data!B270</f>
        <v>41931</v>
      </c>
      <c r="C270" s="14" t="str">
        <f aca="false">IF(Raw_Data!C270="","",Raw_Data!C270)</f>
        <v/>
      </c>
      <c r="D270" s="13" t="n">
        <f aca="false">IF(Raw_Data!D270="","",Raw_Data!D270)</f>
        <v>41</v>
      </c>
      <c r="E270" s="13" t="str">
        <f aca="false">IF(UPPER(LEFT(TRIM(Raw_Data!E270),1))="M","Male",IF(UPPER(LEFT(TRIM(Raw_Data!E270),1))="F","Female","Unknown"))</f>
        <v>Male</v>
      </c>
      <c r="F270" s="13" t="str">
        <f aca="false">PROPER(TRIM(SUBSTITUTE(Raw_Data!F270,"'","")))</f>
        <v>Masters</v>
      </c>
      <c r="G270" s="13" t="str">
        <f aca="false">PROPER(TRIM(Raw_Data!G270))</f>
        <v>Sales</v>
      </c>
      <c r="H270" s="13" t="str">
        <f aca="false">PROPER(TRIM(Raw_Data!H270))</f>
        <v>Associate</v>
      </c>
      <c r="I270" s="13" t="n">
        <f aca="false">IF(Raw_Data!I270="",DefaultPerf,Raw_Data!I270)</f>
        <v>4</v>
      </c>
      <c r="J270" s="13" t="n">
        <f aca="false">IF(Raw_Data!J270="",DefaultSat,Raw_Data!J270)</f>
        <v>3</v>
      </c>
      <c r="K270" s="15" t="n">
        <f aca="false">Raw_Data!K270</f>
        <v>44500</v>
      </c>
      <c r="L270" s="13" t="str">
        <f aca="false">PROPER(TRIM(Raw_Data!N270))</f>
        <v>No</v>
      </c>
      <c r="M270" s="13" t="n">
        <f aca="false">IF(C270="",0,1)</f>
        <v>0</v>
      </c>
      <c r="N270" s="13" t="str">
        <f aca="false">IF(M270=0,"Active",IF(TRIM(Raw_Data!L270)="","Unknown",PROPER(TRIM(Raw_Data!L270))))</f>
        <v>Active</v>
      </c>
      <c r="O270" s="13" t="str">
        <f aca="false">IF(M270=0,"",IF(TRIM(Raw_Data!M270)="","Not Recorded",TRIM(Raw_Data!M270)))</f>
        <v/>
      </c>
      <c r="P270" s="16" t="n">
        <f aca="false">ROUND((IF(C270="",AsOfDate,C270)-B270)/365.25,2)</f>
        <v>11.2</v>
      </c>
      <c r="Q270" s="13" t="str">
        <f aca="false">IF(D270="","Unknown",IF(D270&lt;25,"Under 25",IF(D270&lt;35,"25-34",IF(D270&lt;45,"35-44",IF(D270&lt;55,"45-54","55+")))))</f>
        <v>35-44</v>
      </c>
      <c r="R270" s="13" t="str">
        <f aca="false">IF(P270&lt;1,"0-1 yrs",IF(P270&lt;3,"1-3 yrs",IF(P270&lt;5,"3-5 yrs",IF(P270&lt;10,"5-10 yrs","10+ yrs"))))</f>
        <v>10+ yrs</v>
      </c>
      <c r="S270" s="13" t="str">
        <f aca="false">IF(I270&gt;=4,"High",IF(I270=3,"Medium","Low"))</f>
        <v>High</v>
      </c>
      <c r="T270" s="13" t="str">
        <f aca="false">IF(M270=1,YEAR(C270),"")</f>
        <v/>
      </c>
      <c r="U270" s="13" t="str">
        <f aca="false">IF(M270=1,YEAR(C270)&amp;"-Q"&amp;ROUNDUP(MONTH(C270)/3,0),"")</f>
        <v/>
      </c>
      <c r="V270" s="13" t="str">
        <f aca="false">IF(M270=1,MONTH(C270),"")</f>
        <v/>
      </c>
    </row>
    <row r="271" customFormat="false" ht="15" hidden="false" customHeight="false" outlineLevel="0" collapsed="false">
      <c r="A271" s="13" t="str">
        <f aca="false">TRIM(Raw_Data!A271)</f>
        <v>EMP0270</v>
      </c>
      <c r="B271" s="14" t="n">
        <f aca="false">Raw_Data!B271</f>
        <v>41932</v>
      </c>
      <c r="C271" s="14" t="str">
        <f aca="false">IF(Raw_Data!C271="","",Raw_Data!C271)</f>
        <v/>
      </c>
      <c r="D271" s="13" t="n">
        <f aca="false">IF(Raw_Data!D271="","",Raw_Data!D271)</f>
        <v>41</v>
      </c>
      <c r="E271" s="13" t="str">
        <f aca="false">IF(UPPER(LEFT(TRIM(Raw_Data!E271),1))="M","Male",IF(UPPER(LEFT(TRIM(Raw_Data!E271),1))="F","Female","Unknown"))</f>
        <v>Male</v>
      </c>
      <c r="F271" s="13" t="str">
        <f aca="false">PROPER(TRIM(SUBSTITUTE(Raw_Data!F271,"'","")))</f>
        <v>Bachelors</v>
      </c>
      <c r="G271" s="13" t="str">
        <f aca="false">PROPER(TRIM(Raw_Data!G271))</f>
        <v>Operations</v>
      </c>
      <c r="H271" s="13" t="str">
        <f aca="false">PROPER(TRIM(Raw_Data!H271))</f>
        <v>Specialist</v>
      </c>
      <c r="I271" s="13" t="n">
        <f aca="false">IF(Raw_Data!I271="",DefaultPerf,Raw_Data!I271)</f>
        <v>2</v>
      </c>
      <c r="J271" s="13" t="n">
        <f aca="false">IF(Raw_Data!J271="",DefaultSat,Raw_Data!J271)</f>
        <v>4</v>
      </c>
      <c r="K271" s="15" t="n">
        <f aca="false">Raw_Data!K271</f>
        <v>133000</v>
      </c>
      <c r="L271" s="13" t="str">
        <f aca="false">PROPER(TRIM(Raw_Data!N271))</f>
        <v>Yes</v>
      </c>
      <c r="M271" s="13" t="n">
        <f aca="false">IF(C271="",0,1)</f>
        <v>0</v>
      </c>
      <c r="N271" s="13" t="str">
        <f aca="false">IF(M271=0,"Active",IF(TRIM(Raw_Data!L271)="","Unknown",PROPER(TRIM(Raw_Data!L271))))</f>
        <v>Active</v>
      </c>
      <c r="O271" s="13" t="str">
        <f aca="false">IF(M271=0,"",IF(TRIM(Raw_Data!M271)="","Not Recorded",TRIM(Raw_Data!M271)))</f>
        <v/>
      </c>
      <c r="P271" s="16" t="n">
        <f aca="false">ROUND((IF(C271="",AsOfDate,C271)-B271)/365.25,2)</f>
        <v>11.2</v>
      </c>
      <c r="Q271" s="13" t="str">
        <f aca="false">IF(D271="","Unknown",IF(D271&lt;25,"Under 25",IF(D271&lt;35,"25-34",IF(D271&lt;45,"35-44",IF(D271&lt;55,"45-54","55+")))))</f>
        <v>35-44</v>
      </c>
      <c r="R271" s="13" t="str">
        <f aca="false">IF(P271&lt;1,"0-1 yrs",IF(P271&lt;3,"1-3 yrs",IF(P271&lt;5,"3-5 yrs",IF(P271&lt;10,"5-10 yrs","10+ yrs"))))</f>
        <v>10+ yrs</v>
      </c>
      <c r="S271" s="13" t="str">
        <f aca="false">IF(I271&gt;=4,"High",IF(I271=3,"Medium","Low"))</f>
        <v>Low</v>
      </c>
      <c r="T271" s="13" t="str">
        <f aca="false">IF(M271=1,YEAR(C271),"")</f>
        <v/>
      </c>
      <c r="U271" s="13" t="str">
        <f aca="false">IF(M271=1,YEAR(C271)&amp;"-Q"&amp;ROUNDUP(MONTH(C271)/3,0),"")</f>
        <v/>
      </c>
      <c r="V271" s="13" t="str">
        <f aca="false">IF(M271=1,MONTH(C271),"")</f>
        <v/>
      </c>
    </row>
    <row r="272" customFormat="false" ht="15" hidden="false" customHeight="false" outlineLevel="0" collapsed="false">
      <c r="A272" s="13" t="str">
        <f aca="false">TRIM(Raw_Data!A272)</f>
        <v>EMP0271</v>
      </c>
      <c r="B272" s="14" t="n">
        <f aca="false">Raw_Data!B272</f>
        <v>41933</v>
      </c>
      <c r="C272" s="14" t="str">
        <f aca="false">IF(Raw_Data!C272="","",Raw_Data!C272)</f>
        <v/>
      </c>
      <c r="D272" s="13" t="n">
        <f aca="false">IF(Raw_Data!D272="","",Raw_Data!D272)</f>
        <v>32</v>
      </c>
      <c r="E272" s="13" t="str">
        <f aca="false">IF(UPPER(LEFT(TRIM(Raw_Data!E272),1))="M","Male",IF(UPPER(LEFT(TRIM(Raw_Data!E272),1))="F","Female","Unknown"))</f>
        <v>Male</v>
      </c>
      <c r="F272" s="13" t="str">
        <f aca="false">PROPER(TRIM(SUBSTITUTE(Raw_Data!F272,"'","")))</f>
        <v>High School</v>
      </c>
      <c r="G272" s="13" t="str">
        <f aca="false">PROPER(TRIM(Raw_Data!G272))</f>
        <v>Operations</v>
      </c>
      <c r="H272" s="13" t="str">
        <f aca="false">PROPER(TRIM(Raw_Data!H272))</f>
        <v>Manager</v>
      </c>
      <c r="I272" s="13" t="n">
        <f aca="false">IF(Raw_Data!I272="",DefaultPerf,Raw_Data!I272)</f>
        <v>3</v>
      </c>
      <c r="J272" s="13" t="n">
        <f aca="false">IF(Raw_Data!J272="",DefaultSat,Raw_Data!J272)</f>
        <v>4</v>
      </c>
      <c r="K272" s="15" t="n">
        <f aca="false">Raw_Data!K272</f>
        <v>160500</v>
      </c>
      <c r="L272" s="13" t="str">
        <f aca="false">PROPER(TRIM(Raw_Data!N272))</f>
        <v>No</v>
      </c>
      <c r="M272" s="13" t="n">
        <f aca="false">IF(C272="",0,1)</f>
        <v>0</v>
      </c>
      <c r="N272" s="13" t="str">
        <f aca="false">IF(M272=0,"Active",IF(TRIM(Raw_Data!L272)="","Unknown",PROPER(TRIM(Raw_Data!L272))))</f>
        <v>Active</v>
      </c>
      <c r="O272" s="13" t="str">
        <f aca="false">IF(M272=0,"",IF(TRIM(Raw_Data!M272)="","Not Recorded",TRIM(Raw_Data!M272)))</f>
        <v/>
      </c>
      <c r="P272" s="16" t="n">
        <f aca="false">ROUND((IF(C272="",AsOfDate,C272)-B272)/365.25,2)</f>
        <v>11.2</v>
      </c>
      <c r="Q272" s="13" t="str">
        <f aca="false">IF(D272="","Unknown",IF(D272&lt;25,"Under 25",IF(D272&lt;35,"25-34",IF(D272&lt;45,"35-44",IF(D272&lt;55,"45-54","55+")))))</f>
        <v>25-34</v>
      </c>
      <c r="R272" s="13" t="str">
        <f aca="false">IF(P272&lt;1,"0-1 yrs",IF(P272&lt;3,"1-3 yrs",IF(P272&lt;5,"3-5 yrs",IF(P272&lt;10,"5-10 yrs","10+ yrs"))))</f>
        <v>10+ yrs</v>
      </c>
      <c r="S272" s="13" t="str">
        <f aca="false">IF(I272&gt;=4,"High",IF(I272=3,"Medium","Low"))</f>
        <v>Medium</v>
      </c>
      <c r="T272" s="13" t="str">
        <f aca="false">IF(M272=1,YEAR(C272),"")</f>
        <v/>
      </c>
      <c r="U272" s="13" t="str">
        <f aca="false">IF(M272=1,YEAR(C272)&amp;"-Q"&amp;ROUNDUP(MONTH(C272)/3,0),"")</f>
        <v/>
      </c>
      <c r="V272" s="13" t="str">
        <f aca="false">IF(M272=1,MONTH(C272),"")</f>
        <v/>
      </c>
    </row>
    <row r="273" customFormat="false" ht="15" hidden="false" customHeight="false" outlineLevel="0" collapsed="false">
      <c r="A273" s="13" t="str">
        <f aca="false">TRIM(Raw_Data!A273)</f>
        <v>EMP0272</v>
      </c>
      <c r="B273" s="14" t="n">
        <f aca="false">Raw_Data!B273</f>
        <v>41935</v>
      </c>
      <c r="C273" s="14" t="str">
        <f aca="false">IF(Raw_Data!C273="","",Raw_Data!C273)</f>
        <v/>
      </c>
      <c r="D273" s="13" t="n">
        <f aca="false">IF(Raw_Data!D273="","",Raw_Data!D273)</f>
        <v>32</v>
      </c>
      <c r="E273" s="13" t="str">
        <f aca="false">IF(UPPER(LEFT(TRIM(Raw_Data!E273),1))="M","Male",IF(UPPER(LEFT(TRIM(Raw_Data!E273),1))="F","Female","Unknown"))</f>
        <v>Male</v>
      </c>
      <c r="F273" s="13" t="str">
        <f aca="false">PROPER(TRIM(SUBSTITUTE(Raw_Data!F273,"'","")))</f>
        <v>Diploma</v>
      </c>
      <c r="G273" s="13" t="str">
        <f aca="false">PROPER(TRIM(Raw_Data!G273))</f>
        <v>Finance</v>
      </c>
      <c r="H273" s="13" t="str">
        <f aca="false">PROPER(TRIM(Raw_Data!H273))</f>
        <v>Associate</v>
      </c>
      <c r="I273" s="13" t="n">
        <f aca="false">IF(Raw_Data!I273="",DefaultPerf,Raw_Data!I273)</f>
        <v>1</v>
      </c>
      <c r="J273" s="13" t="n">
        <f aca="false">IF(Raw_Data!J273="",DefaultSat,Raw_Data!J273)</f>
        <v>1</v>
      </c>
      <c r="K273" s="15" t="n">
        <f aca="false">Raw_Data!K273</f>
        <v>44000</v>
      </c>
      <c r="L273" s="13" t="str">
        <f aca="false">PROPER(TRIM(Raw_Data!N273))</f>
        <v>No</v>
      </c>
      <c r="M273" s="13" t="n">
        <f aca="false">IF(C273="",0,1)</f>
        <v>0</v>
      </c>
      <c r="N273" s="13" t="str">
        <f aca="false">IF(M273=0,"Active",IF(TRIM(Raw_Data!L273)="","Unknown",PROPER(TRIM(Raw_Data!L273))))</f>
        <v>Active</v>
      </c>
      <c r="O273" s="13" t="str">
        <f aca="false">IF(M273=0,"",IF(TRIM(Raw_Data!M273)="","Not Recorded",TRIM(Raw_Data!M273)))</f>
        <v/>
      </c>
      <c r="P273" s="16" t="n">
        <f aca="false">ROUND((IF(C273="",AsOfDate,C273)-B273)/365.25,2)</f>
        <v>11.19</v>
      </c>
      <c r="Q273" s="13" t="str">
        <f aca="false">IF(D273="","Unknown",IF(D273&lt;25,"Under 25",IF(D273&lt;35,"25-34",IF(D273&lt;45,"35-44",IF(D273&lt;55,"45-54","55+")))))</f>
        <v>25-34</v>
      </c>
      <c r="R273" s="13" t="str">
        <f aca="false">IF(P273&lt;1,"0-1 yrs",IF(P273&lt;3,"1-3 yrs",IF(P273&lt;5,"3-5 yrs",IF(P273&lt;10,"5-10 yrs","10+ yrs"))))</f>
        <v>10+ yrs</v>
      </c>
      <c r="S273" s="13" t="str">
        <f aca="false">IF(I273&gt;=4,"High",IF(I273=3,"Medium","Low"))</f>
        <v>Low</v>
      </c>
      <c r="T273" s="13" t="str">
        <f aca="false">IF(M273=1,YEAR(C273),"")</f>
        <v/>
      </c>
      <c r="U273" s="13" t="str">
        <f aca="false">IF(M273=1,YEAR(C273)&amp;"-Q"&amp;ROUNDUP(MONTH(C273)/3,0),"")</f>
        <v/>
      </c>
      <c r="V273" s="13" t="str">
        <f aca="false">IF(M273=1,MONTH(C273),"")</f>
        <v/>
      </c>
    </row>
    <row r="274" customFormat="false" ht="15" hidden="false" customHeight="false" outlineLevel="0" collapsed="false">
      <c r="A274" s="13" t="str">
        <f aca="false">TRIM(Raw_Data!A274)</f>
        <v>EMP0273</v>
      </c>
      <c r="B274" s="14" t="n">
        <f aca="false">Raw_Data!B274</f>
        <v>41937</v>
      </c>
      <c r="C274" s="14" t="str">
        <f aca="false">IF(Raw_Data!C274="","",Raw_Data!C274)</f>
        <v/>
      </c>
      <c r="D274" s="13" t="n">
        <f aca="false">IF(Raw_Data!D274="","",Raw_Data!D274)</f>
        <v>42</v>
      </c>
      <c r="E274" s="13" t="str">
        <f aca="false">IF(UPPER(LEFT(TRIM(Raw_Data!E274),1))="M","Male",IF(UPPER(LEFT(TRIM(Raw_Data!E274),1))="F","Female","Unknown"))</f>
        <v>Female</v>
      </c>
      <c r="F274" s="13" t="str">
        <f aca="false">PROPER(TRIM(SUBSTITUTE(Raw_Data!F274,"'","")))</f>
        <v>Masters</v>
      </c>
      <c r="G274" s="13" t="str">
        <f aca="false">PROPER(TRIM(Raw_Data!G274))</f>
        <v>Engineering</v>
      </c>
      <c r="H274" s="13" t="str">
        <f aca="false">PROPER(TRIM(Raw_Data!H274))</f>
        <v>Senior Analyst</v>
      </c>
      <c r="I274" s="13" t="n">
        <f aca="false">IF(Raw_Data!I274="",DefaultPerf,Raw_Data!I274)</f>
        <v>5</v>
      </c>
      <c r="J274" s="13" t="n">
        <f aca="false">IF(Raw_Data!J274="",DefaultSat,Raw_Data!J274)</f>
        <v>4</v>
      </c>
      <c r="K274" s="15" t="n">
        <f aca="false">Raw_Data!K274</f>
        <v>134000</v>
      </c>
      <c r="L274" s="13" t="str">
        <f aca="false">PROPER(TRIM(Raw_Data!N274))</f>
        <v>No</v>
      </c>
      <c r="M274" s="13" t="n">
        <f aca="false">IF(C274="",0,1)</f>
        <v>0</v>
      </c>
      <c r="N274" s="13" t="str">
        <f aca="false">IF(M274=0,"Active",IF(TRIM(Raw_Data!L274)="","Unknown",PROPER(TRIM(Raw_Data!L274))))</f>
        <v>Active</v>
      </c>
      <c r="O274" s="13" t="str">
        <f aca="false">IF(M274=0,"",IF(TRIM(Raw_Data!M274)="","Not Recorded",TRIM(Raw_Data!M274)))</f>
        <v/>
      </c>
      <c r="P274" s="16" t="n">
        <f aca="false">ROUND((IF(C274="",AsOfDate,C274)-B274)/365.25,2)</f>
        <v>11.18</v>
      </c>
      <c r="Q274" s="13" t="str">
        <f aca="false">IF(D274="","Unknown",IF(D274&lt;25,"Under 25",IF(D274&lt;35,"25-34",IF(D274&lt;45,"35-44",IF(D274&lt;55,"45-54","55+")))))</f>
        <v>35-44</v>
      </c>
      <c r="R274" s="13" t="str">
        <f aca="false">IF(P274&lt;1,"0-1 yrs",IF(P274&lt;3,"1-3 yrs",IF(P274&lt;5,"3-5 yrs",IF(P274&lt;10,"5-10 yrs","10+ yrs"))))</f>
        <v>10+ yrs</v>
      </c>
      <c r="S274" s="13" t="str">
        <f aca="false">IF(I274&gt;=4,"High",IF(I274=3,"Medium","Low"))</f>
        <v>High</v>
      </c>
      <c r="T274" s="13" t="str">
        <f aca="false">IF(M274=1,YEAR(C274),"")</f>
        <v/>
      </c>
      <c r="U274" s="13" t="str">
        <f aca="false">IF(M274=1,YEAR(C274)&amp;"-Q"&amp;ROUNDUP(MONTH(C274)/3,0),"")</f>
        <v/>
      </c>
      <c r="V274" s="13" t="str">
        <f aca="false">IF(M274=1,MONTH(C274),"")</f>
        <v/>
      </c>
    </row>
    <row r="275" customFormat="false" ht="15" hidden="false" customHeight="false" outlineLevel="0" collapsed="false">
      <c r="A275" s="13" t="str">
        <f aca="false">TRIM(Raw_Data!A275)</f>
        <v>EMP0274</v>
      </c>
      <c r="B275" s="14" t="n">
        <f aca="false">Raw_Data!B275</f>
        <v>41944</v>
      </c>
      <c r="C275" s="14" t="n">
        <f aca="false">IF(Raw_Data!C275="","",Raw_Data!C275)</f>
        <v>45589</v>
      </c>
      <c r="D275" s="13" t="n">
        <f aca="false">IF(Raw_Data!D275="","",Raw_Data!D275)</f>
        <v>44</v>
      </c>
      <c r="E275" s="13" t="str">
        <f aca="false">IF(UPPER(LEFT(TRIM(Raw_Data!E275),1))="M","Male",IF(UPPER(LEFT(TRIM(Raw_Data!E275),1))="F","Female","Unknown"))</f>
        <v>Male</v>
      </c>
      <c r="F275" s="13" t="str">
        <f aca="false">PROPER(TRIM(SUBSTITUTE(Raw_Data!F275,"'","")))</f>
        <v>High School</v>
      </c>
      <c r="G275" s="13" t="str">
        <f aca="false">PROPER(TRIM(Raw_Data!G275))</f>
        <v>Sales</v>
      </c>
      <c r="H275" s="13" t="str">
        <f aca="false">PROPER(TRIM(Raw_Data!H275))</f>
        <v>Senior Analyst</v>
      </c>
      <c r="I275" s="13" t="n">
        <f aca="false">IF(Raw_Data!I275="",DefaultPerf,Raw_Data!I275)</f>
        <v>3</v>
      </c>
      <c r="J275" s="13" t="n">
        <f aca="false">IF(Raw_Data!J275="",DefaultSat,Raw_Data!J275)</f>
        <v>4</v>
      </c>
      <c r="K275" s="15" t="n">
        <f aca="false">Raw_Data!K275</f>
        <v>126000</v>
      </c>
      <c r="L275" s="13" t="str">
        <f aca="false">PROPER(TRIM(Raw_Data!N275))</f>
        <v>No</v>
      </c>
      <c r="M275" s="13" t="n">
        <f aca="false">IF(C275="",0,1)</f>
        <v>1</v>
      </c>
      <c r="N275" s="13" t="str">
        <f aca="false">IF(M275=0,"Active",IF(TRIM(Raw_Data!L275)="","Unknown",PROPER(TRIM(Raw_Data!L275))))</f>
        <v>Voluntary</v>
      </c>
      <c r="O275" s="13" t="str">
        <f aca="false">IF(M275=0,"",IF(TRIM(Raw_Data!M275)="","Not Recorded",TRIM(Raw_Data!M275)))</f>
        <v>Further Studies</v>
      </c>
      <c r="P275" s="16" t="n">
        <f aca="false">ROUND((IF(C275="",AsOfDate,C275)-B275)/365.25,2)</f>
        <v>9.98</v>
      </c>
      <c r="Q275" s="13" t="str">
        <f aca="false">IF(D275="","Unknown",IF(D275&lt;25,"Under 25",IF(D275&lt;35,"25-34",IF(D275&lt;45,"35-44",IF(D275&lt;55,"45-54","55+")))))</f>
        <v>35-44</v>
      </c>
      <c r="R275" s="13" t="str">
        <f aca="false">IF(P275&lt;1,"0-1 yrs",IF(P275&lt;3,"1-3 yrs",IF(P275&lt;5,"3-5 yrs",IF(P275&lt;10,"5-10 yrs","10+ yrs"))))</f>
        <v>5-10 yrs</v>
      </c>
      <c r="S275" s="13" t="str">
        <f aca="false">IF(I275&gt;=4,"High",IF(I275=3,"Medium","Low"))</f>
        <v>Medium</v>
      </c>
      <c r="T275" s="13" t="n">
        <f aca="false">IF(M275=1,YEAR(C275),"")</f>
        <v>2024</v>
      </c>
      <c r="U275" s="13" t="str">
        <f aca="false">IF(M275=1,YEAR(C275)&amp;"-Q"&amp;ROUNDUP(MONTH(C275)/3,0),"")</f>
        <v>2024-Q4</v>
      </c>
      <c r="V275" s="13" t="n">
        <f aca="false">IF(M275=1,MONTH(C275),"")</f>
        <v>10</v>
      </c>
    </row>
    <row r="276" customFormat="false" ht="15" hidden="false" customHeight="false" outlineLevel="0" collapsed="false">
      <c r="A276" s="13" t="str">
        <f aca="false">TRIM(Raw_Data!A276)</f>
        <v>EMP0275</v>
      </c>
      <c r="B276" s="14" t="n">
        <f aca="false">Raw_Data!B276</f>
        <v>41946</v>
      </c>
      <c r="C276" s="14" t="str">
        <f aca="false">IF(Raw_Data!C276="","",Raw_Data!C276)</f>
        <v/>
      </c>
      <c r="D276" s="13" t="n">
        <f aca="false">IF(Raw_Data!D276="","",Raw_Data!D276)</f>
        <v>45</v>
      </c>
      <c r="E276" s="13" t="str">
        <f aca="false">IF(UPPER(LEFT(TRIM(Raw_Data!E276),1))="M","Male",IF(UPPER(LEFT(TRIM(Raw_Data!E276),1))="F","Female","Unknown"))</f>
        <v>Female</v>
      </c>
      <c r="F276" s="13" t="str">
        <f aca="false">PROPER(TRIM(SUBSTITUTE(Raw_Data!F276,"'","")))</f>
        <v>Diploma</v>
      </c>
      <c r="G276" s="13" t="str">
        <f aca="false">PROPER(TRIM(Raw_Data!G276))</f>
        <v>Operations</v>
      </c>
      <c r="H276" s="13" t="str">
        <f aca="false">PROPER(TRIM(Raw_Data!H276))</f>
        <v>Team Lead</v>
      </c>
      <c r="I276" s="13" t="n">
        <f aca="false">IF(Raw_Data!I276="",DefaultPerf,Raw_Data!I276)</f>
        <v>3</v>
      </c>
      <c r="J276" s="13" t="n">
        <f aca="false">IF(Raw_Data!J276="",DefaultSat,Raw_Data!J276)</f>
        <v>2</v>
      </c>
      <c r="K276" s="15" t="n">
        <f aca="false">Raw_Data!K276</f>
        <v>177000</v>
      </c>
      <c r="L276" s="13" t="str">
        <f aca="false">PROPER(TRIM(Raw_Data!N276))</f>
        <v>No</v>
      </c>
      <c r="M276" s="13" t="n">
        <f aca="false">IF(C276="",0,1)</f>
        <v>0</v>
      </c>
      <c r="N276" s="13" t="str">
        <f aca="false">IF(M276=0,"Active",IF(TRIM(Raw_Data!L276)="","Unknown",PROPER(TRIM(Raw_Data!L276))))</f>
        <v>Active</v>
      </c>
      <c r="O276" s="13" t="str">
        <f aca="false">IF(M276=0,"",IF(TRIM(Raw_Data!M276)="","Not Recorded",TRIM(Raw_Data!M276)))</f>
        <v/>
      </c>
      <c r="P276" s="16" t="n">
        <f aca="false">ROUND((IF(C276="",AsOfDate,C276)-B276)/365.25,2)</f>
        <v>11.16</v>
      </c>
      <c r="Q276" s="13" t="str">
        <f aca="false">IF(D276="","Unknown",IF(D276&lt;25,"Under 25",IF(D276&lt;35,"25-34",IF(D276&lt;45,"35-44",IF(D276&lt;55,"45-54","55+")))))</f>
        <v>45-54</v>
      </c>
      <c r="R276" s="13" t="str">
        <f aca="false">IF(P276&lt;1,"0-1 yrs",IF(P276&lt;3,"1-3 yrs",IF(P276&lt;5,"3-5 yrs",IF(P276&lt;10,"5-10 yrs","10+ yrs"))))</f>
        <v>10+ yrs</v>
      </c>
      <c r="S276" s="13" t="str">
        <f aca="false">IF(I276&gt;=4,"High",IF(I276=3,"Medium","Low"))</f>
        <v>Medium</v>
      </c>
      <c r="T276" s="13" t="str">
        <f aca="false">IF(M276=1,YEAR(C276),"")</f>
        <v/>
      </c>
      <c r="U276" s="13" t="str">
        <f aca="false">IF(M276=1,YEAR(C276)&amp;"-Q"&amp;ROUNDUP(MONTH(C276)/3,0),"")</f>
        <v/>
      </c>
      <c r="V276" s="13" t="str">
        <f aca="false">IF(M276=1,MONTH(C276),"")</f>
        <v/>
      </c>
    </row>
    <row r="277" customFormat="false" ht="15" hidden="false" customHeight="false" outlineLevel="0" collapsed="false">
      <c r="A277" s="13" t="str">
        <f aca="false">TRIM(Raw_Data!A277)</f>
        <v>EMP0276</v>
      </c>
      <c r="B277" s="14" t="n">
        <f aca="false">Raw_Data!B277</f>
        <v>41948</v>
      </c>
      <c r="C277" s="14" t="str">
        <f aca="false">IF(Raw_Data!C277="","",Raw_Data!C277)</f>
        <v/>
      </c>
      <c r="D277" s="13" t="n">
        <f aca="false">IF(Raw_Data!D277="","",Raw_Data!D277)</f>
        <v>43</v>
      </c>
      <c r="E277" s="13" t="str">
        <f aca="false">IF(UPPER(LEFT(TRIM(Raw_Data!E277),1))="M","Male",IF(UPPER(LEFT(TRIM(Raw_Data!E277),1))="F","Female","Unknown"))</f>
        <v>Female</v>
      </c>
      <c r="F277" s="13" t="str">
        <f aca="false">PROPER(TRIM(SUBSTITUTE(Raw_Data!F277,"'","")))</f>
        <v>High School</v>
      </c>
      <c r="G277" s="13" t="str">
        <f aca="false">PROPER(TRIM(Raw_Data!G277))</f>
        <v>Sales</v>
      </c>
      <c r="H277" s="13" t="str">
        <f aca="false">PROPER(TRIM(Raw_Data!H277))</f>
        <v>Analyst</v>
      </c>
      <c r="I277" s="13" t="n">
        <f aca="false">IF(Raw_Data!I277="",DefaultPerf,Raw_Data!I277)</f>
        <v>4</v>
      </c>
      <c r="J277" s="13" t="n">
        <f aca="false">IF(Raw_Data!J277="",DefaultSat,Raw_Data!J277)</f>
        <v>2</v>
      </c>
      <c r="K277" s="15" t="n">
        <f aca="false">Raw_Data!K277</f>
        <v>104000</v>
      </c>
      <c r="L277" s="13" t="str">
        <f aca="false">PROPER(TRIM(Raw_Data!N277))</f>
        <v>No</v>
      </c>
      <c r="M277" s="13" t="n">
        <f aca="false">IF(C277="",0,1)</f>
        <v>0</v>
      </c>
      <c r="N277" s="13" t="str">
        <f aca="false">IF(M277=0,"Active",IF(TRIM(Raw_Data!L277)="","Unknown",PROPER(TRIM(Raw_Data!L277))))</f>
        <v>Active</v>
      </c>
      <c r="O277" s="13" t="str">
        <f aca="false">IF(M277=0,"",IF(TRIM(Raw_Data!M277)="","Not Recorded",TRIM(Raw_Data!M277)))</f>
        <v/>
      </c>
      <c r="P277" s="16" t="n">
        <f aca="false">ROUND((IF(C277="",AsOfDate,C277)-B277)/365.25,2)</f>
        <v>11.15</v>
      </c>
      <c r="Q277" s="13" t="str">
        <f aca="false">IF(D277="","Unknown",IF(D277&lt;25,"Under 25",IF(D277&lt;35,"25-34",IF(D277&lt;45,"35-44",IF(D277&lt;55,"45-54","55+")))))</f>
        <v>35-44</v>
      </c>
      <c r="R277" s="13" t="str">
        <f aca="false">IF(P277&lt;1,"0-1 yrs",IF(P277&lt;3,"1-3 yrs",IF(P277&lt;5,"3-5 yrs",IF(P277&lt;10,"5-10 yrs","10+ yrs"))))</f>
        <v>10+ yrs</v>
      </c>
      <c r="S277" s="13" t="str">
        <f aca="false">IF(I277&gt;=4,"High",IF(I277=3,"Medium","Low"))</f>
        <v>High</v>
      </c>
      <c r="T277" s="13" t="str">
        <f aca="false">IF(M277=1,YEAR(C277),"")</f>
        <v/>
      </c>
      <c r="U277" s="13" t="str">
        <f aca="false">IF(M277=1,YEAR(C277)&amp;"-Q"&amp;ROUNDUP(MONTH(C277)/3,0),"")</f>
        <v/>
      </c>
      <c r="V277" s="13" t="str">
        <f aca="false">IF(M277=1,MONTH(C277),"")</f>
        <v/>
      </c>
    </row>
    <row r="278" customFormat="false" ht="15" hidden="false" customHeight="false" outlineLevel="0" collapsed="false">
      <c r="A278" s="13" t="str">
        <f aca="false">TRIM(Raw_Data!A278)</f>
        <v>EMP0277</v>
      </c>
      <c r="B278" s="14" t="n">
        <f aca="false">Raw_Data!B278</f>
        <v>41950</v>
      </c>
      <c r="C278" s="14" t="str">
        <f aca="false">IF(Raw_Data!C278="","",Raw_Data!C278)</f>
        <v/>
      </c>
      <c r="D278" s="13" t="n">
        <f aca="false">IF(Raw_Data!D278="","",Raw_Data!D278)</f>
        <v>44</v>
      </c>
      <c r="E278" s="13" t="str">
        <f aca="false">IF(UPPER(LEFT(TRIM(Raw_Data!E278),1))="M","Male",IF(UPPER(LEFT(TRIM(Raw_Data!E278),1))="F","Female","Unknown"))</f>
        <v>Male</v>
      </c>
      <c r="F278" s="13" t="str">
        <f aca="false">PROPER(TRIM(SUBSTITUTE(Raw_Data!F278,"'","")))</f>
        <v>Diploma</v>
      </c>
      <c r="G278" s="13" t="str">
        <f aca="false">PROPER(TRIM(Raw_Data!G278))</f>
        <v>Operations</v>
      </c>
      <c r="H278" s="13" t="str">
        <f aca="false">PROPER(TRIM(Raw_Data!H278))</f>
        <v>Team Lead</v>
      </c>
      <c r="I278" s="13" t="n">
        <f aca="false">IF(Raw_Data!I278="",DefaultPerf,Raw_Data!I278)</f>
        <v>4</v>
      </c>
      <c r="J278" s="13" t="n">
        <f aca="false">IF(Raw_Data!J278="",DefaultSat,Raw_Data!J278)</f>
        <v>2</v>
      </c>
      <c r="K278" s="15" t="n">
        <f aca="false">Raw_Data!K278</f>
        <v>157500</v>
      </c>
      <c r="L278" s="13" t="str">
        <f aca="false">PROPER(TRIM(Raw_Data!N278))</f>
        <v>No</v>
      </c>
      <c r="M278" s="13" t="n">
        <f aca="false">IF(C278="",0,1)</f>
        <v>0</v>
      </c>
      <c r="N278" s="13" t="str">
        <f aca="false">IF(M278=0,"Active",IF(TRIM(Raw_Data!L278)="","Unknown",PROPER(TRIM(Raw_Data!L278))))</f>
        <v>Active</v>
      </c>
      <c r="O278" s="13" t="str">
        <f aca="false">IF(M278=0,"",IF(TRIM(Raw_Data!M278)="","Not Recorded",TRIM(Raw_Data!M278)))</f>
        <v/>
      </c>
      <c r="P278" s="16" t="n">
        <f aca="false">ROUND((IF(C278="",AsOfDate,C278)-B278)/365.25,2)</f>
        <v>11.15</v>
      </c>
      <c r="Q278" s="13" t="str">
        <f aca="false">IF(D278="","Unknown",IF(D278&lt;25,"Under 25",IF(D278&lt;35,"25-34",IF(D278&lt;45,"35-44",IF(D278&lt;55,"45-54","55+")))))</f>
        <v>35-44</v>
      </c>
      <c r="R278" s="13" t="str">
        <f aca="false">IF(P278&lt;1,"0-1 yrs",IF(P278&lt;3,"1-3 yrs",IF(P278&lt;5,"3-5 yrs",IF(P278&lt;10,"5-10 yrs","10+ yrs"))))</f>
        <v>10+ yrs</v>
      </c>
      <c r="S278" s="13" t="str">
        <f aca="false">IF(I278&gt;=4,"High",IF(I278=3,"Medium","Low"))</f>
        <v>High</v>
      </c>
      <c r="T278" s="13" t="str">
        <f aca="false">IF(M278=1,YEAR(C278),"")</f>
        <v/>
      </c>
      <c r="U278" s="13" t="str">
        <f aca="false">IF(M278=1,YEAR(C278)&amp;"-Q"&amp;ROUNDUP(MONTH(C278)/3,0),"")</f>
        <v/>
      </c>
      <c r="V278" s="13" t="str">
        <f aca="false">IF(M278=1,MONTH(C278),"")</f>
        <v/>
      </c>
    </row>
    <row r="279" customFormat="false" ht="15" hidden="false" customHeight="false" outlineLevel="0" collapsed="false">
      <c r="A279" s="13" t="str">
        <f aca="false">TRIM(Raw_Data!A279)</f>
        <v>EMP0278</v>
      </c>
      <c r="B279" s="14" t="n">
        <f aca="false">Raw_Data!B279</f>
        <v>41957</v>
      </c>
      <c r="C279" s="14" t="n">
        <f aca="false">IF(Raw_Data!C279="","",Raw_Data!C279)</f>
        <v>44967</v>
      </c>
      <c r="D279" s="13" t="n">
        <f aca="false">IF(Raw_Data!D279="","",Raw_Data!D279)</f>
        <v>30</v>
      </c>
      <c r="E279" s="13" t="str">
        <f aca="false">IF(UPPER(LEFT(TRIM(Raw_Data!E279),1))="M","Male",IF(UPPER(LEFT(TRIM(Raw_Data!E279),1))="F","Female","Unknown"))</f>
        <v>Female</v>
      </c>
      <c r="F279" s="13" t="str">
        <f aca="false">PROPER(TRIM(SUBSTITUTE(Raw_Data!F279,"'","")))</f>
        <v>Bachelors</v>
      </c>
      <c r="G279" s="13" t="str">
        <f aca="false">PROPER(TRIM(Raw_Data!G279))</f>
        <v>Engineering</v>
      </c>
      <c r="H279" s="13" t="str">
        <f aca="false">PROPER(TRIM(Raw_Data!H279))</f>
        <v>Specialist</v>
      </c>
      <c r="I279" s="13" t="n">
        <f aca="false">IF(Raw_Data!I279="",DefaultPerf,Raw_Data!I279)</f>
        <v>1</v>
      </c>
      <c r="J279" s="13" t="n">
        <f aca="false">IF(Raw_Data!J279="",DefaultSat,Raw_Data!J279)</f>
        <v>2</v>
      </c>
      <c r="K279" s="15" t="n">
        <f aca="false">Raw_Data!K279</f>
        <v>116500</v>
      </c>
      <c r="L279" s="13" t="str">
        <f aca="false">PROPER(TRIM(Raw_Data!N279))</f>
        <v>No</v>
      </c>
      <c r="M279" s="13" t="n">
        <f aca="false">IF(C279="",0,1)</f>
        <v>1</v>
      </c>
      <c r="N279" s="13" t="str">
        <f aca="false">IF(M279=0,"Active",IF(TRIM(Raw_Data!L279)="","Unknown",PROPER(TRIM(Raw_Data!L279))))</f>
        <v>Involuntary</v>
      </c>
      <c r="O279" s="13" t="str">
        <f aca="false">IF(M279=0,"",IF(TRIM(Raw_Data!M279)="","Not Recorded",TRIM(Raw_Data!M279)))</f>
        <v>Poor Performance</v>
      </c>
      <c r="P279" s="16" t="n">
        <f aca="false">ROUND((IF(C279="",AsOfDate,C279)-B279)/365.25,2)</f>
        <v>8.24</v>
      </c>
      <c r="Q279" s="13" t="str">
        <f aca="false">IF(D279="","Unknown",IF(D279&lt;25,"Under 25",IF(D279&lt;35,"25-34",IF(D279&lt;45,"35-44",IF(D279&lt;55,"45-54","55+")))))</f>
        <v>25-34</v>
      </c>
      <c r="R279" s="13" t="str">
        <f aca="false">IF(P279&lt;1,"0-1 yrs",IF(P279&lt;3,"1-3 yrs",IF(P279&lt;5,"3-5 yrs",IF(P279&lt;10,"5-10 yrs","10+ yrs"))))</f>
        <v>5-10 yrs</v>
      </c>
      <c r="S279" s="13" t="str">
        <f aca="false">IF(I279&gt;=4,"High",IF(I279=3,"Medium","Low"))</f>
        <v>Low</v>
      </c>
      <c r="T279" s="13" t="n">
        <f aca="false">IF(M279=1,YEAR(C279),"")</f>
        <v>2023</v>
      </c>
      <c r="U279" s="13" t="str">
        <f aca="false">IF(M279=1,YEAR(C279)&amp;"-Q"&amp;ROUNDUP(MONTH(C279)/3,0),"")</f>
        <v>2023-Q1</v>
      </c>
      <c r="V279" s="13" t="n">
        <f aca="false">IF(M279=1,MONTH(C279),"")</f>
        <v>2</v>
      </c>
    </row>
    <row r="280" customFormat="false" ht="15" hidden="false" customHeight="false" outlineLevel="0" collapsed="false">
      <c r="A280" s="13" t="str">
        <f aca="false">TRIM(Raw_Data!A280)</f>
        <v>EMP0279</v>
      </c>
      <c r="B280" s="14" t="n">
        <f aca="false">Raw_Data!B280</f>
        <v>41958</v>
      </c>
      <c r="C280" s="14" t="n">
        <f aca="false">IF(Raw_Data!C280="","",Raw_Data!C280)</f>
        <v>45281</v>
      </c>
      <c r="D280" s="13" t="n">
        <f aca="false">IF(Raw_Data!D280="","",Raw_Data!D280)</f>
        <v>43</v>
      </c>
      <c r="E280" s="13" t="str">
        <f aca="false">IF(UPPER(LEFT(TRIM(Raw_Data!E280),1))="M","Male",IF(UPPER(LEFT(TRIM(Raw_Data!E280),1))="F","Female","Unknown"))</f>
        <v>Female</v>
      </c>
      <c r="F280" s="13" t="str">
        <f aca="false">PROPER(TRIM(SUBSTITUTE(Raw_Data!F280,"'","")))</f>
        <v>Bachelors</v>
      </c>
      <c r="G280" s="13" t="str">
        <f aca="false">PROPER(TRIM(Raw_Data!G280))</f>
        <v>Engineering</v>
      </c>
      <c r="H280" s="13" t="str">
        <f aca="false">PROPER(TRIM(Raw_Data!H280))</f>
        <v>Associate</v>
      </c>
      <c r="I280" s="13" t="n">
        <f aca="false">IF(Raw_Data!I280="",DefaultPerf,Raw_Data!I280)</f>
        <v>2</v>
      </c>
      <c r="J280" s="13" t="n">
        <f aca="false">IF(Raw_Data!J280="",DefaultSat,Raw_Data!J280)</f>
        <v>2</v>
      </c>
      <c r="K280" s="15" t="n">
        <f aca="false">Raw_Data!K280</f>
        <v>32000</v>
      </c>
      <c r="L280" s="13" t="str">
        <f aca="false">PROPER(TRIM(Raw_Data!N280))</f>
        <v>Yes</v>
      </c>
      <c r="M280" s="13" t="n">
        <f aca="false">IF(C280="",0,1)</f>
        <v>1</v>
      </c>
      <c r="N280" s="13" t="str">
        <f aca="false">IF(M280=0,"Active",IF(TRIM(Raw_Data!L280)="","Unknown",PROPER(TRIM(Raw_Data!L280))))</f>
        <v>Involuntary</v>
      </c>
      <c r="O280" s="13" t="str">
        <f aca="false">IF(M280=0,"",IF(TRIM(Raw_Data!M280)="","Not Recorded",TRIM(Raw_Data!M280)))</f>
        <v>End of Contract</v>
      </c>
      <c r="P280" s="16" t="n">
        <f aca="false">ROUND((IF(C280="",AsOfDate,C280)-B280)/365.25,2)</f>
        <v>9.1</v>
      </c>
      <c r="Q280" s="13" t="str">
        <f aca="false">IF(D280="","Unknown",IF(D280&lt;25,"Under 25",IF(D280&lt;35,"25-34",IF(D280&lt;45,"35-44",IF(D280&lt;55,"45-54","55+")))))</f>
        <v>35-44</v>
      </c>
      <c r="R280" s="13" t="str">
        <f aca="false">IF(P280&lt;1,"0-1 yrs",IF(P280&lt;3,"1-3 yrs",IF(P280&lt;5,"3-5 yrs",IF(P280&lt;10,"5-10 yrs","10+ yrs"))))</f>
        <v>5-10 yrs</v>
      </c>
      <c r="S280" s="13" t="str">
        <f aca="false">IF(I280&gt;=4,"High",IF(I280=3,"Medium","Low"))</f>
        <v>Low</v>
      </c>
      <c r="T280" s="13" t="n">
        <f aca="false">IF(M280=1,YEAR(C280),"")</f>
        <v>2023</v>
      </c>
      <c r="U280" s="13" t="str">
        <f aca="false">IF(M280=1,YEAR(C280)&amp;"-Q"&amp;ROUNDUP(MONTH(C280)/3,0),"")</f>
        <v>2023-Q4</v>
      </c>
      <c r="V280" s="13" t="n">
        <f aca="false">IF(M280=1,MONTH(C280),"")</f>
        <v>12</v>
      </c>
    </row>
    <row r="281" customFormat="false" ht="15" hidden="false" customHeight="false" outlineLevel="0" collapsed="false">
      <c r="A281" s="13" t="str">
        <f aca="false">TRIM(Raw_Data!A281)</f>
        <v>EMP0280</v>
      </c>
      <c r="B281" s="14" t="n">
        <f aca="false">Raw_Data!B281</f>
        <v>41960</v>
      </c>
      <c r="C281" s="14" t="str">
        <f aca="false">IF(Raw_Data!C281="","",Raw_Data!C281)</f>
        <v/>
      </c>
      <c r="D281" s="13" t="n">
        <f aca="false">IF(Raw_Data!D281="","",Raw_Data!D281)</f>
        <v>43</v>
      </c>
      <c r="E281" s="13" t="str">
        <f aca="false">IF(UPPER(LEFT(TRIM(Raw_Data!E281),1))="M","Male",IF(UPPER(LEFT(TRIM(Raw_Data!E281),1))="F","Female","Unknown"))</f>
        <v>Female</v>
      </c>
      <c r="F281" s="13" t="str">
        <f aca="false">PROPER(TRIM(SUBSTITUTE(Raw_Data!F281,"'","")))</f>
        <v>High School</v>
      </c>
      <c r="G281" s="13" t="str">
        <f aca="false">PROPER(TRIM(Raw_Data!G281))</f>
        <v>Engineering</v>
      </c>
      <c r="H281" s="13" t="str">
        <f aca="false">PROPER(TRIM(Raw_Data!H281))</f>
        <v>Specialist</v>
      </c>
      <c r="I281" s="13" t="n">
        <f aca="false">IF(Raw_Data!I281="",DefaultPerf,Raw_Data!I281)</f>
        <v>4</v>
      </c>
      <c r="J281" s="13" t="n">
        <f aca="false">IF(Raw_Data!J281="",DefaultSat,Raw_Data!J281)</f>
        <v>1</v>
      </c>
      <c r="K281" s="15" t="n">
        <f aca="false">Raw_Data!K281</f>
        <v>115000</v>
      </c>
      <c r="L281" s="13" t="str">
        <f aca="false">PROPER(TRIM(Raw_Data!N281))</f>
        <v>No</v>
      </c>
      <c r="M281" s="13" t="n">
        <f aca="false">IF(C281="",0,1)</f>
        <v>0</v>
      </c>
      <c r="N281" s="13" t="str">
        <f aca="false">IF(M281=0,"Active",IF(TRIM(Raw_Data!L281)="","Unknown",PROPER(TRIM(Raw_Data!L281))))</f>
        <v>Active</v>
      </c>
      <c r="O281" s="13" t="str">
        <f aca="false">IF(M281=0,"",IF(TRIM(Raw_Data!M281)="","Not Recorded",TRIM(Raw_Data!M281)))</f>
        <v/>
      </c>
      <c r="P281" s="16" t="n">
        <f aca="false">ROUND((IF(C281="",AsOfDate,C281)-B281)/365.25,2)</f>
        <v>11.12</v>
      </c>
      <c r="Q281" s="13" t="str">
        <f aca="false">IF(D281="","Unknown",IF(D281&lt;25,"Under 25",IF(D281&lt;35,"25-34",IF(D281&lt;45,"35-44",IF(D281&lt;55,"45-54","55+")))))</f>
        <v>35-44</v>
      </c>
      <c r="R281" s="13" t="str">
        <f aca="false">IF(P281&lt;1,"0-1 yrs",IF(P281&lt;3,"1-3 yrs",IF(P281&lt;5,"3-5 yrs",IF(P281&lt;10,"5-10 yrs","10+ yrs"))))</f>
        <v>10+ yrs</v>
      </c>
      <c r="S281" s="13" t="str">
        <f aca="false">IF(I281&gt;=4,"High",IF(I281=3,"Medium","Low"))</f>
        <v>High</v>
      </c>
      <c r="T281" s="13" t="str">
        <f aca="false">IF(M281=1,YEAR(C281),"")</f>
        <v/>
      </c>
      <c r="U281" s="13" t="str">
        <f aca="false">IF(M281=1,YEAR(C281)&amp;"-Q"&amp;ROUNDUP(MONTH(C281)/3,0),"")</f>
        <v/>
      </c>
      <c r="V281" s="13" t="str">
        <f aca="false">IF(M281=1,MONTH(C281),"")</f>
        <v/>
      </c>
    </row>
    <row r="282" customFormat="false" ht="15" hidden="false" customHeight="false" outlineLevel="0" collapsed="false">
      <c r="A282" s="13" t="str">
        <f aca="false">TRIM(Raw_Data!A282)</f>
        <v>EMP0281</v>
      </c>
      <c r="B282" s="14" t="n">
        <f aca="false">Raw_Data!B282</f>
        <v>41960</v>
      </c>
      <c r="C282" s="14" t="n">
        <f aca="false">IF(Raw_Data!C282="","",Raw_Data!C282)</f>
        <v>45139</v>
      </c>
      <c r="D282" s="13" t="n">
        <f aca="false">IF(Raw_Data!D282="","",Raw_Data!D282)</f>
        <v>30</v>
      </c>
      <c r="E282" s="13" t="str">
        <f aca="false">IF(UPPER(LEFT(TRIM(Raw_Data!E282),1))="M","Male",IF(UPPER(LEFT(TRIM(Raw_Data!E282),1))="F","Female","Unknown"))</f>
        <v>Male</v>
      </c>
      <c r="F282" s="13" t="str">
        <f aca="false">PROPER(TRIM(SUBSTITUTE(Raw_Data!F282,"'","")))</f>
        <v>Bachelors</v>
      </c>
      <c r="G282" s="13" t="str">
        <f aca="false">PROPER(TRIM(Raw_Data!G282))</f>
        <v>Sales</v>
      </c>
      <c r="H282" s="13" t="str">
        <f aca="false">PROPER(TRIM(Raw_Data!H282))</f>
        <v>Analyst</v>
      </c>
      <c r="I282" s="13" t="n">
        <f aca="false">IF(Raw_Data!I282="",DefaultPerf,Raw_Data!I282)</f>
        <v>1</v>
      </c>
      <c r="J282" s="13" t="n">
        <f aca="false">IF(Raw_Data!J282="",DefaultSat,Raw_Data!J282)</f>
        <v>3</v>
      </c>
      <c r="K282" s="15" t="n">
        <f aca="false">Raw_Data!K282</f>
        <v>64000</v>
      </c>
      <c r="L282" s="13" t="str">
        <f aca="false">PROPER(TRIM(Raw_Data!N282))</f>
        <v>Yes</v>
      </c>
      <c r="M282" s="13" t="n">
        <f aca="false">IF(C282="",0,1)</f>
        <v>1</v>
      </c>
      <c r="N282" s="13" t="str">
        <f aca="false">IF(M282=0,"Active",IF(TRIM(Raw_Data!L282)="","Unknown",PROPER(TRIM(Raw_Data!L282))))</f>
        <v>Involuntary</v>
      </c>
      <c r="O282" s="13" t="str">
        <f aca="false">IF(M282=0,"",IF(TRIM(Raw_Data!M282)="","Not Recorded",TRIM(Raw_Data!M282)))</f>
        <v>Restructuring / Layoff</v>
      </c>
      <c r="P282" s="16" t="n">
        <f aca="false">ROUND((IF(C282="",AsOfDate,C282)-B282)/365.25,2)</f>
        <v>8.7</v>
      </c>
      <c r="Q282" s="13" t="str">
        <f aca="false">IF(D282="","Unknown",IF(D282&lt;25,"Under 25",IF(D282&lt;35,"25-34",IF(D282&lt;45,"35-44",IF(D282&lt;55,"45-54","55+")))))</f>
        <v>25-34</v>
      </c>
      <c r="R282" s="13" t="str">
        <f aca="false">IF(P282&lt;1,"0-1 yrs",IF(P282&lt;3,"1-3 yrs",IF(P282&lt;5,"3-5 yrs",IF(P282&lt;10,"5-10 yrs","10+ yrs"))))</f>
        <v>5-10 yrs</v>
      </c>
      <c r="S282" s="13" t="str">
        <f aca="false">IF(I282&gt;=4,"High",IF(I282=3,"Medium","Low"))</f>
        <v>Low</v>
      </c>
      <c r="T282" s="13" t="n">
        <f aca="false">IF(M282=1,YEAR(C282),"")</f>
        <v>2023</v>
      </c>
      <c r="U282" s="13" t="str">
        <f aca="false">IF(M282=1,YEAR(C282)&amp;"-Q"&amp;ROUNDUP(MONTH(C282)/3,0),"")</f>
        <v>2023-Q3</v>
      </c>
      <c r="V282" s="13" t="n">
        <f aca="false">IF(M282=1,MONTH(C282),"")</f>
        <v>8</v>
      </c>
    </row>
    <row r="283" customFormat="false" ht="15" hidden="false" customHeight="false" outlineLevel="0" collapsed="false">
      <c r="A283" s="13" t="str">
        <f aca="false">TRIM(Raw_Data!A283)</f>
        <v>EMP0282</v>
      </c>
      <c r="B283" s="14" t="n">
        <f aca="false">Raw_Data!B283</f>
        <v>41963</v>
      </c>
      <c r="C283" s="14" t="str">
        <f aca="false">IF(Raw_Data!C283="","",Raw_Data!C283)</f>
        <v/>
      </c>
      <c r="D283" s="13" t="n">
        <f aca="false">IF(Raw_Data!D283="","",Raw_Data!D283)</f>
        <v>47</v>
      </c>
      <c r="E283" s="13" t="str">
        <f aca="false">IF(UPPER(LEFT(TRIM(Raw_Data!E283),1))="M","Male",IF(UPPER(LEFT(TRIM(Raw_Data!E283),1))="F","Female","Unknown"))</f>
        <v>Male</v>
      </c>
      <c r="F283" s="13" t="str">
        <f aca="false">PROPER(TRIM(SUBSTITUTE(Raw_Data!F283,"'","")))</f>
        <v>Bachelors</v>
      </c>
      <c r="G283" s="13" t="str">
        <f aca="false">PROPER(TRIM(Raw_Data!G283))</f>
        <v>Sales</v>
      </c>
      <c r="H283" s="13" t="str">
        <f aca="false">PROPER(TRIM(Raw_Data!H283))</f>
        <v>Associate</v>
      </c>
      <c r="I283" s="13" t="n">
        <f aca="false">IF(Raw_Data!I283="",DefaultPerf,Raw_Data!I283)</f>
        <v>5</v>
      </c>
      <c r="J283" s="13" t="n">
        <f aca="false">IF(Raw_Data!J283="",DefaultSat,Raw_Data!J283)</f>
        <v>2</v>
      </c>
      <c r="K283" s="15" t="n">
        <f aca="false">Raw_Data!K283</f>
        <v>55500</v>
      </c>
      <c r="L283" s="13" t="str">
        <f aca="false">PROPER(TRIM(Raw_Data!N283))</f>
        <v>No</v>
      </c>
      <c r="M283" s="13" t="n">
        <f aca="false">IF(C283="",0,1)</f>
        <v>0</v>
      </c>
      <c r="N283" s="13" t="str">
        <f aca="false">IF(M283=0,"Active",IF(TRIM(Raw_Data!L283)="","Unknown",PROPER(TRIM(Raw_Data!L283))))</f>
        <v>Active</v>
      </c>
      <c r="O283" s="13" t="str">
        <f aca="false">IF(M283=0,"",IF(TRIM(Raw_Data!M283)="","Not Recorded",TRIM(Raw_Data!M283)))</f>
        <v/>
      </c>
      <c r="P283" s="16" t="n">
        <f aca="false">ROUND((IF(C283="",AsOfDate,C283)-B283)/365.25,2)</f>
        <v>11.11</v>
      </c>
      <c r="Q283" s="13" t="str">
        <f aca="false">IF(D283="","Unknown",IF(D283&lt;25,"Under 25",IF(D283&lt;35,"25-34",IF(D283&lt;45,"35-44",IF(D283&lt;55,"45-54","55+")))))</f>
        <v>45-54</v>
      </c>
      <c r="R283" s="13" t="str">
        <f aca="false">IF(P283&lt;1,"0-1 yrs",IF(P283&lt;3,"1-3 yrs",IF(P283&lt;5,"3-5 yrs",IF(P283&lt;10,"5-10 yrs","10+ yrs"))))</f>
        <v>10+ yrs</v>
      </c>
      <c r="S283" s="13" t="str">
        <f aca="false">IF(I283&gt;=4,"High",IF(I283=3,"Medium","Low"))</f>
        <v>High</v>
      </c>
      <c r="T283" s="13" t="str">
        <f aca="false">IF(M283=1,YEAR(C283),"")</f>
        <v/>
      </c>
      <c r="U283" s="13" t="str">
        <f aca="false">IF(M283=1,YEAR(C283)&amp;"-Q"&amp;ROUNDUP(MONTH(C283)/3,0),"")</f>
        <v/>
      </c>
      <c r="V283" s="13" t="str">
        <f aca="false">IF(M283=1,MONTH(C283),"")</f>
        <v/>
      </c>
    </row>
    <row r="284" customFormat="false" ht="15" hidden="false" customHeight="false" outlineLevel="0" collapsed="false">
      <c r="A284" s="13" t="str">
        <f aca="false">TRIM(Raw_Data!A284)</f>
        <v>EMP0283</v>
      </c>
      <c r="B284" s="14" t="n">
        <f aca="false">Raw_Data!B284</f>
        <v>41966</v>
      </c>
      <c r="C284" s="14" t="str">
        <f aca="false">IF(Raw_Data!C284="","",Raw_Data!C284)</f>
        <v/>
      </c>
      <c r="D284" s="13" t="n">
        <f aca="false">IF(Raw_Data!D284="","",Raw_Data!D284)</f>
        <v>46</v>
      </c>
      <c r="E284" s="13" t="str">
        <f aca="false">IF(UPPER(LEFT(TRIM(Raw_Data!E284),1))="M","Male",IF(UPPER(LEFT(TRIM(Raw_Data!E284),1))="F","Female","Unknown"))</f>
        <v>Female</v>
      </c>
      <c r="F284" s="13" t="str">
        <f aca="false">PROPER(TRIM(SUBSTITUTE(Raw_Data!F284,"'","")))</f>
        <v>Bachelors</v>
      </c>
      <c r="G284" s="13" t="str">
        <f aca="false">PROPER(TRIM(Raw_Data!G284))</f>
        <v>Operations</v>
      </c>
      <c r="H284" s="13" t="str">
        <f aca="false">PROPER(TRIM(Raw_Data!H284))</f>
        <v>Associate</v>
      </c>
      <c r="I284" s="13" t="n">
        <f aca="false">IF(Raw_Data!I284="",DefaultPerf,Raw_Data!I284)</f>
        <v>4</v>
      </c>
      <c r="J284" s="13" t="n">
        <f aca="false">IF(Raw_Data!J284="",DefaultSat,Raw_Data!J284)</f>
        <v>3</v>
      </c>
      <c r="K284" s="15" t="n">
        <f aca="false">Raw_Data!K284</f>
        <v>46000</v>
      </c>
      <c r="L284" s="13" t="str">
        <f aca="false">PROPER(TRIM(Raw_Data!N284))</f>
        <v>No</v>
      </c>
      <c r="M284" s="13" t="n">
        <f aca="false">IF(C284="",0,1)</f>
        <v>0</v>
      </c>
      <c r="N284" s="13" t="str">
        <f aca="false">IF(M284=0,"Active",IF(TRIM(Raw_Data!L284)="","Unknown",PROPER(TRIM(Raw_Data!L284))))</f>
        <v>Active</v>
      </c>
      <c r="O284" s="13" t="str">
        <f aca="false">IF(M284=0,"",IF(TRIM(Raw_Data!M284)="","Not Recorded",TRIM(Raw_Data!M284)))</f>
        <v/>
      </c>
      <c r="P284" s="16" t="n">
        <f aca="false">ROUND((IF(C284="",AsOfDate,C284)-B284)/365.25,2)</f>
        <v>11.1</v>
      </c>
      <c r="Q284" s="13" t="str">
        <f aca="false">IF(D284="","Unknown",IF(D284&lt;25,"Under 25",IF(D284&lt;35,"25-34",IF(D284&lt;45,"35-44",IF(D284&lt;55,"45-54","55+")))))</f>
        <v>45-54</v>
      </c>
      <c r="R284" s="13" t="str">
        <f aca="false">IF(P284&lt;1,"0-1 yrs",IF(P284&lt;3,"1-3 yrs",IF(P284&lt;5,"3-5 yrs",IF(P284&lt;10,"5-10 yrs","10+ yrs"))))</f>
        <v>10+ yrs</v>
      </c>
      <c r="S284" s="13" t="str">
        <f aca="false">IF(I284&gt;=4,"High",IF(I284=3,"Medium","Low"))</f>
        <v>High</v>
      </c>
      <c r="T284" s="13" t="str">
        <f aca="false">IF(M284=1,YEAR(C284),"")</f>
        <v/>
      </c>
      <c r="U284" s="13" t="str">
        <f aca="false">IF(M284=1,YEAR(C284)&amp;"-Q"&amp;ROUNDUP(MONTH(C284)/3,0),"")</f>
        <v/>
      </c>
      <c r="V284" s="13" t="str">
        <f aca="false">IF(M284=1,MONTH(C284),"")</f>
        <v/>
      </c>
    </row>
    <row r="285" customFormat="false" ht="15" hidden="false" customHeight="false" outlineLevel="0" collapsed="false">
      <c r="A285" s="13" t="str">
        <f aca="false">TRIM(Raw_Data!A285)</f>
        <v>EMP0284</v>
      </c>
      <c r="B285" s="14" t="n">
        <f aca="false">Raw_Data!B285</f>
        <v>41971</v>
      </c>
      <c r="C285" s="14" t="n">
        <f aca="false">IF(Raw_Data!C285="","",Raw_Data!C285)</f>
        <v>45667</v>
      </c>
      <c r="D285" s="13" t="n">
        <f aca="false">IF(Raw_Data!D285="","",Raw_Data!D285)</f>
        <v>37</v>
      </c>
      <c r="E285" s="13" t="str">
        <f aca="false">IF(UPPER(LEFT(TRIM(Raw_Data!E285),1))="M","Male",IF(UPPER(LEFT(TRIM(Raw_Data!E285),1))="F","Female","Unknown"))</f>
        <v>Male</v>
      </c>
      <c r="F285" s="13" t="str">
        <f aca="false">PROPER(TRIM(SUBSTITUTE(Raw_Data!F285,"'","")))</f>
        <v>Bachelors</v>
      </c>
      <c r="G285" s="13" t="str">
        <f aca="false">PROPER(TRIM(Raw_Data!G285))</f>
        <v>Engineering</v>
      </c>
      <c r="H285" s="13" t="str">
        <f aca="false">PROPER(TRIM(Raw_Data!H285))</f>
        <v>Analyst</v>
      </c>
      <c r="I285" s="13" t="n">
        <f aca="false">IF(Raw_Data!I285="",DefaultPerf,Raw_Data!I285)</f>
        <v>3</v>
      </c>
      <c r="J285" s="13" t="n">
        <f aca="false">IF(Raw_Data!J285="",DefaultSat,Raw_Data!J285)</f>
        <v>3</v>
      </c>
      <c r="K285" s="15" t="n">
        <f aca="false">Raw_Data!K285</f>
        <v>65000</v>
      </c>
      <c r="L285" s="13" t="str">
        <f aca="false">PROPER(TRIM(Raw_Data!N285))</f>
        <v>No</v>
      </c>
      <c r="M285" s="13" t="n">
        <f aca="false">IF(C285="",0,1)</f>
        <v>1</v>
      </c>
      <c r="N285" s="13" t="str">
        <f aca="false">IF(M285=0,"Active",IF(TRIM(Raw_Data!L285)="","Unknown",PROPER(TRIM(Raw_Data!L285))))</f>
        <v>Voluntary</v>
      </c>
      <c r="O285" s="13" t="str">
        <f aca="false">IF(M285=0,"",IF(TRIM(Raw_Data!M285)="","Not Recorded",TRIM(Raw_Data!M285)))</f>
        <v>Further Studies</v>
      </c>
      <c r="P285" s="16" t="n">
        <f aca="false">ROUND((IF(C285="",AsOfDate,C285)-B285)/365.25,2)</f>
        <v>10.12</v>
      </c>
      <c r="Q285" s="13" t="str">
        <f aca="false">IF(D285="","Unknown",IF(D285&lt;25,"Under 25",IF(D285&lt;35,"25-34",IF(D285&lt;45,"35-44",IF(D285&lt;55,"45-54","55+")))))</f>
        <v>35-44</v>
      </c>
      <c r="R285" s="13" t="str">
        <f aca="false">IF(P285&lt;1,"0-1 yrs",IF(P285&lt;3,"1-3 yrs",IF(P285&lt;5,"3-5 yrs",IF(P285&lt;10,"5-10 yrs","10+ yrs"))))</f>
        <v>10+ yrs</v>
      </c>
      <c r="S285" s="13" t="str">
        <f aca="false">IF(I285&gt;=4,"High",IF(I285=3,"Medium","Low"))</f>
        <v>Medium</v>
      </c>
      <c r="T285" s="13" t="n">
        <f aca="false">IF(M285=1,YEAR(C285),"")</f>
        <v>2025</v>
      </c>
      <c r="U285" s="13" t="str">
        <f aca="false">IF(M285=1,YEAR(C285)&amp;"-Q"&amp;ROUNDUP(MONTH(C285)/3,0),"")</f>
        <v>2025-Q1</v>
      </c>
      <c r="V285" s="13" t="n">
        <f aca="false">IF(M285=1,MONTH(C285),"")</f>
        <v>1</v>
      </c>
    </row>
    <row r="286" customFormat="false" ht="15" hidden="false" customHeight="false" outlineLevel="0" collapsed="false">
      <c r="A286" s="13" t="str">
        <f aca="false">TRIM(Raw_Data!A286)</f>
        <v>EMP0285</v>
      </c>
      <c r="B286" s="14" t="n">
        <f aca="false">Raw_Data!B286</f>
        <v>41973</v>
      </c>
      <c r="C286" s="14" t="n">
        <f aca="false">IF(Raw_Data!C286="","",Raw_Data!C286)</f>
        <v>45693</v>
      </c>
      <c r="D286" s="13" t="n">
        <f aca="false">IF(Raw_Data!D286="","",Raw_Data!D286)</f>
        <v>33</v>
      </c>
      <c r="E286" s="13" t="str">
        <f aca="false">IF(UPPER(LEFT(TRIM(Raw_Data!E286),1))="M","Male",IF(UPPER(LEFT(TRIM(Raw_Data!E286),1))="F","Female","Unknown"))</f>
        <v>Male</v>
      </c>
      <c r="F286" s="13" t="str">
        <f aca="false">PROPER(TRIM(SUBSTITUTE(Raw_Data!F286,"'","")))</f>
        <v>Bachelors</v>
      </c>
      <c r="G286" s="13" t="str">
        <f aca="false">PROPER(TRIM(Raw_Data!G286))</f>
        <v>Customer Support</v>
      </c>
      <c r="H286" s="13" t="str">
        <f aca="false">PROPER(TRIM(Raw_Data!H286))</f>
        <v>Specialist</v>
      </c>
      <c r="I286" s="13" t="n">
        <f aca="false">IF(Raw_Data!I286="",DefaultPerf,Raw_Data!I286)</f>
        <v>2</v>
      </c>
      <c r="J286" s="13" t="n">
        <f aca="false">IF(Raw_Data!J286="",DefaultSat,Raw_Data!J286)</f>
        <v>1</v>
      </c>
      <c r="K286" s="15" t="n">
        <f aca="false">Raw_Data!K286</f>
        <v>128500</v>
      </c>
      <c r="L286" s="13" t="str">
        <f aca="false">PROPER(TRIM(Raw_Data!N286))</f>
        <v>No</v>
      </c>
      <c r="M286" s="13" t="n">
        <f aca="false">IF(C286="",0,1)</f>
        <v>1</v>
      </c>
      <c r="N286" s="13" t="str">
        <f aca="false">IF(M286=0,"Active",IF(TRIM(Raw_Data!L286)="","Unknown",PROPER(TRIM(Raw_Data!L286))))</f>
        <v>Involuntary</v>
      </c>
      <c r="O286" s="13" t="str">
        <f aca="false">IF(M286=0,"",IF(TRIM(Raw_Data!M286)="","Not Recorded",TRIM(Raw_Data!M286)))</f>
        <v>End of Contract</v>
      </c>
      <c r="P286" s="16" t="n">
        <f aca="false">ROUND((IF(C286="",AsOfDate,C286)-B286)/365.25,2)</f>
        <v>10.18</v>
      </c>
      <c r="Q286" s="13" t="str">
        <f aca="false">IF(D286="","Unknown",IF(D286&lt;25,"Under 25",IF(D286&lt;35,"25-34",IF(D286&lt;45,"35-44",IF(D286&lt;55,"45-54","55+")))))</f>
        <v>25-34</v>
      </c>
      <c r="R286" s="13" t="str">
        <f aca="false">IF(P286&lt;1,"0-1 yrs",IF(P286&lt;3,"1-3 yrs",IF(P286&lt;5,"3-5 yrs",IF(P286&lt;10,"5-10 yrs","10+ yrs"))))</f>
        <v>10+ yrs</v>
      </c>
      <c r="S286" s="13" t="str">
        <f aca="false">IF(I286&gt;=4,"High",IF(I286=3,"Medium","Low"))</f>
        <v>Low</v>
      </c>
      <c r="T286" s="13" t="n">
        <f aca="false">IF(M286=1,YEAR(C286),"")</f>
        <v>2025</v>
      </c>
      <c r="U286" s="13" t="str">
        <f aca="false">IF(M286=1,YEAR(C286)&amp;"-Q"&amp;ROUNDUP(MONTH(C286)/3,0),"")</f>
        <v>2025-Q1</v>
      </c>
      <c r="V286" s="13" t="n">
        <f aca="false">IF(M286=1,MONTH(C286),"")</f>
        <v>2</v>
      </c>
    </row>
    <row r="287" customFormat="false" ht="15" hidden="false" customHeight="false" outlineLevel="0" collapsed="false">
      <c r="A287" s="13" t="str">
        <f aca="false">TRIM(Raw_Data!A287)</f>
        <v>EMP0286</v>
      </c>
      <c r="B287" s="14" t="n">
        <f aca="false">Raw_Data!B287</f>
        <v>41980</v>
      </c>
      <c r="C287" s="14" t="str">
        <f aca="false">IF(Raw_Data!C287="","",Raw_Data!C287)</f>
        <v/>
      </c>
      <c r="D287" s="13" t="n">
        <f aca="false">IF(Raw_Data!D287="","",Raw_Data!D287)</f>
        <v>47</v>
      </c>
      <c r="E287" s="13" t="str">
        <f aca="false">IF(UPPER(LEFT(TRIM(Raw_Data!E287),1))="M","Male",IF(UPPER(LEFT(TRIM(Raw_Data!E287),1))="F","Female","Unknown"))</f>
        <v>Female</v>
      </c>
      <c r="F287" s="13" t="str">
        <f aca="false">PROPER(TRIM(SUBSTITUTE(Raw_Data!F287,"'","")))</f>
        <v>Diploma</v>
      </c>
      <c r="G287" s="13" t="str">
        <f aca="false">PROPER(TRIM(Raw_Data!G287))</f>
        <v>Engineering</v>
      </c>
      <c r="H287" s="13" t="str">
        <f aca="false">PROPER(TRIM(Raw_Data!H287))</f>
        <v>Associate</v>
      </c>
      <c r="I287" s="13" t="n">
        <f aca="false">IF(Raw_Data!I287="",DefaultPerf,Raw_Data!I287)</f>
        <v>3</v>
      </c>
      <c r="J287" s="13" t="n">
        <f aca="false">IF(Raw_Data!J287="",DefaultSat,Raw_Data!J287)</f>
        <v>4</v>
      </c>
      <c r="K287" s="15" t="n">
        <f aca="false">Raw_Data!K287</f>
        <v>49000</v>
      </c>
      <c r="L287" s="13" t="str">
        <f aca="false">PROPER(TRIM(Raw_Data!N287))</f>
        <v>Yes</v>
      </c>
      <c r="M287" s="13" t="n">
        <f aca="false">IF(C287="",0,1)</f>
        <v>0</v>
      </c>
      <c r="N287" s="13" t="str">
        <f aca="false">IF(M287=0,"Active",IF(TRIM(Raw_Data!L287)="","Unknown",PROPER(TRIM(Raw_Data!L287))))</f>
        <v>Active</v>
      </c>
      <c r="O287" s="13" t="str">
        <f aca="false">IF(M287=0,"",IF(TRIM(Raw_Data!M287)="","Not Recorded",TRIM(Raw_Data!M287)))</f>
        <v/>
      </c>
      <c r="P287" s="16" t="n">
        <f aca="false">ROUND((IF(C287="",AsOfDate,C287)-B287)/365.25,2)</f>
        <v>11.07</v>
      </c>
      <c r="Q287" s="13" t="str">
        <f aca="false">IF(D287="","Unknown",IF(D287&lt;25,"Under 25",IF(D287&lt;35,"25-34",IF(D287&lt;45,"35-44",IF(D287&lt;55,"45-54","55+")))))</f>
        <v>45-54</v>
      </c>
      <c r="R287" s="13" t="str">
        <f aca="false">IF(P287&lt;1,"0-1 yrs",IF(P287&lt;3,"1-3 yrs",IF(P287&lt;5,"3-5 yrs",IF(P287&lt;10,"5-10 yrs","10+ yrs"))))</f>
        <v>10+ yrs</v>
      </c>
      <c r="S287" s="13" t="str">
        <f aca="false">IF(I287&gt;=4,"High",IF(I287=3,"Medium","Low"))</f>
        <v>Medium</v>
      </c>
      <c r="T287" s="13" t="str">
        <f aca="false">IF(M287=1,YEAR(C287),"")</f>
        <v/>
      </c>
      <c r="U287" s="13" t="str">
        <f aca="false">IF(M287=1,YEAR(C287)&amp;"-Q"&amp;ROUNDUP(MONTH(C287)/3,0),"")</f>
        <v/>
      </c>
      <c r="V287" s="13" t="str">
        <f aca="false">IF(M287=1,MONTH(C287),"")</f>
        <v/>
      </c>
    </row>
    <row r="288" customFormat="false" ht="15" hidden="false" customHeight="false" outlineLevel="0" collapsed="false">
      <c r="A288" s="13" t="str">
        <f aca="false">TRIM(Raw_Data!A288)</f>
        <v>EMP0287</v>
      </c>
      <c r="B288" s="14" t="n">
        <f aca="false">Raw_Data!B288</f>
        <v>41981</v>
      </c>
      <c r="C288" s="14" t="str">
        <f aca="false">IF(Raw_Data!C288="","",Raw_Data!C288)</f>
        <v/>
      </c>
      <c r="D288" s="13" t="n">
        <f aca="false">IF(Raw_Data!D288="","",Raw_Data!D288)</f>
        <v>41</v>
      </c>
      <c r="E288" s="13" t="str">
        <f aca="false">IF(UPPER(LEFT(TRIM(Raw_Data!E288),1))="M","Male",IF(UPPER(LEFT(TRIM(Raw_Data!E288),1))="F","Female","Unknown"))</f>
        <v>Male</v>
      </c>
      <c r="F288" s="13" t="str">
        <f aca="false">PROPER(TRIM(SUBSTITUTE(Raw_Data!F288,"'","")))</f>
        <v>High School</v>
      </c>
      <c r="G288" s="13" t="str">
        <f aca="false">PROPER(TRIM(Raw_Data!G288))</f>
        <v>Engineering</v>
      </c>
      <c r="H288" s="13" t="str">
        <f aca="false">PROPER(TRIM(Raw_Data!H288))</f>
        <v>Senior Analyst</v>
      </c>
      <c r="I288" s="13" t="n">
        <f aca="false">IF(Raw_Data!I288="",DefaultPerf,Raw_Data!I288)</f>
        <v>4</v>
      </c>
      <c r="J288" s="13" t="n">
        <f aca="false">IF(Raw_Data!J288="",DefaultSat,Raw_Data!J288)</f>
        <v>1</v>
      </c>
      <c r="K288" s="15" t="n">
        <f aca="false">Raw_Data!K288</f>
        <v>114500</v>
      </c>
      <c r="L288" s="13" t="str">
        <f aca="false">PROPER(TRIM(Raw_Data!N288))</f>
        <v>No</v>
      </c>
      <c r="M288" s="13" t="n">
        <f aca="false">IF(C288="",0,1)</f>
        <v>0</v>
      </c>
      <c r="N288" s="13" t="str">
        <f aca="false">IF(M288=0,"Active",IF(TRIM(Raw_Data!L288)="","Unknown",PROPER(TRIM(Raw_Data!L288))))</f>
        <v>Active</v>
      </c>
      <c r="O288" s="13" t="str">
        <f aca="false">IF(M288=0,"",IF(TRIM(Raw_Data!M288)="","Not Recorded",TRIM(Raw_Data!M288)))</f>
        <v/>
      </c>
      <c r="P288" s="16" t="n">
        <f aca="false">ROUND((IF(C288="",AsOfDate,C288)-B288)/365.25,2)</f>
        <v>11.06</v>
      </c>
      <c r="Q288" s="13" t="str">
        <f aca="false">IF(D288="","Unknown",IF(D288&lt;25,"Under 25",IF(D288&lt;35,"25-34",IF(D288&lt;45,"35-44",IF(D288&lt;55,"45-54","55+")))))</f>
        <v>35-44</v>
      </c>
      <c r="R288" s="13" t="str">
        <f aca="false">IF(P288&lt;1,"0-1 yrs",IF(P288&lt;3,"1-3 yrs",IF(P288&lt;5,"3-5 yrs",IF(P288&lt;10,"5-10 yrs","10+ yrs"))))</f>
        <v>10+ yrs</v>
      </c>
      <c r="S288" s="13" t="str">
        <f aca="false">IF(I288&gt;=4,"High",IF(I288=3,"Medium","Low"))</f>
        <v>High</v>
      </c>
      <c r="T288" s="13" t="str">
        <f aca="false">IF(M288=1,YEAR(C288),"")</f>
        <v/>
      </c>
      <c r="U288" s="13" t="str">
        <f aca="false">IF(M288=1,YEAR(C288)&amp;"-Q"&amp;ROUNDUP(MONTH(C288)/3,0),"")</f>
        <v/>
      </c>
      <c r="V288" s="13" t="str">
        <f aca="false">IF(M288=1,MONTH(C288),"")</f>
        <v/>
      </c>
    </row>
    <row r="289" customFormat="false" ht="15" hidden="false" customHeight="false" outlineLevel="0" collapsed="false">
      <c r="A289" s="13" t="str">
        <f aca="false">TRIM(Raw_Data!A289)</f>
        <v>EMP0288</v>
      </c>
      <c r="B289" s="14" t="n">
        <f aca="false">Raw_Data!B289</f>
        <v>41987</v>
      </c>
      <c r="C289" s="14" t="str">
        <f aca="false">IF(Raw_Data!C289="","",Raw_Data!C289)</f>
        <v/>
      </c>
      <c r="D289" s="13" t="n">
        <f aca="false">IF(Raw_Data!D289="","",Raw_Data!D289)</f>
        <v>34</v>
      </c>
      <c r="E289" s="13" t="str">
        <f aca="false">IF(UPPER(LEFT(TRIM(Raw_Data!E289),1))="M","Male",IF(UPPER(LEFT(TRIM(Raw_Data!E289),1))="F","Female","Unknown"))</f>
        <v>Male</v>
      </c>
      <c r="F289" s="13" t="str">
        <f aca="false">PROPER(TRIM(SUBSTITUTE(Raw_Data!F289,"'","")))</f>
        <v>Bachelors</v>
      </c>
      <c r="G289" s="13" t="str">
        <f aca="false">PROPER(TRIM(Raw_Data!G289))</f>
        <v>Human Resources</v>
      </c>
      <c r="H289" s="13" t="str">
        <f aca="false">PROPER(TRIM(Raw_Data!H289))</f>
        <v>Specialist</v>
      </c>
      <c r="I289" s="13" t="n">
        <f aca="false">IF(Raw_Data!I289="",DefaultPerf,Raw_Data!I289)</f>
        <v>4</v>
      </c>
      <c r="J289" s="13" t="n">
        <f aca="false">IF(Raw_Data!J289="",DefaultSat,Raw_Data!J289)</f>
        <v>3</v>
      </c>
      <c r="K289" s="15" t="n">
        <f aca="false">Raw_Data!K289</f>
        <v>146500</v>
      </c>
      <c r="L289" s="13" t="str">
        <f aca="false">PROPER(TRIM(Raw_Data!N289))</f>
        <v>No</v>
      </c>
      <c r="M289" s="13" t="n">
        <f aca="false">IF(C289="",0,1)</f>
        <v>0</v>
      </c>
      <c r="N289" s="13" t="str">
        <f aca="false">IF(M289=0,"Active",IF(TRIM(Raw_Data!L289)="","Unknown",PROPER(TRIM(Raw_Data!L289))))</f>
        <v>Active</v>
      </c>
      <c r="O289" s="13" t="str">
        <f aca="false">IF(M289=0,"",IF(TRIM(Raw_Data!M289)="","Not Recorded",TRIM(Raw_Data!M289)))</f>
        <v/>
      </c>
      <c r="P289" s="16" t="n">
        <f aca="false">ROUND((IF(C289="",AsOfDate,C289)-B289)/365.25,2)</f>
        <v>11.05</v>
      </c>
      <c r="Q289" s="13" t="str">
        <f aca="false">IF(D289="","Unknown",IF(D289&lt;25,"Under 25",IF(D289&lt;35,"25-34",IF(D289&lt;45,"35-44",IF(D289&lt;55,"45-54","55+")))))</f>
        <v>25-34</v>
      </c>
      <c r="R289" s="13" t="str">
        <f aca="false">IF(P289&lt;1,"0-1 yrs",IF(P289&lt;3,"1-3 yrs",IF(P289&lt;5,"3-5 yrs",IF(P289&lt;10,"5-10 yrs","10+ yrs"))))</f>
        <v>10+ yrs</v>
      </c>
      <c r="S289" s="13" t="str">
        <f aca="false">IF(I289&gt;=4,"High",IF(I289=3,"Medium","Low"))</f>
        <v>High</v>
      </c>
      <c r="T289" s="13" t="str">
        <f aca="false">IF(M289=1,YEAR(C289),"")</f>
        <v/>
      </c>
      <c r="U289" s="13" t="str">
        <f aca="false">IF(M289=1,YEAR(C289)&amp;"-Q"&amp;ROUNDUP(MONTH(C289)/3,0),"")</f>
        <v/>
      </c>
      <c r="V289" s="13" t="str">
        <f aca="false">IF(M289=1,MONTH(C289),"")</f>
        <v/>
      </c>
    </row>
    <row r="290" customFormat="false" ht="15" hidden="false" customHeight="false" outlineLevel="0" collapsed="false">
      <c r="A290" s="13" t="str">
        <f aca="false">TRIM(Raw_Data!A290)</f>
        <v>EMP0289</v>
      </c>
      <c r="B290" s="14" t="n">
        <f aca="false">Raw_Data!B290</f>
        <v>41993</v>
      </c>
      <c r="C290" s="14" t="n">
        <f aca="false">IF(Raw_Data!C290="","",Raw_Data!C290)</f>
        <v>44887</v>
      </c>
      <c r="D290" s="13" t="n">
        <f aca="false">IF(Raw_Data!D290="","",Raw_Data!D290)</f>
        <v>33</v>
      </c>
      <c r="E290" s="13" t="str">
        <f aca="false">IF(UPPER(LEFT(TRIM(Raw_Data!E290),1))="M","Male",IF(UPPER(LEFT(TRIM(Raw_Data!E290),1))="F","Female","Unknown"))</f>
        <v>Male</v>
      </c>
      <c r="F290" s="13" t="str">
        <f aca="false">PROPER(TRIM(SUBSTITUTE(Raw_Data!F290,"'","")))</f>
        <v>High School</v>
      </c>
      <c r="G290" s="13" t="str">
        <f aca="false">PROPER(TRIM(Raw_Data!G290))</f>
        <v>Customer Support</v>
      </c>
      <c r="H290" s="13" t="str">
        <f aca="false">PROPER(TRIM(Raw_Data!H290))</f>
        <v>Analyst</v>
      </c>
      <c r="I290" s="13" t="n">
        <f aca="false">IF(Raw_Data!I290="",DefaultPerf,Raw_Data!I290)</f>
        <v>3</v>
      </c>
      <c r="J290" s="13" t="n">
        <f aca="false">IF(Raw_Data!J290="",DefaultSat,Raw_Data!J290)</f>
        <v>3</v>
      </c>
      <c r="K290" s="15" t="n">
        <f aca="false">Raw_Data!K290</f>
        <v>73500</v>
      </c>
      <c r="L290" s="13" t="str">
        <f aca="false">PROPER(TRIM(Raw_Data!N290))</f>
        <v>No</v>
      </c>
      <c r="M290" s="13" t="n">
        <f aca="false">IF(C290="",0,1)</f>
        <v>1</v>
      </c>
      <c r="N290" s="13" t="str">
        <f aca="false">IF(M290=0,"Active",IF(TRIM(Raw_Data!L290)="","Unknown",PROPER(TRIM(Raw_Data!L290))))</f>
        <v>Voluntary</v>
      </c>
      <c r="O290" s="13" t="str">
        <f aca="false">IF(M290=0,"",IF(TRIM(Raw_Data!M290)="","Not Recorded",TRIM(Raw_Data!M290)))</f>
        <v>Job Dissatisfaction</v>
      </c>
      <c r="P290" s="16" t="n">
        <f aca="false">ROUND((IF(C290="",AsOfDate,C290)-B290)/365.25,2)</f>
        <v>7.92</v>
      </c>
      <c r="Q290" s="13" t="str">
        <f aca="false">IF(D290="","Unknown",IF(D290&lt;25,"Under 25",IF(D290&lt;35,"25-34",IF(D290&lt;45,"35-44",IF(D290&lt;55,"45-54","55+")))))</f>
        <v>25-34</v>
      </c>
      <c r="R290" s="13" t="str">
        <f aca="false">IF(P290&lt;1,"0-1 yrs",IF(P290&lt;3,"1-3 yrs",IF(P290&lt;5,"3-5 yrs",IF(P290&lt;10,"5-10 yrs","10+ yrs"))))</f>
        <v>5-10 yrs</v>
      </c>
      <c r="S290" s="13" t="str">
        <f aca="false">IF(I290&gt;=4,"High",IF(I290=3,"Medium","Low"))</f>
        <v>Medium</v>
      </c>
      <c r="T290" s="13" t="n">
        <f aca="false">IF(M290=1,YEAR(C290),"")</f>
        <v>2022</v>
      </c>
      <c r="U290" s="13" t="str">
        <f aca="false">IF(M290=1,YEAR(C290)&amp;"-Q"&amp;ROUNDUP(MONTH(C290)/3,0),"")</f>
        <v>2022-Q4</v>
      </c>
      <c r="V290" s="13" t="n">
        <f aca="false">IF(M290=1,MONTH(C290),"")</f>
        <v>11</v>
      </c>
    </row>
    <row r="291" customFormat="false" ht="15" hidden="false" customHeight="false" outlineLevel="0" collapsed="false">
      <c r="A291" s="13" t="str">
        <f aca="false">TRIM(Raw_Data!A291)</f>
        <v>EMP0290</v>
      </c>
      <c r="B291" s="14" t="n">
        <f aca="false">Raw_Data!B291</f>
        <v>41999</v>
      </c>
      <c r="C291" s="14" t="str">
        <f aca="false">IF(Raw_Data!C291="","",Raw_Data!C291)</f>
        <v/>
      </c>
      <c r="D291" s="13" t="n">
        <f aca="false">IF(Raw_Data!D291="","",Raw_Data!D291)</f>
        <v>43</v>
      </c>
      <c r="E291" s="13" t="str">
        <f aca="false">IF(UPPER(LEFT(TRIM(Raw_Data!E291),1))="M","Male",IF(UPPER(LEFT(TRIM(Raw_Data!E291),1))="F","Female","Unknown"))</f>
        <v>Male</v>
      </c>
      <c r="F291" s="13" t="str">
        <f aca="false">PROPER(TRIM(SUBSTITUTE(Raw_Data!F291,"'","")))</f>
        <v>Bachelors</v>
      </c>
      <c r="G291" s="13" t="str">
        <f aca="false">PROPER(TRIM(Raw_Data!G291))</f>
        <v>Engineering</v>
      </c>
      <c r="H291" s="13" t="str">
        <f aca="false">PROPER(TRIM(Raw_Data!H291))</f>
        <v>Team Lead</v>
      </c>
      <c r="I291" s="13" t="n">
        <f aca="false">IF(Raw_Data!I291="",DefaultPerf,Raw_Data!I291)</f>
        <v>4</v>
      </c>
      <c r="J291" s="13" t="n">
        <f aca="false">IF(Raw_Data!J291="",DefaultSat,Raw_Data!J291)</f>
        <v>4</v>
      </c>
      <c r="K291" s="15" t="n">
        <f aca="false">Raw_Data!K291</f>
        <v>162500</v>
      </c>
      <c r="L291" s="13" t="str">
        <f aca="false">PROPER(TRIM(Raw_Data!N291))</f>
        <v>No</v>
      </c>
      <c r="M291" s="13" t="n">
        <f aca="false">IF(C291="",0,1)</f>
        <v>0</v>
      </c>
      <c r="N291" s="13" t="str">
        <f aca="false">IF(M291=0,"Active",IF(TRIM(Raw_Data!L291)="","Unknown",PROPER(TRIM(Raw_Data!L291))))</f>
        <v>Active</v>
      </c>
      <c r="O291" s="13" t="str">
        <f aca="false">IF(M291=0,"",IF(TRIM(Raw_Data!M291)="","Not Recorded",TRIM(Raw_Data!M291)))</f>
        <v/>
      </c>
      <c r="P291" s="16" t="n">
        <f aca="false">ROUND((IF(C291="",AsOfDate,C291)-B291)/365.25,2)</f>
        <v>11.01</v>
      </c>
      <c r="Q291" s="13" t="str">
        <f aca="false">IF(D291="","Unknown",IF(D291&lt;25,"Under 25",IF(D291&lt;35,"25-34",IF(D291&lt;45,"35-44",IF(D291&lt;55,"45-54","55+")))))</f>
        <v>35-44</v>
      </c>
      <c r="R291" s="13" t="str">
        <f aca="false">IF(P291&lt;1,"0-1 yrs",IF(P291&lt;3,"1-3 yrs",IF(P291&lt;5,"3-5 yrs",IF(P291&lt;10,"5-10 yrs","10+ yrs"))))</f>
        <v>10+ yrs</v>
      </c>
      <c r="S291" s="13" t="str">
        <f aca="false">IF(I291&gt;=4,"High",IF(I291=3,"Medium","Low"))</f>
        <v>High</v>
      </c>
      <c r="T291" s="13" t="str">
        <f aca="false">IF(M291=1,YEAR(C291),"")</f>
        <v/>
      </c>
      <c r="U291" s="13" t="str">
        <f aca="false">IF(M291=1,YEAR(C291)&amp;"-Q"&amp;ROUNDUP(MONTH(C291)/3,0),"")</f>
        <v/>
      </c>
      <c r="V291" s="13" t="str">
        <f aca="false">IF(M291=1,MONTH(C291),"")</f>
        <v/>
      </c>
    </row>
    <row r="292" customFormat="false" ht="15" hidden="false" customHeight="false" outlineLevel="0" collapsed="false">
      <c r="A292" s="13" t="str">
        <f aca="false">TRIM(Raw_Data!A292)</f>
        <v>EMP0291</v>
      </c>
      <c r="B292" s="14" t="n">
        <f aca="false">Raw_Data!B292</f>
        <v>42001</v>
      </c>
      <c r="C292" s="14" t="str">
        <f aca="false">IF(Raw_Data!C292="","",Raw_Data!C292)</f>
        <v/>
      </c>
      <c r="D292" s="13" t="n">
        <f aca="false">IF(Raw_Data!D292="","",Raw_Data!D292)</f>
        <v>38</v>
      </c>
      <c r="E292" s="13" t="str">
        <f aca="false">IF(UPPER(LEFT(TRIM(Raw_Data!E292),1))="M","Male",IF(UPPER(LEFT(TRIM(Raw_Data!E292),1))="F","Female","Unknown"))</f>
        <v>Male</v>
      </c>
      <c r="F292" s="13" t="str">
        <f aca="false">PROPER(TRIM(SUBSTITUTE(Raw_Data!F292,"'","")))</f>
        <v>Masters</v>
      </c>
      <c r="G292" s="13" t="str">
        <f aca="false">PROPER(TRIM(Raw_Data!G292))</f>
        <v>Engineering</v>
      </c>
      <c r="H292" s="13" t="str">
        <f aca="false">PROPER(TRIM(Raw_Data!H292))</f>
        <v>Specialist</v>
      </c>
      <c r="I292" s="13" t="n">
        <f aca="false">IF(Raw_Data!I292="",DefaultPerf,Raw_Data!I292)</f>
        <v>5</v>
      </c>
      <c r="J292" s="13" t="n">
        <f aca="false">IF(Raw_Data!J292="",DefaultSat,Raw_Data!J292)</f>
        <v>2</v>
      </c>
      <c r="K292" s="15" t="n">
        <f aca="false">Raw_Data!K292</f>
        <v>136000</v>
      </c>
      <c r="L292" s="13" t="str">
        <f aca="false">PROPER(TRIM(Raw_Data!N292))</f>
        <v>No</v>
      </c>
      <c r="M292" s="13" t="n">
        <f aca="false">IF(C292="",0,1)</f>
        <v>0</v>
      </c>
      <c r="N292" s="13" t="str">
        <f aca="false">IF(M292=0,"Active",IF(TRIM(Raw_Data!L292)="","Unknown",PROPER(TRIM(Raw_Data!L292))))</f>
        <v>Active</v>
      </c>
      <c r="O292" s="13" t="str">
        <f aca="false">IF(M292=0,"",IF(TRIM(Raw_Data!M292)="","Not Recorded",TRIM(Raw_Data!M292)))</f>
        <v/>
      </c>
      <c r="P292" s="16" t="n">
        <f aca="false">ROUND((IF(C292="",AsOfDate,C292)-B292)/365.25,2)</f>
        <v>11.01</v>
      </c>
      <c r="Q292" s="13" t="str">
        <f aca="false">IF(D292="","Unknown",IF(D292&lt;25,"Under 25",IF(D292&lt;35,"25-34",IF(D292&lt;45,"35-44",IF(D292&lt;55,"45-54","55+")))))</f>
        <v>35-44</v>
      </c>
      <c r="R292" s="13" t="str">
        <f aca="false">IF(P292&lt;1,"0-1 yrs",IF(P292&lt;3,"1-3 yrs",IF(P292&lt;5,"3-5 yrs",IF(P292&lt;10,"5-10 yrs","10+ yrs"))))</f>
        <v>10+ yrs</v>
      </c>
      <c r="S292" s="13" t="str">
        <f aca="false">IF(I292&gt;=4,"High",IF(I292=3,"Medium","Low"))</f>
        <v>High</v>
      </c>
      <c r="T292" s="13" t="str">
        <f aca="false">IF(M292=1,YEAR(C292),"")</f>
        <v/>
      </c>
      <c r="U292" s="13" t="str">
        <f aca="false">IF(M292=1,YEAR(C292)&amp;"-Q"&amp;ROUNDUP(MONTH(C292)/3,0),"")</f>
        <v/>
      </c>
      <c r="V292" s="13" t="str">
        <f aca="false">IF(M292=1,MONTH(C292),"")</f>
        <v/>
      </c>
    </row>
    <row r="293" customFormat="false" ht="15" hidden="false" customHeight="false" outlineLevel="0" collapsed="false">
      <c r="A293" s="13" t="str">
        <f aca="false">TRIM(Raw_Data!A293)</f>
        <v>EMP0292</v>
      </c>
      <c r="B293" s="14" t="n">
        <f aca="false">Raw_Data!B293</f>
        <v>42004</v>
      </c>
      <c r="C293" s="14" t="str">
        <f aca="false">IF(Raw_Data!C293="","",Raw_Data!C293)</f>
        <v/>
      </c>
      <c r="D293" s="13" t="n">
        <f aca="false">IF(Raw_Data!D293="","",Raw_Data!D293)</f>
        <v>48</v>
      </c>
      <c r="E293" s="13" t="str">
        <f aca="false">IF(UPPER(LEFT(TRIM(Raw_Data!E293),1))="M","Male",IF(UPPER(LEFT(TRIM(Raw_Data!E293),1))="F","Female","Unknown"))</f>
        <v>Male</v>
      </c>
      <c r="F293" s="13" t="str">
        <f aca="false">PROPER(TRIM(SUBSTITUTE(Raw_Data!F293,"'","")))</f>
        <v>Diploma</v>
      </c>
      <c r="G293" s="13" t="str">
        <f aca="false">PROPER(TRIM(Raw_Data!G293))</f>
        <v>Operations</v>
      </c>
      <c r="H293" s="13" t="str">
        <f aca="false">PROPER(TRIM(Raw_Data!H293))</f>
        <v>Analyst</v>
      </c>
      <c r="I293" s="13" t="n">
        <f aca="false">IF(Raw_Data!I293="",DefaultPerf,Raw_Data!I293)</f>
        <v>4</v>
      </c>
      <c r="J293" s="13" t="n">
        <f aca="false">IF(Raw_Data!J293="",DefaultSat,Raw_Data!J293)</f>
        <v>2</v>
      </c>
      <c r="K293" s="15" t="n">
        <f aca="false">Raw_Data!K293</f>
        <v>67500</v>
      </c>
      <c r="L293" s="13" t="str">
        <f aca="false">PROPER(TRIM(Raw_Data!N293))</f>
        <v>No</v>
      </c>
      <c r="M293" s="13" t="n">
        <f aca="false">IF(C293="",0,1)</f>
        <v>0</v>
      </c>
      <c r="N293" s="13" t="str">
        <f aca="false">IF(M293=0,"Active",IF(TRIM(Raw_Data!L293)="","Unknown",PROPER(TRIM(Raw_Data!L293))))</f>
        <v>Active</v>
      </c>
      <c r="O293" s="13" t="str">
        <f aca="false">IF(M293=0,"",IF(TRIM(Raw_Data!M293)="","Not Recorded",TRIM(Raw_Data!M293)))</f>
        <v/>
      </c>
      <c r="P293" s="16" t="n">
        <f aca="false">ROUND((IF(C293="",AsOfDate,C293)-B293)/365.25,2)</f>
        <v>11</v>
      </c>
      <c r="Q293" s="13" t="str">
        <f aca="false">IF(D293="","Unknown",IF(D293&lt;25,"Under 25",IF(D293&lt;35,"25-34",IF(D293&lt;45,"35-44",IF(D293&lt;55,"45-54","55+")))))</f>
        <v>45-54</v>
      </c>
      <c r="R293" s="13" t="str">
        <f aca="false">IF(P293&lt;1,"0-1 yrs",IF(P293&lt;3,"1-3 yrs",IF(P293&lt;5,"3-5 yrs",IF(P293&lt;10,"5-10 yrs","10+ yrs"))))</f>
        <v>10+ yrs</v>
      </c>
      <c r="S293" s="13" t="str">
        <f aca="false">IF(I293&gt;=4,"High",IF(I293=3,"Medium","Low"))</f>
        <v>High</v>
      </c>
      <c r="T293" s="13" t="str">
        <f aca="false">IF(M293=1,YEAR(C293),"")</f>
        <v/>
      </c>
      <c r="U293" s="13" t="str">
        <f aca="false">IF(M293=1,YEAR(C293)&amp;"-Q"&amp;ROUNDUP(MONTH(C293)/3,0),"")</f>
        <v/>
      </c>
      <c r="V293" s="13" t="str">
        <f aca="false">IF(M293=1,MONTH(C293),"")</f>
        <v/>
      </c>
    </row>
    <row r="294" customFormat="false" ht="15" hidden="false" customHeight="false" outlineLevel="0" collapsed="false">
      <c r="A294" s="13" t="str">
        <f aca="false">TRIM(Raw_Data!A294)</f>
        <v>EMP0293</v>
      </c>
      <c r="B294" s="14" t="n">
        <f aca="false">Raw_Data!B294</f>
        <v>42005</v>
      </c>
      <c r="C294" s="14" t="str">
        <f aca="false">IF(Raw_Data!C294="","",Raw_Data!C294)</f>
        <v/>
      </c>
      <c r="D294" s="13" t="n">
        <f aca="false">IF(Raw_Data!D294="","",Raw_Data!D294)</f>
        <v>36</v>
      </c>
      <c r="E294" s="13" t="str">
        <f aca="false">IF(UPPER(LEFT(TRIM(Raw_Data!E294),1))="M","Male",IF(UPPER(LEFT(TRIM(Raw_Data!E294),1))="F","Female","Unknown"))</f>
        <v>Male</v>
      </c>
      <c r="F294" s="13" t="str">
        <f aca="false">PROPER(TRIM(SUBSTITUTE(Raw_Data!F294,"'","")))</f>
        <v>Masters</v>
      </c>
      <c r="G294" s="13" t="str">
        <f aca="false">PROPER(TRIM(Raw_Data!G294))</f>
        <v>Sales</v>
      </c>
      <c r="H294" s="13" t="str">
        <f aca="false">PROPER(TRIM(Raw_Data!H294))</f>
        <v>Manager</v>
      </c>
      <c r="I294" s="13" t="n">
        <f aca="false">IF(Raw_Data!I294="",DefaultPerf,Raw_Data!I294)</f>
        <v>3</v>
      </c>
      <c r="J294" s="13" t="n">
        <f aca="false">IF(Raw_Data!J294="",DefaultSat,Raw_Data!J294)</f>
        <v>4</v>
      </c>
      <c r="K294" s="15" t="n">
        <f aca="false">Raw_Data!K294</f>
        <v>233500</v>
      </c>
      <c r="L294" s="13" t="str">
        <f aca="false">PROPER(TRIM(Raw_Data!N294))</f>
        <v>Yes</v>
      </c>
      <c r="M294" s="13" t="n">
        <f aca="false">IF(C294="",0,1)</f>
        <v>0</v>
      </c>
      <c r="N294" s="13" t="str">
        <f aca="false">IF(M294=0,"Active",IF(TRIM(Raw_Data!L294)="","Unknown",PROPER(TRIM(Raw_Data!L294))))</f>
        <v>Active</v>
      </c>
      <c r="O294" s="13" t="str">
        <f aca="false">IF(M294=0,"",IF(TRIM(Raw_Data!M294)="","Not Recorded",TRIM(Raw_Data!M294)))</f>
        <v/>
      </c>
      <c r="P294" s="16" t="n">
        <f aca="false">ROUND((IF(C294="",AsOfDate,C294)-B294)/365.25,2)</f>
        <v>11</v>
      </c>
      <c r="Q294" s="13" t="str">
        <f aca="false">IF(D294="","Unknown",IF(D294&lt;25,"Under 25",IF(D294&lt;35,"25-34",IF(D294&lt;45,"35-44",IF(D294&lt;55,"45-54","55+")))))</f>
        <v>35-44</v>
      </c>
      <c r="R294" s="13" t="str">
        <f aca="false">IF(P294&lt;1,"0-1 yrs",IF(P294&lt;3,"1-3 yrs",IF(P294&lt;5,"3-5 yrs",IF(P294&lt;10,"5-10 yrs","10+ yrs"))))</f>
        <v>10+ yrs</v>
      </c>
      <c r="S294" s="13" t="str">
        <f aca="false">IF(I294&gt;=4,"High",IF(I294=3,"Medium","Low"))</f>
        <v>Medium</v>
      </c>
      <c r="T294" s="13" t="str">
        <f aca="false">IF(M294=1,YEAR(C294),"")</f>
        <v/>
      </c>
      <c r="U294" s="13" t="str">
        <f aca="false">IF(M294=1,YEAR(C294)&amp;"-Q"&amp;ROUNDUP(MONTH(C294)/3,0),"")</f>
        <v/>
      </c>
      <c r="V294" s="13" t="str">
        <f aca="false">IF(M294=1,MONTH(C294),"")</f>
        <v/>
      </c>
    </row>
    <row r="295" customFormat="false" ht="15" hidden="false" customHeight="false" outlineLevel="0" collapsed="false">
      <c r="A295" s="13" t="str">
        <f aca="false">TRIM(Raw_Data!A295)</f>
        <v>EMP0294</v>
      </c>
      <c r="B295" s="14" t="n">
        <f aca="false">Raw_Data!B295</f>
        <v>42011</v>
      </c>
      <c r="C295" s="14" t="str">
        <f aca="false">IF(Raw_Data!C295="","",Raw_Data!C295)</f>
        <v/>
      </c>
      <c r="D295" s="13" t="n">
        <f aca="false">IF(Raw_Data!D295="","",Raw_Data!D295)</f>
        <v>44</v>
      </c>
      <c r="E295" s="13" t="str">
        <f aca="false">IF(UPPER(LEFT(TRIM(Raw_Data!E295),1))="M","Male",IF(UPPER(LEFT(TRIM(Raw_Data!E295),1))="F","Female","Unknown"))</f>
        <v>Female</v>
      </c>
      <c r="F295" s="13" t="str">
        <f aca="false">PROPER(TRIM(SUBSTITUTE(Raw_Data!F295,"'","")))</f>
        <v>Bachelors</v>
      </c>
      <c r="G295" s="13" t="str">
        <f aca="false">PROPER(TRIM(Raw_Data!G295))</f>
        <v>Engineering</v>
      </c>
      <c r="H295" s="13" t="str">
        <f aca="false">PROPER(TRIM(Raw_Data!H295))</f>
        <v>Senior Analyst</v>
      </c>
      <c r="I295" s="13" t="n">
        <f aca="false">IF(Raw_Data!I295="",DefaultPerf,Raw_Data!I295)</f>
        <v>3</v>
      </c>
      <c r="J295" s="13" t="n">
        <f aca="false">IF(Raw_Data!J295="",DefaultSat,Raw_Data!J295)</f>
        <v>1</v>
      </c>
      <c r="K295" s="15" t="n">
        <f aca="false">Raw_Data!K295</f>
        <v>110500</v>
      </c>
      <c r="L295" s="13" t="str">
        <f aca="false">PROPER(TRIM(Raw_Data!N295))</f>
        <v>No</v>
      </c>
      <c r="M295" s="13" t="n">
        <f aca="false">IF(C295="",0,1)</f>
        <v>0</v>
      </c>
      <c r="N295" s="13" t="str">
        <f aca="false">IF(M295=0,"Active",IF(TRIM(Raw_Data!L295)="","Unknown",PROPER(TRIM(Raw_Data!L295))))</f>
        <v>Active</v>
      </c>
      <c r="O295" s="13" t="str">
        <f aca="false">IF(M295=0,"",IF(TRIM(Raw_Data!M295)="","Not Recorded",TRIM(Raw_Data!M295)))</f>
        <v/>
      </c>
      <c r="P295" s="16" t="n">
        <f aca="false">ROUND((IF(C295="",AsOfDate,C295)-B295)/365.25,2)</f>
        <v>10.98</v>
      </c>
      <c r="Q295" s="13" t="str">
        <f aca="false">IF(D295="","Unknown",IF(D295&lt;25,"Under 25",IF(D295&lt;35,"25-34",IF(D295&lt;45,"35-44",IF(D295&lt;55,"45-54","55+")))))</f>
        <v>35-44</v>
      </c>
      <c r="R295" s="13" t="str">
        <f aca="false">IF(P295&lt;1,"0-1 yrs",IF(P295&lt;3,"1-3 yrs",IF(P295&lt;5,"3-5 yrs",IF(P295&lt;10,"5-10 yrs","10+ yrs"))))</f>
        <v>10+ yrs</v>
      </c>
      <c r="S295" s="13" t="str">
        <f aca="false">IF(I295&gt;=4,"High",IF(I295=3,"Medium","Low"))</f>
        <v>Medium</v>
      </c>
      <c r="T295" s="13" t="str">
        <f aca="false">IF(M295=1,YEAR(C295),"")</f>
        <v/>
      </c>
      <c r="U295" s="13" t="str">
        <f aca="false">IF(M295=1,YEAR(C295)&amp;"-Q"&amp;ROUNDUP(MONTH(C295)/3,0),"")</f>
        <v/>
      </c>
      <c r="V295" s="13" t="str">
        <f aca="false">IF(M295=1,MONTH(C295),"")</f>
        <v/>
      </c>
    </row>
    <row r="296" customFormat="false" ht="15" hidden="false" customHeight="false" outlineLevel="0" collapsed="false">
      <c r="A296" s="13" t="str">
        <f aca="false">TRIM(Raw_Data!A296)</f>
        <v>EMP0295</v>
      </c>
      <c r="B296" s="14" t="n">
        <f aca="false">Raw_Data!B296</f>
        <v>42015</v>
      </c>
      <c r="C296" s="14" t="str">
        <f aca="false">IF(Raw_Data!C296="","",Raw_Data!C296)</f>
        <v/>
      </c>
      <c r="D296" s="13" t="n">
        <f aca="false">IF(Raw_Data!D296="","",Raw_Data!D296)</f>
        <v>46</v>
      </c>
      <c r="E296" s="13" t="str">
        <f aca="false">IF(UPPER(LEFT(TRIM(Raw_Data!E296),1))="M","Male",IF(UPPER(LEFT(TRIM(Raw_Data!E296),1))="F","Female","Unknown"))</f>
        <v>Female</v>
      </c>
      <c r="F296" s="13" t="str">
        <f aca="false">PROPER(TRIM(SUBSTITUTE(Raw_Data!F296,"'","")))</f>
        <v>Masters</v>
      </c>
      <c r="G296" s="13" t="str">
        <f aca="false">PROPER(TRIM(Raw_Data!G296))</f>
        <v>Sales</v>
      </c>
      <c r="H296" s="13" t="str">
        <f aca="false">PROPER(TRIM(Raw_Data!H296))</f>
        <v>Associate</v>
      </c>
      <c r="I296" s="13" t="n">
        <f aca="false">IF(Raw_Data!I296="",DefaultPerf,Raw_Data!I296)</f>
        <v>4</v>
      </c>
      <c r="J296" s="13" t="n">
        <f aca="false">IF(Raw_Data!J296="",DefaultSat,Raw_Data!J296)</f>
        <v>1</v>
      </c>
      <c r="K296" s="15" t="n">
        <f aca="false">Raw_Data!K296</f>
        <v>52500</v>
      </c>
      <c r="L296" s="13" t="str">
        <f aca="false">PROPER(TRIM(Raw_Data!N296))</f>
        <v>No</v>
      </c>
      <c r="M296" s="13" t="n">
        <f aca="false">IF(C296="",0,1)</f>
        <v>0</v>
      </c>
      <c r="N296" s="13" t="str">
        <f aca="false">IF(M296=0,"Active",IF(TRIM(Raw_Data!L296)="","Unknown",PROPER(TRIM(Raw_Data!L296))))</f>
        <v>Active</v>
      </c>
      <c r="O296" s="13" t="str">
        <f aca="false">IF(M296=0,"",IF(TRIM(Raw_Data!M296)="","Not Recorded",TRIM(Raw_Data!M296)))</f>
        <v/>
      </c>
      <c r="P296" s="16" t="n">
        <f aca="false">ROUND((IF(C296="",AsOfDate,C296)-B296)/365.25,2)</f>
        <v>10.97</v>
      </c>
      <c r="Q296" s="13" t="str">
        <f aca="false">IF(D296="","Unknown",IF(D296&lt;25,"Under 25",IF(D296&lt;35,"25-34",IF(D296&lt;45,"35-44",IF(D296&lt;55,"45-54","55+")))))</f>
        <v>45-54</v>
      </c>
      <c r="R296" s="13" t="str">
        <f aca="false">IF(P296&lt;1,"0-1 yrs",IF(P296&lt;3,"1-3 yrs",IF(P296&lt;5,"3-5 yrs",IF(P296&lt;10,"5-10 yrs","10+ yrs"))))</f>
        <v>10+ yrs</v>
      </c>
      <c r="S296" s="13" t="str">
        <f aca="false">IF(I296&gt;=4,"High",IF(I296=3,"Medium","Low"))</f>
        <v>High</v>
      </c>
      <c r="T296" s="13" t="str">
        <f aca="false">IF(M296=1,YEAR(C296),"")</f>
        <v/>
      </c>
      <c r="U296" s="13" t="str">
        <f aca="false">IF(M296=1,YEAR(C296)&amp;"-Q"&amp;ROUNDUP(MONTH(C296)/3,0),"")</f>
        <v/>
      </c>
      <c r="V296" s="13" t="str">
        <f aca="false">IF(M296=1,MONTH(C296),"")</f>
        <v/>
      </c>
    </row>
    <row r="297" customFormat="false" ht="15" hidden="false" customHeight="false" outlineLevel="0" collapsed="false">
      <c r="A297" s="13" t="str">
        <f aca="false">TRIM(Raw_Data!A297)</f>
        <v>EMP0296</v>
      </c>
      <c r="B297" s="14" t="n">
        <f aca="false">Raw_Data!B297</f>
        <v>42020</v>
      </c>
      <c r="C297" s="14" t="n">
        <f aca="false">IF(Raw_Data!C297="","",Raw_Data!C297)</f>
        <v>44622</v>
      </c>
      <c r="D297" s="13" t="n">
        <f aca="false">IF(Raw_Data!D297="","",Raw_Data!D297)</f>
        <v>37</v>
      </c>
      <c r="E297" s="13" t="str">
        <f aca="false">IF(UPPER(LEFT(TRIM(Raw_Data!E297),1))="M","Male",IF(UPPER(LEFT(TRIM(Raw_Data!E297),1))="F","Female","Unknown"))</f>
        <v>Male</v>
      </c>
      <c r="F297" s="13" t="str">
        <f aca="false">PROPER(TRIM(SUBSTITUTE(Raw_Data!F297,"'","")))</f>
        <v>Bachelors</v>
      </c>
      <c r="G297" s="13" t="str">
        <f aca="false">PROPER(TRIM(Raw_Data!G297))</f>
        <v>Sales</v>
      </c>
      <c r="H297" s="13" t="str">
        <f aca="false">PROPER(TRIM(Raw_Data!H297))</f>
        <v>Associate</v>
      </c>
      <c r="I297" s="13" t="n">
        <f aca="false">IF(Raw_Data!I297="",DefaultPerf,Raw_Data!I297)</f>
        <v>4</v>
      </c>
      <c r="J297" s="13" t="n">
        <f aca="false">IF(Raw_Data!J297="",DefaultSat,Raw_Data!J297)</f>
        <v>2</v>
      </c>
      <c r="K297" s="15" t="n">
        <f aca="false">Raw_Data!K297</f>
        <v>50500</v>
      </c>
      <c r="L297" s="13" t="str">
        <f aca="false">PROPER(TRIM(Raw_Data!N297))</f>
        <v>Yes</v>
      </c>
      <c r="M297" s="13" t="n">
        <f aca="false">IF(C297="",0,1)</f>
        <v>1</v>
      </c>
      <c r="N297" s="13" t="str">
        <f aca="false">IF(M297=0,"Active",IF(TRIM(Raw_Data!L297)="","Unknown",PROPER(TRIM(Raw_Data!L297))))</f>
        <v>Involuntary</v>
      </c>
      <c r="O297" s="13" t="str">
        <f aca="false">IF(M297=0,"",IF(TRIM(Raw_Data!M297)="","Not Recorded",TRIM(Raw_Data!M297)))</f>
        <v>Policy Violation</v>
      </c>
      <c r="P297" s="16" t="n">
        <f aca="false">ROUND((IF(C297="",AsOfDate,C297)-B297)/365.25,2)</f>
        <v>7.12</v>
      </c>
      <c r="Q297" s="13" t="str">
        <f aca="false">IF(D297="","Unknown",IF(D297&lt;25,"Under 25",IF(D297&lt;35,"25-34",IF(D297&lt;45,"35-44",IF(D297&lt;55,"45-54","55+")))))</f>
        <v>35-44</v>
      </c>
      <c r="R297" s="13" t="str">
        <f aca="false">IF(P297&lt;1,"0-1 yrs",IF(P297&lt;3,"1-3 yrs",IF(P297&lt;5,"3-5 yrs",IF(P297&lt;10,"5-10 yrs","10+ yrs"))))</f>
        <v>5-10 yrs</v>
      </c>
      <c r="S297" s="13" t="str">
        <f aca="false">IF(I297&gt;=4,"High",IF(I297=3,"Medium","Low"))</f>
        <v>High</v>
      </c>
      <c r="T297" s="13" t="n">
        <f aca="false">IF(M297=1,YEAR(C297),"")</f>
        <v>2022</v>
      </c>
      <c r="U297" s="13" t="str">
        <f aca="false">IF(M297=1,YEAR(C297)&amp;"-Q"&amp;ROUNDUP(MONTH(C297)/3,0),"")</f>
        <v>2022-Q1</v>
      </c>
      <c r="V297" s="13" t="n">
        <f aca="false">IF(M297=1,MONTH(C297),"")</f>
        <v>3</v>
      </c>
    </row>
    <row r="298" customFormat="false" ht="15" hidden="false" customHeight="false" outlineLevel="0" collapsed="false">
      <c r="A298" s="13" t="str">
        <f aca="false">TRIM(Raw_Data!A298)</f>
        <v>EMP0297</v>
      </c>
      <c r="B298" s="14" t="n">
        <f aca="false">Raw_Data!B298</f>
        <v>42020</v>
      </c>
      <c r="C298" s="14" t="str">
        <f aca="false">IF(Raw_Data!C298="","",Raw_Data!C298)</f>
        <v/>
      </c>
      <c r="D298" s="13" t="n">
        <f aca="false">IF(Raw_Data!D298="","",Raw_Data!D298)</f>
        <v>43</v>
      </c>
      <c r="E298" s="13" t="str">
        <f aca="false">IF(UPPER(LEFT(TRIM(Raw_Data!E298),1))="M","Male",IF(UPPER(LEFT(TRIM(Raw_Data!E298),1))="F","Female","Unknown"))</f>
        <v>Female</v>
      </c>
      <c r="F298" s="13" t="str">
        <f aca="false">PROPER(TRIM(SUBSTITUTE(Raw_Data!F298,"'","")))</f>
        <v>Masters</v>
      </c>
      <c r="G298" s="13" t="str">
        <f aca="false">PROPER(TRIM(Raw_Data!G298))</f>
        <v>Sales</v>
      </c>
      <c r="H298" s="13" t="str">
        <f aca="false">PROPER(TRIM(Raw_Data!H298))</f>
        <v>Team Lead</v>
      </c>
      <c r="I298" s="17" t="n">
        <f aca="false">IF(Raw_Data!I298="",DefaultPerf,Raw_Data!I298)</f>
        <v>3</v>
      </c>
      <c r="J298" s="13" t="n">
        <f aca="false">IF(Raw_Data!J298="",DefaultSat,Raw_Data!J298)</f>
        <v>4</v>
      </c>
      <c r="K298" s="15" t="n">
        <f aca="false">Raw_Data!K298</f>
        <v>130000</v>
      </c>
      <c r="L298" s="13" t="str">
        <f aca="false">PROPER(TRIM(Raw_Data!N298))</f>
        <v>No</v>
      </c>
      <c r="M298" s="13" t="n">
        <f aca="false">IF(C298="",0,1)</f>
        <v>0</v>
      </c>
      <c r="N298" s="13" t="str">
        <f aca="false">IF(M298=0,"Active",IF(TRIM(Raw_Data!L298)="","Unknown",PROPER(TRIM(Raw_Data!L298))))</f>
        <v>Active</v>
      </c>
      <c r="O298" s="13" t="str">
        <f aca="false">IF(M298=0,"",IF(TRIM(Raw_Data!M298)="","Not Recorded",TRIM(Raw_Data!M298)))</f>
        <v/>
      </c>
      <c r="P298" s="16" t="n">
        <f aca="false">ROUND((IF(C298="",AsOfDate,C298)-B298)/365.25,2)</f>
        <v>10.96</v>
      </c>
      <c r="Q298" s="13" t="str">
        <f aca="false">IF(D298="","Unknown",IF(D298&lt;25,"Under 25",IF(D298&lt;35,"25-34",IF(D298&lt;45,"35-44",IF(D298&lt;55,"45-54","55+")))))</f>
        <v>35-44</v>
      </c>
      <c r="R298" s="13" t="str">
        <f aca="false">IF(P298&lt;1,"0-1 yrs",IF(P298&lt;3,"1-3 yrs",IF(P298&lt;5,"3-5 yrs",IF(P298&lt;10,"5-10 yrs","10+ yrs"))))</f>
        <v>10+ yrs</v>
      </c>
      <c r="S298" s="13" t="str">
        <f aca="false">IF(I298&gt;=4,"High",IF(I298=3,"Medium","Low"))</f>
        <v>Medium</v>
      </c>
      <c r="T298" s="13" t="str">
        <f aca="false">IF(M298=1,YEAR(C298),"")</f>
        <v/>
      </c>
      <c r="U298" s="13" t="str">
        <f aca="false">IF(M298=1,YEAR(C298)&amp;"-Q"&amp;ROUNDUP(MONTH(C298)/3,0),"")</f>
        <v/>
      </c>
      <c r="V298" s="13" t="str">
        <f aca="false">IF(M298=1,MONTH(C298),"")</f>
        <v/>
      </c>
    </row>
    <row r="299" customFormat="false" ht="15" hidden="false" customHeight="false" outlineLevel="0" collapsed="false">
      <c r="A299" s="13" t="str">
        <f aca="false">TRIM(Raw_Data!A299)</f>
        <v>EMP0298</v>
      </c>
      <c r="B299" s="14" t="n">
        <f aca="false">Raw_Data!B299</f>
        <v>42023</v>
      </c>
      <c r="C299" s="14" t="str">
        <f aca="false">IF(Raw_Data!C299="","",Raw_Data!C299)</f>
        <v/>
      </c>
      <c r="D299" s="13" t="n">
        <f aca="false">IF(Raw_Data!D299="","",Raw_Data!D299)</f>
        <v>37</v>
      </c>
      <c r="E299" s="13" t="str">
        <f aca="false">IF(UPPER(LEFT(TRIM(Raw_Data!E299),1))="M","Male",IF(UPPER(LEFT(TRIM(Raw_Data!E299),1))="F","Female","Unknown"))</f>
        <v>Female</v>
      </c>
      <c r="F299" s="13" t="str">
        <f aca="false">PROPER(TRIM(SUBSTITUTE(Raw_Data!F299,"'","")))</f>
        <v>Masters</v>
      </c>
      <c r="G299" s="13" t="str">
        <f aca="false">PROPER(TRIM(Raw_Data!G299))</f>
        <v>Human Resources</v>
      </c>
      <c r="H299" s="13" t="str">
        <f aca="false">PROPER(TRIM(Raw_Data!H299))</f>
        <v>Team Lead</v>
      </c>
      <c r="I299" s="13" t="n">
        <f aca="false">IF(Raw_Data!I299="",DefaultPerf,Raw_Data!I299)</f>
        <v>3</v>
      </c>
      <c r="J299" s="13" t="n">
        <f aca="false">IF(Raw_Data!J299="",DefaultSat,Raw_Data!J299)</f>
        <v>2</v>
      </c>
      <c r="K299" s="15" t="n">
        <f aca="false">Raw_Data!K299</f>
        <v>175500</v>
      </c>
      <c r="L299" s="13" t="str">
        <f aca="false">PROPER(TRIM(Raw_Data!N299))</f>
        <v>No</v>
      </c>
      <c r="M299" s="13" t="n">
        <f aca="false">IF(C299="",0,1)</f>
        <v>0</v>
      </c>
      <c r="N299" s="13" t="str">
        <f aca="false">IF(M299=0,"Active",IF(TRIM(Raw_Data!L299)="","Unknown",PROPER(TRIM(Raw_Data!L299))))</f>
        <v>Active</v>
      </c>
      <c r="O299" s="13" t="str">
        <f aca="false">IF(M299=0,"",IF(TRIM(Raw_Data!M299)="","Not Recorded",TRIM(Raw_Data!M299)))</f>
        <v/>
      </c>
      <c r="P299" s="16" t="n">
        <f aca="false">ROUND((IF(C299="",AsOfDate,C299)-B299)/365.25,2)</f>
        <v>10.95</v>
      </c>
      <c r="Q299" s="13" t="str">
        <f aca="false">IF(D299="","Unknown",IF(D299&lt;25,"Under 25",IF(D299&lt;35,"25-34",IF(D299&lt;45,"35-44",IF(D299&lt;55,"45-54","55+")))))</f>
        <v>35-44</v>
      </c>
      <c r="R299" s="13" t="str">
        <f aca="false">IF(P299&lt;1,"0-1 yrs",IF(P299&lt;3,"1-3 yrs",IF(P299&lt;5,"3-5 yrs",IF(P299&lt;10,"5-10 yrs","10+ yrs"))))</f>
        <v>10+ yrs</v>
      </c>
      <c r="S299" s="13" t="str">
        <f aca="false">IF(I299&gt;=4,"High",IF(I299=3,"Medium","Low"))</f>
        <v>Medium</v>
      </c>
      <c r="T299" s="13" t="str">
        <f aca="false">IF(M299=1,YEAR(C299),"")</f>
        <v/>
      </c>
      <c r="U299" s="13" t="str">
        <f aca="false">IF(M299=1,YEAR(C299)&amp;"-Q"&amp;ROUNDUP(MONTH(C299)/3,0),"")</f>
        <v/>
      </c>
      <c r="V299" s="13" t="str">
        <f aca="false">IF(M299=1,MONTH(C299),"")</f>
        <v/>
      </c>
    </row>
    <row r="300" customFormat="false" ht="15" hidden="false" customHeight="false" outlineLevel="0" collapsed="false">
      <c r="A300" s="13" t="str">
        <f aca="false">TRIM(Raw_Data!A300)</f>
        <v>EMP0299</v>
      </c>
      <c r="B300" s="14" t="n">
        <f aca="false">Raw_Data!B300</f>
        <v>42030</v>
      </c>
      <c r="C300" s="14" t="str">
        <f aca="false">IF(Raw_Data!C300="","",Raw_Data!C300)</f>
        <v/>
      </c>
      <c r="D300" s="13" t="n">
        <f aca="false">IF(Raw_Data!D300="","",Raw_Data!D300)</f>
        <v>47</v>
      </c>
      <c r="E300" s="13" t="str">
        <f aca="false">IF(UPPER(LEFT(TRIM(Raw_Data!E300),1))="M","Male",IF(UPPER(LEFT(TRIM(Raw_Data!E300),1))="F","Female","Unknown"))</f>
        <v>Male</v>
      </c>
      <c r="F300" s="13" t="str">
        <f aca="false">PROPER(TRIM(SUBSTITUTE(Raw_Data!F300,"'","")))</f>
        <v>Bachelors</v>
      </c>
      <c r="G300" s="13" t="str">
        <f aca="false">PROPER(TRIM(Raw_Data!G300))</f>
        <v>Engineering</v>
      </c>
      <c r="H300" s="13" t="str">
        <f aca="false">PROPER(TRIM(Raw_Data!H300))</f>
        <v>Analyst</v>
      </c>
      <c r="I300" s="13" t="n">
        <f aca="false">IF(Raw_Data!I300="",DefaultPerf,Raw_Data!I300)</f>
        <v>2</v>
      </c>
      <c r="J300" s="13" t="n">
        <f aca="false">IF(Raw_Data!J300="",DefaultSat,Raw_Data!J300)</f>
        <v>4</v>
      </c>
      <c r="K300" s="15" t="n">
        <f aca="false">Raw_Data!K300</f>
        <v>76000</v>
      </c>
      <c r="L300" s="13" t="str">
        <f aca="false">PROPER(TRIM(Raw_Data!N300))</f>
        <v>Yes</v>
      </c>
      <c r="M300" s="13" t="n">
        <f aca="false">IF(C300="",0,1)</f>
        <v>0</v>
      </c>
      <c r="N300" s="13" t="str">
        <f aca="false">IF(M300=0,"Active",IF(TRIM(Raw_Data!L300)="","Unknown",PROPER(TRIM(Raw_Data!L300))))</f>
        <v>Active</v>
      </c>
      <c r="O300" s="13" t="str">
        <f aca="false">IF(M300=0,"",IF(TRIM(Raw_Data!M300)="","Not Recorded",TRIM(Raw_Data!M300)))</f>
        <v/>
      </c>
      <c r="P300" s="16" t="n">
        <f aca="false">ROUND((IF(C300="",AsOfDate,C300)-B300)/365.25,2)</f>
        <v>10.93</v>
      </c>
      <c r="Q300" s="13" t="str">
        <f aca="false">IF(D300="","Unknown",IF(D300&lt;25,"Under 25",IF(D300&lt;35,"25-34",IF(D300&lt;45,"35-44",IF(D300&lt;55,"45-54","55+")))))</f>
        <v>45-54</v>
      </c>
      <c r="R300" s="13" t="str">
        <f aca="false">IF(P300&lt;1,"0-1 yrs",IF(P300&lt;3,"1-3 yrs",IF(P300&lt;5,"3-5 yrs",IF(P300&lt;10,"5-10 yrs","10+ yrs"))))</f>
        <v>10+ yrs</v>
      </c>
      <c r="S300" s="13" t="str">
        <f aca="false">IF(I300&gt;=4,"High",IF(I300=3,"Medium","Low"))</f>
        <v>Low</v>
      </c>
      <c r="T300" s="13" t="str">
        <f aca="false">IF(M300=1,YEAR(C300),"")</f>
        <v/>
      </c>
      <c r="U300" s="13" t="str">
        <f aca="false">IF(M300=1,YEAR(C300)&amp;"-Q"&amp;ROUNDUP(MONTH(C300)/3,0),"")</f>
        <v/>
      </c>
      <c r="V300" s="13" t="str">
        <f aca="false">IF(M300=1,MONTH(C300),"")</f>
        <v/>
      </c>
    </row>
    <row r="301" customFormat="false" ht="15" hidden="false" customHeight="false" outlineLevel="0" collapsed="false">
      <c r="A301" s="13" t="str">
        <f aca="false">TRIM(Raw_Data!A301)</f>
        <v>EMP0300</v>
      </c>
      <c r="B301" s="14" t="n">
        <f aca="false">Raw_Data!B301</f>
        <v>42032</v>
      </c>
      <c r="C301" s="14" t="str">
        <f aca="false">IF(Raw_Data!C301="","",Raw_Data!C301)</f>
        <v/>
      </c>
      <c r="D301" s="13" t="n">
        <f aca="false">IF(Raw_Data!D301="","",Raw_Data!D301)</f>
        <v>41</v>
      </c>
      <c r="E301" s="13" t="str">
        <f aca="false">IF(UPPER(LEFT(TRIM(Raw_Data!E301),1))="M","Male",IF(UPPER(LEFT(TRIM(Raw_Data!E301),1))="F","Female","Unknown"))</f>
        <v>Female</v>
      </c>
      <c r="F301" s="13" t="str">
        <f aca="false">PROPER(TRIM(SUBSTITUTE(Raw_Data!F301,"'","")))</f>
        <v>Diploma</v>
      </c>
      <c r="G301" s="13" t="str">
        <f aca="false">PROPER(TRIM(Raw_Data!G301))</f>
        <v>Customer Support</v>
      </c>
      <c r="H301" s="13" t="str">
        <f aca="false">PROPER(TRIM(Raw_Data!H301))</f>
        <v>Analyst</v>
      </c>
      <c r="I301" s="13" t="n">
        <f aca="false">IF(Raw_Data!I301="",DefaultPerf,Raw_Data!I301)</f>
        <v>3</v>
      </c>
      <c r="J301" s="13" t="n">
        <f aca="false">IF(Raw_Data!J301="",DefaultSat,Raw_Data!J301)</f>
        <v>3</v>
      </c>
      <c r="K301" s="15" t="n">
        <f aca="false">Raw_Data!K301</f>
        <v>73500</v>
      </c>
      <c r="L301" s="13" t="str">
        <f aca="false">PROPER(TRIM(Raw_Data!N301))</f>
        <v>No</v>
      </c>
      <c r="M301" s="13" t="n">
        <f aca="false">IF(C301="",0,1)</f>
        <v>0</v>
      </c>
      <c r="N301" s="13" t="str">
        <f aca="false">IF(M301=0,"Active",IF(TRIM(Raw_Data!L301)="","Unknown",PROPER(TRIM(Raw_Data!L301))))</f>
        <v>Active</v>
      </c>
      <c r="O301" s="13" t="str">
        <f aca="false">IF(M301=0,"",IF(TRIM(Raw_Data!M301)="","Not Recorded",TRIM(Raw_Data!M301)))</f>
        <v/>
      </c>
      <c r="P301" s="16" t="n">
        <f aca="false">ROUND((IF(C301="",AsOfDate,C301)-B301)/365.25,2)</f>
        <v>10.92</v>
      </c>
      <c r="Q301" s="13" t="str">
        <f aca="false">IF(D301="","Unknown",IF(D301&lt;25,"Under 25",IF(D301&lt;35,"25-34",IF(D301&lt;45,"35-44",IF(D301&lt;55,"45-54","55+")))))</f>
        <v>35-44</v>
      </c>
      <c r="R301" s="13" t="str">
        <f aca="false">IF(P301&lt;1,"0-1 yrs",IF(P301&lt;3,"1-3 yrs",IF(P301&lt;5,"3-5 yrs",IF(P301&lt;10,"5-10 yrs","10+ yrs"))))</f>
        <v>10+ yrs</v>
      </c>
      <c r="S301" s="13" t="str">
        <f aca="false">IF(I301&gt;=4,"High",IF(I301=3,"Medium","Low"))</f>
        <v>Medium</v>
      </c>
      <c r="T301" s="13" t="str">
        <f aca="false">IF(M301=1,YEAR(C301),"")</f>
        <v/>
      </c>
      <c r="U301" s="13" t="str">
        <f aca="false">IF(M301=1,YEAR(C301)&amp;"-Q"&amp;ROUNDUP(MONTH(C301)/3,0),"")</f>
        <v/>
      </c>
      <c r="V301" s="13" t="str">
        <f aca="false">IF(M301=1,MONTH(C301),"")</f>
        <v/>
      </c>
    </row>
    <row r="302" customFormat="false" ht="15" hidden="false" customHeight="false" outlineLevel="0" collapsed="false">
      <c r="A302" s="13" t="str">
        <f aca="false">TRIM(Raw_Data!A302)</f>
        <v>EMP0301</v>
      </c>
      <c r="B302" s="14" t="n">
        <f aca="false">Raw_Data!B302</f>
        <v>42034</v>
      </c>
      <c r="C302" s="14" t="n">
        <f aca="false">IF(Raw_Data!C302="","",Raw_Data!C302)</f>
        <v>44691</v>
      </c>
      <c r="D302" s="13" t="n">
        <f aca="false">IF(Raw_Data!D302="","",Raw_Data!D302)</f>
        <v>33</v>
      </c>
      <c r="E302" s="13" t="str">
        <f aca="false">IF(UPPER(LEFT(TRIM(Raw_Data!E302),1))="M","Male",IF(UPPER(LEFT(TRIM(Raw_Data!E302),1))="F","Female","Unknown"))</f>
        <v>Male</v>
      </c>
      <c r="F302" s="13" t="str">
        <f aca="false">PROPER(TRIM(SUBSTITUTE(Raw_Data!F302,"'","")))</f>
        <v>Masters</v>
      </c>
      <c r="G302" s="13" t="str">
        <f aca="false">PROPER(TRIM(Raw_Data!G302))</f>
        <v>Engineering</v>
      </c>
      <c r="H302" s="13" t="str">
        <f aca="false">PROPER(TRIM(Raw_Data!H302))</f>
        <v>Associate</v>
      </c>
      <c r="I302" s="13" t="n">
        <f aca="false">IF(Raw_Data!I302="",DefaultPerf,Raw_Data!I302)</f>
        <v>3</v>
      </c>
      <c r="J302" s="13" t="n">
        <f aca="false">IF(Raw_Data!J302="",DefaultSat,Raw_Data!J302)</f>
        <v>2</v>
      </c>
      <c r="K302" s="15" t="n">
        <f aca="false">Raw_Data!K302</f>
        <v>41000</v>
      </c>
      <c r="L302" s="13" t="str">
        <f aca="false">PROPER(TRIM(Raw_Data!N302))</f>
        <v>Yes</v>
      </c>
      <c r="M302" s="13" t="n">
        <f aca="false">IF(C302="",0,1)</f>
        <v>1</v>
      </c>
      <c r="N302" s="13" t="str">
        <f aca="false">IF(M302=0,"Active",IF(TRIM(Raw_Data!L302)="","Unknown",PROPER(TRIM(Raw_Data!L302))))</f>
        <v>Voluntary</v>
      </c>
      <c r="O302" s="13" t="str">
        <f aca="false">IF(M302=0,"",IF(TRIM(Raw_Data!M302)="","Not Recorded",TRIM(Raw_Data!M302)))</f>
        <v>Job Dissatisfaction</v>
      </c>
      <c r="P302" s="16" t="n">
        <f aca="false">ROUND((IF(C302="",AsOfDate,C302)-B302)/365.25,2)</f>
        <v>7.27</v>
      </c>
      <c r="Q302" s="13" t="str">
        <f aca="false">IF(D302="","Unknown",IF(D302&lt;25,"Under 25",IF(D302&lt;35,"25-34",IF(D302&lt;45,"35-44",IF(D302&lt;55,"45-54","55+")))))</f>
        <v>25-34</v>
      </c>
      <c r="R302" s="13" t="str">
        <f aca="false">IF(P302&lt;1,"0-1 yrs",IF(P302&lt;3,"1-3 yrs",IF(P302&lt;5,"3-5 yrs",IF(P302&lt;10,"5-10 yrs","10+ yrs"))))</f>
        <v>5-10 yrs</v>
      </c>
      <c r="S302" s="13" t="str">
        <f aca="false">IF(I302&gt;=4,"High",IF(I302=3,"Medium","Low"))</f>
        <v>Medium</v>
      </c>
      <c r="T302" s="13" t="n">
        <f aca="false">IF(M302=1,YEAR(C302),"")</f>
        <v>2022</v>
      </c>
      <c r="U302" s="13" t="str">
        <f aca="false">IF(M302=1,YEAR(C302)&amp;"-Q"&amp;ROUNDUP(MONTH(C302)/3,0),"")</f>
        <v>2022-Q2</v>
      </c>
      <c r="V302" s="13" t="n">
        <f aca="false">IF(M302=1,MONTH(C302),"")</f>
        <v>5</v>
      </c>
    </row>
    <row r="303" customFormat="false" ht="15" hidden="false" customHeight="false" outlineLevel="0" collapsed="false">
      <c r="A303" s="13" t="str">
        <f aca="false">TRIM(Raw_Data!A303)</f>
        <v>EMP0302</v>
      </c>
      <c r="B303" s="14" t="n">
        <f aca="false">Raw_Data!B303</f>
        <v>42038</v>
      </c>
      <c r="C303" s="14" t="str">
        <f aca="false">IF(Raw_Data!C303="","",Raw_Data!C303)</f>
        <v/>
      </c>
      <c r="D303" s="13" t="n">
        <f aca="false">IF(Raw_Data!D303="","",Raw_Data!D303)</f>
        <v>40</v>
      </c>
      <c r="E303" s="13" t="str">
        <f aca="false">IF(UPPER(LEFT(TRIM(Raw_Data!E303),1))="M","Male",IF(UPPER(LEFT(TRIM(Raw_Data!E303),1))="F","Female","Unknown"))</f>
        <v>Male</v>
      </c>
      <c r="F303" s="13" t="str">
        <f aca="false">PROPER(TRIM(SUBSTITUTE(Raw_Data!F303,"'","")))</f>
        <v>Bachelors</v>
      </c>
      <c r="G303" s="13" t="str">
        <f aca="false">PROPER(TRIM(Raw_Data!G303))</f>
        <v>Engineering</v>
      </c>
      <c r="H303" s="13" t="str">
        <f aca="false">PROPER(TRIM(Raw_Data!H303))</f>
        <v>Team Lead</v>
      </c>
      <c r="I303" s="13" t="n">
        <f aca="false">IF(Raw_Data!I303="",DefaultPerf,Raw_Data!I303)</f>
        <v>4</v>
      </c>
      <c r="J303" s="13" t="n">
        <f aca="false">IF(Raw_Data!J303="",DefaultSat,Raw_Data!J303)</f>
        <v>3</v>
      </c>
      <c r="K303" s="15" t="n">
        <f aca="false">Raw_Data!K303</f>
        <v>190500</v>
      </c>
      <c r="L303" s="13" t="str">
        <f aca="false">PROPER(TRIM(Raw_Data!N303))</f>
        <v>Yes</v>
      </c>
      <c r="M303" s="13" t="n">
        <f aca="false">IF(C303="",0,1)</f>
        <v>0</v>
      </c>
      <c r="N303" s="13" t="str">
        <f aca="false">IF(M303=0,"Active",IF(TRIM(Raw_Data!L303)="","Unknown",PROPER(TRIM(Raw_Data!L303))))</f>
        <v>Active</v>
      </c>
      <c r="O303" s="13" t="str">
        <f aca="false">IF(M303=0,"",IF(TRIM(Raw_Data!M303)="","Not Recorded",TRIM(Raw_Data!M303)))</f>
        <v/>
      </c>
      <c r="P303" s="16" t="n">
        <f aca="false">ROUND((IF(C303="",AsOfDate,C303)-B303)/365.25,2)</f>
        <v>10.91</v>
      </c>
      <c r="Q303" s="13" t="str">
        <f aca="false">IF(D303="","Unknown",IF(D303&lt;25,"Under 25",IF(D303&lt;35,"25-34",IF(D303&lt;45,"35-44",IF(D303&lt;55,"45-54","55+")))))</f>
        <v>35-44</v>
      </c>
      <c r="R303" s="13" t="str">
        <f aca="false">IF(P303&lt;1,"0-1 yrs",IF(P303&lt;3,"1-3 yrs",IF(P303&lt;5,"3-5 yrs",IF(P303&lt;10,"5-10 yrs","10+ yrs"))))</f>
        <v>10+ yrs</v>
      </c>
      <c r="S303" s="13" t="str">
        <f aca="false">IF(I303&gt;=4,"High",IF(I303=3,"Medium","Low"))</f>
        <v>High</v>
      </c>
      <c r="T303" s="13" t="str">
        <f aca="false">IF(M303=1,YEAR(C303),"")</f>
        <v/>
      </c>
      <c r="U303" s="13" t="str">
        <f aca="false">IF(M303=1,YEAR(C303)&amp;"-Q"&amp;ROUNDUP(MONTH(C303)/3,0),"")</f>
        <v/>
      </c>
      <c r="V303" s="13" t="str">
        <f aca="false">IF(M303=1,MONTH(C303),"")</f>
        <v/>
      </c>
    </row>
    <row r="304" customFormat="false" ht="15" hidden="false" customHeight="false" outlineLevel="0" collapsed="false">
      <c r="A304" s="13" t="str">
        <f aca="false">TRIM(Raw_Data!A304)</f>
        <v>EMP0303</v>
      </c>
      <c r="B304" s="14" t="n">
        <f aca="false">Raw_Data!B304</f>
        <v>42040</v>
      </c>
      <c r="C304" s="14" t="str">
        <f aca="false">IF(Raw_Data!C304="","",Raw_Data!C304)</f>
        <v/>
      </c>
      <c r="D304" s="13" t="n">
        <f aca="false">IF(Raw_Data!D304="","",Raw_Data!D304)</f>
        <v>46</v>
      </c>
      <c r="E304" s="13" t="str">
        <f aca="false">IF(UPPER(LEFT(TRIM(Raw_Data!E304),1))="M","Male",IF(UPPER(LEFT(TRIM(Raw_Data!E304),1))="F","Female","Unknown"))</f>
        <v>Male</v>
      </c>
      <c r="F304" s="13" t="str">
        <f aca="false">PROPER(TRIM(SUBSTITUTE(Raw_Data!F304,"'","")))</f>
        <v>Diploma</v>
      </c>
      <c r="G304" s="13" t="str">
        <f aca="false">PROPER(TRIM(Raw_Data!G304))</f>
        <v>Engineering</v>
      </c>
      <c r="H304" s="13" t="str">
        <f aca="false">PROPER(TRIM(Raw_Data!H304))</f>
        <v>Manager</v>
      </c>
      <c r="I304" s="13" t="n">
        <f aca="false">IF(Raw_Data!I304="",DefaultPerf,Raw_Data!I304)</f>
        <v>3</v>
      </c>
      <c r="J304" s="13" t="n">
        <f aca="false">IF(Raw_Data!J304="",DefaultSat,Raw_Data!J304)</f>
        <v>3</v>
      </c>
      <c r="K304" s="15" t="n">
        <f aca="false">Raw_Data!K304</f>
        <v>213000</v>
      </c>
      <c r="L304" s="13" t="str">
        <f aca="false">PROPER(TRIM(Raw_Data!N304))</f>
        <v>No</v>
      </c>
      <c r="M304" s="13" t="n">
        <f aca="false">IF(C304="",0,1)</f>
        <v>0</v>
      </c>
      <c r="N304" s="13" t="str">
        <f aca="false">IF(M304=0,"Active",IF(TRIM(Raw_Data!L304)="","Unknown",PROPER(TRIM(Raw_Data!L304))))</f>
        <v>Active</v>
      </c>
      <c r="O304" s="13" t="str">
        <f aca="false">IF(M304=0,"",IF(TRIM(Raw_Data!M304)="","Not Recorded",TRIM(Raw_Data!M304)))</f>
        <v/>
      </c>
      <c r="P304" s="16" t="n">
        <f aca="false">ROUND((IF(C304="",AsOfDate,C304)-B304)/365.25,2)</f>
        <v>10.9</v>
      </c>
      <c r="Q304" s="13" t="str">
        <f aca="false">IF(D304="","Unknown",IF(D304&lt;25,"Under 25",IF(D304&lt;35,"25-34",IF(D304&lt;45,"35-44",IF(D304&lt;55,"45-54","55+")))))</f>
        <v>45-54</v>
      </c>
      <c r="R304" s="13" t="str">
        <f aca="false">IF(P304&lt;1,"0-1 yrs",IF(P304&lt;3,"1-3 yrs",IF(P304&lt;5,"3-5 yrs",IF(P304&lt;10,"5-10 yrs","10+ yrs"))))</f>
        <v>10+ yrs</v>
      </c>
      <c r="S304" s="13" t="str">
        <f aca="false">IF(I304&gt;=4,"High",IF(I304=3,"Medium","Low"))</f>
        <v>Medium</v>
      </c>
      <c r="T304" s="13" t="str">
        <f aca="false">IF(M304=1,YEAR(C304),"")</f>
        <v/>
      </c>
      <c r="U304" s="13" t="str">
        <f aca="false">IF(M304=1,YEAR(C304)&amp;"-Q"&amp;ROUNDUP(MONTH(C304)/3,0),"")</f>
        <v/>
      </c>
      <c r="V304" s="13" t="str">
        <f aca="false">IF(M304=1,MONTH(C304),"")</f>
        <v/>
      </c>
    </row>
    <row r="305" customFormat="false" ht="15" hidden="false" customHeight="false" outlineLevel="0" collapsed="false">
      <c r="A305" s="13" t="str">
        <f aca="false">TRIM(Raw_Data!A305)</f>
        <v>EMP0304</v>
      </c>
      <c r="B305" s="14" t="n">
        <f aca="false">Raw_Data!B305</f>
        <v>42044</v>
      </c>
      <c r="C305" s="14" t="str">
        <f aca="false">IF(Raw_Data!C305="","",Raw_Data!C305)</f>
        <v/>
      </c>
      <c r="D305" s="13" t="n">
        <f aca="false">IF(Raw_Data!D305="","",Raw_Data!D305)</f>
        <v>39</v>
      </c>
      <c r="E305" s="13" t="str">
        <f aca="false">IF(UPPER(LEFT(TRIM(Raw_Data!E305),1))="M","Male",IF(UPPER(LEFT(TRIM(Raw_Data!E305),1))="F","Female","Unknown"))</f>
        <v>Female</v>
      </c>
      <c r="F305" s="13" t="str">
        <f aca="false">PROPER(TRIM(SUBSTITUTE(Raw_Data!F305,"'","")))</f>
        <v>Masters</v>
      </c>
      <c r="G305" s="13" t="str">
        <f aca="false">PROPER(TRIM(Raw_Data!G305))</f>
        <v>Operations</v>
      </c>
      <c r="H305" s="13" t="str">
        <f aca="false">PROPER(TRIM(Raw_Data!H305))</f>
        <v>Manager</v>
      </c>
      <c r="I305" s="13" t="n">
        <f aca="false">IF(Raw_Data!I305="",DefaultPerf,Raw_Data!I305)</f>
        <v>4</v>
      </c>
      <c r="J305" s="13" t="n">
        <f aca="false">IF(Raw_Data!J305="",DefaultSat,Raw_Data!J305)</f>
        <v>1</v>
      </c>
      <c r="K305" s="15" t="n">
        <f aca="false">Raw_Data!K305</f>
        <v>234000</v>
      </c>
      <c r="L305" s="13" t="str">
        <f aca="false">PROPER(TRIM(Raw_Data!N305))</f>
        <v>No</v>
      </c>
      <c r="M305" s="13" t="n">
        <f aca="false">IF(C305="",0,1)</f>
        <v>0</v>
      </c>
      <c r="N305" s="13" t="str">
        <f aca="false">IF(M305=0,"Active",IF(TRIM(Raw_Data!L305)="","Unknown",PROPER(TRIM(Raw_Data!L305))))</f>
        <v>Active</v>
      </c>
      <c r="O305" s="13" t="str">
        <f aca="false">IF(M305=0,"",IF(TRIM(Raw_Data!M305)="","Not Recorded",TRIM(Raw_Data!M305)))</f>
        <v/>
      </c>
      <c r="P305" s="16" t="n">
        <f aca="false">ROUND((IF(C305="",AsOfDate,C305)-B305)/365.25,2)</f>
        <v>10.89</v>
      </c>
      <c r="Q305" s="13" t="str">
        <f aca="false">IF(D305="","Unknown",IF(D305&lt;25,"Under 25",IF(D305&lt;35,"25-34",IF(D305&lt;45,"35-44",IF(D305&lt;55,"45-54","55+")))))</f>
        <v>35-44</v>
      </c>
      <c r="R305" s="13" t="str">
        <f aca="false">IF(P305&lt;1,"0-1 yrs",IF(P305&lt;3,"1-3 yrs",IF(P305&lt;5,"3-5 yrs",IF(P305&lt;10,"5-10 yrs","10+ yrs"))))</f>
        <v>10+ yrs</v>
      </c>
      <c r="S305" s="13" t="str">
        <f aca="false">IF(I305&gt;=4,"High",IF(I305=3,"Medium","Low"))</f>
        <v>High</v>
      </c>
      <c r="T305" s="13" t="str">
        <f aca="false">IF(M305=1,YEAR(C305),"")</f>
        <v/>
      </c>
      <c r="U305" s="13" t="str">
        <f aca="false">IF(M305=1,YEAR(C305)&amp;"-Q"&amp;ROUNDUP(MONTH(C305)/3,0),"")</f>
        <v/>
      </c>
      <c r="V305" s="13" t="str">
        <f aca="false">IF(M305=1,MONTH(C305),"")</f>
        <v/>
      </c>
    </row>
    <row r="306" customFormat="false" ht="15" hidden="false" customHeight="false" outlineLevel="0" collapsed="false">
      <c r="A306" s="13" t="str">
        <f aca="false">TRIM(Raw_Data!A306)</f>
        <v>EMP0305</v>
      </c>
      <c r="B306" s="14" t="n">
        <f aca="false">Raw_Data!B306</f>
        <v>42045</v>
      </c>
      <c r="C306" s="14" t="n">
        <f aca="false">IF(Raw_Data!C306="","",Raw_Data!C306)</f>
        <v>44934</v>
      </c>
      <c r="D306" s="13" t="n">
        <f aca="false">IF(Raw_Data!D306="","",Raw_Data!D306)</f>
        <v>29</v>
      </c>
      <c r="E306" s="13" t="str">
        <f aca="false">IF(UPPER(LEFT(TRIM(Raw_Data!E306),1))="M","Male",IF(UPPER(LEFT(TRIM(Raw_Data!E306),1))="F","Female","Unknown"))</f>
        <v>Female</v>
      </c>
      <c r="F306" s="13" t="str">
        <f aca="false">PROPER(TRIM(SUBSTITUTE(Raw_Data!F306,"'","")))</f>
        <v>Bachelors</v>
      </c>
      <c r="G306" s="13" t="str">
        <f aca="false">PROPER(TRIM(Raw_Data!G306))</f>
        <v>Sales</v>
      </c>
      <c r="H306" s="13" t="str">
        <f aca="false">PROPER(TRIM(Raw_Data!H306))</f>
        <v>Analyst</v>
      </c>
      <c r="I306" s="13" t="n">
        <f aca="false">IF(Raw_Data!I306="",DefaultPerf,Raw_Data!I306)</f>
        <v>3</v>
      </c>
      <c r="J306" s="13" t="n">
        <f aca="false">IF(Raw_Data!J306="",DefaultSat,Raw_Data!J306)</f>
        <v>3</v>
      </c>
      <c r="K306" s="15" t="n">
        <f aca="false">Raw_Data!K306</f>
        <v>68000</v>
      </c>
      <c r="L306" s="13" t="str">
        <f aca="false">PROPER(TRIM(Raw_Data!N306))</f>
        <v>Yes</v>
      </c>
      <c r="M306" s="13" t="n">
        <f aca="false">IF(C306="",0,1)</f>
        <v>1</v>
      </c>
      <c r="N306" s="13" t="str">
        <f aca="false">IF(M306=0,"Active",IF(TRIM(Raw_Data!L306)="","Unknown",PROPER(TRIM(Raw_Data!L306))))</f>
        <v>Voluntary</v>
      </c>
      <c r="O306" s="13" t="str">
        <f aca="false">IF(M306=0,"",IF(TRIM(Raw_Data!M306)="","Not Recorded",TRIM(Raw_Data!M306)))</f>
        <v>Personal Reasons</v>
      </c>
      <c r="P306" s="16" t="n">
        <f aca="false">ROUND((IF(C306="",AsOfDate,C306)-B306)/365.25,2)</f>
        <v>7.91</v>
      </c>
      <c r="Q306" s="13" t="str">
        <f aca="false">IF(D306="","Unknown",IF(D306&lt;25,"Under 25",IF(D306&lt;35,"25-34",IF(D306&lt;45,"35-44",IF(D306&lt;55,"45-54","55+")))))</f>
        <v>25-34</v>
      </c>
      <c r="R306" s="13" t="str">
        <f aca="false">IF(P306&lt;1,"0-1 yrs",IF(P306&lt;3,"1-3 yrs",IF(P306&lt;5,"3-5 yrs",IF(P306&lt;10,"5-10 yrs","10+ yrs"))))</f>
        <v>5-10 yrs</v>
      </c>
      <c r="S306" s="13" t="str">
        <f aca="false">IF(I306&gt;=4,"High",IF(I306=3,"Medium","Low"))</f>
        <v>Medium</v>
      </c>
      <c r="T306" s="13" t="n">
        <f aca="false">IF(M306=1,YEAR(C306),"")</f>
        <v>2023</v>
      </c>
      <c r="U306" s="13" t="str">
        <f aca="false">IF(M306=1,YEAR(C306)&amp;"-Q"&amp;ROUNDUP(MONTH(C306)/3,0),"")</f>
        <v>2023-Q1</v>
      </c>
      <c r="V306" s="13" t="n">
        <f aca="false">IF(M306=1,MONTH(C306),"")</f>
        <v>1</v>
      </c>
    </row>
    <row r="307" customFormat="false" ht="15" hidden="false" customHeight="false" outlineLevel="0" collapsed="false">
      <c r="A307" s="13" t="str">
        <f aca="false">TRIM(Raw_Data!A307)</f>
        <v>EMP0306</v>
      </c>
      <c r="B307" s="14" t="n">
        <f aca="false">Raw_Data!B307</f>
        <v>42053</v>
      </c>
      <c r="C307" s="14" t="str">
        <f aca="false">IF(Raw_Data!C307="","",Raw_Data!C307)</f>
        <v/>
      </c>
      <c r="D307" s="13" t="n">
        <f aca="false">IF(Raw_Data!D307="","",Raw_Data!D307)</f>
        <v>35</v>
      </c>
      <c r="E307" s="13" t="str">
        <f aca="false">IF(UPPER(LEFT(TRIM(Raw_Data!E307),1))="M","Male",IF(UPPER(LEFT(TRIM(Raw_Data!E307),1))="F","Female","Unknown"))</f>
        <v>Male</v>
      </c>
      <c r="F307" s="13" t="str">
        <f aca="false">PROPER(TRIM(SUBSTITUTE(Raw_Data!F307,"'","")))</f>
        <v>Bachelors</v>
      </c>
      <c r="G307" s="13" t="str">
        <f aca="false">PROPER(TRIM(Raw_Data!G307))</f>
        <v>Sales</v>
      </c>
      <c r="H307" s="13" t="str">
        <f aca="false">PROPER(TRIM(Raw_Data!H307))</f>
        <v>Team Lead</v>
      </c>
      <c r="I307" s="13" t="n">
        <f aca="false">IF(Raw_Data!I307="",DefaultPerf,Raw_Data!I307)</f>
        <v>5</v>
      </c>
      <c r="J307" s="13" t="n">
        <f aca="false">IF(Raw_Data!J307="",DefaultSat,Raw_Data!J307)</f>
        <v>1</v>
      </c>
      <c r="K307" s="15" t="n">
        <f aca="false">Raw_Data!K307</f>
        <v>172000</v>
      </c>
      <c r="L307" s="13" t="str">
        <f aca="false">PROPER(TRIM(Raw_Data!N307))</f>
        <v>No</v>
      </c>
      <c r="M307" s="13" t="n">
        <f aca="false">IF(C307="",0,1)</f>
        <v>0</v>
      </c>
      <c r="N307" s="13" t="str">
        <f aca="false">IF(M307=0,"Active",IF(TRIM(Raw_Data!L307)="","Unknown",PROPER(TRIM(Raw_Data!L307))))</f>
        <v>Active</v>
      </c>
      <c r="O307" s="13" t="str">
        <f aca="false">IF(M307=0,"",IF(TRIM(Raw_Data!M307)="","Not Recorded",TRIM(Raw_Data!M307)))</f>
        <v/>
      </c>
      <c r="P307" s="16" t="n">
        <f aca="false">ROUND((IF(C307="",AsOfDate,C307)-B307)/365.25,2)</f>
        <v>10.87</v>
      </c>
      <c r="Q307" s="13" t="str">
        <f aca="false">IF(D307="","Unknown",IF(D307&lt;25,"Under 25",IF(D307&lt;35,"25-34",IF(D307&lt;45,"35-44",IF(D307&lt;55,"45-54","55+")))))</f>
        <v>35-44</v>
      </c>
      <c r="R307" s="13" t="str">
        <f aca="false">IF(P307&lt;1,"0-1 yrs",IF(P307&lt;3,"1-3 yrs",IF(P307&lt;5,"3-5 yrs",IF(P307&lt;10,"5-10 yrs","10+ yrs"))))</f>
        <v>10+ yrs</v>
      </c>
      <c r="S307" s="13" t="str">
        <f aca="false">IF(I307&gt;=4,"High",IF(I307=3,"Medium","Low"))</f>
        <v>High</v>
      </c>
      <c r="T307" s="13" t="str">
        <f aca="false">IF(M307=1,YEAR(C307),"")</f>
        <v/>
      </c>
      <c r="U307" s="13" t="str">
        <f aca="false">IF(M307=1,YEAR(C307)&amp;"-Q"&amp;ROUNDUP(MONTH(C307)/3,0),"")</f>
        <v/>
      </c>
      <c r="V307" s="13" t="str">
        <f aca="false">IF(M307=1,MONTH(C307),"")</f>
        <v/>
      </c>
    </row>
    <row r="308" customFormat="false" ht="15" hidden="false" customHeight="false" outlineLevel="0" collapsed="false">
      <c r="A308" s="13" t="str">
        <f aca="false">TRIM(Raw_Data!A308)</f>
        <v>EMP0307</v>
      </c>
      <c r="B308" s="14" t="n">
        <f aca="false">Raw_Data!B308</f>
        <v>42054</v>
      </c>
      <c r="C308" s="14" t="str">
        <f aca="false">IF(Raw_Data!C308="","",Raw_Data!C308)</f>
        <v/>
      </c>
      <c r="D308" s="13" t="n">
        <f aca="false">IF(Raw_Data!D308="","",Raw_Data!D308)</f>
        <v>46</v>
      </c>
      <c r="E308" s="13" t="str">
        <f aca="false">IF(UPPER(LEFT(TRIM(Raw_Data!E308),1))="M","Male",IF(UPPER(LEFT(TRIM(Raw_Data!E308),1))="F","Female","Unknown"))</f>
        <v>Male</v>
      </c>
      <c r="F308" s="13" t="str">
        <f aca="false">PROPER(TRIM(SUBSTITUTE(Raw_Data!F308,"'","")))</f>
        <v>Masters</v>
      </c>
      <c r="G308" s="13" t="str">
        <f aca="false">PROPER(TRIM(Raw_Data!G308))</f>
        <v>Sales</v>
      </c>
      <c r="H308" s="13" t="str">
        <f aca="false">PROPER(TRIM(Raw_Data!H308))</f>
        <v>Associate</v>
      </c>
      <c r="I308" s="13" t="n">
        <f aca="false">IF(Raw_Data!I308="",DefaultPerf,Raw_Data!I308)</f>
        <v>3</v>
      </c>
      <c r="J308" s="13" t="n">
        <f aca="false">IF(Raw_Data!J308="",DefaultSat,Raw_Data!J308)</f>
        <v>3</v>
      </c>
      <c r="K308" s="15" t="n">
        <f aca="false">Raw_Data!K308</f>
        <v>44000</v>
      </c>
      <c r="L308" s="13" t="str">
        <f aca="false">PROPER(TRIM(Raw_Data!N308))</f>
        <v>Yes</v>
      </c>
      <c r="M308" s="13" t="n">
        <f aca="false">IF(C308="",0,1)</f>
        <v>0</v>
      </c>
      <c r="N308" s="13" t="str">
        <f aca="false">IF(M308=0,"Active",IF(TRIM(Raw_Data!L308)="","Unknown",PROPER(TRIM(Raw_Data!L308))))</f>
        <v>Active</v>
      </c>
      <c r="O308" s="13" t="str">
        <f aca="false">IF(M308=0,"",IF(TRIM(Raw_Data!M308)="","Not Recorded",TRIM(Raw_Data!M308)))</f>
        <v/>
      </c>
      <c r="P308" s="16" t="n">
        <f aca="false">ROUND((IF(C308="",AsOfDate,C308)-B308)/365.25,2)</f>
        <v>10.86</v>
      </c>
      <c r="Q308" s="13" t="str">
        <f aca="false">IF(D308="","Unknown",IF(D308&lt;25,"Under 25",IF(D308&lt;35,"25-34",IF(D308&lt;45,"35-44",IF(D308&lt;55,"45-54","55+")))))</f>
        <v>45-54</v>
      </c>
      <c r="R308" s="13" t="str">
        <f aca="false">IF(P308&lt;1,"0-1 yrs",IF(P308&lt;3,"1-3 yrs",IF(P308&lt;5,"3-5 yrs",IF(P308&lt;10,"5-10 yrs","10+ yrs"))))</f>
        <v>10+ yrs</v>
      </c>
      <c r="S308" s="13" t="str">
        <f aca="false">IF(I308&gt;=4,"High",IF(I308=3,"Medium","Low"))</f>
        <v>Medium</v>
      </c>
      <c r="T308" s="13" t="str">
        <f aca="false">IF(M308=1,YEAR(C308),"")</f>
        <v/>
      </c>
      <c r="U308" s="13" t="str">
        <f aca="false">IF(M308=1,YEAR(C308)&amp;"-Q"&amp;ROUNDUP(MONTH(C308)/3,0),"")</f>
        <v/>
      </c>
      <c r="V308" s="13" t="str">
        <f aca="false">IF(M308=1,MONTH(C308),"")</f>
        <v/>
      </c>
    </row>
    <row r="309" customFormat="false" ht="15" hidden="false" customHeight="false" outlineLevel="0" collapsed="false">
      <c r="A309" s="13" t="str">
        <f aca="false">TRIM(Raw_Data!A309)</f>
        <v>EMP0308</v>
      </c>
      <c r="B309" s="14" t="n">
        <f aca="false">Raw_Data!B309</f>
        <v>42056</v>
      </c>
      <c r="C309" s="14" t="str">
        <f aca="false">IF(Raw_Data!C309="","",Raw_Data!C309)</f>
        <v/>
      </c>
      <c r="D309" s="13" t="n">
        <f aca="false">IF(Raw_Data!D309="","",Raw_Data!D309)</f>
        <v>39</v>
      </c>
      <c r="E309" s="13" t="str">
        <f aca="false">IF(UPPER(LEFT(TRIM(Raw_Data!E309),1))="M","Male",IF(UPPER(LEFT(TRIM(Raw_Data!E309),1))="F","Female","Unknown"))</f>
        <v>Male</v>
      </c>
      <c r="F309" s="13" t="str">
        <f aca="false">PROPER(TRIM(SUBSTITUTE(Raw_Data!F309,"'","")))</f>
        <v>Bachelors</v>
      </c>
      <c r="G309" s="13" t="str">
        <f aca="false">PROPER(TRIM(Raw_Data!G309))</f>
        <v>Engineering</v>
      </c>
      <c r="H309" s="13" t="str">
        <f aca="false">PROPER(TRIM(Raw_Data!H309))</f>
        <v>Associate</v>
      </c>
      <c r="I309" s="13" t="n">
        <f aca="false">IF(Raw_Data!I309="",DefaultPerf,Raw_Data!I309)</f>
        <v>4</v>
      </c>
      <c r="J309" s="13" t="n">
        <f aca="false">IF(Raw_Data!J309="",DefaultSat,Raw_Data!J309)</f>
        <v>3</v>
      </c>
      <c r="K309" s="15" t="n">
        <f aca="false">Raw_Data!K309</f>
        <v>45500</v>
      </c>
      <c r="L309" s="13" t="str">
        <f aca="false">PROPER(TRIM(Raw_Data!N309))</f>
        <v>No</v>
      </c>
      <c r="M309" s="13" t="n">
        <f aca="false">IF(C309="",0,1)</f>
        <v>0</v>
      </c>
      <c r="N309" s="13" t="str">
        <f aca="false">IF(M309=0,"Active",IF(TRIM(Raw_Data!L309)="","Unknown",PROPER(TRIM(Raw_Data!L309))))</f>
        <v>Active</v>
      </c>
      <c r="O309" s="13" t="str">
        <f aca="false">IF(M309=0,"",IF(TRIM(Raw_Data!M309)="","Not Recorded",TRIM(Raw_Data!M309)))</f>
        <v/>
      </c>
      <c r="P309" s="16" t="n">
        <f aca="false">ROUND((IF(C309="",AsOfDate,C309)-B309)/365.25,2)</f>
        <v>10.86</v>
      </c>
      <c r="Q309" s="13" t="str">
        <f aca="false">IF(D309="","Unknown",IF(D309&lt;25,"Under 25",IF(D309&lt;35,"25-34",IF(D309&lt;45,"35-44",IF(D309&lt;55,"45-54","55+")))))</f>
        <v>35-44</v>
      </c>
      <c r="R309" s="13" t="str">
        <f aca="false">IF(P309&lt;1,"0-1 yrs",IF(P309&lt;3,"1-3 yrs",IF(P309&lt;5,"3-5 yrs",IF(P309&lt;10,"5-10 yrs","10+ yrs"))))</f>
        <v>10+ yrs</v>
      </c>
      <c r="S309" s="13" t="str">
        <f aca="false">IF(I309&gt;=4,"High",IF(I309=3,"Medium","Low"))</f>
        <v>High</v>
      </c>
      <c r="T309" s="13" t="str">
        <f aca="false">IF(M309=1,YEAR(C309),"")</f>
        <v/>
      </c>
      <c r="U309" s="13" t="str">
        <f aca="false">IF(M309=1,YEAR(C309)&amp;"-Q"&amp;ROUNDUP(MONTH(C309)/3,0),"")</f>
        <v/>
      </c>
      <c r="V309" s="13" t="str">
        <f aca="false">IF(M309=1,MONTH(C309),"")</f>
        <v/>
      </c>
    </row>
    <row r="310" customFormat="false" ht="15" hidden="false" customHeight="false" outlineLevel="0" collapsed="false">
      <c r="A310" s="13" t="str">
        <f aca="false">TRIM(Raw_Data!A310)</f>
        <v>EMP0309</v>
      </c>
      <c r="B310" s="14" t="n">
        <f aca="false">Raw_Data!B310</f>
        <v>42058</v>
      </c>
      <c r="C310" s="14" t="str">
        <f aca="false">IF(Raw_Data!C310="","",Raw_Data!C310)</f>
        <v/>
      </c>
      <c r="D310" s="13" t="n">
        <f aca="false">IF(Raw_Data!D310="","",Raw_Data!D310)</f>
        <v>35</v>
      </c>
      <c r="E310" s="13" t="str">
        <f aca="false">IF(UPPER(LEFT(TRIM(Raw_Data!E310),1))="M","Male",IF(UPPER(LEFT(TRIM(Raw_Data!E310),1))="F","Female","Unknown"))</f>
        <v>Female</v>
      </c>
      <c r="F310" s="13" t="str">
        <f aca="false">PROPER(TRIM(SUBSTITUTE(Raw_Data!F310,"'","")))</f>
        <v>Bachelors</v>
      </c>
      <c r="G310" s="13" t="str">
        <f aca="false">PROPER(TRIM(Raw_Data!G310))</f>
        <v>Engineering</v>
      </c>
      <c r="H310" s="13" t="str">
        <f aca="false">PROPER(TRIM(Raw_Data!H310))</f>
        <v>Senior Analyst</v>
      </c>
      <c r="I310" s="13" t="n">
        <f aca="false">IF(Raw_Data!I310="",DefaultPerf,Raw_Data!I310)</f>
        <v>4</v>
      </c>
      <c r="J310" s="13" t="n">
        <f aca="false">IF(Raw_Data!J310="",DefaultSat,Raw_Data!J310)</f>
        <v>1</v>
      </c>
      <c r="K310" s="15" t="n">
        <f aca="false">Raw_Data!K310</f>
        <v>125000</v>
      </c>
      <c r="L310" s="13" t="str">
        <f aca="false">PROPER(TRIM(Raw_Data!N310))</f>
        <v>Yes</v>
      </c>
      <c r="M310" s="13" t="n">
        <f aca="false">IF(C310="",0,1)</f>
        <v>0</v>
      </c>
      <c r="N310" s="13" t="str">
        <f aca="false">IF(M310=0,"Active",IF(TRIM(Raw_Data!L310)="","Unknown",PROPER(TRIM(Raw_Data!L310))))</f>
        <v>Active</v>
      </c>
      <c r="O310" s="13" t="str">
        <f aca="false">IF(M310=0,"",IF(TRIM(Raw_Data!M310)="","Not Recorded",TRIM(Raw_Data!M310)))</f>
        <v/>
      </c>
      <c r="P310" s="16" t="n">
        <f aca="false">ROUND((IF(C310="",AsOfDate,C310)-B310)/365.25,2)</f>
        <v>10.85</v>
      </c>
      <c r="Q310" s="13" t="str">
        <f aca="false">IF(D310="","Unknown",IF(D310&lt;25,"Under 25",IF(D310&lt;35,"25-34",IF(D310&lt;45,"35-44",IF(D310&lt;55,"45-54","55+")))))</f>
        <v>35-44</v>
      </c>
      <c r="R310" s="13" t="str">
        <f aca="false">IF(P310&lt;1,"0-1 yrs",IF(P310&lt;3,"1-3 yrs",IF(P310&lt;5,"3-5 yrs",IF(P310&lt;10,"5-10 yrs","10+ yrs"))))</f>
        <v>10+ yrs</v>
      </c>
      <c r="S310" s="13" t="str">
        <f aca="false">IF(I310&gt;=4,"High",IF(I310=3,"Medium","Low"))</f>
        <v>High</v>
      </c>
      <c r="T310" s="13" t="str">
        <f aca="false">IF(M310=1,YEAR(C310),"")</f>
        <v/>
      </c>
      <c r="U310" s="13" t="str">
        <f aca="false">IF(M310=1,YEAR(C310)&amp;"-Q"&amp;ROUNDUP(MONTH(C310)/3,0),"")</f>
        <v/>
      </c>
      <c r="V310" s="13" t="str">
        <f aca="false">IF(M310=1,MONTH(C310),"")</f>
        <v/>
      </c>
    </row>
    <row r="311" customFormat="false" ht="15" hidden="false" customHeight="false" outlineLevel="0" collapsed="false">
      <c r="A311" s="13" t="str">
        <f aca="false">TRIM(Raw_Data!A311)</f>
        <v>EMP0310</v>
      </c>
      <c r="B311" s="14" t="n">
        <f aca="false">Raw_Data!B311</f>
        <v>42059</v>
      </c>
      <c r="C311" s="14" t="str">
        <f aca="false">IF(Raw_Data!C311="","",Raw_Data!C311)</f>
        <v/>
      </c>
      <c r="D311" s="13" t="n">
        <f aca="false">IF(Raw_Data!D311="","",Raw_Data!D311)</f>
        <v>41</v>
      </c>
      <c r="E311" s="13" t="str">
        <f aca="false">IF(UPPER(LEFT(TRIM(Raw_Data!E311),1))="M","Male",IF(UPPER(LEFT(TRIM(Raw_Data!E311),1))="F","Female","Unknown"))</f>
        <v>Male</v>
      </c>
      <c r="F311" s="13" t="str">
        <f aca="false">PROPER(TRIM(SUBSTITUTE(Raw_Data!F311,"'","")))</f>
        <v>Masters</v>
      </c>
      <c r="G311" s="13" t="str">
        <f aca="false">PROPER(TRIM(Raw_Data!G311))</f>
        <v>Finance</v>
      </c>
      <c r="H311" s="13" t="str">
        <f aca="false">PROPER(TRIM(Raw_Data!H311))</f>
        <v>Analyst</v>
      </c>
      <c r="I311" s="13" t="n">
        <f aca="false">IF(Raw_Data!I311="",DefaultPerf,Raw_Data!I311)</f>
        <v>4</v>
      </c>
      <c r="J311" s="13" t="n">
        <f aca="false">IF(Raw_Data!J311="",DefaultSat,Raw_Data!J311)</f>
        <v>3</v>
      </c>
      <c r="K311" s="15" t="n">
        <f aca="false">Raw_Data!K311</f>
        <v>72500</v>
      </c>
      <c r="L311" s="13" t="str">
        <f aca="false">PROPER(TRIM(Raw_Data!N311))</f>
        <v>No</v>
      </c>
      <c r="M311" s="13" t="n">
        <f aca="false">IF(C311="",0,1)</f>
        <v>0</v>
      </c>
      <c r="N311" s="13" t="str">
        <f aca="false">IF(M311=0,"Active",IF(TRIM(Raw_Data!L311)="","Unknown",PROPER(TRIM(Raw_Data!L311))))</f>
        <v>Active</v>
      </c>
      <c r="O311" s="13" t="str">
        <f aca="false">IF(M311=0,"",IF(TRIM(Raw_Data!M311)="","Not Recorded",TRIM(Raw_Data!M311)))</f>
        <v/>
      </c>
      <c r="P311" s="16" t="n">
        <f aca="false">ROUND((IF(C311="",AsOfDate,C311)-B311)/365.25,2)</f>
        <v>10.85</v>
      </c>
      <c r="Q311" s="13" t="str">
        <f aca="false">IF(D311="","Unknown",IF(D311&lt;25,"Under 25",IF(D311&lt;35,"25-34",IF(D311&lt;45,"35-44",IF(D311&lt;55,"45-54","55+")))))</f>
        <v>35-44</v>
      </c>
      <c r="R311" s="13" t="str">
        <f aca="false">IF(P311&lt;1,"0-1 yrs",IF(P311&lt;3,"1-3 yrs",IF(P311&lt;5,"3-5 yrs",IF(P311&lt;10,"5-10 yrs","10+ yrs"))))</f>
        <v>10+ yrs</v>
      </c>
      <c r="S311" s="13" t="str">
        <f aca="false">IF(I311&gt;=4,"High",IF(I311=3,"Medium","Low"))</f>
        <v>High</v>
      </c>
      <c r="T311" s="13" t="str">
        <f aca="false">IF(M311=1,YEAR(C311),"")</f>
        <v/>
      </c>
      <c r="U311" s="13" t="str">
        <f aca="false">IF(M311=1,YEAR(C311)&amp;"-Q"&amp;ROUNDUP(MONTH(C311)/3,0),"")</f>
        <v/>
      </c>
      <c r="V311" s="13" t="str">
        <f aca="false">IF(M311=1,MONTH(C311),"")</f>
        <v/>
      </c>
    </row>
    <row r="312" customFormat="false" ht="15" hidden="false" customHeight="false" outlineLevel="0" collapsed="false">
      <c r="A312" s="13" t="str">
        <f aca="false">TRIM(Raw_Data!A312)</f>
        <v>EMP0311</v>
      </c>
      <c r="B312" s="14" t="n">
        <f aca="false">Raw_Data!B312</f>
        <v>42060</v>
      </c>
      <c r="C312" s="14" t="n">
        <f aca="false">IF(Raw_Data!C312="","",Raw_Data!C312)</f>
        <v>45013</v>
      </c>
      <c r="D312" s="13" t="n">
        <f aca="false">IF(Raw_Data!D312="","",Raw_Data!D312)</f>
        <v>39</v>
      </c>
      <c r="E312" s="13" t="str">
        <f aca="false">IF(UPPER(LEFT(TRIM(Raw_Data!E312),1))="M","Male",IF(UPPER(LEFT(TRIM(Raw_Data!E312),1))="F","Female","Unknown"))</f>
        <v>Male</v>
      </c>
      <c r="F312" s="13" t="str">
        <f aca="false">PROPER(TRIM(SUBSTITUTE(Raw_Data!F312,"'","")))</f>
        <v>High School</v>
      </c>
      <c r="G312" s="13" t="str">
        <f aca="false">PROPER(TRIM(Raw_Data!G312))</f>
        <v>Operations</v>
      </c>
      <c r="H312" s="13" t="str">
        <f aca="false">PROPER(TRIM(Raw_Data!H312))</f>
        <v>Analyst</v>
      </c>
      <c r="I312" s="13" t="n">
        <f aca="false">IF(Raw_Data!I312="",DefaultPerf,Raw_Data!I312)</f>
        <v>3</v>
      </c>
      <c r="J312" s="13" t="n">
        <f aca="false">IF(Raw_Data!J312="",DefaultSat,Raw_Data!J312)</f>
        <v>2</v>
      </c>
      <c r="K312" s="15" t="n">
        <f aca="false">Raw_Data!K312</f>
        <v>71500</v>
      </c>
      <c r="L312" s="13" t="str">
        <f aca="false">PROPER(TRIM(Raw_Data!N312))</f>
        <v>No</v>
      </c>
      <c r="M312" s="13" t="n">
        <f aca="false">IF(C312="",0,1)</f>
        <v>1</v>
      </c>
      <c r="N312" s="13" t="str">
        <f aca="false">IF(M312=0,"Active",IF(TRIM(Raw_Data!L312)="","Unknown",PROPER(TRIM(Raw_Data!L312))))</f>
        <v>Voluntary</v>
      </c>
      <c r="O312" s="13" t="str">
        <f aca="false">IF(M312=0,"",IF(TRIM(Raw_Data!M312)="","Not Recorded",TRIM(Raw_Data!M312)))</f>
        <v>Manager Issues</v>
      </c>
      <c r="P312" s="16" t="n">
        <f aca="false">ROUND((IF(C312="",AsOfDate,C312)-B312)/365.25,2)</f>
        <v>8.08</v>
      </c>
      <c r="Q312" s="13" t="str">
        <f aca="false">IF(D312="","Unknown",IF(D312&lt;25,"Under 25",IF(D312&lt;35,"25-34",IF(D312&lt;45,"35-44",IF(D312&lt;55,"45-54","55+")))))</f>
        <v>35-44</v>
      </c>
      <c r="R312" s="13" t="str">
        <f aca="false">IF(P312&lt;1,"0-1 yrs",IF(P312&lt;3,"1-3 yrs",IF(P312&lt;5,"3-5 yrs",IF(P312&lt;10,"5-10 yrs","10+ yrs"))))</f>
        <v>5-10 yrs</v>
      </c>
      <c r="S312" s="13" t="str">
        <f aca="false">IF(I312&gt;=4,"High",IF(I312=3,"Medium","Low"))</f>
        <v>Medium</v>
      </c>
      <c r="T312" s="13" t="n">
        <f aca="false">IF(M312=1,YEAR(C312),"")</f>
        <v>2023</v>
      </c>
      <c r="U312" s="13" t="str">
        <f aca="false">IF(M312=1,YEAR(C312)&amp;"-Q"&amp;ROUNDUP(MONTH(C312)/3,0),"")</f>
        <v>2023-Q1</v>
      </c>
      <c r="V312" s="13" t="n">
        <f aca="false">IF(M312=1,MONTH(C312),"")</f>
        <v>3</v>
      </c>
    </row>
    <row r="313" customFormat="false" ht="15" hidden="false" customHeight="false" outlineLevel="0" collapsed="false">
      <c r="A313" s="13" t="str">
        <f aca="false">TRIM(Raw_Data!A313)</f>
        <v>EMP0312</v>
      </c>
      <c r="B313" s="14" t="n">
        <f aca="false">Raw_Data!B313</f>
        <v>42060</v>
      </c>
      <c r="C313" s="14" t="n">
        <f aca="false">IF(Raw_Data!C313="","",Raw_Data!C313)</f>
        <v>45119</v>
      </c>
      <c r="D313" s="13" t="n">
        <f aca="false">IF(Raw_Data!D313="","",Raw_Data!D313)</f>
        <v>40</v>
      </c>
      <c r="E313" s="13" t="str">
        <f aca="false">IF(UPPER(LEFT(TRIM(Raw_Data!E313),1))="M","Male",IF(UPPER(LEFT(TRIM(Raw_Data!E313),1))="F","Female","Unknown"))</f>
        <v>Male</v>
      </c>
      <c r="F313" s="13" t="str">
        <f aca="false">PROPER(TRIM(SUBSTITUTE(Raw_Data!F313,"'","")))</f>
        <v>Masters</v>
      </c>
      <c r="G313" s="13" t="str">
        <f aca="false">PROPER(TRIM(Raw_Data!G313))</f>
        <v>Operations</v>
      </c>
      <c r="H313" s="13" t="str">
        <f aca="false">PROPER(TRIM(Raw_Data!H313))</f>
        <v>Associate</v>
      </c>
      <c r="I313" s="13" t="n">
        <f aca="false">IF(Raw_Data!I313="",DefaultPerf,Raw_Data!I313)</f>
        <v>3</v>
      </c>
      <c r="J313" s="13" t="n">
        <f aca="false">IF(Raw_Data!J313="",DefaultSat,Raw_Data!J313)</f>
        <v>3</v>
      </c>
      <c r="K313" s="15" t="n">
        <f aca="false">Raw_Data!K313</f>
        <v>53500</v>
      </c>
      <c r="L313" s="13" t="str">
        <f aca="false">PROPER(TRIM(Raw_Data!N313))</f>
        <v>No</v>
      </c>
      <c r="M313" s="13" t="n">
        <f aca="false">IF(C313="",0,1)</f>
        <v>1</v>
      </c>
      <c r="N313" s="13" t="str">
        <f aca="false">IF(M313=0,"Active",IF(TRIM(Raw_Data!L313)="","Unknown",PROPER(TRIM(Raw_Data!L313))))</f>
        <v>Voluntary</v>
      </c>
      <c r="O313" s="13" t="str">
        <f aca="false">IF(M313=0,"",IF(TRIM(Raw_Data!M313)="","Not Recorded",TRIM(Raw_Data!M313)))</f>
        <v>Better Compensation</v>
      </c>
      <c r="P313" s="16" t="n">
        <f aca="false">ROUND((IF(C313="",AsOfDate,C313)-B313)/365.25,2)</f>
        <v>8.38</v>
      </c>
      <c r="Q313" s="13" t="str">
        <f aca="false">IF(D313="","Unknown",IF(D313&lt;25,"Under 25",IF(D313&lt;35,"25-34",IF(D313&lt;45,"35-44",IF(D313&lt;55,"45-54","55+")))))</f>
        <v>35-44</v>
      </c>
      <c r="R313" s="13" t="str">
        <f aca="false">IF(P313&lt;1,"0-1 yrs",IF(P313&lt;3,"1-3 yrs",IF(P313&lt;5,"3-5 yrs",IF(P313&lt;10,"5-10 yrs","10+ yrs"))))</f>
        <v>5-10 yrs</v>
      </c>
      <c r="S313" s="13" t="str">
        <f aca="false">IF(I313&gt;=4,"High",IF(I313=3,"Medium","Low"))</f>
        <v>Medium</v>
      </c>
      <c r="T313" s="13" t="n">
        <f aca="false">IF(M313=1,YEAR(C313),"")</f>
        <v>2023</v>
      </c>
      <c r="U313" s="13" t="str">
        <f aca="false">IF(M313=1,YEAR(C313)&amp;"-Q"&amp;ROUNDUP(MONTH(C313)/3,0),"")</f>
        <v>2023-Q3</v>
      </c>
      <c r="V313" s="13" t="n">
        <f aca="false">IF(M313=1,MONTH(C313),"")</f>
        <v>7</v>
      </c>
    </row>
    <row r="314" customFormat="false" ht="15" hidden="false" customHeight="false" outlineLevel="0" collapsed="false">
      <c r="A314" s="13" t="str">
        <f aca="false">TRIM(Raw_Data!A314)</f>
        <v>EMP0313</v>
      </c>
      <c r="B314" s="14" t="n">
        <f aca="false">Raw_Data!B314</f>
        <v>42061</v>
      </c>
      <c r="C314" s="14" t="str">
        <f aca="false">IF(Raw_Data!C314="","",Raw_Data!C314)</f>
        <v/>
      </c>
      <c r="D314" s="13" t="n">
        <f aca="false">IF(Raw_Data!D314="","",Raw_Data!D314)</f>
        <v>37</v>
      </c>
      <c r="E314" s="13" t="str">
        <f aca="false">IF(UPPER(LEFT(TRIM(Raw_Data!E314),1))="M","Male",IF(UPPER(LEFT(TRIM(Raw_Data!E314),1))="F","Female","Unknown"))</f>
        <v>Female</v>
      </c>
      <c r="F314" s="13" t="str">
        <f aca="false">PROPER(TRIM(SUBSTITUTE(Raw_Data!F314,"'","")))</f>
        <v>Masters</v>
      </c>
      <c r="G314" s="13" t="str">
        <f aca="false">PROPER(TRIM(Raw_Data!G314))</f>
        <v>Engineering</v>
      </c>
      <c r="H314" s="13" t="str">
        <f aca="false">PROPER(TRIM(Raw_Data!H314))</f>
        <v>Associate</v>
      </c>
      <c r="I314" s="13" t="n">
        <f aca="false">IF(Raw_Data!I314="",DefaultPerf,Raw_Data!I314)</f>
        <v>2</v>
      </c>
      <c r="J314" s="13" t="n">
        <f aca="false">IF(Raw_Data!J314="",DefaultSat,Raw_Data!J314)</f>
        <v>3</v>
      </c>
      <c r="K314" s="15" t="n">
        <f aca="false">Raw_Data!K314</f>
        <v>39500</v>
      </c>
      <c r="L314" s="13" t="str">
        <f aca="false">PROPER(TRIM(Raw_Data!N314))</f>
        <v>No</v>
      </c>
      <c r="M314" s="13" t="n">
        <f aca="false">IF(C314="",0,1)</f>
        <v>0</v>
      </c>
      <c r="N314" s="13" t="str">
        <f aca="false">IF(M314=0,"Active",IF(TRIM(Raw_Data!L314)="","Unknown",PROPER(TRIM(Raw_Data!L314))))</f>
        <v>Active</v>
      </c>
      <c r="O314" s="13" t="str">
        <f aca="false">IF(M314=0,"",IF(TRIM(Raw_Data!M314)="","Not Recorded",TRIM(Raw_Data!M314)))</f>
        <v/>
      </c>
      <c r="P314" s="16" t="n">
        <f aca="false">ROUND((IF(C314="",AsOfDate,C314)-B314)/365.25,2)</f>
        <v>10.84</v>
      </c>
      <c r="Q314" s="13" t="str">
        <f aca="false">IF(D314="","Unknown",IF(D314&lt;25,"Under 25",IF(D314&lt;35,"25-34",IF(D314&lt;45,"35-44",IF(D314&lt;55,"45-54","55+")))))</f>
        <v>35-44</v>
      </c>
      <c r="R314" s="13" t="str">
        <f aca="false">IF(P314&lt;1,"0-1 yrs",IF(P314&lt;3,"1-3 yrs",IF(P314&lt;5,"3-5 yrs",IF(P314&lt;10,"5-10 yrs","10+ yrs"))))</f>
        <v>10+ yrs</v>
      </c>
      <c r="S314" s="13" t="str">
        <f aca="false">IF(I314&gt;=4,"High",IF(I314=3,"Medium","Low"))</f>
        <v>Low</v>
      </c>
      <c r="T314" s="13" t="str">
        <f aca="false">IF(M314=1,YEAR(C314),"")</f>
        <v/>
      </c>
      <c r="U314" s="13" t="str">
        <f aca="false">IF(M314=1,YEAR(C314)&amp;"-Q"&amp;ROUNDUP(MONTH(C314)/3,0),"")</f>
        <v/>
      </c>
      <c r="V314" s="13" t="str">
        <f aca="false">IF(M314=1,MONTH(C314),"")</f>
        <v/>
      </c>
    </row>
    <row r="315" customFormat="false" ht="15" hidden="false" customHeight="false" outlineLevel="0" collapsed="false">
      <c r="A315" s="13" t="str">
        <f aca="false">TRIM(Raw_Data!A315)</f>
        <v>EMP0314</v>
      </c>
      <c r="B315" s="14" t="n">
        <f aca="false">Raw_Data!B315</f>
        <v>42065</v>
      </c>
      <c r="C315" s="14" t="n">
        <f aca="false">IF(Raw_Data!C315="","",Raw_Data!C315)</f>
        <v>45780</v>
      </c>
      <c r="D315" s="13" t="n">
        <f aca="false">IF(Raw_Data!D315="","",Raw_Data!D315)</f>
        <v>40</v>
      </c>
      <c r="E315" s="13" t="str">
        <f aca="false">IF(UPPER(LEFT(TRIM(Raw_Data!E315),1))="M","Male",IF(UPPER(LEFT(TRIM(Raw_Data!E315),1))="F","Female","Unknown"))</f>
        <v>Female</v>
      </c>
      <c r="F315" s="13" t="str">
        <f aca="false">PROPER(TRIM(SUBSTITUTE(Raw_Data!F315,"'","")))</f>
        <v>Masters</v>
      </c>
      <c r="G315" s="13" t="str">
        <f aca="false">PROPER(TRIM(Raw_Data!G315))</f>
        <v>Engineering</v>
      </c>
      <c r="H315" s="13" t="str">
        <f aca="false">PROPER(TRIM(Raw_Data!H315))</f>
        <v>Analyst</v>
      </c>
      <c r="I315" s="13" t="n">
        <f aca="false">IF(Raw_Data!I315="",DefaultPerf,Raw_Data!I315)</f>
        <v>3</v>
      </c>
      <c r="J315" s="13" t="n">
        <f aca="false">IF(Raw_Data!J315="",DefaultSat,Raw_Data!J315)</f>
        <v>1</v>
      </c>
      <c r="K315" s="15" t="n">
        <f aca="false">Raw_Data!K315</f>
        <v>80000</v>
      </c>
      <c r="L315" s="13" t="str">
        <f aca="false">PROPER(TRIM(Raw_Data!N315))</f>
        <v>No</v>
      </c>
      <c r="M315" s="13" t="n">
        <f aca="false">IF(C315="",0,1)</f>
        <v>1</v>
      </c>
      <c r="N315" s="13" t="str">
        <f aca="false">IF(M315=0,"Active",IF(TRIM(Raw_Data!L315)="","Unknown",PROPER(TRIM(Raw_Data!L315))))</f>
        <v>Voluntary</v>
      </c>
      <c r="O315" s="13" t="str">
        <f aca="false">IF(M315=0,"",IF(TRIM(Raw_Data!M315)="","Not Recorded",TRIM(Raw_Data!M315)))</f>
        <v>Job Dissatisfaction</v>
      </c>
      <c r="P315" s="16" t="n">
        <f aca="false">ROUND((IF(C315="",AsOfDate,C315)-B315)/365.25,2)</f>
        <v>10.17</v>
      </c>
      <c r="Q315" s="13" t="str">
        <f aca="false">IF(D315="","Unknown",IF(D315&lt;25,"Under 25",IF(D315&lt;35,"25-34",IF(D315&lt;45,"35-44",IF(D315&lt;55,"45-54","55+")))))</f>
        <v>35-44</v>
      </c>
      <c r="R315" s="13" t="str">
        <f aca="false">IF(P315&lt;1,"0-1 yrs",IF(P315&lt;3,"1-3 yrs",IF(P315&lt;5,"3-5 yrs",IF(P315&lt;10,"5-10 yrs","10+ yrs"))))</f>
        <v>10+ yrs</v>
      </c>
      <c r="S315" s="13" t="str">
        <f aca="false">IF(I315&gt;=4,"High",IF(I315=3,"Medium","Low"))</f>
        <v>Medium</v>
      </c>
      <c r="T315" s="13" t="n">
        <f aca="false">IF(M315=1,YEAR(C315),"")</f>
        <v>2025</v>
      </c>
      <c r="U315" s="13" t="str">
        <f aca="false">IF(M315=1,YEAR(C315)&amp;"-Q"&amp;ROUNDUP(MONTH(C315)/3,0),"")</f>
        <v>2025-Q2</v>
      </c>
      <c r="V315" s="13" t="n">
        <f aca="false">IF(M315=1,MONTH(C315),"")</f>
        <v>5</v>
      </c>
    </row>
    <row r="316" customFormat="false" ht="15" hidden="false" customHeight="false" outlineLevel="0" collapsed="false">
      <c r="A316" s="13" t="str">
        <f aca="false">TRIM(Raw_Data!A316)</f>
        <v>EMP0315</v>
      </c>
      <c r="B316" s="14" t="n">
        <f aca="false">Raw_Data!B316</f>
        <v>42068</v>
      </c>
      <c r="C316" s="14" t="str">
        <f aca="false">IF(Raw_Data!C316="","",Raw_Data!C316)</f>
        <v/>
      </c>
      <c r="D316" s="13" t="n">
        <f aca="false">IF(Raw_Data!D316="","",Raw_Data!D316)</f>
        <v>41</v>
      </c>
      <c r="E316" s="13" t="str">
        <f aca="false">IF(UPPER(LEFT(TRIM(Raw_Data!E316),1))="M","Male",IF(UPPER(LEFT(TRIM(Raw_Data!E316),1))="F","Female","Unknown"))</f>
        <v>Female</v>
      </c>
      <c r="F316" s="13" t="str">
        <f aca="false">PROPER(TRIM(SUBSTITUTE(Raw_Data!F316,"'","")))</f>
        <v>Doctorate</v>
      </c>
      <c r="G316" s="13" t="str">
        <f aca="false">PROPER(TRIM(Raw_Data!G316))</f>
        <v>Customer Support</v>
      </c>
      <c r="H316" s="13" t="str">
        <f aca="false">PROPER(TRIM(Raw_Data!H316))</f>
        <v>Analyst</v>
      </c>
      <c r="I316" s="13" t="n">
        <f aca="false">IF(Raw_Data!I316="",DefaultPerf,Raw_Data!I316)</f>
        <v>2</v>
      </c>
      <c r="J316" s="13" t="n">
        <f aca="false">IF(Raw_Data!J316="",DefaultSat,Raw_Data!J316)</f>
        <v>3</v>
      </c>
      <c r="K316" s="15" t="n">
        <f aca="false">Raw_Data!K316</f>
        <v>86000</v>
      </c>
      <c r="L316" s="13" t="str">
        <f aca="false">PROPER(TRIM(Raw_Data!N316))</f>
        <v>No</v>
      </c>
      <c r="M316" s="13" t="n">
        <f aca="false">IF(C316="",0,1)</f>
        <v>0</v>
      </c>
      <c r="N316" s="13" t="str">
        <f aca="false">IF(M316=0,"Active",IF(TRIM(Raw_Data!L316)="","Unknown",PROPER(TRIM(Raw_Data!L316))))</f>
        <v>Active</v>
      </c>
      <c r="O316" s="13" t="str">
        <f aca="false">IF(M316=0,"",IF(TRIM(Raw_Data!M316)="","Not Recorded",TRIM(Raw_Data!M316)))</f>
        <v/>
      </c>
      <c r="P316" s="16" t="n">
        <f aca="false">ROUND((IF(C316="",AsOfDate,C316)-B316)/365.25,2)</f>
        <v>10.83</v>
      </c>
      <c r="Q316" s="13" t="str">
        <f aca="false">IF(D316="","Unknown",IF(D316&lt;25,"Under 25",IF(D316&lt;35,"25-34",IF(D316&lt;45,"35-44",IF(D316&lt;55,"45-54","55+")))))</f>
        <v>35-44</v>
      </c>
      <c r="R316" s="13" t="str">
        <f aca="false">IF(P316&lt;1,"0-1 yrs",IF(P316&lt;3,"1-3 yrs",IF(P316&lt;5,"3-5 yrs",IF(P316&lt;10,"5-10 yrs","10+ yrs"))))</f>
        <v>10+ yrs</v>
      </c>
      <c r="S316" s="13" t="str">
        <f aca="false">IF(I316&gt;=4,"High",IF(I316=3,"Medium","Low"))</f>
        <v>Low</v>
      </c>
      <c r="T316" s="13" t="str">
        <f aca="false">IF(M316=1,YEAR(C316),"")</f>
        <v/>
      </c>
      <c r="U316" s="13" t="str">
        <f aca="false">IF(M316=1,YEAR(C316)&amp;"-Q"&amp;ROUNDUP(MONTH(C316)/3,0),"")</f>
        <v/>
      </c>
      <c r="V316" s="13" t="str">
        <f aca="false">IF(M316=1,MONTH(C316),"")</f>
        <v/>
      </c>
    </row>
    <row r="317" customFormat="false" ht="15" hidden="false" customHeight="false" outlineLevel="0" collapsed="false">
      <c r="A317" s="13" t="str">
        <f aca="false">TRIM(Raw_Data!A317)</f>
        <v>EMP0316</v>
      </c>
      <c r="B317" s="14" t="n">
        <f aca="false">Raw_Data!B317</f>
        <v>42069</v>
      </c>
      <c r="C317" s="14" t="str">
        <f aca="false">IF(Raw_Data!C317="","",Raw_Data!C317)</f>
        <v/>
      </c>
      <c r="D317" s="13" t="n">
        <f aca="false">IF(Raw_Data!D317="","",Raw_Data!D317)</f>
        <v>41</v>
      </c>
      <c r="E317" s="13" t="str">
        <f aca="false">IF(UPPER(LEFT(TRIM(Raw_Data!E317),1))="M","Male",IF(UPPER(LEFT(TRIM(Raw_Data!E317),1))="F","Female","Unknown"))</f>
        <v>Male</v>
      </c>
      <c r="F317" s="13" t="str">
        <f aca="false">PROPER(TRIM(SUBSTITUTE(Raw_Data!F317,"'","")))</f>
        <v>Bachelors</v>
      </c>
      <c r="G317" s="13" t="str">
        <f aca="false">PROPER(TRIM(Raw_Data!G317))</f>
        <v>Human Resources</v>
      </c>
      <c r="H317" s="13" t="str">
        <f aca="false">PROPER(TRIM(Raw_Data!H317))</f>
        <v>Specialist</v>
      </c>
      <c r="I317" s="13" t="n">
        <f aca="false">IF(Raw_Data!I317="",DefaultPerf,Raw_Data!I317)</f>
        <v>3</v>
      </c>
      <c r="J317" s="13" t="n">
        <f aca="false">IF(Raw_Data!J317="",DefaultSat,Raw_Data!J317)</f>
        <v>2</v>
      </c>
      <c r="K317" s="15" t="n">
        <f aca="false">Raw_Data!K317</f>
        <v>125000</v>
      </c>
      <c r="L317" s="13" t="str">
        <f aca="false">PROPER(TRIM(Raw_Data!N317))</f>
        <v>No</v>
      </c>
      <c r="M317" s="13" t="n">
        <f aca="false">IF(C317="",0,1)</f>
        <v>0</v>
      </c>
      <c r="N317" s="13" t="str">
        <f aca="false">IF(M317=0,"Active",IF(TRIM(Raw_Data!L317)="","Unknown",PROPER(TRIM(Raw_Data!L317))))</f>
        <v>Active</v>
      </c>
      <c r="O317" s="13" t="str">
        <f aca="false">IF(M317=0,"",IF(TRIM(Raw_Data!M317)="","Not Recorded",TRIM(Raw_Data!M317)))</f>
        <v/>
      </c>
      <c r="P317" s="16" t="n">
        <f aca="false">ROUND((IF(C317="",AsOfDate,C317)-B317)/365.25,2)</f>
        <v>10.82</v>
      </c>
      <c r="Q317" s="13" t="str">
        <f aca="false">IF(D317="","Unknown",IF(D317&lt;25,"Under 25",IF(D317&lt;35,"25-34",IF(D317&lt;45,"35-44",IF(D317&lt;55,"45-54","55+")))))</f>
        <v>35-44</v>
      </c>
      <c r="R317" s="13" t="str">
        <f aca="false">IF(P317&lt;1,"0-1 yrs",IF(P317&lt;3,"1-3 yrs",IF(P317&lt;5,"3-5 yrs",IF(P317&lt;10,"5-10 yrs","10+ yrs"))))</f>
        <v>10+ yrs</v>
      </c>
      <c r="S317" s="13" t="str">
        <f aca="false">IF(I317&gt;=4,"High",IF(I317=3,"Medium","Low"))</f>
        <v>Medium</v>
      </c>
      <c r="T317" s="13" t="str">
        <f aca="false">IF(M317=1,YEAR(C317),"")</f>
        <v/>
      </c>
      <c r="U317" s="13" t="str">
        <f aca="false">IF(M317=1,YEAR(C317)&amp;"-Q"&amp;ROUNDUP(MONTH(C317)/3,0),"")</f>
        <v/>
      </c>
      <c r="V317" s="13" t="str">
        <f aca="false">IF(M317=1,MONTH(C317),"")</f>
        <v/>
      </c>
    </row>
    <row r="318" customFormat="false" ht="15" hidden="false" customHeight="false" outlineLevel="0" collapsed="false">
      <c r="A318" s="13" t="str">
        <f aca="false">TRIM(Raw_Data!A318)</f>
        <v>EMP0317</v>
      </c>
      <c r="B318" s="14" t="n">
        <f aca="false">Raw_Data!B318</f>
        <v>42069</v>
      </c>
      <c r="C318" s="14" t="str">
        <f aca="false">IF(Raw_Data!C318="","",Raw_Data!C318)</f>
        <v/>
      </c>
      <c r="D318" s="13" t="n">
        <f aca="false">IF(Raw_Data!D318="","",Raw_Data!D318)</f>
        <v>41</v>
      </c>
      <c r="E318" s="13" t="str">
        <f aca="false">IF(UPPER(LEFT(TRIM(Raw_Data!E318),1))="M","Male",IF(UPPER(LEFT(TRIM(Raw_Data!E318),1))="F","Female","Unknown"))</f>
        <v>Male</v>
      </c>
      <c r="F318" s="13" t="str">
        <f aca="false">PROPER(TRIM(SUBSTITUTE(Raw_Data!F318,"'","")))</f>
        <v>Bachelors</v>
      </c>
      <c r="G318" s="13" t="str">
        <f aca="false">PROPER(TRIM(Raw_Data!G318))</f>
        <v>Customer Support</v>
      </c>
      <c r="H318" s="13" t="str">
        <f aca="false">PROPER(TRIM(Raw_Data!H318))</f>
        <v>Specialist</v>
      </c>
      <c r="I318" s="13" t="n">
        <f aca="false">IF(Raw_Data!I318="",DefaultPerf,Raw_Data!I318)</f>
        <v>2</v>
      </c>
      <c r="J318" s="13" t="n">
        <f aca="false">IF(Raw_Data!J318="",DefaultSat,Raw_Data!J318)</f>
        <v>2</v>
      </c>
      <c r="K318" s="15" t="n">
        <f aca="false">Raw_Data!K318</f>
        <v>141500</v>
      </c>
      <c r="L318" s="13" t="str">
        <f aca="false">PROPER(TRIM(Raw_Data!N318))</f>
        <v>No</v>
      </c>
      <c r="M318" s="13" t="n">
        <f aca="false">IF(C318="",0,1)</f>
        <v>0</v>
      </c>
      <c r="N318" s="13" t="str">
        <f aca="false">IF(M318=0,"Active",IF(TRIM(Raw_Data!L318)="","Unknown",PROPER(TRIM(Raw_Data!L318))))</f>
        <v>Active</v>
      </c>
      <c r="O318" s="13" t="str">
        <f aca="false">IF(M318=0,"",IF(TRIM(Raw_Data!M318)="","Not Recorded",TRIM(Raw_Data!M318)))</f>
        <v/>
      </c>
      <c r="P318" s="16" t="n">
        <f aca="false">ROUND((IF(C318="",AsOfDate,C318)-B318)/365.25,2)</f>
        <v>10.82</v>
      </c>
      <c r="Q318" s="13" t="str">
        <f aca="false">IF(D318="","Unknown",IF(D318&lt;25,"Under 25",IF(D318&lt;35,"25-34",IF(D318&lt;45,"35-44",IF(D318&lt;55,"45-54","55+")))))</f>
        <v>35-44</v>
      </c>
      <c r="R318" s="13" t="str">
        <f aca="false">IF(P318&lt;1,"0-1 yrs",IF(P318&lt;3,"1-3 yrs",IF(P318&lt;5,"3-5 yrs",IF(P318&lt;10,"5-10 yrs","10+ yrs"))))</f>
        <v>10+ yrs</v>
      </c>
      <c r="S318" s="13" t="str">
        <f aca="false">IF(I318&gt;=4,"High",IF(I318=3,"Medium","Low"))</f>
        <v>Low</v>
      </c>
      <c r="T318" s="13" t="str">
        <f aca="false">IF(M318=1,YEAR(C318),"")</f>
        <v/>
      </c>
      <c r="U318" s="13" t="str">
        <f aca="false">IF(M318=1,YEAR(C318)&amp;"-Q"&amp;ROUNDUP(MONTH(C318)/3,0),"")</f>
        <v/>
      </c>
      <c r="V318" s="13" t="str">
        <f aca="false">IF(M318=1,MONTH(C318),"")</f>
        <v/>
      </c>
    </row>
    <row r="319" customFormat="false" ht="15" hidden="false" customHeight="false" outlineLevel="0" collapsed="false">
      <c r="A319" s="13" t="str">
        <f aca="false">TRIM(Raw_Data!A319)</f>
        <v>EMP0318</v>
      </c>
      <c r="B319" s="14" t="n">
        <f aca="false">Raw_Data!B319</f>
        <v>42071</v>
      </c>
      <c r="C319" s="14" t="str">
        <f aca="false">IF(Raw_Data!C319="","",Raw_Data!C319)</f>
        <v/>
      </c>
      <c r="D319" s="13" t="n">
        <f aca="false">IF(Raw_Data!D319="","",Raw_Data!D319)</f>
        <v>40</v>
      </c>
      <c r="E319" s="13" t="str">
        <f aca="false">IF(UPPER(LEFT(TRIM(Raw_Data!E319),1))="M","Male",IF(UPPER(LEFT(TRIM(Raw_Data!E319),1))="F","Female","Unknown"))</f>
        <v>Male</v>
      </c>
      <c r="F319" s="13" t="str">
        <f aca="false">PROPER(TRIM(SUBSTITUTE(Raw_Data!F319,"'","")))</f>
        <v>Bachelors</v>
      </c>
      <c r="G319" s="13" t="str">
        <f aca="false">PROPER(TRIM(Raw_Data!G319))</f>
        <v>Sales</v>
      </c>
      <c r="H319" s="13" t="str">
        <f aca="false">PROPER(TRIM(Raw_Data!H319))</f>
        <v>Analyst</v>
      </c>
      <c r="I319" s="13" t="n">
        <f aca="false">IF(Raw_Data!I319="",DefaultPerf,Raw_Data!I319)</f>
        <v>4</v>
      </c>
      <c r="J319" s="13" t="n">
        <f aca="false">IF(Raw_Data!J319="",DefaultSat,Raw_Data!J319)</f>
        <v>3</v>
      </c>
      <c r="K319" s="15" t="n">
        <f aca="false">Raw_Data!K319</f>
        <v>66500</v>
      </c>
      <c r="L319" s="13" t="str">
        <f aca="false">PROPER(TRIM(Raw_Data!N319))</f>
        <v>Yes</v>
      </c>
      <c r="M319" s="13" t="n">
        <f aca="false">IF(C319="",0,1)</f>
        <v>0</v>
      </c>
      <c r="N319" s="13" t="str">
        <f aca="false">IF(M319=0,"Active",IF(TRIM(Raw_Data!L319)="","Unknown",PROPER(TRIM(Raw_Data!L319))))</f>
        <v>Active</v>
      </c>
      <c r="O319" s="13" t="str">
        <f aca="false">IF(M319=0,"",IF(TRIM(Raw_Data!M319)="","Not Recorded",TRIM(Raw_Data!M319)))</f>
        <v/>
      </c>
      <c r="P319" s="16" t="n">
        <f aca="false">ROUND((IF(C319="",AsOfDate,C319)-B319)/365.25,2)</f>
        <v>10.82</v>
      </c>
      <c r="Q319" s="13" t="str">
        <f aca="false">IF(D319="","Unknown",IF(D319&lt;25,"Under 25",IF(D319&lt;35,"25-34",IF(D319&lt;45,"35-44",IF(D319&lt;55,"45-54","55+")))))</f>
        <v>35-44</v>
      </c>
      <c r="R319" s="13" t="str">
        <f aca="false">IF(P319&lt;1,"0-1 yrs",IF(P319&lt;3,"1-3 yrs",IF(P319&lt;5,"3-5 yrs",IF(P319&lt;10,"5-10 yrs","10+ yrs"))))</f>
        <v>10+ yrs</v>
      </c>
      <c r="S319" s="13" t="str">
        <f aca="false">IF(I319&gt;=4,"High",IF(I319=3,"Medium","Low"))</f>
        <v>High</v>
      </c>
      <c r="T319" s="13" t="str">
        <f aca="false">IF(M319=1,YEAR(C319),"")</f>
        <v/>
      </c>
      <c r="U319" s="13" t="str">
        <f aca="false">IF(M319=1,YEAR(C319)&amp;"-Q"&amp;ROUNDUP(MONTH(C319)/3,0),"")</f>
        <v/>
      </c>
      <c r="V319" s="13" t="str">
        <f aca="false">IF(M319=1,MONTH(C319),"")</f>
        <v/>
      </c>
    </row>
    <row r="320" customFormat="false" ht="15" hidden="false" customHeight="false" outlineLevel="0" collapsed="false">
      <c r="A320" s="13" t="str">
        <f aca="false">TRIM(Raw_Data!A320)</f>
        <v>EMP0319</v>
      </c>
      <c r="B320" s="14" t="n">
        <f aca="false">Raw_Data!B320</f>
        <v>42072</v>
      </c>
      <c r="C320" s="14" t="n">
        <f aca="false">IF(Raw_Data!C320="","",Raw_Data!C320)</f>
        <v>44766</v>
      </c>
      <c r="D320" s="13" t="n">
        <f aca="false">IF(Raw_Data!D320="","",Raw_Data!D320)</f>
        <v>37</v>
      </c>
      <c r="E320" s="13" t="str">
        <f aca="false">IF(UPPER(LEFT(TRIM(Raw_Data!E320),1))="M","Male",IF(UPPER(LEFT(TRIM(Raw_Data!E320),1))="F","Female","Unknown"))</f>
        <v>Female</v>
      </c>
      <c r="F320" s="13" t="str">
        <f aca="false">PROPER(TRIM(SUBSTITUTE(Raw_Data!F320,"'","")))</f>
        <v>High School</v>
      </c>
      <c r="G320" s="13" t="str">
        <f aca="false">PROPER(TRIM(Raw_Data!G320))</f>
        <v>Sales</v>
      </c>
      <c r="H320" s="13" t="str">
        <f aca="false">PROPER(TRIM(Raw_Data!H320))</f>
        <v>Analyst</v>
      </c>
      <c r="I320" s="13" t="n">
        <f aca="false">IF(Raw_Data!I320="",DefaultPerf,Raw_Data!I320)</f>
        <v>2</v>
      </c>
      <c r="J320" s="13" t="n">
        <f aca="false">IF(Raw_Data!J320="",DefaultSat,Raw_Data!J320)</f>
        <v>1</v>
      </c>
      <c r="K320" s="15" t="n">
        <f aca="false">Raw_Data!K320</f>
        <v>73500</v>
      </c>
      <c r="L320" s="13" t="str">
        <f aca="false">PROPER(TRIM(Raw_Data!N320))</f>
        <v>Yes</v>
      </c>
      <c r="M320" s="13" t="n">
        <f aca="false">IF(C320="",0,1)</f>
        <v>1</v>
      </c>
      <c r="N320" s="13" t="str">
        <f aca="false">IF(M320=0,"Active",IF(TRIM(Raw_Data!L320)="","Unknown",PROPER(TRIM(Raw_Data!L320))))</f>
        <v>Voluntary</v>
      </c>
      <c r="O320" s="13" t="str">
        <f aca="false">IF(M320=0,"",IF(TRIM(Raw_Data!M320)="","Not Recorded",TRIM(Raw_Data!M320)))</f>
        <v>Work-Life Balance</v>
      </c>
      <c r="P320" s="16" t="n">
        <f aca="false">ROUND((IF(C320="",AsOfDate,C320)-B320)/365.25,2)</f>
        <v>7.38</v>
      </c>
      <c r="Q320" s="13" t="str">
        <f aca="false">IF(D320="","Unknown",IF(D320&lt;25,"Under 25",IF(D320&lt;35,"25-34",IF(D320&lt;45,"35-44",IF(D320&lt;55,"45-54","55+")))))</f>
        <v>35-44</v>
      </c>
      <c r="R320" s="13" t="str">
        <f aca="false">IF(P320&lt;1,"0-1 yrs",IF(P320&lt;3,"1-3 yrs",IF(P320&lt;5,"3-5 yrs",IF(P320&lt;10,"5-10 yrs","10+ yrs"))))</f>
        <v>5-10 yrs</v>
      </c>
      <c r="S320" s="13" t="str">
        <f aca="false">IF(I320&gt;=4,"High",IF(I320=3,"Medium","Low"))</f>
        <v>Low</v>
      </c>
      <c r="T320" s="13" t="n">
        <f aca="false">IF(M320=1,YEAR(C320),"")</f>
        <v>2022</v>
      </c>
      <c r="U320" s="13" t="str">
        <f aca="false">IF(M320=1,YEAR(C320)&amp;"-Q"&amp;ROUNDUP(MONTH(C320)/3,0),"")</f>
        <v>2022-Q3</v>
      </c>
      <c r="V320" s="13" t="n">
        <f aca="false">IF(M320=1,MONTH(C320),"")</f>
        <v>7</v>
      </c>
    </row>
    <row r="321" customFormat="false" ht="15" hidden="false" customHeight="false" outlineLevel="0" collapsed="false">
      <c r="A321" s="13" t="str">
        <f aca="false">TRIM(Raw_Data!A321)</f>
        <v>EMP0320</v>
      </c>
      <c r="B321" s="14" t="n">
        <f aca="false">Raw_Data!B321</f>
        <v>42072</v>
      </c>
      <c r="C321" s="14" t="str">
        <f aca="false">IF(Raw_Data!C321="","",Raw_Data!C321)</f>
        <v/>
      </c>
      <c r="D321" s="13" t="n">
        <f aca="false">IF(Raw_Data!D321="","",Raw_Data!D321)</f>
        <v>33</v>
      </c>
      <c r="E321" s="13" t="str">
        <f aca="false">IF(UPPER(LEFT(TRIM(Raw_Data!E321),1))="M","Male",IF(UPPER(LEFT(TRIM(Raw_Data!E321),1))="F","Female","Unknown"))</f>
        <v>Male</v>
      </c>
      <c r="F321" s="13" t="str">
        <f aca="false">PROPER(TRIM(SUBSTITUTE(Raw_Data!F321,"'","")))</f>
        <v>Bachelors</v>
      </c>
      <c r="G321" s="13" t="str">
        <f aca="false">PROPER(TRIM(Raw_Data!G321))</f>
        <v>Engineering</v>
      </c>
      <c r="H321" s="13" t="str">
        <f aca="false">PROPER(TRIM(Raw_Data!H321))</f>
        <v>Analyst</v>
      </c>
      <c r="I321" s="13" t="n">
        <f aca="false">IF(Raw_Data!I321="",DefaultPerf,Raw_Data!I321)</f>
        <v>5</v>
      </c>
      <c r="J321" s="13" t="n">
        <f aca="false">IF(Raw_Data!J321="",DefaultSat,Raw_Data!J321)</f>
        <v>3</v>
      </c>
      <c r="K321" s="15" t="n">
        <f aca="false">Raw_Data!K321</f>
        <v>75500</v>
      </c>
      <c r="L321" s="13" t="str">
        <f aca="false">PROPER(TRIM(Raw_Data!N321))</f>
        <v>Yes</v>
      </c>
      <c r="M321" s="13" t="n">
        <f aca="false">IF(C321="",0,1)</f>
        <v>0</v>
      </c>
      <c r="N321" s="13" t="str">
        <f aca="false">IF(M321=0,"Active",IF(TRIM(Raw_Data!L321)="","Unknown",PROPER(TRIM(Raw_Data!L321))))</f>
        <v>Active</v>
      </c>
      <c r="O321" s="13" t="str">
        <f aca="false">IF(M321=0,"",IF(TRIM(Raw_Data!M321)="","Not Recorded",TRIM(Raw_Data!M321)))</f>
        <v/>
      </c>
      <c r="P321" s="16" t="n">
        <f aca="false">ROUND((IF(C321="",AsOfDate,C321)-B321)/365.25,2)</f>
        <v>10.81</v>
      </c>
      <c r="Q321" s="13" t="str">
        <f aca="false">IF(D321="","Unknown",IF(D321&lt;25,"Under 25",IF(D321&lt;35,"25-34",IF(D321&lt;45,"35-44",IF(D321&lt;55,"45-54","55+")))))</f>
        <v>25-34</v>
      </c>
      <c r="R321" s="13" t="str">
        <f aca="false">IF(P321&lt;1,"0-1 yrs",IF(P321&lt;3,"1-3 yrs",IF(P321&lt;5,"3-5 yrs",IF(P321&lt;10,"5-10 yrs","10+ yrs"))))</f>
        <v>10+ yrs</v>
      </c>
      <c r="S321" s="13" t="str">
        <f aca="false">IF(I321&gt;=4,"High",IF(I321=3,"Medium","Low"))</f>
        <v>High</v>
      </c>
      <c r="T321" s="13" t="str">
        <f aca="false">IF(M321=1,YEAR(C321),"")</f>
        <v/>
      </c>
      <c r="U321" s="13" t="str">
        <f aca="false">IF(M321=1,YEAR(C321)&amp;"-Q"&amp;ROUNDUP(MONTH(C321)/3,0),"")</f>
        <v/>
      </c>
      <c r="V321" s="13" t="str">
        <f aca="false">IF(M321=1,MONTH(C321),"")</f>
        <v/>
      </c>
    </row>
    <row r="322" customFormat="false" ht="15" hidden="false" customHeight="false" outlineLevel="0" collapsed="false">
      <c r="A322" s="13" t="str">
        <f aca="false">TRIM(Raw_Data!A322)</f>
        <v>EMP0321</v>
      </c>
      <c r="B322" s="14" t="n">
        <f aca="false">Raw_Data!B322</f>
        <v>42072</v>
      </c>
      <c r="C322" s="14" t="str">
        <f aca="false">IF(Raw_Data!C322="","",Raw_Data!C322)</f>
        <v/>
      </c>
      <c r="D322" s="13" t="n">
        <f aca="false">IF(Raw_Data!D322="","",Raw_Data!D322)</f>
        <v>35</v>
      </c>
      <c r="E322" s="13" t="str">
        <f aca="false">IF(UPPER(LEFT(TRIM(Raw_Data!E322),1))="M","Male",IF(UPPER(LEFT(TRIM(Raw_Data!E322),1))="F","Female","Unknown"))</f>
        <v>Male</v>
      </c>
      <c r="F322" s="13" t="str">
        <f aca="false">PROPER(TRIM(SUBSTITUTE(Raw_Data!F322,"'","")))</f>
        <v>Diploma</v>
      </c>
      <c r="G322" s="13" t="str">
        <f aca="false">PROPER(TRIM(Raw_Data!G322))</f>
        <v>Customer Support</v>
      </c>
      <c r="H322" s="13" t="str">
        <f aca="false">PROPER(TRIM(Raw_Data!H322))</f>
        <v>Associate</v>
      </c>
      <c r="I322" s="13" t="n">
        <f aca="false">IF(Raw_Data!I322="",DefaultPerf,Raw_Data!I322)</f>
        <v>3</v>
      </c>
      <c r="J322" s="13" t="n">
        <f aca="false">IF(Raw_Data!J322="",DefaultSat,Raw_Data!J322)</f>
        <v>2</v>
      </c>
      <c r="K322" s="15" t="n">
        <f aca="false">Raw_Data!K322</f>
        <v>41000</v>
      </c>
      <c r="L322" s="13" t="str">
        <f aca="false">PROPER(TRIM(Raw_Data!N322))</f>
        <v>No</v>
      </c>
      <c r="M322" s="13" t="n">
        <f aca="false">IF(C322="",0,1)</f>
        <v>0</v>
      </c>
      <c r="N322" s="13" t="str">
        <f aca="false">IF(M322=0,"Active",IF(TRIM(Raw_Data!L322)="","Unknown",PROPER(TRIM(Raw_Data!L322))))</f>
        <v>Active</v>
      </c>
      <c r="O322" s="13" t="str">
        <f aca="false">IF(M322=0,"",IF(TRIM(Raw_Data!M322)="","Not Recorded",TRIM(Raw_Data!M322)))</f>
        <v/>
      </c>
      <c r="P322" s="16" t="n">
        <f aca="false">ROUND((IF(C322="",AsOfDate,C322)-B322)/365.25,2)</f>
        <v>10.81</v>
      </c>
      <c r="Q322" s="13" t="str">
        <f aca="false">IF(D322="","Unknown",IF(D322&lt;25,"Under 25",IF(D322&lt;35,"25-34",IF(D322&lt;45,"35-44",IF(D322&lt;55,"45-54","55+")))))</f>
        <v>35-44</v>
      </c>
      <c r="R322" s="13" t="str">
        <f aca="false">IF(P322&lt;1,"0-1 yrs",IF(P322&lt;3,"1-3 yrs",IF(P322&lt;5,"3-5 yrs",IF(P322&lt;10,"5-10 yrs","10+ yrs"))))</f>
        <v>10+ yrs</v>
      </c>
      <c r="S322" s="13" t="str">
        <f aca="false">IF(I322&gt;=4,"High",IF(I322=3,"Medium","Low"))</f>
        <v>Medium</v>
      </c>
      <c r="T322" s="13" t="str">
        <f aca="false">IF(M322=1,YEAR(C322),"")</f>
        <v/>
      </c>
      <c r="U322" s="13" t="str">
        <f aca="false">IF(M322=1,YEAR(C322)&amp;"-Q"&amp;ROUNDUP(MONTH(C322)/3,0),"")</f>
        <v/>
      </c>
      <c r="V322" s="13" t="str">
        <f aca="false">IF(M322=1,MONTH(C322),"")</f>
        <v/>
      </c>
    </row>
    <row r="323" customFormat="false" ht="15" hidden="false" customHeight="false" outlineLevel="0" collapsed="false">
      <c r="A323" s="13" t="str">
        <f aca="false">TRIM(Raw_Data!A323)</f>
        <v>EMP0322</v>
      </c>
      <c r="B323" s="14" t="n">
        <f aca="false">Raw_Data!B323</f>
        <v>42074</v>
      </c>
      <c r="C323" s="14" t="str">
        <f aca="false">IF(Raw_Data!C323="","",Raw_Data!C323)</f>
        <v/>
      </c>
      <c r="D323" s="13" t="n">
        <f aca="false">IF(Raw_Data!D323="","",Raw_Data!D323)</f>
        <v>46</v>
      </c>
      <c r="E323" s="13" t="str">
        <f aca="false">IF(UPPER(LEFT(TRIM(Raw_Data!E323),1))="M","Male",IF(UPPER(LEFT(TRIM(Raw_Data!E323),1))="F","Female","Unknown"))</f>
        <v>Male</v>
      </c>
      <c r="F323" s="13" t="str">
        <f aca="false">PROPER(TRIM(SUBSTITUTE(Raw_Data!F323,"'","")))</f>
        <v>Masters</v>
      </c>
      <c r="G323" s="13" t="str">
        <f aca="false">PROPER(TRIM(Raw_Data!G323))</f>
        <v>Sales</v>
      </c>
      <c r="H323" s="13" t="str">
        <f aca="false">PROPER(TRIM(Raw_Data!H323))</f>
        <v>Analyst</v>
      </c>
      <c r="I323" s="13" t="n">
        <f aca="false">IF(Raw_Data!I323="",DefaultPerf,Raw_Data!I323)</f>
        <v>4</v>
      </c>
      <c r="J323" s="13" t="n">
        <f aca="false">IF(Raw_Data!J323="",DefaultSat,Raw_Data!J323)</f>
        <v>3</v>
      </c>
      <c r="K323" s="15" t="n">
        <f aca="false">Raw_Data!K323</f>
        <v>59500</v>
      </c>
      <c r="L323" s="13" t="str">
        <f aca="false">PROPER(TRIM(Raw_Data!N323))</f>
        <v>No</v>
      </c>
      <c r="M323" s="13" t="n">
        <f aca="false">IF(C323="",0,1)</f>
        <v>0</v>
      </c>
      <c r="N323" s="13" t="str">
        <f aca="false">IF(M323=0,"Active",IF(TRIM(Raw_Data!L323)="","Unknown",PROPER(TRIM(Raw_Data!L323))))</f>
        <v>Active</v>
      </c>
      <c r="O323" s="13" t="str">
        <f aca="false">IF(M323=0,"",IF(TRIM(Raw_Data!M323)="","Not Recorded",TRIM(Raw_Data!M323)))</f>
        <v/>
      </c>
      <c r="P323" s="16" t="n">
        <f aca="false">ROUND((IF(C323="",AsOfDate,C323)-B323)/365.25,2)</f>
        <v>10.81</v>
      </c>
      <c r="Q323" s="13" t="str">
        <f aca="false">IF(D323="","Unknown",IF(D323&lt;25,"Under 25",IF(D323&lt;35,"25-34",IF(D323&lt;45,"35-44",IF(D323&lt;55,"45-54","55+")))))</f>
        <v>45-54</v>
      </c>
      <c r="R323" s="13" t="str">
        <f aca="false">IF(P323&lt;1,"0-1 yrs",IF(P323&lt;3,"1-3 yrs",IF(P323&lt;5,"3-5 yrs",IF(P323&lt;10,"5-10 yrs","10+ yrs"))))</f>
        <v>10+ yrs</v>
      </c>
      <c r="S323" s="13" t="str">
        <f aca="false">IF(I323&gt;=4,"High",IF(I323=3,"Medium","Low"))</f>
        <v>High</v>
      </c>
      <c r="T323" s="13" t="str">
        <f aca="false">IF(M323=1,YEAR(C323),"")</f>
        <v/>
      </c>
      <c r="U323" s="13" t="str">
        <f aca="false">IF(M323=1,YEAR(C323)&amp;"-Q"&amp;ROUNDUP(MONTH(C323)/3,0),"")</f>
        <v/>
      </c>
      <c r="V323" s="13" t="str">
        <f aca="false">IF(M323=1,MONTH(C323),"")</f>
        <v/>
      </c>
    </row>
    <row r="324" customFormat="false" ht="15" hidden="false" customHeight="false" outlineLevel="0" collapsed="false">
      <c r="A324" s="13" t="str">
        <f aca="false">TRIM(Raw_Data!A324)</f>
        <v>EMP0323</v>
      </c>
      <c r="B324" s="14" t="n">
        <f aca="false">Raw_Data!B324</f>
        <v>42075</v>
      </c>
      <c r="C324" s="14" t="n">
        <f aca="false">IF(Raw_Data!C324="","",Raw_Data!C324)</f>
        <v>45370</v>
      </c>
      <c r="D324" s="13" t="n">
        <f aca="false">IF(Raw_Data!D324="","",Raw_Data!D324)</f>
        <v>38</v>
      </c>
      <c r="E324" s="13" t="str">
        <f aca="false">IF(UPPER(LEFT(TRIM(Raw_Data!E324),1))="M","Male",IF(UPPER(LEFT(TRIM(Raw_Data!E324),1))="F","Female","Unknown"))</f>
        <v>Female</v>
      </c>
      <c r="F324" s="13" t="str">
        <f aca="false">PROPER(TRIM(SUBSTITUTE(Raw_Data!F324,"'","")))</f>
        <v>Doctorate</v>
      </c>
      <c r="G324" s="13" t="str">
        <f aca="false">PROPER(TRIM(Raw_Data!G324))</f>
        <v>Engineering</v>
      </c>
      <c r="H324" s="13" t="str">
        <f aca="false">PROPER(TRIM(Raw_Data!H324))</f>
        <v>Senior Analyst</v>
      </c>
      <c r="I324" s="13" t="n">
        <f aca="false">IF(Raw_Data!I324="",DefaultPerf,Raw_Data!I324)</f>
        <v>3</v>
      </c>
      <c r="J324" s="13" t="n">
        <f aca="false">IF(Raw_Data!J324="",DefaultSat,Raw_Data!J324)</f>
        <v>3</v>
      </c>
      <c r="K324" s="15" t="n">
        <f aca="false">Raw_Data!K324</f>
        <v>127500</v>
      </c>
      <c r="L324" s="13" t="str">
        <f aca="false">PROPER(TRIM(Raw_Data!N324))</f>
        <v>Yes</v>
      </c>
      <c r="M324" s="13" t="n">
        <f aca="false">IF(C324="",0,1)</f>
        <v>1</v>
      </c>
      <c r="N324" s="13" t="str">
        <f aca="false">IF(M324=0,"Active",IF(TRIM(Raw_Data!L324)="","Unknown",PROPER(TRIM(Raw_Data!L324))))</f>
        <v>Voluntary</v>
      </c>
      <c r="O324" s="13" t="str">
        <f aca="false">IF(M324=0,"",IF(TRIM(Raw_Data!M324)="","Not Recorded",TRIM(Raw_Data!M324)))</f>
        <v>Better Compensation</v>
      </c>
      <c r="P324" s="16" t="n">
        <f aca="false">ROUND((IF(C324="",AsOfDate,C324)-B324)/365.25,2)</f>
        <v>9.02</v>
      </c>
      <c r="Q324" s="13" t="str">
        <f aca="false">IF(D324="","Unknown",IF(D324&lt;25,"Under 25",IF(D324&lt;35,"25-34",IF(D324&lt;45,"35-44",IF(D324&lt;55,"45-54","55+")))))</f>
        <v>35-44</v>
      </c>
      <c r="R324" s="13" t="str">
        <f aca="false">IF(P324&lt;1,"0-1 yrs",IF(P324&lt;3,"1-3 yrs",IF(P324&lt;5,"3-5 yrs",IF(P324&lt;10,"5-10 yrs","10+ yrs"))))</f>
        <v>5-10 yrs</v>
      </c>
      <c r="S324" s="13" t="str">
        <f aca="false">IF(I324&gt;=4,"High",IF(I324=3,"Medium","Low"))</f>
        <v>Medium</v>
      </c>
      <c r="T324" s="13" t="n">
        <f aca="false">IF(M324=1,YEAR(C324),"")</f>
        <v>2024</v>
      </c>
      <c r="U324" s="13" t="str">
        <f aca="false">IF(M324=1,YEAR(C324)&amp;"-Q"&amp;ROUNDUP(MONTH(C324)/3,0),"")</f>
        <v>2024-Q1</v>
      </c>
      <c r="V324" s="13" t="n">
        <f aca="false">IF(M324=1,MONTH(C324),"")</f>
        <v>3</v>
      </c>
    </row>
    <row r="325" customFormat="false" ht="15" hidden="false" customHeight="false" outlineLevel="0" collapsed="false">
      <c r="A325" s="13" t="str">
        <f aca="false">TRIM(Raw_Data!A325)</f>
        <v>EMP0324</v>
      </c>
      <c r="B325" s="14" t="n">
        <f aca="false">Raw_Data!B325</f>
        <v>42077</v>
      </c>
      <c r="C325" s="14" t="str">
        <f aca="false">IF(Raw_Data!C325="","",Raw_Data!C325)</f>
        <v/>
      </c>
      <c r="D325" s="13" t="n">
        <f aca="false">IF(Raw_Data!D325="","",Raw_Data!D325)</f>
        <v>37</v>
      </c>
      <c r="E325" s="13" t="str">
        <f aca="false">IF(UPPER(LEFT(TRIM(Raw_Data!E325),1))="M","Male",IF(UPPER(LEFT(TRIM(Raw_Data!E325),1))="F","Female","Unknown"))</f>
        <v>Male</v>
      </c>
      <c r="F325" s="13" t="str">
        <f aca="false">PROPER(TRIM(SUBSTITUTE(Raw_Data!F325,"'","")))</f>
        <v>Bachelors</v>
      </c>
      <c r="G325" s="13" t="str">
        <f aca="false">PROPER(TRIM(Raw_Data!G325))</f>
        <v>Engineering</v>
      </c>
      <c r="H325" s="13" t="str">
        <f aca="false">PROPER(TRIM(Raw_Data!H325))</f>
        <v>Manager</v>
      </c>
      <c r="I325" s="13" t="n">
        <f aca="false">IF(Raw_Data!I325="",DefaultPerf,Raw_Data!I325)</f>
        <v>4</v>
      </c>
      <c r="J325" s="13" t="n">
        <f aca="false">IF(Raw_Data!J325="",DefaultSat,Raw_Data!J325)</f>
        <v>4</v>
      </c>
      <c r="K325" s="15" t="n">
        <f aca="false">Raw_Data!K325</f>
        <v>180500</v>
      </c>
      <c r="L325" s="13" t="str">
        <f aca="false">PROPER(TRIM(Raw_Data!N325))</f>
        <v>No</v>
      </c>
      <c r="M325" s="13" t="n">
        <f aca="false">IF(C325="",0,1)</f>
        <v>0</v>
      </c>
      <c r="N325" s="13" t="str">
        <f aca="false">IF(M325=0,"Active",IF(TRIM(Raw_Data!L325)="","Unknown",PROPER(TRIM(Raw_Data!L325))))</f>
        <v>Active</v>
      </c>
      <c r="O325" s="13" t="str">
        <f aca="false">IF(M325=0,"",IF(TRIM(Raw_Data!M325)="","Not Recorded",TRIM(Raw_Data!M325)))</f>
        <v/>
      </c>
      <c r="P325" s="16" t="n">
        <f aca="false">ROUND((IF(C325="",AsOfDate,C325)-B325)/365.25,2)</f>
        <v>10.8</v>
      </c>
      <c r="Q325" s="13" t="str">
        <f aca="false">IF(D325="","Unknown",IF(D325&lt;25,"Under 25",IF(D325&lt;35,"25-34",IF(D325&lt;45,"35-44",IF(D325&lt;55,"45-54","55+")))))</f>
        <v>35-44</v>
      </c>
      <c r="R325" s="13" t="str">
        <f aca="false">IF(P325&lt;1,"0-1 yrs",IF(P325&lt;3,"1-3 yrs",IF(P325&lt;5,"3-5 yrs",IF(P325&lt;10,"5-10 yrs","10+ yrs"))))</f>
        <v>10+ yrs</v>
      </c>
      <c r="S325" s="13" t="str">
        <f aca="false">IF(I325&gt;=4,"High",IF(I325=3,"Medium","Low"))</f>
        <v>High</v>
      </c>
      <c r="T325" s="13" t="str">
        <f aca="false">IF(M325=1,YEAR(C325),"")</f>
        <v/>
      </c>
      <c r="U325" s="13" t="str">
        <f aca="false">IF(M325=1,YEAR(C325)&amp;"-Q"&amp;ROUNDUP(MONTH(C325)/3,0),"")</f>
        <v/>
      </c>
      <c r="V325" s="13" t="str">
        <f aca="false">IF(M325=1,MONTH(C325),"")</f>
        <v/>
      </c>
    </row>
    <row r="326" customFormat="false" ht="15" hidden="false" customHeight="false" outlineLevel="0" collapsed="false">
      <c r="A326" s="13" t="str">
        <f aca="false">TRIM(Raw_Data!A326)</f>
        <v>EMP0325</v>
      </c>
      <c r="B326" s="14" t="n">
        <f aca="false">Raw_Data!B326</f>
        <v>42077</v>
      </c>
      <c r="C326" s="14" t="str">
        <f aca="false">IF(Raw_Data!C326="","",Raw_Data!C326)</f>
        <v/>
      </c>
      <c r="D326" s="13" t="n">
        <f aca="false">IF(Raw_Data!D326="","",Raw_Data!D326)</f>
        <v>44</v>
      </c>
      <c r="E326" s="13" t="str">
        <f aca="false">IF(UPPER(LEFT(TRIM(Raw_Data!E326),1))="M","Male",IF(UPPER(LEFT(TRIM(Raw_Data!E326),1))="F","Female","Unknown"))</f>
        <v>Female</v>
      </c>
      <c r="F326" s="13" t="str">
        <f aca="false">PROPER(TRIM(SUBSTITUTE(Raw_Data!F326,"'","")))</f>
        <v>Masters</v>
      </c>
      <c r="G326" s="13" t="str">
        <f aca="false">PROPER(TRIM(Raw_Data!G326))</f>
        <v>Operations</v>
      </c>
      <c r="H326" s="13" t="str">
        <f aca="false">PROPER(TRIM(Raw_Data!H326))</f>
        <v>Specialist</v>
      </c>
      <c r="I326" s="13" t="n">
        <f aca="false">IF(Raw_Data!I326="",DefaultPerf,Raw_Data!I326)</f>
        <v>3</v>
      </c>
      <c r="J326" s="13" t="n">
        <f aca="false">IF(Raw_Data!J326="",DefaultSat,Raw_Data!J326)</f>
        <v>3</v>
      </c>
      <c r="K326" s="15" t="n">
        <f aca="false">Raw_Data!K326</f>
        <v>133500</v>
      </c>
      <c r="L326" s="13" t="str">
        <f aca="false">PROPER(TRIM(Raw_Data!N326))</f>
        <v>No</v>
      </c>
      <c r="M326" s="13" t="n">
        <f aca="false">IF(C326="",0,1)</f>
        <v>0</v>
      </c>
      <c r="N326" s="13" t="str">
        <f aca="false">IF(M326=0,"Active",IF(TRIM(Raw_Data!L326)="","Unknown",PROPER(TRIM(Raw_Data!L326))))</f>
        <v>Active</v>
      </c>
      <c r="O326" s="13" t="str">
        <f aca="false">IF(M326=0,"",IF(TRIM(Raw_Data!M326)="","Not Recorded",TRIM(Raw_Data!M326)))</f>
        <v/>
      </c>
      <c r="P326" s="16" t="n">
        <f aca="false">ROUND((IF(C326="",AsOfDate,C326)-B326)/365.25,2)</f>
        <v>10.8</v>
      </c>
      <c r="Q326" s="13" t="str">
        <f aca="false">IF(D326="","Unknown",IF(D326&lt;25,"Under 25",IF(D326&lt;35,"25-34",IF(D326&lt;45,"35-44",IF(D326&lt;55,"45-54","55+")))))</f>
        <v>35-44</v>
      </c>
      <c r="R326" s="13" t="str">
        <f aca="false">IF(P326&lt;1,"0-1 yrs",IF(P326&lt;3,"1-3 yrs",IF(P326&lt;5,"3-5 yrs",IF(P326&lt;10,"5-10 yrs","10+ yrs"))))</f>
        <v>10+ yrs</v>
      </c>
      <c r="S326" s="13" t="str">
        <f aca="false">IF(I326&gt;=4,"High",IF(I326=3,"Medium","Low"))</f>
        <v>Medium</v>
      </c>
      <c r="T326" s="13" t="str">
        <f aca="false">IF(M326=1,YEAR(C326),"")</f>
        <v/>
      </c>
      <c r="U326" s="13" t="str">
        <f aca="false">IF(M326=1,YEAR(C326)&amp;"-Q"&amp;ROUNDUP(MONTH(C326)/3,0),"")</f>
        <v/>
      </c>
      <c r="V326" s="13" t="str">
        <f aca="false">IF(M326=1,MONTH(C326),"")</f>
        <v/>
      </c>
    </row>
    <row r="327" customFormat="false" ht="15" hidden="false" customHeight="false" outlineLevel="0" collapsed="false">
      <c r="A327" s="13" t="str">
        <f aca="false">TRIM(Raw_Data!A327)</f>
        <v>EMP0326</v>
      </c>
      <c r="B327" s="14" t="n">
        <f aca="false">Raw_Data!B327</f>
        <v>42087</v>
      </c>
      <c r="C327" s="14" t="str">
        <f aca="false">IF(Raw_Data!C327="","",Raw_Data!C327)</f>
        <v/>
      </c>
      <c r="D327" s="13" t="n">
        <f aca="false">IF(Raw_Data!D327="","",Raw_Data!D327)</f>
        <v>52</v>
      </c>
      <c r="E327" s="13" t="str">
        <f aca="false">IF(UPPER(LEFT(TRIM(Raw_Data!E327),1))="M","Male",IF(UPPER(LEFT(TRIM(Raw_Data!E327),1))="F","Female","Unknown"))</f>
        <v>Male</v>
      </c>
      <c r="F327" s="13" t="str">
        <f aca="false">PROPER(TRIM(SUBSTITUTE(Raw_Data!F327,"'","")))</f>
        <v>Bachelors</v>
      </c>
      <c r="G327" s="13" t="str">
        <f aca="false">PROPER(TRIM(Raw_Data!G327))</f>
        <v>Finance</v>
      </c>
      <c r="H327" s="13" t="str">
        <f aca="false">PROPER(TRIM(Raw_Data!H327))</f>
        <v>Specialist</v>
      </c>
      <c r="I327" s="13" t="n">
        <f aca="false">IF(Raw_Data!I327="",DefaultPerf,Raw_Data!I327)</f>
        <v>1</v>
      </c>
      <c r="J327" s="13" t="n">
        <f aca="false">IF(Raw_Data!J327="",DefaultSat,Raw_Data!J327)</f>
        <v>3</v>
      </c>
      <c r="K327" s="15" t="n">
        <f aca="false">Raw_Data!K327</f>
        <v>124000</v>
      </c>
      <c r="L327" s="13" t="str">
        <f aca="false">PROPER(TRIM(Raw_Data!N327))</f>
        <v>Yes</v>
      </c>
      <c r="M327" s="13" t="n">
        <f aca="false">IF(C327="",0,1)</f>
        <v>0</v>
      </c>
      <c r="N327" s="13" t="str">
        <f aca="false">IF(M327=0,"Active",IF(TRIM(Raw_Data!L327)="","Unknown",PROPER(TRIM(Raw_Data!L327))))</f>
        <v>Active</v>
      </c>
      <c r="O327" s="13" t="str">
        <f aca="false">IF(M327=0,"",IF(TRIM(Raw_Data!M327)="","Not Recorded",TRIM(Raw_Data!M327)))</f>
        <v/>
      </c>
      <c r="P327" s="16" t="n">
        <f aca="false">ROUND((IF(C327="",AsOfDate,C327)-B327)/365.25,2)</f>
        <v>10.77</v>
      </c>
      <c r="Q327" s="13" t="str">
        <f aca="false">IF(D327="","Unknown",IF(D327&lt;25,"Under 25",IF(D327&lt;35,"25-34",IF(D327&lt;45,"35-44",IF(D327&lt;55,"45-54","55+")))))</f>
        <v>45-54</v>
      </c>
      <c r="R327" s="13" t="str">
        <f aca="false">IF(P327&lt;1,"0-1 yrs",IF(P327&lt;3,"1-3 yrs",IF(P327&lt;5,"3-5 yrs",IF(P327&lt;10,"5-10 yrs","10+ yrs"))))</f>
        <v>10+ yrs</v>
      </c>
      <c r="S327" s="13" t="str">
        <f aca="false">IF(I327&gt;=4,"High",IF(I327=3,"Medium","Low"))</f>
        <v>Low</v>
      </c>
      <c r="T327" s="13" t="str">
        <f aca="false">IF(M327=1,YEAR(C327),"")</f>
        <v/>
      </c>
      <c r="U327" s="13" t="str">
        <f aca="false">IF(M327=1,YEAR(C327)&amp;"-Q"&amp;ROUNDUP(MONTH(C327)/3,0),"")</f>
        <v/>
      </c>
      <c r="V327" s="13" t="str">
        <f aca="false">IF(M327=1,MONTH(C327),"")</f>
        <v/>
      </c>
    </row>
    <row r="328" customFormat="false" ht="15" hidden="false" customHeight="false" outlineLevel="0" collapsed="false">
      <c r="A328" s="13" t="str">
        <f aca="false">TRIM(Raw_Data!A328)</f>
        <v>EMP0327</v>
      </c>
      <c r="B328" s="14" t="n">
        <f aca="false">Raw_Data!B328</f>
        <v>42087</v>
      </c>
      <c r="C328" s="14" t="str">
        <f aca="false">IF(Raw_Data!C328="","",Raw_Data!C328)</f>
        <v/>
      </c>
      <c r="D328" s="13" t="n">
        <f aca="false">IF(Raw_Data!D328="","",Raw_Data!D328)</f>
        <v>52</v>
      </c>
      <c r="E328" s="13" t="str">
        <f aca="false">IF(UPPER(LEFT(TRIM(Raw_Data!E328),1))="M","Male",IF(UPPER(LEFT(TRIM(Raw_Data!E328),1))="F","Female","Unknown"))</f>
        <v>Female</v>
      </c>
      <c r="F328" s="13" t="str">
        <f aca="false">PROPER(TRIM(SUBSTITUTE(Raw_Data!F328,"'","")))</f>
        <v>Doctorate</v>
      </c>
      <c r="G328" s="13" t="str">
        <f aca="false">PROPER(TRIM(Raw_Data!G328))</f>
        <v>Operations</v>
      </c>
      <c r="H328" s="13" t="str">
        <f aca="false">PROPER(TRIM(Raw_Data!H328))</f>
        <v>Team Lead</v>
      </c>
      <c r="I328" s="13" t="n">
        <f aca="false">IF(Raw_Data!I328="",DefaultPerf,Raw_Data!I328)</f>
        <v>4</v>
      </c>
      <c r="J328" s="13" t="n">
        <f aca="false">IF(Raw_Data!J328="",DefaultSat,Raw_Data!J328)</f>
        <v>4</v>
      </c>
      <c r="K328" s="15" t="n">
        <f aca="false">Raw_Data!K328</f>
        <v>157500</v>
      </c>
      <c r="L328" s="13" t="str">
        <f aca="false">PROPER(TRIM(Raw_Data!N328))</f>
        <v>No</v>
      </c>
      <c r="M328" s="13" t="n">
        <f aca="false">IF(C328="",0,1)</f>
        <v>0</v>
      </c>
      <c r="N328" s="13" t="str">
        <f aca="false">IF(M328=0,"Active",IF(TRIM(Raw_Data!L328)="","Unknown",PROPER(TRIM(Raw_Data!L328))))</f>
        <v>Active</v>
      </c>
      <c r="O328" s="13" t="str">
        <f aca="false">IF(M328=0,"",IF(TRIM(Raw_Data!M328)="","Not Recorded",TRIM(Raw_Data!M328)))</f>
        <v/>
      </c>
      <c r="P328" s="16" t="n">
        <f aca="false">ROUND((IF(C328="",AsOfDate,C328)-B328)/365.25,2)</f>
        <v>10.77</v>
      </c>
      <c r="Q328" s="13" t="str">
        <f aca="false">IF(D328="","Unknown",IF(D328&lt;25,"Under 25",IF(D328&lt;35,"25-34",IF(D328&lt;45,"35-44",IF(D328&lt;55,"45-54","55+")))))</f>
        <v>45-54</v>
      </c>
      <c r="R328" s="13" t="str">
        <f aca="false">IF(P328&lt;1,"0-1 yrs",IF(P328&lt;3,"1-3 yrs",IF(P328&lt;5,"3-5 yrs",IF(P328&lt;10,"5-10 yrs","10+ yrs"))))</f>
        <v>10+ yrs</v>
      </c>
      <c r="S328" s="13" t="str">
        <f aca="false">IF(I328&gt;=4,"High",IF(I328=3,"Medium","Low"))</f>
        <v>High</v>
      </c>
      <c r="T328" s="13" t="str">
        <f aca="false">IF(M328=1,YEAR(C328),"")</f>
        <v/>
      </c>
      <c r="U328" s="13" t="str">
        <f aca="false">IF(M328=1,YEAR(C328)&amp;"-Q"&amp;ROUNDUP(MONTH(C328)/3,0),"")</f>
        <v/>
      </c>
      <c r="V328" s="13" t="str">
        <f aca="false">IF(M328=1,MONTH(C328),"")</f>
        <v/>
      </c>
    </row>
    <row r="329" customFormat="false" ht="15" hidden="false" customHeight="false" outlineLevel="0" collapsed="false">
      <c r="A329" s="13" t="str">
        <f aca="false">TRIM(Raw_Data!A329)</f>
        <v>EMP0328</v>
      </c>
      <c r="B329" s="14" t="n">
        <f aca="false">Raw_Data!B329</f>
        <v>42098</v>
      </c>
      <c r="C329" s="14" t="str">
        <f aca="false">IF(Raw_Data!C329="","",Raw_Data!C329)</f>
        <v/>
      </c>
      <c r="D329" s="13" t="n">
        <f aca="false">IF(Raw_Data!D329="","",Raw_Data!D329)</f>
        <v>40</v>
      </c>
      <c r="E329" s="13" t="str">
        <f aca="false">IF(UPPER(LEFT(TRIM(Raw_Data!E329),1))="M","Male",IF(UPPER(LEFT(TRIM(Raw_Data!E329),1))="F","Female","Unknown"))</f>
        <v>Male</v>
      </c>
      <c r="F329" s="13" t="str">
        <f aca="false">PROPER(TRIM(SUBSTITUTE(Raw_Data!F329,"'","")))</f>
        <v>Masters</v>
      </c>
      <c r="G329" s="13" t="str">
        <f aca="false">PROPER(TRIM(Raw_Data!G329))</f>
        <v>Customer Support</v>
      </c>
      <c r="H329" s="13" t="str">
        <f aca="false">PROPER(TRIM(Raw_Data!H329))</f>
        <v>Manager</v>
      </c>
      <c r="I329" s="13" t="n">
        <f aca="false">IF(Raw_Data!I329="",DefaultPerf,Raw_Data!I329)</f>
        <v>4</v>
      </c>
      <c r="J329" s="13" t="n">
        <f aca="false">IF(Raw_Data!J329="",DefaultSat,Raw_Data!J329)</f>
        <v>1</v>
      </c>
      <c r="K329" s="15" t="n">
        <f aca="false">Raw_Data!K329</f>
        <v>257000</v>
      </c>
      <c r="L329" s="13" t="str">
        <f aca="false">PROPER(TRIM(Raw_Data!N329))</f>
        <v>No</v>
      </c>
      <c r="M329" s="13" t="n">
        <f aca="false">IF(C329="",0,1)</f>
        <v>0</v>
      </c>
      <c r="N329" s="13" t="str">
        <f aca="false">IF(M329=0,"Active",IF(TRIM(Raw_Data!L329)="","Unknown",PROPER(TRIM(Raw_Data!L329))))</f>
        <v>Active</v>
      </c>
      <c r="O329" s="13" t="str">
        <f aca="false">IF(M329=0,"",IF(TRIM(Raw_Data!M329)="","Not Recorded",TRIM(Raw_Data!M329)))</f>
        <v/>
      </c>
      <c r="P329" s="16" t="n">
        <f aca="false">ROUND((IF(C329="",AsOfDate,C329)-B329)/365.25,2)</f>
        <v>10.74</v>
      </c>
      <c r="Q329" s="13" t="str">
        <f aca="false">IF(D329="","Unknown",IF(D329&lt;25,"Under 25",IF(D329&lt;35,"25-34",IF(D329&lt;45,"35-44",IF(D329&lt;55,"45-54","55+")))))</f>
        <v>35-44</v>
      </c>
      <c r="R329" s="13" t="str">
        <f aca="false">IF(P329&lt;1,"0-1 yrs",IF(P329&lt;3,"1-3 yrs",IF(P329&lt;5,"3-5 yrs",IF(P329&lt;10,"5-10 yrs","10+ yrs"))))</f>
        <v>10+ yrs</v>
      </c>
      <c r="S329" s="13" t="str">
        <f aca="false">IF(I329&gt;=4,"High",IF(I329=3,"Medium","Low"))</f>
        <v>High</v>
      </c>
      <c r="T329" s="13" t="str">
        <f aca="false">IF(M329=1,YEAR(C329),"")</f>
        <v/>
      </c>
      <c r="U329" s="13" t="str">
        <f aca="false">IF(M329=1,YEAR(C329)&amp;"-Q"&amp;ROUNDUP(MONTH(C329)/3,0),"")</f>
        <v/>
      </c>
      <c r="V329" s="13" t="str">
        <f aca="false">IF(M329=1,MONTH(C329),"")</f>
        <v/>
      </c>
    </row>
    <row r="330" customFormat="false" ht="15" hidden="false" customHeight="false" outlineLevel="0" collapsed="false">
      <c r="A330" s="13" t="str">
        <f aca="false">TRIM(Raw_Data!A330)</f>
        <v>EMP0329</v>
      </c>
      <c r="B330" s="14" t="n">
        <f aca="false">Raw_Data!B330</f>
        <v>42098</v>
      </c>
      <c r="C330" s="14" t="str">
        <f aca="false">IF(Raw_Data!C330="","",Raw_Data!C330)</f>
        <v/>
      </c>
      <c r="D330" s="13" t="n">
        <f aca="false">IF(Raw_Data!D330="","",Raw_Data!D330)</f>
        <v>41</v>
      </c>
      <c r="E330" s="13" t="str">
        <f aca="false">IF(UPPER(LEFT(TRIM(Raw_Data!E330),1))="M","Male",IF(UPPER(LEFT(TRIM(Raw_Data!E330),1))="F","Female","Unknown"))</f>
        <v>Male</v>
      </c>
      <c r="F330" s="13" t="str">
        <f aca="false">PROPER(TRIM(SUBSTITUTE(Raw_Data!F330,"'","")))</f>
        <v>Bachelors</v>
      </c>
      <c r="G330" s="13" t="str">
        <f aca="false">PROPER(TRIM(Raw_Data!G330))</f>
        <v>Engineering</v>
      </c>
      <c r="H330" s="13" t="str">
        <f aca="false">PROPER(TRIM(Raw_Data!H330))</f>
        <v>Team Lead</v>
      </c>
      <c r="I330" s="13" t="n">
        <f aca="false">IF(Raw_Data!I330="",DefaultPerf,Raw_Data!I330)</f>
        <v>4</v>
      </c>
      <c r="J330" s="13" t="n">
        <f aca="false">IF(Raw_Data!J330="",DefaultSat,Raw_Data!J330)</f>
        <v>1</v>
      </c>
      <c r="K330" s="15" t="n">
        <f aca="false">Raw_Data!K330</f>
        <v>159500</v>
      </c>
      <c r="L330" s="13" t="str">
        <f aca="false">PROPER(TRIM(Raw_Data!N330))</f>
        <v>Yes</v>
      </c>
      <c r="M330" s="13" t="n">
        <f aca="false">IF(C330="",0,1)</f>
        <v>0</v>
      </c>
      <c r="N330" s="13" t="str">
        <f aca="false">IF(M330=0,"Active",IF(TRIM(Raw_Data!L330)="","Unknown",PROPER(TRIM(Raw_Data!L330))))</f>
        <v>Active</v>
      </c>
      <c r="O330" s="13" t="str">
        <f aca="false">IF(M330=0,"",IF(TRIM(Raw_Data!M330)="","Not Recorded",TRIM(Raw_Data!M330)))</f>
        <v/>
      </c>
      <c r="P330" s="16" t="n">
        <f aca="false">ROUND((IF(C330="",AsOfDate,C330)-B330)/365.25,2)</f>
        <v>10.74</v>
      </c>
      <c r="Q330" s="13" t="str">
        <f aca="false">IF(D330="","Unknown",IF(D330&lt;25,"Under 25",IF(D330&lt;35,"25-34",IF(D330&lt;45,"35-44",IF(D330&lt;55,"45-54","55+")))))</f>
        <v>35-44</v>
      </c>
      <c r="R330" s="13" t="str">
        <f aca="false">IF(P330&lt;1,"0-1 yrs",IF(P330&lt;3,"1-3 yrs",IF(P330&lt;5,"3-5 yrs",IF(P330&lt;10,"5-10 yrs","10+ yrs"))))</f>
        <v>10+ yrs</v>
      </c>
      <c r="S330" s="13" t="str">
        <f aca="false">IF(I330&gt;=4,"High",IF(I330=3,"Medium","Low"))</f>
        <v>High</v>
      </c>
      <c r="T330" s="13" t="str">
        <f aca="false">IF(M330=1,YEAR(C330),"")</f>
        <v/>
      </c>
      <c r="U330" s="13" t="str">
        <f aca="false">IF(M330=1,YEAR(C330)&amp;"-Q"&amp;ROUNDUP(MONTH(C330)/3,0),"")</f>
        <v/>
      </c>
      <c r="V330" s="13" t="str">
        <f aca="false">IF(M330=1,MONTH(C330),"")</f>
        <v/>
      </c>
    </row>
    <row r="331" customFormat="false" ht="15" hidden="false" customHeight="false" outlineLevel="0" collapsed="false">
      <c r="A331" s="13" t="str">
        <f aca="false">TRIM(Raw_Data!A331)</f>
        <v>EMP0330</v>
      </c>
      <c r="B331" s="14" t="n">
        <f aca="false">Raw_Data!B331</f>
        <v>42099</v>
      </c>
      <c r="C331" s="14" t="n">
        <f aca="false">IF(Raw_Data!C331="","",Raw_Data!C331)</f>
        <v>44824</v>
      </c>
      <c r="D331" s="13" t="n">
        <f aca="false">IF(Raw_Data!D331="","",Raw_Data!D331)</f>
        <v>32</v>
      </c>
      <c r="E331" s="13" t="str">
        <f aca="false">IF(UPPER(LEFT(TRIM(Raw_Data!E331),1))="M","Male",IF(UPPER(LEFT(TRIM(Raw_Data!E331),1))="F","Female","Unknown"))</f>
        <v>Male</v>
      </c>
      <c r="F331" s="13" t="str">
        <f aca="false">PROPER(TRIM(SUBSTITUTE(Raw_Data!F331,"'","")))</f>
        <v>Bachelors</v>
      </c>
      <c r="G331" s="13" t="str">
        <f aca="false">PROPER(TRIM(Raw_Data!G331))</f>
        <v>Operations</v>
      </c>
      <c r="H331" s="13" t="str">
        <f aca="false">PROPER(TRIM(Raw_Data!H331))</f>
        <v>Associate</v>
      </c>
      <c r="I331" s="13" t="n">
        <f aca="false">IF(Raw_Data!I331="",DefaultPerf,Raw_Data!I331)</f>
        <v>3</v>
      </c>
      <c r="J331" s="13" t="n">
        <f aca="false">IF(Raw_Data!J331="",DefaultSat,Raw_Data!J331)</f>
        <v>3</v>
      </c>
      <c r="K331" s="15" t="n">
        <f aca="false">Raw_Data!K331</f>
        <v>47000</v>
      </c>
      <c r="L331" s="13" t="str">
        <f aca="false">PROPER(TRIM(Raw_Data!N331))</f>
        <v>No</v>
      </c>
      <c r="M331" s="13" t="n">
        <f aca="false">IF(C331="",0,1)</f>
        <v>1</v>
      </c>
      <c r="N331" s="13" t="str">
        <f aca="false">IF(M331=0,"Active",IF(TRIM(Raw_Data!L331)="","Unknown",PROPER(TRIM(Raw_Data!L331))))</f>
        <v>Voluntary</v>
      </c>
      <c r="O331" s="13" t="str">
        <f aca="false">IF(M331=0,"",IF(TRIM(Raw_Data!M331)="","Not Recorded",TRIM(Raw_Data!M331)))</f>
        <v>Career Growth</v>
      </c>
      <c r="P331" s="16" t="n">
        <f aca="false">ROUND((IF(C331="",AsOfDate,C331)-B331)/365.25,2)</f>
        <v>7.46</v>
      </c>
      <c r="Q331" s="13" t="str">
        <f aca="false">IF(D331="","Unknown",IF(D331&lt;25,"Under 25",IF(D331&lt;35,"25-34",IF(D331&lt;45,"35-44",IF(D331&lt;55,"45-54","55+")))))</f>
        <v>25-34</v>
      </c>
      <c r="R331" s="13" t="str">
        <f aca="false">IF(P331&lt;1,"0-1 yrs",IF(P331&lt;3,"1-3 yrs",IF(P331&lt;5,"3-5 yrs",IF(P331&lt;10,"5-10 yrs","10+ yrs"))))</f>
        <v>5-10 yrs</v>
      </c>
      <c r="S331" s="13" t="str">
        <f aca="false">IF(I331&gt;=4,"High",IF(I331=3,"Medium","Low"))</f>
        <v>Medium</v>
      </c>
      <c r="T331" s="13" t="n">
        <f aca="false">IF(M331=1,YEAR(C331),"")</f>
        <v>2022</v>
      </c>
      <c r="U331" s="13" t="str">
        <f aca="false">IF(M331=1,YEAR(C331)&amp;"-Q"&amp;ROUNDUP(MONTH(C331)/3,0),"")</f>
        <v>2022-Q3</v>
      </c>
      <c r="V331" s="13" t="n">
        <f aca="false">IF(M331=1,MONTH(C331),"")</f>
        <v>9</v>
      </c>
    </row>
    <row r="332" customFormat="false" ht="15" hidden="false" customHeight="false" outlineLevel="0" collapsed="false">
      <c r="A332" s="13" t="str">
        <f aca="false">TRIM(Raw_Data!A332)</f>
        <v>EMP0331</v>
      </c>
      <c r="B332" s="14" t="n">
        <f aca="false">Raw_Data!B332</f>
        <v>42104</v>
      </c>
      <c r="C332" s="14" t="n">
        <f aca="false">IF(Raw_Data!C332="","",Raw_Data!C332)</f>
        <v>45205</v>
      </c>
      <c r="D332" s="13" t="n">
        <f aca="false">IF(Raw_Data!D332="","",Raw_Data!D332)</f>
        <v>42</v>
      </c>
      <c r="E332" s="13" t="str">
        <f aca="false">IF(UPPER(LEFT(TRIM(Raw_Data!E332),1))="M","Male",IF(UPPER(LEFT(TRIM(Raw_Data!E332),1))="F","Female","Unknown"))</f>
        <v>Female</v>
      </c>
      <c r="F332" s="13" t="str">
        <f aca="false">PROPER(TRIM(SUBSTITUTE(Raw_Data!F332,"'","")))</f>
        <v>High School</v>
      </c>
      <c r="G332" s="13" t="str">
        <f aca="false">PROPER(TRIM(Raw_Data!G332))</f>
        <v>Engineering</v>
      </c>
      <c r="H332" s="13" t="str">
        <f aca="false">PROPER(TRIM(Raw_Data!H332))</f>
        <v>Analyst</v>
      </c>
      <c r="I332" s="13" t="n">
        <f aca="false">IF(Raw_Data!I332="",DefaultPerf,Raw_Data!I332)</f>
        <v>4</v>
      </c>
      <c r="J332" s="13" t="n">
        <f aca="false">IF(Raw_Data!J332="",DefaultSat,Raw_Data!J332)</f>
        <v>1</v>
      </c>
      <c r="K332" s="15" t="n">
        <f aca="false">Raw_Data!K332</f>
        <v>79500</v>
      </c>
      <c r="L332" s="13" t="str">
        <f aca="false">PROPER(TRIM(Raw_Data!N332))</f>
        <v>No</v>
      </c>
      <c r="M332" s="13" t="n">
        <f aca="false">IF(C332="",0,1)</f>
        <v>1</v>
      </c>
      <c r="N332" s="13" t="str">
        <f aca="false">IF(M332=0,"Active",IF(TRIM(Raw_Data!L332)="","Unknown",PROPER(TRIM(Raw_Data!L332))))</f>
        <v>Voluntary</v>
      </c>
      <c r="O332" s="13" t="str">
        <f aca="false">IF(M332=0,"",IF(TRIM(Raw_Data!M332)="","Not Recorded",TRIM(Raw_Data!M332)))</f>
        <v>Better Compensation</v>
      </c>
      <c r="P332" s="16" t="n">
        <f aca="false">ROUND((IF(C332="",AsOfDate,C332)-B332)/365.25,2)</f>
        <v>8.49</v>
      </c>
      <c r="Q332" s="13" t="str">
        <f aca="false">IF(D332="","Unknown",IF(D332&lt;25,"Under 25",IF(D332&lt;35,"25-34",IF(D332&lt;45,"35-44",IF(D332&lt;55,"45-54","55+")))))</f>
        <v>35-44</v>
      </c>
      <c r="R332" s="13" t="str">
        <f aca="false">IF(P332&lt;1,"0-1 yrs",IF(P332&lt;3,"1-3 yrs",IF(P332&lt;5,"3-5 yrs",IF(P332&lt;10,"5-10 yrs","10+ yrs"))))</f>
        <v>5-10 yrs</v>
      </c>
      <c r="S332" s="13" t="str">
        <f aca="false">IF(I332&gt;=4,"High",IF(I332=3,"Medium","Low"))</f>
        <v>High</v>
      </c>
      <c r="T332" s="13" t="n">
        <f aca="false">IF(M332=1,YEAR(C332),"")</f>
        <v>2023</v>
      </c>
      <c r="U332" s="13" t="str">
        <f aca="false">IF(M332=1,YEAR(C332)&amp;"-Q"&amp;ROUNDUP(MONTH(C332)/3,0),"")</f>
        <v>2023-Q4</v>
      </c>
      <c r="V332" s="13" t="n">
        <f aca="false">IF(M332=1,MONTH(C332),"")</f>
        <v>10</v>
      </c>
    </row>
    <row r="333" customFormat="false" ht="15" hidden="false" customHeight="false" outlineLevel="0" collapsed="false">
      <c r="A333" s="13" t="str">
        <f aca="false">TRIM(Raw_Data!A333)</f>
        <v>EMP0332</v>
      </c>
      <c r="B333" s="14" t="n">
        <f aca="false">Raw_Data!B333</f>
        <v>42112</v>
      </c>
      <c r="C333" s="14" t="str">
        <f aca="false">IF(Raw_Data!C333="","",Raw_Data!C333)</f>
        <v/>
      </c>
      <c r="D333" s="13" t="n">
        <f aca="false">IF(Raw_Data!D333="","",Raw_Data!D333)</f>
        <v>45</v>
      </c>
      <c r="E333" s="13" t="str">
        <f aca="false">IF(UPPER(LEFT(TRIM(Raw_Data!E333),1))="M","Male",IF(UPPER(LEFT(TRIM(Raw_Data!E333),1))="F","Female","Unknown"))</f>
        <v>Male</v>
      </c>
      <c r="F333" s="13" t="str">
        <f aca="false">PROPER(TRIM(SUBSTITUTE(Raw_Data!F333,"'","")))</f>
        <v>Doctorate</v>
      </c>
      <c r="G333" s="13" t="str">
        <f aca="false">PROPER(TRIM(Raw_Data!G333))</f>
        <v>Customer Support</v>
      </c>
      <c r="H333" s="13" t="str">
        <f aca="false">PROPER(TRIM(Raw_Data!H333))</f>
        <v>Associate</v>
      </c>
      <c r="I333" s="13" t="n">
        <f aca="false">IF(Raw_Data!I333="",DefaultPerf,Raw_Data!I333)</f>
        <v>4</v>
      </c>
      <c r="J333" s="13" t="n">
        <f aca="false">IF(Raw_Data!J333="",DefaultSat,Raw_Data!J333)</f>
        <v>4</v>
      </c>
      <c r="K333" s="15" t="n">
        <f aca="false">Raw_Data!K333</f>
        <v>48000</v>
      </c>
      <c r="L333" s="13" t="str">
        <f aca="false">PROPER(TRIM(Raw_Data!N333))</f>
        <v>No</v>
      </c>
      <c r="M333" s="13" t="n">
        <f aca="false">IF(C333="",0,1)</f>
        <v>0</v>
      </c>
      <c r="N333" s="13" t="str">
        <f aca="false">IF(M333=0,"Active",IF(TRIM(Raw_Data!L333)="","Unknown",PROPER(TRIM(Raw_Data!L333))))</f>
        <v>Active</v>
      </c>
      <c r="O333" s="13" t="str">
        <f aca="false">IF(M333=0,"",IF(TRIM(Raw_Data!M333)="","Not Recorded",TRIM(Raw_Data!M333)))</f>
        <v/>
      </c>
      <c r="P333" s="16" t="n">
        <f aca="false">ROUND((IF(C333="",AsOfDate,C333)-B333)/365.25,2)</f>
        <v>10.7</v>
      </c>
      <c r="Q333" s="13" t="str">
        <f aca="false">IF(D333="","Unknown",IF(D333&lt;25,"Under 25",IF(D333&lt;35,"25-34",IF(D333&lt;45,"35-44",IF(D333&lt;55,"45-54","55+")))))</f>
        <v>45-54</v>
      </c>
      <c r="R333" s="13" t="str">
        <f aca="false">IF(P333&lt;1,"0-1 yrs",IF(P333&lt;3,"1-3 yrs",IF(P333&lt;5,"3-5 yrs",IF(P333&lt;10,"5-10 yrs","10+ yrs"))))</f>
        <v>10+ yrs</v>
      </c>
      <c r="S333" s="13" t="str">
        <f aca="false">IF(I333&gt;=4,"High",IF(I333=3,"Medium","Low"))</f>
        <v>High</v>
      </c>
      <c r="T333" s="13" t="str">
        <f aca="false">IF(M333=1,YEAR(C333),"")</f>
        <v/>
      </c>
      <c r="U333" s="13" t="str">
        <f aca="false">IF(M333=1,YEAR(C333)&amp;"-Q"&amp;ROUNDUP(MONTH(C333)/3,0),"")</f>
        <v/>
      </c>
      <c r="V333" s="13" t="str">
        <f aca="false">IF(M333=1,MONTH(C333),"")</f>
        <v/>
      </c>
    </row>
    <row r="334" customFormat="false" ht="15" hidden="false" customHeight="false" outlineLevel="0" collapsed="false">
      <c r="A334" s="13" t="str">
        <f aca="false">TRIM(Raw_Data!A334)</f>
        <v>EMP0333</v>
      </c>
      <c r="B334" s="14" t="n">
        <f aca="false">Raw_Data!B334</f>
        <v>42114</v>
      </c>
      <c r="C334" s="14" t="str">
        <f aca="false">IF(Raw_Data!C334="","",Raw_Data!C334)</f>
        <v/>
      </c>
      <c r="D334" s="13" t="n">
        <f aca="false">IF(Raw_Data!D334="","",Raw_Data!D334)</f>
        <v>38</v>
      </c>
      <c r="E334" s="13" t="str">
        <f aca="false">IF(UPPER(LEFT(TRIM(Raw_Data!E334),1))="M","Male",IF(UPPER(LEFT(TRIM(Raw_Data!E334),1))="F","Female","Unknown"))</f>
        <v>Female</v>
      </c>
      <c r="F334" s="13" t="str">
        <f aca="false">PROPER(TRIM(SUBSTITUTE(Raw_Data!F334,"'","")))</f>
        <v>High School</v>
      </c>
      <c r="G334" s="13" t="str">
        <f aca="false">PROPER(TRIM(Raw_Data!G334))</f>
        <v>Sales</v>
      </c>
      <c r="H334" s="13" t="str">
        <f aca="false">PROPER(TRIM(Raw_Data!H334))</f>
        <v>Specialist</v>
      </c>
      <c r="I334" s="13" t="n">
        <f aca="false">IF(Raw_Data!I334="",DefaultPerf,Raw_Data!I334)</f>
        <v>4</v>
      </c>
      <c r="J334" s="13" t="n">
        <f aca="false">IF(Raw_Data!J334="",DefaultSat,Raw_Data!J334)</f>
        <v>4</v>
      </c>
      <c r="K334" s="15" t="n">
        <f aca="false">Raw_Data!K334</f>
        <v>110000</v>
      </c>
      <c r="L334" s="13" t="str">
        <f aca="false">PROPER(TRIM(Raw_Data!N334))</f>
        <v>No</v>
      </c>
      <c r="M334" s="13" t="n">
        <f aca="false">IF(C334="",0,1)</f>
        <v>0</v>
      </c>
      <c r="N334" s="13" t="str">
        <f aca="false">IF(M334=0,"Active",IF(TRIM(Raw_Data!L334)="","Unknown",PROPER(TRIM(Raw_Data!L334))))</f>
        <v>Active</v>
      </c>
      <c r="O334" s="13" t="str">
        <f aca="false">IF(M334=0,"",IF(TRIM(Raw_Data!M334)="","Not Recorded",TRIM(Raw_Data!M334)))</f>
        <v/>
      </c>
      <c r="P334" s="16" t="n">
        <f aca="false">ROUND((IF(C334="",AsOfDate,C334)-B334)/365.25,2)</f>
        <v>10.7</v>
      </c>
      <c r="Q334" s="13" t="str">
        <f aca="false">IF(D334="","Unknown",IF(D334&lt;25,"Under 25",IF(D334&lt;35,"25-34",IF(D334&lt;45,"35-44",IF(D334&lt;55,"45-54","55+")))))</f>
        <v>35-44</v>
      </c>
      <c r="R334" s="13" t="str">
        <f aca="false">IF(P334&lt;1,"0-1 yrs",IF(P334&lt;3,"1-3 yrs",IF(P334&lt;5,"3-5 yrs",IF(P334&lt;10,"5-10 yrs","10+ yrs"))))</f>
        <v>10+ yrs</v>
      </c>
      <c r="S334" s="13" t="str">
        <f aca="false">IF(I334&gt;=4,"High",IF(I334=3,"Medium","Low"))</f>
        <v>High</v>
      </c>
      <c r="T334" s="13" t="str">
        <f aca="false">IF(M334=1,YEAR(C334),"")</f>
        <v/>
      </c>
      <c r="U334" s="13" t="str">
        <f aca="false">IF(M334=1,YEAR(C334)&amp;"-Q"&amp;ROUNDUP(MONTH(C334)/3,0),"")</f>
        <v/>
      </c>
      <c r="V334" s="13" t="str">
        <f aca="false">IF(M334=1,MONTH(C334),"")</f>
        <v/>
      </c>
    </row>
    <row r="335" customFormat="false" ht="15" hidden="false" customHeight="false" outlineLevel="0" collapsed="false">
      <c r="A335" s="13" t="str">
        <f aca="false">TRIM(Raw_Data!A335)</f>
        <v>EMP0334</v>
      </c>
      <c r="B335" s="14" t="n">
        <f aca="false">Raw_Data!B335</f>
        <v>42117</v>
      </c>
      <c r="C335" s="14" t="str">
        <f aca="false">IF(Raw_Data!C335="","",Raw_Data!C335)</f>
        <v/>
      </c>
      <c r="D335" s="13" t="n">
        <f aca="false">IF(Raw_Data!D335="","",Raw_Data!D335)</f>
        <v>33</v>
      </c>
      <c r="E335" s="13" t="str">
        <f aca="false">IF(UPPER(LEFT(TRIM(Raw_Data!E335),1))="M","Male",IF(UPPER(LEFT(TRIM(Raw_Data!E335),1))="F","Female","Unknown"))</f>
        <v>Male</v>
      </c>
      <c r="F335" s="13" t="str">
        <f aca="false">PROPER(TRIM(SUBSTITUTE(Raw_Data!F335,"'","")))</f>
        <v>Masters</v>
      </c>
      <c r="G335" s="13" t="str">
        <f aca="false">PROPER(TRIM(Raw_Data!G335))</f>
        <v>Sales</v>
      </c>
      <c r="H335" s="13" t="str">
        <f aca="false">PROPER(TRIM(Raw_Data!H335))</f>
        <v>Analyst</v>
      </c>
      <c r="I335" s="13" t="n">
        <f aca="false">IF(Raw_Data!I335="",DefaultPerf,Raw_Data!I335)</f>
        <v>3</v>
      </c>
      <c r="J335" s="13" t="n">
        <f aca="false">IF(Raw_Data!J335="",DefaultSat,Raw_Data!J335)</f>
        <v>2</v>
      </c>
      <c r="K335" s="15" t="n">
        <f aca="false">Raw_Data!K335</f>
        <v>76000</v>
      </c>
      <c r="L335" s="13" t="str">
        <f aca="false">PROPER(TRIM(Raw_Data!N335))</f>
        <v>No</v>
      </c>
      <c r="M335" s="13" t="n">
        <f aca="false">IF(C335="",0,1)</f>
        <v>0</v>
      </c>
      <c r="N335" s="13" t="str">
        <f aca="false">IF(M335=0,"Active",IF(TRIM(Raw_Data!L335)="","Unknown",PROPER(TRIM(Raw_Data!L335))))</f>
        <v>Active</v>
      </c>
      <c r="O335" s="13" t="str">
        <f aca="false">IF(M335=0,"",IF(TRIM(Raw_Data!M335)="","Not Recorded",TRIM(Raw_Data!M335)))</f>
        <v/>
      </c>
      <c r="P335" s="16" t="n">
        <f aca="false">ROUND((IF(C335="",AsOfDate,C335)-B335)/365.25,2)</f>
        <v>10.69</v>
      </c>
      <c r="Q335" s="13" t="str">
        <f aca="false">IF(D335="","Unknown",IF(D335&lt;25,"Under 25",IF(D335&lt;35,"25-34",IF(D335&lt;45,"35-44",IF(D335&lt;55,"45-54","55+")))))</f>
        <v>25-34</v>
      </c>
      <c r="R335" s="13" t="str">
        <f aca="false">IF(P335&lt;1,"0-1 yrs",IF(P335&lt;3,"1-3 yrs",IF(P335&lt;5,"3-5 yrs",IF(P335&lt;10,"5-10 yrs","10+ yrs"))))</f>
        <v>10+ yrs</v>
      </c>
      <c r="S335" s="13" t="str">
        <f aca="false">IF(I335&gt;=4,"High",IF(I335=3,"Medium","Low"))</f>
        <v>Medium</v>
      </c>
      <c r="T335" s="13" t="str">
        <f aca="false">IF(M335=1,YEAR(C335),"")</f>
        <v/>
      </c>
      <c r="U335" s="13" t="str">
        <f aca="false">IF(M335=1,YEAR(C335)&amp;"-Q"&amp;ROUNDUP(MONTH(C335)/3,0),"")</f>
        <v/>
      </c>
      <c r="V335" s="13" t="str">
        <f aca="false">IF(M335=1,MONTH(C335),"")</f>
        <v/>
      </c>
    </row>
    <row r="336" customFormat="false" ht="15" hidden="false" customHeight="false" outlineLevel="0" collapsed="false">
      <c r="A336" s="13" t="str">
        <f aca="false">TRIM(Raw_Data!A336)</f>
        <v>EMP0335</v>
      </c>
      <c r="B336" s="14" t="n">
        <f aca="false">Raw_Data!B336</f>
        <v>42117</v>
      </c>
      <c r="C336" s="14" t="str">
        <f aca="false">IF(Raw_Data!C336="","",Raw_Data!C336)</f>
        <v/>
      </c>
      <c r="D336" s="13" t="n">
        <f aca="false">IF(Raw_Data!D336="","",Raw_Data!D336)</f>
        <v>36</v>
      </c>
      <c r="E336" s="13" t="str">
        <f aca="false">IF(UPPER(LEFT(TRIM(Raw_Data!E336),1))="M","Male",IF(UPPER(LEFT(TRIM(Raw_Data!E336),1))="F","Female","Unknown"))</f>
        <v>Male</v>
      </c>
      <c r="F336" s="13" t="str">
        <f aca="false">PROPER(TRIM(SUBSTITUTE(Raw_Data!F336,"'","")))</f>
        <v>Bachelors</v>
      </c>
      <c r="G336" s="13" t="str">
        <f aca="false">PROPER(TRIM(Raw_Data!G336))</f>
        <v>Engineering</v>
      </c>
      <c r="H336" s="13" t="str">
        <f aca="false">PROPER(TRIM(Raw_Data!H336))</f>
        <v>Manager</v>
      </c>
      <c r="I336" s="13" t="n">
        <f aca="false">IF(Raw_Data!I336="",DefaultPerf,Raw_Data!I336)</f>
        <v>4</v>
      </c>
      <c r="J336" s="13" t="n">
        <f aca="false">IF(Raw_Data!J336="",DefaultSat,Raw_Data!J336)</f>
        <v>3</v>
      </c>
      <c r="K336" s="15" t="n">
        <f aca="false">Raw_Data!K336</f>
        <v>276000</v>
      </c>
      <c r="L336" s="13" t="str">
        <f aca="false">PROPER(TRIM(Raw_Data!N336))</f>
        <v>Yes</v>
      </c>
      <c r="M336" s="13" t="n">
        <f aca="false">IF(C336="",0,1)</f>
        <v>0</v>
      </c>
      <c r="N336" s="13" t="str">
        <f aca="false">IF(M336=0,"Active",IF(TRIM(Raw_Data!L336)="","Unknown",PROPER(TRIM(Raw_Data!L336))))</f>
        <v>Active</v>
      </c>
      <c r="O336" s="13" t="str">
        <f aca="false">IF(M336=0,"",IF(TRIM(Raw_Data!M336)="","Not Recorded",TRIM(Raw_Data!M336)))</f>
        <v/>
      </c>
      <c r="P336" s="16" t="n">
        <f aca="false">ROUND((IF(C336="",AsOfDate,C336)-B336)/365.25,2)</f>
        <v>10.69</v>
      </c>
      <c r="Q336" s="13" t="str">
        <f aca="false">IF(D336="","Unknown",IF(D336&lt;25,"Under 25",IF(D336&lt;35,"25-34",IF(D336&lt;45,"35-44",IF(D336&lt;55,"45-54","55+")))))</f>
        <v>35-44</v>
      </c>
      <c r="R336" s="13" t="str">
        <f aca="false">IF(P336&lt;1,"0-1 yrs",IF(P336&lt;3,"1-3 yrs",IF(P336&lt;5,"3-5 yrs",IF(P336&lt;10,"5-10 yrs","10+ yrs"))))</f>
        <v>10+ yrs</v>
      </c>
      <c r="S336" s="13" t="str">
        <f aca="false">IF(I336&gt;=4,"High",IF(I336=3,"Medium","Low"))</f>
        <v>High</v>
      </c>
      <c r="T336" s="13" t="str">
        <f aca="false">IF(M336=1,YEAR(C336),"")</f>
        <v/>
      </c>
      <c r="U336" s="13" t="str">
        <f aca="false">IF(M336=1,YEAR(C336)&amp;"-Q"&amp;ROUNDUP(MONTH(C336)/3,0),"")</f>
        <v/>
      </c>
      <c r="V336" s="13" t="str">
        <f aca="false">IF(M336=1,MONTH(C336),"")</f>
        <v/>
      </c>
    </row>
    <row r="337" customFormat="false" ht="15" hidden="false" customHeight="false" outlineLevel="0" collapsed="false">
      <c r="A337" s="13" t="str">
        <f aca="false">TRIM(Raw_Data!A337)</f>
        <v>EMP0336</v>
      </c>
      <c r="B337" s="14" t="n">
        <f aca="false">Raw_Data!B337</f>
        <v>42119</v>
      </c>
      <c r="C337" s="14" t="str">
        <f aca="false">IF(Raw_Data!C337="","",Raw_Data!C337)</f>
        <v/>
      </c>
      <c r="D337" s="13" t="n">
        <f aca="false">IF(Raw_Data!D337="","",Raw_Data!D337)</f>
        <v>41</v>
      </c>
      <c r="E337" s="13" t="str">
        <f aca="false">IF(UPPER(LEFT(TRIM(Raw_Data!E337),1))="M","Male",IF(UPPER(LEFT(TRIM(Raw_Data!E337),1))="F","Female","Unknown"))</f>
        <v>Female</v>
      </c>
      <c r="F337" s="13" t="str">
        <f aca="false">PROPER(TRIM(SUBSTITUTE(Raw_Data!F337,"'","")))</f>
        <v>Doctorate</v>
      </c>
      <c r="G337" s="13" t="str">
        <f aca="false">PROPER(TRIM(Raw_Data!G337))</f>
        <v>Engineering</v>
      </c>
      <c r="H337" s="13" t="str">
        <f aca="false">PROPER(TRIM(Raw_Data!H337))</f>
        <v>Senior Analyst</v>
      </c>
      <c r="I337" s="13" t="n">
        <f aca="false">IF(Raw_Data!I337="",DefaultPerf,Raw_Data!I337)</f>
        <v>3</v>
      </c>
      <c r="J337" s="17" t="n">
        <f aca="false">IF(Raw_Data!J337="",DefaultSat,Raw_Data!J337)</f>
        <v>3</v>
      </c>
      <c r="K337" s="15" t="n">
        <f aca="false">Raw_Data!K337</f>
        <v>102500</v>
      </c>
      <c r="L337" s="13" t="str">
        <f aca="false">PROPER(TRIM(Raw_Data!N337))</f>
        <v>No</v>
      </c>
      <c r="M337" s="13" t="n">
        <f aca="false">IF(C337="",0,1)</f>
        <v>0</v>
      </c>
      <c r="N337" s="13" t="str">
        <f aca="false">IF(M337=0,"Active",IF(TRIM(Raw_Data!L337)="","Unknown",PROPER(TRIM(Raw_Data!L337))))</f>
        <v>Active</v>
      </c>
      <c r="O337" s="13" t="str">
        <f aca="false">IF(M337=0,"",IF(TRIM(Raw_Data!M337)="","Not Recorded",TRIM(Raw_Data!M337)))</f>
        <v/>
      </c>
      <c r="P337" s="16" t="n">
        <f aca="false">ROUND((IF(C337="",AsOfDate,C337)-B337)/365.25,2)</f>
        <v>10.69</v>
      </c>
      <c r="Q337" s="13" t="str">
        <f aca="false">IF(D337="","Unknown",IF(D337&lt;25,"Under 25",IF(D337&lt;35,"25-34",IF(D337&lt;45,"35-44",IF(D337&lt;55,"45-54","55+")))))</f>
        <v>35-44</v>
      </c>
      <c r="R337" s="13" t="str">
        <f aca="false">IF(P337&lt;1,"0-1 yrs",IF(P337&lt;3,"1-3 yrs",IF(P337&lt;5,"3-5 yrs",IF(P337&lt;10,"5-10 yrs","10+ yrs"))))</f>
        <v>10+ yrs</v>
      </c>
      <c r="S337" s="13" t="str">
        <f aca="false">IF(I337&gt;=4,"High",IF(I337=3,"Medium","Low"))</f>
        <v>Medium</v>
      </c>
      <c r="T337" s="13" t="str">
        <f aca="false">IF(M337=1,YEAR(C337),"")</f>
        <v/>
      </c>
      <c r="U337" s="13" t="str">
        <f aca="false">IF(M337=1,YEAR(C337)&amp;"-Q"&amp;ROUNDUP(MONTH(C337)/3,0),"")</f>
        <v/>
      </c>
      <c r="V337" s="13" t="str">
        <f aca="false">IF(M337=1,MONTH(C337),"")</f>
        <v/>
      </c>
    </row>
    <row r="338" customFormat="false" ht="15" hidden="false" customHeight="false" outlineLevel="0" collapsed="false">
      <c r="A338" s="13" t="str">
        <f aca="false">TRIM(Raw_Data!A338)</f>
        <v>EMP0337</v>
      </c>
      <c r="B338" s="14" t="n">
        <f aca="false">Raw_Data!B338</f>
        <v>42124</v>
      </c>
      <c r="C338" s="14" t="str">
        <f aca="false">IF(Raw_Data!C338="","",Raw_Data!C338)</f>
        <v/>
      </c>
      <c r="D338" s="13" t="n">
        <f aca="false">IF(Raw_Data!D338="","",Raw_Data!D338)</f>
        <v>32</v>
      </c>
      <c r="E338" s="13" t="str">
        <f aca="false">IF(UPPER(LEFT(TRIM(Raw_Data!E338),1))="M","Male",IF(UPPER(LEFT(TRIM(Raw_Data!E338),1))="F","Female","Unknown"))</f>
        <v>Male</v>
      </c>
      <c r="F338" s="13" t="str">
        <f aca="false">PROPER(TRIM(SUBSTITUTE(Raw_Data!F338,"'","")))</f>
        <v>Bachelors</v>
      </c>
      <c r="G338" s="13" t="str">
        <f aca="false">PROPER(TRIM(Raw_Data!G338))</f>
        <v>Engineering</v>
      </c>
      <c r="H338" s="13" t="str">
        <f aca="false">PROPER(TRIM(Raw_Data!H338))</f>
        <v>Associate</v>
      </c>
      <c r="I338" s="13" t="n">
        <f aca="false">IF(Raw_Data!I338="",DefaultPerf,Raw_Data!I338)</f>
        <v>2</v>
      </c>
      <c r="J338" s="13" t="n">
        <f aca="false">IF(Raw_Data!J338="",DefaultSat,Raw_Data!J338)</f>
        <v>4</v>
      </c>
      <c r="K338" s="15" t="n">
        <f aca="false">Raw_Data!K338</f>
        <v>47000</v>
      </c>
      <c r="L338" s="13" t="str">
        <f aca="false">PROPER(TRIM(Raw_Data!N338))</f>
        <v>No</v>
      </c>
      <c r="M338" s="13" t="n">
        <f aca="false">IF(C338="",0,1)</f>
        <v>0</v>
      </c>
      <c r="N338" s="13" t="str">
        <f aca="false">IF(M338=0,"Active",IF(TRIM(Raw_Data!L338)="","Unknown",PROPER(TRIM(Raw_Data!L338))))</f>
        <v>Active</v>
      </c>
      <c r="O338" s="13" t="str">
        <f aca="false">IF(M338=0,"",IF(TRIM(Raw_Data!M338)="","Not Recorded",TRIM(Raw_Data!M338)))</f>
        <v/>
      </c>
      <c r="P338" s="16" t="n">
        <f aca="false">ROUND((IF(C338="",AsOfDate,C338)-B338)/365.25,2)</f>
        <v>10.67</v>
      </c>
      <c r="Q338" s="13" t="str">
        <f aca="false">IF(D338="","Unknown",IF(D338&lt;25,"Under 25",IF(D338&lt;35,"25-34",IF(D338&lt;45,"35-44",IF(D338&lt;55,"45-54","55+")))))</f>
        <v>25-34</v>
      </c>
      <c r="R338" s="13" t="str">
        <f aca="false">IF(P338&lt;1,"0-1 yrs",IF(P338&lt;3,"1-3 yrs",IF(P338&lt;5,"3-5 yrs",IF(P338&lt;10,"5-10 yrs","10+ yrs"))))</f>
        <v>10+ yrs</v>
      </c>
      <c r="S338" s="13" t="str">
        <f aca="false">IF(I338&gt;=4,"High",IF(I338=3,"Medium","Low"))</f>
        <v>Low</v>
      </c>
      <c r="T338" s="13" t="str">
        <f aca="false">IF(M338=1,YEAR(C338),"")</f>
        <v/>
      </c>
      <c r="U338" s="13" t="str">
        <f aca="false">IF(M338=1,YEAR(C338)&amp;"-Q"&amp;ROUNDUP(MONTH(C338)/3,0),"")</f>
        <v/>
      </c>
      <c r="V338" s="13" t="str">
        <f aca="false">IF(M338=1,MONTH(C338),"")</f>
        <v/>
      </c>
    </row>
    <row r="339" customFormat="false" ht="15" hidden="false" customHeight="false" outlineLevel="0" collapsed="false">
      <c r="A339" s="13" t="str">
        <f aca="false">TRIM(Raw_Data!A339)</f>
        <v>EMP0338</v>
      </c>
      <c r="B339" s="14" t="n">
        <f aca="false">Raw_Data!B339</f>
        <v>42125</v>
      </c>
      <c r="C339" s="14" t="str">
        <f aca="false">IF(Raw_Data!C339="","",Raw_Data!C339)</f>
        <v/>
      </c>
      <c r="D339" s="13" t="n">
        <f aca="false">IF(Raw_Data!D339="","",Raw_Data!D339)</f>
        <v>45</v>
      </c>
      <c r="E339" s="13" t="str">
        <f aca="false">IF(UPPER(LEFT(TRIM(Raw_Data!E339),1))="M","Male",IF(UPPER(LEFT(TRIM(Raw_Data!E339),1))="F","Female","Unknown"))</f>
        <v>Male</v>
      </c>
      <c r="F339" s="13" t="str">
        <f aca="false">PROPER(TRIM(SUBSTITUTE(Raw_Data!F339,"'","")))</f>
        <v>Bachelors</v>
      </c>
      <c r="G339" s="13" t="str">
        <f aca="false">PROPER(TRIM(Raw_Data!G339))</f>
        <v>Operations</v>
      </c>
      <c r="H339" s="13" t="str">
        <f aca="false">PROPER(TRIM(Raw_Data!H339))</f>
        <v>Associate</v>
      </c>
      <c r="I339" s="13" t="n">
        <f aca="false">IF(Raw_Data!I339="",DefaultPerf,Raw_Data!I339)</f>
        <v>3</v>
      </c>
      <c r="J339" s="13" t="n">
        <f aca="false">IF(Raw_Data!J339="",DefaultSat,Raw_Data!J339)</f>
        <v>1</v>
      </c>
      <c r="K339" s="15" t="n">
        <f aca="false">Raw_Data!K339</f>
        <v>41500</v>
      </c>
      <c r="L339" s="13" t="str">
        <f aca="false">PROPER(TRIM(Raw_Data!N339))</f>
        <v>No</v>
      </c>
      <c r="M339" s="13" t="n">
        <f aca="false">IF(C339="",0,1)</f>
        <v>0</v>
      </c>
      <c r="N339" s="13" t="str">
        <f aca="false">IF(M339=0,"Active",IF(TRIM(Raw_Data!L339)="","Unknown",PROPER(TRIM(Raw_Data!L339))))</f>
        <v>Active</v>
      </c>
      <c r="O339" s="13" t="str">
        <f aca="false">IF(M339=0,"",IF(TRIM(Raw_Data!M339)="","Not Recorded",TRIM(Raw_Data!M339)))</f>
        <v/>
      </c>
      <c r="P339" s="16" t="n">
        <f aca="false">ROUND((IF(C339="",AsOfDate,C339)-B339)/365.25,2)</f>
        <v>10.67</v>
      </c>
      <c r="Q339" s="13" t="str">
        <f aca="false">IF(D339="","Unknown",IF(D339&lt;25,"Under 25",IF(D339&lt;35,"25-34",IF(D339&lt;45,"35-44",IF(D339&lt;55,"45-54","55+")))))</f>
        <v>45-54</v>
      </c>
      <c r="R339" s="13" t="str">
        <f aca="false">IF(P339&lt;1,"0-1 yrs",IF(P339&lt;3,"1-3 yrs",IF(P339&lt;5,"3-5 yrs",IF(P339&lt;10,"5-10 yrs","10+ yrs"))))</f>
        <v>10+ yrs</v>
      </c>
      <c r="S339" s="13" t="str">
        <f aca="false">IF(I339&gt;=4,"High",IF(I339=3,"Medium","Low"))</f>
        <v>Medium</v>
      </c>
      <c r="T339" s="13" t="str">
        <f aca="false">IF(M339=1,YEAR(C339),"")</f>
        <v/>
      </c>
      <c r="U339" s="13" t="str">
        <f aca="false">IF(M339=1,YEAR(C339)&amp;"-Q"&amp;ROUNDUP(MONTH(C339)/3,0),"")</f>
        <v/>
      </c>
      <c r="V339" s="13" t="str">
        <f aca="false">IF(M339=1,MONTH(C339),"")</f>
        <v/>
      </c>
    </row>
    <row r="340" customFormat="false" ht="15" hidden="false" customHeight="false" outlineLevel="0" collapsed="false">
      <c r="A340" s="13" t="str">
        <f aca="false">TRIM(Raw_Data!A340)</f>
        <v>EMP0339</v>
      </c>
      <c r="B340" s="14" t="n">
        <f aca="false">Raw_Data!B340</f>
        <v>42128</v>
      </c>
      <c r="C340" s="14" t="n">
        <f aca="false">IF(Raw_Data!C340="","",Raw_Data!C340)</f>
        <v>45152</v>
      </c>
      <c r="D340" s="13" t="n">
        <f aca="false">IF(Raw_Data!D340="","",Raw_Data!D340)</f>
        <v>37</v>
      </c>
      <c r="E340" s="13" t="str">
        <f aca="false">IF(UPPER(LEFT(TRIM(Raw_Data!E340),1))="M","Male",IF(UPPER(LEFT(TRIM(Raw_Data!E340),1))="F","Female","Unknown"))</f>
        <v>Female</v>
      </c>
      <c r="F340" s="13" t="str">
        <f aca="false">PROPER(TRIM(SUBSTITUTE(Raw_Data!F340,"'","")))</f>
        <v>Bachelors</v>
      </c>
      <c r="G340" s="13" t="str">
        <f aca="false">PROPER(TRIM(Raw_Data!G340))</f>
        <v>Sales</v>
      </c>
      <c r="H340" s="13" t="str">
        <f aca="false">PROPER(TRIM(Raw_Data!H340))</f>
        <v>Analyst</v>
      </c>
      <c r="I340" s="13" t="n">
        <f aca="false">IF(Raw_Data!I340="",DefaultPerf,Raw_Data!I340)</f>
        <v>2</v>
      </c>
      <c r="J340" s="13" t="n">
        <f aca="false">IF(Raw_Data!J340="",DefaultSat,Raw_Data!J340)</f>
        <v>3</v>
      </c>
      <c r="K340" s="15" t="n">
        <f aca="false">Raw_Data!K340</f>
        <v>61000</v>
      </c>
      <c r="L340" s="13" t="str">
        <f aca="false">PROPER(TRIM(Raw_Data!N340))</f>
        <v>No</v>
      </c>
      <c r="M340" s="13" t="n">
        <f aca="false">IF(C340="",0,1)</f>
        <v>1</v>
      </c>
      <c r="N340" s="13" t="str">
        <f aca="false">IF(M340=0,"Active",IF(TRIM(Raw_Data!L340)="","Unknown",PROPER(TRIM(Raw_Data!L340))))</f>
        <v>Involuntary</v>
      </c>
      <c r="O340" s="13" t="str">
        <f aca="false">IF(M340=0,"",IF(TRIM(Raw_Data!M340)="","Not Recorded",TRIM(Raw_Data!M340)))</f>
        <v>Restructuring / Layoff</v>
      </c>
      <c r="P340" s="16" t="n">
        <f aca="false">ROUND((IF(C340="",AsOfDate,C340)-B340)/365.25,2)</f>
        <v>8.28</v>
      </c>
      <c r="Q340" s="13" t="str">
        <f aca="false">IF(D340="","Unknown",IF(D340&lt;25,"Under 25",IF(D340&lt;35,"25-34",IF(D340&lt;45,"35-44",IF(D340&lt;55,"45-54","55+")))))</f>
        <v>35-44</v>
      </c>
      <c r="R340" s="13" t="str">
        <f aca="false">IF(P340&lt;1,"0-1 yrs",IF(P340&lt;3,"1-3 yrs",IF(P340&lt;5,"3-5 yrs",IF(P340&lt;10,"5-10 yrs","10+ yrs"))))</f>
        <v>5-10 yrs</v>
      </c>
      <c r="S340" s="13" t="str">
        <f aca="false">IF(I340&gt;=4,"High",IF(I340=3,"Medium","Low"))</f>
        <v>Low</v>
      </c>
      <c r="T340" s="13" t="n">
        <f aca="false">IF(M340=1,YEAR(C340),"")</f>
        <v>2023</v>
      </c>
      <c r="U340" s="13" t="str">
        <f aca="false">IF(M340=1,YEAR(C340)&amp;"-Q"&amp;ROUNDUP(MONTH(C340)/3,0),"")</f>
        <v>2023-Q3</v>
      </c>
      <c r="V340" s="13" t="n">
        <f aca="false">IF(M340=1,MONTH(C340),"")</f>
        <v>8</v>
      </c>
    </row>
    <row r="341" customFormat="false" ht="15" hidden="false" customHeight="false" outlineLevel="0" collapsed="false">
      <c r="A341" s="13" t="str">
        <f aca="false">TRIM(Raw_Data!A341)</f>
        <v>EMP0340</v>
      </c>
      <c r="B341" s="14" t="n">
        <f aca="false">Raw_Data!B341</f>
        <v>42133</v>
      </c>
      <c r="C341" s="14" t="str">
        <f aca="false">IF(Raw_Data!C341="","",Raw_Data!C341)</f>
        <v/>
      </c>
      <c r="D341" s="13" t="n">
        <f aca="false">IF(Raw_Data!D341="","",Raw_Data!D341)</f>
        <v>37</v>
      </c>
      <c r="E341" s="13" t="str">
        <f aca="false">IF(UPPER(LEFT(TRIM(Raw_Data!E341),1))="M","Male",IF(UPPER(LEFT(TRIM(Raw_Data!E341),1))="F","Female","Unknown"))</f>
        <v>Female</v>
      </c>
      <c r="F341" s="13" t="str">
        <f aca="false">PROPER(TRIM(SUBSTITUTE(Raw_Data!F341,"'","")))</f>
        <v>Masters</v>
      </c>
      <c r="G341" s="13" t="str">
        <f aca="false">PROPER(TRIM(Raw_Data!G341))</f>
        <v>Sales</v>
      </c>
      <c r="H341" s="13" t="str">
        <f aca="false">PROPER(TRIM(Raw_Data!H341))</f>
        <v>Associate</v>
      </c>
      <c r="I341" s="13" t="n">
        <f aca="false">IF(Raw_Data!I341="",DefaultPerf,Raw_Data!I341)</f>
        <v>4</v>
      </c>
      <c r="J341" s="13" t="n">
        <f aca="false">IF(Raw_Data!J341="",DefaultSat,Raw_Data!J341)</f>
        <v>3</v>
      </c>
      <c r="K341" s="15" t="n">
        <f aca="false">Raw_Data!K341</f>
        <v>51000</v>
      </c>
      <c r="L341" s="13" t="str">
        <f aca="false">PROPER(TRIM(Raw_Data!N341))</f>
        <v>Yes</v>
      </c>
      <c r="M341" s="13" t="n">
        <f aca="false">IF(C341="",0,1)</f>
        <v>0</v>
      </c>
      <c r="N341" s="13" t="str">
        <f aca="false">IF(M341=0,"Active",IF(TRIM(Raw_Data!L341)="","Unknown",PROPER(TRIM(Raw_Data!L341))))</f>
        <v>Active</v>
      </c>
      <c r="O341" s="13" t="str">
        <f aca="false">IF(M341=0,"",IF(TRIM(Raw_Data!M341)="","Not Recorded",TRIM(Raw_Data!M341)))</f>
        <v/>
      </c>
      <c r="P341" s="16" t="n">
        <f aca="false">ROUND((IF(C341="",AsOfDate,C341)-B341)/365.25,2)</f>
        <v>10.65</v>
      </c>
      <c r="Q341" s="13" t="str">
        <f aca="false">IF(D341="","Unknown",IF(D341&lt;25,"Under 25",IF(D341&lt;35,"25-34",IF(D341&lt;45,"35-44",IF(D341&lt;55,"45-54","55+")))))</f>
        <v>35-44</v>
      </c>
      <c r="R341" s="13" t="str">
        <f aca="false">IF(P341&lt;1,"0-1 yrs",IF(P341&lt;3,"1-3 yrs",IF(P341&lt;5,"3-5 yrs",IF(P341&lt;10,"5-10 yrs","10+ yrs"))))</f>
        <v>10+ yrs</v>
      </c>
      <c r="S341" s="13" t="str">
        <f aca="false">IF(I341&gt;=4,"High",IF(I341=3,"Medium","Low"))</f>
        <v>High</v>
      </c>
      <c r="T341" s="13" t="str">
        <f aca="false">IF(M341=1,YEAR(C341),"")</f>
        <v/>
      </c>
      <c r="U341" s="13" t="str">
        <f aca="false">IF(M341=1,YEAR(C341)&amp;"-Q"&amp;ROUNDUP(MONTH(C341)/3,0),"")</f>
        <v/>
      </c>
      <c r="V341" s="13" t="str">
        <f aca="false">IF(M341=1,MONTH(C341),"")</f>
        <v/>
      </c>
    </row>
    <row r="342" customFormat="false" ht="15" hidden="false" customHeight="false" outlineLevel="0" collapsed="false">
      <c r="A342" s="13" t="str">
        <f aca="false">TRIM(Raw_Data!A342)</f>
        <v>EMP0341</v>
      </c>
      <c r="B342" s="14" t="n">
        <f aca="false">Raw_Data!B342</f>
        <v>42140</v>
      </c>
      <c r="C342" s="14" t="n">
        <f aca="false">IF(Raw_Data!C342="","",Raw_Data!C342)</f>
        <v>44596</v>
      </c>
      <c r="D342" s="13" t="n">
        <f aca="false">IF(Raw_Data!D342="","",Raw_Data!D342)</f>
        <v>36</v>
      </c>
      <c r="E342" s="13" t="str">
        <f aca="false">IF(UPPER(LEFT(TRIM(Raw_Data!E342),1))="M","Male",IF(UPPER(LEFT(TRIM(Raw_Data!E342),1))="F","Female","Unknown"))</f>
        <v>Female</v>
      </c>
      <c r="F342" s="13" t="str">
        <f aca="false">PROPER(TRIM(SUBSTITUTE(Raw_Data!F342,"'","")))</f>
        <v>Bachelors</v>
      </c>
      <c r="G342" s="13" t="str">
        <f aca="false">PROPER(TRIM(Raw_Data!G342))</f>
        <v>Customer Support</v>
      </c>
      <c r="H342" s="13" t="str">
        <f aca="false">PROPER(TRIM(Raw_Data!H342))</f>
        <v>Senior Analyst</v>
      </c>
      <c r="I342" s="13" t="n">
        <f aca="false">IF(Raw_Data!I342="",DefaultPerf,Raw_Data!I342)</f>
        <v>3</v>
      </c>
      <c r="J342" s="13" t="n">
        <f aca="false">IF(Raw_Data!J342="",DefaultSat,Raw_Data!J342)</f>
        <v>3</v>
      </c>
      <c r="K342" s="15" t="n">
        <f aca="false">Raw_Data!K342</f>
        <v>111500</v>
      </c>
      <c r="L342" s="13" t="str">
        <f aca="false">PROPER(TRIM(Raw_Data!N342))</f>
        <v>No</v>
      </c>
      <c r="M342" s="13" t="n">
        <f aca="false">IF(C342="",0,1)</f>
        <v>1</v>
      </c>
      <c r="N342" s="13" t="str">
        <f aca="false">IF(M342=0,"Active",IF(TRIM(Raw_Data!L342)="","Unknown",PROPER(TRIM(Raw_Data!L342))))</f>
        <v>Voluntary</v>
      </c>
      <c r="O342" s="13" t="str">
        <f aca="false">IF(M342=0,"",IF(TRIM(Raw_Data!M342)="","Not Recorded",TRIM(Raw_Data!M342)))</f>
        <v>Relocation</v>
      </c>
      <c r="P342" s="16" t="n">
        <f aca="false">ROUND((IF(C342="",AsOfDate,C342)-B342)/365.25,2)</f>
        <v>6.72</v>
      </c>
      <c r="Q342" s="13" t="str">
        <f aca="false">IF(D342="","Unknown",IF(D342&lt;25,"Under 25",IF(D342&lt;35,"25-34",IF(D342&lt;45,"35-44",IF(D342&lt;55,"45-54","55+")))))</f>
        <v>35-44</v>
      </c>
      <c r="R342" s="13" t="str">
        <f aca="false">IF(P342&lt;1,"0-1 yrs",IF(P342&lt;3,"1-3 yrs",IF(P342&lt;5,"3-5 yrs",IF(P342&lt;10,"5-10 yrs","10+ yrs"))))</f>
        <v>5-10 yrs</v>
      </c>
      <c r="S342" s="13" t="str">
        <f aca="false">IF(I342&gt;=4,"High",IF(I342=3,"Medium","Low"))</f>
        <v>Medium</v>
      </c>
      <c r="T342" s="13" t="n">
        <f aca="false">IF(M342=1,YEAR(C342),"")</f>
        <v>2022</v>
      </c>
      <c r="U342" s="13" t="str">
        <f aca="false">IF(M342=1,YEAR(C342)&amp;"-Q"&amp;ROUNDUP(MONTH(C342)/3,0),"")</f>
        <v>2022-Q1</v>
      </c>
      <c r="V342" s="13" t="n">
        <f aca="false">IF(M342=1,MONTH(C342),"")</f>
        <v>2</v>
      </c>
    </row>
    <row r="343" customFormat="false" ht="15" hidden="false" customHeight="false" outlineLevel="0" collapsed="false">
      <c r="A343" s="13" t="str">
        <f aca="false">TRIM(Raw_Data!A343)</f>
        <v>EMP0342</v>
      </c>
      <c r="B343" s="14" t="n">
        <f aca="false">Raw_Data!B343</f>
        <v>42143</v>
      </c>
      <c r="C343" s="14" t="n">
        <f aca="false">IF(Raw_Data!C343="","",Raw_Data!C343)</f>
        <v>45634</v>
      </c>
      <c r="D343" s="13" t="n">
        <f aca="false">IF(Raw_Data!D343="","",Raw_Data!D343)</f>
        <v>34</v>
      </c>
      <c r="E343" s="13" t="str">
        <f aca="false">IF(UPPER(LEFT(TRIM(Raw_Data!E343),1))="M","Male",IF(UPPER(LEFT(TRIM(Raw_Data!E343),1))="F","Female","Unknown"))</f>
        <v>Male</v>
      </c>
      <c r="F343" s="13" t="str">
        <f aca="false">PROPER(TRIM(SUBSTITUTE(Raw_Data!F343,"'","")))</f>
        <v>High School</v>
      </c>
      <c r="G343" s="13" t="str">
        <f aca="false">PROPER(TRIM(Raw_Data!G343))</f>
        <v>Engineering</v>
      </c>
      <c r="H343" s="13" t="str">
        <f aca="false">PROPER(TRIM(Raw_Data!H343))</f>
        <v>Associate</v>
      </c>
      <c r="I343" s="13" t="n">
        <f aca="false">IF(Raw_Data!I343="",DefaultPerf,Raw_Data!I343)</f>
        <v>4</v>
      </c>
      <c r="J343" s="13" t="n">
        <f aca="false">IF(Raw_Data!J343="",DefaultSat,Raw_Data!J343)</f>
        <v>2</v>
      </c>
      <c r="K343" s="15" t="n">
        <f aca="false">Raw_Data!K343</f>
        <v>47000</v>
      </c>
      <c r="L343" s="13" t="str">
        <f aca="false">PROPER(TRIM(Raw_Data!N343))</f>
        <v>No</v>
      </c>
      <c r="M343" s="13" t="n">
        <f aca="false">IF(C343="",0,1)</f>
        <v>1</v>
      </c>
      <c r="N343" s="13" t="str">
        <f aca="false">IF(M343=0,"Active",IF(TRIM(Raw_Data!L343)="","Unknown",PROPER(TRIM(Raw_Data!L343))))</f>
        <v>Voluntary</v>
      </c>
      <c r="O343" s="13" t="str">
        <f aca="false">IF(M343=0,"",IF(TRIM(Raw_Data!M343)="","Not Recorded",TRIM(Raw_Data!M343)))</f>
        <v>Personal Reasons</v>
      </c>
      <c r="P343" s="16" t="n">
        <f aca="false">ROUND((IF(C343="",AsOfDate,C343)-B343)/365.25,2)</f>
        <v>9.56</v>
      </c>
      <c r="Q343" s="13" t="str">
        <f aca="false">IF(D343="","Unknown",IF(D343&lt;25,"Under 25",IF(D343&lt;35,"25-34",IF(D343&lt;45,"35-44",IF(D343&lt;55,"45-54","55+")))))</f>
        <v>25-34</v>
      </c>
      <c r="R343" s="13" t="str">
        <f aca="false">IF(P343&lt;1,"0-1 yrs",IF(P343&lt;3,"1-3 yrs",IF(P343&lt;5,"3-5 yrs",IF(P343&lt;10,"5-10 yrs","10+ yrs"))))</f>
        <v>5-10 yrs</v>
      </c>
      <c r="S343" s="13" t="str">
        <f aca="false">IF(I343&gt;=4,"High",IF(I343=3,"Medium","Low"))</f>
        <v>High</v>
      </c>
      <c r="T343" s="13" t="n">
        <f aca="false">IF(M343=1,YEAR(C343),"")</f>
        <v>2024</v>
      </c>
      <c r="U343" s="13" t="str">
        <f aca="false">IF(M343=1,YEAR(C343)&amp;"-Q"&amp;ROUNDUP(MONTH(C343)/3,0),"")</f>
        <v>2024-Q4</v>
      </c>
      <c r="V343" s="13" t="n">
        <f aca="false">IF(M343=1,MONTH(C343),"")</f>
        <v>12</v>
      </c>
    </row>
    <row r="344" customFormat="false" ht="15" hidden="false" customHeight="false" outlineLevel="0" collapsed="false">
      <c r="A344" s="13" t="str">
        <f aca="false">TRIM(Raw_Data!A344)</f>
        <v>EMP0343</v>
      </c>
      <c r="B344" s="14" t="n">
        <f aca="false">Raw_Data!B344</f>
        <v>42147</v>
      </c>
      <c r="C344" s="14" t="str">
        <f aca="false">IF(Raw_Data!C344="","",Raw_Data!C344)</f>
        <v/>
      </c>
      <c r="D344" s="13" t="n">
        <f aca="false">IF(Raw_Data!D344="","",Raw_Data!D344)</f>
        <v>44</v>
      </c>
      <c r="E344" s="13" t="str">
        <f aca="false">IF(UPPER(LEFT(TRIM(Raw_Data!E344),1))="M","Male",IF(UPPER(LEFT(TRIM(Raw_Data!E344),1))="F","Female","Unknown"))</f>
        <v>Female</v>
      </c>
      <c r="F344" s="13" t="str">
        <f aca="false">PROPER(TRIM(SUBSTITUTE(Raw_Data!F344,"'","")))</f>
        <v>Diploma</v>
      </c>
      <c r="G344" s="13" t="str">
        <f aca="false">PROPER(TRIM(Raw_Data!G344))</f>
        <v>Sales</v>
      </c>
      <c r="H344" s="13" t="str">
        <f aca="false">PROPER(TRIM(Raw_Data!H344))</f>
        <v>Associate</v>
      </c>
      <c r="I344" s="13" t="n">
        <f aca="false">IF(Raw_Data!I344="",DefaultPerf,Raw_Data!I344)</f>
        <v>3</v>
      </c>
      <c r="J344" s="13" t="n">
        <f aca="false">IF(Raw_Data!J344="",DefaultSat,Raw_Data!J344)</f>
        <v>2</v>
      </c>
      <c r="K344" s="15" t="n">
        <f aca="false">Raw_Data!K344</f>
        <v>47000</v>
      </c>
      <c r="L344" s="13" t="str">
        <f aca="false">PROPER(TRIM(Raw_Data!N344))</f>
        <v>No</v>
      </c>
      <c r="M344" s="13" t="n">
        <f aca="false">IF(C344="",0,1)</f>
        <v>0</v>
      </c>
      <c r="N344" s="13" t="str">
        <f aca="false">IF(M344=0,"Active",IF(TRIM(Raw_Data!L344)="","Unknown",PROPER(TRIM(Raw_Data!L344))))</f>
        <v>Active</v>
      </c>
      <c r="O344" s="13" t="str">
        <f aca="false">IF(M344=0,"",IF(TRIM(Raw_Data!M344)="","Not Recorded",TRIM(Raw_Data!M344)))</f>
        <v/>
      </c>
      <c r="P344" s="16" t="n">
        <f aca="false">ROUND((IF(C344="",AsOfDate,C344)-B344)/365.25,2)</f>
        <v>10.61</v>
      </c>
      <c r="Q344" s="13" t="str">
        <f aca="false">IF(D344="","Unknown",IF(D344&lt;25,"Under 25",IF(D344&lt;35,"25-34",IF(D344&lt;45,"35-44",IF(D344&lt;55,"45-54","55+")))))</f>
        <v>35-44</v>
      </c>
      <c r="R344" s="13" t="str">
        <f aca="false">IF(P344&lt;1,"0-1 yrs",IF(P344&lt;3,"1-3 yrs",IF(P344&lt;5,"3-5 yrs",IF(P344&lt;10,"5-10 yrs","10+ yrs"))))</f>
        <v>10+ yrs</v>
      </c>
      <c r="S344" s="13" t="str">
        <f aca="false">IF(I344&gt;=4,"High",IF(I344=3,"Medium","Low"))</f>
        <v>Medium</v>
      </c>
      <c r="T344" s="13" t="str">
        <f aca="false">IF(M344=1,YEAR(C344),"")</f>
        <v/>
      </c>
      <c r="U344" s="13" t="str">
        <f aca="false">IF(M344=1,YEAR(C344)&amp;"-Q"&amp;ROUNDUP(MONTH(C344)/3,0),"")</f>
        <v/>
      </c>
      <c r="V344" s="13" t="str">
        <f aca="false">IF(M344=1,MONTH(C344),"")</f>
        <v/>
      </c>
    </row>
    <row r="345" customFormat="false" ht="15" hidden="false" customHeight="false" outlineLevel="0" collapsed="false">
      <c r="A345" s="13" t="str">
        <f aca="false">TRIM(Raw_Data!A345)</f>
        <v>EMP0344</v>
      </c>
      <c r="B345" s="14" t="n">
        <f aca="false">Raw_Data!B345</f>
        <v>42148</v>
      </c>
      <c r="C345" s="14" t="str">
        <f aca="false">IF(Raw_Data!C345="","",Raw_Data!C345)</f>
        <v/>
      </c>
      <c r="D345" s="13" t="n">
        <f aca="false">IF(Raw_Data!D345="","",Raw_Data!D345)</f>
        <v>39</v>
      </c>
      <c r="E345" s="13" t="str">
        <f aca="false">IF(UPPER(LEFT(TRIM(Raw_Data!E345),1))="M","Male",IF(UPPER(LEFT(TRIM(Raw_Data!E345),1))="F","Female","Unknown"))</f>
        <v>Male</v>
      </c>
      <c r="F345" s="13" t="str">
        <f aca="false">PROPER(TRIM(SUBSTITUTE(Raw_Data!F345,"'","")))</f>
        <v>Bachelors</v>
      </c>
      <c r="G345" s="13" t="str">
        <f aca="false">PROPER(TRIM(Raw_Data!G345))</f>
        <v>Human Resources</v>
      </c>
      <c r="H345" s="13" t="str">
        <f aca="false">PROPER(TRIM(Raw_Data!H345))</f>
        <v>Associate</v>
      </c>
      <c r="I345" s="13" t="n">
        <f aca="false">IF(Raw_Data!I345="",DefaultPerf,Raw_Data!I345)</f>
        <v>3</v>
      </c>
      <c r="J345" s="13" t="n">
        <f aca="false">IF(Raw_Data!J345="",DefaultSat,Raw_Data!J345)</f>
        <v>4</v>
      </c>
      <c r="K345" s="15" t="n">
        <f aca="false">Raw_Data!K345</f>
        <v>49500</v>
      </c>
      <c r="L345" s="13" t="str">
        <f aca="false">PROPER(TRIM(Raw_Data!N345))</f>
        <v>Yes</v>
      </c>
      <c r="M345" s="13" t="n">
        <f aca="false">IF(C345="",0,1)</f>
        <v>0</v>
      </c>
      <c r="N345" s="13" t="str">
        <f aca="false">IF(M345=0,"Active",IF(TRIM(Raw_Data!L345)="","Unknown",PROPER(TRIM(Raw_Data!L345))))</f>
        <v>Active</v>
      </c>
      <c r="O345" s="13" t="str">
        <f aca="false">IF(M345=0,"",IF(TRIM(Raw_Data!M345)="","Not Recorded",TRIM(Raw_Data!M345)))</f>
        <v/>
      </c>
      <c r="P345" s="16" t="n">
        <f aca="false">ROUND((IF(C345="",AsOfDate,C345)-B345)/365.25,2)</f>
        <v>10.61</v>
      </c>
      <c r="Q345" s="13" t="str">
        <f aca="false">IF(D345="","Unknown",IF(D345&lt;25,"Under 25",IF(D345&lt;35,"25-34",IF(D345&lt;45,"35-44",IF(D345&lt;55,"45-54","55+")))))</f>
        <v>35-44</v>
      </c>
      <c r="R345" s="13" t="str">
        <f aca="false">IF(P345&lt;1,"0-1 yrs",IF(P345&lt;3,"1-3 yrs",IF(P345&lt;5,"3-5 yrs",IF(P345&lt;10,"5-10 yrs","10+ yrs"))))</f>
        <v>10+ yrs</v>
      </c>
      <c r="S345" s="13" t="str">
        <f aca="false">IF(I345&gt;=4,"High",IF(I345=3,"Medium","Low"))</f>
        <v>Medium</v>
      </c>
      <c r="T345" s="13" t="str">
        <f aca="false">IF(M345=1,YEAR(C345),"")</f>
        <v/>
      </c>
      <c r="U345" s="13" t="str">
        <f aca="false">IF(M345=1,YEAR(C345)&amp;"-Q"&amp;ROUNDUP(MONTH(C345)/3,0),"")</f>
        <v/>
      </c>
      <c r="V345" s="13" t="str">
        <f aca="false">IF(M345=1,MONTH(C345),"")</f>
        <v/>
      </c>
    </row>
    <row r="346" customFormat="false" ht="15" hidden="false" customHeight="false" outlineLevel="0" collapsed="false">
      <c r="A346" s="13" t="str">
        <f aca="false">TRIM(Raw_Data!A346)</f>
        <v>EMP0345</v>
      </c>
      <c r="B346" s="14" t="n">
        <f aca="false">Raw_Data!B346</f>
        <v>42150</v>
      </c>
      <c r="C346" s="14" t="str">
        <f aca="false">IF(Raw_Data!C346="","",Raw_Data!C346)</f>
        <v/>
      </c>
      <c r="D346" s="13" t="n">
        <f aca="false">IF(Raw_Data!D346="","",Raw_Data!D346)</f>
        <v>43</v>
      </c>
      <c r="E346" s="13" t="str">
        <f aca="false">IF(UPPER(LEFT(TRIM(Raw_Data!E346),1))="M","Male",IF(UPPER(LEFT(TRIM(Raw_Data!E346),1))="F","Female","Unknown"))</f>
        <v>Female</v>
      </c>
      <c r="F346" s="13" t="str">
        <f aca="false">PROPER(TRIM(SUBSTITUTE(Raw_Data!F346,"'","")))</f>
        <v>Bachelors</v>
      </c>
      <c r="G346" s="13" t="str">
        <f aca="false">PROPER(TRIM(Raw_Data!G346))</f>
        <v>Operations</v>
      </c>
      <c r="H346" s="13" t="str">
        <f aca="false">PROPER(TRIM(Raw_Data!H346))</f>
        <v>Associate</v>
      </c>
      <c r="I346" s="13" t="n">
        <f aca="false">IF(Raw_Data!I346="",DefaultPerf,Raw_Data!I346)</f>
        <v>5</v>
      </c>
      <c r="J346" s="13" t="n">
        <f aca="false">IF(Raw_Data!J346="",DefaultSat,Raw_Data!J346)</f>
        <v>3</v>
      </c>
      <c r="K346" s="15" t="n">
        <f aca="false">Raw_Data!K346</f>
        <v>51000</v>
      </c>
      <c r="L346" s="13" t="str">
        <f aca="false">PROPER(TRIM(Raw_Data!N346))</f>
        <v>Yes</v>
      </c>
      <c r="M346" s="13" t="n">
        <f aca="false">IF(C346="",0,1)</f>
        <v>0</v>
      </c>
      <c r="N346" s="13" t="str">
        <f aca="false">IF(M346=0,"Active",IF(TRIM(Raw_Data!L346)="","Unknown",PROPER(TRIM(Raw_Data!L346))))</f>
        <v>Active</v>
      </c>
      <c r="O346" s="13" t="str">
        <f aca="false">IF(M346=0,"",IF(TRIM(Raw_Data!M346)="","Not Recorded",TRIM(Raw_Data!M346)))</f>
        <v/>
      </c>
      <c r="P346" s="16" t="n">
        <f aca="false">ROUND((IF(C346="",AsOfDate,C346)-B346)/365.25,2)</f>
        <v>10.6</v>
      </c>
      <c r="Q346" s="13" t="str">
        <f aca="false">IF(D346="","Unknown",IF(D346&lt;25,"Under 25",IF(D346&lt;35,"25-34",IF(D346&lt;45,"35-44",IF(D346&lt;55,"45-54","55+")))))</f>
        <v>35-44</v>
      </c>
      <c r="R346" s="13" t="str">
        <f aca="false">IF(P346&lt;1,"0-1 yrs",IF(P346&lt;3,"1-3 yrs",IF(P346&lt;5,"3-5 yrs",IF(P346&lt;10,"5-10 yrs","10+ yrs"))))</f>
        <v>10+ yrs</v>
      </c>
      <c r="S346" s="13" t="str">
        <f aca="false">IF(I346&gt;=4,"High",IF(I346=3,"Medium","Low"))</f>
        <v>High</v>
      </c>
      <c r="T346" s="13" t="str">
        <f aca="false">IF(M346=1,YEAR(C346),"")</f>
        <v/>
      </c>
      <c r="U346" s="13" t="str">
        <f aca="false">IF(M346=1,YEAR(C346)&amp;"-Q"&amp;ROUNDUP(MONTH(C346)/3,0),"")</f>
        <v/>
      </c>
      <c r="V346" s="13" t="str">
        <f aca="false">IF(M346=1,MONTH(C346),"")</f>
        <v/>
      </c>
    </row>
    <row r="347" customFormat="false" ht="15" hidden="false" customHeight="false" outlineLevel="0" collapsed="false">
      <c r="A347" s="13" t="str">
        <f aca="false">TRIM(Raw_Data!A347)</f>
        <v>EMP0346</v>
      </c>
      <c r="B347" s="14" t="n">
        <f aca="false">Raw_Data!B347</f>
        <v>42153</v>
      </c>
      <c r="C347" s="14" t="n">
        <f aca="false">IF(Raw_Data!C347="","",Raw_Data!C347)</f>
        <v>45146</v>
      </c>
      <c r="D347" s="13" t="n">
        <f aca="false">IF(Raw_Data!D347="","",Raw_Data!D347)</f>
        <v>45</v>
      </c>
      <c r="E347" s="13" t="str">
        <f aca="false">IF(UPPER(LEFT(TRIM(Raw_Data!E347),1))="M","Male",IF(UPPER(LEFT(TRIM(Raw_Data!E347),1))="F","Female","Unknown"))</f>
        <v>Female</v>
      </c>
      <c r="F347" s="13" t="str">
        <f aca="false">PROPER(TRIM(SUBSTITUTE(Raw_Data!F347,"'","")))</f>
        <v>Bachelors</v>
      </c>
      <c r="G347" s="13" t="str">
        <f aca="false">PROPER(TRIM(Raw_Data!G347))</f>
        <v>Finance</v>
      </c>
      <c r="H347" s="13" t="str">
        <f aca="false">PROPER(TRIM(Raw_Data!H347))</f>
        <v>Specialist</v>
      </c>
      <c r="I347" s="13" t="n">
        <f aca="false">IF(Raw_Data!I347="",DefaultPerf,Raw_Data!I347)</f>
        <v>5</v>
      </c>
      <c r="J347" s="13" t="n">
        <f aca="false">IF(Raw_Data!J347="",DefaultSat,Raw_Data!J347)</f>
        <v>2</v>
      </c>
      <c r="K347" s="15" t="n">
        <f aca="false">Raw_Data!K347</f>
        <v>131000</v>
      </c>
      <c r="L347" s="13" t="str">
        <f aca="false">PROPER(TRIM(Raw_Data!N347))</f>
        <v>Yes</v>
      </c>
      <c r="M347" s="13" t="n">
        <f aca="false">IF(C347="",0,1)</f>
        <v>1</v>
      </c>
      <c r="N347" s="13" t="str">
        <f aca="false">IF(M347=0,"Active",IF(TRIM(Raw_Data!L347)="","Unknown",PROPER(TRIM(Raw_Data!L347))))</f>
        <v>Involuntary</v>
      </c>
      <c r="O347" s="13" t="str">
        <f aca="false">IF(M347=0,"",IF(TRIM(Raw_Data!M347)="","Not Recorded",TRIM(Raw_Data!M347)))</f>
        <v>Poor Performance</v>
      </c>
      <c r="P347" s="16" t="n">
        <f aca="false">ROUND((IF(C347="",AsOfDate,C347)-B347)/365.25,2)</f>
        <v>8.19</v>
      </c>
      <c r="Q347" s="13" t="str">
        <f aca="false">IF(D347="","Unknown",IF(D347&lt;25,"Under 25",IF(D347&lt;35,"25-34",IF(D347&lt;45,"35-44",IF(D347&lt;55,"45-54","55+")))))</f>
        <v>45-54</v>
      </c>
      <c r="R347" s="13" t="str">
        <f aca="false">IF(P347&lt;1,"0-1 yrs",IF(P347&lt;3,"1-3 yrs",IF(P347&lt;5,"3-5 yrs",IF(P347&lt;10,"5-10 yrs","10+ yrs"))))</f>
        <v>5-10 yrs</v>
      </c>
      <c r="S347" s="13" t="str">
        <f aca="false">IF(I347&gt;=4,"High",IF(I347=3,"Medium","Low"))</f>
        <v>High</v>
      </c>
      <c r="T347" s="13" t="n">
        <f aca="false">IF(M347=1,YEAR(C347),"")</f>
        <v>2023</v>
      </c>
      <c r="U347" s="13" t="str">
        <f aca="false">IF(M347=1,YEAR(C347)&amp;"-Q"&amp;ROUNDUP(MONTH(C347)/3,0),"")</f>
        <v>2023-Q3</v>
      </c>
      <c r="V347" s="13" t="n">
        <f aca="false">IF(M347=1,MONTH(C347),"")</f>
        <v>8</v>
      </c>
    </row>
    <row r="348" customFormat="false" ht="15" hidden="false" customHeight="false" outlineLevel="0" collapsed="false">
      <c r="A348" s="13" t="str">
        <f aca="false">TRIM(Raw_Data!A348)</f>
        <v>EMP0347</v>
      </c>
      <c r="B348" s="14" t="n">
        <f aca="false">Raw_Data!B348</f>
        <v>42155</v>
      </c>
      <c r="C348" s="14" t="str">
        <f aca="false">IF(Raw_Data!C348="","",Raw_Data!C348)</f>
        <v/>
      </c>
      <c r="D348" s="13" t="n">
        <f aca="false">IF(Raw_Data!D348="","",Raw_Data!D348)</f>
        <v>38</v>
      </c>
      <c r="E348" s="13" t="str">
        <f aca="false">IF(UPPER(LEFT(TRIM(Raw_Data!E348),1))="M","Male",IF(UPPER(LEFT(TRIM(Raw_Data!E348),1))="F","Female","Unknown"))</f>
        <v>Male</v>
      </c>
      <c r="F348" s="13" t="str">
        <f aca="false">PROPER(TRIM(SUBSTITUTE(Raw_Data!F348,"'","")))</f>
        <v>Doctorate</v>
      </c>
      <c r="G348" s="13" t="str">
        <f aca="false">PROPER(TRIM(Raw_Data!G348))</f>
        <v>Human Resources</v>
      </c>
      <c r="H348" s="13" t="str">
        <f aca="false">PROPER(TRIM(Raw_Data!H348))</f>
        <v>Analyst</v>
      </c>
      <c r="I348" s="13" t="n">
        <f aca="false">IF(Raw_Data!I348="",DefaultPerf,Raw_Data!I348)</f>
        <v>4</v>
      </c>
      <c r="J348" s="13" t="n">
        <f aca="false">IF(Raw_Data!J348="",DefaultSat,Raw_Data!J348)</f>
        <v>4</v>
      </c>
      <c r="K348" s="15" t="n">
        <f aca="false">Raw_Data!K348</f>
        <v>74000</v>
      </c>
      <c r="L348" s="13" t="str">
        <f aca="false">PROPER(TRIM(Raw_Data!N348))</f>
        <v>No</v>
      </c>
      <c r="M348" s="13" t="n">
        <f aca="false">IF(C348="",0,1)</f>
        <v>0</v>
      </c>
      <c r="N348" s="13" t="str">
        <f aca="false">IF(M348=0,"Active",IF(TRIM(Raw_Data!L348)="","Unknown",PROPER(TRIM(Raw_Data!L348))))</f>
        <v>Active</v>
      </c>
      <c r="O348" s="13" t="str">
        <f aca="false">IF(M348=0,"",IF(TRIM(Raw_Data!M348)="","Not Recorded",TRIM(Raw_Data!M348)))</f>
        <v/>
      </c>
      <c r="P348" s="16" t="n">
        <f aca="false">ROUND((IF(C348="",AsOfDate,C348)-B348)/365.25,2)</f>
        <v>10.59</v>
      </c>
      <c r="Q348" s="13" t="str">
        <f aca="false">IF(D348="","Unknown",IF(D348&lt;25,"Under 25",IF(D348&lt;35,"25-34",IF(D348&lt;45,"35-44",IF(D348&lt;55,"45-54","55+")))))</f>
        <v>35-44</v>
      </c>
      <c r="R348" s="13" t="str">
        <f aca="false">IF(P348&lt;1,"0-1 yrs",IF(P348&lt;3,"1-3 yrs",IF(P348&lt;5,"3-5 yrs",IF(P348&lt;10,"5-10 yrs","10+ yrs"))))</f>
        <v>10+ yrs</v>
      </c>
      <c r="S348" s="13" t="str">
        <f aca="false">IF(I348&gt;=4,"High",IF(I348=3,"Medium","Low"))</f>
        <v>High</v>
      </c>
      <c r="T348" s="13" t="str">
        <f aca="false">IF(M348=1,YEAR(C348),"")</f>
        <v/>
      </c>
      <c r="U348" s="13" t="str">
        <f aca="false">IF(M348=1,YEAR(C348)&amp;"-Q"&amp;ROUNDUP(MONTH(C348)/3,0),"")</f>
        <v/>
      </c>
      <c r="V348" s="13" t="str">
        <f aca="false">IF(M348=1,MONTH(C348),"")</f>
        <v/>
      </c>
    </row>
    <row r="349" customFormat="false" ht="15" hidden="false" customHeight="false" outlineLevel="0" collapsed="false">
      <c r="A349" s="13" t="str">
        <f aca="false">TRIM(Raw_Data!A349)</f>
        <v>EMP0348</v>
      </c>
      <c r="B349" s="14" t="n">
        <f aca="false">Raw_Data!B349</f>
        <v>42158</v>
      </c>
      <c r="C349" s="14" t="n">
        <f aca="false">IF(Raw_Data!C349="","",Raw_Data!C349)</f>
        <v>44991</v>
      </c>
      <c r="D349" s="13" t="n">
        <f aca="false">IF(Raw_Data!D349="","",Raw_Data!D349)</f>
        <v>38</v>
      </c>
      <c r="E349" s="13" t="str">
        <f aca="false">IF(UPPER(LEFT(TRIM(Raw_Data!E349),1))="M","Male",IF(UPPER(LEFT(TRIM(Raw_Data!E349),1))="F","Female","Unknown"))</f>
        <v>Male</v>
      </c>
      <c r="F349" s="13" t="str">
        <f aca="false">PROPER(TRIM(SUBSTITUTE(Raw_Data!F349,"'","")))</f>
        <v>Bachelors</v>
      </c>
      <c r="G349" s="13" t="str">
        <f aca="false">PROPER(TRIM(Raw_Data!G349))</f>
        <v>Finance</v>
      </c>
      <c r="H349" s="13" t="str">
        <f aca="false">PROPER(TRIM(Raw_Data!H349))</f>
        <v>Manager</v>
      </c>
      <c r="I349" s="13" t="n">
        <f aca="false">IF(Raw_Data!I349="",DefaultPerf,Raw_Data!I349)</f>
        <v>4</v>
      </c>
      <c r="J349" s="13" t="n">
        <f aca="false">IF(Raw_Data!J349="",DefaultSat,Raw_Data!J349)</f>
        <v>3</v>
      </c>
      <c r="K349" s="15" t="n">
        <f aca="false">Raw_Data!K349</f>
        <v>177000</v>
      </c>
      <c r="L349" s="13" t="str">
        <f aca="false">PROPER(TRIM(Raw_Data!N349))</f>
        <v>No</v>
      </c>
      <c r="M349" s="13" t="n">
        <f aca="false">IF(C349="",0,1)</f>
        <v>1</v>
      </c>
      <c r="N349" s="13" t="str">
        <f aca="false">IF(M349=0,"Active",IF(TRIM(Raw_Data!L349)="","Unknown",PROPER(TRIM(Raw_Data!L349))))</f>
        <v>Involuntary</v>
      </c>
      <c r="O349" s="13" t="str">
        <f aca="false">IF(M349=0,"",IF(TRIM(Raw_Data!M349)="","Not Recorded",TRIM(Raw_Data!M349)))</f>
        <v>Not Recorded</v>
      </c>
      <c r="P349" s="16" t="n">
        <f aca="false">ROUND((IF(C349="",AsOfDate,C349)-B349)/365.25,2)</f>
        <v>7.76</v>
      </c>
      <c r="Q349" s="13" t="str">
        <f aca="false">IF(D349="","Unknown",IF(D349&lt;25,"Under 25",IF(D349&lt;35,"25-34",IF(D349&lt;45,"35-44",IF(D349&lt;55,"45-54","55+")))))</f>
        <v>35-44</v>
      </c>
      <c r="R349" s="13" t="str">
        <f aca="false">IF(P349&lt;1,"0-1 yrs",IF(P349&lt;3,"1-3 yrs",IF(P349&lt;5,"3-5 yrs",IF(P349&lt;10,"5-10 yrs","10+ yrs"))))</f>
        <v>5-10 yrs</v>
      </c>
      <c r="S349" s="13" t="str">
        <f aca="false">IF(I349&gt;=4,"High",IF(I349=3,"Medium","Low"))</f>
        <v>High</v>
      </c>
      <c r="T349" s="13" t="n">
        <f aca="false">IF(M349=1,YEAR(C349),"")</f>
        <v>2023</v>
      </c>
      <c r="U349" s="13" t="str">
        <f aca="false">IF(M349=1,YEAR(C349)&amp;"-Q"&amp;ROUNDUP(MONTH(C349)/3,0),"")</f>
        <v>2023-Q1</v>
      </c>
      <c r="V349" s="13" t="n">
        <f aca="false">IF(M349=1,MONTH(C349),"")</f>
        <v>3</v>
      </c>
    </row>
    <row r="350" customFormat="false" ht="15" hidden="false" customHeight="false" outlineLevel="0" collapsed="false">
      <c r="A350" s="13" t="str">
        <f aca="false">TRIM(Raw_Data!A350)</f>
        <v>EMP0349</v>
      </c>
      <c r="B350" s="14" t="n">
        <f aca="false">Raw_Data!B350</f>
        <v>42159</v>
      </c>
      <c r="C350" s="14" t="str">
        <f aca="false">IF(Raw_Data!C350="","",Raw_Data!C350)</f>
        <v/>
      </c>
      <c r="D350" s="13" t="n">
        <f aca="false">IF(Raw_Data!D350="","",Raw_Data!D350)</f>
        <v>32</v>
      </c>
      <c r="E350" s="13" t="str">
        <f aca="false">IF(UPPER(LEFT(TRIM(Raw_Data!E350),1))="M","Male",IF(UPPER(LEFT(TRIM(Raw_Data!E350),1))="F","Female","Unknown"))</f>
        <v>Female</v>
      </c>
      <c r="F350" s="13" t="str">
        <f aca="false">PROPER(TRIM(SUBSTITUTE(Raw_Data!F350,"'","")))</f>
        <v>Bachelors</v>
      </c>
      <c r="G350" s="13" t="str">
        <f aca="false">PROPER(TRIM(Raw_Data!G350))</f>
        <v>Operations</v>
      </c>
      <c r="H350" s="13" t="str">
        <f aca="false">PROPER(TRIM(Raw_Data!H350))</f>
        <v>Associate</v>
      </c>
      <c r="I350" s="13" t="n">
        <f aca="false">IF(Raw_Data!I350="",DefaultPerf,Raw_Data!I350)</f>
        <v>3</v>
      </c>
      <c r="J350" s="13" t="n">
        <f aca="false">IF(Raw_Data!J350="",DefaultSat,Raw_Data!J350)</f>
        <v>2</v>
      </c>
      <c r="K350" s="15" t="n">
        <f aca="false">Raw_Data!K350</f>
        <v>41000</v>
      </c>
      <c r="L350" s="13" t="str">
        <f aca="false">PROPER(TRIM(Raw_Data!N350))</f>
        <v>No</v>
      </c>
      <c r="M350" s="13" t="n">
        <f aca="false">IF(C350="",0,1)</f>
        <v>0</v>
      </c>
      <c r="N350" s="13" t="str">
        <f aca="false">IF(M350=0,"Active",IF(TRIM(Raw_Data!L350)="","Unknown",PROPER(TRIM(Raw_Data!L350))))</f>
        <v>Active</v>
      </c>
      <c r="O350" s="13" t="str">
        <f aca="false">IF(M350=0,"",IF(TRIM(Raw_Data!M350)="","Not Recorded",TRIM(Raw_Data!M350)))</f>
        <v/>
      </c>
      <c r="P350" s="16" t="n">
        <f aca="false">ROUND((IF(C350="",AsOfDate,C350)-B350)/365.25,2)</f>
        <v>10.58</v>
      </c>
      <c r="Q350" s="13" t="str">
        <f aca="false">IF(D350="","Unknown",IF(D350&lt;25,"Under 25",IF(D350&lt;35,"25-34",IF(D350&lt;45,"35-44",IF(D350&lt;55,"45-54","55+")))))</f>
        <v>25-34</v>
      </c>
      <c r="R350" s="13" t="str">
        <f aca="false">IF(P350&lt;1,"0-1 yrs",IF(P350&lt;3,"1-3 yrs",IF(P350&lt;5,"3-5 yrs",IF(P350&lt;10,"5-10 yrs","10+ yrs"))))</f>
        <v>10+ yrs</v>
      </c>
      <c r="S350" s="13" t="str">
        <f aca="false">IF(I350&gt;=4,"High",IF(I350=3,"Medium","Low"))</f>
        <v>Medium</v>
      </c>
      <c r="T350" s="13" t="str">
        <f aca="false">IF(M350=1,YEAR(C350),"")</f>
        <v/>
      </c>
      <c r="U350" s="13" t="str">
        <f aca="false">IF(M350=1,YEAR(C350)&amp;"-Q"&amp;ROUNDUP(MONTH(C350)/3,0),"")</f>
        <v/>
      </c>
      <c r="V350" s="13" t="str">
        <f aca="false">IF(M350=1,MONTH(C350),"")</f>
        <v/>
      </c>
    </row>
    <row r="351" customFormat="false" ht="15" hidden="false" customHeight="false" outlineLevel="0" collapsed="false">
      <c r="A351" s="13" t="str">
        <f aca="false">TRIM(Raw_Data!A351)</f>
        <v>EMP0350</v>
      </c>
      <c r="B351" s="14" t="n">
        <f aca="false">Raw_Data!B351</f>
        <v>42160</v>
      </c>
      <c r="C351" s="14" t="n">
        <f aca="false">IF(Raw_Data!C351="","",Raw_Data!C351)</f>
        <v>44669</v>
      </c>
      <c r="D351" s="13" t="n">
        <f aca="false">IF(Raw_Data!D351="","",Raw_Data!D351)</f>
        <v>40</v>
      </c>
      <c r="E351" s="13" t="str">
        <f aca="false">IF(UPPER(LEFT(TRIM(Raw_Data!E351),1))="M","Male",IF(UPPER(LEFT(TRIM(Raw_Data!E351),1))="F","Female","Unknown"))</f>
        <v>Female</v>
      </c>
      <c r="F351" s="13" t="str">
        <f aca="false">PROPER(TRIM(SUBSTITUTE(Raw_Data!F351,"'","")))</f>
        <v>High School</v>
      </c>
      <c r="G351" s="13" t="str">
        <f aca="false">PROPER(TRIM(Raw_Data!G351))</f>
        <v>Sales</v>
      </c>
      <c r="H351" s="13" t="str">
        <f aca="false">PROPER(TRIM(Raw_Data!H351))</f>
        <v>Associate</v>
      </c>
      <c r="I351" s="13" t="n">
        <f aca="false">IF(Raw_Data!I351="",DefaultPerf,Raw_Data!I351)</f>
        <v>3</v>
      </c>
      <c r="J351" s="13" t="n">
        <f aca="false">IF(Raw_Data!J351="",DefaultSat,Raw_Data!J351)</f>
        <v>1</v>
      </c>
      <c r="K351" s="15" t="n">
        <f aca="false">Raw_Data!K351</f>
        <v>45000</v>
      </c>
      <c r="L351" s="13" t="str">
        <f aca="false">PROPER(TRIM(Raw_Data!N351))</f>
        <v>Yes</v>
      </c>
      <c r="M351" s="13" t="n">
        <f aca="false">IF(C351="",0,1)</f>
        <v>1</v>
      </c>
      <c r="N351" s="13" t="str">
        <f aca="false">IF(M351=0,"Active",IF(TRIM(Raw_Data!L351)="","Unknown",PROPER(TRIM(Raw_Data!L351))))</f>
        <v>Voluntary</v>
      </c>
      <c r="O351" s="13" t="str">
        <f aca="false">IF(M351=0,"",IF(TRIM(Raw_Data!M351)="","Not Recorded",TRIM(Raw_Data!M351)))</f>
        <v>Not Recorded</v>
      </c>
      <c r="P351" s="16" t="n">
        <f aca="false">ROUND((IF(C351="",AsOfDate,C351)-B351)/365.25,2)</f>
        <v>6.87</v>
      </c>
      <c r="Q351" s="13" t="str">
        <f aca="false">IF(D351="","Unknown",IF(D351&lt;25,"Under 25",IF(D351&lt;35,"25-34",IF(D351&lt;45,"35-44",IF(D351&lt;55,"45-54","55+")))))</f>
        <v>35-44</v>
      </c>
      <c r="R351" s="13" t="str">
        <f aca="false">IF(P351&lt;1,"0-1 yrs",IF(P351&lt;3,"1-3 yrs",IF(P351&lt;5,"3-5 yrs",IF(P351&lt;10,"5-10 yrs","10+ yrs"))))</f>
        <v>5-10 yrs</v>
      </c>
      <c r="S351" s="13" t="str">
        <f aca="false">IF(I351&gt;=4,"High",IF(I351=3,"Medium","Low"))</f>
        <v>Medium</v>
      </c>
      <c r="T351" s="13" t="n">
        <f aca="false">IF(M351=1,YEAR(C351),"")</f>
        <v>2022</v>
      </c>
      <c r="U351" s="13" t="str">
        <f aca="false">IF(M351=1,YEAR(C351)&amp;"-Q"&amp;ROUNDUP(MONTH(C351)/3,0),"")</f>
        <v>2022-Q2</v>
      </c>
      <c r="V351" s="13" t="n">
        <f aca="false">IF(M351=1,MONTH(C351),"")</f>
        <v>4</v>
      </c>
    </row>
    <row r="352" customFormat="false" ht="15" hidden="false" customHeight="false" outlineLevel="0" collapsed="false">
      <c r="A352" s="13" t="str">
        <f aca="false">TRIM(Raw_Data!A352)</f>
        <v>EMP0351</v>
      </c>
      <c r="B352" s="14" t="n">
        <f aca="false">Raw_Data!B352</f>
        <v>42160</v>
      </c>
      <c r="C352" s="14" t="str">
        <f aca="false">IF(Raw_Data!C352="","",Raw_Data!C352)</f>
        <v/>
      </c>
      <c r="D352" s="13" t="n">
        <f aca="false">IF(Raw_Data!D352="","",Raw_Data!D352)</f>
        <v>42</v>
      </c>
      <c r="E352" s="13" t="str">
        <f aca="false">IF(UPPER(LEFT(TRIM(Raw_Data!E352),1))="M","Male",IF(UPPER(LEFT(TRIM(Raw_Data!E352),1))="F","Female","Unknown"))</f>
        <v>Female</v>
      </c>
      <c r="F352" s="13" t="str">
        <f aca="false">PROPER(TRIM(SUBSTITUTE(Raw_Data!F352,"'","")))</f>
        <v>Bachelors</v>
      </c>
      <c r="G352" s="13" t="str">
        <f aca="false">PROPER(TRIM(Raw_Data!G352))</f>
        <v>Operations</v>
      </c>
      <c r="H352" s="13" t="str">
        <f aca="false">PROPER(TRIM(Raw_Data!H352))</f>
        <v>Associate</v>
      </c>
      <c r="I352" s="13" t="n">
        <f aca="false">IF(Raw_Data!I352="",DefaultPerf,Raw_Data!I352)</f>
        <v>4</v>
      </c>
      <c r="J352" s="13" t="n">
        <f aca="false">IF(Raw_Data!J352="",DefaultSat,Raw_Data!J352)</f>
        <v>4</v>
      </c>
      <c r="K352" s="15" t="n">
        <f aca="false">Raw_Data!K352</f>
        <v>43500</v>
      </c>
      <c r="L352" s="13" t="str">
        <f aca="false">PROPER(TRIM(Raw_Data!N352))</f>
        <v>No</v>
      </c>
      <c r="M352" s="13" t="n">
        <f aca="false">IF(C352="",0,1)</f>
        <v>0</v>
      </c>
      <c r="N352" s="13" t="str">
        <f aca="false">IF(M352=0,"Active",IF(TRIM(Raw_Data!L352)="","Unknown",PROPER(TRIM(Raw_Data!L352))))</f>
        <v>Active</v>
      </c>
      <c r="O352" s="13" t="str">
        <f aca="false">IF(M352=0,"",IF(TRIM(Raw_Data!M352)="","Not Recorded",TRIM(Raw_Data!M352)))</f>
        <v/>
      </c>
      <c r="P352" s="16" t="n">
        <f aca="false">ROUND((IF(C352="",AsOfDate,C352)-B352)/365.25,2)</f>
        <v>10.57</v>
      </c>
      <c r="Q352" s="13" t="str">
        <f aca="false">IF(D352="","Unknown",IF(D352&lt;25,"Under 25",IF(D352&lt;35,"25-34",IF(D352&lt;45,"35-44",IF(D352&lt;55,"45-54","55+")))))</f>
        <v>35-44</v>
      </c>
      <c r="R352" s="13" t="str">
        <f aca="false">IF(P352&lt;1,"0-1 yrs",IF(P352&lt;3,"1-3 yrs",IF(P352&lt;5,"3-5 yrs",IF(P352&lt;10,"5-10 yrs","10+ yrs"))))</f>
        <v>10+ yrs</v>
      </c>
      <c r="S352" s="13" t="str">
        <f aca="false">IF(I352&gt;=4,"High",IF(I352=3,"Medium","Low"))</f>
        <v>High</v>
      </c>
      <c r="T352" s="13" t="str">
        <f aca="false">IF(M352=1,YEAR(C352),"")</f>
        <v/>
      </c>
      <c r="U352" s="13" t="str">
        <f aca="false">IF(M352=1,YEAR(C352)&amp;"-Q"&amp;ROUNDUP(MONTH(C352)/3,0),"")</f>
        <v/>
      </c>
      <c r="V352" s="13" t="str">
        <f aca="false">IF(M352=1,MONTH(C352),"")</f>
        <v/>
      </c>
    </row>
    <row r="353" customFormat="false" ht="15" hidden="false" customHeight="false" outlineLevel="0" collapsed="false">
      <c r="A353" s="13" t="str">
        <f aca="false">TRIM(Raw_Data!A353)</f>
        <v>EMP0352</v>
      </c>
      <c r="B353" s="14" t="n">
        <f aca="false">Raw_Data!B353</f>
        <v>42162</v>
      </c>
      <c r="C353" s="14" t="str">
        <f aca="false">IF(Raw_Data!C353="","",Raw_Data!C353)</f>
        <v/>
      </c>
      <c r="D353" s="13" t="n">
        <f aca="false">IF(Raw_Data!D353="","",Raw_Data!D353)</f>
        <v>42</v>
      </c>
      <c r="E353" s="13" t="str">
        <f aca="false">IF(UPPER(LEFT(TRIM(Raw_Data!E353),1))="M","Male",IF(UPPER(LEFT(TRIM(Raw_Data!E353),1))="F","Female","Unknown"))</f>
        <v>Female</v>
      </c>
      <c r="F353" s="13" t="str">
        <f aca="false">PROPER(TRIM(SUBSTITUTE(Raw_Data!F353,"'","")))</f>
        <v>Masters</v>
      </c>
      <c r="G353" s="13" t="str">
        <f aca="false">PROPER(TRIM(Raw_Data!G353))</f>
        <v>Finance</v>
      </c>
      <c r="H353" s="13" t="str">
        <f aca="false">PROPER(TRIM(Raw_Data!H353))</f>
        <v>Associate</v>
      </c>
      <c r="I353" s="13" t="n">
        <f aca="false">IF(Raw_Data!I353="",DefaultPerf,Raw_Data!I353)</f>
        <v>4</v>
      </c>
      <c r="J353" s="13" t="n">
        <f aca="false">IF(Raw_Data!J353="",DefaultSat,Raw_Data!J353)</f>
        <v>3</v>
      </c>
      <c r="K353" s="15" t="n">
        <f aca="false">Raw_Data!K353</f>
        <v>40500</v>
      </c>
      <c r="L353" s="13" t="str">
        <f aca="false">PROPER(TRIM(Raw_Data!N353))</f>
        <v>Yes</v>
      </c>
      <c r="M353" s="13" t="n">
        <f aca="false">IF(C353="",0,1)</f>
        <v>0</v>
      </c>
      <c r="N353" s="13" t="str">
        <f aca="false">IF(M353=0,"Active",IF(TRIM(Raw_Data!L353)="","Unknown",PROPER(TRIM(Raw_Data!L353))))</f>
        <v>Active</v>
      </c>
      <c r="O353" s="13" t="str">
        <f aca="false">IF(M353=0,"",IF(TRIM(Raw_Data!M353)="","Not Recorded",TRIM(Raw_Data!M353)))</f>
        <v/>
      </c>
      <c r="P353" s="16" t="n">
        <f aca="false">ROUND((IF(C353="",AsOfDate,C353)-B353)/365.25,2)</f>
        <v>10.57</v>
      </c>
      <c r="Q353" s="13" t="str">
        <f aca="false">IF(D353="","Unknown",IF(D353&lt;25,"Under 25",IF(D353&lt;35,"25-34",IF(D353&lt;45,"35-44",IF(D353&lt;55,"45-54","55+")))))</f>
        <v>35-44</v>
      </c>
      <c r="R353" s="13" t="str">
        <f aca="false">IF(P353&lt;1,"0-1 yrs",IF(P353&lt;3,"1-3 yrs",IF(P353&lt;5,"3-5 yrs",IF(P353&lt;10,"5-10 yrs","10+ yrs"))))</f>
        <v>10+ yrs</v>
      </c>
      <c r="S353" s="13" t="str">
        <f aca="false">IF(I353&gt;=4,"High",IF(I353=3,"Medium","Low"))</f>
        <v>High</v>
      </c>
      <c r="T353" s="13" t="str">
        <f aca="false">IF(M353=1,YEAR(C353),"")</f>
        <v/>
      </c>
      <c r="U353" s="13" t="str">
        <f aca="false">IF(M353=1,YEAR(C353)&amp;"-Q"&amp;ROUNDUP(MONTH(C353)/3,0),"")</f>
        <v/>
      </c>
      <c r="V353" s="13" t="str">
        <f aca="false">IF(M353=1,MONTH(C353),"")</f>
        <v/>
      </c>
    </row>
    <row r="354" customFormat="false" ht="15" hidden="false" customHeight="false" outlineLevel="0" collapsed="false">
      <c r="A354" s="13" t="str">
        <f aca="false">TRIM(Raw_Data!A354)</f>
        <v>EMP0353</v>
      </c>
      <c r="B354" s="14" t="n">
        <f aca="false">Raw_Data!B354</f>
        <v>42163</v>
      </c>
      <c r="C354" s="14" t="n">
        <f aca="false">IF(Raw_Data!C354="","",Raw_Data!C354)</f>
        <v>44881</v>
      </c>
      <c r="D354" s="13" t="n">
        <f aca="false">IF(Raw_Data!D354="","",Raw_Data!D354)</f>
        <v>34</v>
      </c>
      <c r="E354" s="13" t="str">
        <f aca="false">IF(UPPER(LEFT(TRIM(Raw_Data!E354),1))="M","Male",IF(UPPER(LEFT(TRIM(Raw_Data!E354),1))="F","Female","Unknown"))</f>
        <v>Female</v>
      </c>
      <c r="F354" s="13" t="str">
        <f aca="false">PROPER(TRIM(SUBSTITUTE(Raw_Data!F354,"'","")))</f>
        <v>Masters</v>
      </c>
      <c r="G354" s="13" t="str">
        <f aca="false">PROPER(TRIM(Raw_Data!G354))</f>
        <v>Operations</v>
      </c>
      <c r="H354" s="13" t="str">
        <f aca="false">PROPER(TRIM(Raw_Data!H354))</f>
        <v>Analyst</v>
      </c>
      <c r="I354" s="13" t="n">
        <f aca="false">IF(Raw_Data!I354="",DefaultPerf,Raw_Data!I354)</f>
        <v>3</v>
      </c>
      <c r="J354" s="13" t="n">
        <f aca="false">IF(Raw_Data!J354="",DefaultSat,Raw_Data!J354)</f>
        <v>1</v>
      </c>
      <c r="K354" s="15" t="n">
        <f aca="false">Raw_Data!K354</f>
        <v>73500</v>
      </c>
      <c r="L354" s="13" t="str">
        <f aca="false">PROPER(TRIM(Raw_Data!N354))</f>
        <v>No</v>
      </c>
      <c r="M354" s="13" t="n">
        <f aca="false">IF(C354="",0,1)</f>
        <v>1</v>
      </c>
      <c r="N354" s="13" t="str">
        <f aca="false">IF(M354=0,"Active",IF(TRIM(Raw_Data!L354)="","Unknown",PROPER(TRIM(Raw_Data!L354))))</f>
        <v>Voluntary</v>
      </c>
      <c r="O354" s="13" t="str">
        <f aca="false">IF(M354=0,"",IF(TRIM(Raw_Data!M354)="","Not Recorded",TRIM(Raw_Data!M354)))</f>
        <v>Job Dissatisfaction</v>
      </c>
      <c r="P354" s="16" t="n">
        <f aca="false">ROUND((IF(C354="",AsOfDate,C354)-B354)/365.25,2)</f>
        <v>7.44</v>
      </c>
      <c r="Q354" s="13" t="str">
        <f aca="false">IF(D354="","Unknown",IF(D354&lt;25,"Under 25",IF(D354&lt;35,"25-34",IF(D354&lt;45,"35-44",IF(D354&lt;55,"45-54","55+")))))</f>
        <v>25-34</v>
      </c>
      <c r="R354" s="13" t="str">
        <f aca="false">IF(P354&lt;1,"0-1 yrs",IF(P354&lt;3,"1-3 yrs",IF(P354&lt;5,"3-5 yrs",IF(P354&lt;10,"5-10 yrs","10+ yrs"))))</f>
        <v>5-10 yrs</v>
      </c>
      <c r="S354" s="13" t="str">
        <f aca="false">IF(I354&gt;=4,"High",IF(I354=3,"Medium","Low"))</f>
        <v>Medium</v>
      </c>
      <c r="T354" s="13" t="n">
        <f aca="false">IF(M354=1,YEAR(C354),"")</f>
        <v>2022</v>
      </c>
      <c r="U354" s="13" t="str">
        <f aca="false">IF(M354=1,YEAR(C354)&amp;"-Q"&amp;ROUNDUP(MONTH(C354)/3,0),"")</f>
        <v>2022-Q4</v>
      </c>
      <c r="V354" s="13" t="n">
        <f aca="false">IF(M354=1,MONTH(C354),"")</f>
        <v>11</v>
      </c>
    </row>
    <row r="355" customFormat="false" ht="15" hidden="false" customHeight="false" outlineLevel="0" collapsed="false">
      <c r="A355" s="13" t="str">
        <f aca="false">TRIM(Raw_Data!A355)</f>
        <v>EMP0354</v>
      </c>
      <c r="B355" s="14" t="n">
        <f aca="false">Raw_Data!B355</f>
        <v>42164</v>
      </c>
      <c r="C355" s="14" t="str">
        <f aca="false">IF(Raw_Data!C355="","",Raw_Data!C355)</f>
        <v/>
      </c>
      <c r="D355" s="13" t="n">
        <f aca="false">IF(Raw_Data!D355="","",Raw_Data!D355)</f>
        <v>37</v>
      </c>
      <c r="E355" s="13" t="str">
        <f aca="false">IF(UPPER(LEFT(TRIM(Raw_Data!E355),1))="M","Male",IF(UPPER(LEFT(TRIM(Raw_Data!E355),1))="F","Female","Unknown"))</f>
        <v>Female</v>
      </c>
      <c r="F355" s="13" t="str">
        <f aca="false">PROPER(TRIM(SUBSTITUTE(Raw_Data!F355,"'","")))</f>
        <v>Diploma</v>
      </c>
      <c r="G355" s="13" t="str">
        <f aca="false">PROPER(TRIM(Raw_Data!G355))</f>
        <v>Operations</v>
      </c>
      <c r="H355" s="13" t="str">
        <f aca="false">PROPER(TRIM(Raw_Data!H355))</f>
        <v>Analyst</v>
      </c>
      <c r="I355" s="13" t="n">
        <f aca="false">IF(Raw_Data!I355="",DefaultPerf,Raw_Data!I355)</f>
        <v>3</v>
      </c>
      <c r="J355" s="13" t="n">
        <f aca="false">IF(Raw_Data!J355="",DefaultSat,Raw_Data!J355)</f>
        <v>4</v>
      </c>
      <c r="K355" s="15" t="n">
        <f aca="false">Raw_Data!K355</f>
        <v>74000</v>
      </c>
      <c r="L355" s="13" t="str">
        <f aca="false">PROPER(TRIM(Raw_Data!N355))</f>
        <v>Yes</v>
      </c>
      <c r="M355" s="13" t="n">
        <f aca="false">IF(C355="",0,1)</f>
        <v>0</v>
      </c>
      <c r="N355" s="13" t="str">
        <f aca="false">IF(M355=0,"Active",IF(TRIM(Raw_Data!L355)="","Unknown",PROPER(TRIM(Raw_Data!L355))))</f>
        <v>Active</v>
      </c>
      <c r="O355" s="13" t="str">
        <f aca="false">IF(M355=0,"",IF(TRIM(Raw_Data!M355)="","Not Recorded",TRIM(Raw_Data!M355)))</f>
        <v/>
      </c>
      <c r="P355" s="16" t="n">
        <f aca="false">ROUND((IF(C355="",AsOfDate,C355)-B355)/365.25,2)</f>
        <v>10.56</v>
      </c>
      <c r="Q355" s="13" t="str">
        <f aca="false">IF(D355="","Unknown",IF(D355&lt;25,"Under 25",IF(D355&lt;35,"25-34",IF(D355&lt;45,"35-44",IF(D355&lt;55,"45-54","55+")))))</f>
        <v>35-44</v>
      </c>
      <c r="R355" s="13" t="str">
        <f aca="false">IF(P355&lt;1,"0-1 yrs",IF(P355&lt;3,"1-3 yrs",IF(P355&lt;5,"3-5 yrs",IF(P355&lt;10,"5-10 yrs","10+ yrs"))))</f>
        <v>10+ yrs</v>
      </c>
      <c r="S355" s="13" t="str">
        <f aca="false">IF(I355&gt;=4,"High",IF(I355=3,"Medium","Low"))</f>
        <v>Medium</v>
      </c>
      <c r="T355" s="13" t="str">
        <f aca="false">IF(M355=1,YEAR(C355),"")</f>
        <v/>
      </c>
      <c r="U355" s="13" t="str">
        <f aca="false">IF(M355=1,YEAR(C355)&amp;"-Q"&amp;ROUNDUP(MONTH(C355)/3,0),"")</f>
        <v/>
      </c>
      <c r="V355" s="13" t="str">
        <f aca="false">IF(M355=1,MONTH(C355),"")</f>
        <v/>
      </c>
    </row>
    <row r="356" customFormat="false" ht="15" hidden="false" customHeight="false" outlineLevel="0" collapsed="false">
      <c r="A356" s="13" t="str">
        <f aca="false">TRIM(Raw_Data!A356)</f>
        <v>EMP0355</v>
      </c>
      <c r="B356" s="14" t="n">
        <f aca="false">Raw_Data!B356</f>
        <v>42170</v>
      </c>
      <c r="C356" s="14" t="str">
        <f aca="false">IF(Raw_Data!C356="","",Raw_Data!C356)</f>
        <v/>
      </c>
      <c r="D356" s="13" t="n">
        <f aca="false">IF(Raw_Data!D356="","",Raw_Data!D356)</f>
        <v>32</v>
      </c>
      <c r="E356" s="13" t="str">
        <f aca="false">IF(UPPER(LEFT(TRIM(Raw_Data!E356),1))="M","Male",IF(UPPER(LEFT(TRIM(Raw_Data!E356),1))="F","Female","Unknown"))</f>
        <v>Female</v>
      </c>
      <c r="F356" s="13" t="str">
        <f aca="false">PROPER(TRIM(SUBSTITUTE(Raw_Data!F356,"'","")))</f>
        <v>Masters</v>
      </c>
      <c r="G356" s="13" t="str">
        <f aca="false">PROPER(TRIM(Raw_Data!G356))</f>
        <v>Customer Support</v>
      </c>
      <c r="H356" s="13" t="str">
        <f aca="false">PROPER(TRIM(Raw_Data!H356))</f>
        <v>Associate</v>
      </c>
      <c r="I356" s="13" t="n">
        <f aca="false">IF(Raw_Data!I356="",DefaultPerf,Raw_Data!I356)</f>
        <v>3</v>
      </c>
      <c r="J356" s="13" t="n">
        <f aca="false">IF(Raw_Data!J356="",DefaultSat,Raw_Data!J356)</f>
        <v>4</v>
      </c>
      <c r="K356" s="15" t="n">
        <f aca="false">Raw_Data!K356</f>
        <v>53000</v>
      </c>
      <c r="L356" s="13" t="str">
        <f aca="false">PROPER(TRIM(Raw_Data!N356))</f>
        <v>No</v>
      </c>
      <c r="M356" s="13" t="n">
        <f aca="false">IF(C356="",0,1)</f>
        <v>0</v>
      </c>
      <c r="N356" s="13" t="str">
        <f aca="false">IF(M356=0,"Active",IF(TRIM(Raw_Data!L356)="","Unknown",PROPER(TRIM(Raw_Data!L356))))</f>
        <v>Active</v>
      </c>
      <c r="O356" s="13" t="str">
        <f aca="false">IF(M356=0,"",IF(TRIM(Raw_Data!M356)="","Not Recorded",TRIM(Raw_Data!M356)))</f>
        <v/>
      </c>
      <c r="P356" s="16" t="n">
        <f aca="false">ROUND((IF(C356="",AsOfDate,C356)-B356)/365.25,2)</f>
        <v>10.55</v>
      </c>
      <c r="Q356" s="13" t="str">
        <f aca="false">IF(D356="","Unknown",IF(D356&lt;25,"Under 25",IF(D356&lt;35,"25-34",IF(D356&lt;45,"35-44",IF(D356&lt;55,"45-54","55+")))))</f>
        <v>25-34</v>
      </c>
      <c r="R356" s="13" t="str">
        <f aca="false">IF(P356&lt;1,"0-1 yrs",IF(P356&lt;3,"1-3 yrs",IF(P356&lt;5,"3-5 yrs",IF(P356&lt;10,"5-10 yrs","10+ yrs"))))</f>
        <v>10+ yrs</v>
      </c>
      <c r="S356" s="13" t="str">
        <f aca="false">IF(I356&gt;=4,"High",IF(I356=3,"Medium","Low"))</f>
        <v>Medium</v>
      </c>
      <c r="T356" s="13" t="str">
        <f aca="false">IF(M356=1,YEAR(C356),"")</f>
        <v/>
      </c>
      <c r="U356" s="13" t="str">
        <f aca="false">IF(M356=1,YEAR(C356)&amp;"-Q"&amp;ROUNDUP(MONTH(C356)/3,0),"")</f>
        <v/>
      </c>
      <c r="V356" s="13" t="str">
        <f aca="false">IF(M356=1,MONTH(C356),"")</f>
        <v/>
      </c>
    </row>
    <row r="357" customFormat="false" ht="15" hidden="false" customHeight="false" outlineLevel="0" collapsed="false">
      <c r="A357" s="13" t="str">
        <f aca="false">TRIM(Raw_Data!A357)</f>
        <v>EMP0356</v>
      </c>
      <c r="B357" s="14" t="n">
        <f aca="false">Raw_Data!B357</f>
        <v>42174</v>
      </c>
      <c r="C357" s="14" t="n">
        <f aca="false">IF(Raw_Data!C357="","",Raw_Data!C357)</f>
        <v>45654</v>
      </c>
      <c r="D357" s="13" t="n">
        <f aca="false">IF(Raw_Data!D357="","",Raw_Data!D357)</f>
        <v>39</v>
      </c>
      <c r="E357" s="13" t="str">
        <f aca="false">IF(UPPER(LEFT(TRIM(Raw_Data!E357),1))="M","Male",IF(UPPER(LEFT(TRIM(Raw_Data!E357),1))="F","Female","Unknown"))</f>
        <v>Male</v>
      </c>
      <c r="F357" s="13" t="str">
        <f aca="false">PROPER(TRIM(SUBSTITUTE(Raw_Data!F357,"'","")))</f>
        <v>Masters</v>
      </c>
      <c r="G357" s="13" t="str">
        <f aca="false">PROPER(TRIM(Raw_Data!G357))</f>
        <v>Customer Support</v>
      </c>
      <c r="H357" s="13" t="str">
        <f aca="false">PROPER(TRIM(Raw_Data!H357))</f>
        <v>Associate</v>
      </c>
      <c r="I357" s="13" t="n">
        <f aca="false">IF(Raw_Data!I357="",DefaultPerf,Raw_Data!I357)</f>
        <v>5</v>
      </c>
      <c r="J357" s="13" t="n">
        <f aca="false">IF(Raw_Data!J357="",DefaultSat,Raw_Data!J357)</f>
        <v>4</v>
      </c>
      <c r="K357" s="15" t="n">
        <f aca="false">Raw_Data!K357</f>
        <v>43500</v>
      </c>
      <c r="L357" s="13" t="str">
        <f aca="false">PROPER(TRIM(Raw_Data!N357))</f>
        <v>No</v>
      </c>
      <c r="M357" s="13" t="n">
        <f aca="false">IF(C357="",0,1)</f>
        <v>1</v>
      </c>
      <c r="N357" s="13" t="str">
        <f aca="false">IF(M357=0,"Active",IF(TRIM(Raw_Data!L357)="","Unknown",PROPER(TRIM(Raw_Data!L357))))</f>
        <v>Involuntary</v>
      </c>
      <c r="O357" s="13" t="str">
        <f aca="false">IF(M357=0,"",IF(TRIM(Raw_Data!M357)="","Not Recorded",TRIM(Raw_Data!M357)))</f>
        <v>Poor Performance</v>
      </c>
      <c r="P357" s="16" t="n">
        <f aca="false">ROUND((IF(C357="",AsOfDate,C357)-B357)/365.25,2)</f>
        <v>9.53</v>
      </c>
      <c r="Q357" s="13" t="str">
        <f aca="false">IF(D357="","Unknown",IF(D357&lt;25,"Under 25",IF(D357&lt;35,"25-34",IF(D357&lt;45,"35-44",IF(D357&lt;55,"45-54","55+")))))</f>
        <v>35-44</v>
      </c>
      <c r="R357" s="13" t="str">
        <f aca="false">IF(P357&lt;1,"0-1 yrs",IF(P357&lt;3,"1-3 yrs",IF(P357&lt;5,"3-5 yrs",IF(P357&lt;10,"5-10 yrs","10+ yrs"))))</f>
        <v>5-10 yrs</v>
      </c>
      <c r="S357" s="13" t="str">
        <f aca="false">IF(I357&gt;=4,"High",IF(I357=3,"Medium","Low"))</f>
        <v>High</v>
      </c>
      <c r="T357" s="13" t="n">
        <f aca="false">IF(M357=1,YEAR(C357),"")</f>
        <v>2024</v>
      </c>
      <c r="U357" s="13" t="str">
        <f aca="false">IF(M357=1,YEAR(C357)&amp;"-Q"&amp;ROUNDUP(MONTH(C357)/3,0),"")</f>
        <v>2024-Q4</v>
      </c>
      <c r="V357" s="13" t="n">
        <f aca="false">IF(M357=1,MONTH(C357),"")</f>
        <v>12</v>
      </c>
    </row>
    <row r="358" customFormat="false" ht="15" hidden="false" customHeight="false" outlineLevel="0" collapsed="false">
      <c r="A358" s="13" t="str">
        <f aca="false">TRIM(Raw_Data!A358)</f>
        <v>EMP0357</v>
      </c>
      <c r="B358" s="14" t="n">
        <f aca="false">Raw_Data!B358</f>
        <v>42190</v>
      </c>
      <c r="C358" s="14" t="str">
        <f aca="false">IF(Raw_Data!C358="","",Raw_Data!C358)</f>
        <v/>
      </c>
      <c r="D358" s="13" t="n">
        <f aca="false">IF(Raw_Data!D358="","",Raw_Data!D358)</f>
        <v>36</v>
      </c>
      <c r="E358" s="13" t="str">
        <f aca="false">IF(UPPER(LEFT(TRIM(Raw_Data!E358),1))="M","Male",IF(UPPER(LEFT(TRIM(Raw_Data!E358),1))="F","Female","Unknown"))</f>
        <v>Female</v>
      </c>
      <c r="F358" s="13" t="str">
        <f aca="false">PROPER(TRIM(SUBSTITUTE(Raw_Data!F358,"'","")))</f>
        <v>Masters</v>
      </c>
      <c r="G358" s="13" t="str">
        <f aca="false">PROPER(TRIM(Raw_Data!G358))</f>
        <v>Engineering</v>
      </c>
      <c r="H358" s="13" t="str">
        <f aca="false">PROPER(TRIM(Raw_Data!H358))</f>
        <v>Analyst</v>
      </c>
      <c r="I358" s="13" t="n">
        <f aca="false">IF(Raw_Data!I358="",DefaultPerf,Raw_Data!I358)</f>
        <v>4</v>
      </c>
      <c r="J358" s="13" t="n">
        <f aca="false">IF(Raw_Data!J358="",DefaultSat,Raw_Data!J358)</f>
        <v>4</v>
      </c>
      <c r="K358" s="15" t="n">
        <f aca="false">Raw_Data!K358</f>
        <v>77000</v>
      </c>
      <c r="L358" s="13" t="str">
        <f aca="false">PROPER(TRIM(Raw_Data!N358))</f>
        <v>No</v>
      </c>
      <c r="M358" s="13" t="n">
        <f aca="false">IF(C358="",0,1)</f>
        <v>0</v>
      </c>
      <c r="N358" s="13" t="str">
        <f aca="false">IF(M358=0,"Active",IF(TRIM(Raw_Data!L358)="","Unknown",PROPER(TRIM(Raw_Data!L358))))</f>
        <v>Active</v>
      </c>
      <c r="O358" s="13" t="str">
        <f aca="false">IF(M358=0,"",IF(TRIM(Raw_Data!M358)="","Not Recorded",TRIM(Raw_Data!M358)))</f>
        <v/>
      </c>
      <c r="P358" s="16" t="n">
        <f aca="false">ROUND((IF(C358="",AsOfDate,C358)-B358)/365.25,2)</f>
        <v>10.49</v>
      </c>
      <c r="Q358" s="13" t="str">
        <f aca="false">IF(D358="","Unknown",IF(D358&lt;25,"Under 25",IF(D358&lt;35,"25-34",IF(D358&lt;45,"35-44",IF(D358&lt;55,"45-54","55+")))))</f>
        <v>35-44</v>
      </c>
      <c r="R358" s="13" t="str">
        <f aca="false">IF(P358&lt;1,"0-1 yrs",IF(P358&lt;3,"1-3 yrs",IF(P358&lt;5,"3-5 yrs",IF(P358&lt;10,"5-10 yrs","10+ yrs"))))</f>
        <v>10+ yrs</v>
      </c>
      <c r="S358" s="13" t="str">
        <f aca="false">IF(I358&gt;=4,"High",IF(I358=3,"Medium","Low"))</f>
        <v>High</v>
      </c>
      <c r="T358" s="13" t="str">
        <f aca="false">IF(M358=1,YEAR(C358),"")</f>
        <v/>
      </c>
      <c r="U358" s="13" t="str">
        <f aca="false">IF(M358=1,YEAR(C358)&amp;"-Q"&amp;ROUNDUP(MONTH(C358)/3,0),"")</f>
        <v/>
      </c>
      <c r="V358" s="13" t="str">
        <f aca="false">IF(M358=1,MONTH(C358),"")</f>
        <v/>
      </c>
    </row>
    <row r="359" customFormat="false" ht="15" hidden="false" customHeight="false" outlineLevel="0" collapsed="false">
      <c r="A359" s="13" t="str">
        <f aca="false">TRIM(Raw_Data!A359)</f>
        <v>EMP0358</v>
      </c>
      <c r="B359" s="14" t="n">
        <f aca="false">Raw_Data!B359</f>
        <v>42200</v>
      </c>
      <c r="C359" s="14" t="n">
        <f aca="false">IF(Raw_Data!C359="","",Raw_Data!C359)</f>
        <v>44916</v>
      </c>
      <c r="D359" s="13" t="n">
        <f aca="false">IF(Raw_Data!D359="","",Raw_Data!D359)</f>
        <v>37</v>
      </c>
      <c r="E359" s="13" t="str">
        <f aca="false">IF(UPPER(LEFT(TRIM(Raw_Data!E359),1))="M","Male",IF(UPPER(LEFT(TRIM(Raw_Data!E359),1))="F","Female","Unknown"))</f>
        <v>Female</v>
      </c>
      <c r="F359" s="13" t="str">
        <f aca="false">PROPER(TRIM(SUBSTITUTE(Raw_Data!F359,"'","")))</f>
        <v>Bachelors</v>
      </c>
      <c r="G359" s="13" t="str">
        <f aca="false">PROPER(TRIM(Raw_Data!G359))</f>
        <v>Engineering</v>
      </c>
      <c r="H359" s="13" t="str">
        <f aca="false">PROPER(TRIM(Raw_Data!H359))</f>
        <v>Associate</v>
      </c>
      <c r="I359" s="13" t="n">
        <f aca="false">IF(Raw_Data!I359="",DefaultPerf,Raw_Data!I359)</f>
        <v>2</v>
      </c>
      <c r="J359" s="13" t="n">
        <f aca="false">IF(Raw_Data!J359="",DefaultSat,Raw_Data!J359)</f>
        <v>1</v>
      </c>
      <c r="K359" s="15" t="n">
        <f aca="false">Raw_Data!K359</f>
        <v>42500</v>
      </c>
      <c r="L359" s="13" t="str">
        <f aca="false">PROPER(TRIM(Raw_Data!N359))</f>
        <v>Yes</v>
      </c>
      <c r="M359" s="13" t="n">
        <f aca="false">IF(C359="",0,1)</f>
        <v>1</v>
      </c>
      <c r="N359" s="13" t="str">
        <f aca="false">IF(M359=0,"Active",IF(TRIM(Raw_Data!L359)="","Unknown",PROPER(TRIM(Raw_Data!L359))))</f>
        <v>Voluntary</v>
      </c>
      <c r="O359" s="13" t="str">
        <f aca="false">IF(M359=0,"",IF(TRIM(Raw_Data!M359)="","Not Recorded",TRIM(Raw_Data!M359)))</f>
        <v>Manager Issues</v>
      </c>
      <c r="P359" s="16" t="n">
        <f aca="false">ROUND((IF(C359="",AsOfDate,C359)-B359)/365.25,2)</f>
        <v>7.44</v>
      </c>
      <c r="Q359" s="13" t="str">
        <f aca="false">IF(D359="","Unknown",IF(D359&lt;25,"Under 25",IF(D359&lt;35,"25-34",IF(D359&lt;45,"35-44",IF(D359&lt;55,"45-54","55+")))))</f>
        <v>35-44</v>
      </c>
      <c r="R359" s="13" t="str">
        <f aca="false">IF(P359&lt;1,"0-1 yrs",IF(P359&lt;3,"1-3 yrs",IF(P359&lt;5,"3-5 yrs",IF(P359&lt;10,"5-10 yrs","10+ yrs"))))</f>
        <v>5-10 yrs</v>
      </c>
      <c r="S359" s="13" t="str">
        <f aca="false">IF(I359&gt;=4,"High",IF(I359=3,"Medium","Low"))</f>
        <v>Low</v>
      </c>
      <c r="T359" s="13" t="n">
        <f aca="false">IF(M359=1,YEAR(C359),"")</f>
        <v>2022</v>
      </c>
      <c r="U359" s="13" t="str">
        <f aca="false">IF(M359=1,YEAR(C359)&amp;"-Q"&amp;ROUNDUP(MONTH(C359)/3,0),"")</f>
        <v>2022-Q4</v>
      </c>
      <c r="V359" s="13" t="n">
        <f aca="false">IF(M359=1,MONTH(C359),"")</f>
        <v>12</v>
      </c>
    </row>
    <row r="360" customFormat="false" ht="15" hidden="false" customHeight="false" outlineLevel="0" collapsed="false">
      <c r="A360" s="13" t="str">
        <f aca="false">TRIM(Raw_Data!A360)</f>
        <v>EMP0359</v>
      </c>
      <c r="B360" s="14" t="n">
        <f aca="false">Raw_Data!B360</f>
        <v>42203</v>
      </c>
      <c r="C360" s="14" t="str">
        <f aca="false">IF(Raw_Data!C360="","",Raw_Data!C360)</f>
        <v/>
      </c>
      <c r="D360" s="13" t="n">
        <f aca="false">IF(Raw_Data!D360="","",Raw_Data!D360)</f>
        <v>40</v>
      </c>
      <c r="E360" s="13" t="str">
        <f aca="false">IF(UPPER(LEFT(TRIM(Raw_Data!E360),1))="M","Male",IF(UPPER(LEFT(TRIM(Raw_Data!E360),1))="F","Female","Unknown"))</f>
        <v>Female</v>
      </c>
      <c r="F360" s="13" t="str">
        <f aca="false">PROPER(TRIM(SUBSTITUTE(Raw_Data!F360,"'","")))</f>
        <v>Bachelors</v>
      </c>
      <c r="G360" s="13" t="str">
        <f aca="false">PROPER(TRIM(Raw_Data!G360))</f>
        <v>Sales</v>
      </c>
      <c r="H360" s="13" t="str">
        <f aca="false">PROPER(TRIM(Raw_Data!H360))</f>
        <v>Team Lead</v>
      </c>
      <c r="I360" s="13" t="n">
        <f aca="false">IF(Raw_Data!I360="",DefaultPerf,Raw_Data!I360)</f>
        <v>3</v>
      </c>
      <c r="J360" s="13" t="n">
        <f aca="false">IF(Raw_Data!J360="",DefaultSat,Raw_Data!J360)</f>
        <v>2</v>
      </c>
      <c r="K360" s="15" t="n">
        <f aca="false">Raw_Data!K360</f>
        <v>156500</v>
      </c>
      <c r="L360" s="13" t="str">
        <f aca="false">PROPER(TRIM(Raw_Data!N360))</f>
        <v>Yes</v>
      </c>
      <c r="M360" s="13" t="n">
        <f aca="false">IF(C360="",0,1)</f>
        <v>0</v>
      </c>
      <c r="N360" s="13" t="str">
        <f aca="false">IF(M360=0,"Active",IF(TRIM(Raw_Data!L360)="","Unknown",PROPER(TRIM(Raw_Data!L360))))</f>
        <v>Active</v>
      </c>
      <c r="O360" s="13" t="str">
        <f aca="false">IF(M360=0,"",IF(TRIM(Raw_Data!M360)="","Not Recorded",TRIM(Raw_Data!M360)))</f>
        <v/>
      </c>
      <c r="P360" s="16" t="n">
        <f aca="false">ROUND((IF(C360="",AsOfDate,C360)-B360)/365.25,2)</f>
        <v>10.46</v>
      </c>
      <c r="Q360" s="13" t="str">
        <f aca="false">IF(D360="","Unknown",IF(D360&lt;25,"Under 25",IF(D360&lt;35,"25-34",IF(D360&lt;45,"35-44",IF(D360&lt;55,"45-54","55+")))))</f>
        <v>35-44</v>
      </c>
      <c r="R360" s="13" t="str">
        <f aca="false">IF(P360&lt;1,"0-1 yrs",IF(P360&lt;3,"1-3 yrs",IF(P360&lt;5,"3-5 yrs",IF(P360&lt;10,"5-10 yrs","10+ yrs"))))</f>
        <v>10+ yrs</v>
      </c>
      <c r="S360" s="13" t="str">
        <f aca="false">IF(I360&gt;=4,"High",IF(I360=3,"Medium","Low"))</f>
        <v>Medium</v>
      </c>
      <c r="T360" s="13" t="str">
        <f aca="false">IF(M360=1,YEAR(C360),"")</f>
        <v/>
      </c>
      <c r="U360" s="13" t="str">
        <f aca="false">IF(M360=1,YEAR(C360)&amp;"-Q"&amp;ROUNDUP(MONTH(C360)/3,0),"")</f>
        <v/>
      </c>
      <c r="V360" s="13" t="str">
        <f aca="false">IF(M360=1,MONTH(C360),"")</f>
        <v/>
      </c>
    </row>
    <row r="361" customFormat="false" ht="15" hidden="false" customHeight="false" outlineLevel="0" collapsed="false">
      <c r="A361" s="13" t="str">
        <f aca="false">TRIM(Raw_Data!A361)</f>
        <v>EMP0360</v>
      </c>
      <c r="B361" s="14" t="n">
        <f aca="false">Raw_Data!B361</f>
        <v>42203</v>
      </c>
      <c r="C361" s="14" t="n">
        <f aca="false">IF(Raw_Data!C361="","",Raw_Data!C361)</f>
        <v>45190</v>
      </c>
      <c r="D361" s="13" t="n">
        <f aca="false">IF(Raw_Data!D361="","",Raw_Data!D361)</f>
        <v>38</v>
      </c>
      <c r="E361" s="13" t="str">
        <f aca="false">IF(UPPER(LEFT(TRIM(Raw_Data!E361),1))="M","Male",IF(UPPER(LEFT(TRIM(Raw_Data!E361),1))="F","Female","Unknown"))</f>
        <v>Male</v>
      </c>
      <c r="F361" s="13" t="str">
        <f aca="false">PROPER(TRIM(SUBSTITUTE(Raw_Data!F361,"'","")))</f>
        <v>High School</v>
      </c>
      <c r="G361" s="13" t="str">
        <f aca="false">PROPER(TRIM(Raw_Data!G361))</f>
        <v>Engineering</v>
      </c>
      <c r="H361" s="13" t="str">
        <f aca="false">PROPER(TRIM(Raw_Data!H361))</f>
        <v>Senior Analyst</v>
      </c>
      <c r="I361" s="13" t="n">
        <f aca="false">IF(Raw_Data!I361="",DefaultPerf,Raw_Data!I361)</f>
        <v>2</v>
      </c>
      <c r="J361" s="13" t="n">
        <f aca="false">IF(Raw_Data!J361="",DefaultSat,Raw_Data!J361)</f>
        <v>4</v>
      </c>
      <c r="K361" s="15" t="n">
        <f aca="false">Raw_Data!K361</f>
        <v>93000</v>
      </c>
      <c r="L361" s="13" t="str">
        <f aca="false">PROPER(TRIM(Raw_Data!N361))</f>
        <v>No</v>
      </c>
      <c r="M361" s="13" t="n">
        <f aca="false">IF(C361="",0,1)</f>
        <v>1</v>
      </c>
      <c r="N361" s="13" t="str">
        <f aca="false">IF(M361=0,"Active",IF(TRIM(Raw_Data!L361)="","Unknown",PROPER(TRIM(Raw_Data!L361))))</f>
        <v>Voluntary</v>
      </c>
      <c r="O361" s="13" t="str">
        <f aca="false">IF(M361=0,"",IF(TRIM(Raw_Data!M361)="","Not Recorded",TRIM(Raw_Data!M361)))</f>
        <v>Better Compensation</v>
      </c>
      <c r="P361" s="16" t="n">
        <f aca="false">ROUND((IF(C361="",AsOfDate,C361)-B361)/365.25,2)</f>
        <v>8.18</v>
      </c>
      <c r="Q361" s="13" t="str">
        <f aca="false">IF(D361="","Unknown",IF(D361&lt;25,"Under 25",IF(D361&lt;35,"25-34",IF(D361&lt;45,"35-44",IF(D361&lt;55,"45-54","55+")))))</f>
        <v>35-44</v>
      </c>
      <c r="R361" s="13" t="str">
        <f aca="false">IF(P361&lt;1,"0-1 yrs",IF(P361&lt;3,"1-3 yrs",IF(P361&lt;5,"3-5 yrs",IF(P361&lt;10,"5-10 yrs","10+ yrs"))))</f>
        <v>5-10 yrs</v>
      </c>
      <c r="S361" s="13" t="str">
        <f aca="false">IF(I361&gt;=4,"High",IF(I361=3,"Medium","Low"))</f>
        <v>Low</v>
      </c>
      <c r="T361" s="13" t="n">
        <f aca="false">IF(M361=1,YEAR(C361),"")</f>
        <v>2023</v>
      </c>
      <c r="U361" s="13" t="str">
        <f aca="false">IF(M361=1,YEAR(C361)&amp;"-Q"&amp;ROUNDUP(MONTH(C361)/3,0),"")</f>
        <v>2023-Q3</v>
      </c>
      <c r="V361" s="13" t="n">
        <f aca="false">IF(M361=1,MONTH(C361),"")</f>
        <v>9</v>
      </c>
    </row>
    <row r="362" customFormat="false" ht="15" hidden="false" customHeight="false" outlineLevel="0" collapsed="false">
      <c r="A362" s="13" t="str">
        <f aca="false">TRIM(Raw_Data!A362)</f>
        <v>EMP0361</v>
      </c>
      <c r="B362" s="14" t="n">
        <f aca="false">Raw_Data!B362</f>
        <v>42205</v>
      </c>
      <c r="C362" s="14" t="str">
        <f aca="false">IF(Raw_Data!C362="","",Raw_Data!C362)</f>
        <v/>
      </c>
      <c r="D362" s="13" t="n">
        <f aca="false">IF(Raw_Data!D362="","",Raw_Data!D362)</f>
        <v>34</v>
      </c>
      <c r="E362" s="13" t="str">
        <f aca="false">IF(UPPER(LEFT(TRIM(Raw_Data!E362),1))="M","Male",IF(UPPER(LEFT(TRIM(Raw_Data!E362),1))="F","Female","Unknown"))</f>
        <v>Female</v>
      </c>
      <c r="F362" s="13" t="str">
        <f aca="false">PROPER(TRIM(SUBSTITUTE(Raw_Data!F362,"'","")))</f>
        <v>Bachelors</v>
      </c>
      <c r="G362" s="13" t="str">
        <f aca="false">PROPER(TRIM(Raw_Data!G362))</f>
        <v>Operations</v>
      </c>
      <c r="H362" s="13" t="str">
        <f aca="false">PROPER(TRIM(Raw_Data!H362))</f>
        <v>Analyst</v>
      </c>
      <c r="I362" s="13" t="n">
        <f aca="false">IF(Raw_Data!I362="",DefaultPerf,Raw_Data!I362)</f>
        <v>4</v>
      </c>
      <c r="J362" s="13" t="n">
        <f aca="false">IF(Raw_Data!J362="",DefaultSat,Raw_Data!J362)</f>
        <v>3</v>
      </c>
      <c r="K362" s="15" t="n">
        <f aca="false">Raw_Data!K362</f>
        <v>60500</v>
      </c>
      <c r="L362" s="13" t="str">
        <f aca="false">PROPER(TRIM(Raw_Data!N362))</f>
        <v>No</v>
      </c>
      <c r="M362" s="13" t="n">
        <f aca="false">IF(C362="",0,1)</f>
        <v>0</v>
      </c>
      <c r="N362" s="13" t="str">
        <f aca="false">IF(M362=0,"Active",IF(TRIM(Raw_Data!L362)="","Unknown",PROPER(TRIM(Raw_Data!L362))))</f>
        <v>Active</v>
      </c>
      <c r="O362" s="13" t="str">
        <f aca="false">IF(M362=0,"",IF(TRIM(Raw_Data!M362)="","Not Recorded",TRIM(Raw_Data!M362)))</f>
        <v/>
      </c>
      <c r="P362" s="16" t="n">
        <f aca="false">ROUND((IF(C362="",AsOfDate,C362)-B362)/365.25,2)</f>
        <v>10.45</v>
      </c>
      <c r="Q362" s="13" t="str">
        <f aca="false">IF(D362="","Unknown",IF(D362&lt;25,"Under 25",IF(D362&lt;35,"25-34",IF(D362&lt;45,"35-44",IF(D362&lt;55,"45-54","55+")))))</f>
        <v>25-34</v>
      </c>
      <c r="R362" s="13" t="str">
        <f aca="false">IF(P362&lt;1,"0-1 yrs",IF(P362&lt;3,"1-3 yrs",IF(P362&lt;5,"3-5 yrs",IF(P362&lt;10,"5-10 yrs","10+ yrs"))))</f>
        <v>10+ yrs</v>
      </c>
      <c r="S362" s="13" t="str">
        <f aca="false">IF(I362&gt;=4,"High",IF(I362=3,"Medium","Low"))</f>
        <v>High</v>
      </c>
      <c r="T362" s="13" t="str">
        <f aca="false">IF(M362=1,YEAR(C362),"")</f>
        <v/>
      </c>
      <c r="U362" s="13" t="str">
        <f aca="false">IF(M362=1,YEAR(C362)&amp;"-Q"&amp;ROUNDUP(MONTH(C362)/3,0),"")</f>
        <v/>
      </c>
      <c r="V362" s="13" t="str">
        <f aca="false">IF(M362=1,MONTH(C362),"")</f>
        <v/>
      </c>
    </row>
    <row r="363" customFormat="false" ht="15" hidden="false" customHeight="false" outlineLevel="0" collapsed="false">
      <c r="A363" s="13" t="str">
        <f aca="false">TRIM(Raw_Data!A363)</f>
        <v>EMP0362</v>
      </c>
      <c r="B363" s="14" t="n">
        <f aca="false">Raw_Data!B363</f>
        <v>42205</v>
      </c>
      <c r="C363" s="14" t="str">
        <f aca="false">IF(Raw_Data!C363="","",Raw_Data!C363)</f>
        <v/>
      </c>
      <c r="D363" s="13" t="n">
        <f aca="false">IF(Raw_Data!D363="","",Raw_Data!D363)</f>
        <v>43</v>
      </c>
      <c r="E363" s="13" t="str">
        <f aca="false">IF(UPPER(LEFT(TRIM(Raw_Data!E363),1))="M","Male",IF(UPPER(LEFT(TRIM(Raw_Data!E363),1))="F","Female","Unknown"))</f>
        <v>Female</v>
      </c>
      <c r="F363" s="13" t="str">
        <f aca="false">PROPER(TRIM(SUBSTITUTE(Raw_Data!F363,"'","")))</f>
        <v>High School</v>
      </c>
      <c r="G363" s="13" t="str">
        <f aca="false">PROPER(TRIM(Raw_Data!G363))</f>
        <v>Engineering</v>
      </c>
      <c r="H363" s="13" t="str">
        <f aca="false">PROPER(TRIM(Raw_Data!H363))</f>
        <v>Analyst</v>
      </c>
      <c r="I363" s="13" t="n">
        <f aca="false">IF(Raw_Data!I363="",DefaultPerf,Raw_Data!I363)</f>
        <v>5</v>
      </c>
      <c r="J363" s="13" t="n">
        <f aca="false">IF(Raw_Data!J363="",DefaultSat,Raw_Data!J363)</f>
        <v>4</v>
      </c>
      <c r="K363" s="15" t="n">
        <f aca="false">Raw_Data!K363</f>
        <v>80000</v>
      </c>
      <c r="L363" s="13" t="str">
        <f aca="false">PROPER(TRIM(Raw_Data!N363))</f>
        <v>Yes</v>
      </c>
      <c r="M363" s="13" t="n">
        <f aca="false">IF(C363="",0,1)</f>
        <v>0</v>
      </c>
      <c r="N363" s="13" t="str">
        <f aca="false">IF(M363=0,"Active",IF(TRIM(Raw_Data!L363)="","Unknown",PROPER(TRIM(Raw_Data!L363))))</f>
        <v>Active</v>
      </c>
      <c r="O363" s="13" t="str">
        <f aca="false">IF(M363=0,"",IF(TRIM(Raw_Data!M363)="","Not Recorded",TRIM(Raw_Data!M363)))</f>
        <v/>
      </c>
      <c r="P363" s="16" t="n">
        <f aca="false">ROUND((IF(C363="",AsOfDate,C363)-B363)/365.25,2)</f>
        <v>10.45</v>
      </c>
      <c r="Q363" s="13" t="str">
        <f aca="false">IF(D363="","Unknown",IF(D363&lt;25,"Under 25",IF(D363&lt;35,"25-34",IF(D363&lt;45,"35-44",IF(D363&lt;55,"45-54","55+")))))</f>
        <v>35-44</v>
      </c>
      <c r="R363" s="13" t="str">
        <f aca="false">IF(P363&lt;1,"0-1 yrs",IF(P363&lt;3,"1-3 yrs",IF(P363&lt;5,"3-5 yrs",IF(P363&lt;10,"5-10 yrs","10+ yrs"))))</f>
        <v>10+ yrs</v>
      </c>
      <c r="S363" s="13" t="str">
        <f aca="false">IF(I363&gt;=4,"High",IF(I363=3,"Medium","Low"))</f>
        <v>High</v>
      </c>
      <c r="T363" s="13" t="str">
        <f aca="false">IF(M363=1,YEAR(C363),"")</f>
        <v/>
      </c>
      <c r="U363" s="13" t="str">
        <f aca="false">IF(M363=1,YEAR(C363)&amp;"-Q"&amp;ROUNDUP(MONTH(C363)/3,0),"")</f>
        <v/>
      </c>
      <c r="V363" s="13" t="str">
        <f aca="false">IF(M363=1,MONTH(C363),"")</f>
        <v/>
      </c>
    </row>
    <row r="364" customFormat="false" ht="15" hidden="false" customHeight="false" outlineLevel="0" collapsed="false">
      <c r="A364" s="13" t="str">
        <f aca="false">TRIM(Raw_Data!A364)</f>
        <v>EMP0363</v>
      </c>
      <c r="B364" s="14" t="n">
        <f aca="false">Raw_Data!B364</f>
        <v>42210</v>
      </c>
      <c r="C364" s="14" t="str">
        <f aca="false">IF(Raw_Data!C364="","",Raw_Data!C364)</f>
        <v/>
      </c>
      <c r="D364" s="13" t="n">
        <f aca="false">IF(Raw_Data!D364="","",Raw_Data!D364)</f>
        <v>42</v>
      </c>
      <c r="E364" s="13" t="str">
        <f aca="false">IF(UPPER(LEFT(TRIM(Raw_Data!E364),1))="M","Male",IF(UPPER(LEFT(TRIM(Raw_Data!E364),1))="F","Female","Unknown"))</f>
        <v>Male</v>
      </c>
      <c r="F364" s="13" t="str">
        <f aca="false">PROPER(TRIM(SUBSTITUTE(Raw_Data!F364,"'","")))</f>
        <v>Bachelors</v>
      </c>
      <c r="G364" s="13" t="str">
        <f aca="false">PROPER(TRIM(Raw_Data!G364))</f>
        <v>Operations</v>
      </c>
      <c r="H364" s="13" t="str">
        <f aca="false">PROPER(TRIM(Raw_Data!H364))</f>
        <v>Senior Analyst</v>
      </c>
      <c r="I364" s="17" t="n">
        <f aca="false">IF(Raw_Data!I364="",DefaultPerf,Raw_Data!I364)</f>
        <v>3</v>
      </c>
      <c r="J364" s="13" t="n">
        <f aca="false">IF(Raw_Data!J364="",DefaultSat,Raw_Data!J364)</f>
        <v>3</v>
      </c>
      <c r="K364" s="15" t="n">
        <f aca="false">Raw_Data!K364</f>
        <v>89000</v>
      </c>
      <c r="L364" s="13" t="str">
        <f aca="false">PROPER(TRIM(Raw_Data!N364))</f>
        <v>No</v>
      </c>
      <c r="M364" s="13" t="n">
        <f aca="false">IF(C364="",0,1)</f>
        <v>0</v>
      </c>
      <c r="N364" s="13" t="str">
        <f aca="false">IF(M364=0,"Active",IF(TRIM(Raw_Data!L364)="","Unknown",PROPER(TRIM(Raw_Data!L364))))</f>
        <v>Active</v>
      </c>
      <c r="O364" s="13" t="str">
        <f aca="false">IF(M364=0,"",IF(TRIM(Raw_Data!M364)="","Not Recorded",TRIM(Raw_Data!M364)))</f>
        <v/>
      </c>
      <c r="P364" s="16" t="n">
        <f aca="false">ROUND((IF(C364="",AsOfDate,C364)-B364)/365.25,2)</f>
        <v>10.44</v>
      </c>
      <c r="Q364" s="13" t="str">
        <f aca="false">IF(D364="","Unknown",IF(D364&lt;25,"Under 25",IF(D364&lt;35,"25-34",IF(D364&lt;45,"35-44",IF(D364&lt;55,"45-54","55+")))))</f>
        <v>35-44</v>
      </c>
      <c r="R364" s="13" t="str">
        <f aca="false">IF(P364&lt;1,"0-1 yrs",IF(P364&lt;3,"1-3 yrs",IF(P364&lt;5,"3-5 yrs",IF(P364&lt;10,"5-10 yrs","10+ yrs"))))</f>
        <v>10+ yrs</v>
      </c>
      <c r="S364" s="13" t="str">
        <f aca="false">IF(I364&gt;=4,"High",IF(I364=3,"Medium","Low"))</f>
        <v>Medium</v>
      </c>
      <c r="T364" s="13" t="str">
        <f aca="false">IF(M364=1,YEAR(C364),"")</f>
        <v/>
      </c>
      <c r="U364" s="13" t="str">
        <f aca="false">IF(M364=1,YEAR(C364)&amp;"-Q"&amp;ROUNDUP(MONTH(C364)/3,0),"")</f>
        <v/>
      </c>
      <c r="V364" s="13" t="str">
        <f aca="false">IF(M364=1,MONTH(C364),"")</f>
        <v/>
      </c>
    </row>
    <row r="365" customFormat="false" ht="15" hidden="false" customHeight="false" outlineLevel="0" collapsed="false">
      <c r="A365" s="13" t="str">
        <f aca="false">TRIM(Raw_Data!A365)</f>
        <v>EMP0364</v>
      </c>
      <c r="B365" s="14" t="n">
        <f aca="false">Raw_Data!B365</f>
        <v>42221</v>
      </c>
      <c r="C365" s="14" t="n">
        <f aca="false">IF(Raw_Data!C365="","",Raw_Data!C365)</f>
        <v>45757</v>
      </c>
      <c r="D365" s="13" t="n">
        <f aca="false">IF(Raw_Data!D365="","",Raw_Data!D365)</f>
        <v>36</v>
      </c>
      <c r="E365" s="13" t="str">
        <f aca="false">IF(UPPER(LEFT(TRIM(Raw_Data!E365),1))="M","Male",IF(UPPER(LEFT(TRIM(Raw_Data!E365),1))="F","Female","Unknown"))</f>
        <v>Female</v>
      </c>
      <c r="F365" s="13" t="str">
        <f aca="false">PROPER(TRIM(SUBSTITUTE(Raw_Data!F365,"'","")))</f>
        <v>Diploma</v>
      </c>
      <c r="G365" s="13" t="str">
        <f aca="false">PROPER(TRIM(Raw_Data!G365))</f>
        <v>Sales</v>
      </c>
      <c r="H365" s="13" t="str">
        <f aca="false">PROPER(TRIM(Raw_Data!H365))</f>
        <v>Manager</v>
      </c>
      <c r="I365" s="13" t="n">
        <f aca="false">IF(Raw_Data!I365="",DefaultPerf,Raw_Data!I365)</f>
        <v>3</v>
      </c>
      <c r="J365" s="13" t="n">
        <f aca="false">IF(Raw_Data!J365="",DefaultSat,Raw_Data!J365)</f>
        <v>2</v>
      </c>
      <c r="K365" s="15" t="n">
        <f aca="false">Raw_Data!K365</f>
        <v>224500</v>
      </c>
      <c r="L365" s="13" t="str">
        <f aca="false">PROPER(TRIM(Raw_Data!N365))</f>
        <v>Yes</v>
      </c>
      <c r="M365" s="13" t="n">
        <f aca="false">IF(C365="",0,1)</f>
        <v>1</v>
      </c>
      <c r="N365" s="13" t="str">
        <f aca="false">IF(M365=0,"Active",IF(TRIM(Raw_Data!L365)="","Unknown",PROPER(TRIM(Raw_Data!L365))))</f>
        <v>Voluntary</v>
      </c>
      <c r="O365" s="13" t="str">
        <f aca="false">IF(M365=0,"",IF(TRIM(Raw_Data!M365)="","Not Recorded",TRIM(Raw_Data!M365)))</f>
        <v>Not Recorded</v>
      </c>
      <c r="P365" s="16" t="n">
        <f aca="false">ROUND((IF(C365="",AsOfDate,C365)-B365)/365.25,2)</f>
        <v>9.68</v>
      </c>
      <c r="Q365" s="13" t="str">
        <f aca="false">IF(D365="","Unknown",IF(D365&lt;25,"Under 25",IF(D365&lt;35,"25-34",IF(D365&lt;45,"35-44",IF(D365&lt;55,"45-54","55+")))))</f>
        <v>35-44</v>
      </c>
      <c r="R365" s="13" t="str">
        <f aca="false">IF(P365&lt;1,"0-1 yrs",IF(P365&lt;3,"1-3 yrs",IF(P365&lt;5,"3-5 yrs",IF(P365&lt;10,"5-10 yrs","10+ yrs"))))</f>
        <v>5-10 yrs</v>
      </c>
      <c r="S365" s="13" t="str">
        <f aca="false">IF(I365&gt;=4,"High",IF(I365=3,"Medium","Low"))</f>
        <v>Medium</v>
      </c>
      <c r="T365" s="13" t="n">
        <f aca="false">IF(M365=1,YEAR(C365),"")</f>
        <v>2025</v>
      </c>
      <c r="U365" s="13" t="str">
        <f aca="false">IF(M365=1,YEAR(C365)&amp;"-Q"&amp;ROUNDUP(MONTH(C365)/3,0),"")</f>
        <v>2025-Q2</v>
      </c>
      <c r="V365" s="13" t="n">
        <f aca="false">IF(M365=1,MONTH(C365),"")</f>
        <v>4</v>
      </c>
    </row>
    <row r="366" customFormat="false" ht="15" hidden="false" customHeight="false" outlineLevel="0" collapsed="false">
      <c r="A366" s="13" t="str">
        <f aca="false">TRIM(Raw_Data!A366)</f>
        <v>EMP0365</v>
      </c>
      <c r="B366" s="14" t="n">
        <f aca="false">Raw_Data!B366</f>
        <v>42225</v>
      </c>
      <c r="C366" s="14" t="n">
        <f aca="false">IF(Raw_Data!C366="","",Raw_Data!C366)</f>
        <v>45887</v>
      </c>
      <c r="D366" s="13" t="n">
        <f aca="false">IF(Raw_Data!D366="","",Raw_Data!D366)</f>
        <v>32</v>
      </c>
      <c r="E366" s="13" t="str">
        <f aca="false">IF(UPPER(LEFT(TRIM(Raw_Data!E366),1))="M","Male",IF(UPPER(LEFT(TRIM(Raw_Data!E366),1))="F","Female","Unknown"))</f>
        <v>Female</v>
      </c>
      <c r="F366" s="13" t="str">
        <f aca="false">PROPER(TRIM(SUBSTITUTE(Raw_Data!F366,"'","")))</f>
        <v>Masters</v>
      </c>
      <c r="G366" s="13" t="str">
        <f aca="false">PROPER(TRIM(Raw_Data!G366))</f>
        <v>Customer Support</v>
      </c>
      <c r="H366" s="13" t="str">
        <f aca="false">PROPER(TRIM(Raw_Data!H366))</f>
        <v>Analyst</v>
      </c>
      <c r="I366" s="13" t="n">
        <f aca="false">IF(Raw_Data!I366="",DefaultPerf,Raw_Data!I366)</f>
        <v>3</v>
      </c>
      <c r="J366" s="13" t="n">
        <f aca="false">IF(Raw_Data!J366="",DefaultSat,Raw_Data!J366)</f>
        <v>3</v>
      </c>
      <c r="K366" s="15" t="n">
        <f aca="false">Raw_Data!K366</f>
        <v>68500</v>
      </c>
      <c r="L366" s="13" t="str">
        <f aca="false">PROPER(TRIM(Raw_Data!N366))</f>
        <v>Yes</v>
      </c>
      <c r="M366" s="13" t="n">
        <f aca="false">IF(C366="",0,1)</f>
        <v>1</v>
      </c>
      <c r="N366" s="13" t="str">
        <f aca="false">IF(M366=0,"Active",IF(TRIM(Raw_Data!L366)="","Unknown",PROPER(TRIM(Raw_Data!L366))))</f>
        <v>Voluntary</v>
      </c>
      <c r="O366" s="13" t="str">
        <f aca="false">IF(M366=0,"",IF(TRIM(Raw_Data!M366)="","Not Recorded",TRIM(Raw_Data!M366)))</f>
        <v>Job Dissatisfaction</v>
      </c>
      <c r="P366" s="16" t="n">
        <f aca="false">ROUND((IF(C366="",AsOfDate,C366)-B366)/365.25,2)</f>
        <v>10.03</v>
      </c>
      <c r="Q366" s="13" t="str">
        <f aca="false">IF(D366="","Unknown",IF(D366&lt;25,"Under 25",IF(D366&lt;35,"25-34",IF(D366&lt;45,"35-44",IF(D366&lt;55,"45-54","55+")))))</f>
        <v>25-34</v>
      </c>
      <c r="R366" s="13" t="str">
        <f aca="false">IF(P366&lt;1,"0-1 yrs",IF(P366&lt;3,"1-3 yrs",IF(P366&lt;5,"3-5 yrs",IF(P366&lt;10,"5-10 yrs","10+ yrs"))))</f>
        <v>10+ yrs</v>
      </c>
      <c r="S366" s="13" t="str">
        <f aca="false">IF(I366&gt;=4,"High",IF(I366=3,"Medium","Low"))</f>
        <v>Medium</v>
      </c>
      <c r="T366" s="13" t="n">
        <f aca="false">IF(M366=1,YEAR(C366),"")</f>
        <v>2025</v>
      </c>
      <c r="U366" s="13" t="str">
        <f aca="false">IF(M366=1,YEAR(C366)&amp;"-Q"&amp;ROUNDUP(MONTH(C366)/3,0),"")</f>
        <v>2025-Q3</v>
      </c>
      <c r="V366" s="13" t="n">
        <f aca="false">IF(M366=1,MONTH(C366),"")</f>
        <v>8</v>
      </c>
    </row>
    <row r="367" customFormat="false" ht="15" hidden="false" customHeight="false" outlineLevel="0" collapsed="false">
      <c r="A367" s="13" t="str">
        <f aca="false">TRIM(Raw_Data!A367)</f>
        <v>EMP0366</v>
      </c>
      <c r="B367" s="14" t="n">
        <f aca="false">Raw_Data!B367</f>
        <v>42235</v>
      </c>
      <c r="C367" s="14" t="str">
        <f aca="false">IF(Raw_Data!C367="","",Raw_Data!C367)</f>
        <v/>
      </c>
      <c r="D367" s="13" t="n">
        <f aca="false">IF(Raw_Data!D367="","",Raw_Data!D367)</f>
        <v>37</v>
      </c>
      <c r="E367" s="13" t="str">
        <f aca="false">IF(UPPER(LEFT(TRIM(Raw_Data!E367),1))="M","Male",IF(UPPER(LEFT(TRIM(Raw_Data!E367),1))="F","Female","Unknown"))</f>
        <v>Female</v>
      </c>
      <c r="F367" s="13" t="str">
        <f aca="false">PROPER(TRIM(SUBSTITUTE(Raw_Data!F367,"'","")))</f>
        <v>Diploma</v>
      </c>
      <c r="G367" s="13" t="str">
        <f aca="false">PROPER(TRIM(Raw_Data!G367))</f>
        <v>Sales</v>
      </c>
      <c r="H367" s="13" t="str">
        <f aca="false">PROPER(TRIM(Raw_Data!H367))</f>
        <v>Senior Analyst</v>
      </c>
      <c r="I367" s="13" t="n">
        <f aca="false">IF(Raw_Data!I367="",DefaultPerf,Raw_Data!I367)</f>
        <v>3</v>
      </c>
      <c r="J367" s="13" t="n">
        <f aca="false">IF(Raw_Data!J367="",DefaultSat,Raw_Data!J367)</f>
        <v>2</v>
      </c>
      <c r="K367" s="15" t="n">
        <f aca="false">Raw_Data!K367</f>
        <v>106000</v>
      </c>
      <c r="L367" s="13" t="str">
        <f aca="false">PROPER(TRIM(Raw_Data!N367))</f>
        <v>No</v>
      </c>
      <c r="M367" s="13" t="n">
        <f aca="false">IF(C367="",0,1)</f>
        <v>0</v>
      </c>
      <c r="N367" s="13" t="str">
        <f aca="false">IF(M367=0,"Active",IF(TRIM(Raw_Data!L367)="","Unknown",PROPER(TRIM(Raw_Data!L367))))</f>
        <v>Active</v>
      </c>
      <c r="O367" s="13" t="str">
        <f aca="false">IF(M367=0,"",IF(TRIM(Raw_Data!M367)="","Not Recorded",TRIM(Raw_Data!M367)))</f>
        <v/>
      </c>
      <c r="P367" s="16" t="n">
        <f aca="false">ROUND((IF(C367="",AsOfDate,C367)-B367)/365.25,2)</f>
        <v>10.37</v>
      </c>
      <c r="Q367" s="13" t="str">
        <f aca="false">IF(D367="","Unknown",IF(D367&lt;25,"Under 25",IF(D367&lt;35,"25-34",IF(D367&lt;45,"35-44",IF(D367&lt;55,"45-54","55+")))))</f>
        <v>35-44</v>
      </c>
      <c r="R367" s="13" t="str">
        <f aca="false">IF(P367&lt;1,"0-1 yrs",IF(P367&lt;3,"1-3 yrs",IF(P367&lt;5,"3-5 yrs",IF(P367&lt;10,"5-10 yrs","10+ yrs"))))</f>
        <v>10+ yrs</v>
      </c>
      <c r="S367" s="13" t="str">
        <f aca="false">IF(I367&gt;=4,"High",IF(I367=3,"Medium","Low"))</f>
        <v>Medium</v>
      </c>
      <c r="T367" s="13" t="str">
        <f aca="false">IF(M367=1,YEAR(C367),"")</f>
        <v/>
      </c>
      <c r="U367" s="13" t="str">
        <f aca="false">IF(M367=1,YEAR(C367)&amp;"-Q"&amp;ROUNDUP(MONTH(C367)/3,0),"")</f>
        <v/>
      </c>
      <c r="V367" s="13" t="str">
        <f aca="false">IF(M367=1,MONTH(C367),"")</f>
        <v/>
      </c>
    </row>
    <row r="368" customFormat="false" ht="15" hidden="false" customHeight="false" outlineLevel="0" collapsed="false">
      <c r="A368" s="13" t="str">
        <f aca="false">TRIM(Raw_Data!A368)</f>
        <v>EMP0367</v>
      </c>
      <c r="B368" s="14" t="n">
        <f aca="false">Raw_Data!B368</f>
        <v>42238</v>
      </c>
      <c r="C368" s="14" t="str">
        <f aca="false">IF(Raw_Data!C368="","",Raw_Data!C368)</f>
        <v/>
      </c>
      <c r="D368" s="13" t="n">
        <f aca="false">IF(Raw_Data!D368="","",Raw_Data!D368)</f>
        <v>32</v>
      </c>
      <c r="E368" s="13" t="str">
        <f aca="false">IF(UPPER(LEFT(TRIM(Raw_Data!E368),1))="M","Male",IF(UPPER(LEFT(TRIM(Raw_Data!E368),1))="F","Female","Unknown"))</f>
        <v>Female</v>
      </c>
      <c r="F368" s="13" t="str">
        <f aca="false">PROPER(TRIM(SUBSTITUTE(Raw_Data!F368,"'","")))</f>
        <v>High School</v>
      </c>
      <c r="G368" s="13" t="str">
        <f aca="false">PROPER(TRIM(Raw_Data!G368))</f>
        <v>Customer Support</v>
      </c>
      <c r="H368" s="13" t="str">
        <f aca="false">PROPER(TRIM(Raw_Data!H368))</f>
        <v>Associate</v>
      </c>
      <c r="I368" s="13" t="n">
        <f aca="false">IF(Raw_Data!I368="",DefaultPerf,Raw_Data!I368)</f>
        <v>1</v>
      </c>
      <c r="J368" s="17" t="n">
        <f aca="false">IF(Raw_Data!J368="",DefaultSat,Raw_Data!J368)</f>
        <v>3</v>
      </c>
      <c r="K368" s="15" t="n">
        <f aca="false">Raw_Data!K368</f>
        <v>45000</v>
      </c>
      <c r="L368" s="13" t="str">
        <f aca="false">PROPER(TRIM(Raw_Data!N368))</f>
        <v>Yes</v>
      </c>
      <c r="M368" s="13" t="n">
        <f aca="false">IF(C368="",0,1)</f>
        <v>0</v>
      </c>
      <c r="N368" s="13" t="str">
        <f aca="false">IF(M368=0,"Active",IF(TRIM(Raw_Data!L368)="","Unknown",PROPER(TRIM(Raw_Data!L368))))</f>
        <v>Active</v>
      </c>
      <c r="O368" s="13" t="str">
        <f aca="false">IF(M368=0,"",IF(TRIM(Raw_Data!M368)="","Not Recorded",TRIM(Raw_Data!M368)))</f>
        <v/>
      </c>
      <c r="P368" s="16" t="n">
        <f aca="false">ROUND((IF(C368="",AsOfDate,C368)-B368)/365.25,2)</f>
        <v>10.36</v>
      </c>
      <c r="Q368" s="13" t="str">
        <f aca="false">IF(D368="","Unknown",IF(D368&lt;25,"Under 25",IF(D368&lt;35,"25-34",IF(D368&lt;45,"35-44",IF(D368&lt;55,"45-54","55+")))))</f>
        <v>25-34</v>
      </c>
      <c r="R368" s="13" t="str">
        <f aca="false">IF(P368&lt;1,"0-1 yrs",IF(P368&lt;3,"1-3 yrs",IF(P368&lt;5,"3-5 yrs",IF(P368&lt;10,"5-10 yrs","10+ yrs"))))</f>
        <v>10+ yrs</v>
      </c>
      <c r="S368" s="13" t="str">
        <f aca="false">IF(I368&gt;=4,"High",IF(I368=3,"Medium","Low"))</f>
        <v>Low</v>
      </c>
      <c r="T368" s="13" t="str">
        <f aca="false">IF(M368=1,YEAR(C368),"")</f>
        <v/>
      </c>
      <c r="U368" s="13" t="str">
        <f aca="false">IF(M368=1,YEAR(C368)&amp;"-Q"&amp;ROUNDUP(MONTH(C368)/3,0),"")</f>
        <v/>
      </c>
      <c r="V368" s="13" t="str">
        <f aca="false">IF(M368=1,MONTH(C368),"")</f>
        <v/>
      </c>
    </row>
    <row r="369" customFormat="false" ht="15" hidden="false" customHeight="false" outlineLevel="0" collapsed="false">
      <c r="A369" s="13" t="str">
        <f aca="false">TRIM(Raw_Data!A369)</f>
        <v>EMP0368</v>
      </c>
      <c r="B369" s="14" t="n">
        <f aca="false">Raw_Data!B369</f>
        <v>42252</v>
      </c>
      <c r="C369" s="14" t="str">
        <f aca="false">IF(Raw_Data!C369="","",Raw_Data!C369)</f>
        <v/>
      </c>
      <c r="D369" s="13" t="n">
        <f aca="false">IF(Raw_Data!D369="","",Raw_Data!D369)</f>
        <v>40</v>
      </c>
      <c r="E369" s="13" t="str">
        <f aca="false">IF(UPPER(LEFT(TRIM(Raw_Data!E369),1))="M","Male",IF(UPPER(LEFT(TRIM(Raw_Data!E369),1))="F","Female","Unknown"))</f>
        <v>Male</v>
      </c>
      <c r="F369" s="13" t="str">
        <f aca="false">PROPER(TRIM(SUBSTITUTE(Raw_Data!F369,"'","")))</f>
        <v>Masters</v>
      </c>
      <c r="G369" s="13" t="str">
        <f aca="false">PROPER(TRIM(Raw_Data!G369))</f>
        <v>Human Resources</v>
      </c>
      <c r="H369" s="13" t="str">
        <f aca="false">PROPER(TRIM(Raw_Data!H369))</f>
        <v>Analyst</v>
      </c>
      <c r="I369" s="13" t="n">
        <f aca="false">IF(Raw_Data!I369="",DefaultPerf,Raw_Data!I369)</f>
        <v>3</v>
      </c>
      <c r="J369" s="13" t="n">
        <f aca="false">IF(Raw_Data!J369="",DefaultSat,Raw_Data!J369)</f>
        <v>3</v>
      </c>
      <c r="K369" s="15" t="n">
        <f aca="false">Raw_Data!K369</f>
        <v>73500</v>
      </c>
      <c r="L369" s="13" t="str">
        <f aca="false">PROPER(TRIM(Raw_Data!N369))</f>
        <v>No</v>
      </c>
      <c r="M369" s="13" t="n">
        <f aca="false">IF(C369="",0,1)</f>
        <v>0</v>
      </c>
      <c r="N369" s="13" t="str">
        <f aca="false">IF(M369=0,"Active",IF(TRIM(Raw_Data!L369)="","Unknown",PROPER(TRIM(Raw_Data!L369))))</f>
        <v>Active</v>
      </c>
      <c r="O369" s="13" t="str">
        <f aca="false">IF(M369=0,"",IF(TRIM(Raw_Data!M369)="","Not Recorded",TRIM(Raw_Data!M369)))</f>
        <v/>
      </c>
      <c r="P369" s="16" t="n">
        <f aca="false">ROUND((IF(C369="",AsOfDate,C369)-B369)/365.25,2)</f>
        <v>10.32</v>
      </c>
      <c r="Q369" s="13" t="str">
        <f aca="false">IF(D369="","Unknown",IF(D369&lt;25,"Under 25",IF(D369&lt;35,"25-34",IF(D369&lt;45,"35-44",IF(D369&lt;55,"45-54","55+")))))</f>
        <v>35-44</v>
      </c>
      <c r="R369" s="13" t="str">
        <f aca="false">IF(P369&lt;1,"0-1 yrs",IF(P369&lt;3,"1-3 yrs",IF(P369&lt;5,"3-5 yrs",IF(P369&lt;10,"5-10 yrs","10+ yrs"))))</f>
        <v>10+ yrs</v>
      </c>
      <c r="S369" s="13" t="str">
        <f aca="false">IF(I369&gt;=4,"High",IF(I369=3,"Medium","Low"))</f>
        <v>Medium</v>
      </c>
      <c r="T369" s="13" t="str">
        <f aca="false">IF(M369=1,YEAR(C369),"")</f>
        <v/>
      </c>
      <c r="U369" s="13" t="str">
        <f aca="false">IF(M369=1,YEAR(C369)&amp;"-Q"&amp;ROUNDUP(MONTH(C369)/3,0),"")</f>
        <v/>
      </c>
      <c r="V369" s="13" t="str">
        <f aca="false">IF(M369=1,MONTH(C369),"")</f>
        <v/>
      </c>
    </row>
    <row r="370" customFormat="false" ht="15" hidden="false" customHeight="false" outlineLevel="0" collapsed="false">
      <c r="A370" s="13" t="str">
        <f aca="false">TRIM(Raw_Data!A370)</f>
        <v>EMP0369</v>
      </c>
      <c r="B370" s="14" t="n">
        <f aca="false">Raw_Data!B370</f>
        <v>42255</v>
      </c>
      <c r="C370" s="14" t="str">
        <f aca="false">IF(Raw_Data!C370="","",Raw_Data!C370)</f>
        <v/>
      </c>
      <c r="D370" s="13" t="n">
        <f aca="false">IF(Raw_Data!D370="","",Raw_Data!D370)</f>
        <v>37</v>
      </c>
      <c r="E370" s="13" t="str">
        <f aca="false">IF(UPPER(LEFT(TRIM(Raw_Data!E370),1))="M","Male",IF(UPPER(LEFT(TRIM(Raw_Data!E370),1))="F","Female","Unknown"))</f>
        <v>Male</v>
      </c>
      <c r="F370" s="13" t="str">
        <f aca="false">PROPER(TRIM(SUBSTITUTE(Raw_Data!F370,"'","")))</f>
        <v>Bachelors</v>
      </c>
      <c r="G370" s="13" t="str">
        <f aca="false">PROPER(TRIM(Raw_Data!G370))</f>
        <v>Operations</v>
      </c>
      <c r="H370" s="13" t="str">
        <f aca="false">PROPER(TRIM(Raw_Data!H370))</f>
        <v>Associate</v>
      </c>
      <c r="I370" s="13" t="n">
        <f aca="false">IF(Raw_Data!I370="",DefaultPerf,Raw_Data!I370)</f>
        <v>4</v>
      </c>
      <c r="J370" s="13" t="n">
        <f aca="false">IF(Raw_Data!J370="",DefaultSat,Raw_Data!J370)</f>
        <v>2</v>
      </c>
      <c r="K370" s="15" t="n">
        <f aca="false">Raw_Data!K370</f>
        <v>47500</v>
      </c>
      <c r="L370" s="13" t="str">
        <f aca="false">PROPER(TRIM(Raw_Data!N370))</f>
        <v>No</v>
      </c>
      <c r="M370" s="13" t="n">
        <f aca="false">IF(C370="",0,1)</f>
        <v>0</v>
      </c>
      <c r="N370" s="13" t="str">
        <f aca="false">IF(M370=0,"Active",IF(TRIM(Raw_Data!L370)="","Unknown",PROPER(TRIM(Raw_Data!L370))))</f>
        <v>Active</v>
      </c>
      <c r="O370" s="13" t="str">
        <f aca="false">IF(M370=0,"",IF(TRIM(Raw_Data!M370)="","Not Recorded",TRIM(Raw_Data!M370)))</f>
        <v/>
      </c>
      <c r="P370" s="16" t="n">
        <f aca="false">ROUND((IF(C370="",AsOfDate,C370)-B370)/365.25,2)</f>
        <v>10.31</v>
      </c>
      <c r="Q370" s="13" t="str">
        <f aca="false">IF(D370="","Unknown",IF(D370&lt;25,"Under 25",IF(D370&lt;35,"25-34",IF(D370&lt;45,"35-44",IF(D370&lt;55,"45-54","55+")))))</f>
        <v>35-44</v>
      </c>
      <c r="R370" s="13" t="str">
        <f aca="false">IF(P370&lt;1,"0-1 yrs",IF(P370&lt;3,"1-3 yrs",IF(P370&lt;5,"3-5 yrs",IF(P370&lt;10,"5-10 yrs","10+ yrs"))))</f>
        <v>10+ yrs</v>
      </c>
      <c r="S370" s="13" t="str">
        <f aca="false">IF(I370&gt;=4,"High",IF(I370=3,"Medium","Low"))</f>
        <v>High</v>
      </c>
      <c r="T370" s="13" t="str">
        <f aca="false">IF(M370=1,YEAR(C370),"")</f>
        <v/>
      </c>
      <c r="U370" s="13" t="str">
        <f aca="false">IF(M370=1,YEAR(C370)&amp;"-Q"&amp;ROUNDUP(MONTH(C370)/3,0),"")</f>
        <v/>
      </c>
      <c r="V370" s="13" t="str">
        <f aca="false">IF(M370=1,MONTH(C370),"")</f>
        <v/>
      </c>
    </row>
    <row r="371" customFormat="false" ht="15" hidden="false" customHeight="false" outlineLevel="0" collapsed="false">
      <c r="A371" s="13" t="str">
        <f aca="false">TRIM(Raw_Data!A371)</f>
        <v>EMP0370</v>
      </c>
      <c r="B371" s="14" t="n">
        <f aca="false">Raw_Data!B371</f>
        <v>42257</v>
      </c>
      <c r="C371" s="14" t="str">
        <f aca="false">IF(Raw_Data!C371="","",Raw_Data!C371)</f>
        <v/>
      </c>
      <c r="D371" s="13" t="n">
        <f aca="false">IF(Raw_Data!D371="","",Raw_Data!D371)</f>
        <v>48</v>
      </c>
      <c r="E371" s="13" t="str">
        <f aca="false">IF(UPPER(LEFT(TRIM(Raw_Data!E371),1))="M","Male",IF(UPPER(LEFT(TRIM(Raw_Data!E371),1))="F","Female","Unknown"))</f>
        <v>Female</v>
      </c>
      <c r="F371" s="13" t="str">
        <f aca="false">PROPER(TRIM(SUBSTITUTE(Raw_Data!F371,"'","")))</f>
        <v>Bachelors</v>
      </c>
      <c r="G371" s="13" t="str">
        <f aca="false">PROPER(TRIM(Raw_Data!G371))</f>
        <v>Human Resources</v>
      </c>
      <c r="H371" s="13" t="str">
        <f aca="false">PROPER(TRIM(Raw_Data!H371))</f>
        <v>Team Lead</v>
      </c>
      <c r="I371" s="13" t="n">
        <f aca="false">IF(Raw_Data!I371="",DefaultPerf,Raw_Data!I371)</f>
        <v>3</v>
      </c>
      <c r="J371" s="13" t="n">
        <f aca="false">IF(Raw_Data!J371="",DefaultSat,Raw_Data!J371)</f>
        <v>1</v>
      </c>
      <c r="K371" s="15" t="n">
        <f aca="false">Raw_Data!K371</f>
        <v>149000</v>
      </c>
      <c r="L371" s="13" t="str">
        <f aca="false">PROPER(TRIM(Raw_Data!N371))</f>
        <v>No</v>
      </c>
      <c r="M371" s="13" t="n">
        <f aca="false">IF(C371="",0,1)</f>
        <v>0</v>
      </c>
      <c r="N371" s="13" t="str">
        <f aca="false">IF(M371=0,"Active",IF(TRIM(Raw_Data!L371)="","Unknown",PROPER(TRIM(Raw_Data!L371))))</f>
        <v>Active</v>
      </c>
      <c r="O371" s="13" t="str">
        <f aca="false">IF(M371=0,"",IF(TRIM(Raw_Data!M371)="","Not Recorded",TRIM(Raw_Data!M371)))</f>
        <v/>
      </c>
      <c r="P371" s="16" t="n">
        <f aca="false">ROUND((IF(C371="",AsOfDate,C371)-B371)/365.25,2)</f>
        <v>10.31</v>
      </c>
      <c r="Q371" s="13" t="str">
        <f aca="false">IF(D371="","Unknown",IF(D371&lt;25,"Under 25",IF(D371&lt;35,"25-34",IF(D371&lt;45,"35-44",IF(D371&lt;55,"45-54","55+")))))</f>
        <v>45-54</v>
      </c>
      <c r="R371" s="13" t="str">
        <f aca="false">IF(P371&lt;1,"0-1 yrs",IF(P371&lt;3,"1-3 yrs",IF(P371&lt;5,"3-5 yrs",IF(P371&lt;10,"5-10 yrs","10+ yrs"))))</f>
        <v>10+ yrs</v>
      </c>
      <c r="S371" s="13" t="str">
        <f aca="false">IF(I371&gt;=4,"High",IF(I371=3,"Medium","Low"))</f>
        <v>Medium</v>
      </c>
      <c r="T371" s="13" t="str">
        <f aca="false">IF(M371=1,YEAR(C371),"")</f>
        <v/>
      </c>
      <c r="U371" s="13" t="str">
        <f aca="false">IF(M371=1,YEAR(C371)&amp;"-Q"&amp;ROUNDUP(MONTH(C371)/3,0),"")</f>
        <v/>
      </c>
      <c r="V371" s="13" t="str">
        <f aca="false">IF(M371=1,MONTH(C371),"")</f>
        <v/>
      </c>
    </row>
    <row r="372" customFormat="false" ht="15" hidden="false" customHeight="false" outlineLevel="0" collapsed="false">
      <c r="A372" s="13" t="str">
        <f aca="false">TRIM(Raw_Data!A372)</f>
        <v>EMP0371</v>
      </c>
      <c r="B372" s="14" t="n">
        <f aca="false">Raw_Data!B372</f>
        <v>42259</v>
      </c>
      <c r="C372" s="14" t="n">
        <f aca="false">IF(Raw_Data!C372="","",Raw_Data!C372)</f>
        <v>45337</v>
      </c>
      <c r="D372" s="13" t="n">
        <f aca="false">IF(Raw_Data!D372="","",Raw_Data!D372)</f>
        <v>42</v>
      </c>
      <c r="E372" s="13" t="str">
        <f aca="false">IF(UPPER(LEFT(TRIM(Raw_Data!E372),1))="M","Male",IF(UPPER(LEFT(TRIM(Raw_Data!E372),1))="F","Female","Unknown"))</f>
        <v>Female</v>
      </c>
      <c r="F372" s="13" t="str">
        <f aca="false">PROPER(TRIM(SUBSTITUTE(Raw_Data!F372,"'","")))</f>
        <v>Bachelors</v>
      </c>
      <c r="G372" s="13" t="str">
        <f aca="false">PROPER(TRIM(Raw_Data!G372))</f>
        <v>Sales</v>
      </c>
      <c r="H372" s="13" t="str">
        <f aca="false">PROPER(TRIM(Raw_Data!H372))</f>
        <v>Specialist</v>
      </c>
      <c r="I372" s="13" t="n">
        <f aca="false">IF(Raw_Data!I372="",DefaultPerf,Raw_Data!I372)</f>
        <v>2</v>
      </c>
      <c r="J372" s="13" t="n">
        <f aca="false">IF(Raw_Data!J372="",DefaultSat,Raw_Data!J372)</f>
        <v>4</v>
      </c>
      <c r="K372" s="15" t="n">
        <f aca="false">Raw_Data!K372</f>
        <v>123000</v>
      </c>
      <c r="L372" s="13" t="str">
        <f aca="false">PROPER(TRIM(Raw_Data!N372))</f>
        <v>No</v>
      </c>
      <c r="M372" s="13" t="n">
        <f aca="false">IF(C372="",0,1)</f>
        <v>1</v>
      </c>
      <c r="N372" s="13" t="str">
        <f aca="false">IF(M372=0,"Active",IF(TRIM(Raw_Data!L372)="","Unknown",PROPER(TRIM(Raw_Data!L372))))</f>
        <v>Voluntary</v>
      </c>
      <c r="O372" s="13" t="str">
        <f aca="false">IF(M372=0,"",IF(TRIM(Raw_Data!M372)="","Not Recorded",TRIM(Raw_Data!M372)))</f>
        <v>Relocation</v>
      </c>
      <c r="P372" s="16" t="n">
        <f aca="false">ROUND((IF(C372="",AsOfDate,C372)-B372)/365.25,2)</f>
        <v>8.43</v>
      </c>
      <c r="Q372" s="13" t="str">
        <f aca="false">IF(D372="","Unknown",IF(D372&lt;25,"Under 25",IF(D372&lt;35,"25-34",IF(D372&lt;45,"35-44",IF(D372&lt;55,"45-54","55+")))))</f>
        <v>35-44</v>
      </c>
      <c r="R372" s="13" t="str">
        <f aca="false">IF(P372&lt;1,"0-1 yrs",IF(P372&lt;3,"1-3 yrs",IF(P372&lt;5,"3-5 yrs",IF(P372&lt;10,"5-10 yrs","10+ yrs"))))</f>
        <v>5-10 yrs</v>
      </c>
      <c r="S372" s="13" t="str">
        <f aca="false">IF(I372&gt;=4,"High",IF(I372=3,"Medium","Low"))</f>
        <v>Low</v>
      </c>
      <c r="T372" s="13" t="n">
        <f aca="false">IF(M372=1,YEAR(C372),"")</f>
        <v>2024</v>
      </c>
      <c r="U372" s="13" t="str">
        <f aca="false">IF(M372=1,YEAR(C372)&amp;"-Q"&amp;ROUNDUP(MONTH(C372)/3,0),"")</f>
        <v>2024-Q1</v>
      </c>
      <c r="V372" s="13" t="n">
        <f aca="false">IF(M372=1,MONTH(C372),"")</f>
        <v>2</v>
      </c>
    </row>
    <row r="373" customFormat="false" ht="15" hidden="false" customHeight="false" outlineLevel="0" collapsed="false">
      <c r="A373" s="13" t="str">
        <f aca="false">TRIM(Raw_Data!A373)</f>
        <v>EMP0372</v>
      </c>
      <c r="B373" s="14" t="n">
        <f aca="false">Raw_Data!B373</f>
        <v>42261</v>
      </c>
      <c r="C373" s="14" t="n">
        <f aca="false">IF(Raw_Data!C373="","",Raw_Data!C373)</f>
        <v>45327</v>
      </c>
      <c r="D373" s="13" t="n">
        <f aca="false">IF(Raw_Data!D373="","",Raw_Data!D373)</f>
        <v>34</v>
      </c>
      <c r="E373" s="13" t="str">
        <f aca="false">IF(UPPER(LEFT(TRIM(Raw_Data!E373),1))="M","Male",IF(UPPER(LEFT(TRIM(Raw_Data!E373),1))="F","Female","Unknown"))</f>
        <v>Female</v>
      </c>
      <c r="F373" s="13" t="str">
        <f aca="false">PROPER(TRIM(SUBSTITUTE(Raw_Data!F373,"'","")))</f>
        <v>High School</v>
      </c>
      <c r="G373" s="13" t="str">
        <f aca="false">PROPER(TRIM(Raw_Data!G373))</f>
        <v>Finance</v>
      </c>
      <c r="H373" s="13" t="str">
        <f aca="false">PROPER(TRIM(Raw_Data!H373))</f>
        <v>Specialist</v>
      </c>
      <c r="I373" s="13" t="n">
        <f aca="false">IF(Raw_Data!I373="",DefaultPerf,Raw_Data!I373)</f>
        <v>3</v>
      </c>
      <c r="J373" s="13" t="n">
        <f aca="false">IF(Raw_Data!J373="",DefaultSat,Raw_Data!J373)</f>
        <v>3</v>
      </c>
      <c r="K373" s="15" t="n">
        <f aca="false">Raw_Data!K373</f>
        <v>114500</v>
      </c>
      <c r="L373" s="13" t="str">
        <f aca="false">PROPER(TRIM(Raw_Data!N373))</f>
        <v>No</v>
      </c>
      <c r="M373" s="13" t="n">
        <f aca="false">IF(C373="",0,1)</f>
        <v>1</v>
      </c>
      <c r="N373" s="13" t="str">
        <f aca="false">IF(M373=0,"Active",IF(TRIM(Raw_Data!L373)="","Unknown",PROPER(TRIM(Raw_Data!L373))))</f>
        <v>Voluntary</v>
      </c>
      <c r="O373" s="13" t="str">
        <f aca="false">IF(M373=0,"",IF(TRIM(Raw_Data!M373)="","Not Recorded",TRIM(Raw_Data!M373)))</f>
        <v>Better Compensation</v>
      </c>
      <c r="P373" s="16" t="n">
        <f aca="false">ROUND((IF(C373="",AsOfDate,C373)-B373)/365.25,2)</f>
        <v>8.39</v>
      </c>
      <c r="Q373" s="13" t="str">
        <f aca="false">IF(D373="","Unknown",IF(D373&lt;25,"Under 25",IF(D373&lt;35,"25-34",IF(D373&lt;45,"35-44",IF(D373&lt;55,"45-54","55+")))))</f>
        <v>25-34</v>
      </c>
      <c r="R373" s="13" t="str">
        <f aca="false">IF(P373&lt;1,"0-1 yrs",IF(P373&lt;3,"1-3 yrs",IF(P373&lt;5,"3-5 yrs",IF(P373&lt;10,"5-10 yrs","10+ yrs"))))</f>
        <v>5-10 yrs</v>
      </c>
      <c r="S373" s="13" t="str">
        <f aca="false">IF(I373&gt;=4,"High",IF(I373=3,"Medium","Low"))</f>
        <v>Medium</v>
      </c>
      <c r="T373" s="13" t="n">
        <f aca="false">IF(M373=1,YEAR(C373),"")</f>
        <v>2024</v>
      </c>
      <c r="U373" s="13" t="str">
        <f aca="false">IF(M373=1,YEAR(C373)&amp;"-Q"&amp;ROUNDUP(MONTH(C373)/3,0),"")</f>
        <v>2024-Q1</v>
      </c>
      <c r="V373" s="13" t="n">
        <f aca="false">IF(M373=1,MONTH(C373),"")</f>
        <v>2</v>
      </c>
    </row>
    <row r="374" customFormat="false" ht="15" hidden="false" customHeight="false" outlineLevel="0" collapsed="false">
      <c r="A374" s="13" t="str">
        <f aca="false">TRIM(Raw_Data!A374)</f>
        <v>EMP0373</v>
      </c>
      <c r="B374" s="14" t="n">
        <f aca="false">Raw_Data!B374</f>
        <v>42263</v>
      </c>
      <c r="C374" s="14" t="str">
        <f aca="false">IF(Raw_Data!C374="","",Raw_Data!C374)</f>
        <v/>
      </c>
      <c r="D374" s="13" t="n">
        <f aca="false">IF(Raw_Data!D374="","",Raw_Data!D374)</f>
        <v>37</v>
      </c>
      <c r="E374" s="13" t="str">
        <f aca="false">IF(UPPER(LEFT(TRIM(Raw_Data!E374),1))="M","Male",IF(UPPER(LEFT(TRIM(Raw_Data!E374),1))="F","Female","Unknown"))</f>
        <v>Male</v>
      </c>
      <c r="F374" s="13" t="str">
        <f aca="false">PROPER(TRIM(SUBSTITUTE(Raw_Data!F374,"'","")))</f>
        <v>High School</v>
      </c>
      <c r="G374" s="13" t="str">
        <f aca="false">PROPER(TRIM(Raw_Data!G374))</f>
        <v>Engineering</v>
      </c>
      <c r="H374" s="13" t="str">
        <f aca="false">PROPER(TRIM(Raw_Data!H374))</f>
        <v>Specialist</v>
      </c>
      <c r="I374" s="13" t="n">
        <f aca="false">IF(Raw_Data!I374="",DefaultPerf,Raw_Data!I374)</f>
        <v>2</v>
      </c>
      <c r="J374" s="13" t="n">
        <f aca="false">IF(Raw_Data!J374="",DefaultSat,Raw_Data!J374)</f>
        <v>3</v>
      </c>
      <c r="K374" s="15" t="n">
        <f aca="false">Raw_Data!K374</f>
        <v>118000</v>
      </c>
      <c r="L374" s="13" t="str">
        <f aca="false">PROPER(TRIM(Raw_Data!N374))</f>
        <v>No</v>
      </c>
      <c r="M374" s="13" t="n">
        <f aca="false">IF(C374="",0,1)</f>
        <v>0</v>
      </c>
      <c r="N374" s="13" t="str">
        <f aca="false">IF(M374=0,"Active",IF(TRIM(Raw_Data!L374)="","Unknown",PROPER(TRIM(Raw_Data!L374))))</f>
        <v>Active</v>
      </c>
      <c r="O374" s="13" t="str">
        <f aca="false">IF(M374=0,"",IF(TRIM(Raw_Data!M374)="","Not Recorded",TRIM(Raw_Data!M374)))</f>
        <v/>
      </c>
      <c r="P374" s="16" t="n">
        <f aca="false">ROUND((IF(C374="",AsOfDate,C374)-B374)/365.25,2)</f>
        <v>10.29</v>
      </c>
      <c r="Q374" s="13" t="str">
        <f aca="false">IF(D374="","Unknown",IF(D374&lt;25,"Under 25",IF(D374&lt;35,"25-34",IF(D374&lt;45,"35-44",IF(D374&lt;55,"45-54","55+")))))</f>
        <v>35-44</v>
      </c>
      <c r="R374" s="13" t="str">
        <f aca="false">IF(P374&lt;1,"0-1 yrs",IF(P374&lt;3,"1-3 yrs",IF(P374&lt;5,"3-5 yrs",IF(P374&lt;10,"5-10 yrs","10+ yrs"))))</f>
        <v>10+ yrs</v>
      </c>
      <c r="S374" s="13" t="str">
        <f aca="false">IF(I374&gt;=4,"High",IF(I374=3,"Medium","Low"))</f>
        <v>Low</v>
      </c>
      <c r="T374" s="13" t="str">
        <f aca="false">IF(M374=1,YEAR(C374),"")</f>
        <v/>
      </c>
      <c r="U374" s="13" t="str">
        <f aca="false">IF(M374=1,YEAR(C374)&amp;"-Q"&amp;ROUNDUP(MONTH(C374)/3,0),"")</f>
        <v/>
      </c>
      <c r="V374" s="13" t="str">
        <f aca="false">IF(M374=1,MONTH(C374),"")</f>
        <v/>
      </c>
    </row>
    <row r="375" customFormat="false" ht="15" hidden="false" customHeight="false" outlineLevel="0" collapsed="false">
      <c r="A375" s="13" t="str">
        <f aca="false">TRIM(Raw_Data!A375)</f>
        <v>EMP0374</v>
      </c>
      <c r="B375" s="14" t="n">
        <f aca="false">Raw_Data!B375</f>
        <v>42270</v>
      </c>
      <c r="C375" s="14" t="str">
        <f aca="false">IF(Raw_Data!C375="","",Raw_Data!C375)</f>
        <v/>
      </c>
      <c r="D375" s="13" t="n">
        <f aca="false">IF(Raw_Data!D375="","",Raw_Data!D375)</f>
        <v>37</v>
      </c>
      <c r="E375" s="13" t="str">
        <f aca="false">IF(UPPER(LEFT(TRIM(Raw_Data!E375),1))="M","Male",IF(UPPER(LEFT(TRIM(Raw_Data!E375),1))="F","Female","Unknown"))</f>
        <v>Male</v>
      </c>
      <c r="F375" s="13" t="str">
        <f aca="false">PROPER(TRIM(SUBSTITUTE(Raw_Data!F375,"'","")))</f>
        <v>Bachelors</v>
      </c>
      <c r="G375" s="13" t="str">
        <f aca="false">PROPER(TRIM(Raw_Data!G375))</f>
        <v>Customer Support</v>
      </c>
      <c r="H375" s="13" t="str">
        <f aca="false">PROPER(TRIM(Raw_Data!H375))</f>
        <v>Associate</v>
      </c>
      <c r="I375" s="13" t="n">
        <f aca="false">IF(Raw_Data!I375="",DefaultPerf,Raw_Data!I375)</f>
        <v>3</v>
      </c>
      <c r="J375" s="13" t="n">
        <f aca="false">IF(Raw_Data!J375="",DefaultSat,Raw_Data!J375)</f>
        <v>3</v>
      </c>
      <c r="K375" s="15" t="n">
        <f aca="false">Raw_Data!K375</f>
        <v>39500</v>
      </c>
      <c r="L375" s="13" t="str">
        <f aca="false">PROPER(TRIM(Raw_Data!N375))</f>
        <v>Yes</v>
      </c>
      <c r="M375" s="13" t="n">
        <f aca="false">IF(C375="",0,1)</f>
        <v>0</v>
      </c>
      <c r="N375" s="13" t="str">
        <f aca="false">IF(M375=0,"Active",IF(TRIM(Raw_Data!L375)="","Unknown",PROPER(TRIM(Raw_Data!L375))))</f>
        <v>Active</v>
      </c>
      <c r="O375" s="13" t="str">
        <f aca="false">IF(M375=0,"",IF(TRIM(Raw_Data!M375)="","Not Recorded",TRIM(Raw_Data!M375)))</f>
        <v/>
      </c>
      <c r="P375" s="16" t="n">
        <f aca="false">ROUND((IF(C375="",AsOfDate,C375)-B375)/365.25,2)</f>
        <v>10.27</v>
      </c>
      <c r="Q375" s="13" t="str">
        <f aca="false">IF(D375="","Unknown",IF(D375&lt;25,"Under 25",IF(D375&lt;35,"25-34",IF(D375&lt;45,"35-44",IF(D375&lt;55,"45-54","55+")))))</f>
        <v>35-44</v>
      </c>
      <c r="R375" s="13" t="str">
        <f aca="false">IF(P375&lt;1,"0-1 yrs",IF(P375&lt;3,"1-3 yrs",IF(P375&lt;5,"3-5 yrs",IF(P375&lt;10,"5-10 yrs","10+ yrs"))))</f>
        <v>10+ yrs</v>
      </c>
      <c r="S375" s="13" t="str">
        <f aca="false">IF(I375&gt;=4,"High",IF(I375=3,"Medium","Low"))</f>
        <v>Medium</v>
      </c>
      <c r="T375" s="13" t="str">
        <f aca="false">IF(M375=1,YEAR(C375),"")</f>
        <v/>
      </c>
      <c r="U375" s="13" t="str">
        <f aca="false">IF(M375=1,YEAR(C375)&amp;"-Q"&amp;ROUNDUP(MONTH(C375)/3,0),"")</f>
        <v/>
      </c>
      <c r="V375" s="13" t="str">
        <f aca="false">IF(M375=1,MONTH(C375),"")</f>
        <v/>
      </c>
    </row>
    <row r="376" customFormat="false" ht="15" hidden="false" customHeight="false" outlineLevel="0" collapsed="false">
      <c r="A376" s="13" t="str">
        <f aca="false">TRIM(Raw_Data!A376)</f>
        <v>EMP0375</v>
      </c>
      <c r="B376" s="14" t="n">
        <f aca="false">Raw_Data!B376</f>
        <v>42281</v>
      </c>
      <c r="C376" s="14" t="str">
        <f aca="false">IF(Raw_Data!C376="","",Raw_Data!C376)</f>
        <v/>
      </c>
      <c r="D376" s="13" t="n">
        <f aca="false">IF(Raw_Data!D376="","",Raw_Data!D376)</f>
        <v>35</v>
      </c>
      <c r="E376" s="13" t="str">
        <f aca="false">IF(UPPER(LEFT(TRIM(Raw_Data!E376),1))="M","Male",IF(UPPER(LEFT(TRIM(Raw_Data!E376),1))="F","Female","Unknown"))</f>
        <v>Female</v>
      </c>
      <c r="F376" s="13" t="str">
        <f aca="false">PROPER(TRIM(SUBSTITUTE(Raw_Data!F376,"'","")))</f>
        <v>Bachelors</v>
      </c>
      <c r="G376" s="13" t="str">
        <f aca="false">PROPER(TRIM(Raw_Data!G376))</f>
        <v>Sales</v>
      </c>
      <c r="H376" s="13" t="str">
        <f aca="false">PROPER(TRIM(Raw_Data!H376))</f>
        <v>Senior Analyst</v>
      </c>
      <c r="I376" s="17" t="n">
        <f aca="false">IF(Raw_Data!I376="",DefaultPerf,Raw_Data!I376)</f>
        <v>3</v>
      </c>
      <c r="J376" s="13" t="n">
        <f aca="false">IF(Raw_Data!J376="",DefaultSat,Raw_Data!J376)</f>
        <v>3</v>
      </c>
      <c r="K376" s="15" t="n">
        <f aca="false">Raw_Data!K376</f>
        <v>100000</v>
      </c>
      <c r="L376" s="13" t="str">
        <f aca="false">PROPER(TRIM(Raw_Data!N376))</f>
        <v>No</v>
      </c>
      <c r="M376" s="13" t="n">
        <f aca="false">IF(C376="",0,1)</f>
        <v>0</v>
      </c>
      <c r="N376" s="13" t="str">
        <f aca="false">IF(M376=0,"Active",IF(TRIM(Raw_Data!L376)="","Unknown",PROPER(TRIM(Raw_Data!L376))))</f>
        <v>Active</v>
      </c>
      <c r="O376" s="13" t="str">
        <f aca="false">IF(M376=0,"",IF(TRIM(Raw_Data!M376)="","Not Recorded",TRIM(Raw_Data!M376)))</f>
        <v/>
      </c>
      <c r="P376" s="16" t="n">
        <f aca="false">ROUND((IF(C376="",AsOfDate,C376)-B376)/365.25,2)</f>
        <v>10.24</v>
      </c>
      <c r="Q376" s="13" t="str">
        <f aca="false">IF(D376="","Unknown",IF(D376&lt;25,"Under 25",IF(D376&lt;35,"25-34",IF(D376&lt;45,"35-44",IF(D376&lt;55,"45-54","55+")))))</f>
        <v>35-44</v>
      </c>
      <c r="R376" s="13" t="str">
        <f aca="false">IF(P376&lt;1,"0-1 yrs",IF(P376&lt;3,"1-3 yrs",IF(P376&lt;5,"3-5 yrs",IF(P376&lt;10,"5-10 yrs","10+ yrs"))))</f>
        <v>10+ yrs</v>
      </c>
      <c r="S376" s="13" t="str">
        <f aca="false">IF(I376&gt;=4,"High",IF(I376=3,"Medium","Low"))</f>
        <v>Medium</v>
      </c>
      <c r="T376" s="13" t="str">
        <f aca="false">IF(M376=1,YEAR(C376),"")</f>
        <v/>
      </c>
      <c r="U376" s="13" t="str">
        <f aca="false">IF(M376=1,YEAR(C376)&amp;"-Q"&amp;ROUNDUP(MONTH(C376)/3,0),"")</f>
        <v/>
      </c>
      <c r="V376" s="13" t="str">
        <f aca="false">IF(M376=1,MONTH(C376),"")</f>
        <v/>
      </c>
    </row>
    <row r="377" customFormat="false" ht="15" hidden="false" customHeight="false" outlineLevel="0" collapsed="false">
      <c r="A377" s="13" t="str">
        <f aca="false">TRIM(Raw_Data!A377)</f>
        <v>EMP0376</v>
      </c>
      <c r="B377" s="14" t="n">
        <f aca="false">Raw_Data!B377</f>
        <v>42283</v>
      </c>
      <c r="C377" s="14" t="n">
        <f aca="false">IF(Raw_Data!C377="","",Raw_Data!C377)</f>
        <v>44602</v>
      </c>
      <c r="D377" s="13" t="n">
        <f aca="false">IF(Raw_Data!D377="","",Raw_Data!D377)</f>
        <v>40</v>
      </c>
      <c r="E377" s="13" t="str">
        <f aca="false">IF(UPPER(LEFT(TRIM(Raw_Data!E377),1))="M","Male",IF(UPPER(LEFT(TRIM(Raw_Data!E377),1))="F","Female","Unknown"))</f>
        <v>Male</v>
      </c>
      <c r="F377" s="13" t="str">
        <f aca="false">PROPER(TRIM(SUBSTITUTE(Raw_Data!F377,"'","")))</f>
        <v>Bachelors</v>
      </c>
      <c r="G377" s="13" t="str">
        <f aca="false">PROPER(TRIM(Raw_Data!G377))</f>
        <v>Engineering</v>
      </c>
      <c r="H377" s="13" t="str">
        <f aca="false">PROPER(TRIM(Raw_Data!H377))</f>
        <v>Associate</v>
      </c>
      <c r="I377" s="13" t="n">
        <f aca="false">IF(Raw_Data!I377="",DefaultPerf,Raw_Data!I377)</f>
        <v>4</v>
      </c>
      <c r="J377" s="13" t="n">
        <f aca="false">IF(Raw_Data!J377="",DefaultSat,Raw_Data!J377)</f>
        <v>1</v>
      </c>
      <c r="K377" s="15" t="n">
        <f aca="false">Raw_Data!K377</f>
        <v>40500</v>
      </c>
      <c r="L377" s="13" t="str">
        <f aca="false">PROPER(TRIM(Raw_Data!N377))</f>
        <v>Yes</v>
      </c>
      <c r="M377" s="13" t="n">
        <f aca="false">IF(C377="",0,1)</f>
        <v>1</v>
      </c>
      <c r="N377" s="13" t="str">
        <f aca="false">IF(M377=0,"Active",IF(TRIM(Raw_Data!L377)="","Unknown",PROPER(TRIM(Raw_Data!L377))))</f>
        <v>Voluntary</v>
      </c>
      <c r="O377" s="13" t="str">
        <f aca="false">IF(M377=0,"",IF(TRIM(Raw_Data!M377)="","Not Recorded",TRIM(Raw_Data!M377)))</f>
        <v>Better Compensation</v>
      </c>
      <c r="P377" s="16" t="n">
        <f aca="false">ROUND((IF(C377="",AsOfDate,C377)-B377)/365.25,2)</f>
        <v>6.35</v>
      </c>
      <c r="Q377" s="13" t="str">
        <f aca="false">IF(D377="","Unknown",IF(D377&lt;25,"Under 25",IF(D377&lt;35,"25-34",IF(D377&lt;45,"35-44",IF(D377&lt;55,"45-54","55+")))))</f>
        <v>35-44</v>
      </c>
      <c r="R377" s="13" t="str">
        <f aca="false">IF(P377&lt;1,"0-1 yrs",IF(P377&lt;3,"1-3 yrs",IF(P377&lt;5,"3-5 yrs",IF(P377&lt;10,"5-10 yrs","10+ yrs"))))</f>
        <v>5-10 yrs</v>
      </c>
      <c r="S377" s="13" t="str">
        <f aca="false">IF(I377&gt;=4,"High",IF(I377=3,"Medium","Low"))</f>
        <v>High</v>
      </c>
      <c r="T377" s="13" t="n">
        <f aca="false">IF(M377=1,YEAR(C377),"")</f>
        <v>2022</v>
      </c>
      <c r="U377" s="13" t="str">
        <f aca="false">IF(M377=1,YEAR(C377)&amp;"-Q"&amp;ROUNDUP(MONTH(C377)/3,0),"")</f>
        <v>2022-Q1</v>
      </c>
      <c r="V377" s="13" t="n">
        <f aca="false">IF(M377=1,MONTH(C377),"")</f>
        <v>2</v>
      </c>
    </row>
    <row r="378" customFormat="false" ht="15" hidden="false" customHeight="false" outlineLevel="0" collapsed="false">
      <c r="A378" s="13" t="str">
        <f aca="false">TRIM(Raw_Data!A378)</f>
        <v>EMP0377</v>
      </c>
      <c r="B378" s="14" t="n">
        <f aca="false">Raw_Data!B378</f>
        <v>42285</v>
      </c>
      <c r="C378" s="14" t="n">
        <f aca="false">IF(Raw_Data!C378="","",Raw_Data!C378)</f>
        <v>44659</v>
      </c>
      <c r="D378" s="13" t="n">
        <f aca="false">IF(Raw_Data!D378="","",Raw_Data!D378)</f>
        <v>33</v>
      </c>
      <c r="E378" s="13" t="str">
        <f aca="false">IF(UPPER(LEFT(TRIM(Raw_Data!E378),1))="M","Male",IF(UPPER(LEFT(TRIM(Raw_Data!E378),1))="F","Female","Unknown"))</f>
        <v>Male</v>
      </c>
      <c r="F378" s="13" t="str">
        <f aca="false">PROPER(TRIM(SUBSTITUTE(Raw_Data!F378,"'","")))</f>
        <v>Masters</v>
      </c>
      <c r="G378" s="13" t="str">
        <f aca="false">PROPER(TRIM(Raw_Data!G378))</f>
        <v>Customer Support</v>
      </c>
      <c r="H378" s="13" t="str">
        <f aca="false">PROPER(TRIM(Raw_Data!H378))</f>
        <v>Senior Analyst</v>
      </c>
      <c r="I378" s="13" t="n">
        <f aca="false">IF(Raw_Data!I378="",DefaultPerf,Raw_Data!I378)</f>
        <v>3</v>
      </c>
      <c r="J378" s="13" t="n">
        <f aca="false">IF(Raw_Data!J378="",DefaultSat,Raw_Data!J378)</f>
        <v>1</v>
      </c>
      <c r="K378" s="15" t="n">
        <f aca="false">Raw_Data!K378</f>
        <v>107000</v>
      </c>
      <c r="L378" s="13" t="str">
        <f aca="false">PROPER(TRIM(Raw_Data!N378))</f>
        <v>Yes</v>
      </c>
      <c r="M378" s="13" t="n">
        <f aca="false">IF(C378="",0,1)</f>
        <v>1</v>
      </c>
      <c r="N378" s="13" t="str">
        <f aca="false">IF(M378=0,"Active",IF(TRIM(Raw_Data!L378)="","Unknown",PROPER(TRIM(Raw_Data!L378))))</f>
        <v>Voluntary</v>
      </c>
      <c r="O378" s="13" t="str">
        <f aca="false">IF(M378=0,"",IF(TRIM(Raw_Data!M378)="","Not Recorded",TRIM(Raw_Data!M378)))</f>
        <v>Manager Issues</v>
      </c>
      <c r="P378" s="16" t="n">
        <f aca="false">ROUND((IF(C378="",AsOfDate,C378)-B378)/365.25,2)</f>
        <v>6.5</v>
      </c>
      <c r="Q378" s="13" t="str">
        <f aca="false">IF(D378="","Unknown",IF(D378&lt;25,"Under 25",IF(D378&lt;35,"25-34",IF(D378&lt;45,"35-44",IF(D378&lt;55,"45-54","55+")))))</f>
        <v>25-34</v>
      </c>
      <c r="R378" s="13" t="str">
        <f aca="false">IF(P378&lt;1,"0-1 yrs",IF(P378&lt;3,"1-3 yrs",IF(P378&lt;5,"3-5 yrs",IF(P378&lt;10,"5-10 yrs","10+ yrs"))))</f>
        <v>5-10 yrs</v>
      </c>
      <c r="S378" s="13" t="str">
        <f aca="false">IF(I378&gt;=4,"High",IF(I378=3,"Medium","Low"))</f>
        <v>Medium</v>
      </c>
      <c r="T378" s="13" t="n">
        <f aca="false">IF(M378=1,YEAR(C378),"")</f>
        <v>2022</v>
      </c>
      <c r="U378" s="13" t="str">
        <f aca="false">IF(M378=1,YEAR(C378)&amp;"-Q"&amp;ROUNDUP(MONTH(C378)/3,0),"")</f>
        <v>2022-Q2</v>
      </c>
      <c r="V378" s="13" t="n">
        <f aca="false">IF(M378=1,MONTH(C378),"")</f>
        <v>4</v>
      </c>
    </row>
    <row r="379" customFormat="false" ht="15" hidden="false" customHeight="false" outlineLevel="0" collapsed="false">
      <c r="A379" s="13" t="str">
        <f aca="false">TRIM(Raw_Data!A379)</f>
        <v>EMP0378</v>
      </c>
      <c r="B379" s="14" t="n">
        <f aca="false">Raw_Data!B379</f>
        <v>42286</v>
      </c>
      <c r="C379" s="14" t="n">
        <f aca="false">IF(Raw_Data!C379="","",Raw_Data!C379)</f>
        <v>45408</v>
      </c>
      <c r="D379" s="13" t="n">
        <f aca="false">IF(Raw_Data!D379="","",Raw_Data!D379)</f>
        <v>30</v>
      </c>
      <c r="E379" s="13" t="str">
        <f aca="false">IF(UPPER(LEFT(TRIM(Raw_Data!E379),1))="M","Male",IF(UPPER(LEFT(TRIM(Raw_Data!E379),1))="F","Female","Unknown"))</f>
        <v>Male</v>
      </c>
      <c r="F379" s="13" t="str">
        <f aca="false">PROPER(TRIM(SUBSTITUTE(Raw_Data!F379,"'","")))</f>
        <v>Bachelors</v>
      </c>
      <c r="G379" s="13" t="str">
        <f aca="false">PROPER(TRIM(Raw_Data!G379))</f>
        <v>Sales</v>
      </c>
      <c r="H379" s="13" t="str">
        <f aca="false">PROPER(TRIM(Raw_Data!H379))</f>
        <v>Associate</v>
      </c>
      <c r="I379" s="13" t="n">
        <f aca="false">IF(Raw_Data!I379="",DefaultPerf,Raw_Data!I379)</f>
        <v>2</v>
      </c>
      <c r="J379" s="13" t="n">
        <f aca="false">IF(Raw_Data!J379="",DefaultSat,Raw_Data!J379)</f>
        <v>3</v>
      </c>
      <c r="K379" s="15" t="n">
        <f aca="false">Raw_Data!K379</f>
        <v>52500</v>
      </c>
      <c r="L379" s="13" t="str">
        <f aca="false">PROPER(TRIM(Raw_Data!N379))</f>
        <v>Yes</v>
      </c>
      <c r="M379" s="13" t="n">
        <f aca="false">IF(C379="",0,1)</f>
        <v>1</v>
      </c>
      <c r="N379" s="13" t="str">
        <f aca="false">IF(M379=0,"Active",IF(TRIM(Raw_Data!L379)="","Unknown",PROPER(TRIM(Raw_Data!L379))))</f>
        <v>Voluntary</v>
      </c>
      <c r="O379" s="13" t="str">
        <f aca="false">IF(M379=0,"",IF(TRIM(Raw_Data!M379)="","Not Recorded",TRIM(Raw_Data!M379)))</f>
        <v>Manager Issues</v>
      </c>
      <c r="P379" s="16" t="n">
        <f aca="false">ROUND((IF(C379="",AsOfDate,C379)-B379)/365.25,2)</f>
        <v>8.55</v>
      </c>
      <c r="Q379" s="13" t="str">
        <f aca="false">IF(D379="","Unknown",IF(D379&lt;25,"Under 25",IF(D379&lt;35,"25-34",IF(D379&lt;45,"35-44",IF(D379&lt;55,"45-54","55+")))))</f>
        <v>25-34</v>
      </c>
      <c r="R379" s="13" t="str">
        <f aca="false">IF(P379&lt;1,"0-1 yrs",IF(P379&lt;3,"1-3 yrs",IF(P379&lt;5,"3-5 yrs",IF(P379&lt;10,"5-10 yrs","10+ yrs"))))</f>
        <v>5-10 yrs</v>
      </c>
      <c r="S379" s="13" t="str">
        <f aca="false">IF(I379&gt;=4,"High",IF(I379=3,"Medium","Low"))</f>
        <v>Low</v>
      </c>
      <c r="T379" s="13" t="n">
        <f aca="false">IF(M379=1,YEAR(C379),"")</f>
        <v>2024</v>
      </c>
      <c r="U379" s="13" t="str">
        <f aca="false">IF(M379=1,YEAR(C379)&amp;"-Q"&amp;ROUNDUP(MONTH(C379)/3,0),"")</f>
        <v>2024-Q2</v>
      </c>
      <c r="V379" s="13" t="n">
        <f aca="false">IF(M379=1,MONTH(C379),"")</f>
        <v>4</v>
      </c>
    </row>
    <row r="380" customFormat="false" ht="15" hidden="false" customHeight="false" outlineLevel="0" collapsed="false">
      <c r="A380" s="13" t="str">
        <f aca="false">TRIM(Raw_Data!A380)</f>
        <v>EMP0379</v>
      </c>
      <c r="B380" s="14" t="n">
        <f aca="false">Raw_Data!B380</f>
        <v>42287</v>
      </c>
      <c r="C380" s="14" t="str">
        <f aca="false">IF(Raw_Data!C380="","",Raw_Data!C380)</f>
        <v/>
      </c>
      <c r="D380" s="13" t="n">
        <f aca="false">IF(Raw_Data!D380="","",Raw_Data!D380)</f>
        <v>37</v>
      </c>
      <c r="E380" s="13" t="str">
        <f aca="false">IF(UPPER(LEFT(TRIM(Raw_Data!E380),1))="M","Male",IF(UPPER(LEFT(TRIM(Raw_Data!E380),1))="F","Female","Unknown"))</f>
        <v>Female</v>
      </c>
      <c r="F380" s="13" t="str">
        <f aca="false">PROPER(TRIM(SUBSTITUTE(Raw_Data!F380,"'","")))</f>
        <v>Bachelors</v>
      </c>
      <c r="G380" s="13" t="str">
        <f aca="false">PROPER(TRIM(Raw_Data!G380))</f>
        <v>Customer Support</v>
      </c>
      <c r="H380" s="13" t="str">
        <f aca="false">PROPER(TRIM(Raw_Data!H380))</f>
        <v>Associate</v>
      </c>
      <c r="I380" s="13" t="n">
        <f aca="false">IF(Raw_Data!I380="",DefaultPerf,Raw_Data!I380)</f>
        <v>4</v>
      </c>
      <c r="J380" s="13" t="n">
        <f aca="false">IF(Raw_Data!J380="",DefaultSat,Raw_Data!J380)</f>
        <v>2</v>
      </c>
      <c r="K380" s="15" t="n">
        <f aca="false">Raw_Data!K380</f>
        <v>49500</v>
      </c>
      <c r="L380" s="13" t="str">
        <f aca="false">PROPER(TRIM(Raw_Data!N380))</f>
        <v>No</v>
      </c>
      <c r="M380" s="13" t="n">
        <f aca="false">IF(C380="",0,1)</f>
        <v>0</v>
      </c>
      <c r="N380" s="13" t="str">
        <f aca="false">IF(M380=0,"Active",IF(TRIM(Raw_Data!L380)="","Unknown",PROPER(TRIM(Raw_Data!L380))))</f>
        <v>Active</v>
      </c>
      <c r="O380" s="13" t="str">
        <f aca="false">IF(M380=0,"",IF(TRIM(Raw_Data!M380)="","Not Recorded",TRIM(Raw_Data!M380)))</f>
        <v/>
      </c>
      <c r="P380" s="16" t="n">
        <f aca="false">ROUND((IF(C380="",AsOfDate,C380)-B380)/365.25,2)</f>
        <v>10.23</v>
      </c>
      <c r="Q380" s="13" t="str">
        <f aca="false">IF(D380="","Unknown",IF(D380&lt;25,"Under 25",IF(D380&lt;35,"25-34",IF(D380&lt;45,"35-44",IF(D380&lt;55,"45-54","55+")))))</f>
        <v>35-44</v>
      </c>
      <c r="R380" s="13" t="str">
        <f aca="false">IF(P380&lt;1,"0-1 yrs",IF(P380&lt;3,"1-3 yrs",IF(P380&lt;5,"3-5 yrs",IF(P380&lt;10,"5-10 yrs","10+ yrs"))))</f>
        <v>10+ yrs</v>
      </c>
      <c r="S380" s="13" t="str">
        <f aca="false">IF(I380&gt;=4,"High",IF(I380=3,"Medium","Low"))</f>
        <v>High</v>
      </c>
      <c r="T380" s="13" t="str">
        <f aca="false">IF(M380=1,YEAR(C380),"")</f>
        <v/>
      </c>
      <c r="U380" s="13" t="str">
        <f aca="false">IF(M380=1,YEAR(C380)&amp;"-Q"&amp;ROUNDUP(MONTH(C380)/3,0),"")</f>
        <v/>
      </c>
      <c r="V380" s="13" t="str">
        <f aca="false">IF(M380=1,MONTH(C380),"")</f>
        <v/>
      </c>
    </row>
    <row r="381" customFormat="false" ht="15" hidden="false" customHeight="false" outlineLevel="0" collapsed="false">
      <c r="A381" s="13" t="str">
        <f aca="false">TRIM(Raw_Data!A381)</f>
        <v>EMP0380</v>
      </c>
      <c r="B381" s="14" t="n">
        <f aca="false">Raw_Data!B381</f>
        <v>42288</v>
      </c>
      <c r="C381" s="14" t="str">
        <f aca="false">IF(Raw_Data!C381="","",Raw_Data!C381)</f>
        <v/>
      </c>
      <c r="D381" s="13" t="n">
        <f aca="false">IF(Raw_Data!D381="","",Raw_Data!D381)</f>
        <v>31</v>
      </c>
      <c r="E381" s="13" t="str">
        <f aca="false">IF(UPPER(LEFT(TRIM(Raw_Data!E381),1))="M","Male",IF(UPPER(LEFT(TRIM(Raw_Data!E381),1))="F","Female","Unknown"))</f>
        <v>Male</v>
      </c>
      <c r="F381" s="13" t="str">
        <f aca="false">PROPER(TRIM(SUBSTITUTE(Raw_Data!F381,"'","")))</f>
        <v>Masters</v>
      </c>
      <c r="G381" s="13" t="str">
        <f aca="false">PROPER(TRIM(Raw_Data!G381))</f>
        <v>Operations</v>
      </c>
      <c r="H381" s="13" t="str">
        <f aca="false">PROPER(TRIM(Raw_Data!H381))</f>
        <v>Associate</v>
      </c>
      <c r="I381" s="13" t="n">
        <f aca="false">IF(Raw_Data!I381="",DefaultPerf,Raw_Data!I381)</f>
        <v>4</v>
      </c>
      <c r="J381" s="13" t="n">
        <f aca="false">IF(Raw_Data!J381="",DefaultSat,Raw_Data!J381)</f>
        <v>4</v>
      </c>
      <c r="K381" s="15" t="n">
        <f aca="false">Raw_Data!K381</f>
        <v>42500</v>
      </c>
      <c r="L381" s="13" t="str">
        <f aca="false">PROPER(TRIM(Raw_Data!N381))</f>
        <v>No</v>
      </c>
      <c r="M381" s="13" t="n">
        <f aca="false">IF(C381="",0,1)</f>
        <v>0</v>
      </c>
      <c r="N381" s="13" t="str">
        <f aca="false">IF(M381=0,"Active",IF(TRIM(Raw_Data!L381)="","Unknown",PROPER(TRIM(Raw_Data!L381))))</f>
        <v>Active</v>
      </c>
      <c r="O381" s="13" t="str">
        <f aca="false">IF(M381=0,"",IF(TRIM(Raw_Data!M381)="","Not Recorded",TRIM(Raw_Data!M381)))</f>
        <v/>
      </c>
      <c r="P381" s="16" t="n">
        <f aca="false">ROUND((IF(C381="",AsOfDate,C381)-B381)/365.25,2)</f>
        <v>10.22</v>
      </c>
      <c r="Q381" s="13" t="str">
        <f aca="false">IF(D381="","Unknown",IF(D381&lt;25,"Under 25",IF(D381&lt;35,"25-34",IF(D381&lt;45,"35-44",IF(D381&lt;55,"45-54","55+")))))</f>
        <v>25-34</v>
      </c>
      <c r="R381" s="13" t="str">
        <f aca="false">IF(P381&lt;1,"0-1 yrs",IF(P381&lt;3,"1-3 yrs",IF(P381&lt;5,"3-5 yrs",IF(P381&lt;10,"5-10 yrs","10+ yrs"))))</f>
        <v>10+ yrs</v>
      </c>
      <c r="S381" s="13" t="str">
        <f aca="false">IF(I381&gt;=4,"High",IF(I381=3,"Medium","Low"))</f>
        <v>High</v>
      </c>
      <c r="T381" s="13" t="str">
        <f aca="false">IF(M381=1,YEAR(C381),"")</f>
        <v/>
      </c>
      <c r="U381" s="13" t="str">
        <f aca="false">IF(M381=1,YEAR(C381)&amp;"-Q"&amp;ROUNDUP(MONTH(C381)/3,0),"")</f>
        <v/>
      </c>
      <c r="V381" s="13" t="str">
        <f aca="false">IF(M381=1,MONTH(C381),"")</f>
        <v/>
      </c>
    </row>
    <row r="382" customFormat="false" ht="15" hidden="false" customHeight="false" outlineLevel="0" collapsed="false">
      <c r="A382" s="13" t="str">
        <f aca="false">TRIM(Raw_Data!A382)</f>
        <v>EMP0381</v>
      </c>
      <c r="B382" s="14" t="n">
        <f aca="false">Raw_Data!B382</f>
        <v>42289</v>
      </c>
      <c r="C382" s="14" t="str">
        <f aca="false">IF(Raw_Data!C382="","",Raw_Data!C382)</f>
        <v/>
      </c>
      <c r="D382" s="13" t="n">
        <f aca="false">IF(Raw_Data!D382="","",Raw_Data!D382)</f>
        <v>39</v>
      </c>
      <c r="E382" s="13" t="str">
        <f aca="false">IF(UPPER(LEFT(TRIM(Raw_Data!E382),1))="M","Male",IF(UPPER(LEFT(TRIM(Raw_Data!E382),1))="F","Female","Unknown"))</f>
        <v>Male</v>
      </c>
      <c r="F382" s="13" t="str">
        <f aca="false">PROPER(TRIM(SUBSTITUTE(Raw_Data!F382,"'","")))</f>
        <v>Bachelors</v>
      </c>
      <c r="G382" s="13" t="str">
        <f aca="false">PROPER(TRIM(Raw_Data!G382))</f>
        <v>Customer Support</v>
      </c>
      <c r="H382" s="13" t="str">
        <f aca="false">PROPER(TRIM(Raw_Data!H382))</f>
        <v>Senior Analyst</v>
      </c>
      <c r="I382" s="13" t="n">
        <f aca="false">IF(Raw_Data!I382="",DefaultPerf,Raw_Data!I382)</f>
        <v>4</v>
      </c>
      <c r="J382" s="13" t="n">
        <f aca="false">IF(Raw_Data!J382="",DefaultSat,Raw_Data!J382)</f>
        <v>2</v>
      </c>
      <c r="K382" s="15" t="n">
        <f aca="false">Raw_Data!K382</f>
        <v>95000</v>
      </c>
      <c r="L382" s="13" t="str">
        <f aca="false">PROPER(TRIM(Raw_Data!N382))</f>
        <v>Yes</v>
      </c>
      <c r="M382" s="13" t="n">
        <f aca="false">IF(C382="",0,1)</f>
        <v>0</v>
      </c>
      <c r="N382" s="13" t="str">
        <f aca="false">IF(M382=0,"Active",IF(TRIM(Raw_Data!L382)="","Unknown",PROPER(TRIM(Raw_Data!L382))))</f>
        <v>Active</v>
      </c>
      <c r="O382" s="13" t="str">
        <f aca="false">IF(M382=0,"",IF(TRIM(Raw_Data!M382)="","Not Recorded",TRIM(Raw_Data!M382)))</f>
        <v/>
      </c>
      <c r="P382" s="16" t="n">
        <f aca="false">ROUND((IF(C382="",AsOfDate,C382)-B382)/365.25,2)</f>
        <v>10.22</v>
      </c>
      <c r="Q382" s="13" t="str">
        <f aca="false">IF(D382="","Unknown",IF(D382&lt;25,"Under 25",IF(D382&lt;35,"25-34",IF(D382&lt;45,"35-44",IF(D382&lt;55,"45-54","55+")))))</f>
        <v>35-44</v>
      </c>
      <c r="R382" s="13" t="str">
        <f aca="false">IF(P382&lt;1,"0-1 yrs",IF(P382&lt;3,"1-3 yrs",IF(P382&lt;5,"3-5 yrs",IF(P382&lt;10,"5-10 yrs","10+ yrs"))))</f>
        <v>10+ yrs</v>
      </c>
      <c r="S382" s="13" t="str">
        <f aca="false">IF(I382&gt;=4,"High",IF(I382=3,"Medium","Low"))</f>
        <v>High</v>
      </c>
      <c r="T382" s="13" t="str">
        <f aca="false">IF(M382=1,YEAR(C382),"")</f>
        <v/>
      </c>
      <c r="U382" s="13" t="str">
        <f aca="false">IF(M382=1,YEAR(C382)&amp;"-Q"&amp;ROUNDUP(MONTH(C382)/3,0),"")</f>
        <v/>
      </c>
      <c r="V382" s="13" t="str">
        <f aca="false">IF(M382=1,MONTH(C382),"")</f>
        <v/>
      </c>
    </row>
    <row r="383" customFormat="false" ht="15" hidden="false" customHeight="false" outlineLevel="0" collapsed="false">
      <c r="A383" s="13" t="str">
        <f aca="false">TRIM(Raw_Data!A383)</f>
        <v>EMP0382</v>
      </c>
      <c r="B383" s="14" t="n">
        <f aca="false">Raw_Data!B383</f>
        <v>42295</v>
      </c>
      <c r="C383" s="14" t="str">
        <f aca="false">IF(Raw_Data!C383="","",Raw_Data!C383)</f>
        <v/>
      </c>
      <c r="D383" s="13" t="n">
        <f aca="false">IF(Raw_Data!D383="","",Raw_Data!D383)</f>
        <v>42</v>
      </c>
      <c r="E383" s="13" t="str">
        <f aca="false">IF(UPPER(LEFT(TRIM(Raw_Data!E383),1))="M","Male",IF(UPPER(LEFT(TRIM(Raw_Data!E383),1))="F","Female","Unknown"))</f>
        <v>Male</v>
      </c>
      <c r="F383" s="13" t="str">
        <f aca="false">PROPER(TRIM(SUBSTITUTE(Raw_Data!F383,"'","")))</f>
        <v>High School</v>
      </c>
      <c r="G383" s="13" t="str">
        <f aca="false">PROPER(TRIM(Raw_Data!G383))</f>
        <v>Engineering</v>
      </c>
      <c r="H383" s="13" t="str">
        <f aca="false">PROPER(TRIM(Raw_Data!H383))</f>
        <v>Associate</v>
      </c>
      <c r="I383" s="17" t="n">
        <f aca="false">IF(Raw_Data!I383="",DefaultPerf,Raw_Data!I383)</f>
        <v>3</v>
      </c>
      <c r="J383" s="13" t="n">
        <f aca="false">IF(Raw_Data!J383="",DefaultSat,Raw_Data!J383)</f>
        <v>3</v>
      </c>
      <c r="K383" s="15" t="n">
        <f aca="false">Raw_Data!K383</f>
        <v>39500</v>
      </c>
      <c r="L383" s="13" t="str">
        <f aca="false">PROPER(TRIM(Raw_Data!N383))</f>
        <v>No</v>
      </c>
      <c r="M383" s="13" t="n">
        <f aca="false">IF(C383="",0,1)</f>
        <v>0</v>
      </c>
      <c r="N383" s="13" t="str">
        <f aca="false">IF(M383=0,"Active",IF(TRIM(Raw_Data!L383)="","Unknown",PROPER(TRIM(Raw_Data!L383))))</f>
        <v>Active</v>
      </c>
      <c r="O383" s="13" t="str">
        <f aca="false">IF(M383=0,"",IF(TRIM(Raw_Data!M383)="","Not Recorded",TRIM(Raw_Data!M383)))</f>
        <v/>
      </c>
      <c r="P383" s="16" t="n">
        <f aca="false">ROUND((IF(C383="",AsOfDate,C383)-B383)/365.25,2)</f>
        <v>10.2</v>
      </c>
      <c r="Q383" s="13" t="str">
        <f aca="false">IF(D383="","Unknown",IF(D383&lt;25,"Under 25",IF(D383&lt;35,"25-34",IF(D383&lt;45,"35-44",IF(D383&lt;55,"45-54","55+")))))</f>
        <v>35-44</v>
      </c>
      <c r="R383" s="13" t="str">
        <f aca="false">IF(P383&lt;1,"0-1 yrs",IF(P383&lt;3,"1-3 yrs",IF(P383&lt;5,"3-5 yrs",IF(P383&lt;10,"5-10 yrs","10+ yrs"))))</f>
        <v>10+ yrs</v>
      </c>
      <c r="S383" s="13" t="str">
        <f aca="false">IF(I383&gt;=4,"High",IF(I383=3,"Medium","Low"))</f>
        <v>Medium</v>
      </c>
      <c r="T383" s="13" t="str">
        <f aca="false">IF(M383=1,YEAR(C383),"")</f>
        <v/>
      </c>
      <c r="U383" s="13" t="str">
        <f aca="false">IF(M383=1,YEAR(C383)&amp;"-Q"&amp;ROUNDUP(MONTH(C383)/3,0),"")</f>
        <v/>
      </c>
      <c r="V383" s="13" t="str">
        <f aca="false">IF(M383=1,MONTH(C383),"")</f>
        <v/>
      </c>
    </row>
    <row r="384" customFormat="false" ht="15" hidden="false" customHeight="false" outlineLevel="0" collapsed="false">
      <c r="A384" s="13" t="str">
        <f aca="false">TRIM(Raw_Data!A384)</f>
        <v>EMP0383</v>
      </c>
      <c r="B384" s="14" t="n">
        <f aca="false">Raw_Data!B384</f>
        <v>42299</v>
      </c>
      <c r="C384" s="14" t="n">
        <f aca="false">IF(Raw_Data!C384="","",Raw_Data!C384)</f>
        <v>45274</v>
      </c>
      <c r="D384" s="13" t="n">
        <f aca="false">IF(Raw_Data!D384="","",Raw_Data!D384)</f>
        <v>35</v>
      </c>
      <c r="E384" s="13" t="str">
        <f aca="false">IF(UPPER(LEFT(TRIM(Raw_Data!E384),1))="M","Male",IF(UPPER(LEFT(TRIM(Raw_Data!E384),1))="F","Female","Unknown"))</f>
        <v>Male</v>
      </c>
      <c r="F384" s="13" t="str">
        <f aca="false">PROPER(TRIM(SUBSTITUTE(Raw_Data!F384,"'","")))</f>
        <v>Bachelors</v>
      </c>
      <c r="G384" s="13" t="str">
        <f aca="false">PROPER(TRIM(Raw_Data!G384))</f>
        <v>Sales</v>
      </c>
      <c r="H384" s="13" t="str">
        <f aca="false">PROPER(TRIM(Raw_Data!H384))</f>
        <v>Analyst</v>
      </c>
      <c r="I384" s="13" t="n">
        <f aca="false">IF(Raw_Data!I384="",DefaultPerf,Raw_Data!I384)</f>
        <v>3</v>
      </c>
      <c r="J384" s="13" t="n">
        <f aca="false">IF(Raw_Data!J384="",DefaultSat,Raw_Data!J384)</f>
        <v>1</v>
      </c>
      <c r="K384" s="15" t="n">
        <f aca="false">Raw_Data!K384</f>
        <v>64500</v>
      </c>
      <c r="L384" s="13" t="str">
        <f aca="false">PROPER(TRIM(Raw_Data!N384))</f>
        <v>Yes</v>
      </c>
      <c r="M384" s="13" t="n">
        <f aca="false">IF(C384="",0,1)</f>
        <v>1</v>
      </c>
      <c r="N384" s="13" t="str">
        <f aca="false">IF(M384=0,"Active",IF(TRIM(Raw_Data!L384)="","Unknown",PROPER(TRIM(Raw_Data!L384))))</f>
        <v>Involuntary</v>
      </c>
      <c r="O384" s="13" t="str">
        <f aca="false">IF(M384=0,"",IF(TRIM(Raw_Data!M384)="","Not Recorded",TRIM(Raw_Data!M384)))</f>
        <v>Restructuring / Layoff</v>
      </c>
      <c r="P384" s="16" t="n">
        <f aca="false">ROUND((IF(C384="",AsOfDate,C384)-B384)/365.25,2)</f>
        <v>8.15</v>
      </c>
      <c r="Q384" s="13" t="str">
        <f aca="false">IF(D384="","Unknown",IF(D384&lt;25,"Under 25",IF(D384&lt;35,"25-34",IF(D384&lt;45,"35-44",IF(D384&lt;55,"45-54","55+")))))</f>
        <v>35-44</v>
      </c>
      <c r="R384" s="13" t="str">
        <f aca="false">IF(P384&lt;1,"0-1 yrs",IF(P384&lt;3,"1-3 yrs",IF(P384&lt;5,"3-5 yrs",IF(P384&lt;10,"5-10 yrs","10+ yrs"))))</f>
        <v>5-10 yrs</v>
      </c>
      <c r="S384" s="13" t="str">
        <f aca="false">IF(I384&gt;=4,"High",IF(I384=3,"Medium","Low"))</f>
        <v>Medium</v>
      </c>
      <c r="T384" s="13" t="n">
        <f aca="false">IF(M384=1,YEAR(C384),"")</f>
        <v>2023</v>
      </c>
      <c r="U384" s="13" t="str">
        <f aca="false">IF(M384=1,YEAR(C384)&amp;"-Q"&amp;ROUNDUP(MONTH(C384)/3,0),"")</f>
        <v>2023-Q4</v>
      </c>
      <c r="V384" s="13" t="n">
        <f aca="false">IF(M384=1,MONTH(C384),"")</f>
        <v>12</v>
      </c>
    </row>
    <row r="385" customFormat="false" ht="15" hidden="false" customHeight="false" outlineLevel="0" collapsed="false">
      <c r="A385" s="13" t="str">
        <f aca="false">TRIM(Raw_Data!A385)</f>
        <v>EMP0384</v>
      </c>
      <c r="B385" s="14" t="n">
        <f aca="false">Raw_Data!B385</f>
        <v>42300</v>
      </c>
      <c r="C385" s="14" t="str">
        <f aca="false">IF(Raw_Data!C385="","",Raw_Data!C385)</f>
        <v/>
      </c>
      <c r="D385" s="13" t="n">
        <f aca="false">IF(Raw_Data!D385="","",Raw_Data!D385)</f>
        <v>31</v>
      </c>
      <c r="E385" s="13" t="str">
        <f aca="false">IF(UPPER(LEFT(TRIM(Raw_Data!E385),1))="M","Male",IF(UPPER(LEFT(TRIM(Raw_Data!E385),1))="F","Female","Unknown"))</f>
        <v>Male</v>
      </c>
      <c r="F385" s="13" t="str">
        <f aca="false">PROPER(TRIM(SUBSTITUTE(Raw_Data!F385,"'","")))</f>
        <v>Bachelors</v>
      </c>
      <c r="G385" s="13" t="str">
        <f aca="false">PROPER(TRIM(Raw_Data!G385))</f>
        <v>Engineering</v>
      </c>
      <c r="H385" s="13" t="str">
        <f aca="false">PROPER(TRIM(Raw_Data!H385))</f>
        <v>Analyst</v>
      </c>
      <c r="I385" s="13" t="n">
        <f aca="false">IF(Raw_Data!I385="",DefaultPerf,Raw_Data!I385)</f>
        <v>4</v>
      </c>
      <c r="J385" s="13" t="n">
        <f aca="false">IF(Raw_Data!J385="",DefaultSat,Raw_Data!J385)</f>
        <v>2</v>
      </c>
      <c r="K385" s="15" t="n">
        <f aca="false">Raw_Data!K385</f>
        <v>88000</v>
      </c>
      <c r="L385" s="13" t="str">
        <f aca="false">PROPER(TRIM(Raw_Data!N385))</f>
        <v>No</v>
      </c>
      <c r="M385" s="13" t="n">
        <f aca="false">IF(C385="",0,1)</f>
        <v>0</v>
      </c>
      <c r="N385" s="13" t="str">
        <f aca="false">IF(M385=0,"Active",IF(TRIM(Raw_Data!L385)="","Unknown",PROPER(TRIM(Raw_Data!L385))))</f>
        <v>Active</v>
      </c>
      <c r="O385" s="13" t="str">
        <f aca="false">IF(M385=0,"",IF(TRIM(Raw_Data!M385)="","Not Recorded",TRIM(Raw_Data!M385)))</f>
        <v/>
      </c>
      <c r="P385" s="16" t="n">
        <f aca="false">ROUND((IF(C385="",AsOfDate,C385)-B385)/365.25,2)</f>
        <v>10.19</v>
      </c>
      <c r="Q385" s="13" t="str">
        <f aca="false">IF(D385="","Unknown",IF(D385&lt;25,"Under 25",IF(D385&lt;35,"25-34",IF(D385&lt;45,"35-44",IF(D385&lt;55,"45-54","55+")))))</f>
        <v>25-34</v>
      </c>
      <c r="R385" s="13" t="str">
        <f aca="false">IF(P385&lt;1,"0-1 yrs",IF(P385&lt;3,"1-3 yrs",IF(P385&lt;5,"3-5 yrs",IF(P385&lt;10,"5-10 yrs","10+ yrs"))))</f>
        <v>10+ yrs</v>
      </c>
      <c r="S385" s="13" t="str">
        <f aca="false">IF(I385&gt;=4,"High",IF(I385=3,"Medium","Low"))</f>
        <v>High</v>
      </c>
      <c r="T385" s="13" t="str">
        <f aca="false">IF(M385=1,YEAR(C385),"")</f>
        <v/>
      </c>
      <c r="U385" s="13" t="str">
        <f aca="false">IF(M385=1,YEAR(C385)&amp;"-Q"&amp;ROUNDUP(MONTH(C385)/3,0),"")</f>
        <v/>
      </c>
      <c r="V385" s="13" t="str">
        <f aca="false">IF(M385=1,MONTH(C385),"")</f>
        <v/>
      </c>
    </row>
    <row r="386" customFormat="false" ht="15" hidden="false" customHeight="false" outlineLevel="0" collapsed="false">
      <c r="A386" s="13" t="str">
        <f aca="false">TRIM(Raw_Data!A386)</f>
        <v>EMP0385</v>
      </c>
      <c r="B386" s="14" t="n">
        <f aca="false">Raw_Data!B386</f>
        <v>42303</v>
      </c>
      <c r="C386" s="14" t="str">
        <f aca="false">IF(Raw_Data!C386="","",Raw_Data!C386)</f>
        <v/>
      </c>
      <c r="D386" s="13" t="n">
        <f aca="false">IF(Raw_Data!D386="","",Raw_Data!D386)</f>
        <v>37</v>
      </c>
      <c r="E386" s="13" t="str">
        <f aca="false">IF(UPPER(LEFT(TRIM(Raw_Data!E386),1))="M","Male",IF(UPPER(LEFT(TRIM(Raw_Data!E386),1))="F","Female","Unknown"))</f>
        <v>Female</v>
      </c>
      <c r="F386" s="13" t="str">
        <f aca="false">PROPER(TRIM(SUBSTITUTE(Raw_Data!F386,"'","")))</f>
        <v>Bachelors</v>
      </c>
      <c r="G386" s="13" t="str">
        <f aca="false">PROPER(TRIM(Raw_Data!G386))</f>
        <v>Engineering</v>
      </c>
      <c r="H386" s="13" t="str">
        <f aca="false">PROPER(TRIM(Raw_Data!H386))</f>
        <v>Manager</v>
      </c>
      <c r="I386" s="13" t="n">
        <f aca="false">IF(Raw_Data!I386="",DefaultPerf,Raw_Data!I386)</f>
        <v>3</v>
      </c>
      <c r="J386" s="13" t="n">
        <f aca="false">IF(Raw_Data!J386="",DefaultSat,Raw_Data!J386)</f>
        <v>1</v>
      </c>
      <c r="K386" s="15" t="n">
        <f aca="false">Raw_Data!K386</f>
        <v>216000</v>
      </c>
      <c r="L386" s="13" t="str">
        <f aca="false">PROPER(TRIM(Raw_Data!N386))</f>
        <v>No</v>
      </c>
      <c r="M386" s="13" t="n">
        <f aca="false">IF(C386="",0,1)</f>
        <v>0</v>
      </c>
      <c r="N386" s="13" t="str">
        <f aca="false">IF(M386=0,"Active",IF(TRIM(Raw_Data!L386)="","Unknown",PROPER(TRIM(Raw_Data!L386))))</f>
        <v>Active</v>
      </c>
      <c r="O386" s="13" t="str">
        <f aca="false">IF(M386=0,"",IF(TRIM(Raw_Data!M386)="","Not Recorded",TRIM(Raw_Data!M386)))</f>
        <v/>
      </c>
      <c r="P386" s="16" t="n">
        <f aca="false">ROUND((IF(C386="",AsOfDate,C386)-B386)/365.25,2)</f>
        <v>10.18</v>
      </c>
      <c r="Q386" s="13" t="str">
        <f aca="false">IF(D386="","Unknown",IF(D386&lt;25,"Under 25",IF(D386&lt;35,"25-34",IF(D386&lt;45,"35-44",IF(D386&lt;55,"45-54","55+")))))</f>
        <v>35-44</v>
      </c>
      <c r="R386" s="13" t="str">
        <f aca="false">IF(P386&lt;1,"0-1 yrs",IF(P386&lt;3,"1-3 yrs",IF(P386&lt;5,"3-5 yrs",IF(P386&lt;10,"5-10 yrs","10+ yrs"))))</f>
        <v>10+ yrs</v>
      </c>
      <c r="S386" s="13" t="str">
        <f aca="false">IF(I386&gt;=4,"High",IF(I386=3,"Medium","Low"))</f>
        <v>Medium</v>
      </c>
      <c r="T386" s="13" t="str">
        <f aca="false">IF(M386=1,YEAR(C386),"")</f>
        <v/>
      </c>
      <c r="U386" s="13" t="str">
        <f aca="false">IF(M386=1,YEAR(C386)&amp;"-Q"&amp;ROUNDUP(MONTH(C386)/3,0),"")</f>
        <v/>
      </c>
      <c r="V386" s="13" t="str">
        <f aca="false">IF(M386=1,MONTH(C386),"")</f>
        <v/>
      </c>
    </row>
    <row r="387" customFormat="false" ht="15" hidden="false" customHeight="false" outlineLevel="0" collapsed="false">
      <c r="A387" s="13" t="str">
        <f aca="false">TRIM(Raw_Data!A387)</f>
        <v>EMP0386</v>
      </c>
      <c r="B387" s="14" t="n">
        <f aca="false">Raw_Data!B387</f>
        <v>42311</v>
      </c>
      <c r="C387" s="14" t="str">
        <f aca="false">IF(Raw_Data!C387="","",Raw_Data!C387)</f>
        <v/>
      </c>
      <c r="D387" s="13" t="n">
        <f aca="false">IF(Raw_Data!D387="","",Raw_Data!D387)</f>
        <v>43</v>
      </c>
      <c r="E387" s="13" t="str">
        <f aca="false">IF(UPPER(LEFT(TRIM(Raw_Data!E387),1))="M","Male",IF(UPPER(LEFT(TRIM(Raw_Data!E387),1))="F","Female","Unknown"))</f>
        <v>Female</v>
      </c>
      <c r="F387" s="13" t="str">
        <f aca="false">PROPER(TRIM(SUBSTITUTE(Raw_Data!F387,"'","")))</f>
        <v>Diploma</v>
      </c>
      <c r="G387" s="13" t="str">
        <f aca="false">PROPER(TRIM(Raw_Data!G387))</f>
        <v>Finance</v>
      </c>
      <c r="H387" s="13" t="str">
        <f aca="false">PROPER(TRIM(Raw_Data!H387))</f>
        <v>Specialist</v>
      </c>
      <c r="I387" s="13" t="n">
        <f aca="false">IF(Raw_Data!I387="",DefaultPerf,Raw_Data!I387)</f>
        <v>3</v>
      </c>
      <c r="J387" s="13" t="n">
        <f aca="false">IF(Raw_Data!J387="",DefaultSat,Raw_Data!J387)</f>
        <v>4</v>
      </c>
      <c r="K387" s="15" t="n">
        <f aca="false">Raw_Data!K387</f>
        <v>105000</v>
      </c>
      <c r="L387" s="13" t="str">
        <f aca="false">PROPER(TRIM(Raw_Data!N387))</f>
        <v>No</v>
      </c>
      <c r="M387" s="13" t="n">
        <f aca="false">IF(C387="",0,1)</f>
        <v>0</v>
      </c>
      <c r="N387" s="13" t="str">
        <f aca="false">IF(M387=0,"Active",IF(TRIM(Raw_Data!L387)="","Unknown",PROPER(TRIM(Raw_Data!L387))))</f>
        <v>Active</v>
      </c>
      <c r="O387" s="13" t="str">
        <f aca="false">IF(M387=0,"",IF(TRIM(Raw_Data!M387)="","Not Recorded",TRIM(Raw_Data!M387)))</f>
        <v/>
      </c>
      <c r="P387" s="16" t="n">
        <f aca="false">ROUND((IF(C387="",AsOfDate,C387)-B387)/365.25,2)</f>
        <v>10.16</v>
      </c>
      <c r="Q387" s="13" t="str">
        <f aca="false">IF(D387="","Unknown",IF(D387&lt;25,"Under 25",IF(D387&lt;35,"25-34",IF(D387&lt;45,"35-44",IF(D387&lt;55,"45-54","55+")))))</f>
        <v>35-44</v>
      </c>
      <c r="R387" s="13" t="str">
        <f aca="false">IF(P387&lt;1,"0-1 yrs",IF(P387&lt;3,"1-3 yrs",IF(P387&lt;5,"3-5 yrs",IF(P387&lt;10,"5-10 yrs","10+ yrs"))))</f>
        <v>10+ yrs</v>
      </c>
      <c r="S387" s="13" t="str">
        <f aca="false">IF(I387&gt;=4,"High",IF(I387=3,"Medium","Low"))</f>
        <v>Medium</v>
      </c>
      <c r="T387" s="13" t="str">
        <f aca="false">IF(M387=1,YEAR(C387),"")</f>
        <v/>
      </c>
      <c r="U387" s="13" t="str">
        <f aca="false">IF(M387=1,YEAR(C387)&amp;"-Q"&amp;ROUNDUP(MONTH(C387)/3,0),"")</f>
        <v/>
      </c>
      <c r="V387" s="13" t="str">
        <f aca="false">IF(M387=1,MONTH(C387),"")</f>
        <v/>
      </c>
    </row>
    <row r="388" customFormat="false" ht="15" hidden="false" customHeight="false" outlineLevel="0" collapsed="false">
      <c r="A388" s="13" t="str">
        <f aca="false">TRIM(Raw_Data!A388)</f>
        <v>EMP0387</v>
      </c>
      <c r="B388" s="14" t="n">
        <f aca="false">Raw_Data!B388</f>
        <v>42312</v>
      </c>
      <c r="C388" s="14" t="n">
        <f aca="false">IF(Raw_Data!C388="","",Raw_Data!C388)</f>
        <v>45673</v>
      </c>
      <c r="D388" s="13" t="n">
        <f aca="false">IF(Raw_Data!D388="","",Raw_Data!D388)</f>
        <v>38</v>
      </c>
      <c r="E388" s="13" t="str">
        <f aca="false">IF(UPPER(LEFT(TRIM(Raw_Data!E388),1))="M","Male",IF(UPPER(LEFT(TRIM(Raw_Data!E388),1))="F","Female","Unknown"))</f>
        <v>Female</v>
      </c>
      <c r="F388" s="13" t="str">
        <f aca="false">PROPER(TRIM(SUBSTITUTE(Raw_Data!F388,"'","")))</f>
        <v>Masters</v>
      </c>
      <c r="G388" s="13" t="str">
        <f aca="false">PROPER(TRIM(Raw_Data!G388))</f>
        <v>Finance</v>
      </c>
      <c r="H388" s="13" t="str">
        <f aca="false">PROPER(TRIM(Raw_Data!H388))</f>
        <v>Senior Analyst</v>
      </c>
      <c r="I388" s="13" t="n">
        <f aca="false">IF(Raw_Data!I388="",DefaultPerf,Raw_Data!I388)</f>
        <v>2</v>
      </c>
      <c r="J388" s="13" t="n">
        <f aca="false">IF(Raw_Data!J388="",DefaultSat,Raw_Data!J388)</f>
        <v>1</v>
      </c>
      <c r="K388" s="15" t="n">
        <f aca="false">Raw_Data!K388</f>
        <v>117000</v>
      </c>
      <c r="L388" s="13" t="str">
        <f aca="false">PROPER(TRIM(Raw_Data!N388))</f>
        <v>No</v>
      </c>
      <c r="M388" s="13" t="n">
        <f aca="false">IF(C388="",0,1)</f>
        <v>1</v>
      </c>
      <c r="N388" s="13" t="str">
        <f aca="false">IF(M388=0,"Active",IF(TRIM(Raw_Data!L388)="","Unknown",PROPER(TRIM(Raw_Data!L388))))</f>
        <v>Involuntary</v>
      </c>
      <c r="O388" s="13" t="str">
        <f aca="false">IF(M388=0,"",IF(TRIM(Raw_Data!M388)="","Not Recorded",TRIM(Raw_Data!M388)))</f>
        <v>End of Contract</v>
      </c>
      <c r="P388" s="16" t="n">
        <f aca="false">ROUND((IF(C388="",AsOfDate,C388)-B388)/365.25,2)</f>
        <v>9.2</v>
      </c>
      <c r="Q388" s="13" t="str">
        <f aca="false">IF(D388="","Unknown",IF(D388&lt;25,"Under 25",IF(D388&lt;35,"25-34",IF(D388&lt;45,"35-44",IF(D388&lt;55,"45-54","55+")))))</f>
        <v>35-44</v>
      </c>
      <c r="R388" s="13" t="str">
        <f aca="false">IF(P388&lt;1,"0-1 yrs",IF(P388&lt;3,"1-3 yrs",IF(P388&lt;5,"3-5 yrs",IF(P388&lt;10,"5-10 yrs","10+ yrs"))))</f>
        <v>5-10 yrs</v>
      </c>
      <c r="S388" s="13" t="str">
        <f aca="false">IF(I388&gt;=4,"High",IF(I388=3,"Medium","Low"))</f>
        <v>Low</v>
      </c>
      <c r="T388" s="13" t="n">
        <f aca="false">IF(M388=1,YEAR(C388),"")</f>
        <v>2025</v>
      </c>
      <c r="U388" s="13" t="str">
        <f aca="false">IF(M388=1,YEAR(C388)&amp;"-Q"&amp;ROUNDUP(MONTH(C388)/3,0),"")</f>
        <v>2025-Q1</v>
      </c>
      <c r="V388" s="13" t="n">
        <f aca="false">IF(M388=1,MONTH(C388),"")</f>
        <v>1</v>
      </c>
    </row>
    <row r="389" customFormat="false" ht="15" hidden="false" customHeight="false" outlineLevel="0" collapsed="false">
      <c r="A389" s="13" t="str">
        <f aca="false">TRIM(Raw_Data!A389)</f>
        <v>EMP0388</v>
      </c>
      <c r="B389" s="14" t="n">
        <f aca="false">Raw_Data!B389</f>
        <v>42313</v>
      </c>
      <c r="C389" s="14" t="str">
        <f aca="false">IF(Raw_Data!C389="","",Raw_Data!C389)</f>
        <v/>
      </c>
      <c r="D389" s="13" t="n">
        <f aca="false">IF(Raw_Data!D389="","",Raw_Data!D389)</f>
        <v>31</v>
      </c>
      <c r="E389" s="13" t="str">
        <f aca="false">IF(UPPER(LEFT(TRIM(Raw_Data!E389),1))="M","Male",IF(UPPER(LEFT(TRIM(Raw_Data!E389),1))="F","Female","Unknown"))</f>
        <v>Male</v>
      </c>
      <c r="F389" s="13" t="str">
        <f aca="false">PROPER(TRIM(SUBSTITUTE(Raw_Data!F389,"'","")))</f>
        <v>Diploma</v>
      </c>
      <c r="G389" s="13" t="str">
        <f aca="false">PROPER(TRIM(Raw_Data!G389))</f>
        <v>Finance</v>
      </c>
      <c r="H389" s="13" t="str">
        <f aca="false">PROPER(TRIM(Raw_Data!H389))</f>
        <v>Specialist</v>
      </c>
      <c r="I389" s="13" t="n">
        <f aca="false">IF(Raw_Data!I389="",DefaultPerf,Raw_Data!I389)</f>
        <v>3</v>
      </c>
      <c r="J389" s="13" t="n">
        <f aca="false">IF(Raw_Data!J389="",DefaultSat,Raw_Data!J389)</f>
        <v>4</v>
      </c>
      <c r="K389" s="15" t="n">
        <f aca="false">Raw_Data!K389</f>
        <v>117500</v>
      </c>
      <c r="L389" s="13" t="str">
        <f aca="false">PROPER(TRIM(Raw_Data!N389))</f>
        <v>No</v>
      </c>
      <c r="M389" s="13" t="n">
        <f aca="false">IF(C389="",0,1)</f>
        <v>0</v>
      </c>
      <c r="N389" s="13" t="str">
        <f aca="false">IF(M389=0,"Active",IF(TRIM(Raw_Data!L389)="","Unknown",PROPER(TRIM(Raw_Data!L389))))</f>
        <v>Active</v>
      </c>
      <c r="O389" s="13" t="str">
        <f aca="false">IF(M389=0,"",IF(TRIM(Raw_Data!M389)="","Not Recorded",TRIM(Raw_Data!M389)))</f>
        <v/>
      </c>
      <c r="P389" s="16" t="n">
        <f aca="false">ROUND((IF(C389="",AsOfDate,C389)-B389)/365.25,2)</f>
        <v>10.15</v>
      </c>
      <c r="Q389" s="13" t="str">
        <f aca="false">IF(D389="","Unknown",IF(D389&lt;25,"Under 25",IF(D389&lt;35,"25-34",IF(D389&lt;45,"35-44",IF(D389&lt;55,"45-54","55+")))))</f>
        <v>25-34</v>
      </c>
      <c r="R389" s="13" t="str">
        <f aca="false">IF(P389&lt;1,"0-1 yrs",IF(P389&lt;3,"1-3 yrs",IF(P389&lt;5,"3-5 yrs",IF(P389&lt;10,"5-10 yrs","10+ yrs"))))</f>
        <v>10+ yrs</v>
      </c>
      <c r="S389" s="13" t="str">
        <f aca="false">IF(I389&gt;=4,"High",IF(I389=3,"Medium","Low"))</f>
        <v>Medium</v>
      </c>
      <c r="T389" s="13" t="str">
        <f aca="false">IF(M389=1,YEAR(C389),"")</f>
        <v/>
      </c>
      <c r="U389" s="13" t="str">
        <f aca="false">IF(M389=1,YEAR(C389)&amp;"-Q"&amp;ROUNDUP(MONTH(C389)/3,0),"")</f>
        <v/>
      </c>
      <c r="V389" s="13" t="str">
        <f aca="false">IF(M389=1,MONTH(C389),"")</f>
        <v/>
      </c>
    </row>
    <row r="390" customFormat="false" ht="15" hidden="false" customHeight="false" outlineLevel="0" collapsed="false">
      <c r="A390" s="13" t="str">
        <f aca="false">TRIM(Raw_Data!A390)</f>
        <v>EMP0389</v>
      </c>
      <c r="B390" s="14" t="n">
        <f aca="false">Raw_Data!B390</f>
        <v>42314</v>
      </c>
      <c r="C390" s="14" t="n">
        <f aca="false">IF(Raw_Data!C390="","",Raw_Data!C390)</f>
        <v>45260</v>
      </c>
      <c r="D390" s="13" t="n">
        <f aca="false">IF(Raw_Data!D390="","",Raw_Data!D390)</f>
        <v>31</v>
      </c>
      <c r="E390" s="13" t="str">
        <f aca="false">IF(UPPER(LEFT(TRIM(Raw_Data!E390),1))="M","Male",IF(UPPER(LEFT(TRIM(Raw_Data!E390),1))="F","Female","Unknown"))</f>
        <v>Female</v>
      </c>
      <c r="F390" s="13" t="str">
        <f aca="false">PROPER(TRIM(SUBSTITUTE(Raw_Data!F390,"'","")))</f>
        <v>Diploma</v>
      </c>
      <c r="G390" s="13" t="str">
        <f aca="false">PROPER(TRIM(Raw_Data!G390))</f>
        <v>Finance</v>
      </c>
      <c r="H390" s="13" t="str">
        <f aca="false">PROPER(TRIM(Raw_Data!H390))</f>
        <v>Associate</v>
      </c>
      <c r="I390" s="13" t="n">
        <f aca="false">IF(Raw_Data!I390="",DefaultPerf,Raw_Data!I390)</f>
        <v>2</v>
      </c>
      <c r="J390" s="13" t="n">
        <f aca="false">IF(Raw_Data!J390="",DefaultSat,Raw_Data!J390)</f>
        <v>4</v>
      </c>
      <c r="K390" s="15" t="n">
        <f aca="false">Raw_Data!K390</f>
        <v>55500</v>
      </c>
      <c r="L390" s="13" t="str">
        <f aca="false">PROPER(TRIM(Raw_Data!N390))</f>
        <v>No</v>
      </c>
      <c r="M390" s="13" t="n">
        <f aca="false">IF(C390="",0,1)</f>
        <v>1</v>
      </c>
      <c r="N390" s="13" t="str">
        <f aca="false">IF(M390=0,"Active",IF(TRIM(Raw_Data!L390)="","Unknown",PROPER(TRIM(Raw_Data!L390))))</f>
        <v>Involuntary</v>
      </c>
      <c r="O390" s="13" t="str">
        <f aca="false">IF(M390=0,"",IF(TRIM(Raw_Data!M390)="","Not Recorded",TRIM(Raw_Data!M390)))</f>
        <v>Restructuring / Layoff</v>
      </c>
      <c r="P390" s="16" t="n">
        <f aca="false">ROUND((IF(C390="",AsOfDate,C390)-B390)/365.25,2)</f>
        <v>8.07</v>
      </c>
      <c r="Q390" s="13" t="str">
        <f aca="false">IF(D390="","Unknown",IF(D390&lt;25,"Under 25",IF(D390&lt;35,"25-34",IF(D390&lt;45,"35-44",IF(D390&lt;55,"45-54","55+")))))</f>
        <v>25-34</v>
      </c>
      <c r="R390" s="13" t="str">
        <f aca="false">IF(P390&lt;1,"0-1 yrs",IF(P390&lt;3,"1-3 yrs",IF(P390&lt;5,"3-5 yrs",IF(P390&lt;10,"5-10 yrs","10+ yrs"))))</f>
        <v>5-10 yrs</v>
      </c>
      <c r="S390" s="13" t="str">
        <f aca="false">IF(I390&gt;=4,"High",IF(I390=3,"Medium","Low"))</f>
        <v>Low</v>
      </c>
      <c r="T390" s="13" t="n">
        <f aca="false">IF(M390=1,YEAR(C390),"")</f>
        <v>2023</v>
      </c>
      <c r="U390" s="13" t="str">
        <f aca="false">IF(M390=1,YEAR(C390)&amp;"-Q"&amp;ROUNDUP(MONTH(C390)/3,0),"")</f>
        <v>2023-Q4</v>
      </c>
      <c r="V390" s="13" t="n">
        <f aca="false">IF(M390=1,MONTH(C390),"")</f>
        <v>11</v>
      </c>
    </row>
    <row r="391" customFormat="false" ht="15" hidden="false" customHeight="false" outlineLevel="0" collapsed="false">
      <c r="A391" s="13" t="str">
        <f aca="false">TRIM(Raw_Data!A391)</f>
        <v>EMP0390</v>
      </c>
      <c r="B391" s="14" t="n">
        <f aca="false">Raw_Data!B391</f>
        <v>42315</v>
      </c>
      <c r="C391" s="14" t="str">
        <f aca="false">IF(Raw_Data!C391="","",Raw_Data!C391)</f>
        <v/>
      </c>
      <c r="D391" s="13" t="n">
        <f aca="false">IF(Raw_Data!D391="","",Raw_Data!D391)</f>
        <v>39</v>
      </c>
      <c r="E391" s="13" t="str">
        <f aca="false">IF(UPPER(LEFT(TRIM(Raw_Data!E391),1))="M","Male",IF(UPPER(LEFT(TRIM(Raw_Data!E391),1))="F","Female","Unknown"))</f>
        <v>Male</v>
      </c>
      <c r="F391" s="13" t="str">
        <f aca="false">PROPER(TRIM(SUBSTITUTE(Raw_Data!F391,"'","")))</f>
        <v>Bachelors</v>
      </c>
      <c r="G391" s="13" t="str">
        <f aca="false">PROPER(TRIM(Raw_Data!G391))</f>
        <v>Human Resources</v>
      </c>
      <c r="H391" s="13" t="str">
        <f aca="false">PROPER(TRIM(Raw_Data!H391))</f>
        <v>Analyst</v>
      </c>
      <c r="I391" s="13" t="n">
        <f aca="false">IF(Raw_Data!I391="",DefaultPerf,Raw_Data!I391)</f>
        <v>3</v>
      </c>
      <c r="J391" s="13" t="n">
        <f aca="false">IF(Raw_Data!J391="",DefaultSat,Raw_Data!J391)</f>
        <v>3</v>
      </c>
      <c r="K391" s="15" t="n">
        <f aca="false">Raw_Data!K391</f>
        <v>79500</v>
      </c>
      <c r="L391" s="13" t="str">
        <f aca="false">PROPER(TRIM(Raw_Data!N391))</f>
        <v>No</v>
      </c>
      <c r="M391" s="13" t="n">
        <f aca="false">IF(C391="",0,1)</f>
        <v>0</v>
      </c>
      <c r="N391" s="13" t="str">
        <f aca="false">IF(M391=0,"Active",IF(TRIM(Raw_Data!L391)="","Unknown",PROPER(TRIM(Raw_Data!L391))))</f>
        <v>Active</v>
      </c>
      <c r="O391" s="13" t="str">
        <f aca="false">IF(M391=0,"",IF(TRIM(Raw_Data!M391)="","Not Recorded",TRIM(Raw_Data!M391)))</f>
        <v/>
      </c>
      <c r="P391" s="16" t="n">
        <f aca="false">ROUND((IF(C391="",AsOfDate,C391)-B391)/365.25,2)</f>
        <v>10.15</v>
      </c>
      <c r="Q391" s="13" t="str">
        <f aca="false">IF(D391="","Unknown",IF(D391&lt;25,"Under 25",IF(D391&lt;35,"25-34",IF(D391&lt;45,"35-44",IF(D391&lt;55,"45-54","55+")))))</f>
        <v>35-44</v>
      </c>
      <c r="R391" s="13" t="str">
        <f aca="false">IF(P391&lt;1,"0-1 yrs",IF(P391&lt;3,"1-3 yrs",IF(P391&lt;5,"3-5 yrs",IF(P391&lt;10,"5-10 yrs","10+ yrs"))))</f>
        <v>10+ yrs</v>
      </c>
      <c r="S391" s="13" t="str">
        <f aca="false">IF(I391&gt;=4,"High",IF(I391=3,"Medium","Low"))</f>
        <v>Medium</v>
      </c>
      <c r="T391" s="13" t="str">
        <f aca="false">IF(M391=1,YEAR(C391),"")</f>
        <v/>
      </c>
      <c r="U391" s="13" t="str">
        <f aca="false">IF(M391=1,YEAR(C391)&amp;"-Q"&amp;ROUNDUP(MONTH(C391)/3,0),"")</f>
        <v/>
      </c>
      <c r="V391" s="13" t="str">
        <f aca="false">IF(M391=1,MONTH(C391),"")</f>
        <v/>
      </c>
    </row>
    <row r="392" customFormat="false" ht="15" hidden="false" customHeight="false" outlineLevel="0" collapsed="false">
      <c r="A392" s="13" t="str">
        <f aca="false">TRIM(Raw_Data!A392)</f>
        <v>EMP0391</v>
      </c>
      <c r="B392" s="14" t="n">
        <f aca="false">Raw_Data!B392</f>
        <v>42320</v>
      </c>
      <c r="C392" s="14" t="str">
        <f aca="false">IF(Raw_Data!C392="","",Raw_Data!C392)</f>
        <v/>
      </c>
      <c r="D392" s="13" t="n">
        <f aca="false">IF(Raw_Data!D392="","",Raw_Data!D392)</f>
        <v>39</v>
      </c>
      <c r="E392" s="13" t="str">
        <f aca="false">IF(UPPER(LEFT(TRIM(Raw_Data!E392),1))="M","Male",IF(UPPER(LEFT(TRIM(Raw_Data!E392),1))="F","Female","Unknown"))</f>
        <v>Male</v>
      </c>
      <c r="F392" s="13" t="str">
        <f aca="false">PROPER(TRIM(SUBSTITUTE(Raw_Data!F392,"'","")))</f>
        <v>Masters</v>
      </c>
      <c r="G392" s="13" t="str">
        <f aca="false">PROPER(TRIM(Raw_Data!G392))</f>
        <v>Finance</v>
      </c>
      <c r="H392" s="13" t="str">
        <f aca="false">PROPER(TRIM(Raw_Data!H392))</f>
        <v>Analyst</v>
      </c>
      <c r="I392" s="13" t="n">
        <f aca="false">IF(Raw_Data!I392="",DefaultPerf,Raw_Data!I392)</f>
        <v>4</v>
      </c>
      <c r="J392" s="13" t="n">
        <f aca="false">IF(Raw_Data!J392="",DefaultSat,Raw_Data!J392)</f>
        <v>2</v>
      </c>
      <c r="K392" s="15" t="n">
        <f aca="false">Raw_Data!K392</f>
        <v>79000</v>
      </c>
      <c r="L392" s="13" t="str">
        <f aca="false">PROPER(TRIM(Raw_Data!N392))</f>
        <v>Yes</v>
      </c>
      <c r="M392" s="13" t="n">
        <f aca="false">IF(C392="",0,1)</f>
        <v>0</v>
      </c>
      <c r="N392" s="13" t="str">
        <f aca="false">IF(M392=0,"Active",IF(TRIM(Raw_Data!L392)="","Unknown",PROPER(TRIM(Raw_Data!L392))))</f>
        <v>Active</v>
      </c>
      <c r="O392" s="13" t="str">
        <f aca="false">IF(M392=0,"",IF(TRIM(Raw_Data!M392)="","Not Recorded",TRIM(Raw_Data!M392)))</f>
        <v/>
      </c>
      <c r="P392" s="16" t="n">
        <f aca="false">ROUND((IF(C392="",AsOfDate,C392)-B392)/365.25,2)</f>
        <v>10.14</v>
      </c>
      <c r="Q392" s="13" t="str">
        <f aca="false">IF(D392="","Unknown",IF(D392&lt;25,"Under 25",IF(D392&lt;35,"25-34",IF(D392&lt;45,"35-44",IF(D392&lt;55,"45-54","55+")))))</f>
        <v>35-44</v>
      </c>
      <c r="R392" s="13" t="str">
        <f aca="false">IF(P392&lt;1,"0-1 yrs",IF(P392&lt;3,"1-3 yrs",IF(P392&lt;5,"3-5 yrs",IF(P392&lt;10,"5-10 yrs","10+ yrs"))))</f>
        <v>10+ yrs</v>
      </c>
      <c r="S392" s="13" t="str">
        <f aca="false">IF(I392&gt;=4,"High",IF(I392=3,"Medium","Low"))</f>
        <v>High</v>
      </c>
      <c r="T392" s="13" t="str">
        <f aca="false">IF(M392=1,YEAR(C392),"")</f>
        <v/>
      </c>
      <c r="U392" s="13" t="str">
        <f aca="false">IF(M392=1,YEAR(C392)&amp;"-Q"&amp;ROUNDUP(MONTH(C392)/3,0),"")</f>
        <v/>
      </c>
      <c r="V392" s="13" t="str">
        <f aca="false">IF(M392=1,MONTH(C392),"")</f>
        <v/>
      </c>
    </row>
    <row r="393" customFormat="false" ht="15" hidden="false" customHeight="false" outlineLevel="0" collapsed="false">
      <c r="A393" s="13" t="str">
        <f aca="false">TRIM(Raw_Data!A393)</f>
        <v>EMP0392</v>
      </c>
      <c r="B393" s="14" t="n">
        <f aca="false">Raw_Data!B393</f>
        <v>42323</v>
      </c>
      <c r="C393" s="14" t="str">
        <f aca="false">IF(Raw_Data!C393="","",Raw_Data!C393)</f>
        <v/>
      </c>
      <c r="D393" s="13" t="n">
        <f aca="false">IF(Raw_Data!D393="","",Raw_Data!D393)</f>
        <v>40</v>
      </c>
      <c r="E393" s="13" t="str">
        <f aca="false">IF(UPPER(LEFT(TRIM(Raw_Data!E393),1))="M","Male",IF(UPPER(LEFT(TRIM(Raw_Data!E393),1))="F","Female","Unknown"))</f>
        <v>Male</v>
      </c>
      <c r="F393" s="13" t="str">
        <f aca="false">PROPER(TRIM(SUBSTITUTE(Raw_Data!F393,"'","")))</f>
        <v>Masters</v>
      </c>
      <c r="G393" s="13" t="str">
        <f aca="false">PROPER(TRIM(Raw_Data!G393))</f>
        <v>Engineering</v>
      </c>
      <c r="H393" s="13" t="str">
        <f aca="false">PROPER(TRIM(Raw_Data!H393))</f>
        <v>Senior Analyst</v>
      </c>
      <c r="I393" s="13" t="n">
        <f aca="false">IF(Raw_Data!I393="",DefaultPerf,Raw_Data!I393)</f>
        <v>4</v>
      </c>
      <c r="J393" s="13" t="n">
        <f aca="false">IF(Raw_Data!J393="",DefaultSat,Raw_Data!J393)</f>
        <v>3</v>
      </c>
      <c r="K393" s="15" t="n">
        <f aca="false">Raw_Data!K393</f>
        <v>118000</v>
      </c>
      <c r="L393" s="13" t="str">
        <f aca="false">PROPER(TRIM(Raw_Data!N393))</f>
        <v>No</v>
      </c>
      <c r="M393" s="13" t="n">
        <f aca="false">IF(C393="",0,1)</f>
        <v>0</v>
      </c>
      <c r="N393" s="13" t="str">
        <f aca="false">IF(M393=0,"Active",IF(TRIM(Raw_Data!L393)="","Unknown",PROPER(TRIM(Raw_Data!L393))))</f>
        <v>Active</v>
      </c>
      <c r="O393" s="13" t="str">
        <f aca="false">IF(M393=0,"",IF(TRIM(Raw_Data!M393)="","Not Recorded",TRIM(Raw_Data!M393)))</f>
        <v/>
      </c>
      <c r="P393" s="16" t="n">
        <f aca="false">ROUND((IF(C393="",AsOfDate,C393)-B393)/365.25,2)</f>
        <v>10.13</v>
      </c>
      <c r="Q393" s="13" t="str">
        <f aca="false">IF(D393="","Unknown",IF(D393&lt;25,"Under 25",IF(D393&lt;35,"25-34",IF(D393&lt;45,"35-44",IF(D393&lt;55,"45-54","55+")))))</f>
        <v>35-44</v>
      </c>
      <c r="R393" s="13" t="str">
        <f aca="false">IF(P393&lt;1,"0-1 yrs",IF(P393&lt;3,"1-3 yrs",IF(P393&lt;5,"3-5 yrs",IF(P393&lt;10,"5-10 yrs","10+ yrs"))))</f>
        <v>10+ yrs</v>
      </c>
      <c r="S393" s="13" t="str">
        <f aca="false">IF(I393&gt;=4,"High",IF(I393=3,"Medium","Low"))</f>
        <v>High</v>
      </c>
      <c r="T393" s="13" t="str">
        <f aca="false">IF(M393=1,YEAR(C393),"")</f>
        <v/>
      </c>
      <c r="U393" s="13" t="str">
        <f aca="false">IF(M393=1,YEAR(C393)&amp;"-Q"&amp;ROUNDUP(MONTH(C393)/3,0),"")</f>
        <v/>
      </c>
      <c r="V393" s="13" t="str">
        <f aca="false">IF(M393=1,MONTH(C393),"")</f>
        <v/>
      </c>
    </row>
    <row r="394" customFormat="false" ht="15" hidden="false" customHeight="false" outlineLevel="0" collapsed="false">
      <c r="A394" s="13" t="str">
        <f aca="false">TRIM(Raw_Data!A394)</f>
        <v>EMP0393</v>
      </c>
      <c r="B394" s="14" t="n">
        <f aca="false">Raw_Data!B394</f>
        <v>42326</v>
      </c>
      <c r="C394" s="14" t="n">
        <f aca="false">IF(Raw_Data!C394="","",Raw_Data!C394)</f>
        <v>44699</v>
      </c>
      <c r="D394" s="13" t="n">
        <f aca="false">IF(Raw_Data!D394="","",Raw_Data!D394)</f>
        <v>31</v>
      </c>
      <c r="E394" s="13" t="str">
        <f aca="false">IF(UPPER(LEFT(TRIM(Raw_Data!E394),1))="M","Male",IF(UPPER(LEFT(TRIM(Raw_Data!E394),1))="F","Female","Unknown"))</f>
        <v>Male</v>
      </c>
      <c r="F394" s="13" t="str">
        <f aca="false">PROPER(TRIM(SUBSTITUTE(Raw_Data!F394,"'","")))</f>
        <v>Bachelors</v>
      </c>
      <c r="G394" s="13" t="str">
        <f aca="false">PROPER(TRIM(Raw_Data!G394))</f>
        <v>Customer Support</v>
      </c>
      <c r="H394" s="13" t="str">
        <f aca="false">PROPER(TRIM(Raw_Data!H394))</f>
        <v>Associate</v>
      </c>
      <c r="I394" s="13" t="n">
        <f aca="false">IF(Raw_Data!I394="",DefaultPerf,Raw_Data!I394)</f>
        <v>2</v>
      </c>
      <c r="J394" s="13" t="n">
        <f aca="false">IF(Raw_Data!J394="",DefaultSat,Raw_Data!J394)</f>
        <v>1</v>
      </c>
      <c r="K394" s="15" t="n">
        <f aca="false">Raw_Data!K394</f>
        <v>47000</v>
      </c>
      <c r="L394" s="13" t="str">
        <f aca="false">PROPER(TRIM(Raw_Data!N394))</f>
        <v>Yes</v>
      </c>
      <c r="M394" s="13" t="n">
        <f aca="false">IF(C394="",0,1)</f>
        <v>1</v>
      </c>
      <c r="N394" s="13" t="str">
        <f aca="false">IF(M394=0,"Active",IF(TRIM(Raw_Data!L394)="","Unknown",PROPER(TRIM(Raw_Data!L394))))</f>
        <v>Voluntary</v>
      </c>
      <c r="O394" s="13" t="str">
        <f aca="false">IF(M394=0,"",IF(TRIM(Raw_Data!M394)="","Not Recorded",TRIM(Raw_Data!M394)))</f>
        <v>Career Growth</v>
      </c>
      <c r="P394" s="16" t="n">
        <f aca="false">ROUND((IF(C394="",AsOfDate,C394)-B394)/365.25,2)</f>
        <v>6.5</v>
      </c>
      <c r="Q394" s="13" t="str">
        <f aca="false">IF(D394="","Unknown",IF(D394&lt;25,"Under 25",IF(D394&lt;35,"25-34",IF(D394&lt;45,"35-44",IF(D394&lt;55,"45-54","55+")))))</f>
        <v>25-34</v>
      </c>
      <c r="R394" s="13" t="str">
        <f aca="false">IF(P394&lt;1,"0-1 yrs",IF(P394&lt;3,"1-3 yrs",IF(P394&lt;5,"3-5 yrs",IF(P394&lt;10,"5-10 yrs","10+ yrs"))))</f>
        <v>5-10 yrs</v>
      </c>
      <c r="S394" s="13" t="str">
        <f aca="false">IF(I394&gt;=4,"High",IF(I394=3,"Medium","Low"))</f>
        <v>Low</v>
      </c>
      <c r="T394" s="13" t="n">
        <f aca="false">IF(M394=1,YEAR(C394),"")</f>
        <v>2022</v>
      </c>
      <c r="U394" s="13" t="str">
        <f aca="false">IF(M394=1,YEAR(C394)&amp;"-Q"&amp;ROUNDUP(MONTH(C394)/3,0),"")</f>
        <v>2022-Q2</v>
      </c>
      <c r="V394" s="13" t="n">
        <f aca="false">IF(M394=1,MONTH(C394),"")</f>
        <v>5</v>
      </c>
    </row>
    <row r="395" customFormat="false" ht="15" hidden="false" customHeight="false" outlineLevel="0" collapsed="false">
      <c r="A395" s="13" t="str">
        <f aca="false">TRIM(Raw_Data!A395)</f>
        <v>EMP0394</v>
      </c>
      <c r="B395" s="14" t="n">
        <f aca="false">Raw_Data!B395</f>
        <v>42330</v>
      </c>
      <c r="C395" s="14" t="str">
        <f aca="false">IF(Raw_Data!C395="","",Raw_Data!C395)</f>
        <v/>
      </c>
      <c r="D395" s="13" t="n">
        <f aca="false">IF(Raw_Data!D395="","",Raw_Data!D395)</f>
        <v>31</v>
      </c>
      <c r="E395" s="13" t="str">
        <f aca="false">IF(UPPER(LEFT(TRIM(Raw_Data!E395),1))="M","Male",IF(UPPER(LEFT(TRIM(Raw_Data!E395),1))="F","Female","Unknown"))</f>
        <v>Male</v>
      </c>
      <c r="F395" s="13" t="str">
        <f aca="false">PROPER(TRIM(SUBSTITUTE(Raw_Data!F395,"'","")))</f>
        <v>High School</v>
      </c>
      <c r="G395" s="13" t="str">
        <f aca="false">PROPER(TRIM(Raw_Data!G395))</f>
        <v>Engineering</v>
      </c>
      <c r="H395" s="13" t="str">
        <f aca="false">PROPER(TRIM(Raw_Data!H395))</f>
        <v>Manager</v>
      </c>
      <c r="I395" s="13" t="n">
        <f aca="false">IF(Raw_Data!I395="",DefaultPerf,Raw_Data!I395)</f>
        <v>3</v>
      </c>
      <c r="J395" s="13" t="n">
        <f aca="false">IF(Raw_Data!J395="",DefaultSat,Raw_Data!J395)</f>
        <v>1</v>
      </c>
      <c r="K395" s="15" t="n">
        <f aca="false">Raw_Data!K395</f>
        <v>209000</v>
      </c>
      <c r="L395" s="13" t="str">
        <f aca="false">PROPER(TRIM(Raw_Data!N395))</f>
        <v>Yes</v>
      </c>
      <c r="M395" s="13" t="n">
        <f aca="false">IF(C395="",0,1)</f>
        <v>0</v>
      </c>
      <c r="N395" s="13" t="str">
        <f aca="false">IF(M395=0,"Active",IF(TRIM(Raw_Data!L395)="","Unknown",PROPER(TRIM(Raw_Data!L395))))</f>
        <v>Active</v>
      </c>
      <c r="O395" s="13" t="str">
        <f aca="false">IF(M395=0,"",IF(TRIM(Raw_Data!M395)="","Not Recorded",TRIM(Raw_Data!M395)))</f>
        <v/>
      </c>
      <c r="P395" s="16" t="n">
        <f aca="false">ROUND((IF(C395="",AsOfDate,C395)-B395)/365.25,2)</f>
        <v>10.11</v>
      </c>
      <c r="Q395" s="13" t="str">
        <f aca="false">IF(D395="","Unknown",IF(D395&lt;25,"Under 25",IF(D395&lt;35,"25-34",IF(D395&lt;45,"35-44",IF(D395&lt;55,"45-54","55+")))))</f>
        <v>25-34</v>
      </c>
      <c r="R395" s="13" t="str">
        <f aca="false">IF(P395&lt;1,"0-1 yrs",IF(P395&lt;3,"1-3 yrs",IF(P395&lt;5,"3-5 yrs",IF(P395&lt;10,"5-10 yrs","10+ yrs"))))</f>
        <v>10+ yrs</v>
      </c>
      <c r="S395" s="13" t="str">
        <f aca="false">IF(I395&gt;=4,"High",IF(I395=3,"Medium","Low"))</f>
        <v>Medium</v>
      </c>
      <c r="T395" s="13" t="str">
        <f aca="false">IF(M395=1,YEAR(C395),"")</f>
        <v/>
      </c>
      <c r="U395" s="13" t="str">
        <f aca="false">IF(M395=1,YEAR(C395)&amp;"-Q"&amp;ROUNDUP(MONTH(C395)/3,0),"")</f>
        <v/>
      </c>
      <c r="V395" s="13" t="str">
        <f aca="false">IF(M395=1,MONTH(C395),"")</f>
        <v/>
      </c>
    </row>
    <row r="396" customFormat="false" ht="15" hidden="false" customHeight="false" outlineLevel="0" collapsed="false">
      <c r="A396" s="13" t="str">
        <f aca="false">TRIM(Raw_Data!A396)</f>
        <v>EMP0395</v>
      </c>
      <c r="B396" s="14" t="n">
        <f aca="false">Raw_Data!B396</f>
        <v>42332</v>
      </c>
      <c r="C396" s="14" t="str">
        <f aca="false">IF(Raw_Data!C396="","",Raw_Data!C396)</f>
        <v/>
      </c>
      <c r="D396" s="13" t="n">
        <f aca="false">IF(Raw_Data!D396="","",Raw_Data!D396)</f>
        <v>37</v>
      </c>
      <c r="E396" s="13" t="str">
        <f aca="false">IF(UPPER(LEFT(TRIM(Raw_Data!E396),1))="M","Male",IF(UPPER(LEFT(TRIM(Raw_Data!E396),1))="F","Female","Unknown"))</f>
        <v>Female</v>
      </c>
      <c r="F396" s="13" t="str">
        <f aca="false">PROPER(TRIM(SUBSTITUTE(Raw_Data!F396,"'","")))</f>
        <v>Bachelors</v>
      </c>
      <c r="G396" s="13" t="str">
        <f aca="false">PROPER(TRIM(Raw_Data!G396))</f>
        <v>Sales</v>
      </c>
      <c r="H396" s="13" t="str">
        <f aca="false">PROPER(TRIM(Raw_Data!H396))</f>
        <v>Analyst</v>
      </c>
      <c r="I396" s="13" t="n">
        <f aca="false">IF(Raw_Data!I396="",DefaultPerf,Raw_Data!I396)</f>
        <v>4</v>
      </c>
      <c r="J396" s="13" t="n">
        <f aca="false">IF(Raw_Data!J396="",DefaultSat,Raw_Data!J396)</f>
        <v>1</v>
      </c>
      <c r="K396" s="15" t="n">
        <f aca="false">Raw_Data!K396</f>
        <v>72500</v>
      </c>
      <c r="L396" s="13" t="str">
        <f aca="false">PROPER(TRIM(Raw_Data!N396))</f>
        <v>No</v>
      </c>
      <c r="M396" s="13" t="n">
        <f aca="false">IF(C396="",0,1)</f>
        <v>0</v>
      </c>
      <c r="N396" s="13" t="str">
        <f aca="false">IF(M396=0,"Active",IF(TRIM(Raw_Data!L396)="","Unknown",PROPER(TRIM(Raw_Data!L396))))</f>
        <v>Active</v>
      </c>
      <c r="O396" s="13" t="str">
        <f aca="false">IF(M396=0,"",IF(TRIM(Raw_Data!M396)="","Not Recorded",TRIM(Raw_Data!M396)))</f>
        <v/>
      </c>
      <c r="P396" s="16" t="n">
        <f aca="false">ROUND((IF(C396="",AsOfDate,C396)-B396)/365.25,2)</f>
        <v>10.1</v>
      </c>
      <c r="Q396" s="13" t="str">
        <f aca="false">IF(D396="","Unknown",IF(D396&lt;25,"Under 25",IF(D396&lt;35,"25-34",IF(D396&lt;45,"35-44",IF(D396&lt;55,"45-54","55+")))))</f>
        <v>35-44</v>
      </c>
      <c r="R396" s="13" t="str">
        <f aca="false">IF(P396&lt;1,"0-1 yrs",IF(P396&lt;3,"1-3 yrs",IF(P396&lt;5,"3-5 yrs",IF(P396&lt;10,"5-10 yrs","10+ yrs"))))</f>
        <v>10+ yrs</v>
      </c>
      <c r="S396" s="13" t="str">
        <f aca="false">IF(I396&gt;=4,"High",IF(I396=3,"Medium","Low"))</f>
        <v>High</v>
      </c>
      <c r="T396" s="13" t="str">
        <f aca="false">IF(M396=1,YEAR(C396),"")</f>
        <v/>
      </c>
      <c r="U396" s="13" t="str">
        <f aca="false">IF(M396=1,YEAR(C396)&amp;"-Q"&amp;ROUNDUP(MONTH(C396)/3,0),"")</f>
        <v/>
      </c>
      <c r="V396" s="13" t="str">
        <f aca="false">IF(M396=1,MONTH(C396),"")</f>
        <v/>
      </c>
    </row>
    <row r="397" customFormat="false" ht="15" hidden="false" customHeight="false" outlineLevel="0" collapsed="false">
      <c r="A397" s="13" t="str">
        <f aca="false">TRIM(Raw_Data!A397)</f>
        <v>EMP0396</v>
      </c>
      <c r="B397" s="14" t="n">
        <f aca="false">Raw_Data!B397</f>
        <v>42334</v>
      </c>
      <c r="C397" s="14" t="str">
        <f aca="false">IF(Raw_Data!C397="","",Raw_Data!C397)</f>
        <v/>
      </c>
      <c r="D397" s="13" t="n">
        <f aca="false">IF(Raw_Data!D397="","",Raw_Data!D397)</f>
        <v>46</v>
      </c>
      <c r="E397" s="13" t="str">
        <f aca="false">IF(UPPER(LEFT(TRIM(Raw_Data!E397),1))="M","Male",IF(UPPER(LEFT(TRIM(Raw_Data!E397),1))="F","Female","Unknown"))</f>
        <v>Male</v>
      </c>
      <c r="F397" s="13" t="str">
        <f aca="false">PROPER(TRIM(SUBSTITUTE(Raw_Data!F397,"'","")))</f>
        <v>Doctorate</v>
      </c>
      <c r="G397" s="13" t="str">
        <f aca="false">PROPER(TRIM(Raw_Data!G397))</f>
        <v>Customer Support</v>
      </c>
      <c r="H397" s="13" t="str">
        <f aca="false">PROPER(TRIM(Raw_Data!H397))</f>
        <v>Team Lead</v>
      </c>
      <c r="I397" s="13" t="n">
        <f aca="false">IF(Raw_Data!I397="",DefaultPerf,Raw_Data!I397)</f>
        <v>5</v>
      </c>
      <c r="J397" s="17" t="n">
        <f aca="false">IF(Raw_Data!J397="",DefaultSat,Raw_Data!J397)</f>
        <v>3</v>
      </c>
      <c r="K397" s="15" t="n">
        <f aca="false">Raw_Data!K397</f>
        <v>189500</v>
      </c>
      <c r="L397" s="13" t="str">
        <f aca="false">PROPER(TRIM(Raw_Data!N397))</f>
        <v>No</v>
      </c>
      <c r="M397" s="13" t="n">
        <f aca="false">IF(C397="",0,1)</f>
        <v>0</v>
      </c>
      <c r="N397" s="13" t="str">
        <f aca="false">IF(M397=0,"Active",IF(TRIM(Raw_Data!L397)="","Unknown",PROPER(TRIM(Raw_Data!L397))))</f>
        <v>Active</v>
      </c>
      <c r="O397" s="13" t="str">
        <f aca="false">IF(M397=0,"",IF(TRIM(Raw_Data!M397)="","Not Recorded",TRIM(Raw_Data!M397)))</f>
        <v/>
      </c>
      <c r="P397" s="16" t="n">
        <f aca="false">ROUND((IF(C397="",AsOfDate,C397)-B397)/365.25,2)</f>
        <v>10.1</v>
      </c>
      <c r="Q397" s="13" t="str">
        <f aca="false">IF(D397="","Unknown",IF(D397&lt;25,"Under 25",IF(D397&lt;35,"25-34",IF(D397&lt;45,"35-44",IF(D397&lt;55,"45-54","55+")))))</f>
        <v>45-54</v>
      </c>
      <c r="R397" s="13" t="str">
        <f aca="false">IF(P397&lt;1,"0-1 yrs",IF(P397&lt;3,"1-3 yrs",IF(P397&lt;5,"3-5 yrs",IF(P397&lt;10,"5-10 yrs","10+ yrs"))))</f>
        <v>10+ yrs</v>
      </c>
      <c r="S397" s="13" t="str">
        <f aca="false">IF(I397&gt;=4,"High",IF(I397=3,"Medium","Low"))</f>
        <v>High</v>
      </c>
      <c r="T397" s="13" t="str">
        <f aca="false">IF(M397=1,YEAR(C397),"")</f>
        <v/>
      </c>
      <c r="U397" s="13" t="str">
        <f aca="false">IF(M397=1,YEAR(C397)&amp;"-Q"&amp;ROUNDUP(MONTH(C397)/3,0),"")</f>
        <v/>
      </c>
      <c r="V397" s="13" t="str">
        <f aca="false">IF(M397=1,MONTH(C397),"")</f>
        <v/>
      </c>
    </row>
    <row r="398" customFormat="false" ht="15" hidden="false" customHeight="false" outlineLevel="0" collapsed="false">
      <c r="A398" s="13" t="str">
        <f aca="false">TRIM(Raw_Data!A398)</f>
        <v>EMP0397</v>
      </c>
      <c r="B398" s="14" t="n">
        <f aca="false">Raw_Data!B398</f>
        <v>42335</v>
      </c>
      <c r="C398" s="14" t="str">
        <f aca="false">IF(Raw_Data!C398="","",Raw_Data!C398)</f>
        <v/>
      </c>
      <c r="D398" s="13" t="n">
        <f aca="false">IF(Raw_Data!D398="","",Raw_Data!D398)</f>
        <v>43</v>
      </c>
      <c r="E398" s="13" t="str">
        <f aca="false">IF(UPPER(LEFT(TRIM(Raw_Data!E398),1))="M","Male",IF(UPPER(LEFT(TRIM(Raw_Data!E398),1))="F","Female","Unknown"))</f>
        <v>Male</v>
      </c>
      <c r="F398" s="13" t="str">
        <f aca="false">PROPER(TRIM(SUBSTITUTE(Raw_Data!F398,"'","")))</f>
        <v>Bachelors</v>
      </c>
      <c r="G398" s="13" t="str">
        <f aca="false">PROPER(TRIM(Raw_Data!G398))</f>
        <v>Sales</v>
      </c>
      <c r="H398" s="13" t="str">
        <f aca="false">PROPER(TRIM(Raw_Data!H398))</f>
        <v>Team Lead</v>
      </c>
      <c r="I398" s="13" t="n">
        <f aca="false">IF(Raw_Data!I398="",DefaultPerf,Raw_Data!I398)</f>
        <v>4</v>
      </c>
      <c r="J398" s="13" t="n">
        <f aca="false">IF(Raw_Data!J398="",DefaultSat,Raw_Data!J398)</f>
        <v>1</v>
      </c>
      <c r="K398" s="15" t="n">
        <f aca="false">Raw_Data!K398</f>
        <v>179000</v>
      </c>
      <c r="L398" s="13" t="str">
        <f aca="false">PROPER(TRIM(Raw_Data!N398))</f>
        <v>No</v>
      </c>
      <c r="M398" s="13" t="n">
        <f aca="false">IF(C398="",0,1)</f>
        <v>0</v>
      </c>
      <c r="N398" s="13" t="str">
        <f aca="false">IF(M398=0,"Active",IF(TRIM(Raw_Data!L398)="","Unknown",PROPER(TRIM(Raw_Data!L398))))</f>
        <v>Active</v>
      </c>
      <c r="O398" s="13" t="str">
        <f aca="false">IF(M398=0,"",IF(TRIM(Raw_Data!M398)="","Not Recorded",TRIM(Raw_Data!M398)))</f>
        <v/>
      </c>
      <c r="P398" s="16" t="n">
        <f aca="false">ROUND((IF(C398="",AsOfDate,C398)-B398)/365.25,2)</f>
        <v>10.09</v>
      </c>
      <c r="Q398" s="13" t="str">
        <f aca="false">IF(D398="","Unknown",IF(D398&lt;25,"Under 25",IF(D398&lt;35,"25-34",IF(D398&lt;45,"35-44",IF(D398&lt;55,"45-54","55+")))))</f>
        <v>35-44</v>
      </c>
      <c r="R398" s="13" t="str">
        <f aca="false">IF(P398&lt;1,"0-1 yrs",IF(P398&lt;3,"1-3 yrs",IF(P398&lt;5,"3-5 yrs",IF(P398&lt;10,"5-10 yrs","10+ yrs"))))</f>
        <v>10+ yrs</v>
      </c>
      <c r="S398" s="13" t="str">
        <f aca="false">IF(I398&gt;=4,"High",IF(I398=3,"Medium","Low"))</f>
        <v>High</v>
      </c>
      <c r="T398" s="13" t="str">
        <f aca="false">IF(M398=1,YEAR(C398),"")</f>
        <v/>
      </c>
      <c r="U398" s="13" t="str">
        <f aca="false">IF(M398=1,YEAR(C398)&amp;"-Q"&amp;ROUNDUP(MONTH(C398)/3,0),"")</f>
        <v/>
      </c>
      <c r="V398" s="13" t="str">
        <f aca="false">IF(M398=1,MONTH(C398),"")</f>
        <v/>
      </c>
    </row>
    <row r="399" customFormat="false" ht="15" hidden="false" customHeight="false" outlineLevel="0" collapsed="false">
      <c r="A399" s="13" t="str">
        <f aca="false">TRIM(Raw_Data!A399)</f>
        <v>EMP0398</v>
      </c>
      <c r="B399" s="14" t="n">
        <f aca="false">Raw_Data!B399</f>
        <v>42344</v>
      </c>
      <c r="C399" s="14" t="str">
        <f aca="false">IF(Raw_Data!C399="","",Raw_Data!C399)</f>
        <v/>
      </c>
      <c r="D399" s="13" t="n">
        <f aca="false">IF(Raw_Data!D399="","",Raw_Data!D399)</f>
        <v>31</v>
      </c>
      <c r="E399" s="13" t="str">
        <f aca="false">IF(UPPER(LEFT(TRIM(Raw_Data!E399),1))="M","Male",IF(UPPER(LEFT(TRIM(Raw_Data!E399),1))="F","Female","Unknown"))</f>
        <v>Male</v>
      </c>
      <c r="F399" s="13" t="str">
        <f aca="false">PROPER(TRIM(SUBSTITUTE(Raw_Data!F399,"'","")))</f>
        <v>Bachelors</v>
      </c>
      <c r="G399" s="13" t="str">
        <f aca="false">PROPER(TRIM(Raw_Data!G399))</f>
        <v>Finance</v>
      </c>
      <c r="H399" s="13" t="str">
        <f aca="false">PROPER(TRIM(Raw_Data!H399))</f>
        <v>Analyst</v>
      </c>
      <c r="I399" s="13" t="n">
        <f aca="false">IF(Raw_Data!I399="",DefaultPerf,Raw_Data!I399)</f>
        <v>3</v>
      </c>
      <c r="J399" s="13" t="n">
        <f aca="false">IF(Raw_Data!J399="",DefaultSat,Raw_Data!J399)</f>
        <v>4</v>
      </c>
      <c r="K399" s="15" t="n">
        <f aca="false">Raw_Data!K399</f>
        <v>73000</v>
      </c>
      <c r="L399" s="13" t="str">
        <f aca="false">PROPER(TRIM(Raw_Data!N399))</f>
        <v>No</v>
      </c>
      <c r="M399" s="13" t="n">
        <f aca="false">IF(C399="",0,1)</f>
        <v>0</v>
      </c>
      <c r="N399" s="13" t="str">
        <f aca="false">IF(M399=0,"Active",IF(TRIM(Raw_Data!L399)="","Unknown",PROPER(TRIM(Raw_Data!L399))))</f>
        <v>Active</v>
      </c>
      <c r="O399" s="13" t="str">
        <f aca="false">IF(M399=0,"",IF(TRIM(Raw_Data!M399)="","Not Recorded",TRIM(Raw_Data!M399)))</f>
        <v/>
      </c>
      <c r="P399" s="16" t="n">
        <f aca="false">ROUND((IF(C399="",AsOfDate,C399)-B399)/365.25,2)</f>
        <v>10.07</v>
      </c>
      <c r="Q399" s="13" t="str">
        <f aca="false">IF(D399="","Unknown",IF(D399&lt;25,"Under 25",IF(D399&lt;35,"25-34",IF(D399&lt;45,"35-44",IF(D399&lt;55,"45-54","55+")))))</f>
        <v>25-34</v>
      </c>
      <c r="R399" s="13" t="str">
        <f aca="false">IF(P399&lt;1,"0-1 yrs",IF(P399&lt;3,"1-3 yrs",IF(P399&lt;5,"3-5 yrs",IF(P399&lt;10,"5-10 yrs","10+ yrs"))))</f>
        <v>10+ yrs</v>
      </c>
      <c r="S399" s="13" t="str">
        <f aca="false">IF(I399&gt;=4,"High",IF(I399=3,"Medium","Low"))</f>
        <v>Medium</v>
      </c>
      <c r="T399" s="13" t="str">
        <f aca="false">IF(M399=1,YEAR(C399),"")</f>
        <v/>
      </c>
      <c r="U399" s="13" t="str">
        <f aca="false">IF(M399=1,YEAR(C399)&amp;"-Q"&amp;ROUNDUP(MONTH(C399)/3,0),"")</f>
        <v/>
      </c>
      <c r="V399" s="13" t="str">
        <f aca="false">IF(M399=1,MONTH(C399),"")</f>
        <v/>
      </c>
    </row>
    <row r="400" customFormat="false" ht="15" hidden="false" customHeight="false" outlineLevel="0" collapsed="false">
      <c r="A400" s="13" t="str">
        <f aca="false">TRIM(Raw_Data!A400)</f>
        <v>EMP0399</v>
      </c>
      <c r="B400" s="14" t="n">
        <f aca="false">Raw_Data!B400</f>
        <v>42346</v>
      </c>
      <c r="C400" s="14" t="str">
        <f aca="false">IF(Raw_Data!C400="","",Raw_Data!C400)</f>
        <v/>
      </c>
      <c r="D400" s="13" t="n">
        <f aca="false">IF(Raw_Data!D400="","",Raw_Data!D400)</f>
        <v>35</v>
      </c>
      <c r="E400" s="13" t="str">
        <f aca="false">IF(UPPER(LEFT(TRIM(Raw_Data!E400),1))="M","Male",IF(UPPER(LEFT(TRIM(Raw_Data!E400),1))="F","Female","Unknown"))</f>
        <v>Male</v>
      </c>
      <c r="F400" s="13" t="str">
        <f aca="false">PROPER(TRIM(SUBSTITUTE(Raw_Data!F400,"'","")))</f>
        <v>Masters</v>
      </c>
      <c r="G400" s="13" t="str">
        <f aca="false">PROPER(TRIM(Raw_Data!G400))</f>
        <v>Customer Support</v>
      </c>
      <c r="H400" s="13" t="str">
        <f aca="false">PROPER(TRIM(Raw_Data!H400))</f>
        <v>Associate</v>
      </c>
      <c r="I400" s="13" t="n">
        <f aca="false">IF(Raw_Data!I400="",DefaultPerf,Raw_Data!I400)</f>
        <v>3</v>
      </c>
      <c r="J400" s="13" t="n">
        <f aca="false">IF(Raw_Data!J400="",DefaultSat,Raw_Data!J400)</f>
        <v>1</v>
      </c>
      <c r="K400" s="15" t="n">
        <f aca="false">Raw_Data!K400</f>
        <v>47500</v>
      </c>
      <c r="L400" s="13" t="str">
        <f aca="false">PROPER(TRIM(Raw_Data!N400))</f>
        <v>No</v>
      </c>
      <c r="M400" s="13" t="n">
        <f aca="false">IF(C400="",0,1)</f>
        <v>0</v>
      </c>
      <c r="N400" s="13" t="str">
        <f aca="false">IF(M400=0,"Active",IF(TRIM(Raw_Data!L400)="","Unknown",PROPER(TRIM(Raw_Data!L400))))</f>
        <v>Active</v>
      </c>
      <c r="O400" s="13" t="str">
        <f aca="false">IF(M400=0,"",IF(TRIM(Raw_Data!M400)="","Not Recorded",TRIM(Raw_Data!M400)))</f>
        <v/>
      </c>
      <c r="P400" s="16" t="n">
        <f aca="false">ROUND((IF(C400="",AsOfDate,C400)-B400)/365.25,2)</f>
        <v>10.06</v>
      </c>
      <c r="Q400" s="13" t="str">
        <f aca="false">IF(D400="","Unknown",IF(D400&lt;25,"Under 25",IF(D400&lt;35,"25-34",IF(D400&lt;45,"35-44",IF(D400&lt;55,"45-54","55+")))))</f>
        <v>35-44</v>
      </c>
      <c r="R400" s="13" t="str">
        <f aca="false">IF(P400&lt;1,"0-1 yrs",IF(P400&lt;3,"1-3 yrs",IF(P400&lt;5,"3-5 yrs",IF(P400&lt;10,"5-10 yrs","10+ yrs"))))</f>
        <v>10+ yrs</v>
      </c>
      <c r="S400" s="13" t="str">
        <f aca="false">IF(I400&gt;=4,"High",IF(I400=3,"Medium","Low"))</f>
        <v>Medium</v>
      </c>
      <c r="T400" s="13" t="str">
        <f aca="false">IF(M400=1,YEAR(C400),"")</f>
        <v/>
      </c>
      <c r="U400" s="13" t="str">
        <f aca="false">IF(M400=1,YEAR(C400)&amp;"-Q"&amp;ROUNDUP(MONTH(C400)/3,0),"")</f>
        <v/>
      </c>
      <c r="V400" s="13" t="str">
        <f aca="false">IF(M400=1,MONTH(C400),"")</f>
        <v/>
      </c>
    </row>
    <row r="401" customFormat="false" ht="15" hidden="false" customHeight="false" outlineLevel="0" collapsed="false">
      <c r="A401" s="13" t="str">
        <f aca="false">TRIM(Raw_Data!A401)</f>
        <v>EMP0400</v>
      </c>
      <c r="B401" s="14" t="n">
        <f aca="false">Raw_Data!B401</f>
        <v>42347</v>
      </c>
      <c r="C401" s="14" t="str">
        <f aca="false">IF(Raw_Data!C401="","",Raw_Data!C401)</f>
        <v/>
      </c>
      <c r="D401" s="13" t="n">
        <f aca="false">IF(Raw_Data!D401="","",Raw_Data!D401)</f>
        <v>35</v>
      </c>
      <c r="E401" s="13" t="str">
        <f aca="false">IF(UPPER(LEFT(TRIM(Raw_Data!E401),1))="M","Male",IF(UPPER(LEFT(TRIM(Raw_Data!E401),1))="F","Female","Unknown"))</f>
        <v>Male</v>
      </c>
      <c r="F401" s="13" t="str">
        <f aca="false">PROPER(TRIM(SUBSTITUTE(Raw_Data!F401,"'","")))</f>
        <v>Bachelors</v>
      </c>
      <c r="G401" s="13" t="str">
        <f aca="false">PROPER(TRIM(Raw_Data!G401))</f>
        <v>Sales</v>
      </c>
      <c r="H401" s="13" t="str">
        <f aca="false">PROPER(TRIM(Raw_Data!H401))</f>
        <v>Associate</v>
      </c>
      <c r="I401" s="13" t="n">
        <f aca="false">IF(Raw_Data!I401="",DefaultPerf,Raw_Data!I401)</f>
        <v>3</v>
      </c>
      <c r="J401" s="13" t="n">
        <f aca="false">IF(Raw_Data!J401="",DefaultSat,Raw_Data!J401)</f>
        <v>3</v>
      </c>
      <c r="K401" s="15" t="n">
        <f aca="false">Raw_Data!K401</f>
        <v>46000</v>
      </c>
      <c r="L401" s="13" t="str">
        <f aca="false">PROPER(TRIM(Raw_Data!N401))</f>
        <v>No</v>
      </c>
      <c r="M401" s="13" t="n">
        <f aca="false">IF(C401="",0,1)</f>
        <v>0</v>
      </c>
      <c r="N401" s="13" t="str">
        <f aca="false">IF(M401=0,"Active",IF(TRIM(Raw_Data!L401)="","Unknown",PROPER(TRIM(Raw_Data!L401))))</f>
        <v>Active</v>
      </c>
      <c r="O401" s="13" t="str">
        <f aca="false">IF(M401=0,"",IF(TRIM(Raw_Data!M401)="","Not Recorded",TRIM(Raw_Data!M401)))</f>
        <v/>
      </c>
      <c r="P401" s="16" t="n">
        <f aca="false">ROUND((IF(C401="",AsOfDate,C401)-B401)/365.25,2)</f>
        <v>10.06</v>
      </c>
      <c r="Q401" s="13" t="str">
        <f aca="false">IF(D401="","Unknown",IF(D401&lt;25,"Under 25",IF(D401&lt;35,"25-34",IF(D401&lt;45,"35-44",IF(D401&lt;55,"45-54","55+")))))</f>
        <v>35-44</v>
      </c>
      <c r="R401" s="13" t="str">
        <f aca="false">IF(P401&lt;1,"0-1 yrs",IF(P401&lt;3,"1-3 yrs",IF(P401&lt;5,"3-5 yrs",IF(P401&lt;10,"5-10 yrs","10+ yrs"))))</f>
        <v>10+ yrs</v>
      </c>
      <c r="S401" s="13" t="str">
        <f aca="false">IF(I401&gt;=4,"High",IF(I401=3,"Medium","Low"))</f>
        <v>Medium</v>
      </c>
      <c r="T401" s="13" t="str">
        <f aca="false">IF(M401=1,YEAR(C401),"")</f>
        <v/>
      </c>
      <c r="U401" s="13" t="str">
        <f aca="false">IF(M401=1,YEAR(C401)&amp;"-Q"&amp;ROUNDUP(MONTH(C401)/3,0),"")</f>
        <v/>
      </c>
      <c r="V401" s="13" t="str">
        <f aca="false">IF(M401=1,MONTH(C401),"")</f>
        <v/>
      </c>
    </row>
    <row r="402" customFormat="false" ht="15" hidden="false" customHeight="false" outlineLevel="0" collapsed="false">
      <c r="A402" s="13" t="str">
        <f aca="false">TRIM(Raw_Data!A402)</f>
        <v>EMP0401</v>
      </c>
      <c r="B402" s="14" t="n">
        <f aca="false">Raw_Data!B402</f>
        <v>42348</v>
      </c>
      <c r="C402" s="14" t="str">
        <f aca="false">IF(Raw_Data!C402="","",Raw_Data!C402)</f>
        <v/>
      </c>
      <c r="D402" s="13" t="n">
        <f aca="false">IF(Raw_Data!D402="","",Raw_Data!D402)</f>
        <v>47</v>
      </c>
      <c r="E402" s="13" t="str">
        <f aca="false">IF(UPPER(LEFT(TRIM(Raw_Data!E402),1))="M","Male",IF(UPPER(LEFT(TRIM(Raw_Data!E402),1))="F","Female","Unknown"))</f>
        <v>Male</v>
      </c>
      <c r="F402" s="13" t="str">
        <f aca="false">PROPER(TRIM(SUBSTITUTE(Raw_Data!F402,"'","")))</f>
        <v>Bachelors</v>
      </c>
      <c r="G402" s="13" t="str">
        <f aca="false">PROPER(TRIM(Raw_Data!G402))</f>
        <v>Engineering</v>
      </c>
      <c r="H402" s="13" t="str">
        <f aca="false">PROPER(TRIM(Raw_Data!H402))</f>
        <v>Analyst</v>
      </c>
      <c r="I402" s="13" t="n">
        <f aca="false">IF(Raw_Data!I402="",DefaultPerf,Raw_Data!I402)</f>
        <v>3</v>
      </c>
      <c r="J402" s="13" t="n">
        <f aca="false">IF(Raw_Data!J402="",DefaultSat,Raw_Data!J402)</f>
        <v>4</v>
      </c>
      <c r="K402" s="15" t="n">
        <f aca="false">Raw_Data!K402</f>
        <v>63500</v>
      </c>
      <c r="L402" s="13" t="str">
        <f aca="false">PROPER(TRIM(Raw_Data!N402))</f>
        <v>No</v>
      </c>
      <c r="M402" s="13" t="n">
        <f aca="false">IF(C402="",0,1)</f>
        <v>0</v>
      </c>
      <c r="N402" s="13" t="str">
        <f aca="false">IF(M402=0,"Active",IF(TRIM(Raw_Data!L402)="","Unknown",PROPER(TRIM(Raw_Data!L402))))</f>
        <v>Active</v>
      </c>
      <c r="O402" s="13" t="str">
        <f aca="false">IF(M402=0,"",IF(TRIM(Raw_Data!M402)="","Not Recorded",TRIM(Raw_Data!M402)))</f>
        <v/>
      </c>
      <c r="P402" s="16" t="n">
        <f aca="false">ROUND((IF(C402="",AsOfDate,C402)-B402)/365.25,2)</f>
        <v>10.06</v>
      </c>
      <c r="Q402" s="13" t="str">
        <f aca="false">IF(D402="","Unknown",IF(D402&lt;25,"Under 25",IF(D402&lt;35,"25-34",IF(D402&lt;45,"35-44",IF(D402&lt;55,"45-54","55+")))))</f>
        <v>45-54</v>
      </c>
      <c r="R402" s="13" t="str">
        <f aca="false">IF(P402&lt;1,"0-1 yrs",IF(P402&lt;3,"1-3 yrs",IF(P402&lt;5,"3-5 yrs",IF(P402&lt;10,"5-10 yrs","10+ yrs"))))</f>
        <v>10+ yrs</v>
      </c>
      <c r="S402" s="13" t="str">
        <f aca="false">IF(I402&gt;=4,"High",IF(I402=3,"Medium","Low"))</f>
        <v>Medium</v>
      </c>
      <c r="T402" s="13" t="str">
        <f aca="false">IF(M402=1,YEAR(C402),"")</f>
        <v/>
      </c>
      <c r="U402" s="13" t="str">
        <f aca="false">IF(M402=1,YEAR(C402)&amp;"-Q"&amp;ROUNDUP(MONTH(C402)/3,0),"")</f>
        <v/>
      </c>
      <c r="V402" s="13" t="str">
        <f aca="false">IF(M402=1,MONTH(C402),"")</f>
        <v/>
      </c>
    </row>
    <row r="403" customFormat="false" ht="15" hidden="false" customHeight="false" outlineLevel="0" collapsed="false">
      <c r="A403" s="13" t="str">
        <f aca="false">TRIM(Raw_Data!A403)</f>
        <v>EMP0402</v>
      </c>
      <c r="B403" s="14" t="n">
        <f aca="false">Raw_Data!B403</f>
        <v>42352</v>
      </c>
      <c r="C403" s="14" t="str">
        <f aca="false">IF(Raw_Data!C403="","",Raw_Data!C403)</f>
        <v/>
      </c>
      <c r="D403" s="13" t="n">
        <f aca="false">IF(Raw_Data!D403="","",Raw_Data!D403)</f>
        <v>40</v>
      </c>
      <c r="E403" s="13" t="str">
        <f aca="false">IF(UPPER(LEFT(TRIM(Raw_Data!E403),1))="M","Male",IF(UPPER(LEFT(TRIM(Raw_Data!E403),1))="F","Female","Unknown"))</f>
        <v>Male</v>
      </c>
      <c r="F403" s="13" t="str">
        <f aca="false">PROPER(TRIM(SUBSTITUTE(Raw_Data!F403,"'","")))</f>
        <v>Masters</v>
      </c>
      <c r="G403" s="13" t="str">
        <f aca="false">PROPER(TRIM(Raw_Data!G403))</f>
        <v>Customer Support</v>
      </c>
      <c r="H403" s="13" t="str">
        <f aca="false">PROPER(TRIM(Raw_Data!H403))</f>
        <v>Specialist</v>
      </c>
      <c r="I403" s="13" t="n">
        <f aca="false">IF(Raw_Data!I403="",DefaultPerf,Raw_Data!I403)</f>
        <v>3</v>
      </c>
      <c r="J403" s="13" t="n">
        <f aca="false">IF(Raw_Data!J403="",DefaultSat,Raw_Data!J403)</f>
        <v>3</v>
      </c>
      <c r="K403" s="15" t="n">
        <f aca="false">Raw_Data!K403</f>
        <v>122500</v>
      </c>
      <c r="L403" s="13" t="str">
        <f aca="false">PROPER(TRIM(Raw_Data!N403))</f>
        <v>No</v>
      </c>
      <c r="M403" s="13" t="n">
        <f aca="false">IF(C403="",0,1)</f>
        <v>0</v>
      </c>
      <c r="N403" s="13" t="str">
        <f aca="false">IF(M403=0,"Active",IF(TRIM(Raw_Data!L403)="","Unknown",PROPER(TRIM(Raw_Data!L403))))</f>
        <v>Active</v>
      </c>
      <c r="O403" s="13" t="str">
        <f aca="false">IF(M403=0,"",IF(TRIM(Raw_Data!M403)="","Not Recorded",TRIM(Raw_Data!M403)))</f>
        <v/>
      </c>
      <c r="P403" s="16" t="n">
        <f aca="false">ROUND((IF(C403="",AsOfDate,C403)-B403)/365.25,2)</f>
        <v>10.05</v>
      </c>
      <c r="Q403" s="13" t="str">
        <f aca="false">IF(D403="","Unknown",IF(D403&lt;25,"Under 25",IF(D403&lt;35,"25-34",IF(D403&lt;45,"35-44",IF(D403&lt;55,"45-54","55+")))))</f>
        <v>35-44</v>
      </c>
      <c r="R403" s="13" t="str">
        <f aca="false">IF(P403&lt;1,"0-1 yrs",IF(P403&lt;3,"1-3 yrs",IF(P403&lt;5,"3-5 yrs",IF(P403&lt;10,"5-10 yrs","10+ yrs"))))</f>
        <v>10+ yrs</v>
      </c>
      <c r="S403" s="13" t="str">
        <f aca="false">IF(I403&gt;=4,"High",IF(I403=3,"Medium","Low"))</f>
        <v>Medium</v>
      </c>
      <c r="T403" s="13" t="str">
        <f aca="false">IF(M403=1,YEAR(C403),"")</f>
        <v/>
      </c>
      <c r="U403" s="13" t="str">
        <f aca="false">IF(M403=1,YEAR(C403)&amp;"-Q"&amp;ROUNDUP(MONTH(C403)/3,0),"")</f>
        <v/>
      </c>
      <c r="V403" s="13" t="str">
        <f aca="false">IF(M403=1,MONTH(C403),"")</f>
        <v/>
      </c>
    </row>
    <row r="404" customFormat="false" ht="15" hidden="false" customHeight="false" outlineLevel="0" collapsed="false">
      <c r="A404" s="13" t="str">
        <f aca="false">TRIM(Raw_Data!A404)</f>
        <v>EMP0403</v>
      </c>
      <c r="B404" s="14" t="n">
        <f aca="false">Raw_Data!B404</f>
        <v>42353</v>
      </c>
      <c r="C404" s="14" t="str">
        <f aca="false">IF(Raw_Data!C404="","",Raw_Data!C404)</f>
        <v/>
      </c>
      <c r="D404" s="13" t="n">
        <f aca="false">IF(Raw_Data!D404="","",Raw_Data!D404)</f>
        <v>31</v>
      </c>
      <c r="E404" s="13" t="str">
        <f aca="false">IF(UPPER(LEFT(TRIM(Raw_Data!E404),1))="M","Male",IF(UPPER(LEFT(TRIM(Raw_Data!E404),1))="F","Female","Unknown"))</f>
        <v>Male</v>
      </c>
      <c r="F404" s="13" t="str">
        <f aca="false">PROPER(TRIM(SUBSTITUTE(Raw_Data!F404,"'","")))</f>
        <v>Diploma</v>
      </c>
      <c r="G404" s="13" t="str">
        <f aca="false">PROPER(TRIM(Raw_Data!G404))</f>
        <v>Engineering</v>
      </c>
      <c r="H404" s="13" t="str">
        <f aca="false">PROPER(TRIM(Raw_Data!H404))</f>
        <v>Analyst</v>
      </c>
      <c r="I404" s="13" t="n">
        <f aca="false">IF(Raw_Data!I404="",DefaultPerf,Raw_Data!I404)</f>
        <v>2</v>
      </c>
      <c r="J404" s="13" t="n">
        <f aca="false">IF(Raw_Data!J404="",DefaultSat,Raw_Data!J404)</f>
        <v>4</v>
      </c>
      <c r="K404" s="15" t="n">
        <f aca="false">Raw_Data!K404</f>
        <v>73500</v>
      </c>
      <c r="L404" s="13" t="str">
        <f aca="false">PROPER(TRIM(Raw_Data!N404))</f>
        <v>No</v>
      </c>
      <c r="M404" s="13" t="n">
        <f aca="false">IF(C404="",0,1)</f>
        <v>0</v>
      </c>
      <c r="N404" s="13" t="str">
        <f aca="false">IF(M404=0,"Active",IF(TRIM(Raw_Data!L404)="","Unknown",PROPER(TRIM(Raw_Data!L404))))</f>
        <v>Active</v>
      </c>
      <c r="O404" s="13" t="str">
        <f aca="false">IF(M404=0,"",IF(TRIM(Raw_Data!M404)="","Not Recorded",TRIM(Raw_Data!M404)))</f>
        <v/>
      </c>
      <c r="P404" s="16" t="n">
        <f aca="false">ROUND((IF(C404="",AsOfDate,C404)-B404)/365.25,2)</f>
        <v>10.05</v>
      </c>
      <c r="Q404" s="13" t="str">
        <f aca="false">IF(D404="","Unknown",IF(D404&lt;25,"Under 25",IF(D404&lt;35,"25-34",IF(D404&lt;45,"35-44",IF(D404&lt;55,"45-54","55+")))))</f>
        <v>25-34</v>
      </c>
      <c r="R404" s="13" t="str">
        <f aca="false">IF(P404&lt;1,"0-1 yrs",IF(P404&lt;3,"1-3 yrs",IF(P404&lt;5,"3-5 yrs",IF(P404&lt;10,"5-10 yrs","10+ yrs"))))</f>
        <v>10+ yrs</v>
      </c>
      <c r="S404" s="13" t="str">
        <f aca="false">IF(I404&gt;=4,"High",IF(I404=3,"Medium","Low"))</f>
        <v>Low</v>
      </c>
      <c r="T404" s="13" t="str">
        <f aca="false">IF(M404=1,YEAR(C404),"")</f>
        <v/>
      </c>
      <c r="U404" s="13" t="str">
        <f aca="false">IF(M404=1,YEAR(C404)&amp;"-Q"&amp;ROUNDUP(MONTH(C404)/3,0),"")</f>
        <v/>
      </c>
      <c r="V404" s="13" t="str">
        <f aca="false">IF(M404=1,MONTH(C404),"")</f>
        <v/>
      </c>
    </row>
    <row r="405" customFormat="false" ht="15" hidden="false" customHeight="false" outlineLevel="0" collapsed="false">
      <c r="A405" s="13" t="str">
        <f aca="false">TRIM(Raw_Data!A405)</f>
        <v>EMP0404</v>
      </c>
      <c r="B405" s="14" t="n">
        <f aca="false">Raw_Data!B405</f>
        <v>42358</v>
      </c>
      <c r="C405" s="14" t="str">
        <f aca="false">IF(Raw_Data!C405="","",Raw_Data!C405)</f>
        <v/>
      </c>
      <c r="D405" s="13" t="n">
        <f aca="false">IF(Raw_Data!D405="","",Raw_Data!D405)</f>
        <v>35</v>
      </c>
      <c r="E405" s="13" t="str">
        <f aca="false">IF(UPPER(LEFT(TRIM(Raw_Data!E405),1))="M","Male",IF(UPPER(LEFT(TRIM(Raw_Data!E405),1))="F","Female","Unknown"))</f>
        <v>Male</v>
      </c>
      <c r="F405" s="13" t="str">
        <f aca="false">PROPER(TRIM(SUBSTITUTE(Raw_Data!F405,"'","")))</f>
        <v>Bachelors</v>
      </c>
      <c r="G405" s="13" t="str">
        <f aca="false">PROPER(TRIM(Raw_Data!G405))</f>
        <v>Operations</v>
      </c>
      <c r="H405" s="13" t="str">
        <f aca="false">PROPER(TRIM(Raw_Data!H405))</f>
        <v>Manager</v>
      </c>
      <c r="I405" s="13" t="n">
        <f aca="false">IF(Raw_Data!I405="",DefaultPerf,Raw_Data!I405)</f>
        <v>3</v>
      </c>
      <c r="J405" s="13" t="n">
        <f aca="false">IF(Raw_Data!J405="",DefaultSat,Raw_Data!J405)</f>
        <v>2</v>
      </c>
      <c r="K405" s="15" t="n">
        <f aca="false">Raw_Data!K405</f>
        <v>232500</v>
      </c>
      <c r="L405" s="13" t="str">
        <f aca="false">PROPER(TRIM(Raw_Data!N405))</f>
        <v>No</v>
      </c>
      <c r="M405" s="13" t="n">
        <f aca="false">IF(C405="",0,1)</f>
        <v>0</v>
      </c>
      <c r="N405" s="13" t="str">
        <f aca="false">IF(M405=0,"Active",IF(TRIM(Raw_Data!L405)="","Unknown",PROPER(TRIM(Raw_Data!L405))))</f>
        <v>Active</v>
      </c>
      <c r="O405" s="13" t="str">
        <f aca="false">IF(M405=0,"",IF(TRIM(Raw_Data!M405)="","Not Recorded",TRIM(Raw_Data!M405)))</f>
        <v/>
      </c>
      <c r="P405" s="16" t="n">
        <f aca="false">ROUND((IF(C405="",AsOfDate,C405)-B405)/365.25,2)</f>
        <v>10.03</v>
      </c>
      <c r="Q405" s="13" t="str">
        <f aca="false">IF(D405="","Unknown",IF(D405&lt;25,"Under 25",IF(D405&lt;35,"25-34",IF(D405&lt;45,"35-44",IF(D405&lt;55,"45-54","55+")))))</f>
        <v>35-44</v>
      </c>
      <c r="R405" s="13" t="str">
        <f aca="false">IF(P405&lt;1,"0-1 yrs",IF(P405&lt;3,"1-3 yrs",IF(P405&lt;5,"3-5 yrs",IF(P405&lt;10,"5-10 yrs","10+ yrs"))))</f>
        <v>10+ yrs</v>
      </c>
      <c r="S405" s="13" t="str">
        <f aca="false">IF(I405&gt;=4,"High",IF(I405=3,"Medium","Low"))</f>
        <v>Medium</v>
      </c>
      <c r="T405" s="13" t="str">
        <f aca="false">IF(M405=1,YEAR(C405),"")</f>
        <v/>
      </c>
      <c r="U405" s="13" t="str">
        <f aca="false">IF(M405=1,YEAR(C405)&amp;"-Q"&amp;ROUNDUP(MONTH(C405)/3,0),"")</f>
        <v/>
      </c>
      <c r="V405" s="13" t="str">
        <f aca="false">IF(M405=1,MONTH(C405),"")</f>
        <v/>
      </c>
    </row>
    <row r="406" customFormat="false" ht="15" hidden="false" customHeight="false" outlineLevel="0" collapsed="false">
      <c r="A406" s="13" t="str">
        <f aca="false">TRIM(Raw_Data!A406)</f>
        <v>EMP0405</v>
      </c>
      <c r="B406" s="14" t="n">
        <f aca="false">Raw_Data!B406</f>
        <v>42359</v>
      </c>
      <c r="C406" s="14" t="str">
        <f aca="false">IF(Raw_Data!C406="","",Raw_Data!C406)</f>
        <v/>
      </c>
      <c r="D406" s="13" t="n">
        <f aca="false">IF(Raw_Data!D406="","",Raw_Data!D406)</f>
        <v>46</v>
      </c>
      <c r="E406" s="13" t="str">
        <f aca="false">IF(UPPER(LEFT(TRIM(Raw_Data!E406),1))="M","Male",IF(UPPER(LEFT(TRIM(Raw_Data!E406),1))="F","Female","Unknown"))</f>
        <v>Male</v>
      </c>
      <c r="F406" s="13" t="str">
        <f aca="false">PROPER(TRIM(SUBSTITUTE(Raw_Data!F406,"'","")))</f>
        <v>Diploma</v>
      </c>
      <c r="G406" s="13" t="str">
        <f aca="false">PROPER(TRIM(Raw_Data!G406))</f>
        <v>Operations</v>
      </c>
      <c r="H406" s="13" t="str">
        <f aca="false">PROPER(TRIM(Raw_Data!H406))</f>
        <v>Team Lead</v>
      </c>
      <c r="I406" s="13" t="n">
        <f aca="false">IF(Raw_Data!I406="",DefaultPerf,Raw_Data!I406)</f>
        <v>3</v>
      </c>
      <c r="J406" s="13" t="n">
        <f aca="false">IF(Raw_Data!J406="",DefaultSat,Raw_Data!J406)</f>
        <v>1</v>
      </c>
      <c r="K406" s="15" t="n">
        <f aca="false">Raw_Data!K406</f>
        <v>159000</v>
      </c>
      <c r="L406" s="13" t="str">
        <f aca="false">PROPER(TRIM(Raw_Data!N406))</f>
        <v>No</v>
      </c>
      <c r="M406" s="13" t="n">
        <f aca="false">IF(C406="",0,1)</f>
        <v>0</v>
      </c>
      <c r="N406" s="13" t="str">
        <f aca="false">IF(M406=0,"Active",IF(TRIM(Raw_Data!L406)="","Unknown",PROPER(TRIM(Raw_Data!L406))))</f>
        <v>Active</v>
      </c>
      <c r="O406" s="13" t="str">
        <f aca="false">IF(M406=0,"",IF(TRIM(Raw_Data!M406)="","Not Recorded",TRIM(Raw_Data!M406)))</f>
        <v/>
      </c>
      <c r="P406" s="16" t="n">
        <f aca="false">ROUND((IF(C406="",AsOfDate,C406)-B406)/365.25,2)</f>
        <v>10.03</v>
      </c>
      <c r="Q406" s="13" t="str">
        <f aca="false">IF(D406="","Unknown",IF(D406&lt;25,"Under 25",IF(D406&lt;35,"25-34",IF(D406&lt;45,"35-44",IF(D406&lt;55,"45-54","55+")))))</f>
        <v>45-54</v>
      </c>
      <c r="R406" s="13" t="str">
        <f aca="false">IF(P406&lt;1,"0-1 yrs",IF(P406&lt;3,"1-3 yrs",IF(P406&lt;5,"3-5 yrs",IF(P406&lt;10,"5-10 yrs","10+ yrs"))))</f>
        <v>10+ yrs</v>
      </c>
      <c r="S406" s="13" t="str">
        <f aca="false">IF(I406&gt;=4,"High",IF(I406=3,"Medium","Low"))</f>
        <v>Medium</v>
      </c>
      <c r="T406" s="13" t="str">
        <f aca="false">IF(M406=1,YEAR(C406),"")</f>
        <v/>
      </c>
      <c r="U406" s="13" t="str">
        <f aca="false">IF(M406=1,YEAR(C406)&amp;"-Q"&amp;ROUNDUP(MONTH(C406)/3,0),"")</f>
        <v/>
      </c>
      <c r="V406" s="13" t="str">
        <f aca="false">IF(M406=1,MONTH(C406),"")</f>
        <v/>
      </c>
    </row>
    <row r="407" customFormat="false" ht="15" hidden="false" customHeight="false" outlineLevel="0" collapsed="false">
      <c r="A407" s="13" t="str">
        <f aca="false">TRIM(Raw_Data!A407)</f>
        <v>EMP0406</v>
      </c>
      <c r="B407" s="14" t="n">
        <f aca="false">Raw_Data!B407</f>
        <v>42368</v>
      </c>
      <c r="C407" s="14" t="str">
        <f aca="false">IF(Raw_Data!C407="","",Raw_Data!C407)</f>
        <v/>
      </c>
      <c r="D407" s="13" t="n">
        <f aca="false">IF(Raw_Data!D407="","",Raw_Data!D407)</f>
        <v>42</v>
      </c>
      <c r="E407" s="13" t="str">
        <f aca="false">IF(UPPER(LEFT(TRIM(Raw_Data!E407),1))="M","Male",IF(UPPER(LEFT(TRIM(Raw_Data!E407),1))="F","Female","Unknown"))</f>
        <v>Male</v>
      </c>
      <c r="F407" s="13" t="str">
        <f aca="false">PROPER(TRIM(SUBSTITUTE(Raw_Data!F407,"'","")))</f>
        <v>Bachelors</v>
      </c>
      <c r="G407" s="13" t="str">
        <f aca="false">PROPER(TRIM(Raw_Data!G407))</f>
        <v>Sales</v>
      </c>
      <c r="H407" s="13" t="str">
        <f aca="false">PROPER(TRIM(Raw_Data!H407))</f>
        <v>Analyst</v>
      </c>
      <c r="I407" s="13" t="n">
        <f aca="false">IF(Raw_Data!I407="",DefaultPerf,Raw_Data!I407)</f>
        <v>4</v>
      </c>
      <c r="J407" s="13" t="n">
        <f aca="false">IF(Raw_Data!J407="",DefaultSat,Raw_Data!J407)</f>
        <v>3</v>
      </c>
      <c r="K407" s="15" t="n">
        <f aca="false">Raw_Data!K407</f>
        <v>85000</v>
      </c>
      <c r="L407" s="13" t="str">
        <f aca="false">PROPER(TRIM(Raw_Data!N407))</f>
        <v>Yes</v>
      </c>
      <c r="M407" s="13" t="n">
        <f aca="false">IF(C407="",0,1)</f>
        <v>0</v>
      </c>
      <c r="N407" s="13" t="str">
        <f aca="false">IF(M407=0,"Active",IF(TRIM(Raw_Data!L407)="","Unknown",PROPER(TRIM(Raw_Data!L407))))</f>
        <v>Active</v>
      </c>
      <c r="O407" s="13" t="str">
        <f aca="false">IF(M407=0,"",IF(TRIM(Raw_Data!M407)="","Not Recorded",TRIM(Raw_Data!M407)))</f>
        <v/>
      </c>
      <c r="P407" s="16" t="n">
        <f aca="false">ROUND((IF(C407="",AsOfDate,C407)-B407)/365.25,2)</f>
        <v>10</v>
      </c>
      <c r="Q407" s="13" t="str">
        <f aca="false">IF(D407="","Unknown",IF(D407&lt;25,"Under 25",IF(D407&lt;35,"25-34",IF(D407&lt;45,"35-44",IF(D407&lt;55,"45-54","55+")))))</f>
        <v>35-44</v>
      </c>
      <c r="R407" s="13" t="str">
        <f aca="false">IF(P407&lt;1,"0-1 yrs",IF(P407&lt;3,"1-3 yrs",IF(P407&lt;5,"3-5 yrs",IF(P407&lt;10,"5-10 yrs","10+ yrs"))))</f>
        <v>10+ yrs</v>
      </c>
      <c r="S407" s="13" t="str">
        <f aca="false">IF(I407&gt;=4,"High",IF(I407=3,"Medium","Low"))</f>
        <v>High</v>
      </c>
      <c r="T407" s="13" t="str">
        <f aca="false">IF(M407=1,YEAR(C407),"")</f>
        <v/>
      </c>
      <c r="U407" s="13" t="str">
        <f aca="false">IF(M407=1,YEAR(C407)&amp;"-Q"&amp;ROUNDUP(MONTH(C407)/3,0),"")</f>
        <v/>
      </c>
      <c r="V407" s="13" t="str">
        <f aca="false">IF(M407=1,MONTH(C407),"")</f>
        <v/>
      </c>
    </row>
    <row r="408" customFormat="false" ht="15" hidden="false" customHeight="false" outlineLevel="0" collapsed="false">
      <c r="A408" s="13" t="str">
        <f aca="false">TRIM(Raw_Data!A408)</f>
        <v>EMP0407</v>
      </c>
      <c r="B408" s="14" t="n">
        <f aca="false">Raw_Data!B408</f>
        <v>42369</v>
      </c>
      <c r="C408" s="14" t="str">
        <f aca="false">IF(Raw_Data!C408="","",Raw_Data!C408)</f>
        <v/>
      </c>
      <c r="D408" s="13" t="n">
        <f aca="false">IF(Raw_Data!D408="","",Raw_Data!D408)</f>
        <v>38</v>
      </c>
      <c r="E408" s="13" t="str">
        <f aca="false">IF(UPPER(LEFT(TRIM(Raw_Data!E408),1))="M","Male",IF(UPPER(LEFT(TRIM(Raw_Data!E408),1))="F","Female","Unknown"))</f>
        <v>Female</v>
      </c>
      <c r="F408" s="13" t="str">
        <f aca="false">PROPER(TRIM(SUBSTITUTE(Raw_Data!F408,"'","")))</f>
        <v>Bachelors</v>
      </c>
      <c r="G408" s="13" t="str">
        <f aca="false">PROPER(TRIM(Raw_Data!G408))</f>
        <v>Finance</v>
      </c>
      <c r="H408" s="13" t="str">
        <f aca="false">PROPER(TRIM(Raw_Data!H408))</f>
        <v>Manager</v>
      </c>
      <c r="I408" s="13" t="n">
        <f aca="false">IF(Raw_Data!I408="",DefaultPerf,Raw_Data!I408)</f>
        <v>4</v>
      </c>
      <c r="J408" s="13" t="n">
        <f aca="false">IF(Raw_Data!J408="",DefaultSat,Raw_Data!J408)</f>
        <v>3</v>
      </c>
      <c r="K408" s="15" t="n">
        <f aca="false">Raw_Data!K408</f>
        <v>239000</v>
      </c>
      <c r="L408" s="13" t="str">
        <f aca="false">PROPER(TRIM(Raw_Data!N408))</f>
        <v>No</v>
      </c>
      <c r="M408" s="13" t="n">
        <f aca="false">IF(C408="",0,1)</f>
        <v>0</v>
      </c>
      <c r="N408" s="13" t="str">
        <f aca="false">IF(M408=0,"Active",IF(TRIM(Raw_Data!L408)="","Unknown",PROPER(TRIM(Raw_Data!L408))))</f>
        <v>Active</v>
      </c>
      <c r="O408" s="13" t="str">
        <f aca="false">IF(M408=0,"",IF(TRIM(Raw_Data!M408)="","Not Recorded",TRIM(Raw_Data!M408)))</f>
        <v/>
      </c>
      <c r="P408" s="16" t="n">
        <f aca="false">ROUND((IF(C408="",AsOfDate,C408)-B408)/365.25,2)</f>
        <v>10</v>
      </c>
      <c r="Q408" s="13" t="str">
        <f aca="false">IF(D408="","Unknown",IF(D408&lt;25,"Under 25",IF(D408&lt;35,"25-34",IF(D408&lt;45,"35-44",IF(D408&lt;55,"45-54","55+")))))</f>
        <v>35-44</v>
      </c>
      <c r="R408" s="13" t="str">
        <f aca="false">IF(P408&lt;1,"0-1 yrs",IF(P408&lt;3,"1-3 yrs",IF(P408&lt;5,"3-5 yrs",IF(P408&lt;10,"5-10 yrs","10+ yrs"))))</f>
        <v>10+ yrs</v>
      </c>
      <c r="S408" s="13" t="str">
        <f aca="false">IF(I408&gt;=4,"High",IF(I408=3,"Medium","Low"))</f>
        <v>High</v>
      </c>
      <c r="T408" s="13" t="str">
        <f aca="false">IF(M408=1,YEAR(C408),"")</f>
        <v/>
      </c>
      <c r="U408" s="13" t="str">
        <f aca="false">IF(M408=1,YEAR(C408)&amp;"-Q"&amp;ROUNDUP(MONTH(C408)/3,0),"")</f>
        <v/>
      </c>
      <c r="V408" s="13" t="str">
        <f aca="false">IF(M408=1,MONTH(C408),"")</f>
        <v/>
      </c>
    </row>
    <row r="409" customFormat="false" ht="15" hidden="false" customHeight="false" outlineLevel="0" collapsed="false">
      <c r="A409" s="13" t="str">
        <f aca="false">TRIM(Raw_Data!A409)</f>
        <v>EMP0408</v>
      </c>
      <c r="B409" s="14" t="n">
        <f aca="false">Raw_Data!B409</f>
        <v>42373</v>
      </c>
      <c r="C409" s="14" t="str">
        <f aca="false">IF(Raw_Data!C409="","",Raw_Data!C409)</f>
        <v/>
      </c>
      <c r="D409" s="13" t="n">
        <f aca="false">IF(Raw_Data!D409="","",Raw_Data!D409)</f>
        <v>31</v>
      </c>
      <c r="E409" s="13" t="str">
        <f aca="false">IF(UPPER(LEFT(TRIM(Raw_Data!E409),1))="M","Male",IF(UPPER(LEFT(TRIM(Raw_Data!E409),1))="F","Female","Unknown"))</f>
        <v>Female</v>
      </c>
      <c r="F409" s="13" t="str">
        <f aca="false">PROPER(TRIM(SUBSTITUTE(Raw_Data!F409,"'","")))</f>
        <v>Bachelors</v>
      </c>
      <c r="G409" s="13" t="str">
        <f aca="false">PROPER(TRIM(Raw_Data!G409))</f>
        <v>Engineering</v>
      </c>
      <c r="H409" s="13" t="str">
        <f aca="false">PROPER(TRIM(Raw_Data!H409))</f>
        <v>Senior Analyst</v>
      </c>
      <c r="I409" s="13" t="n">
        <f aca="false">IF(Raw_Data!I409="",DefaultPerf,Raw_Data!I409)</f>
        <v>3</v>
      </c>
      <c r="J409" s="13" t="n">
        <f aca="false">IF(Raw_Data!J409="",DefaultSat,Raw_Data!J409)</f>
        <v>3</v>
      </c>
      <c r="K409" s="15" t="n">
        <f aca="false">Raw_Data!K409</f>
        <v>103000</v>
      </c>
      <c r="L409" s="13" t="str">
        <f aca="false">PROPER(TRIM(Raw_Data!N409))</f>
        <v>No</v>
      </c>
      <c r="M409" s="13" t="n">
        <f aca="false">IF(C409="",0,1)</f>
        <v>0</v>
      </c>
      <c r="N409" s="13" t="str">
        <f aca="false">IF(M409=0,"Active",IF(TRIM(Raw_Data!L409)="","Unknown",PROPER(TRIM(Raw_Data!L409))))</f>
        <v>Active</v>
      </c>
      <c r="O409" s="13" t="str">
        <f aca="false">IF(M409=0,"",IF(TRIM(Raw_Data!M409)="","Not Recorded",TRIM(Raw_Data!M409)))</f>
        <v/>
      </c>
      <c r="P409" s="16" t="n">
        <f aca="false">ROUND((IF(C409="",AsOfDate,C409)-B409)/365.25,2)</f>
        <v>9.99</v>
      </c>
      <c r="Q409" s="13" t="str">
        <f aca="false">IF(D409="","Unknown",IF(D409&lt;25,"Under 25",IF(D409&lt;35,"25-34",IF(D409&lt;45,"35-44",IF(D409&lt;55,"45-54","55+")))))</f>
        <v>25-34</v>
      </c>
      <c r="R409" s="13" t="str">
        <f aca="false">IF(P409&lt;1,"0-1 yrs",IF(P409&lt;3,"1-3 yrs",IF(P409&lt;5,"3-5 yrs",IF(P409&lt;10,"5-10 yrs","10+ yrs"))))</f>
        <v>5-10 yrs</v>
      </c>
      <c r="S409" s="13" t="str">
        <f aca="false">IF(I409&gt;=4,"High",IF(I409=3,"Medium","Low"))</f>
        <v>Medium</v>
      </c>
      <c r="T409" s="13" t="str">
        <f aca="false">IF(M409=1,YEAR(C409),"")</f>
        <v/>
      </c>
      <c r="U409" s="13" t="str">
        <f aca="false">IF(M409=1,YEAR(C409)&amp;"-Q"&amp;ROUNDUP(MONTH(C409)/3,0),"")</f>
        <v/>
      </c>
      <c r="V409" s="13" t="str">
        <f aca="false">IF(M409=1,MONTH(C409),"")</f>
        <v/>
      </c>
    </row>
    <row r="410" customFormat="false" ht="15" hidden="false" customHeight="false" outlineLevel="0" collapsed="false">
      <c r="A410" s="13" t="str">
        <f aca="false">TRIM(Raw_Data!A410)</f>
        <v>EMP0409</v>
      </c>
      <c r="B410" s="14" t="n">
        <f aca="false">Raw_Data!B410</f>
        <v>42375</v>
      </c>
      <c r="C410" s="14" t="str">
        <f aca="false">IF(Raw_Data!C410="","",Raw_Data!C410)</f>
        <v/>
      </c>
      <c r="D410" s="13" t="n">
        <f aca="false">IF(Raw_Data!D410="","",Raw_Data!D410)</f>
        <v>31</v>
      </c>
      <c r="E410" s="13" t="str">
        <f aca="false">IF(UPPER(LEFT(TRIM(Raw_Data!E410),1))="M","Male",IF(UPPER(LEFT(TRIM(Raw_Data!E410),1))="F","Female","Unknown"))</f>
        <v>Female</v>
      </c>
      <c r="F410" s="13" t="str">
        <f aca="false">PROPER(TRIM(SUBSTITUTE(Raw_Data!F410,"'","")))</f>
        <v>Masters</v>
      </c>
      <c r="G410" s="13" t="str">
        <f aca="false">PROPER(TRIM(Raw_Data!G410))</f>
        <v>Operations</v>
      </c>
      <c r="H410" s="13" t="str">
        <f aca="false">PROPER(TRIM(Raw_Data!H410))</f>
        <v>Associate</v>
      </c>
      <c r="I410" s="13" t="n">
        <f aca="false">IF(Raw_Data!I410="",DefaultPerf,Raw_Data!I410)</f>
        <v>3</v>
      </c>
      <c r="J410" s="13" t="n">
        <f aca="false">IF(Raw_Data!J410="",DefaultSat,Raw_Data!J410)</f>
        <v>2</v>
      </c>
      <c r="K410" s="15" t="n">
        <f aca="false">Raw_Data!K410</f>
        <v>41000</v>
      </c>
      <c r="L410" s="13" t="str">
        <f aca="false">PROPER(TRIM(Raw_Data!N410))</f>
        <v>No</v>
      </c>
      <c r="M410" s="13" t="n">
        <f aca="false">IF(C410="",0,1)</f>
        <v>0</v>
      </c>
      <c r="N410" s="13" t="str">
        <f aca="false">IF(M410=0,"Active",IF(TRIM(Raw_Data!L410)="","Unknown",PROPER(TRIM(Raw_Data!L410))))</f>
        <v>Active</v>
      </c>
      <c r="O410" s="13" t="str">
        <f aca="false">IF(M410=0,"",IF(TRIM(Raw_Data!M410)="","Not Recorded",TRIM(Raw_Data!M410)))</f>
        <v/>
      </c>
      <c r="P410" s="16" t="n">
        <f aca="false">ROUND((IF(C410="",AsOfDate,C410)-B410)/365.25,2)</f>
        <v>9.98</v>
      </c>
      <c r="Q410" s="13" t="str">
        <f aca="false">IF(D410="","Unknown",IF(D410&lt;25,"Under 25",IF(D410&lt;35,"25-34",IF(D410&lt;45,"35-44",IF(D410&lt;55,"45-54","55+")))))</f>
        <v>25-34</v>
      </c>
      <c r="R410" s="13" t="str">
        <f aca="false">IF(P410&lt;1,"0-1 yrs",IF(P410&lt;3,"1-3 yrs",IF(P410&lt;5,"3-5 yrs",IF(P410&lt;10,"5-10 yrs","10+ yrs"))))</f>
        <v>5-10 yrs</v>
      </c>
      <c r="S410" s="13" t="str">
        <f aca="false">IF(I410&gt;=4,"High",IF(I410=3,"Medium","Low"))</f>
        <v>Medium</v>
      </c>
      <c r="T410" s="13" t="str">
        <f aca="false">IF(M410=1,YEAR(C410),"")</f>
        <v/>
      </c>
      <c r="U410" s="13" t="str">
        <f aca="false">IF(M410=1,YEAR(C410)&amp;"-Q"&amp;ROUNDUP(MONTH(C410)/3,0),"")</f>
        <v/>
      </c>
      <c r="V410" s="13" t="str">
        <f aca="false">IF(M410=1,MONTH(C410),"")</f>
        <v/>
      </c>
    </row>
    <row r="411" customFormat="false" ht="15" hidden="false" customHeight="false" outlineLevel="0" collapsed="false">
      <c r="A411" s="13" t="str">
        <f aca="false">TRIM(Raw_Data!A411)</f>
        <v>EMP0410</v>
      </c>
      <c r="B411" s="14" t="n">
        <f aca="false">Raw_Data!B411</f>
        <v>42376</v>
      </c>
      <c r="C411" s="14" t="str">
        <f aca="false">IF(Raw_Data!C411="","",Raw_Data!C411)</f>
        <v/>
      </c>
      <c r="D411" s="13" t="n">
        <f aca="false">IF(Raw_Data!D411="","",Raw_Data!D411)</f>
        <v>51</v>
      </c>
      <c r="E411" s="13" t="str">
        <f aca="false">IF(UPPER(LEFT(TRIM(Raw_Data!E411),1))="M","Male",IF(UPPER(LEFT(TRIM(Raw_Data!E411),1))="F","Female","Unknown"))</f>
        <v>Female</v>
      </c>
      <c r="F411" s="13" t="str">
        <f aca="false">PROPER(TRIM(SUBSTITUTE(Raw_Data!F411,"'","")))</f>
        <v>Diploma</v>
      </c>
      <c r="G411" s="13" t="str">
        <f aca="false">PROPER(TRIM(Raw_Data!G411))</f>
        <v>Operations</v>
      </c>
      <c r="H411" s="13" t="str">
        <f aca="false">PROPER(TRIM(Raw_Data!H411))</f>
        <v>Associate</v>
      </c>
      <c r="I411" s="13" t="n">
        <f aca="false">IF(Raw_Data!I411="",DefaultPerf,Raw_Data!I411)</f>
        <v>4</v>
      </c>
      <c r="J411" s="13" t="n">
        <f aca="false">IF(Raw_Data!J411="",DefaultSat,Raw_Data!J411)</f>
        <v>4</v>
      </c>
      <c r="K411" s="15" t="n">
        <f aca="false">Raw_Data!K411</f>
        <v>43000</v>
      </c>
      <c r="L411" s="13" t="str">
        <f aca="false">PROPER(TRIM(Raw_Data!N411))</f>
        <v>No</v>
      </c>
      <c r="M411" s="13" t="n">
        <f aca="false">IF(C411="",0,1)</f>
        <v>0</v>
      </c>
      <c r="N411" s="13" t="str">
        <f aca="false">IF(M411=0,"Active",IF(TRIM(Raw_Data!L411)="","Unknown",PROPER(TRIM(Raw_Data!L411))))</f>
        <v>Active</v>
      </c>
      <c r="O411" s="13" t="str">
        <f aca="false">IF(M411=0,"",IF(TRIM(Raw_Data!M411)="","Not Recorded",TRIM(Raw_Data!M411)))</f>
        <v/>
      </c>
      <c r="P411" s="16" t="n">
        <f aca="false">ROUND((IF(C411="",AsOfDate,C411)-B411)/365.25,2)</f>
        <v>9.98</v>
      </c>
      <c r="Q411" s="13" t="str">
        <f aca="false">IF(D411="","Unknown",IF(D411&lt;25,"Under 25",IF(D411&lt;35,"25-34",IF(D411&lt;45,"35-44",IF(D411&lt;55,"45-54","55+")))))</f>
        <v>45-54</v>
      </c>
      <c r="R411" s="13" t="str">
        <f aca="false">IF(P411&lt;1,"0-1 yrs",IF(P411&lt;3,"1-3 yrs",IF(P411&lt;5,"3-5 yrs",IF(P411&lt;10,"5-10 yrs","10+ yrs"))))</f>
        <v>5-10 yrs</v>
      </c>
      <c r="S411" s="13" t="str">
        <f aca="false">IF(I411&gt;=4,"High",IF(I411=3,"Medium","Low"))</f>
        <v>High</v>
      </c>
      <c r="T411" s="13" t="str">
        <f aca="false">IF(M411=1,YEAR(C411),"")</f>
        <v/>
      </c>
      <c r="U411" s="13" t="str">
        <f aca="false">IF(M411=1,YEAR(C411)&amp;"-Q"&amp;ROUNDUP(MONTH(C411)/3,0),"")</f>
        <v/>
      </c>
      <c r="V411" s="13" t="str">
        <f aca="false">IF(M411=1,MONTH(C411),"")</f>
        <v/>
      </c>
    </row>
    <row r="412" customFormat="false" ht="15" hidden="false" customHeight="false" outlineLevel="0" collapsed="false">
      <c r="A412" s="13" t="str">
        <f aca="false">TRIM(Raw_Data!A412)</f>
        <v>EMP0411</v>
      </c>
      <c r="B412" s="14" t="n">
        <f aca="false">Raw_Data!B412</f>
        <v>42382</v>
      </c>
      <c r="C412" s="14" t="str">
        <f aca="false">IF(Raw_Data!C412="","",Raw_Data!C412)</f>
        <v/>
      </c>
      <c r="D412" s="13" t="n">
        <f aca="false">IF(Raw_Data!D412="","",Raw_Data!D412)</f>
        <v>37</v>
      </c>
      <c r="E412" s="13" t="str">
        <f aca="false">IF(UPPER(LEFT(TRIM(Raw_Data!E412),1))="M","Male",IF(UPPER(LEFT(TRIM(Raw_Data!E412),1))="F","Female","Unknown"))</f>
        <v>Female</v>
      </c>
      <c r="F412" s="13" t="str">
        <f aca="false">PROPER(TRIM(SUBSTITUTE(Raw_Data!F412,"'","")))</f>
        <v>Bachelors</v>
      </c>
      <c r="G412" s="13" t="str">
        <f aca="false">PROPER(TRIM(Raw_Data!G412))</f>
        <v>Customer Support</v>
      </c>
      <c r="H412" s="13" t="str">
        <f aca="false">PROPER(TRIM(Raw_Data!H412))</f>
        <v>Analyst</v>
      </c>
      <c r="I412" s="13" t="n">
        <f aca="false">IF(Raw_Data!I412="",DefaultPerf,Raw_Data!I412)</f>
        <v>5</v>
      </c>
      <c r="J412" s="13" t="n">
        <f aca="false">IF(Raw_Data!J412="",DefaultSat,Raw_Data!J412)</f>
        <v>3</v>
      </c>
      <c r="K412" s="15" t="n">
        <f aca="false">Raw_Data!K412</f>
        <v>70000</v>
      </c>
      <c r="L412" s="13" t="str">
        <f aca="false">PROPER(TRIM(Raw_Data!N412))</f>
        <v>No</v>
      </c>
      <c r="M412" s="13" t="n">
        <f aca="false">IF(C412="",0,1)</f>
        <v>0</v>
      </c>
      <c r="N412" s="13" t="str">
        <f aca="false">IF(M412=0,"Active",IF(TRIM(Raw_Data!L412)="","Unknown",PROPER(TRIM(Raw_Data!L412))))</f>
        <v>Active</v>
      </c>
      <c r="O412" s="13" t="str">
        <f aca="false">IF(M412=0,"",IF(TRIM(Raw_Data!M412)="","Not Recorded",TRIM(Raw_Data!M412)))</f>
        <v/>
      </c>
      <c r="P412" s="16" t="n">
        <f aca="false">ROUND((IF(C412="",AsOfDate,C412)-B412)/365.25,2)</f>
        <v>9.97</v>
      </c>
      <c r="Q412" s="13" t="str">
        <f aca="false">IF(D412="","Unknown",IF(D412&lt;25,"Under 25",IF(D412&lt;35,"25-34",IF(D412&lt;45,"35-44",IF(D412&lt;55,"45-54","55+")))))</f>
        <v>35-44</v>
      </c>
      <c r="R412" s="13" t="str">
        <f aca="false">IF(P412&lt;1,"0-1 yrs",IF(P412&lt;3,"1-3 yrs",IF(P412&lt;5,"3-5 yrs",IF(P412&lt;10,"5-10 yrs","10+ yrs"))))</f>
        <v>5-10 yrs</v>
      </c>
      <c r="S412" s="13" t="str">
        <f aca="false">IF(I412&gt;=4,"High",IF(I412=3,"Medium","Low"))</f>
        <v>High</v>
      </c>
      <c r="T412" s="13" t="str">
        <f aca="false">IF(M412=1,YEAR(C412),"")</f>
        <v/>
      </c>
      <c r="U412" s="13" t="str">
        <f aca="false">IF(M412=1,YEAR(C412)&amp;"-Q"&amp;ROUNDUP(MONTH(C412)/3,0),"")</f>
        <v/>
      </c>
      <c r="V412" s="13" t="str">
        <f aca="false">IF(M412=1,MONTH(C412),"")</f>
        <v/>
      </c>
    </row>
    <row r="413" customFormat="false" ht="15" hidden="false" customHeight="false" outlineLevel="0" collapsed="false">
      <c r="A413" s="13" t="str">
        <f aca="false">TRIM(Raw_Data!A413)</f>
        <v>EMP0412</v>
      </c>
      <c r="B413" s="14" t="n">
        <f aca="false">Raw_Data!B413</f>
        <v>42388</v>
      </c>
      <c r="C413" s="14" t="n">
        <f aca="false">IF(Raw_Data!C413="","",Raw_Data!C413)</f>
        <v>45768</v>
      </c>
      <c r="D413" s="13" t="n">
        <f aca="false">IF(Raw_Data!D413="","",Raw_Data!D413)</f>
        <v>32</v>
      </c>
      <c r="E413" s="13" t="str">
        <f aca="false">IF(UPPER(LEFT(TRIM(Raw_Data!E413),1))="M","Male",IF(UPPER(LEFT(TRIM(Raw_Data!E413),1))="F","Female","Unknown"))</f>
        <v>Male</v>
      </c>
      <c r="F413" s="13" t="str">
        <f aca="false">PROPER(TRIM(SUBSTITUTE(Raw_Data!F413,"'","")))</f>
        <v>High School</v>
      </c>
      <c r="G413" s="13" t="str">
        <f aca="false">PROPER(TRIM(Raw_Data!G413))</f>
        <v>Customer Support</v>
      </c>
      <c r="H413" s="13" t="str">
        <f aca="false">PROPER(TRIM(Raw_Data!H413))</f>
        <v>Analyst</v>
      </c>
      <c r="I413" s="13" t="n">
        <f aca="false">IF(Raw_Data!I413="",DefaultPerf,Raw_Data!I413)</f>
        <v>3</v>
      </c>
      <c r="J413" s="13" t="n">
        <f aca="false">IF(Raw_Data!J413="",DefaultSat,Raw_Data!J413)</f>
        <v>2</v>
      </c>
      <c r="K413" s="15" t="n">
        <f aca="false">Raw_Data!K413</f>
        <v>77000</v>
      </c>
      <c r="L413" s="13" t="str">
        <f aca="false">PROPER(TRIM(Raw_Data!N413))</f>
        <v>Yes</v>
      </c>
      <c r="M413" s="13" t="n">
        <f aca="false">IF(C413="",0,1)</f>
        <v>1</v>
      </c>
      <c r="N413" s="13" t="str">
        <f aca="false">IF(M413=0,"Active",IF(TRIM(Raw_Data!L413)="","Unknown",PROPER(TRIM(Raw_Data!L413))))</f>
        <v>Voluntary</v>
      </c>
      <c r="O413" s="13" t="str">
        <f aca="false">IF(M413=0,"",IF(TRIM(Raw_Data!M413)="","Not Recorded",TRIM(Raw_Data!M413)))</f>
        <v>Personal Reasons</v>
      </c>
      <c r="P413" s="16" t="n">
        <f aca="false">ROUND((IF(C413="",AsOfDate,C413)-B413)/365.25,2)</f>
        <v>9.25</v>
      </c>
      <c r="Q413" s="13" t="str">
        <f aca="false">IF(D413="","Unknown",IF(D413&lt;25,"Under 25",IF(D413&lt;35,"25-34",IF(D413&lt;45,"35-44",IF(D413&lt;55,"45-54","55+")))))</f>
        <v>25-34</v>
      </c>
      <c r="R413" s="13" t="str">
        <f aca="false">IF(P413&lt;1,"0-1 yrs",IF(P413&lt;3,"1-3 yrs",IF(P413&lt;5,"3-5 yrs",IF(P413&lt;10,"5-10 yrs","10+ yrs"))))</f>
        <v>5-10 yrs</v>
      </c>
      <c r="S413" s="13" t="str">
        <f aca="false">IF(I413&gt;=4,"High",IF(I413=3,"Medium","Low"))</f>
        <v>Medium</v>
      </c>
      <c r="T413" s="13" t="n">
        <f aca="false">IF(M413=1,YEAR(C413),"")</f>
        <v>2025</v>
      </c>
      <c r="U413" s="13" t="str">
        <f aca="false">IF(M413=1,YEAR(C413)&amp;"-Q"&amp;ROUNDUP(MONTH(C413)/3,0),"")</f>
        <v>2025-Q2</v>
      </c>
      <c r="V413" s="13" t="n">
        <f aca="false">IF(M413=1,MONTH(C413),"")</f>
        <v>4</v>
      </c>
    </row>
    <row r="414" customFormat="false" ht="15" hidden="false" customHeight="false" outlineLevel="0" collapsed="false">
      <c r="A414" s="13" t="str">
        <f aca="false">TRIM(Raw_Data!A414)</f>
        <v>EMP0413</v>
      </c>
      <c r="B414" s="14" t="n">
        <f aca="false">Raw_Data!B414</f>
        <v>42391</v>
      </c>
      <c r="C414" s="14" t="str">
        <f aca="false">IF(Raw_Data!C414="","",Raw_Data!C414)</f>
        <v/>
      </c>
      <c r="D414" s="13" t="n">
        <f aca="false">IF(Raw_Data!D414="","",Raw_Data!D414)</f>
        <v>37</v>
      </c>
      <c r="E414" s="13" t="str">
        <f aca="false">IF(UPPER(LEFT(TRIM(Raw_Data!E414),1))="M","Male",IF(UPPER(LEFT(TRIM(Raw_Data!E414),1))="F","Female","Unknown"))</f>
        <v>Female</v>
      </c>
      <c r="F414" s="13" t="str">
        <f aca="false">PROPER(TRIM(SUBSTITUTE(Raw_Data!F414,"'","")))</f>
        <v>Bachelors</v>
      </c>
      <c r="G414" s="13" t="str">
        <f aca="false">PROPER(TRIM(Raw_Data!G414))</f>
        <v>Engineering</v>
      </c>
      <c r="H414" s="13" t="str">
        <f aca="false">PROPER(TRIM(Raw_Data!H414))</f>
        <v>Associate</v>
      </c>
      <c r="I414" s="13" t="n">
        <f aca="false">IF(Raw_Data!I414="",DefaultPerf,Raw_Data!I414)</f>
        <v>4</v>
      </c>
      <c r="J414" s="13" t="n">
        <f aca="false">IF(Raw_Data!J414="",DefaultSat,Raw_Data!J414)</f>
        <v>3</v>
      </c>
      <c r="K414" s="15" t="n">
        <f aca="false">Raw_Data!K414</f>
        <v>56500</v>
      </c>
      <c r="L414" s="13" t="str">
        <f aca="false">PROPER(TRIM(Raw_Data!N414))</f>
        <v>No</v>
      </c>
      <c r="M414" s="13" t="n">
        <f aca="false">IF(C414="",0,1)</f>
        <v>0</v>
      </c>
      <c r="N414" s="13" t="str">
        <f aca="false">IF(M414=0,"Active",IF(TRIM(Raw_Data!L414)="","Unknown",PROPER(TRIM(Raw_Data!L414))))</f>
        <v>Active</v>
      </c>
      <c r="O414" s="13" t="str">
        <f aca="false">IF(M414=0,"",IF(TRIM(Raw_Data!M414)="","Not Recorded",TRIM(Raw_Data!M414)))</f>
        <v/>
      </c>
      <c r="P414" s="16" t="n">
        <f aca="false">ROUND((IF(C414="",AsOfDate,C414)-B414)/365.25,2)</f>
        <v>9.94</v>
      </c>
      <c r="Q414" s="13" t="str">
        <f aca="false">IF(D414="","Unknown",IF(D414&lt;25,"Under 25",IF(D414&lt;35,"25-34",IF(D414&lt;45,"35-44",IF(D414&lt;55,"45-54","55+")))))</f>
        <v>35-44</v>
      </c>
      <c r="R414" s="13" t="str">
        <f aca="false">IF(P414&lt;1,"0-1 yrs",IF(P414&lt;3,"1-3 yrs",IF(P414&lt;5,"3-5 yrs",IF(P414&lt;10,"5-10 yrs","10+ yrs"))))</f>
        <v>5-10 yrs</v>
      </c>
      <c r="S414" s="13" t="str">
        <f aca="false">IF(I414&gt;=4,"High",IF(I414=3,"Medium","Low"))</f>
        <v>High</v>
      </c>
      <c r="T414" s="13" t="str">
        <f aca="false">IF(M414=1,YEAR(C414),"")</f>
        <v/>
      </c>
      <c r="U414" s="13" t="str">
        <f aca="false">IF(M414=1,YEAR(C414)&amp;"-Q"&amp;ROUNDUP(MONTH(C414)/3,0),"")</f>
        <v/>
      </c>
      <c r="V414" s="13" t="str">
        <f aca="false">IF(M414=1,MONTH(C414),"")</f>
        <v/>
      </c>
    </row>
    <row r="415" customFormat="false" ht="15" hidden="false" customHeight="false" outlineLevel="0" collapsed="false">
      <c r="A415" s="13" t="str">
        <f aca="false">TRIM(Raw_Data!A415)</f>
        <v>EMP0414</v>
      </c>
      <c r="B415" s="14" t="n">
        <f aca="false">Raw_Data!B415</f>
        <v>42392</v>
      </c>
      <c r="C415" s="14" t="n">
        <f aca="false">IF(Raw_Data!C415="","",Raw_Data!C415)</f>
        <v>44921</v>
      </c>
      <c r="D415" s="13" t="n">
        <f aca="false">IF(Raw_Data!D415="","",Raw_Data!D415)</f>
        <v>47</v>
      </c>
      <c r="E415" s="13" t="str">
        <f aca="false">IF(UPPER(LEFT(TRIM(Raw_Data!E415),1))="M","Male",IF(UPPER(LEFT(TRIM(Raw_Data!E415),1))="F","Female","Unknown"))</f>
        <v>Male</v>
      </c>
      <c r="F415" s="13" t="str">
        <f aca="false">PROPER(TRIM(SUBSTITUTE(Raw_Data!F415,"'","")))</f>
        <v>High School</v>
      </c>
      <c r="G415" s="13" t="str">
        <f aca="false">PROPER(TRIM(Raw_Data!G415))</f>
        <v>Customer Support</v>
      </c>
      <c r="H415" s="13" t="str">
        <f aca="false">PROPER(TRIM(Raw_Data!H415))</f>
        <v>Team Lead</v>
      </c>
      <c r="I415" s="13" t="n">
        <f aca="false">IF(Raw_Data!I415="",DefaultPerf,Raw_Data!I415)</f>
        <v>4</v>
      </c>
      <c r="J415" s="13" t="n">
        <f aca="false">IF(Raw_Data!J415="",DefaultSat,Raw_Data!J415)</f>
        <v>3</v>
      </c>
      <c r="K415" s="15" t="n">
        <f aca="false">Raw_Data!K415</f>
        <v>148000</v>
      </c>
      <c r="L415" s="13" t="str">
        <f aca="false">PROPER(TRIM(Raw_Data!N415))</f>
        <v>Yes</v>
      </c>
      <c r="M415" s="13" t="n">
        <f aca="false">IF(C415="",0,1)</f>
        <v>1</v>
      </c>
      <c r="N415" s="13" t="str">
        <f aca="false">IF(M415=0,"Active",IF(TRIM(Raw_Data!L415)="","Unknown",PROPER(TRIM(Raw_Data!L415))))</f>
        <v>Voluntary</v>
      </c>
      <c r="O415" s="13" t="str">
        <f aca="false">IF(M415=0,"",IF(TRIM(Raw_Data!M415)="","Not Recorded",TRIM(Raw_Data!M415)))</f>
        <v>Career Growth</v>
      </c>
      <c r="P415" s="16" t="n">
        <f aca="false">ROUND((IF(C415="",AsOfDate,C415)-B415)/365.25,2)</f>
        <v>6.92</v>
      </c>
      <c r="Q415" s="13" t="str">
        <f aca="false">IF(D415="","Unknown",IF(D415&lt;25,"Under 25",IF(D415&lt;35,"25-34",IF(D415&lt;45,"35-44",IF(D415&lt;55,"45-54","55+")))))</f>
        <v>45-54</v>
      </c>
      <c r="R415" s="13" t="str">
        <f aca="false">IF(P415&lt;1,"0-1 yrs",IF(P415&lt;3,"1-3 yrs",IF(P415&lt;5,"3-5 yrs",IF(P415&lt;10,"5-10 yrs","10+ yrs"))))</f>
        <v>5-10 yrs</v>
      </c>
      <c r="S415" s="13" t="str">
        <f aca="false">IF(I415&gt;=4,"High",IF(I415=3,"Medium","Low"))</f>
        <v>High</v>
      </c>
      <c r="T415" s="13" t="n">
        <f aca="false">IF(M415=1,YEAR(C415),"")</f>
        <v>2022</v>
      </c>
      <c r="U415" s="13" t="str">
        <f aca="false">IF(M415=1,YEAR(C415)&amp;"-Q"&amp;ROUNDUP(MONTH(C415)/3,0),"")</f>
        <v>2022-Q4</v>
      </c>
      <c r="V415" s="13" t="n">
        <f aca="false">IF(M415=1,MONTH(C415),"")</f>
        <v>12</v>
      </c>
    </row>
    <row r="416" customFormat="false" ht="15" hidden="false" customHeight="false" outlineLevel="0" collapsed="false">
      <c r="A416" s="13" t="str">
        <f aca="false">TRIM(Raw_Data!A416)</f>
        <v>EMP0415</v>
      </c>
      <c r="B416" s="14" t="n">
        <f aca="false">Raw_Data!B416</f>
        <v>42397</v>
      </c>
      <c r="C416" s="14" t="n">
        <f aca="false">IF(Raw_Data!C416="","",Raw_Data!C416)</f>
        <v>44786</v>
      </c>
      <c r="D416" s="13" t="n">
        <f aca="false">IF(Raw_Data!D416="","",Raw_Data!D416)</f>
        <v>43</v>
      </c>
      <c r="E416" s="13" t="str">
        <f aca="false">IF(UPPER(LEFT(TRIM(Raw_Data!E416),1))="M","Male",IF(UPPER(LEFT(TRIM(Raw_Data!E416),1))="F","Female","Unknown"))</f>
        <v>Female</v>
      </c>
      <c r="F416" s="13" t="str">
        <f aca="false">PROPER(TRIM(SUBSTITUTE(Raw_Data!F416,"'","")))</f>
        <v>Bachelors</v>
      </c>
      <c r="G416" s="13" t="str">
        <f aca="false">PROPER(TRIM(Raw_Data!G416))</f>
        <v>Operations</v>
      </c>
      <c r="H416" s="13" t="str">
        <f aca="false">PROPER(TRIM(Raw_Data!H416))</f>
        <v>Analyst</v>
      </c>
      <c r="I416" s="13" t="n">
        <f aca="false">IF(Raw_Data!I416="",DefaultPerf,Raw_Data!I416)</f>
        <v>4</v>
      </c>
      <c r="J416" s="13" t="n">
        <f aca="false">IF(Raw_Data!J416="",DefaultSat,Raw_Data!J416)</f>
        <v>1</v>
      </c>
      <c r="K416" s="15" t="n">
        <f aca="false">Raw_Data!K416</f>
        <v>61500</v>
      </c>
      <c r="L416" s="13" t="str">
        <f aca="false">PROPER(TRIM(Raw_Data!N416))</f>
        <v>Yes</v>
      </c>
      <c r="M416" s="13" t="n">
        <f aca="false">IF(C416="",0,1)</f>
        <v>1</v>
      </c>
      <c r="N416" s="13" t="str">
        <f aca="false">IF(M416=0,"Active",IF(TRIM(Raw_Data!L416)="","Unknown",PROPER(TRIM(Raw_Data!L416))))</f>
        <v>Involuntary</v>
      </c>
      <c r="O416" s="13" t="str">
        <f aca="false">IF(M416=0,"",IF(TRIM(Raw_Data!M416)="","Not Recorded",TRIM(Raw_Data!M416)))</f>
        <v>Poor Performance</v>
      </c>
      <c r="P416" s="16" t="n">
        <f aca="false">ROUND((IF(C416="",AsOfDate,C416)-B416)/365.25,2)</f>
        <v>6.54</v>
      </c>
      <c r="Q416" s="13" t="str">
        <f aca="false">IF(D416="","Unknown",IF(D416&lt;25,"Under 25",IF(D416&lt;35,"25-34",IF(D416&lt;45,"35-44",IF(D416&lt;55,"45-54","55+")))))</f>
        <v>35-44</v>
      </c>
      <c r="R416" s="13" t="str">
        <f aca="false">IF(P416&lt;1,"0-1 yrs",IF(P416&lt;3,"1-3 yrs",IF(P416&lt;5,"3-5 yrs",IF(P416&lt;10,"5-10 yrs","10+ yrs"))))</f>
        <v>5-10 yrs</v>
      </c>
      <c r="S416" s="13" t="str">
        <f aca="false">IF(I416&gt;=4,"High",IF(I416=3,"Medium","Low"))</f>
        <v>High</v>
      </c>
      <c r="T416" s="13" t="n">
        <f aca="false">IF(M416=1,YEAR(C416),"")</f>
        <v>2022</v>
      </c>
      <c r="U416" s="13" t="str">
        <f aca="false">IF(M416=1,YEAR(C416)&amp;"-Q"&amp;ROUNDUP(MONTH(C416)/3,0),"")</f>
        <v>2022-Q3</v>
      </c>
      <c r="V416" s="13" t="n">
        <f aca="false">IF(M416=1,MONTH(C416),"")</f>
        <v>8</v>
      </c>
    </row>
    <row r="417" customFormat="false" ht="15" hidden="false" customHeight="false" outlineLevel="0" collapsed="false">
      <c r="A417" s="13" t="str">
        <f aca="false">TRIM(Raw_Data!A417)</f>
        <v>EMP0416</v>
      </c>
      <c r="B417" s="14" t="n">
        <f aca="false">Raw_Data!B417</f>
        <v>42397</v>
      </c>
      <c r="C417" s="14" t="n">
        <f aca="false">IF(Raw_Data!C417="","",Raw_Data!C417)</f>
        <v>45007</v>
      </c>
      <c r="D417" s="13" t="n">
        <f aca="false">IF(Raw_Data!D417="","",Raw_Data!D417)</f>
        <v>40</v>
      </c>
      <c r="E417" s="13" t="str">
        <f aca="false">IF(UPPER(LEFT(TRIM(Raw_Data!E417),1))="M","Male",IF(UPPER(LEFT(TRIM(Raw_Data!E417),1))="F","Female","Unknown"))</f>
        <v>Male</v>
      </c>
      <c r="F417" s="13" t="str">
        <f aca="false">PROPER(TRIM(SUBSTITUTE(Raw_Data!F417,"'","")))</f>
        <v>Masters</v>
      </c>
      <c r="G417" s="13" t="str">
        <f aca="false">PROPER(TRIM(Raw_Data!G417))</f>
        <v>Engineering</v>
      </c>
      <c r="H417" s="13" t="str">
        <f aca="false">PROPER(TRIM(Raw_Data!H417))</f>
        <v>Specialist</v>
      </c>
      <c r="I417" s="13" t="n">
        <f aca="false">IF(Raw_Data!I417="",DefaultPerf,Raw_Data!I417)</f>
        <v>3</v>
      </c>
      <c r="J417" s="13" t="n">
        <f aca="false">IF(Raw_Data!J417="",DefaultSat,Raw_Data!J417)</f>
        <v>1</v>
      </c>
      <c r="K417" s="15" t="n">
        <f aca="false">Raw_Data!K417</f>
        <v>117500</v>
      </c>
      <c r="L417" s="13" t="str">
        <f aca="false">PROPER(TRIM(Raw_Data!N417))</f>
        <v>Yes</v>
      </c>
      <c r="M417" s="13" t="n">
        <f aca="false">IF(C417="",0,1)</f>
        <v>1</v>
      </c>
      <c r="N417" s="13" t="str">
        <f aca="false">IF(M417=0,"Active",IF(TRIM(Raw_Data!L417)="","Unknown",PROPER(TRIM(Raw_Data!L417))))</f>
        <v>Voluntary</v>
      </c>
      <c r="O417" s="13" t="str">
        <f aca="false">IF(M417=0,"",IF(TRIM(Raw_Data!M417)="","Not Recorded",TRIM(Raw_Data!M417)))</f>
        <v>Work-Life Balance</v>
      </c>
      <c r="P417" s="16" t="n">
        <f aca="false">ROUND((IF(C417="",AsOfDate,C417)-B417)/365.25,2)</f>
        <v>7.15</v>
      </c>
      <c r="Q417" s="13" t="str">
        <f aca="false">IF(D417="","Unknown",IF(D417&lt;25,"Under 25",IF(D417&lt;35,"25-34",IF(D417&lt;45,"35-44",IF(D417&lt;55,"45-54","55+")))))</f>
        <v>35-44</v>
      </c>
      <c r="R417" s="13" t="str">
        <f aca="false">IF(P417&lt;1,"0-1 yrs",IF(P417&lt;3,"1-3 yrs",IF(P417&lt;5,"3-5 yrs",IF(P417&lt;10,"5-10 yrs","10+ yrs"))))</f>
        <v>5-10 yrs</v>
      </c>
      <c r="S417" s="13" t="str">
        <f aca="false">IF(I417&gt;=4,"High",IF(I417=3,"Medium","Low"))</f>
        <v>Medium</v>
      </c>
      <c r="T417" s="13" t="n">
        <f aca="false">IF(M417=1,YEAR(C417),"")</f>
        <v>2023</v>
      </c>
      <c r="U417" s="13" t="str">
        <f aca="false">IF(M417=1,YEAR(C417)&amp;"-Q"&amp;ROUNDUP(MONTH(C417)/3,0),"")</f>
        <v>2023-Q1</v>
      </c>
      <c r="V417" s="13" t="n">
        <f aca="false">IF(M417=1,MONTH(C417),"")</f>
        <v>3</v>
      </c>
    </row>
    <row r="418" customFormat="false" ht="15" hidden="false" customHeight="false" outlineLevel="0" collapsed="false">
      <c r="A418" s="13" t="str">
        <f aca="false">TRIM(Raw_Data!A418)</f>
        <v>EMP0417</v>
      </c>
      <c r="B418" s="14" t="n">
        <f aca="false">Raw_Data!B418</f>
        <v>42399</v>
      </c>
      <c r="C418" s="14" t="str">
        <f aca="false">IF(Raw_Data!C418="","",Raw_Data!C418)</f>
        <v/>
      </c>
      <c r="D418" s="13" t="n">
        <f aca="false">IF(Raw_Data!D418="","",Raw_Data!D418)</f>
        <v>36</v>
      </c>
      <c r="E418" s="13" t="str">
        <f aca="false">IF(UPPER(LEFT(TRIM(Raw_Data!E418),1))="M","Male",IF(UPPER(LEFT(TRIM(Raw_Data!E418),1))="F","Female","Unknown"))</f>
        <v>Female</v>
      </c>
      <c r="F418" s="13" t="str">
        <f aca="false">PROPER(TRIM(SUBSTITUTE(Raw_Data!F418,"'","")))</f>
        <v>Masters</v>
      </c>
      <c r="G418" s="13" t="str">
        <f aca="false">PROPER(TRIM(Raw_Data!G418))</f>
        <v>Sales</v>
      </c>
      <c r="H418" s="13" t="str">
        <f aca="false">PROPER(TRIM(Raw_Data!H418))</f>
        <v>Associate</v>
      </c>
      <c r="I418" s="13" t="n">
        <f aca="false">IF(Raw_Data!I418="",DefaultPerf,Raw_Data!I418)</f>
        <v>4</v>
      </c>
      <c r="J418" s="13" t="n">
        <f aca="false">IF(Raw_Data!J418="",DefaultSat,Raw_Data!J418)</f>
        <v>1</v>
      </c>
      <c r="K418" s="15" t="n">
        <f aca="false">Raw_Data!K418</f>
        <v>47000</v>
      </c>
      <c r="L418" s="13" t="str">
        <f aca="false">PROPER(TRIM(Raw_Data!N418))</f>
        <v>No</v>
      </c>
      <c r="M418" s="13" t="n">
        <f aca="false">IF(C418="",0,1)</f>
        <v>0</v>
      </c>
      <c r="N418" s="13" t="str">
        <f aca="false">IF(M418=0,"Active",IF(TRIM(Raw_Data!L418)="","Unknown",PROPER(TRIM(Raw_Data!L418))))</f>
        <v>Active</v>
      </c>
      <c r="O418" s="13" t="str">
        <f aca="false">IF(M418=0,"",IF(TRIM(Raw_Data!M418)="","Not Recorded",TRIM(Raw_Data!M418)))</f>
        <v/>
      </c>
      <c r="P418" s="16" t="n">
        <f aca="false">ROUND((IF(C418="",AsOfDate,C418)-B418)/365.25,2)</f>
        <v>9.92</v>
      </c>
      <c r="Q418" s="13" t="str">
        <f aca="false">IF(D418="","Unknown",IF(D418&lt;25,"Under 25",IF(D418&lt;35,"25-34",IF(D418&lt;45,"35-44",IF(D418&lt;55,"45-54","55+")))))</f>
        <v>35-44</v>
      </c>
      <c r="R418" s="13" t="str">
        <f aca="false">IF(P418&lt;1,"0-1 yrs",IF(P418&lt;3,"1-3 yrs",IF(P418&lt;5,"3-5 yrs",IF(P418&lt;10,"5-10 yrs","10+ yrs"))))</f>
        <v>5-10 yrs</v>
      </c>
      <c r="S418" s="13" t="str">
        <f aca="false">IF(I418&gt;=4,"High",IF(I418=3,"Medium","Low"))</f>
        <v>High</v>
      </c>
      <c r="T418" s="13" t="str">
        <f aca="false">IF(M418=1,YEAR(C418),"")</f>
        <v/>
      </c>
      <c r="U418" s="13" t="str">
        <f aca="false">IF(M418=1,YEAR(C418)&amp;"-Q"&amp;ROUNDUP(MONTH(C418)/3,0),"")</f>
        <v/>
      </c>
      <c r="V418" s="13" t="str">
        <f aca="false">IF(M418=1,MONTH(C418),"")</f>
        <v/>
      </c>
    </row>
    <row r="419" customFormat="false" ht="15" hidden="false" customHeight="false" outlineLevel="0" collapsed="false">
      <c r="A419" s="13" t="str">
        <f aca="false">TRIM(Raw_Data!A419)</f>
        <v>EMP0418</v>
      </c>
      <c r="B419" s="14" t="n">
        <f aca="false">Raw_Data!B419</f>
        <v>42399</v>
      </c>
      <c r="C419" s="14" t="n">
        <f aca="false">IF(Raw_Data!C419="","",Raw_Data!C419)</f>
        <v>44798</v>
      </c>
      <c r="D419" s="13" t="n">
        <f aca="false">IF(Raw_Data!D419="","",Raw_Data!D419)</f>
        <v>40</v>
      </c>
      <c r="E419" s="13" t="str">
        <f aca="false">IF(UPPER(LEFT(TRIM(Raw_Data!E419),1))="M","Male",IF(UPPER(LEFT(TRIM(Raw_Data!E419),1))="F","Female","Unknown"))</f>
        <v>Female</v>
      </c>
      <c r="F419" s="13" t="str">
        <f aca="false">PROPER(TRIM(SUBSTITUTE(Raw_Data!F419,"'","")))</f>
        <v>Bachelors</v>
      </c>
      <c r="G419" s="13" t="str">
        <f aca="false">PROPER(TRIM(Raw_Data!G419))</f>
        <v>Operations</v>
      </c>
      <c r="H419" s="13" t="str">
        <f aca="false">PROPER(TRIM(Raw_Data!H419))</f>
        <v>Analyst</v>
      </c>
      <c r="I419" s="13" t="n">
        <f aca="false">IF(Raw_Data!I419="",DefaultPerf,Raw_Data!I419)</f>
        <v>4</v>
      </c>
      <c r="J419" s="13" t="n">
        <f aca="false">IF(Raw_Data!J419="",DefaultSat,Raw_Data!J419)</f>
        <v>3</v>
      </c>
      <c r="K419" s="15" t="n">
        <f aca="false">Raw_Data!K419</f>
        <v>78000</v>
      </c>
      <c r="L419" s="13" t="str">
        <f aca="false">PROPER(TRIM(Raw_Data!N419))</f>
        <v>No</v>
      </c>
      <c r="M419" s="13" t="n">
        <f aca="false">IF(C419="",0,1)</f>
        <v>1</v>
      </c>
      <c r="N419" s="13" t="str">
        <f aca="false">IF(M419=0,"Active",IF(TRIM(Raw_Data!L419)="","Unknown",PROPER(TRIM(Raw_Data!L419))))</f>
        <v>Voluntary</v>
      </c>
      <c r="O419" s="13" t="str">
        <f aca="false">IF(M419=0,"",IF(TRIM(Raw_Data!M419)="","Not Recorded",TRIM(Raw_Data!M419)))</f>
        <v>Relocation</v>
      </c>
      <c r="P419" s="16" t="n">
        <f aca="false">ROUND((IF(C419="",AsOfDate,C419)-B419)/365.25,2)</f>
        <v>6.57</v>
      </c>
      <c r="Q419" s="13" t="str">
        <f aca="false">IF(D419="","Unknown",IF(D419&lt;25,"Under 25",IF(D419&lt;35,"25-34",IF(D419&lt;45,"35-44",IF(D419&lt;55,"45-54","55+")))))</f>
        <v>35-44</v>
      </c>
      <c r="R419" s="13" t="str">
        <f aca="false">IF(P419&lt;1,"0-1 yrs",IF(P419&lt;3,"1-3 yrs",IF(P419&lt;5,"3-5 yrs",IF(P419&lt;10,"5-10 yrs","10+ yrs"))))</f>
        <v>5-10 yrs</v>
      </c>
      <c r="S419" s="13" t="str">
        <f aca="false">IF(I419&gt;=4,"High",IF(I419=3,"Medium","Low"))</f>
        <v>High</v>
      </c>
      <c r="T419" s="13" t="n">
        <f aca="false">IF(M419=1,YEAR(C419),"")</f>
        <v>2022</v>
      </c>
      <c r="U419" s="13" t="str">
        <f aca="false">IF(M419=1,YEAR(C419)&amp;"-Q"&amp;ROUNDUP(MONTH(C419)/3,0),"")</f>
        <v>2022-Q3</v>
      </c>
      <c r="V419" s="13" t="n">
        <f aca="false">IF(M419=1,MONTH(C419),"")</f>
        <v>8</v>
      </c>
    </row>
    <row r="420" customFormat="false" ht="15" hidden="false" customHeight="false" outlineLevel="0" collapsed="false">
      <c r="A420" s="13" t="str">
        <f aca="false">TRIM(Raw_Data!A420)</f>
        <v>EMP0419</v>
      </c>
      <c r="B420" s="14" t="n">
        <f aca="false">Raw_Data!B420</f>
        <v>42401</v>
      </c>
      <c r="C420" s="14" t="n">
        <f aca="false">IF(Raw_Data!C420="","",Raw_Data!C420)</f>
        <v>44624</v>
      </c>
      <c r="D420" s="13" t="n">
        <f aca="false">IF(Raw_Data!D420="","",Raw_Data!D420)</f>
        <v>42</v>
      </c>
      <c r="E420" s="13" t="str">
        <f aca="false">IF(UPPER(LEFT(TRIM(Raw_Data!E420),1))="M","Male",IF(UPPER(LEFT(TRIM(Raw_Data!E420),1))="F","Female","Unknown"))</f>
        <v>Male</v>
      </c>
      <c r="F420" s="13" t="str">
        <f aca="false">PROPER(TRIM(SUBSTITUTE(Raw_Data!F420,"'","")))</f>
        <v>Bachelors</v>
      </c>
      <c r="G420" s="13" t="str">
        <f aca="false">PROPER(TRIM(Raw_Data!G420))</f>
        <v>Sales</v>
      </c>
      <c r="H420" s="13" t="str">
        <f aca="false">PROPER(TRIM(Raw_Data!H420))</f>
        <v>Analyst</v>
      </c>
      <c r="I420" s="13" t="n">
        <f aca="false">IF(Raw_Data!I420="",DefaultPerf,Raw_Data!I420)</f>
        <v>3</v>
      </c>
      <c r="J420" s="13" t="n">
        <f aca="false">IF(Raw_Data!J420="",DefaultSat,Raw_Data!J420)</f>
        <v>1</v>
      </c>
      <c r="K420" s="15" t="n">
        <f aca="false">Raw_Data!K420</f>
        <v>70000</v>
      </c>
      <c r="L420" s="13" t="str">
        <f aca="false">PROPER(TRIM(Raw_Data!N420))</f>
        <v>No</v>
      </c>
      <c r="M420" s="13" t="n">
        <f aca="false">IF(C420="",0,1)</f>
        <v>1</v>
      </c>
      <c r="N420" s="13" t="str">
        <f aca="false">IF(M420=0,"Active",IF(TRIM(Raw_Data!L420)="","Unknown",PROPER(TRIM(Raw_Data!L420))))</f>
        <v>Voluntary</v>
      </c>
      <c r="O420" s="13" t="str">
        <f aca="false">IF(M420=0,"",IF(TRIM(Raw_Data!M420)="","Not Recorded",TRIM(Raw_Data!M420)))</f>
        <v>Work-Life Balance</v>
      </c>
      <c r="P420" s="16" t="n">
        <f aca="false">ROUND((IF(C420="",AsOfDate,C420)-B420)/365.25,2)</f>
        <v>6.09</v>
      </c>
      <c r="Q420" s="13" t="str">
        <f aca="false">IF(D420="","Unknown",IF(D420&lt;25,"Under 25",IF(D420&lt;35,"25-34",IF(D420&lt;45,"35-44",IF(D420&lt;55,"45-54","55+")))))</f>
        <v>35-44</v>
      </c>
      <c r="R420" s="13" t="str">
        <f aca="false">IF(P420&lt;1,"0-1 yrs",IF(P420&lt;3,"1-3 yrs",IF(P420&lt;5,"3-5 yrs",IF(P420&lt;10,"5-10 yrs","10+ yrs"))))</f>
        <v>5-10 yrs</v>
      </c>
      <c r="S420" s="13" t="str">
        <f aca="false">IF(I420&gt;=4,"High",IF(I420=3,"Medium","Low"))</f>
        <v>Medium</v>
      </c>
      <c r="T420" s="13" t="n">
        <f aca="false">IF(M420=1,YEAR(C420),"")</f>
        <v>2022</v>
      </c>
      <c r="U420" s="13" t="str">
        <f aca="false">IF(M420=1,YEAR(C420)&amp;"-Q"&amp;ROUNDUP(MONTH(C420)/3,0),"")</f>
        <v>2022-Q1</v>
      </c>
      <c r="V420" s="13" t="n">
        <f aca="false">IF(M420=1,MONTH(C420),"")</f>
        <v>3</v>
      </c>
    </row>
    <row r="421" customFormat="false" ht="15" hidden="false" customHeight="false" outlineLevel="0" collapsed="false">
      <c r="A421" s="13" t="str">
        <f aca="false">TRIM(Raw_Data!A421)</f>
        <v>EMP0420</v>
      </c>
      <c r="B421" s="14" t="n">
        <f aca="false">Raw_Data!B421</f>
        <v>42402</v>
      </c>
      <c r="C421" s="14" t="str">
        <f aca="false">IF(Raw_Data!C421="","",Raw_Data!C421)</f>
        <v/>
      </c>
      <c r="D421" s="13" t="n">
        <f aca="false">IF(Raw_Data!D421="","",Raw_Data!D421)</f>
        <v>39</v>
      </c>
      <c r="E421" s="13" t="str">
        <f aca="false">IF(UPPER(LEFT(TRIM(Raw_Data!E421),1))="M","Male",IF(UPPER(LEFT(TRIM(Raw_Data!E421),1))="F","Female","Unknown"))</f>
        <v>Female</v>
      </c>
      <c r="F421" s="13" t="str">
        <f aca="false">PROPER(TRIM(SUBSTITUTE(Raw_Data!F421,"'","")))</f>
        <v>Bachelors</v>
      </c>
      <c r="G421" s="13" t="str">
        <f aca="false">PROPER(TRIM(Raw_Data!G421))</f>
        <v>Finance</v>
      </c>
      <c r="H421" s="13" t="str">
        <f aca="false">PROPER(TRIM(Raw_Data!H421))</f>
        <v>Specialist</v>
      </c>
      <c r="I421" s="13" t="n">
        <f aca="false">IF(Raw_Data!I421="",DefaultPerf,Raw_Data!I421)</f>
        <v>3</v>
      </c>
      <c r="J421" s="13" t="n">
        <f aca="false">IF(Raw_Data!J421="",DefaultSat,Raw_Data!J421)</f>
        <v>4</v>
      </c>
      <c r="K421" s="15" t="n">
        <f aca="false">Raw_Data!K421</f>
        <v>143500</v>
      </c>
      <c r="L421" s="13" t="str">
        <f aca="false">PROPER(TRIM(Raw_Data!N421))</f>
        <v>No</v>
      </c>
      <c r="M421" s="13" t="n">
        <f aca="false">IF(C421="",0,1)</f>
        <v>0</v>
      </c>
      <c r="N421" s="13" t="str">
        <f aca="false">IF(M421=0,"Active",IF(TRIM(Raw_Data!L421)="","Unknown",PROPER(TRIM(Raw_Data!L421))))</f>
        <v>Active</v>
      </c>
      <c r="O421" s="13" t="str">
        <f aca="false">IF(M421=0,"",IF(TRIM(Raw_Data!M421)="","Not Recorded",TRIM(Raw_Data!M421)))</f>
        <v/>
      </c>
      <c r="P421" s="16" t="n">
        <f aca="false">ROUND((IF(C421="",AsOfDate,C421)-B421)/365.25,2)</f>
        <v>9.91</v>
      </c>
      <c r="Q421" s="13" t="str">
        <f aca="false">IF(D421="","Unknown",IF(D421&lt;25,"Under 25",IF(D421&lt;35,"25-34",IF(D421&lt;45,"35-44",IF(D421&lt;55,"45-54","55+")))))</f>
        <v>35-44</v>
      </c>
      <c r="R421" s="13" t="str">
        <f aca="false">IF(P421&lt;1,"0-1 yrs",IF(P421&lt;3,"1-3 yrs",IF(P421&lt;5,"3-5 yrs",IF(P421&lt;10,"5-10 yrs","10+ yrs"))))</f>
        <v>5-10 yrs</v>
      </c>
      <c r="S421" s="13" t="str">
        <f aca="false">IF(I421&gt;=4,"High",IF(I421=3,"Medium","Low"))</f>
        <v>Medium</v>
      </c>
      <c r="T421" s="13" t="str">
        <f aca="false">IF(M421=1,YEAR(C421),"")</f>
        <v/>
      </c>
      <c r="U421" s="13" t="str">
        <f aca="false">IF(M421=1,YEAR(C421)&amp;"-Q"&amp;ROUNDUP(MONTH(C421)/3,0),"")</f>
        <v/>
      </c>
      <c r="V421" s="13" t="str">
        <f aca="false">IF(M421=1,MONTH(C421),"")</f>
        <v/>
      </c>
    </row>
    <row r="422" customFormat="false" ht="15" hidden="false" customHeight="false" outlineLevel="0" collapsed="false">
      <c r="A422" s="13" t="str">
        <f aca="false">TRIM(Raw_Data!A422)</f>
        <v>EMP0421</v>
      </c>
      <c r="B422" s="14" t="n">
        <f aca="false">Raw_Data!B422</f>
        <v>42402</v>
      </c>
      <c r="C422" s="14" t="n">
        <f aca="false">IF(Raw_Data!C422="","",Raw_Data!C422)</f>
        <v>45520</v>
      </c>
      <c r="D422" s="13" t="n">
        <f aca="false">IF(Raw_Data!D422="","",Raw_Data!D422)</f>
        <v>35</v>
      </c>
      <c r="E422" s="13" t="str">
        <f aca="false">IF(UPPER(LEFT(TRIM(Raw_Data!E422),1))="M","Male",IF(UPPER(LEFT(TRIM(Raw_Data!E422),1))="F","Female","Unknown"))</f>
        <v>Female</v>
      </c>
      <c r="F422" s="13" t="str">
        <f aca="false">PROPER(TRIM(SUBSTITUTE(Raw_Data!F422,"'","")))</f>
        <v>Bachelors</v>
      </c>
      <c r="G422" s="13" t="str">
        <f aca="false">PROPER(TRIM(Raw_Data!G422))</f>
        <v>Customer Support</v>
      </c>
      <c r="H422" s="13" t="str">
        <f aca="false">PROPER(TRIM(Raw_Data!H422))</f>
        <v>Analyst</v>
      </c>
      <c r="I422" s="13" t="n">
        <f aca="false">IF(Raw_Data!I422="",DefaultPerf,Raw_Data!I422)</f>
        <v>5</v>
      </c>
      <c r="J422" s="13" t="n">
        <f aca="false">IF(Raw_Data!J422="",DefaultSat,Raw_Data!J422)</f>
        <v>3</v>
      </c>
      <c r="K422" s="15" t="n">
        <f aca="false">Raw_Data!K422</f>
        <v>76000</v>
      </c>
      <c r="L422" s="13" t="str">
        <f aca="false">PROPER(TRIM(Raw_Data!N422))</f>
        <v>Yes</v>
      </c>
      <c r="M422" s="13" t="n">
        <f aca="false">IF(C422="",0,1)</f>
        <v>1</v>
      </c>
      <c r="N422" s="13" t="str">
        <f aca="false">IF(M422=0,"Active",IF(TRIM(Raw_Data!L422)="","Unknown",PROPER(TRIM(Raw_Data!L422))))</f>
        <v>Voluntary</v>
      </c>
      <c r="O422" s="13" t="str">
        <f aca="false">IF(M422=0,"",IF(TRIM(Raw_Data!M422)="","Not Recorded",TRIM(Raw_Data!M422)))</f>
        <v>Work-Life Balance</v>
      </c>
      <c r="P422" s="16" t="n">
        <f aca="false">ROUND((IF(C422="",AsOfDate,C422)-B422)/365.25,2)</f>
        <v>8.54</v>
      </c>
      <c r="Q422" s="13" t="str">
        <f aca="false">IF(D422="","Unknown",IF(D422&lt;25,"Under 25",IF(D422&lt;35,"25-34",IF(D422&lt;45,"35-44",IF(D422&lt;55,"45-54","55+")))))</f>
        <v>35-44</v>
      </c>
      <c r="R422" s="13" t="str">
        <f aca="false">IF(P422&lt;1,"0-1 yrs",IF(P422&lt;3,"1-3 yrs",IF(P422&lt;5,"3-5 yrs",IF(P422&lt;10,"5-10 yrs","10+ yrs"))))</f>
        <v>5-10 yrs</v>
      </c>
      <c r="S422" s="13" t="str">
        <f aca="false">IF(I422&gt;=4,"High",IF(I422=3,"Medium","Low"))</f>
        <v>High</v>
      </c>
      <c r="T422" s="13" t="n">
        <f aca="false">IF(M422=1,YEAR(C422),"")</f>
        <v>2024</v>
      </c>
      <c r="U422" s="13" t="str">
        <f aca="false">IF(M422=1,YEAR(C422)&amp;"-Q"&amp;ROUNDUP(MONTH(C422)/3,0),"")</f>
        <v>2024-Q3</v>
      </c>
      <c r="V422" s="13" t="n">
        <f aca="false">IF(M422=1,MONTH(C422),"")</f>
        <v>8</v>
      </c>
    </row>
    <row r="423" customFormat="false" ht="15" hidden="false" customHeight="false" outlineLevel="0" collapsed="false">
      <c r="A423" s="13" t="str">
        <f aca="false">TRIM(Raw_Data!A423)</f>
        <v>EMP0422</v>
      </c>
      <c r="B423" s="14" t="n">
        <f aca="false">Raw_Data!B423</f>
        <v>42406</v>
      </c>
      <c r="C423" s="14" t="str">
        <f aca="false">IF(Raw_Data!C423="","",Raw_Data!C423)</f>
        <v/>
      </c>
      <c r="D423" s="13" t="n">
        <f aca="false">IF(Raw_Data!D423="","",Raw_Data!D423)</f>
        <v>39</v>
      </c>
      <c r="E423" s="13" t="str">
        <f aca="false">IF(UPPER(LEFT(TRIM(Raw_Data!E423),1))="M","Male",IF(UPPER(LEFT(TRIM(Raw_Data!E423),1))="F","Female","Unknown"))</f>
        <v>Male</v>
      </c>
      <c r="F423" s="13" t="str">
        <f aca="false">PROPER(TRIM(SUBSTITUTE(Raw_Data!F423,"'","")))</f>
        <v>Bachelors</v>
      </c>
      <c r="G423" s="13" t="str">
        <f aca="false">PROPER(TRIM(Raw_Data!G423))</f>
        <v>Engineering</v>
      </c>
      <c r="H423" s="13" t="str">
        <f aca="false">PROPER(TRIM(Raw_Data!H423))</f>
        <v>Associate</v>
      </c>
      <c r="I423" s="13" t="n">
        <f aca="false">IF(Raw_Data!I423="",DefaultPerf,Raw_Data!I423)</f>
        <v>3</v>
      </c>
      <c r="J423" s="13" t="n">
        <f aca="false">IF(Raw_Data!J423="",DefaultSat,Raw_Data!J423)</f>
        <v>4</v>
      </c>
      <c r="K423" s="15" t="n">
        <f aca="false">Raw_Data!K423</f>
        <v>53500</v>
      </c>
      <c r="L423" s="13" t="str">
        <f aca="false">PROPER(TRIM(Raw_Data!N423))</f>
        <v>Yes</v>
      </c>
      <c r="M423" s="13" t="n">
        <f aca="false">IF(C423="",0,1)</f>
        <v>0</v>
      </c>
      <c r="N423" s="13" t="str">
        <f aca="false">IF(M423=0,"Active",IF(TRIM(Raw_Data!L423)="","Unknown",PROPER(TRIM(Raw_Data!L423))))</f>
        <v>Active</v>
      </c>
      <c r="O423" s="13" t="str">
        <f aca="false">IF(M423=0,"",IF(TRIM(Raw_Data!M423)="","Not Recorded",TRIM(Raw_Data!M423)))</f>
        <v/>
      </c>
      <c r="P423" s="16" t="n">
        <f aca="false">ROUND((IF(C423="",AsOfDate,C423)-B423)/365.25,2)</f>
        <v>9.9</v>
      </c>
      <c r="Q423" s="13" t="str">
        <f aca="false">IF(D423="","Unknown",IF(D423&lt;25,"Under 25",IF(D423&lt;35,"25-34",IF(D423&lt;45,"35-44",IF(D423&lt;55,"45-54","55+")))))</f>
        <v>35-44</v>
      </c>
      <c r="R423" s="13" t="str">
        <f aca="false">IF(P423&lt;1,"0-1 yrs",IF(P423&lt;3,"1-3 yrs",IF(P423&lt;5,"3-5 yrs",IF(P423&lt;10,"5-10 yrs","10+ yrs"))))</f>
        <v>5-10 yrs</v>
      </c>
      <c r="S423" s="13" t="str">
        <f aca="false">IF(I423&gt;=4,"High",IF(I423=3,"Medium","Low"))</f>
        <v>Medium</v>
      </c>
      <c r="T423" s="13" t="str">
        <f aca="false">IF(M423=1,YEAR(C423),"")</f>
        <v/>
      </c>
      <c r="U423" s="13" t="str">
        <f aca="false">IF(M423=1,YEAR(C423)&amp;"-Q"&amp;ROUNDUP(MONTH(C423)/3,0),"")</f>
        <v/>
      </c>
      <c r="V423" s="13" t="str">
        <f aca="false">IF(M423=1,MONTH(C423),"")</f>
        <v/>
      </c>
    </row>
    <row r="424" customFormat="false" ht="15" hidden="false" customHeight="false" outlineLevel="0" collapsed="false">
      <c r="A424" s="13" t="str">
        <f aca="false">TRIM(Raw_Data!A424)</f>
        <v>EMP0423</v>
      </c>
      <c r="B424" s="14" t="n">
        <f aca="false">Raw_Data!B424</f>
        <v>42407</v>
      </c>
      <c r="C424" s="14" t="str">
        <f aca="false">IF(Raw_Data!C424="","",Raw_Data!C424)</f>
        <v/>
      </c>
      <c r="D424" s="13" t="n">
        <f aca="false">IF(Raw_Data!D424="","",Raw_Data!D424)</f>
        <v>41</v>
      </c>
      <c r="E424" s="13" t="str">
        <f aca="false">IF(UPPER(LEFT(TRIM(Raw_Data!E424),1))="M","Male",IF(UPPER(LEFT(TRIM(Raw_Data!E424),1))="F","Female","Unknown"))</f>
        <v>Male</v>
      </c>
      <c r="F424" s="13" t="str">
        <f aca="false">PROPER(TRIM(SUBSTITUTE(Raw_Data!F424,"'","")))</f>
        <v>Masters</v>
      </c>
      <c r="G424" s="13" t="str">
        <f aca="false">PROPER(TRIM(Raw_Data!G424))</f>
        <v>Operations</v>
      </c>
      <c r="H424" s="13" t="str">
        <f aca="false">PROPER(TRIM(Raw_Data!H424))</f>
        <v>Team Lead</v>
      </c>
      <c r="I424" s="13" t="n">
        <f aca="false">IF(Raw_Data!I424="",DefaultPerf,Raw_Data!I424)</f>
        <v>3</v>
      </c>
      <c r="J424" s="13" t="n">
        <f aca="false">IF(Raw_Data!J424="",DefaultSat,Raw_Data!J424)</f>
        <v>3</v>
      </c>
      <c r="K424" s="15" t="n">
        <f aca="false">Raw_Data!K424</f>
        <v>171500</v>
      </c>
      <c r="L424" s="13" t="str">
        <f aca="false">PROPER(TRIM(Raw_Data!N424))</f>
        <v>No</v>
      </c>
      <c r="M424" s="13" t="n">
        <f aca="false">IF(C424="",0,1)</f>
        <v>0</v>
      </c>
      <c r="N424" s="13" t="str">
        <f aca="false">IF(M424=0,"Active",IF(TRIM(Raw_Data!L424)="","Unknown",PROPER(TRIM(Raw_Data!L424))))</f>
        <v>Active</v>
      </c>
      <c r="O424" s="13" t="str">
        <f aca="false">IF(M424=0,"",IF(TRIM(Raw_Data!M424)="","Not Recorded",TRIM(Raw_Data!M424)))</f>
        <v/>
      </c>
      <c r="P424" s="16" t="n">
        <f aca="false">ROUND((IF(C424="",AsOfDate,C424)-B424)/365.25,2)</f>
        <v>9.9</v>
      </c>
      <c r="Q424" s="13" t="str">
        <f aca="false">IF(D424="","Unknown",IF(D424&lt;25,"Under 25",IF(D424&lt;35,"25-34",IF(D424&lt;45,"35-44",IF(D424&lt;55,"45-54","55+")))))</f>
        <v>35-44</v>
      </c>
      <c r="R424" s="13" t="str">
        <f aca="false">IF(P424&lt;1,"0-1 yrs",IF(P424&lt;3,"1-3 yrs",IF(P424&lt;5,"3-5 yrs",IF(P424&lt;10,"5-10 yrs","10+ yrs"))))</f>
        <v>5-10 yrs</v>
      </c>
      <c r="S424" s="13" t="str">
        <f aca="false">IF(I424&gt;=4,"High",IF(I424=3,"Medium","Low"))</f>
        <v>Medium</v>
      </c>
      <c r="T424" s="13" t="str">
        <f aca="false">IF(M424=1,YEAR(C424),"")</f>
        <v/>
      </c>
      <c r="U424" s="13" t="str">
        <f aca="false">IF(M424=1,YEAR(C424)&amp;"-Q"&amp;ROUNDUP(MONTH(C424)/3,0),"")</f>
        <v/>
      </c>
      <c r="V424" s="13" t="str">
        <f aca="false">IF(M424=1,MONTH(C424),"")</f>
        <v/>
      </c>
    </row>
    <row r="425" customFormat="false" ht="15" hidden="false" customHeight="false" outlineLevel="0" collapsed="false">
      <c r="A425" s="13" t="str">
        <f aca="false">TRIM(Raw_Data!A425)</f>
        <v>EMP0424</v>
      </c>
      <c r="B425" s="14" t="n">
        <f aca="false">Raw_Data!B425</f>
        <v>42408</v>
      </c>
      <c r="C425" s="14" t="n">
        <f aca="false">IF(Raw_Data!C425="","",Raw_Data!C425)</f>
        <v>44900</v>
      </c>
      <c r="D425" s="13" t="n">
        <f aca="false">IF(Raw_Data!D425="","",Raw_Data!D425)</f>
        <v>33</v>
      </c>
      <c r="E425" s="13" t="str">
        <f aca="false">IF(UPPER(LEFT(TRIM(Raw_Data!E425),1))="M","Male",IF(UPPER(LEFT(TRIM(Raw_Data!E425),1))="F","Female","Unknown"))</f>
        <v>Female</v>
      </c>
      <c r="F425" s="13" t="str">
        <f aca="false">PROPER(TRIM(SUBSTITUTE(Raw_Data!F425,"'","")))</f>
        <v>Masters</v>
      </c>
      <c r="G425" s="13" t="str">
        <f aca="false">PROPER(TRIM(Raw_Data!G425))</f>
        <v>Sales</v>
      </c>
      <c r="H425" s="13" t="str">
        <f aca="false">PROPER(TRIM(Raw_Data!H425))</f>
        <v>Senior Analyst</v>
      </c>
      <c r="I425" s="13" t="n">
        <f aca="false">IF(Raw_Data!I425="",DefaultPerf,Raw_Data!I425)</f>
        <v>4</v>
      </c>
      <c r="J425" s="13" t="n">
        <f aca="false">IF(Raw_Data!J425="",DefaultSat,Raw_Data!J425)</f>
        <v>3</v>
      </c>
      <c r="K425" s="15" t="n">
        <f aca="false">Raw_Data!K425</f>
        <v>124000</v>
      </c>
      <c r="L425" s="13" t="str">
        <f aca="false">PROPER(TRIM(Raw_Data!N425))</f>
        <v>Yes</v>
      </c>
      <c r="M425" s="13" t="n">
        <f aca="false">IF(C425="",0,1)</f>
        <v>1</v>
      </c>
      <c r="N425" s="13" t="str">
        <f aca="false">IF(M425=0,"Active",IF(TRIM(Raw_Data!L425)="","Unknown",PROPER(TRIM(Raw_Data!L425))))</f>
        <v>Voluntary</v>
      </c>
      <c r="O425" s="13" t="str">
        <f aca="false">IF(M425=0,"",IF(TRIM(Raw_Data!M425)="","Not Recorded",TRIM(Raw_Data!M425)))</f>
        <v>Work-Life Balance</v>
      </c>
      <c r="P425" s="16" t="n">
        <f aca="false">ROUND((IF(C425="",AsOfDate,C425)-B425)/365.25,2)</f>
        <v>6.82</v>
      </c>
      <c r="Q425" s="13" t="str">
        <f aca="false">IF(D425="","Unknown",IF(D425&lt;25,"Under 25",IF(D425&lt;35,"25-34",IF(D425&lt;45,"35-44",IF(D425&lt;55,"45-54","55+")))))</f>
        <v>25-34</v>
      </c>
      <c r="R425" s="13" t="str">
        <f aca="false">IF(P425&lt;1,"0-1 yrs",IF(P425&lt;3,"1-3 yrs",IF(P425&lt;5,"3-5 yrs",IF(P425&lt;10,"5-10 yrs","10+ yrs"))))</f>
        <v>5-10 yrs</v>
      </c>
      <c r="S425" s="13" t="str">
        <f aca="false">IF(I425&gt;=4,"High",IF(I425=3,"Medium","Low"))</f>
        <v>High</v>
      </c>
      <c r="T425" s="13" t="n">
        <f aca="false">IF(M425=1,YEAR(C425),"")</f>
        <v>2022</v>
      </c>
      <c r="U425" s="13" t="str">
        <f aca="false">IF(M425=1,YEAR(C425)&amp;"-Q"&amp;ROUNDUP(MONTH(C425)/3,0),"")</f>
        <v>2022-Q4</v>
      </c>
      <c r="V425" s="13" t="n">
        <f aca="false">IF(M425=1,MONTH(C425),"")</f>
        <v>12</v>
      </c>
    </row>
    <row r="426" customFormat="false" ht="15" hidden="false" customHeight="false" outlineLevel="0" collapsed="false">
      <c r="A426" s="13" t="str">
        <f aca="false">TRIM(Raw_Data!A426)</f>
        <v>EMP0425</v>
      </c>
      <c r="B426" s="14" t="n">
        <f aca="false">Raw_Data!B426</f>
        <v>42409</v>
      </c>
      <c r="C426" s="14" t="n">
        <f aca="false">IF(Raw_Data!C426="","",Raw_Data!C426)</f>
        <v>44661</v>
      </c>
      <c r="D426" s="13" t="n">
        <f aca="false">IF(Raw_Data!D426="","",Raw_Data!D426)</f>
        <v>27</v>
      </c>
      <c r="E426" s="13" t="str">
        <f aca="false">IF(UPPER(LEFT(TRIM(Raw_Data!E426),1))="M","Male",IF(UPPER(LEFT(TRIM(Raw_Data!E426),1))="F","Female","Unknown"))</f>
        <v>Male</v>
      </c>
      <c r="F426" s="13" t="str">
        <f aca="false">PROPER(TRIM(SUBSTITUTE(Raw_Data!F426,"'","")))</f>
        <v>Masters</v>
      </c>
      <c r="G426" s="13" t="str">
        <f aca="false">PROPER(TRIM(Raw_Data!G426))</f>
        <v>Sales</v>
      </c>
      <c r="H426" s="13" t="str">
        <f aca="false">PROPER(TRIM(Raw_Data!H426))</f>
        <v>Associate</v>
      </c>
      <c r="I426" s="13" t="n">
        <f aca="false">IF(Raw_Data!I426="",DefaultPerf,Raw_Data!I426)</f>
        <v>3</v>
      </c>
      <c r="J426" s="13" t="n">
        <f aca="false">IF(Raw_Data!J426="",DefaultSat,Raw_Data!J426)</f>
        <v>2</v>
      </c>
      <c r="K426" s="15" t="n">
        <f aca="false">Raw_Data!K426</f>
        <v>50500</v>
      </c>
      <c r="L426" s="13" t="str">
        <f aca="false">PROPER(TRIM(Raw_Data!N426))</f>
        <v>Yes</v>
      </c>
      <c r="M426" s="13" t="n">
        <f aca="false">IF(C426="",0,1)</f>
        <v>1</v>
      </c>
      <c r="N426" s="13" t="str">
        <f aca="false">IF(M426=0,"Active",IF(TRIM(Raw_Data!L426)="","Unknown",PROPER(TRIM(Raw_Data!L426))))</f>
        <v>Voluntary</v>
      </c>
      <c r="O426" s="13" t="str">
        <f aca="false">IF(M426=0,"",IF(TRIM(Raw_Data!M426)="","Not Recorded",TRIM(Raw_Data!M426)))</f>
        <v>Job Dissatisfaction</v>
      </c>
      <c r="P426" s="16" t="n">
        <f aca="false">ROUND((IF(C426="",AsOfDate,C426)-B426)/365.25,2)</f>
        <v>6.17</v>
      </c>
      <c r="Q426" s="13" t="str">
        <f aca="false">IF(D426="","Unknown",IF(D426&lt;25,"Under 25",IF(D426&lt;35,"25-34",IF(D426&lt;45,"35-44",IF(D426&lt;55,"45-54","55+")))))</f>
        <v>25-34</v>
      </c>
      <c r="R426" s="13" t="str">
        <f aca="false">IF(P426&lt;1,"0-1 yrs",IF(P426&lt;3,"1-3 yrs",IF(P426&lt;5,"3-5 yrs",IF(P426&lt;10,"5-10 yrs","10+ yrs"))))</f>
        <v>5-10 yrs</v>
      </c>
      <c r="S426" s="13" t="str">
        <f aca="false">IF(I426&gt;=4,"High",IF(I426=3,"Medium","Low"))</f>
        <v>Medium</v>
      </c>
      <c r="T426" s="13" t="n">
        <f aca="false">IF(M426=1,YEAR(C426),"")</f>
        <v>2022</v>
      </c>
      <c r="U426" s="13" t="str">
        <f aca="false">IF(M426=1,YEAR(C426)&amp;"-Q"&amp;ROUNDUP(MONTH(C426)/3,0),"")</f>
        <v>2022-Q2</v>
      </c>
      <c r="V426" s="13" t="n">
        <f aca="false">IF(M426=1,MONTH(C426),"")</f>
        <v>4</v>
      </c>
    </row>
    <row r="427" customFormat="false" ht="15" hidden="false" customHeight="false" outlineLevel="0" collapsed="false">
      <c r="A427" s="13" t="str">
        <f aca="false">TRIM(Raw_Data!A427)</f>
        <v>EMP0426</v>
      </c>
      <c r="B427" s="14" t="n">
        <f aca="false">Raw_Data!B427</f>
        <v>42412</v>
      </c>
      <c r="C427" s="14" t="n">
        <f aca="false">IF(Raw_Data!C427="","",Raw_Data!C427)</f>
        <v>45331</v>
      </c>
      <c r="D427" s="13" t="n">
        <f aca="false">IF(Raw_Data!D427="","",Raw_Data!D427)</f>
        <v>46</v>
      </c>
      <c r="E427" s="13" t="str">
        <f aca="false">IF(UPPER(LEFT(TRIM(Raw_Data!E427),1))="M","Male",IF(UPPER(LEFT(TRIM(Raw_Data!E427),1))="F","Female","Unknown"))</f>
        <v>Male</v>
      </c>
      <c r="F427" s="13" t="str">
        <f aca="false">PROPER(TRIM(SUBSTITUTE(Raw_Data!F427,"'","")))</f>
        <v>Masters</v>
      </c>
      <c r="G427" s="13" t="str">
        <f aca="false">PROPER(TRIM(Raw_Data!G427))</f>
        <v>Operations</v>
      </c>
      <c r="H427" s="13" t="str">
        <f aca="false">PROPER(TRIM(Raw_Data!H427))</f>
        <v>Associate</v>
      </c>
      <c r="I427" s="13" t="n">
        <f aca="false">IF(Raw_Data!I427="",DefaultPerf,Raw_Data!I427)</f>
        <v>5</v>
      </c>
      <c r="J427" s="13" t="n">
        <f aca="false">IF(Raw_Data!J427="",DefaultSat,Raw_Data!J427)</f>
        <v>3</v>
      </c>
      <c r="K427" s="15" t="n">
        <f aca="false">Raw_Data!K427</f>
        <v>43000</v>
      </c>
      <c r="L427" s="13" t="str">
        <f aca="false">PROPER(TRIM(Raw_Data!N427))</f>
        <v>Yes</v>
      </c>
      <c r="M427" s="13" t="n">
        <f aca="false">IF(C427="",0,1)</f>
        <v>1</v>
      </c>
      <c r="N427" s="13" t="str">
        <f aca="false">IF(M427=0,"Active",IF(TRIM(Raw_Data!L427)="","Unknown",PROPER(TRIM(Raw_Data!L427))))</f>
        <v>Voluntary</v>
      </c>
      <c r="O427" s="13" t="str">
        <f aca="false">IF(M427=0,"",IF(TRIM(Raw_Data!M427)="","Not Recorded",TRIM(Raw_Data!M427)))</f>
        <v>Work-Life Balance</v>
      </c>
      <c r="P427" s="16" t="n">
        <f aca="false">ROUND((IF(C427="",AsOfDate,C427)-B427)/365.25,2)</f>
        <v>7.99</v>
      </c>
      <c r="Q427" s="13" t="str">
        <f aca="false">IF(D427="","Unknown",IF(D427&lt;25,"Under 25",IF(D427&lt;35,"25-34",IF(D427&lt;45,"35-44",IF(D427&lt;55,"45-54","55+")))))</f>
        <v>45-54</v>
      </c>
      <c r="R427" s="13" t="str">
        <f aca="false">IF(P427&lt;1,"0-1 yrs",IF(P427&lt;3,"1-3 yrs",IF(P427&lt;5,"3-5 yrs",IF(P427&lt;10,"5-10 yrs","10+ yrs"))))</f>
        <v>5-10 yrs</v>
      </c>
      <c r="S427" s="13" t="str">
        <f aca="false">IF(I427&gt;=4,"High",IF(I427=3,"Medium","Low"))</f>
        <v>High</v>
      </c>
      <c r="T427" s="13" t="n">
        <f aca="false">IF(M427=1,YEAR(C427),"")</f>
        <v>2024</v>
      </c>
      <c r="U427" s="13" t="str">
        <f aca="false">IF(M427=1,YEAR(C427)&amp;"-Q"&amp;ROUNDUP(MONTH(C427)/3,0),"")</f>
        <v>2024-Q1</v>
      </c>
      <c r="V427" s="13" t="n">
        <f aca="false">IF(M427=1,MONTH(C427),"")</f>
        <v>2</v>
      </c>
    </row>
    <row r="428" customFormat="false" ht="15" hidden="false" customHeight="false" outlineLevel="0" collapsed="false">
      <c r="A428" s="13" t="str">
        <f aca="false">TRIM(Raw_Data!A428)</f>
        <v>EMP0427</v>
      </c>
      <c r="B428" s="14" t="n">
        <f aca="false">Raw_Data!B428</f>
        <v>42412</v>
      </c>
      <c r="C428" s="14" t="n">
        <f aca="false">IF(Raw_Data!C428="","",Raw_Data!C428)</f>
        <v>45005</v>
      </c>
      <c r="D428" s="13" t="n">
        <f aca="false">IF(Raw_Data!D428="","",Raw_Data!D428)</f>
        <v>39</v>
      </c>
      <c r="E428" s="13" t="str">
        <f aca="false">IF(UPPER(LEFT(TRIM(Raw_Data!E428),1))="M","Male",IF(UPPER(LEFT(TRIM(Raw_Data!E428),1))="F","Female","Unknown"))</f>
        <v>Male</v>
      </c>
      <c r="F428" s="13" t="str">
        <f aca="false">PROPER(TRIM(SUBSTITUTE(Raw_Data!F428,"'","")))</f>
        <v>Masters</v>
      </c>
      <c r="G428" s="13" t="str">
        <f aca="false">PROPER(TRIM(Raw_Data!G428))</f>
        <v>Sales</v>
      </c>
      <c r="H428" s="13" t="str">
        <f aca="false">PROPER(TRIM(Raw_Data!H428))</f>
        <v>Associate</v>
      </c>
      <c r="I428" s="13" t="n">
        <f aca="false">IF(Raw_Data!I428="",DefaultPerf,Raw_Data!I428)</f>
        <v>2</v>
      </c>
      <c r="J428" s="13" t="n">
        <f aca="false">IF(Raw_Data!J428="",DefaultSat,Raw_Data!J428)</f>
        <v>1</v>
      </c>
      <c r="K428" s="15" t="n">
        <f aca="false">Raw_Data!K428</f>
        <v>35500</v>
      </c>
      <c r="L428" s="13" t="str">
        <f aca="false">PROPER(TRIM(Raw_Data!N428))</f>
        <v>No</v>
      </c>
      <c r="M428" s="13" t="n">
        <f aca="false">IF(C428="",0,1)</f>
        <v>1</v>
      </c>
      <c r="N428" s="13" t="str">
        <f aca="false">IF(M428=0,"Active",IF(TRIM(Raw_Data!L428)="","Unknown",PROPER(TRIM(Raw_Data!L428))))</f>
        <v>Voluntary</v>
      </c>
      <c r="O428" s="13" t="str">
        <f aca="false">IF(M428=0,"",IF(TRIM(Raw_Data!M428)="","Not Recorded",TRIM(Raw_Data!M428)))</f>
        <v>Work-Life Balance</v>
      </c>
      <c r="P428" s="16" t="n">
        <f aca="false">ROUND((IF(C428="",AsOfDate,C428)-B428)/365.25,2)</f>
        <v>7.1</v>
      </c>
      <c r="Q428" s="13" t="str">
        <f aca="false">IF(D428="","Unknown",IF(D428&lt;25,"Under 25",IF(D428&lt;35,"25-34",IF(D428&lt;45,"35-44",IF(D428&lt;55,"45-54","55+")))))</f>
        <v>35-44</v>
      </c>
      <c r="R428" s="13" t="str">
        <f aca="false">IF(P428&lt;1,"0-1 yrs",IF(P428&lt;3,"1-3 yrs",IF(P428&lt;5,"3-5 yrs",IF(P428&lt;10,"5-10 yrs","10+ yrs"))))</f>
        <v>5-10 yrs</v>
      </c>
      <c r="S428" s="13" t="str">
        <f aca="false">IF(I428&gt;=4,"High",IF(I428=3,"Medium","Low"))</f>
        <v>Low</v>
      </c>
      <c r="T428" s="13" t="n">
        <f aca="false">IF(M428=1,YEAR(C428),"")</f>
        <v>2023</v>
      </c>
      <c r="U428" s="13" t="str">
        <f aca="false">IF(M428=1,YEAR(C428)&amp;"-Q"&amp;ROUNDUP(MONTH(C428)/3,0),"")</f>
        <v>2023-Q1</v>
      </c>
      <c r="V428" s="13" t="n">
        <f aca="false">IF(M428=1,MONTH(C428),"")</f>
        <v>3</v>
      </c>
    </row>
    <row r="429" customFormat="false" ht="15" hidden="false" customHeight="false" outlineLevel="0" collapsed="false">
      <c r="A429" s="13" t="str">
        <f aca="false">TRIM(Raw_Data!A429)</f>
        <v>EMP0428</v>
      </c>
      <c r="B429" s="14" t="n">
        <f aca="false">Raw_Data!B429</f>
        <v>42414</v>
      </c>
      <c r="C429" s="14" t="str">
        <f aca="false">IF(Raw_Data!C429="","",Raw_Data!C429)</f>
        <v/>
      </c>
      <c r="D429" s="13" t="n">
        <f aca="false">IF(Raw_Data!D429="","",Raw_Data!D429)</f>
        <v>35</v>
      </c>
      <c r="E429" s="13" t="str">
        <f aca="false">IF(UPPER(LEFT(TRIM(Raw_Data!E429),1))="M","Male",IF(UPPER(LEFT(TRIM(Raw_Data!E429),1))="F","Female","Unknown"))</f>
        <v>Female</v>
      </c>
      <c r="F429" s="13" t="str">
        <f aca="false">PROPER(TRIM(SUBSTITUTE(Raw_Data!F429,"'","")))</f>
        <v>Diploma</v>
      </c>
      <c r="G429" s="13" t="str">
        <f aca="false">PROPER(TRIM(Raw_Data!G429))</f>
        <v>Engineering</v>
      </c>
      <c r="H429" s="13" t="str">
        <f aca="false">PROPER(TRIM(Raw_Data!H429))</f>
        <v>Team Lead</v>
      </c>
      <c r="I429" s="13" t="n">
        <f aca="false">IF(Raw_Data!I429="",DefaultPerf,Raw_Data!I429)</f>
        <v>3</v>
      </c>
      <c r="J429" s="13" t="n">
        <f aca="false">IF(Raw_Data!J429="",DefaultSat,Raw_Data!J429)</f>
        <v>4</v>
      </c>
      <c r="K429" s="15" t="n">
        <f aca="false">Raw_Data!K429</f>
        <v>180500</v>
      </c>
      <c r="L429" s="13" t="str">
        <f aca="false">PROPER(TRIM(Raw_Data!N429))</f>
        <v>Yes</v>
      </c>
      <c r="M429" s="13" t="n">
        <f aca="false">IF(C429="",0,1)</f>
        <v>0</v>
      </c>
      <c r="N429" s="13" t="str">
        <f aca="false">IF(M429=0,"Active",IF(TRIM(Raw_Data!L429)="","Unknown",PROPER(TRIM(Raw_Data!L429))))</f>
        <v>Active</v>
      </c>
      <c r="O429" s="13" t="str">
        <f aca="false">IF(M429=0,"",IF(TRIM(Raw_Data!M429)="","Not Recorded",TRIM(Raw_Data!M429)))</f>
        <v/>
      </c>
      <c r="P429" s="16" t="n">
        <f aca="false">ROUND((IF(C429="",AsOfDate,C429)-B429)/365.25,2)</f>
        <v>9.88</v>
      </c>
      <c r="Q429" s="13" t="str">
        <f aca="false">IF(D429="","Unknown",IF(D429&lt;25,"Under 25",IF(D429&lt;35,"25-34",IF(D429&lt;45,"35-44",IF(D429&lt;55,"45-54","55+")))))</f>
        <v>35-44</v>
      </c>
      <c r="R429" s="13" t="str">
        <f aca="false">IF(P429&lt;1,"0-1 yrs",IF(P429&lt;3,"1-3 yrs",IF(P429&lt;5,"3-5 yrs",IF(P429&lt;10,"5-10 yrs","10+ yrs"))))</f>
        <v>5-10 yrs</v>
      </c>
      <c r="S429" s="13" t="str">
        <f aca="false">IF(I429&gt;=4,"High",IF(I429=3,"Medium","Low"))</f>
        <v>Medium</v>
      </c>
      <c r="T429" s="13" t="str">
        <f aca="false">IF(M429=1,YEAR(C429),"")</f>
        <v/>
      </c>
      <c r="U429" s="13" t="str">
        <f aca="false">IF(M429=1,YEAR(C429)&amp;"-Q"&amp;ROUNDUP(MONTH(C429)/3,0),"")</f>
        <v/>
      </c>
      <c r="V429" s="13" t="str">
        <f aca="false">IF(M429=1,MONTH(C429),"")</f>
        <v/>
      </c>
    </row>
    <row r="430" customFormat="false" ht="15" hidden="false" customHeight="false" outlineLevel="0" collapsed="false">
      <c r="A430" s="13" t="str">
        <f aca="false">TRIM(Raw_Data!A430)</f>
        <v>EMP0429</v>
      </c>
      <c r="B430" s="14" t="n">
        <f aca="false">Raw_Data!B430</f>
        <v>42414</v>
      </c>
      <c r="C430" s="14" t="n">
        <f aca="false">IF(Raw_Data!C430="","",Raw_Data!C430)</f>
        <v>44767</v>
      </c>
      <c r="D430" s="13" t="n">
        <f aca="false">IF(Raw_Data!D430="","",Raw_Data!D430)</f>
        <v>37</v>
      </c>
      <c r="E430" s="13" t="str">
        <f aca="false">IF(UPPER(LEFT(TRIM(Raw_Data!E430),1))="M","Male",IF(UPPER(LEFT(TRIM(Raw_Data!E430),1))="F","Female","Unknown"))</f>
        <v>Male</v>
      </c>
      <c r="F430" s="13" t="str">
        <f aca="false">PROPER(TRIM(SUBSTITUTE(Raw_Data!F430,"'","")))</f>
        <v>High School</v>
      </c>
      <c r="G430" s="13" t="str">
        <f aca="false">PROPER(TRIM(Raw_Data!G430))</f>
        <v>Sales</v>
      </c>
      <c r="H430" s="13" t="str">
        <f aca="false">PROPER(TRIM(Raw_Data!H430))</f>
        <v>Analyst</v>
      </c>
      <c r="I430" s="13" t="n">
        <f aca="false">IF(Raw_Data!I430="",DefaultPerf,Raw_Data!I430)</f>
        <v>4</v>
      </c>
      <c r="J430" s="13" t="n">
        <f aca="false">IF(Raw_Data!J430="",DefaultSat,Raw_Data!J430)</f>
        <v>1</v>
      </c>
      <c r="K430" s="15" t="n">
        <f aca="false">Raw_Data!K430</f>
        <v>64000</v>
      </c>
      <c r="L430" s="13" t="str">
        <f aca="false">PROPER(TRIM(Raw_Data!N430))</f>
        <v>Yes</v>
      </c>
      <c r="M430" s="13" t="n">
        <f aca="false">IF(C430="",0,1)</f>
        <v>1</v>
      </c>
      <c r="N430" s="13" t="str">
        <f aca="false">IF(M430=0,"Active",IF(TRIM(Raw_Data!L430)="","Unknown",PROPER(TRIM(Raw_Data!L430))))</f>
        <v>Voluntary</v>
      </c>
      <c r="O430" s="13" t="str">
        <f aca="false">IF(M430=0,"",IF(TRIM(Raw_Data!M430)="","Not Recorded",TRIM(Raw_Data!M430)))</f>
        <v>Job Dissatisfaction</v>
      </c>
      <c r="P430" s="16" t="n">
        <f aca="false">ROUND((IF(C430="",AsOfDate,C430)-B430)/365.25,2)</f>
        <v>6.44</v>
      </c>
      <c r="Q430" s="13" t="str">
        <f aca="false">IF(D430="","Unknown",IF(D430&lt;25,"Under 25",IF(D430&lt;35,"25-34",IF(D430&lt;45,"35-44",IF(D430&lt;55,"45-54","55+")))))</f>
        <v>35-44</v>
      </c>
      <c r="R430" s="13" t="str">
        <f aca="false">IF(P430&lt;1,"0-1 yrs",IF(P430&lt;3,"1-3 yrs",IF(P430&lt;5,"3-5 yrs",IF(P430&lt;10,"5-10 yrs","10+ yrs"))))</f>
        <v>5-10 yrs</v>
      </c>
      <c r="S430" s="13" t="str">
        <f aca="false">IF(I430&gt;=4,"High",IF(I430=3,"Medium","Low"))</f>
        <v>High</v>
      </c>
      <c r="T430" s="13" t="n">
        <f aca="false">IF(M430=1,YEAR(C430),"")</f>
        <v>2022</v>
      </c>
      <c r="U430" s="13" t="str">
        <f aca="false">IF(M430=1,YEAR(C430)&amp;"-Q"&amp;ROUNDUP(MONTH(C430)/3,0),"")</f>
        <v>2022-Q3</v>
      </c>
      <c r="V430" s="13" t="n">
        <f aca="false">IF(M430=1,MONTH(C430),"")</f>
        <v>7</v>
      </c>
    </row>
    <row r="431" customFormat="false" ht="15" hidden="false" customHeight="false" outlineLevel="0" collapsed="false">
      <c r="A431" s="13" t="str">
        <f aca="false">TRIM(Raw_Data!A431)</f>
        <v>EMP0430</v>
      </c>
      <c r="B431" s="14" t="n">
        <f aca="false">Raw_Data!B431</f>
        <v>42414</v>
      </c>
      <c r="C431" s="14" t="str">
        <f aca="false">IF(Raw_Data!C431="","",Raw_Data!C431)</f>
        <v/>
      </c>
      <c r="D431" s="13" t="n">
        <f aca="false">IF(Raw_Data!D431="","",Raw_Data!D431)</f>
        <v>43</v>
      </c>
      <c r="E431" s="13" t="str">
        <f aca="false">IF(UPPER(LEFT(TRIM(Raw_Data!E431),1))="M","Male",IF(UPPER(LEFT(TRIM(Raw_Data!E431),1))="F","Female","Unknown"))</f>
        <v>Male</v>
      </c>
      <c r="F431" s="13" t="str">
        <f aca="false">PROPER(TRIM(SUBSTITUTE(Raw_Data!F431,"'","")))</f>
        <v>Bachelors</v>
      </c>
      <c r="G431" s="13" t="str">
        <f aca="false">PROPER(TRIM(Raw_Data!G431))</f>
        <v>Engineering</v>
      </c>
      <c r="H431" s="13" t="str">
        <f aca="false">PROPER(TRIM(Raw_Data!H431))</f>
        <v>Team Lead</v>
      </c>
      <c r="I431" s="13" t="n">
        <f aca="false">IF(Raw_Data!I431="",DefaultPerf,Raw_Data!I431)</f>
        <v>5</v>
      </c>
      <c r="J431" s="13" t="n">
        <f aca="false">IF(Raw_Data!J431="",DefaultSat,Raw_Data!J431)</f>
        <v>2</v>
      </c>
      <c r="K431" s="15" t="n">
        <f aca="false">Raw_Data!K431</f>
        <v>145500</v>
      </c>
      <c r="L431" s="13" t="str">
        <f aca="false">PROPER(TRIM(Raw_Data!N431))</f>
        <v>Yes</v>
      </c>
      <c r="M431" s="13" t="n">
        <f aca="false">IF(C431="",0,1)</f>
        <v>0</v>
      </c>
      <c r="N431" s="13" t="str">
        <f aca="false">IF(M431=0,"Active",IF(TRIM(Raw_Data!L431)="","Unknown",PROPER(TRIM(Raw_Data!L431))))</f>
        <v>Active</v>
      </c>
      <c r="O431" s="13" t="str">
        <f aca="false">IF(M431=0,"",IF(TRIM(Raw_Data!M431)="","Not Recorded",TRIM(Raw_Data!M431)))</f>
        <v/>
      </c>
      <c r="P431" s="16" t="n">
        <f aca="false">ROUND((IF(C431="",AsOfDate,C431)-B431)/365.25,2)</f>
        <v>9.88</v>
      </c>
      <c r="Q431" s="13" t="str">
        <f aca="false">IF(D431="","Unknown",IF(D431&lt;25,"Under 25",IF(D431&lt;35,"25-34",IF(D431&lt;45,"35-44",IF(D431&lt;55,"45-54","55+")))))</f>
        <v>35-44</v>
      </c>
      <c r="R431" s="13" t="str">
        <f aca="false">IF(P431&lt;1,"0-1 yrs",IF(P431&lt;3,"1-3 yrs",IF(P431&lt;5,"3-5 yrs",IF(P431&lt;10,"5-10 yrs","10+ yrs"))))</f>
        <v>5-10 yrs</v>
      </c>
      <c r="S431" s="13" t="str">
        <f aca="false">IF(I431&gt;=4,"High",IF(I431=3,"Medium","Low"))</f>
        <v>High</v>
      </c>
      <c r="T431" s="13" t="str">
        <f aca="false">IF(M431=1,YEAR(C431),"")</f>
        <v/>
      </c>
      <c r="U431" s="13" t="str">
        <f aca="false">IF(M431=1,YEAR(C431)&amp;"-Q"&amp;ROUNDUP(MONTH(C431)/3,0),"")</f>
        <v/>
      </c>
      <c r="V431" s="13" t="str">
        <f aca="false">IF(M431=1,MONTH(C431),"")</f>
        <v/>
      </c>
    </row>
    <row r="432" customFormat="false" ht="15" hidden="false" customHeight="false" outlineLevel="0" collapsed="false">
      <c r="A432" s="13" t="str">
        <f aca="false">TRIM(Raw_Data!A432)</f>
        <v>EMP0431</v>
      </c>
      <c r="B432" s="14" t="n">
        <f aca="false">Raw_Data!B432</f>
        <v>42416</v>
      </c>
      <c r="C432" s="14" t="str">
        <f aca="false">IF(Raw_Data!C432="","",Raw_Data!C432)</f>
        <v/>
      </c>
      <c r="D432" s="13" t="n">
        <f aca="false">IF(Raw_Data!D432="","",Raw_Data!D432)</f>
        <v>44</v>
      </c>
      <c r="E432" s="13" t="str">
        <f aca="false">IF(UPPER(LEFT(TRIM(Raw_Data!E432),1))="M","Male",IF(UPPER(LEFT(TRIM(Raw_Data!E432),1))="F","Female","Unknown"))</f>
        <v>Male</v>
      </c>
      <c r="F432" s="13" t="str">
        <f aca="false">PROPER(TRIM(SUBSTITUTE(Raw_Data!F432,"'","")))</f>
        <v>High School</v>
      </c>
      <c r="G432" s="13" t="str">
        <f aca="false">PROPER(TRIM(Raw_Data!G432))</f>
        <v>Finance</v>
      </c>
      <c r="H432" s="13" t="str">
        <f aca="false">PROPER(TRIM(Raw_Data!H432))</f>
        <v>Senior Analyst</v>
      </c>
      <c r="I432" s="13" t="n">
        <f aca="false">IF(Raw_Data!I432="",DefaultPerf,Raw_Data!I432)</f>
        <v>3</v>
      </c>
      <c r="J432" s="17" t="n">
        <f aca="false">IF(Raw_Data!J432="",DefaultSat,Raw_Data!J432)</f>
        <v>3</v>
      </c>
      <c r="K432" s="15" t="n">
        <f aca="false">Raw_Data!K432</f>
        <v>121500</v>
      </c>
      <c r="L432" s="13" t="str">
        <f aca="false">PROPER(TRIM(Raw_Data!N432))</f>
        <v>No</v>
      </c>
      <c r="M432" s="13" t="n">
        <f aca="false">IF(C432="",0,1)</f>
        <v>0</v>
      </c>
      <c r="N432" s="13" t="str">
        <f aca="false">IF(M432=0,"Active",IF(TRIM(Raw_Data!L432)="","Unknown",PROPER(TRIM(Raw_Data!L432))))</f>
        <v>Active</v>
      </c>
      <c r="O432" s="13" t="str">
        <f aca="false">IF(M432=0,"",IF(TRIM(Raw_Data!M432)="","Not Recorded",TRIM(Raw_Data!M432)))</f>
        <v/>
      </c>
      <c r="P432" s="16" t="n">
        <f aca="false">ROUND((IF(C432="",AsOfDate,C432)-B432)/365.25,2)</f>
        <v>9.87</v>
      </c>
      <c r="Q432" s="13" t="str">
        <f aca="false">IF(D432="","Unknown",IF(D432&lt;25,"Under 25",IF(D432&lt;35,"25-34",IF(D432&lt;45,"35-44",IF(D432&lt;55,"45-54","55+")))))</f>
        <v>35-44</v>
      </c>
      <c r="R432" s="13" t="str">
        <f aca="false">IF(P432&lt;1,"0-1 yrs",IF(P432&lt;3,"1-3 yrs",IF(P432&lt;5,"3-5 yrs",IF(P432&lt;10,"5-10 yrs","10+ yrs"))))</f>
        <v>5-10 yrs</v>
      </c>
      <c r="S432" s="13" t="str">
        <f aca="false">IF(I432&gt;=4,"High",IF(I432=3,"Medium","Low"))</f>
        <v>Medium</v>
      </c>
      <c r="T432" s="13" t="str">
        <f aca="false">IF(M432=1,YEAR(C432),"")</f>
        <v/>
      </c>
      <c r="U432" s="13" t="str">
        <f aca="false">IF(M432=1,YEAR(C432)&amp;"-Q"&amp;ROUNDUP(MONTH(C432)/3,0),"")</f>
        <v/>
      </c>
      <c r="V432" s="13" t="str">
        <f aca="false">IF(M432=1,MONTH(C432),"")</f>
        <v/>
      </c>
    </row>
    <row r="433" customFormat="false" ht="15" hidden="false" customHeight="false" outlineLevel="0" collapsed="false">
      <c r="A433" s="13" t="str">
        <f aca="false">TRIM(Raw_Data!A433)</f>
        <v>EMP0432</v>
      </c>
      <c r="B433" s="14" t="n">
        <f aca="false">Raw_Data!B433</f>
        <v>42422</v>
      </c>
      <c r="C433" s="14" t="str">
        <f aca="false">IF(Raw_Data!C433="","",Raw_Data!C433)</f>
        <v/>
      </c>
      <c r="D433" s="13" t="n">
        <f aca="false">IF(Raw_Data!D433="","",Raw_Data!D433)</f>
        <v>37</v>
      </c>
      <c r="E433" s="13" t="str">
        <f aca="false">IF(UPPER(LEFT(TRIM(Raw_Data!E433),1))="M","Male",IF(UPPER(LEFT(TRIM(Raw_Data!E433),1))="F","Female","Unknown"))</f>
        <v>Male</v>
      </c>
      <c r="F433" s="13" t="str">
        <f aca="false">PROPER(TRIM(SUBSTITUTE(Raw_Data!F433,"'","")))</f>
        <v>Bachelors</v>
      </c>
      <c r="G433" s="13" t="str">
        <f aca="false">PROPER(TRIM(Raw_Data!G433))</f>
        <v>Operations</v>
      </c>
      <c r="H433" s="13" t="str">
        <f aca="false">PROPER(TRIM(Raw_Data!H433))</f>
        <v>Specialist</v>
      </c>
      <c r="I433" s="13" t="n">
        <f aca="false">IF(Raw_Data!I433="",DefaultPerf,Raw_Data!I433)</f>
        <v>3</v>
      </c>
      <c r="J433" s="13" t="n">
        <f aca="false">IF(Raw_Data!J433="",DefaultSat,Raw_Data!J433)</f>
        <v>4</v>
      </c>
      <c r="K433" s="15" t="n">
        <f aca="false">Raw_Data!K433</f>
        <v>149000</v>
      </c>
      <c r="L433" s="13" t="str">
        <f aca="false">PROPER(TRIM(Raw_Data!N433))</f>
        <v>Yes</v>
      </c>
      <c r="M433" s="13" t="n">
        <f aca="false">IF(C433="",0,1)</f>
        <v>0</v>
      </c>
      <c r="N433" s="13" t="str">
        <f aca="false">IF(M433=0,"Active",IF(TRIM(Raw_Data!L433)="","Unknown",PROPER(TRIM(Raw_Data!L433))))</f>
        <v>Active</v>
      </c>
      <c r="O433" s="13" t="str">
        <f aca="false">IF(M433=0,"",IF(TRIM(Raw_Data!M433)="","Not Recorded",TRIM(Raw_Data!M433)))</f>
        <v/>
      </c>
      <c r="P433" s="16" t="n">
        <f aca="false">ROUND((IF(C433="",AsOfDate,C433)-B433)/365.25,2)</f>
        <v>9.86</v>
      </c>
      <c r="Q433" s="13" t="str">
        <f aca="false">IF(D433="","Unknown",IF(D433&lt;25,"Under 25",IF(D433&lt;35,"25-34",IF(D433&lt;45,"35-44",IF(D433&lt;55,"45-54","55+")))))</f>
        <v>35-44</v>
      </c>
      <c r="R433" s="13" t="str">
        <f aca="false">IF(P433&lt;1,"0-1 yrs",IF(P433&lt;3,"1-3 yrs",IF(P433&lt;5,"3-5 yrs",IF(P433&lt;10,"5-10 yrs","10+ yrs"))))</f>
        <v>5-10 yrs</v>
      </c>
      <c r="S433" s="13" t="str">
        <f aca="false">IF(I433&gt;=4,"High",IF(I433=3,"Medium","Low"))</f>
        <v>Medium</v>
      </c>
      <c r="T433" s="13" t="str">
        <f aca="false">IF(M433=1,YEAR(C433),"")</f>
        <v/>
      </c>
      <c r="U433" s="13" t="str">
        <f aca="false">IF(M433=1,YEAR(C433)&amp;"-Q"&amp;ROUNDUP(MONTH(C433)/3,0),"")</f>
        <v/>
      </c>
      <c r="V433" s="13" t="str">
        <f aca="false">IF(M433=1,MONTH(C433),"")</f>
        <v/>
      </c>
    </row>
    <row r="434" customFormat="false" ht="15" hidden="false" customHeight="false" outlineLevel="0" collapsed="false">
      <c r="A434" s="13" t="str">
        <f aca="false">TRIM(Raw_Data!A434)</f>
        <v>EMP0433</v>
      </c>
      <c r="B434" s="14" t="n">
        <f aca="false">Raw_Data!B434</f>
        <v>42425</v>
      </c>
      <c r="C434" s="14" t="n">
        <f aca="false">IF(Raw_Data!C434="","",Raw_Data!C434)</f>
        <v>44681</v>
      </c>
      <c r="D434" s="13" t="n">
        <f aca="false">IF(Raw_Data!D434="","",Raw_Data!D434)</f>
        <v>33</v>
      </c>
      <c r="E434" s="13" t="str">
        <f aca="false">IF(UPPER(LEFT(TRIM(Raw_Data!E434),1))="M","Male",IF(UPPER(LEFT(TRIM(Raw_Data!E434),1))="F","Female","Unknown"))</f>
        <v>Male</v>
      </c>
      <c r="F434" s="13" t="str">
        <f aca="false">PROPER(TRIM(SUBSTITUTE(Raw_Data!F434,"'","")))</f>
        <v>Diploma</v>
      </c>
      <c r="G434" s="13" t="str">
        <f aca="false">PROPER(TRIM(Raw_Data!G434))</f>
        <v>Engineering</v>
      </c>
      <c r="H434" s="13" t="str">
        <f aca="false">PROPER(TRIM(Raw_Data!H434))</f>
        <v>Specialist</v>
      </c>
      <c r="I434" s="13" t="n">
        <f aca="false">IF(Raw_Data!I434="",DefaultPerf,Raw_Data!I434)</f>
        <v>4</v>
      </c>
      <c r="J434" s="13" t="n">
        <f aca="false">IF(Raw_Data!J434="",DefaultSat,Raw_Data!J434)</f>
        <v>1</v>
      </c>
      <c r="K434" s="15" t="n">
        <f aca="false">Raw_Data!K434</f>
        <v>141000</v>
      </c>
      <c r="L434" s="13" t="str">
        <f aca="false">PROPER(TRIM(Raw_Data!N434))</f>
        <v>No</v>
      </c>
      <c r="M434" s="13" t="n">
        <f aca="false">IF(C434="",0,1)</f>
        <v>1</v>
      </c>
      <c r="N434" s="13" t="str">
        <f aca="false">IF(M434=0,"Active",IF(TRIM(Raw_Data!L434)="","Unknown",PROPER(TRIM(Raw_Data!L434))))</f>
        <v>Voluntary</v>
      </c>
      <c r="O434" s="13" t="str">
        <f aca="false">IF(M434=0,"",IF(TRIM(Raw_Data!M434)="","Not Recorded",TRIM(Raw_Data!M434)))</f>
        <v>Better Compensation</v>
      </c>
      <c r="P434" s="16" t="n">
        <f aca="false">ROUND((IF(C434="",AsOfDate,C434)-B434)/365.25,2)</f>
        <v>6.18</v>
      </c>
      <c r="Q434" s="13" t="str">
        <f aca="false">IF(D434="","Unknown",IF(D434&lt;25,"Under 25",IF(D434&lt;35,"25-34",IF(D434&lt;45,"35-44",IF(D434&lt;55,"45-54","55+")))))</f>
        <v>25-34</v>
      </c>
      <c r="R434" s="13" t="str">
        <f aca="false">IF(P434&lt;1,"0-1 yrs",IF(P434&lt;3,"1-3 yrs",IF(P434&lt;5,"3-5 yrs",IF(P434&lt;10,"5-10 yrs","10+ yrs"))))</f>
        <v>5-10 yrs</v>
      </c>
      <c r="S434" s="13" t="str">
        <f aca="false">IF(I434&gt;=4,"High",IF(I434=3,"Medium","Low"))</f>
        <v>High</v>
      </c>
      <c r="T434" s="13" t="n">
        <f aca="false">IF(M434=1,YEAR(C434),"")</f>
        <v>2022</v>
      </c>
      <c r="U434" s="13" t="str">
        <f aca="false">IF(M434=1,YEAR(C434)&amp;"-Q"&amp;ROUNDUP(MONTH(C434)/3,0),"")</f>
        <v>2022-Q2</v>
      </c>
      <c r="V434" s="13" t="n">
        <f aca="false">IF(M434=1,MONTH(C434),"")</f>
        <v>4</v>
      </c>
    </row>
    <row r="435" customFormat="false" ht="15" hidden="false" customHeight="false" outlineLevel="0" collapsed="false">
      <c r="A435" s="13" t="str">
        <f aca="false">TRIM(Raw_Data!A435)</f>
        <v>EMP0434</v>
      </c>
      <c r="B435" s="14" t="n">
        <f aca="false">Raw_Data!B435</f>
        <v>42425</v>
      </c>
      <c r="C435" s="14" t="n">
        <f aca="false">IF(Raw_Data!C435="","",Raw_Data!C435)</f>
        <v>44770</v>
      </c>
      <c r="D435" s="13" t="n">
        <f aca="false">IF(Raw_Data!D435="","",Raw_Data!D435)</f>
        <v>34</v>
      </c>
      <c r="E435" s="13" t="str">
        <f aca="false">IF(UPPER(LEFT(TRIM(Raw_Data!E435),1))="M","Male",IF(UPPER(LEFT(TRIM(Raw_Data!E435),1))="F","Female","Unknown"))</f>
        <v>Male</v>
      </c>
      <c r="F435" s="13" t="str">
        <f aca="false">PROPER(TRIM(SUBSTITUTE(Raw_Data!F435,"'","")))</f>
        <v>Bachelors</v>
      </c>
      <c r="G435" s="13" t="str">
        <f aca="false">PROPER(TRIM(Raw_Data!G435))</f>
        <v>Sales</v>
      </c>
      <c r="H435" s="13" t="str">
        <f aca="false">PROPER(TRIM(Raw_Data!H435))</f>
        <v>Analyst</v>
      </c>
      <c r="I435" s="13" t="n">
        <f aca="false">IF(Raw_Data!I435="",DefaultPerf,Raw_Data!I435)</f>
        <v>2</v>
      </c>
      <c r="J435" s="13" t="n">
        <f aca="false">IF(Raw_Data!J435="",DefaultSat,Raw_Data!J435)</f>
        <v>3</v>
      </c>
      <c r="K435" s="15" t="n">
        <f aca="false">Raw_Data!K435</f>
        <v>70000</v>
      </c>
      <c r="L435" s="13" t="str">
        <f aca="false">PROPER(TRIM(Raw_Data!N435))</f>
        <v>No</v>
      </c>
      <c r="M435" s="13" t="n">
        <f aca="false">IF(C435="",0,1)</f>
        <v>1</v>
      </c>
      <c r="N435" s="13" t="str">
        <f aca="false">IF(M435=0,"Active",IF(TRIM(Raw_Data!L435)="","Unknown",PROPER(TRIM(Raw_Data!L435))))</f>
        <v>Involuntary</v>
      </c>
      <c r="O435" s="13" t="str">
        <f aca="false">IF(M435=0,"",IF(TRIM(Raw_Data!M435)="","Not Recorded",TRIM(Raw_Data!M435)))</f>
        <v>Restructuring / Layoff</v>
      </c>
      <c r="P435" s="16" t="n">
        <f aca="false">ROUND((IF(C435="",AsOfDate,C435)-B435)/365.25,2)</f>
        <v>6.42</v>
      </c>
      <c r="Q435" s="13" t="str">
        <f aca="false">IF(D435="","Unknown",IF(D435&lt;25,"Under 25",IF(D435&lt;35,"25-34",IF(D435&lt;45,"35-44",IF(D435&lt;55,"45-54","55+")))))</f>
        <v>25-34</v>
      </c>
      <c r="R435" s="13" t="str">
        <f aca="false">IF(P435&lt;1,"0-1 yrs",IF(P435&lt;3,"1-3 yrs",IF(P435&lt;5,"3-5 yrs",IF(P435&lt;10,"5-10 yrs","10+ yrs"))))</f>
        <v>5-10 yrs</v>
      </c>
      <c r="S435" s="13" t="str">
        <f aca="false">IF(I435&gt;=4,"High",IF(I435=3,"Medium","Low"))</f>
        <v>Low</v>
      </c>
      <c r="T435" s="13" t="n">
        <f aca="false">IF(M435=1,YEAR(C435),"")</f>
        <v>2022</v>
      </c>
      <c r="U435" s="13" t="str">
        <f aca="false">IF(M435=1,YEAR(C435)&amp;"-Q"&amp;ROUNDUP(MONTH(C435)/3,0),"")</f>
        <v>2022-Q3</v>
      </c>
      <c r="V435" s="13" t="n">
        <f aca="false">IF(M435=1,MONTH(C435),"")</f>
        <v>7</v>
      </c>
    </row>
    <row r="436" customFormat="false" ht="15" hidden="false" customHeight="false" outlineLevel="0" collapsed="false">
      <c r="A436" s="13" t="str">
        <f aca="false">TRIM(Raw_Data!A436)</f>
        <v>EMP0435</v>
      </c>
      <c r="B436" s="14" t="n">
        <f aca="false">Raw_Data!B436</f>
        <v>42426</v>
      </c>
      <c r="C436" s="14" t="str">
        <f aca="false">IF(Raw_Data!C436="","",Raw_Data!C436)</f>
        <v/>
      </c>
      <c r="D436" s="13" t="n">
        <f aca="false">IF(Raw_Data!D436="","",Raw_Data!D436)</f>
        <v>41</v>
      </c>
      <c r="E436" s="13" t="str">
        <f aca="false">IF(UPPER(LEFT(TRIM(Raw_Data!E436),1))="M","Male",IF(UPPER(LEFT(TRIM(Raw_Data!E436),1))="F","Female","Unknown"))</f>
        <v>Female</v>
      </c>
      <c r="F436" s="13" t="str">
        <f aca="false">PROPER(TRIM(SUBSTITUTE(Raw_Data!F436,"'","")))</f>
        <v>Masters</v>
      </c>
      <c r="G436" s="13" t="str">
        <f aca="false">PROPER(TRIM(Raw_Data!G436))</f>
        <v>Finance</v>
      </c>
      <c r="H436" s="13" t="str">
        <f aca="false">PROPER(TRIM(Raw_Data!H436))</f>
        <v>Associate</v>
      </c>
      <c r="I436" s="13" t="n">
        <f aca="false">IF(Raw_Data!I436="",DefaultPerf,Raw_Data!I436)</f>
        <v>1</v>
      </c>
      <c r="J436" s="13" t="n">
        <f aca="false">IF(Raw_Data!J436="",DefaultSat,Raw_Data!J436)</f>
        <v>3</v>
      </c>
      <c r="K436" s="15" t="n">
        <f aca="false">Raw_Data!K436</f>
        <v>50000</v>
      </c>
      <c r="L436" s="13" t="str">
        <f aca="false">PROPER(TRIM(Raw_Data!N436))</f>
        <v>No</v>
      </c>
      <c r="M436" s="13" t="n">
        <f aca="false">IF(C436="",0,1)</f>
        <v>0</v>
      </c>
      <c r="N436" s="13" t="str">
        <f aca="false">IF(M436=0,"Active",IF(TRIM(Raw_Data!L436)="","Unknown",PROPER(TRIM(Raw_Data!L436))))</f>
        <v>Active</v>
      </c>
      <c r="O436" s="13" t="str">
        <f aca="false">IF(M436=0,"",IF(TRIM(Raw_Data!M436)="","Not Recorded",TRIM(Raw_Data!M436)))</f>
        <v/>
      </c>
      <c r="P436" s="16" t="n">
        <f aca="false">ROUND((IF(C436="",AsOfDate,C436)-B436)/365.25,2)</f>
        <v>9.85</v>
      </c>
      <c r="Q436" s="13" t="str">
        <f aca="false">IF(D436="","Unknown",IF(D436&lt;25,"Under 25",IF(D436&lt;35,"25-34",IF(D436&lt;45,"35-44",IF(D436&lt;55,"45-54","55+")))))</f>
        <v>35-44</v>
      </c>
      <c r="R436" s="13" t="str">
        <f aca="false">IF(P436&lt;1,"0-1 yrs",IF(P436&lt;3,"1-3 yrs",IF(P436&lt;5,"3-5 yrs",IF(P436&lt;10,"5-10 yrs","10+ yrs"))))</f>
        <v>5-10 yrs</v>
      </c>
      <c r="S436" s="13" t="str">
        <f aca="false">IF(I436&gt;=4,"High",IF(I436=3,"Medium","Low"))</f>
        <v>Low</v>
      </c>
      <c r="T436" s="13" t="str">
        <f aca="false">IF(M436=1,YEAR(C436),"")</f>
        <v/>
      </c>
      <c r="U436" s="13" t="str">
        <f aca="false">IF(M436=1,YEAR(C436)&amp;"-Q"&amp;ROUNDUP(MONTH(C436)/3,0),"")</f>
        <v/>
      </c>
      <c r="V436" s="13" t="str">
        <f aca="false">IF(M436=1,MONTH(C436),"")</f>
        <v/>
      </c>
    </row>
    <row r="437" customFormat="false" ht="15" hidden="false" customHeight="false" outlineLevel="0" collapsed="false">
      <c r="A437" s="13" t="str">
        <f aca="false">TRIM(Raw_Data!A437)</f>
        <v>EMP0436</v>
      </c>
      <c r="B437" s="14" t="n">
        <f aca="false">Raw_Data!B437</f>
        <v>42427</v>
      </c>
      <c r="C437" s="14" t="n">
        <f aca="false">IF(Raw_Data!C437="","",Raw_Data!C437)</f>
        <v>45001</v>
      </c>
      <c r="D437" s="13" t="n">
        <f aca="false">IF(Raw_Data!D437="","",Raw_Data!D437)</f>
        <v>28</v>
      </c>
      <c r="E437" s="13" t="str">
        <f aca="false">IF(UPPER(LEFT(TRIM(Raw_Data!E437),1))="M","Male",IF(UPPER(LEFT(TRIM(Raw_Data!E437),1))="F","Female","Unknown"))</f>
        <v>Male</v>
      </c>
      <c r="F437" s="13" t="str">
        <f aca="false">PROPER(TRIM(SUBSTITUTE(Raw_Data!F437,"'","")))</f>
        <v>Masters</v>
      </c>
      <c r="G437" s="13" t="str">
        <f aca="false">PROPER(TRIM(Raw_Data!G437))</f>
        <v>Operations</v>
      </c>
      <c r="H437" s="13" t="str">
        <f aca="false">PROPER(TRIM(Raw_Data!H437))</f>
        <v>Analyst</v>
      </c>
      <c r="I437" s="13" t="n">
        <f aca="false">IF(Raw_Data!I437="",DefaultPerf,Raw_Data!I437)</f>
        <v>3</v>
      </c>
      <c r="J437" s="13" t="n">
        <f aca="false">IF(Raw_Data!J437="",DefaultSat,Raw_Data!J437)</f>
        <v>4</v>
      </c>
      <c r="K437" s="15" t="n">
        <f aca="false">Raw_Data!K437</f>
        <v>66000</v>
      </c>
      <c r="L437" s="13" t="str">
        <f aca="false">PROPER(TRIM(Raw_Data!N437))</f>
        <v>No</v>
      </c>
      <c r="M437" s="13" t="n">
        <f aca="false">IF(C437="",0,1)</f>
        <v>1</v>
      </c>
      <c r="N437" s="13" t="str">
        <f aca="false">IF(M437=0,"Active",IF(TRIM(Raw_Data!L437)="","Unknown",PROPER(TRIM(Raw_Data!L437))))</f>
        <v>Voluntary</v>
      </c>
      <c r="O437" s="13" t="str">
        <f aca="false">IF(M437=0,"",IF(TRIM(Raw_Data!M437)="","Not Recorded",TRIM(Raw_Data!M437)))</f>
        <v>Better Compensation</v>
      </c>
      <c r="P437" s="16" t="n">
        <f aca="false">ROUND((IF(C437="",AsOfDate,C437)-B437)/365.25,2)</f>
        <v>7.05</v>
      </c>
      <c r="Q437" s="13" t="str">
        <f aca="false">IF(D437="","Unknown",IF(D437&lt;25,"Under 25",IF(D437&lt;35,"25-34",IF(D437&lt;45,"35-44",IF(D437&lt;55,"45-54","55+")))))</f>
        <v>25-34</v>
      </c>
      <c r="R437" s="13" t="str">
        <f aca="false">IF(P437&lt;1,"0-1 yrs",IF(P437&lt;3,"1-3 yrs",IF(P437&lt;5,"3-5 yrs",IF(P437&lt;10,"5-10 yrs","10+ yrs"))))</f>
        <v>5-10 yrs</v>
      </c>
      <c r="S437" s="13" t="str">
        <f aca="false">IF(I437&gt;=4,"High",IF(I437=3,"Medium","Low"))</f>
        <v>Medium</v>
      </c>
      <c r="T437" s="13" t="n">
        <f aca="false">IF(M437=1,YEAR(C437),"")</f>
        <v>2023</v>
      </c>
      <c r="U437" s="13" t="str">
        <f aca="false">IF(M437=1,YEAR(C437)&amp;"-Q"&amp;ROUNDUP(MONTH(C437)/3,0),"")</f>
        <v>2023-Q1</v>
      </c>
      <c r="V437" s="13" t="n">
        <f aca="false">IF(M437=1,MONTH(C437),"")</f>
        <v>3</v>
      </c>
    </row>
    <row r="438" customFormat="false" ht="15" hidden="false" customHeight="false" outlineLevel="0" collapsed="false">
      <c r="A438" s="13" t="str">
        <f aca="false">TRIM(Raw_Data!A438)</f>
        <v>EMP0437</v>
      </c>
      <c r="B438" s="14" t="n">
        <f aca="false">Raw_Data!B438</f>
        <v>42428</v>
      </c>
      <c r="C438" s="14" t="str">
        <f aca="false">IF(Raw_Data!C438="","",Raw_Data!C438)</f>
        <v/>
      </c>
      <c r="D438" s="13" t="n">
        <f aca="false">IF(Raw_Data!D438="","",Raw_Data!D438)</f>
        <v>48</v>
      </c>
      <c r="E438" s="13" t="str">
        <f aca="false">IF(UPPER(LEFT(TRIM(Raw_Data!E438),1))="M","Male",IF(UPPER(LEFT(TRIM(Raw_Data!E438),1))="F","Female","Unknown"))</f>
        <v>Female</v>
      </c>
      <c r="F438" s="13" t="str">
        <f aca="false">PROPER(TRIM(SUBSTITUTE(Raw_Data!F438,"'","")))</f>
        <v>Masters</v>
      </c>
      <c r="G438" s="13" t="str">
        <f aca="false">PROPER(TRIM(Raw_Data!G438))</f>
        <v>Sales</v>
      </c>
      <c r="H438" s="13" t="str">
        <f aca="false">PROPER(TRIM(Raw_Data!H438))</f>
        <v>Senior Analyst</v>
      </c>
      <c r="I438" s="13" t="n">
        <f aca="false">IF(Raw_Data!I438="",DefaultPerf,Raw_Data!I438)</f>
        <v>3</v>
      </c>
      <c r="J438" s="13" t="n">
        <f aca="false">IF(Raw_Data!J438="",DefaultSat,Raw_Data!J438)</f>
        <v>2</v>
      </c>
      <c r="K438" s="15" t="n">
        <f aca="false">Raw_Data!K438</f>
        <v>106500</v>
      </c>
      <c r="L438" s="13" t="str">
        <f aca="false">PROPER(TRIM(Raw_Data!N438))</f>
        <v>Yes</v>
      </c>
      <c r="M438" s="13" t="n">
        <f aca="false">IF(C438="",0,1)</f>
        <v>0</v>
      </c>
      <c r="N438" s="13" t="str">
        <f aca="false">IF(M438=0,"Active",IF(TRIM(Raw_Data!L438)="","Unknown",PROPER(TRIM(Raw_Data!L438))))</f>
        <v>Active</v>
      </c>
      <c r="O438" s="13" t="str">
        <f aca="false">IF(M438=0,"",IF(TRIM(Raw_Data!M438)="","Not Recorded",TRIM(Raw_Data!M438)))</f>
        <v/>
      </c>
      <c r="P438" s="16" t="n">
        <f aca="false">ROUND((IF(C438="",AsOfDate,C438)-B438)/365.25,2)</f>
        <v>9.84</v>
      </c>
      <c r="Q438" s="13" t="str">
        <f aca="false">IF(D438="","Unknown",IF(D438&lt;25,"Under 25",IF(D438&lt;35,"25-34",IF(D438&lt;45,"35-44",IF(D438&lt;55,"45-54","55+")))))</f>
        <v>45-54</v>
      </c>
      <c r="R438" s="13" t="str">
        <f aca="false">IF(P438&lt;1,"0-1 yrs",IF(P438&lt;3,"1-3 yrs",IF(P438&lt;5,"3-5 yrs",IF(P438&lt;10,"5-10 yrs","10+ yrs"))))</f>
        <v>5-10 yrs</v>
      </c>
      <c r="S438" s="13" t="str">
        <f aca="false">IF(I438&gt;=4,"High",IF(I438=3,"Medium","Low"))</f>
        <v>Medium</v>
      </c>
      <c r="T438" s="13" t="str">
        <f aca="false">IF(M438=1,YEAR(C438),"")</f>
        <v/>
      </c>
      <c r="U438" s="13" t="str">
        <f aca="false">IF(M438=1,YEAR(C438)&amp;"-Q"&amp;ROUNDUP(MONTH(C438)/3,0),"")</f>
        <v/>
      </c>
      <c r="V438" s="13" t="str">
        <f aca="false">IF(M438=1,MONTH(C438),"")</f>
        <v/>
      </c>
    </row>
    <row r="439" customFormat="false" ht="15" hidden="false" customHeight="false" outlineLevel="0" collapsed="false">
      <c r="A439" s="13" t="str">
        <f aca="false">TRIM(Raw_Data!A439)</f>
        <v>EMP0438</v>
      </c>
      <c r="B439" s="14" t="n">
        <f aca="false">Raw_Data!B439</f>
        <v>42434</v>
      </c>
      <c r="C439" s="14" t="n">
        <f aca="false">IF(Raw_Data!C439="","",Raw_Data!C439)</f>
        <v>45850</v>
      </c>
      <c r="D439" s="13" t="n">
        <f aca="false">IF(Raw_Data!D439="","",Raw_Data!D439)</f>
        <v>37</v>
      </c>
      <c r="E439" s="13" t="str">
        <f aca="false">IF(UPPER(LEFT(TRIM(Raw_Data!E439),1))="M","Male",IF(UPPER(LEFT(TRIM(Raw_Data!E439),1))="F","Female","Unknown"))</f>
        <v>Female</v>
      </c>
      <c r="F439" s="13" t="str">
        <f aca="false">PROPER(TRIM(SUBSTITUTE(Raw_Data!F439,"'","")))</f>
        <v>Bachelors</v>
      </c>
      <c r="G439" s="13" t="str">
        <f aca="false">PROPER(TRIM(Raw_Data!G439))</f>
        <v>Customer Support</v>
      </c>
      <c r="H439" s="13" t="str">
        <f aca="false">PROPER(TRIM(Raw_Data!H439))</f>
        <v>Manager</v>
      </c>
      <c r="I439" s="13" t="n">
        <f aca="false">IF(Raw_Data!I439="",DefaultPerf,Raw_Data!I439)</f>
        <v>2</v>
      </c>
      <c r="J439" s="13" t="n">
        <f aca="false">IF(Raw_Data!J439="",DefaultSat,Raw_Data!J439)</f>
        <v>2</v>
      </c>
      <c r="K439" s="15" t="n">
        <f aca="false">Raw_Data!K439</f>
        <v>257000</v>
      </c>
      <c r="L439" s="13" t="str">
        <f aca="false">PROPER(TRIM(Raw_Data!N439))</f>
        <v>Yes</v>
      </c>
      <c r="M439" s="13" t="n">
        <f aca="false">IF(C439="",0,1)</f>
        <v>1</v>
      </c>
      <c r="N439" s="13" t="str">
        <f aca="false">IF(M439=0,"Active",IF(TRIM(Raw_Data!L439)="","Unknown",PROPER(TRIM(Raw_Data!L439))))</f>
        <v>Voluntary</v>
      </c>
      <c r="O439" s="13" t="str">
        <f aca="false">IF(M439=0,"",IF(TRIM(Raw_Data!M439)="","Not Recorded",TRIM(Raw_Data!M439)))</f>
        <v>Work-Life Balance</v>
      </c>
      <c r="P439" s="16" t="n">
        <f aca="false">ROUND((IF(C439="",AsOfDate,C439)-B439)/365.25,2)</f>
        <v>9.35</v>
      </c>
      <c r="Q439" s="13" t="str">
        <f aca="false">IF(D439="","Unknown",IF(D439&lt;25,"Under 25",IF(D439&lt;35,"25-34",IF(D439&lt;45,"35-44",IF(D439&lt;55,"45-54","55+")))))</f>
        <v>35-44</v>
      </c>
      <c r="R439" s="13" t="str">
        <f aca="false">IF(P439&lt;1,"0-1 yrs",IF(P439&lt;3,"1-3 yrs",IF(P439&lt;5,"3-5 yrs",IF(P439&lt;10,"5-10 yrs","10+ yrs"))))</f>
        <v>5-10 yrs</v>
      </c>
      <c r="S439" s="13" t="str">
        <f aca="false">IF(I439&gt;=4,"High",IF(I439=3,"Medium","Low"))</f>
        <v>Low</v>
      </c>
      <c r="T439" s="13" t="n">
        <f aca="false">IF(M439=1,YEAR(C439),"")</f>
        <v>2025</v>
      </c>
      <c r="U439" s="13" t="str">
        <f aca="false">IF(M439=1,YEAR(C439)&amp;"-Q"&amp;ROUNDUP(MONTH(C439)/3,0),"")</f>
        <v>2025-Q3</v>
      </c>
      <c r="V439" s="13" t="n">
        <f aca="false">IF(M439=1,MONTH(C439),"")</f>
        <v>7</v>
      </c>
    </row>
    <row r="440" customFormat="false" ht="15" hidden="false" customHeight="false" outlineLevel="0" collapsed="false">
      <c r="A440" s="13" t="str">
        <f aca="false">TRIM(Raw_Data!A440)</f>
        <v>EMP0439</v>
      </c>
      <c r="B440" s="14" t="n">
        <f aca="false">Raw_Data!B440</f>
        <v>42435</v>
      </c>
      <c r="C440" s="14" t="n">
        <f aca="false">IF(Raw_Data!C440="","",Raw_Data!C440)</f>
        <v>44566</v>
      </c>
      <c r="D440" s="13" t="n">
        <f aca="false">IF(Raw_Data!D440="","",Raw_Data!D440)</f>
        <v>35</v>
      </c>
      <c r="E440" s="13" t="str">
        <f aca="false">IF(UPPER(LEFT(TRIM(Raw_Data!E440),1))="M","Male",IF(UPPER(LEFT(TRIM(Raw_Data!E440),1))="F","Female","Unknown"))</f>
        <v>Male</v>
      </c>
      <c r="F440" s="13" t="str">
        <f aca="false">PROPER(TRIM(SUBSTITUTE(Raw_Data!F440,"'","")))</f>
        <v>Masters</v>
      </c>
      <c r="G440" s="13" t="str">
        <f aca="false">PROPER(TRIM(Raw_Data!G440))</f>
        <v>Customer Support</v>
      </c>
      <c r="H440" s="13" t="str">
        <f aca="false">PROPER(TRIM(Raw_Data!H440))</f>
        <v>Analyst</v>
      </c>
      <c r="I440" s="13" t="n">
        <f aca="false">IF(Raw_Data!I440="",DefaultPerf,Raw_Data!I440)</f>
        <v>4</v>
      </c>
      <c r="J440" s="13" t="n">
        <f aca="false">IF(Raw_Data!J440="",DefaultSat,Raw_Data!J440)</f>
        <v>1</v>
      </c>
      <c r="K440" s="15" t="n">
        <f aca="false">Raw_Data!K440</f>
        <v>63500</v>
      </c>
      <c r="L440" s="13" t="str">
        <f aca="false">PROPER(TRIM(Raw_Data!N440))</f>
        <v>Yes</v>
      </c>
      <c r="M440" s="13" t="n">
        <f aca="false">IF(C440="",0,1)</f>
        <v>1</v>
      </c>
      <c r="N440" s="13" t="str">
        <f aca="false">IF(M440=0,"Active",IF(TRIM(Raw_Data!L440)="","Unknown",PROPER(TRIM(Raw_Data!L440))))</f>
        <v>Voluntary</v>
      </c>
      <c r="O440" s="13" t="str">
        <f aca="false">IF(M440=0,"",IF(TRIM(Raw_Data!M440)="","Not Recorded",TRIM(Raw_Data!M440)))</f>
        <v>Better Compensation</v>
      </c>
      <c r="P440" s="16" t="n">
        <f aca="false">ROUND((IF(C440="",AsOfDate,C440)-B440)/365.25,2)</f>
        <v>5.83</v>
      </c>
      <c r="Q440" s="13" t="str">
        <f aca="false">IF(D440="","Unknown",IF(D440&lt;25,"Under 25",IF(D440&lt;35,"25-34",IF(D440&lt;45,"35-44",IF(D440&lt;55,"45-54","55+")))))</f>
        <v>35-44</v>
      </c>
      <c r="R440" s="13" t="str">
        <f aca="false">IF(P440&lt;1,"0-1 yrs",IF(P440&lt;3,"1-3 yrs",IF(P440&lt;5,"3-5 yrs",IF(P440&lt;10,"5-10 yrs","10+ yrs"))))</f>
        <v>5-10 yrs</v>
      </c>
      <c r="S440" s="13" t="str">
        <f aca="false">IF(I440&gt;=4,"High",IF(I440=3,"Medium","Low"))</f>
        <v>High</v>
      </c>
      <c r="T440" s="13" t="n">
        <f aca="false">IF(M440=1,YEAR(C440),"")</f>
        <v>2022</v>
      </c>
      <c r="U440" s="13" t="str">
        <f aca="false">IF(M440=1,YEAR(C440)&amp;"-Q"&amp;ROUNDUP(MONTH(C440)/3,0),"")</f>
        <v>2022-Q1</v>
      </c>
      <c r="V440" s="13" t="n">
        <f aca="false">IF(M440=1,MONTH(C440),"")</f>
        <v>1</v>
      </c>
    </row>
    <row r="441" customFormat="false" ht="15" hidden="false" customHeight="false" outlineLevel="0" collapsed="false">
      <c r="A441" s="13" t="str">
        <f aca="false">TRIM(Raw_Data!A441)</f>
        <v>EMP0440</v>
      </c>
      <c r="B441" s="14" t="n">
        <f aca="false">Raw_Data!B441</f>
        <v>42437</v>
      </c>
      <c r="C441" s="14" t="str">
        <f aca="false">IF(Raw_Data!C441="","",Raw_Data!C441)</f>
        <v/>
      </c>
      <c r="D441" s="13" t="n">
        <f aca="false">IF(Raw_Data!D441="","",Raw_Data!D441)</f>
        <v>35</v>
      </c>
      <c r="E441" s="13" t="str">
        <f aca="false">IF(UPPER(LEFT(TRIM(Raw_Data!E441),1))="M","Male",IF(UPPER(LEFT(TRIM(Raw_Data!E441),1))="F","Female","Unknown"))</f>
        <v>Female</v>
      </c>
      <c r="F441" s="13" t="str">
        <f aca="false">PROPER(TRIM(SUBSTITUTE(Raw_Data!F441,"'","")))</f>
        <v>Bachelors</v>
      </c>
      <c r="G441" s="13" t="str">
        <f aca="false">PROPER(TRIM(Raw_Data!G441))</f>
        <v>Customer Support</v>
      </c>
      <c r="H441" s="13" t="str">
        <f aca="false">PROPER(TRIM(Raw_Data!H441))</f>
        <v>Specialist</v>
      </c>
      <c r="I441" s="13" t="n">
        <f aca="false">IF(Raw_Data!I441="",DefaultPerf,Raw_Data!I441)</f>
        <v>4</v>
      </c>
      <c r="J441" s="13" t="n">
        <f aca="false">IF(Raw_Data!J441="",DefaultSat,Raw_Data!J441)</f>
        <v>1</v>
      </c>
      <c r="K441" s="15" t="n">
        <f aca="false">Raw_Data!K441</f>
        <v>103000</v>
      </c>
      <c r="L441" s="13" t="str">
        <f aca="false">PROPER(TRIM(Raw_Data!N441))</f>
        <v>No</v>
      </c>
      <c r="M441" s="13" t="n">
        <f aca="false">IF(C441="",0,1)</f>
        <v>0</v>
      </c>
      <c r="N441" s="13" t="str">
        <f aca="false">IF(M441=0,"Active",IF(TRIM(Raw_Data!L441)="","Unknown",PROPER(TRIM(Raw_Data!L441))))</f>
        <v>Active</v>
      </c>
      <c r="O441" s="13" t="str">
        <f aca="false">IF(M441=0,"",IF(TRIM(Raw_Data!M441)="","Not Recorded",TRIM(Raw_Data!M441)))</f>
        <v/>
      </c>
      <c r="P441" s="16" t="n">
        <f aca="false">ROUND((IF(C441="",AsOfDate,C441)-B441)/365.25,2)</f>
        <v>9.82</v>
      </c>
      <c r="Q441" s="13" t="str">
        <f aca="false">IF(D441="","Unknown",IF(D441&lt;25,"Under 25",IF(D441&lt;35,"25-34",IF(D441&lt;45,"35-44",IF(D441&lt;55,"45-54","55+")))))</f>
        <v>35-44</v>
      </c>
      <c r="R441" s="13" t="str">
        <f aca="false">IF(P441&lt;1,"0-1 yrs",IF(P441&lt;3,"1-3 yrs",IF(P441&lt;5,"3-5 yrs",IF(P441&lt;10,"5-10 yrs","10+ yrs"))))</f>
        <v>5-10 yrs</v>
      </c>
      <c r="S441" s="13" t="str">
        <f aca="false">IF(I441&gt;=4,"High",IF(I441=3,"Medium","Low"))</f>
        <v>High</v>
      </c>
      <c r="T441" s="13" t="str">
        <f aca="false">IF(M441=1,YEAR(C441),"")</f>
        <v/>
      </c>
      <c r="U441" s="13" t="str">
        <f aca="false">IF(M441=1,YEAR(C441)&amp;"-Q"&amp;ROUNDUP(MONTH(C441)/3,0),"")</f>
        <v/>
      </c>
      <c r="V441" s="13" t="str">
        <f aca="false">IF(M441=1,MONTH(C441),"")</f>
        <v/>
      </c>
    </row>
    <row r="442" customFormat="false" ht="15" hidden="false" customHeight="false" outlineLevel="0" collapsed="false">
      <c r="A442" s="13" t="str">
        <f aca="false">TRIM(Raw_Data!A442)</f>
        <v>EMP0441</v>
      </c>
      <c r="B442" s="14" t="n">
        <f aca="false">Raw_Data!B442</f>
        <v>42440</v>
      </c>
      <c r="C442" s="14" t="n">
        <f aca="false">IF(Raw_Data!C442="","",Raw_Data!C442)</f>
        <v>45108</v>
      </c>
      <c r="D442" s="13" t="n">
        <f aca="false">IF(Raw_Data!D442="","",Raw_Data!D442)</f>
        <v>32</v>
      </c>
      <c r="E442" s="13" t="str">
        <f aca="false">IF(UPPER(LEFT(TRIM(Raw_Data!E442),1))="M","Male",IF(UPPER(LEFT(TRIM(Raw_Data!E442),1))="F","Female","Unknown"))</f>
        <v>Male</v>
      </c>
      <c r="F442" s="13" t="str">
        <f aca="false">PROPER(TRIM(SUBSTITUTE(Raw_Data!F442,"'","")))</f>
        <v>Doctorate</v>
      </c>
      <c r="G442" s="13" t="str">
        <f aca="false">PROPER(TRIM(Raw_Data!G442))</f>
        <v>Customer Support</v>
      </c>
      <c r="H442" s="13" t="str">
        <f aca="false">PROPER(TRIM(Raw_Data!H442))</f>
        <v>Associate</v>
      </c>
      <c r="I442" s="13" t="n">
        <f aca="false">IF(Raw_Data!I442="",DefaultPerf,Raw_Data!I442)</f>
        <v>3</v>
      </c>
      <c r="J442" s="13" t="n">
        <f aca="false">IF(Raw_Data!J442="",DefaultSat,Raw_Data!J442)</f>
        <v>3</v>
      </c>
      <c r="K442" s="15" t="n">
        <f aca="false">Raw_Data!K442</f>
        <v>42500</v>
      </c>
      <c r="L442" s="13" t="str">
        <f aca="false">PROPER(TRIM(Raw_Data!N442))</f>
        <v>No</v>
      </c>
      <c r="M442" s="13" t="n">
        <f aca="false">IF(C442="",0,1)</f>
        <v>1</v>
      </c>
      <c r="N442" s="13" t="str">
        <f aca="false">IF(M442=0,"Active",IF(TRIM(Raw_Data!L442)="","Unknown",PROPER(TRIM(Raw_Data!L442))))</f>
        <v>Involuntary</v>
      </c>
      <c r="O442" s="13" t="str">
        <f aca="false">IF(M442=0,"",IF(TRIM(Raw_Data!M442)="","Not Recorded",TRIM(Raw_Data!M442)))</f>
        <v>Policy Violation</v>
      </c>
      <c r="P442" s="16" t="n">
        <f aca="false">ROUND((IF(C442="",AsOfDate,C442)-B442)/365.25,2)</f>
        <v>7.3</v>
      </c>
      <c r="Q442" s="13" t="str">
        <f aca="false">IF(D442="","Unknown",IF(D442&lt;25,"Under 25",IF(D442&lt;35,"25-34",IF(D442&lt;45,"35-44",IF(D442&lt;55,"45-54","55+")))))</f>
        <v>25-34</v>
      </c>
      <c r="R442" s="13" t="str">
        <f aca="false">IF(P442&lt;1,"0-1 yrs",IF(P442&lt;3,"1-3 yrs",IF(P442&lt;5,"3-5 yrs",IF(P442&lt;10,"5-10 yrs","10+ yrs"))))</f>
        <v>5-10 yrs</v>
      </c>
      <c r="S442" s="13" t="str">
        <f aca="false">IF(I442&gt;=4,"High",IF(I442=3,"Medium","Low"))</f>
        <v>Medium</v>
      </c>
      <c r="T442" s="13" t="n">
        <f aca="false">IF(M442=1,YEAR(C442),"")</f>
        <v>2023</v>
      </c>
      <c r="U442" s="13" t="str">
        <f aca="false">IF(M442=1,YEAR(C442)&amp;"-Q"&amp;ROUNDUP(MONTH(C442)/3,0),"")</f>
        <v>2023-Q3</v>
      </c>
      <c r="V442" s="13" t="n">
        <f aca="false">IF(M442=1,MONTH(C442),"")</f>
        <v>7</v>
      </c>
    </row>
    <row r="443" customFormat="false" ht="15" hidden="false" customHeight="false" outlineLevel="0" collapsed="false">
      <c r="A443" s="13" t="str">
        <f aca="false">TRIM(Raw_Data!A443)</f>
        <v>EMP0442</v>
      </c>
      <c r="B443" s="14" t="n">
        <f aca="false">Raw_Data!B443</f>
        <v>42446</v>
      </c>
      <c r="C443" s="14" t="str">
        <f aca="false">IF(Raw_Data!C443="","",Raw_Data!C443)</f>
        <v/>
      </c>
      <c r="D443" s="13" t="n">
        <f aca="false">IF(Raw_Data!D443="","",Raw_Data!D443)</f>
        <v>40</v>
      </c>
      <c r="E443" s="13" t="str">
        <f aca="false">IF(UPPER(LEFT(TRIM(Raw_Data!E443),1))="M","Male",IF(UPPER(LEFT(TRIM(Raw_Data!E443),1))="F","Female","Unknown"))</f>
        <v>Female</v>
      </c>
      <c r="F443" s="13" t="str">
        <f aca="false">PROPER(TRIM(SUBSTITUTE(Raw_Data!F443,"'","")))</f>
        <v>High School</v>
      </c>
      <c r="G443" s="13" t="str">
        <f aca="false">PROPER(TRIM(Raw_Data!G443))</f>
        <v>Engineering</v>
      </c>
      <c r="H443" s="13" t="str">
        <f aca="false">PROPER(TRIM(Raw_Data!H443))</f>
        <v>Senior Analyst</v>
      </c>
      <c r="I443" s="13" t="n">
        <f aca="false">IF(Raw_Data!I443="",DefaultPerf,Raw_Data!I443)</f>
        <v>3</v>
      </c>
      <c r="J443" s="13" t="n">
        <f aca="false">IF(Raw_Data!J443="",DefaultSat,Raw_Data!J443)</f>
        <v>4</v>
      </c>
      <c r="K443" s="15" t="n">
        <f aca="false">Raw_Data!K443</f>
        <v>118500</v>
      </c>
      <c r="L443" s="13" t="str">
        <f aca="false">PROPER(TRIM(Raw_Data!N443))</f>
        <v>Yes</v>
      </c>
      <c r="M443" s="13" t="n">
        <f aca="false">IF(C443="",0,1)</f>
        <v>0</v>
      </c>
      <c r="N443" s="13" t="str">
        <f aca="false">IF(M443=0,"Active",IF(TRIM(Raw_Data!L443)="","Unknown",PROPER(TRIM(Raw_Data!L443))))</f>
        <v>Active</v>
      </c>
      <c r="O443" s="13" t="str">
        <f aca="false">IF(M443=0,"",IF(TRIM(Raw_Data!M443)="","Not Recorded",TRIM(Raw_Data!M443)))</f>
        <v/>
      </c>
      <c r="P443" s="16" t="n">
        <f aca="false">ROUND((IF(C443="",AsOfDate,C443)-B443)/365.25,2)</f>
        <v>9.79</v>
      </c>
      <c r="Q443" s="13" t="str">
        <f aca="false">IF(D443="","Unknown",IF(D443&lt;25,"Under 25",IF(D443&lt;35,"25-34",IF(D443&lt;45,"35-44",IF(D443&lt;55,"45-54","55+")))))</f>
        <v>35-44</v>
      </c>
      <c r="R443" s="13" t="str">
        <f aca="false">IF(P443&lt;1,"0-1 yrs",IF(P443&lt;3,"1-3 yrs",IF(P443&lt;5,"3-5 yrs",IF(P443&lt;10,"5-10 yrs","10+ yrs"))))</f>
        <v>5-10 yrs</v>
      </c>
      <c r="S443" s="13" t="str">
        <f aca="false">IF(I443&gt;=4,"High",IF(I443=3,"Medium","Low"))</f>
        <v>Medium</v>
      </c>
      <c r="T443" s="13" t="str">
        <f aca="false">IF(M443=1,YEAR(C443),"")</f>
        <v/>
      </c>
      <c r="U443" s="13" t="str">
        <f aca="false">IF(M443=1,YEAR(C443)&amp;"-Q"&amp;ROUNDUP(MONTH(C443)/3,0),"")</f>
        <v/>
      </c>
      <c r="V443" s="13" t="str">
        <f aca="false">IF(M443=1,MONTH(C443),"")</f>
        <v/>
      </c>
    </row>
    <row r="444" customFormat="false" ht="15" hidden="false" customHeight="false" outlineLevel="0" collapsed="false">
      <c r="A444" s="13" t="str">
        <f aca="false">TRIM(Raw_Data!A444)</f>
        <v>EMP0443</v>
      </c>
      <c r="B444" s="14" t="n">
        <f aca="false">Raw_Data!B444</f>
        <v>42447</v>
      </c>
      <c r="C444" s="14" t="str">
        <f aca="false">IF(Raw_Data!C444="","",Raw_Data!C444)</f>
        <v/>
      </c>
      <c r="D444" s="13" t="n">
        <f aca="false">IF(Raw_Data!D444="","",Raw_Data!D444)</f>
        <v>37</v>
      </c>
      <c r="E444" s="13" t="str">
        <f aca="false">IF(UPPER(LEFT(TRIM(Raw_Data!E444),1))="M","Male",IF(UPPER(LEFT(TRIM(Raw_Data!E444),1))="F","Female","Unknown"))</f>
        <v>Female</v>
      </c>
      <c r="F444" s="13" t="str">
        <f aca="false">PROPER(TRIM(SUBSTITUTE(Raw_Data!F444,"'","")))</f>
        <v>Bachelors</v>
      </c>
      <c r="G444" s="13" t="str">
        <f aca="false">PROPER(TRIM(Raw_Data!G444))</f>
        <v>Operations</v>
      </c>
      <c r="H444" s="13" t="str">
        <f aca="false">PROPER(TRIM(Raw_Data!H444))</f>
        <v>Specialist</v>
      </c>
      <c r="I444" s="13" t="n">
        <f aca="false">IF(Raw_Data!I444="",DefaultPerf,Raw_Data!I444)</f>
        <v>3</v>
      </c>
      <c r="J444" s="13" t="n">
        <f aca="false">IF(Raw_Data!J444="",DefaultSat,Raw_Data!J444)</f>
        <v>3</v>
      </c>
      <c r="K444" s="15" t="n">
        <f aca="false">Raw_Data!K444</f>
        <v>113000</v>
      </c>
      <c r="L444" s="13" t="str">
        <f aca="false">PROPER(TRIM(Raw_Data!N444))</f>
        <v>No</v>
      </c>
      <c r="M444" s="13" t="n">
        <f aca="false">IF(C444="",0,1)</f>
        <v>0</v>
      </c>
      <c r="N444" s="13" t="str">
        <f aca="false">IF(M444=0,"Active",IF(TRIM(Raw_Data!L444)="","Unknown",PROPER(TRIM(Raw_Data!L444))))</f>
        <v>Active</v>
      </c>
      <c r="O444" s="13" t="str">
        <f aca="false">IF(M444=0,"",IF(TRIM(Raw_Data!M444)="","Not Recorded",TRIM(Raw_Data!M444)))</f>
        <v/>
      </c>
      <c r="P444" s="16" t="n">
        <f aca="false">ROUND((IF(C444="",AsOfDate,C444)-B444)/365.25,2)</f>
        <v>9.79</v>
      </c>
      <c r="Q444" s="13" t="str">
        <f aca="false">IF(D444="","Unknown",IF(D444&lt;25,"Under 25",IF(D444&lt;35,"25-34",IF(D444&lt;45,"35-44",IF(D444&lt;55,"45-54","55+")))))</f>
        <v>35-44</v>
      </c>
      <c r="R444" s="13" t="str">
        <f aca="false">IF(P444&lt;1,"0-1 yrs",IF(P444&lt;3,"1-3 yrs",IF(P444&lt;5,"3-5 yrs",IF(P444&lt;10,"5-10 yrs","10+ yrs"))))</f>
        <v>5-10 yrs</v>
      </c>
      <c r="S444" s="13" t="str">
        <f aca="false">IF(I444&gt;=4,"High",IF(I444=3,"Medium","Low"))</f>
        <v>Medium</v>
      </c>
      <c r="T444" s="13" t="str">
        <f aca="false">IF(M444=1,YEAR(C444),"")</f>
        <v/>
      </c>
      <c r="U444" s="13" t="str">
        <f aca="false">IF(M444=1,YEAR(C444)&amp;"-Q"&amp;ROUNDUP(MONTH(C444)/3,0),"")</f>
        <v/>
      </c>
      <c r="V444" s="13" t="str">
        <f aca="false">IF(M444=1,MONTH(C444),"")</f>
        <v/>
      </c>
    </row>
    <row r="445" customFormat="false" ht="15" hidden="false" customHeight="false" outlineLevel="0" collapsed="false">
      <c r="A445" s="13" t="str">
        <f aca="false">TRIM(Raw_Data!A445)</f>
        <v>EMP0444</v>
      </c>
      <c r="B445" s="14" t="n">
        <f aca="false">Raw_Data!B445</f>
        <v>42450</v>
      </c>
      <c r="C445" s="14" t="n">
        <f aca="false">IF(Raw_Data!C445="","",Raw_Data!C445)</f>
        <v>45046</v>
      </c>
      <c r="D445" s="13" t="n">
        <f aca="false">IF(Raw_Data!D445="","",Raw_Data!D445)</f>
        <v>36</v>
      </c>
      <c r="E445" s="13" t="str">
        <f aca="false">IF(UPPER(LEFT(TRIM(Raw_Data!E445),1))="M","Male",IF(UPPER(LEFT(TRIM(Raw_Data!E445),1))="F","Female","Unknown"))</f>
        <v>Male</v>
      </c>
      <c r="F445" s="13" t="str">
        <f aca="false">PROPER(TRIM(SUBSTITUTE(Raw_Data!F445,"'","")))</f>
        <v>Bachelors</v>
      </c>
      <c r="G445" s="13" t="str">
        <f aca="false">PROPER(TRIM(Raw_Data!G445))</f>
        <v>Sales</v>
      </c>
      <c r="H445" s="13" t="str">
        <f aca="false">PROPER(TRIM(Raw_Data!H445))</f>
        <v>Associate</v>
      </c>
      <c r="I445" s="13" t="n">
        <f aca="false">IF(Raw_Data!I445="",DefaultPerf,Raw_Data!I445)</f>
        <v>4</v>
      </c>
      <c r="J445" s="13" t="n">
        <f aca="false">IF(Raw_Data!J445="",DefaultSat,Raw_Data!J445)</f>
        <v>2</v>
      </c>
      <c r="K445" s="15" t="n">
        <f aca="false">Raw_Data!K445</f>
        <v>44000</v>
      </c>
      <c r="L445" s="13" t="str">
        <f aca="false">PROPER(TRIM(Raw_Data!N445))</f>
        <v>Yes</v>
      </c>
      <c r="M445" s="13" t="n">
        <f aca="false">IF(C445="",0,1)</f>
        <v>1</v>
      </c>
      <c r="N445" s="13" t="str">
        <f aca="false">IF(M445=0,"Active",IF(TRIM(Raw_Data!L445)="","Unknown",PROPER(TRIM(Raw_Data!L445))))</f>
        <v>Unknown</v>
      </c>
      <c r="O445" s="13" t="str">
        <f aca="false">IF(M445=0,"",IF(TRIM(Raw_Data!M445)="","Not Recorded",TRIM(Raw_Data!M445)))</f>
        <v>Career Growth</v>
      </c>
      <c r="P445" s="16" t="n">
        <f aca="false">ROUND((IF(C445="",AsOfDate,C445)-B445)/365.25,2)</f>
        <v>7.11</v>
      </c>
      <c r="Q445" s="13" t="str">
        <f aca="false">IF(D445="","Unknown",IF(D445&lt;25,"Under 25",IF(D445&lt;35,"25-34",IF(D445&lt;45,"35-44",IF(D445&lt;55,"45-54","55+")))))</f>
        <v>35-44</v>
      </c>
      <c r="R445" s="13" t="str">
        <f aca="false">IF(P445&lt;1,"0-1 yrs",IF(P445&lt;3,"1-3 yrs",IF(P445&lt;5,"3-5 yrs",IF(P445&lt;10,"5-10 yrs","10+ yrs"))))</f>
        <v>5-10 yrs</v>
      </c>
      <c r="S445" s="13" t="str">
        <f aca="false">IF(I445&gt;=4,"High",IF(I445=3,"Medium","Low"))</f>
        <v>High</v>
      </c>
      <c r="T445" s="13" t="n">
        <f aca="false">IF(M445=1,YEAR(C445),"")</f>
        <v>2023</v>
      </c>
      <c r="U445" s="13" t="str">
        <f aca="false">IF(M445=1,YEAR(C445)&amp;"-Q"&amp;ROUNDUP(MONTH(C445)/3,0),"")</f>
        <v>2023-Q2</v>
      </c>
      <c r="V445" s="13" t="n">
        <f aca="false">IF(M445=1,MONTH(C445),"")</f>
        <v>4</v>
      </c>
    </row>
    <row r="446" customFormat="false" ht="15" hidden="false" customHeight="false" outlineLevel="0" collapsed="false">
      <c r="A446" s="13" t="str">
        <f aca="false">TRIM(Raw_Data!A446)</f>
        <v>EMP0445</v>
      </c>
      <c r="B446" s="14" t="n">
        <f aca="false">Raw_Data!B446</f>
        <v>42454</v>
      </c>
      <c r="C446" s="14" t="str">
        <f aca="false">IF(Raw_Data!C446="","",Raw_Data!C446)</f>
        <v/>
      </c>
      <c r="D446" s="13" t="n">
        <f aca="false">IF(Raw_Data!D446="","",Raw_Data!D446)</f>
        <v>35</v>
      </c>
      <c r="E446" s="13" t="str">
        <f aca="false">IF(UPPER(LEFT(TRIM(Raw_Data!E446),1))="M","Male",IF(UPPER(LEFT(TRIM(Raw_Data!E446),1))="F","Female","Unknown"))</f>
        <v>Male</v>
      </c>
      <c r="F446" s="13" t="str">
        <f aca="false">PROPER(TRIM(SUBSTITUTE(Raw_Data!F446,"'","")))</f>
        <v>Bachelors</v>
      </c>
      <c r="G446" s="13" t="str">
        <f aca="false">PROPER(TRIM(Raw_Data!G446))</f>
        <v>Operations</v>
      </c>
      <c r="H446" s="13" t="str">
        <f aca="false">PROPER(TRIM(Raw_Data!H446))</f>
        <v>Specialist</v>
      </c>
      <c r="I446" s="13" t="n">
        <f aca="false">IF(Raw_Data!I446="",DefaultPerf,Raw_Data!I446)</f>
        <v>3</v>
      </c>
      <c r="J446" s="13" t="n">
        <f aca="false">IF(Raw_Data!J446="",DefaultSat,Raw_Data!J446)</f>
        <v>2</v>
      </c>
      <c r="K446" s="15" t="n">
        <f aca="false">Raw_Data!K446</f>
        <v>130000</v>
      </c>
      <c r="L446" s="13" t="str">
        <f aca="false">PROPER(TRIM(Raw_Data!N446))</f>
        <v>Yes</v>
      </c>
      <c r="M446" s="13" t="n">
        <f aca="false">IF(C446="",0,1)</f>
        <v>0</v>
      </c>
      <c r="N446" s="13" t="str">
        <f aca="false">IF(M446=0,"Active",IF(TRIM(Raw_Data!L446)="","Unknown",PROPER(TRIM(Raw_Data!L446))))</f>
        <v>Active</v>
      </c>
      <c r="O446" s="13" t="str">
        <f aca="false">IF(M446=0,"",IF(TRIM(Raw_Data!M446)="","Not Recorded",TRIM(Raw_Data!M446)))</f>
        <v/>
      </c>
      <c r="P446" s="16" t="n">
        <f aca="false">ROUND((IF(C446="",AsOfDate,C446)-B446)/365.25,2)</f>
        <v>9.77</v>
      </c>
      <c r="Q446" s="13" t="str">
        <f aca="false">IF(D446="","Unknown",IF(D446&lt;25,"Under 25",IF(D446&lt;35,"25-34",IF(D446&lt;45,"35-44",IF(D446&lt;55,"45-54","55+")))))</f>
        <v>35-44</v>
      </c>
      <c r="R446" s="13" t="str">
        <f aca="false">IF(P446&lt;1,"0-1 yrs",IF(P446&lt;3,"1-3 yrs",IF(P446&lt;5,"3-5 yrs",IF(P446&lt;10,"5-10 yrs","10+ yrs"))))</f>
        <v>5-10 yrs</v>
      </c>
      <c r="S446" s="13" t="str">
        <f aca="false">IF(I446&gt;=4,"High",IF(I446=3,"Medium","Low"))</f>
        <v>Medium</v>
      </c>
      <c r="T446" s="13" t="str">
        <f aca="false">IF(M446=1,YEAR(C446),"")</f>
        <v/>
      </c>
      <c r="U446" s="13" t="str">
        <f aca="false">IF(M446=1,YEAR(C446)&amp;"-Q"&amp;ROUNDUP(MONTH(C446)/3,0),"")</f>
        <v/>
      </c>
      <c r="V446" s="13" t="str">
        <f aca="false">IF(M446=1,MONTH(C446),"")</f>
        <v/>
      </c>
    </row>
    <row r="447" customFormat="false" ht="15" hidden="false" customHeight="false" outlineLevel="0" collapsed="false">
      <c r="A447" s="13" t="str">
        <f aca="false">TRIM(Raw_Data!A447)</f>
        <v>EMP0446</v>
      </c>
      <c r="B447" s="14" t="n">
        <f aca="false">Raw_Data!B447</f>
        <v>42463</v>
      </c>
      <c r="C447" s="14" t="str">
        <f aca="false">IF(Raw_Data!C447="","",Raw_Data!C447)</f>
        <v/>
      </c>
      <c r="D447" s="13" t="n">
        <f aca="false">IF(Raw_Data!D447="","",Raw_Data!D447)</f>
        <v>44</v>
      </c>
      <c r="E447" s="13" t="str">
        <f aca="false">IF(UPPER(LEFT(TRIM(Raw_Data!E447),1))="M","Male",IF(UPPER(LEFT(TRIM(Raw_Data!E447),1))="F","Female","Unknown"))</f>
        <v>Male</v>
      </c>
      <c r="F447" s="13" t="str">
        <f aca="false">PROPER(TRIM(SUBSTITUTE(Raw_Data!F447,"'","")))</f>
        <v>Bachelors</v>
      </c>
      <c r="G447" s="13" t="str">
        <f aca="false">PROPER(TRIM(Raw_Data!G447))</f>
        <v>Operations</v>
      </c>
      <c r="H447" s="13" t="str">
        <f aca="false">PROPER(TRIM(Raw_Data!H447))</f>
        <v>Team Lead</v>
      </c>
      <c r="I447" s="13" t="n">
        <f aca="false">IF(Raw_Data!I447="",DefaultPerf,Raw_Data!I447)</f>
        <v>3</v>
      </c>
      <c r="J447" s="13" t="n">
        <f aca="false">IF(Raw_Data!J447="",DefaultSat,Raw_Data!J447)</f>
        <v>3</v>
      </c>
      <c r="K447" s="15" t="n">
        <f aca="false">Raw_Data!K447</f>
        <v>129000</v>
      </c>
      <c r="L447" s="13" t="str">
        <f aca="false">PROPER(TRIM(Raw_Data!N447))</f>
        <v>Yes</v>
      </c>
      <c r="M447" s="13" t="n">
        <f aca="false">IF(C447="",0,1)</f>
        <v>0</v>
      </c>
      <c r="N447" s="13" t="str">
        <f aca="false">IF(M447=0,"Active",IF(TRIM(Raw_Data!L447)="","Unknown",PROPER(TRIM(Raw_Data!L447))))</f>
        <v>Active</v>
      </c>
      <c r="O447" s="13" t="str">
        <f aca="false">IF(M447=0,"",IF(TRIM(Raw_Data!M447)="","Not Recorded",TRIM(Raw_Data!M447)))</f>
        <v/>
      </c>
      <c r="P447" s="16" t="n">
        <f aca="false">ROUND((IF(C447="",AsOfDate,C447)-B447)/365.25,2)</f>
        <v>9.74</v>
      </c>
      <c r="Q447" s="13" t="str">
        <f aca="false">IF(D447="","Unknown",IF(D447&lt;25,"Under 25",IF(D447&lt;35,"25-34",IF(D447&lt;45,"35-44",IF(D447&lt;55,"45-54","55+")))))</f>
        <v>35-44</v>
      </c>
      <c r="R447" s="13" t="str">
        <f aca="false">IF(P447&lt;1,"0-1 yrs",IF(P447&lt;3,"1-3 yrs",IF(P447&lt;5,"3-5 yrs",IF(P447&lt;10,"5-10 yrs","10+ yrs"))))</f>
        <v>5-10 yrs</v>
      </c>
      <c r="S447" s="13" t="str">
        <f aca="false">IF(I447&gt;=4,"High",IF(I447=3,"Medium","Low"))</f>
        <v>Medium</v>
      </c>
      <c r="T447" s="13" t="str">
        <f aca="false">IF(M447=1,YEAR(C447),"")</f>
        <v/>
      </c>
      <c r="U447" s="13" t="str">
        <f aca="false">IF(M447=1,YEAR(C447)&amp;"-Q"&amp;ROUNDUP(MONTH(C447)/3,0),"")</f>
        <v/>
      </c>
      <c r="V447" s="13" t="str">
        <f aca="false">IF(M447=1,MONTH(C447),"")</f>
        <v/>
      </c>
    </row>
    <row r="448" customFormat="false" ht="15" hidden="false" customHeight="false" outlineLevel="0" collapsed="false">
      <c r="A448" s="13" t="str">
        <f aca="false">TRIM(Raw_Data!A448)</f>
        <v>EMP0447</v>
      </c>
      <c r="B448" s="14" t="n">
        <f aca="false">Raw_Data!B448</f>
        <v>42466</v>
      </c>
      <c r="C448" s="14" t="str">
        <f aca="false">IF(Raw_Data!C448="","",Raw_Data!C448)</f>
        <v/>
      </c>
      <c r="D448" s="13" t="n">
        <f aca="false">IF(Raw_Data!D448="","",Raw_Data!D448)</f>
        <v>36</v>
      </c>
      <c r="E448" s="13" t="str">
        <f aca="false">IF(UPPER(LEFT(TRIM(Raw_Data!E448),1))="M","Male",IF(UPPER(LEFT(TRIM(Raw_Data!E448),1))="F","Female","Unknown"))</f>
        <v>Male</v>
      </c>
      <c r="F448" s="13" t="str">
        <f aca="false">PROPER(TRIM(SUBSTITUTE(Raw_Data!F448,"'","")))</f>
        <v>Bachelors</v>
      </c>
      <c r="G448" s="13" t="str">
        <f aca="false">PROPER(TRIM(Raw_Data!G448))</f>
        <v>Operations</v>
      </c>
      <c r="H448" s="13" t="str">
        <f aca="false">PROPER(TRIM(Raw_Data!H448))</f>
        <v>Team Lead</v>
      </c>
      <c r="I448" s="13" t="n">
        <f aca="false">IF(Raw_Data!I448="",DefaultPerf,Raw_Data!I448)</f>
        <v>4</v>
      </c>
      <c r="J448" s="13" t="n">
        <f aca="false">IF(Raw_Data!J448="",DefaultSat,Raw_Data!J448)</f>
        <v>4</v>
      </c>
      <c r="K448" s="15" t="n">
        <f aca="false">Raw_Data!K448</f>
        <v>198000</v>
      </c>
      <c r="L448" s="13" t="str">
        <f aca="false">PROPER(TRIM(Raw_Data!N448))</f>
        <v>No</v>
      </c>
      <c r="M448" s="13" t="n">
        <f aca="false">IF(C448="",0,1)</f>
        <v>0</v>
      </c>
      <c r="N448" s="13" t="str">
        <f aca="false">IF(M448=0,"Active",IF(TRIM(Raw_Data!L448)="","Unknown",PROPER(TRIM(Raw_Data!L448))))</f>
        <v>Active</v>
      </c>
      <c r="O448" s="13" t="str">
        <f aca="false">IF(M448=0,"",IF(TRIM(Raw_Data!M448)="","Not Recorded",TRIM(Raw_Data!M448)))</f>
        <v/>
      </c>
      <c r="P448" s="16" t="n">
        <f aca="false">ROUND((IF(C448="",AsOfDate,C448)-B448)/365.25,2)</f>
        <v>9.74</v>
      </c>
      <c r="Q448" s="13" t="str">
        <f aca="false">IF(D448="","Unknown",IF(D448&lt;25,"Under 25",IF(D448&lt;35,"25-34",IF(D448&lt;45,"35-44",IF(D448&lt;55,"45-54","55+")))))</f>
        <v>35-44</v>
      </c>
      <c r="R448" s="13" t="str">
        <f aca="false">IF(P448&lt;1,"0-1 yrs",IF(P448&lt;3,"1-3 yrs",IF(P448&lt;5,"3-5 yrs",IF(P448&lt;10,"5-10 yrs","10+ yrs"))))</f>
        <v>5-10 yrs</v>
      </c>
      <c r="S448" s="13" t="str">
        <f aca="false">IF(I448&gt;=4,"High",IF(I448=3,"Medium","Low"))</f>
        <v>High</v>
      </c>
      <c r="T448" s="13" t="str">
        <f aca="false">IF(M448=1,YEAR(C448),"")</f>
        <v/>
      </c>
      <c r="U448" s="13" t="str">
        <f aca="false">IF(M448=1,YEAR(C448)&amp;"-Q"&amp;ROUNDUP(MONTH(C448)/3,0),"")</f>
        <v/>
      </c>
      <c r="V448" s="13" t="str">
        <f aca="false">IF(M448=1,MONTH(C448),"")</f>
        <v/>
      </c>
    </row>
    <row r="449" customFormat="false" ht="15" hidden="false" customHeight="false" outlineLevel="0" collapsed="false">
      <c r="A449" s="13" t="str">
        <f aca="false">TRIM(Raw_Data!A449)</f>
        <v>EMP0448</v>
      </c>
      <c r="B449" s="14" t="n">
        <f aca="false">Raw_Data!B449</f>
        <v>42475</v>
      </c>
      <c r="C449" s="14" t="str">
        <f aca="false">IF(Raw_Data!C449="","",Raw_Data!C449)</f>
        <v/>
      </c>
      <c r="D449" s="13" t="n">
        <f aca="false">IF(Raw_Data!D449="","",Raw_Data!D449)</f>
        <v>41</v>
      </c>
      <c r="E449" s="13" t="str">
        <f aca="false">IF(UPPER(LEFT(TRIM(Raw_Data!E449),1))="M","Male",IF(UPPER(LEFT(TRIM(Raw_Data!E449),1))="F","Female","Unknown"))</f>
        <v>Male</v>
      </c>
      <c r="F449" s="13" t="str">
        <f aca="false">PROPER(TRIM(SUBSTITUTE(Raw_Data!F449,"'","")))</f>
        <v>Masters</v>
      </c>
      <c r="G449" s="13" t="str">
        <f aca="false">PROPER(TRIM(Raw_Data!G449))</f>
        <v>Engineering</v>
      </c>
      <c r="H449" s="13" t="str">
        <f aca="false">PROPER(TRIM(Raw_Data!H449))</f>
        <v>Team Lead</v>
      </c>
      <c r="I449" s="13" t="n">
        <f aca="false">IF(Raw_Data!I449="",DefaultPerf,Raw_Data!I449)</f>
        <v>4</v>
      </c>
      <c r="J449" s="13" t="n">
        <f aca="false">IF(Raw_Data!J449="",DefaultSat,Raw_Data!J449)</f>
        <v>3</v>
      </c>
      <c r="K449" s="15" t="n">
        <f aca="false">Raw_Data!K449</f>
        <v>141000</v>
      </c>
      <c r="L449" s="13" t="str">
        <f aca="false">PROPER(TRIM(Raw_Data!N449))</f>
        <v>No</v>
      </c>
      <c r="M449" s="13" t="n">
        <f aca="false">IF(C449="",0,1)</f>
        <v>0</v>
      </c>
      <c r="N449" s="13" t="str">
        <f aca="false">IF(M449=0,"Active",IF(TRIM(Raw_Data!L449)="","Unknown",PROPER(TRIM(Raw_Data!L449))))</f>
        <v>Active</v>
      </c>
      <c r="O449" s="13" t="str">
        <f aca="false">IF(M449=0,"",IF(TRIM(Raw_Data!M449)="","Not Recorded",TRIM(Raw_Data!M449)))</f>
        <v/>
      </c>
      <c r="P449" s="16" t="n">
        <f aca="false">ROUND((IF(C449="",AsOfDate,C449)-B449)/365.25,2)</f>
        <v>9.71</v>
      </c>
      <c r="Q449" s="13" t="str">
        <f aca="false">IF(D449="","Unknown",IF(D449&lt;25,"Under 25",IF(D449&lt;35,"25-34",IF(D449&lt;45,"35-44",IF(D449&lt;55,"45-54","55+")))))</f>
        <v>35-44</v>
      </c>
      <c r="R449" s="13" t="str">
        <f aca="false">IF(P449&lt;1,"0-1 yrs",IF(P449&lt;3,"1-3 yrs",IF(P449&lt;5,"3-5 yrs",IF(P449&lt;10,"5-10 yrs","10+ yrs"))))</f>
        <v>5-10 yrs</v>
      </c>
      <c r="S449" s="13" t="str">
        <f aca="false">IF(I449&gt;=4,"High",IF(I449=3,"Medium","Low"))</f>
        <v>High</v>
      </c>
      <c r="T449" s="13" t="str">
        <f aca="false">IF(M449=1,YEAR(C449),"")</f>
        <v/>
      </c>
      <c r="U449" s="13" t="str">
        <f aca="false">IF(M449=1,YEAR(C449)&amp;"-Q"&amp;ROUNDUP(MONTH(C449)/3,0),"")</f>
        <v/>
      </c>
      <c r="V449" s="13" t="str">
        <f aca="false">IF(M449=1,MONTH(C449),"")</f>
        <v/>
      </c>
    </row>
    <row r="450" customFormat="false" ht="15" hidden="false" customHeight="false" outlineLevel="0" collapsed="false">
      <c r="A450" s="13" t="str">
        <f aca="false">TRIM(Raw_Data!A450)</f>
        <v>EMP0449</v>
      </c>
      <c r="B450" s="14" t="n">
        <f aca="false">Raw_Data!B450</f>
        <v>42484</v>
      </c>
      <c r="C450" s="14" t="n">
        <f aca="false">IF(Raw_Data!C450="","",Raw_Data!C450)</f>
        <v>45458</v>
      </c>
      <c r="D450" s="13" t="n">
        <f aca="false">IF(Raw_Data!D450="","",Raw_Data!D450)</f>
        <v>32</v>
      </c>
      <c r="E450" s="13" t="str">
        <f aca="false">IF(UPPER(LEFT(TRIM(Raw_Data!E450),1))="M","Male",IF(UPPER(LEFT(TRIM(Raw_Data!E450),1))="F","Female","Unknown"))</f>
        <v>Male</v>
      </c>
      <c r="F450" s="13" t="str">
        <f aca="false">PROPER(TRIM(SUBSTITUTE(Raw_Data!F450,"'","")))</f>
        <v>Bachelors</v>
      </c>
      <c r="G450" s="13" t="str">
        <f aca="false">PROPER(TRIM(Raw_Data!G450))</f>
        <v>Operations</v>
      </c>
      <c r="H450" s="13" t="str">
        <f aca="false">PROPER(TRIM(Raw_Data!H450))</f>
        <v>Analyst</v>
      </c>
      <c r="I450" s="13" t="n">
        <f aca="false">IF(Raw_Data!I450="",DefaultPerf,Raw_Data!I450)</f>
        <v>2</v>
      </c>
      <c r="J450" s="13" t="n">
        <f aca="false">IF(Raw_Data!J450="",DefaultSat,Raw_Data!J450)</f>
        <v>3</v>
      </c>
      <c r="K450" s="15" t="n">
        <f aca="false">Raw_Data!K450</f>
        <v>84500</v>
      </c>
      <c r="L450" s="13" t="str">
        <f aca="false">PROPER(TRIM(Raw_Data!N450))</f>
        <v>No</v>
      </c>
      <c r="M450" s="13" t="n">
        <f aca="false">IF(C450="",0,1)</f>
        <v>1</v>
      </c>
      <c r="N450" s="13" t="str">
        <f aca="false">IF(M450=0,"Active",IF(TRIM(Raw_Data!L450)="","Unknown",PROPER(TRIM(Raw_Data!L450))))</f>
        <v>Voluntary</v>
      </c>
      <c r="O450" s="13" t="str">
        <f aca="false">IF(M450=0,"",IF(TRIM(Raw_Data!M450)="","Not Recorded",TRIM(Raw_Data!M450)))</f>
        <v>Better Compensation</v>
      </c>
      <c r="P450" s="16" t="n">
        <f aca="false">ROUND((IF(C450="",AsOfDate,C450)-B450)/365.25,2)</f>
        <v>8.14</v>
      </c>
      <c r="Q450" s="13" t="str">
        <f aca="false">IF(D450="","Unknown",IF(D450&lt;25,"Under 25",IF(D450&lt;35,"25-34",IF(D450&lt;45,"35-44",IF(D450&lt;55,"45-54","55+")))))</f>
        <v>25-34</v>
      </c>
      <c r="R450" s="13" t="str">
        <f aca="false">IF(P450&lt;1,"0-1 yrs",IF(P450&lt;3,"1-3 yrs",IF(P450&lt;5,"3-5 yrs",IF(P450&lt;10,"5-10 yrs","10+ yrs"))))</f>
        <v>5-10 yrs</v>
      </c>
      <c r="S450" s="13" t="str">
        <f aca="false">IF(I450&gt;=4,"High",IF(I450=3,"Medium","Low"))</f>
        <v>Low</v>
      </c>
      <c r="T450" s="13" t="n">
        <f aca="false">IF(M450=1,YEAR(C450),"")</f>
        <v>2024</v>
      </c>
      <c r="U450" s="13" t="str">
        <f aca="false">IF(M450=1,YEAR(C450)&amp;"-Q"&amp;ROUNDUP(MONTH(C450)/3,0),"")</f>
        <v>2024-Q2</v>
      </c>
      <c r="V450" s="13" t="n">
        <f aca="false">IF(M450=1,MONTH(C450),"")</f>
        <v>6</v>
      </c>
    </row>
    <row r="451" customFormat="false" ht="15" hidden="false" customHeight="false" outlineLevel="0" collapsed="false">
      <c r="A451" s="13" t="str">
        <f aca="false">TRIM(Raw_Data!A451)</f>
        <v>EMP0450</v>
      </c>
      <c r="B451" s="14" t="n">
        <f aca="false">Raw_Data!B451</f>
        <v>42492</v>
      </c>
      <c r="C451" s="14" t="n">
        <f aca="false">IF(Raw_Data!C451="","",Raw_Data!C451)</f>
        <v>44566</v>
      </c>
      <c r="D451" s="13" t="n">
        <f aca="false">IF(Raw_Data!D451="","",Raw_Data!D451)</f>
        <v>38</v>
      </c>
      <c r="E451" s="13" t="str">
        <f aca="false">IF(UPPER(LEFT(TRIM(Raw_Data!E451),1))="M","Male",IF(UPPER(LEFT(TRIM(Raw_Data!E451),1))="F","Female","Unknown"))</f>
        <v>Male</v>
      </c>
      <c r="F451" s="13" t="str">
        <f aca="false">PROPER(TRIM(SUBSTITUTE(Raw_Data!F451,"'","")))</f>
        <v>Masters</v>
      </c>
      <c r="G451" s="13" t="str">
        <f aca="false">PROPER(TRIM(Raw_Data!G451))</f>
        <v>Sales</v>
      </c>
      <c r="H451" s="13" t="str">
        <f aca="false">PROPER(TRIM(Raw_Data!H451))</f>
        <v>Associate</v>
      </c>
      <c r="I451" s="13" t="n">
        <f aca="false">IF(Raw_Data!I451="",DefaultPerf,Raw_Data!I451)</f>
        <v>3</v>
      </c>
      <c r="J451" s="13" t="n">
        <f aca="false">IF(Raw_Data!J451="",DefaultSat,Raw_Data!J451)</f>
        <v>1</v>
      </c>
      <c r="K451" s="15" t="n">
        <f aca="false">Raw_Data!K451</f>
        <v>39500</v>
      </c>
      <c r="L451" s="13" t="str">
        <f aca="false">PROPER(TRIM(Raw_Data!N451))</f>
        <v>No</v>
      </c>
      <c r="M451" s="13" t="n">
        <f aca="false">IF(C451="",0,1)</f>
        <v>1</v>
      </c>
      <c r="N451" s="13" t="str">
        <f aca="false">IF(M451=0,"Active",IF(TRIM(Raw_Data!L451)="","Unknown",PROPER(TRIM(Raw_Data!L451))))</f>
        <v>Voluntary</v>
      </c>
      <c r="O451" s="13" t="str">
        <f aca="false">IF(M451=0,"",IF(TRIM(Raw_Data!M451)="","Not Recorded",TRIM(Raw_Data!M451)))</f>
        <v>Personal Reasons</v>
      </c>
      <c r="P451" s="16" t="n">
        <f aca="false">ROUND((IF(C451="",AsOfDate,C451)-B451)/365.25,2)</f>
        <v>5.68</v>
      </c>
      <c r="Q451" s="13" t="str">
        <f aca="false">IF(D451="","Unknown",IF(D451&lt;25,"Under 25",IF(D451&lt;35,"25-34",IF(D451&lt;45,"35-44",IF(D451&lt;55,"45-54","55+")))))</f>
        <v>35-44</v>
      </c>
      <c r="R451" s="13" t="str">
        <f aca="false">IF(P451&lt;1,"0-1 yrs",IF(P451&lt;3,"1-3 yrs",IF(P451&lt;5,"3-5 yrs",IF(P451&lt;10,"5-10 yrs","10+ yrs"))))</f>
        <v>5-10 yrs</v>
      </c>
      <c r="S451" s="13" t="str">
        <f aca="false">IF(I451&gt;=4,"High",IF(I451=3,"Medium","Low"))</f>
        <v>Medium</v>
      </c>
      <c r="T451" s="13" t="n">
        <f aca="false">IF(M451=1,YEAR(C451),"")</f>
        <v>2022</v>
      </c>
      <c r="U451" s="13" t="str">
        <f aca="false">IF(M451=1,YEAR(C451)&amp;"-Q"&amp;ROUNDUP(MONTH(C451)/3,0),"")</f>
        <v>2022-Q1</v>
      </c>
      <c r="V451" s="13" t="n">
        <f aca="false">IF(M451=1,MONTH(C451),"")</f>
        <v>1</v>
      </c>
    </row>
    <row r="452" customFormat="false" ht="15" hidden="false" customHeight="false" outlineLevel="0" collapsed="false">
      <c r="A452" s="13" t="str">
        <f aca="false">TRIM(Raw_Data!A452)</f>
        <v>EMP0451</v>
      </c>
      <c r="B452" s="14" t="n">
        <f aca="false">Raw_Data!B452</f>
        <v>42494</v>
      </c>
      <c r="C452" s="14" t="str">
        <f aca="false">IF(Raw_Data!C452="","",Raw_Data!C452)</f>
        <v/>
      </c>
      <c r="D452" s="13" t="n">
        <f aca="false">IF(Raw_Data!D452="","",Raw_Data!D452)</f>
        <v>42</v>
      </c>
      <c r="E452" s="13" t="str">
        <f aca="false">IF(UPPER(LEFT(TRIM(Raw_Data!E452),1))="M","Male",IF(UPPER(LEFT(TRIM(Raw_Data!E452),1))="F","Female","Unknown"))</f>
        <v>Male</v>
      </c>
      <c r="F452" s="13" t="str">
        <f aca="false">PROPER(TRIM(SUBSTITUTE(Raw_Data!F452,"'","")))</f>
        <v>Diploma</v>
      </c>
      <c r="G452" s="13" t="str">
        <f aca="false">PROPER(TRIM(Raw_Data!G452))</f>
        <v>Engineering</v>
      </c>
      <c r="H452" s="13" t="str">
        <f aca="false">PROPER(TRIM(Raw_Data!H452))</f>
        <v>Analyst</v>
      </c>
      <c r="I452" s="13" t="n">
        <f aca="false">IF(Raw_Data!I452="",DefaultPerf,Raw_Data!I452)</f>
        <v>4</v>
      </c>
      <c r="J452" s="13" t="n">
        <f aca="false">IF(Raw_Data!J452="",DefaultSat,Raw_Data!J452)</f>
        <v>4</v>
      </c>
      <c r="K452" s="15" t="n">
        <f aca="false">Raw_Data!K452</f>
        <v>70500</v>
      </c>
      <c r="L452" s="13" t="str">
        <f aca="false">PROPER(TRIM(Raw_Data!N452))</f>
        <v>No</v>
      </c>
      <c r="M452" s="13" t="n">
        <f aca="false">IF(C452="",0,1)</f>
        <v>0</v>
      </c>
      <c r="N452" s="13" t="str">
        <f aca="false">IF(M452=0,"Active",IF(TRIM(Raw_Data!L452)="","Unknown",PROPER(TRIM(Raw_Data!L452))))</f>
        <v>Active</v>
      </c>
      <c r="O452" s="13" t="str">
        <f aca="false">IF(M452=0,"",IF(TRIM(Raw_Data!M452)="","Not Recorded",TRIM(Raw_Data!M452)))</f>
        <v/>
      </c>
      <c r="P452" s="16" t="n">
        <f aca="false">ROUND((IF(C452="",AsOfDate,C452)-B452)/365.25,2)</f>
        <v>9.66</v>
      </c>
      <c r="Q452" s="13" t="str">
        <f aca="false">IF(D452="","Unknown",IF(D452&lt;25,"Under 25",IF(D452&lt;35,"25-34",IF(D452&lt;45,"35-44",IF(D452&lt;55,"45-54","55+")))))</f>
        <v>35-44</v>
      </c>
      <c r="R452" s="13" t="str">
        <f aca="false">IF(P452&lt;1,"0-1 yrs",IF(P452&lt;3,"1-3 yrs",IF(P452&lt;5,"3-5 yrs",IF(P452&lt;10,"5-10 yrs","10+ yrs"))))</f>
        <v>5-10 yrs</v>
      </c>
      <c r="S452" s="13" t="str">
        <f aca="false">IF(I452&gt;=4,"High",IF(I452=3,"Medium","Low"))</f>
        <v>High</v>
      </c>
      <c r="T452" s="13" t="str">
        <f aca="false">IF(M452=1,YEAR(C452),"")</f>
        <v/>
      </c>
      <c r="U452" s="13" t="str">
        <f aca="false">IF(M452=1,YEAR(C452)&amp;"-Q"&amp;ROUNDUP(MONTH(C452)/3,0),"")</f>
        <v/>
      </c>
      <c r="V452" s="13" t="str">
        <f aca="false">IF(M452=1,MONTH(C452),"")</f>
        <v/>
      </c>
    </row>
    <row r="453" customFormat="false" ht="15" hidden="false" customHeight="false" outlineLevel="0" collapsed="false">
      <c r="A453" s="13" t="str">
        <f aca="false">TRIM(Raw_Data!A453)</f>
        <v>EMP0452</v>
      </c>
      <c r="B453" s="14" t="n">
        <f aca="false">Raw_Data!B453</f>
        <v>42496</v>
      </c>
      <c r="C453" s="14" t="str">
        <f aca="false">IF(Raw_Data!C453="","",Raw_Data!C453)</f>
        <v/>
      </c>
      <c r="D453" s="13" t="n">
        <f aca="false">IF(Raw_Data!D453="","",Raw_Data!D453)</f>
        <v>42</v>
      </c>
      <c r="E453" s="13" t="str">
        <f aca="false">IF(UPPER(LEFT(TRIM(Raw_Data!E453),1))="M","Male",IF(UPPER(LEFT(TRIM(Raw_Data!E453),1))="F","Female","Unknown"))</f>
        <v>Male</v>
      </c>
      <c r="F453" s="13" t="str">
        <f aca="false">PROPER(TRIM(SUBSTITUTE(Raw_Data!F453,"'","")))</f>
        <v>Bachelors</v>
      </c>
      <c r="G453" s="13" t="str">
        <f aca="false">PROPER(TRIM(Raw_Data!G453))</f>
        <v>Customer Support</v>
      </c>
      <c r="H453" s="13" t="str">
        <f aca="false">PROPER(TRIM(Raw_Data!H453))</f>
        <v>Team Lead</v>
      </c>
      <c r="I453" s="13" t="n">
        <f aca="false">IF(Raw_Data!I453="",DefaultPerf,Raw_Data!I453)</f>
        <v>4</v>
      </c>
      <c r="J453" s="13" t="n">
        <f aca="false">IF(Raw_Data!J453="",DefaultSat,Raw_Data!J453)</f>
        <v>4</v>
      </c>
      <c r="K453" s="15" t="n">
        <f aca="false">Raw_Data!K453</f>
        <v>164000</v>
      </c>
      <c r="L453" s="13" t="str">
        <f aca="false">PROPER(TRIM(Raw_Data!N453))</f>
        <v>No</v>
      </c>
      <c r="M453" s="13" t="n">
        <f aca="false">IF(C453="",0,1)</f>
        <v>0</v>
      </c>
      <c r="N453" s="13" t="str">
        <f aca="false">IF(M453=0,"Active",IF(TRIM(Raw_Data!L453)="","Unknown",PROPER(TRIM(Raw_Data!L453))))</f>
        <v>Active</v>
      </c>
      <c r="O453" s="13" t="str">
        <f aca="false">IF(M453=0,"",IF(TRIM(Raw_Data!M453)="","Not Recorded",TRIM(Raw_Data!M453)))</f>
        <v/>
      </c>
      <c r="P453" s="16" t="n">
        <f aca="false">ROUND((IF(C453="",AsOfDate,C453)-B453)/365.25,2)</f>
        <v>9.65</v>
      </c>
      <c r="Q453" s="13" t="str">
        <f aca="false">IF(D453="","Unknown",IF(D453&lt;25,"Under 25",IF(D453&lt;35,"25-34",IF(D453&lt;45,"35-44",IF(D453&lt;55,"45-54","55+")))))</f>
        <v>35-44</v>
      </c>
      <c r="R453" s="13" t="str">
        <f aca="false">IF(P453&lt;1,"0-1 yrs",IF(P453&lt;3,"1-3 yrs",IF(P453&lt;5,"3-5 yrs",IF(P453&lt;10,"5-10 yrs","10+ yrs"))))</f>
        <v>5-10 yrs</v>
      </c>
      <c r="S453" s="13" t="str">
        <f aca="false">IF(I453&gt;=4,"High",IF(I453=3,"Medium","Low"))</f>
        <v>High</v>
      </c>
      <c r="T453" s="13" t="str">
        <f aca="false">IF(M453=1,YEAR(C453),"")</f>
        <v/>
      </c>
      <c r="U453" s="13" t="str">
        <f aca="false">IF(M453=1,YEAR(C453)&amp;"-Q"&amp;ROUNDUP(MONTH(C453)/3,0),"")</f>
        <v/>
      </c>
      <c r="V453" s="13" t="str">
        <f aca="false">IF(M453=1,MONTH(C453),"")</f>
        <v/>
      </c>
    </row>
    <row r="454" customFormat="false" ht="15" hidden="false" customHeight="false" outlineLevel="0" collapsed="false">
      <c r="A454" s="13" t="str">
        <f aca="false">TRIM(Raw_Data!A454)</f>
        <v>EMP0453</v>
      </c>
      <c r="B454" s="14" t="n">
        <f aca="false">Raw_Data!B454</f>
        <v>42497</v>
      </c>
      <c r="C454" s="14" t="str">
        <f aca="false">IF(Raw_Data!C454="","",Raw_Data!C454)</f>
        <v/>
      </c>
      <c r="D454" s="13" t="n">
        <f aca="false">IF(Raw_Data!D454="","",Raw_Data!D454)</f>
        <v>35</v>
      </c>
      <c r="E454" s="13" t="str">
        <f aca="false">IF(UPPER(LEFT(TRIM(Raw_Data!E454),1))="M","Male",IF(UPPER(LEFT(TRIM(Raw_Data!E454),1))="F","Female","Unknown"))</f>
        <v>Male</v>
      </c>
      <c r="F454" s="13" t="str">
        <f aca="false">PROPER(TRIM(SUBSTITUTE(Raw_Data!F454,"'","")))</f>
        <v>Bachelors</v>
      </c>
      <c r="G454" s="13" t="str">
        <f aca="false">PROPER(TRIM(Raw_Data!G454))</f>
        <v>Sales</v>
      </c>
      <c r="H454" s="13" t="str">
        <f aca="false">PROPER(TRIM(Raw_Data!H454))</f>
        <v>Senior Analyst</v>
      </c>
      <c r="I454" s="13" t="n">
        <f aca="false">IF(Raw_Data!I454="",DefaultPerf,Raw_Data!I454)</f>
        <v>2</v>
      </c>
      <c r="J454" s="13" t="n">
        <f aca="false">IF(Raw_Data!J454="",DefaultSat,Raw_Data!J454)</f>
        <v>4</v>
      </c>
      <c r="K454" s="15" t="n">
        <f aca="false">Raw_Data!K454</f>
        <v>122500</v>
      </c>
      <c r="L454" s="13" t="str">
        <f aca="false">PROPER(TRIM(Raw_Data!N454))</f>
        <v>No</v>
      </c>
      <c r="M454" s="13" t="n">
        <f aca="false">IF(C454="",0,1)</f>
        <v>0</v>
      </c>
      <c r="N454" s="13" t="str">
        <f aca="false">IF(M454=0,"Active",IF(TRIM(Raw_Data!L454)="","Unknown",PROPER(TRIM(Raw_Data!L454))))</f>
        <v>Active</v>
      </c>
      <c r="O454" s="13" t="str">
        <f aca="false">IF(M454=0,"",IF(TRIM(Raw_Data!M454)="","Not Recorded",TRIM(Raw_Data!M454)))</f>
        <v/>
      </c>
      <c r="P454" s="16" t="n">
        <f aca="false">ROUND((IF(C454="",AsOfDate,C454)-B454)/365.25,2)</f>
        <v>9.65</v>
      </c>
      <c r="Q454" s="13" t="str">
        <f aca="false">IF(D454="","Unknown",IF(D454&lt;25,"Under 25",IF(D454&lt;35,"25-34",IF(D454&lt;45,"35-44",IF(D454&lt;55,"45-54","55+")))))</f>
        <v>35-44</v>
      </c>
      <c r="R454" s="13" t="str">
        <f aca="false">IF(P454&lt;1,"0-1 yrs",IF(P454&lt;3,"1-3 yrs",IF(P454&lt;5,"3-5 yrs",IF(P454&lt;10,"5-10 yrs","10+ yrs"))))</f>
        <v>5-10 yrs</v>
      </c>
      <c r="S454" s="13" t="str">
        <f aca="false">IF(I454&gt;=4,"High",IF(I454=3,"Medium","Low"))</f>
        <v>Low</v>
      </c>
      <c r="T454" s="13" t="str">
        <f aca="false">IF(M454=1,YEAR(C454),"")</f>
        <v/>
      </c>
      <c r="U454" s="13" t="str">
        <f aca="false">IF(M454=1,YEAR(C454)&amp;"-Q"&amp;ROUNDUP(MONTH(C454)/3,0),"")</f>
        <v/>
      </c>
      <c r="V454" s="13" t="str">
        <f aca="false">IF(M454=1,MONTH(C454),"")</f>
        <v/>
      </c>
    </row>
    <row r="455" customFormat="false" ht="15" hidden="false" customHeight="false" outlineLevel="0" collapsed="false">
      <c r="A455" s="13" t="str">
        <f aca="false">TRIM(Raw_Data!A455)</f>
        <v>EMP0454</v>
      </c>
      <c r="B455" s="14" t="n">
        <f aca="false">Raw_Data!B455</f>
        <v>42501</v>
      </c>
      <c r="C455" s="14" t="n">
        <f aca="false">IF(Raw_Data!C455="","",Raw_Data!C455)</f>
        <v>45610</v>
      </c>
      <c r="D455" s="13" t="n">
        <f aca="false">IF(Raw_Data!D455="","",Raw_Data!D455)</f>
        <v>37</v>
      </c>
      <c r="E455" s="13" t="str">
        <f aca="false">IF(UPPER(LEFT(TRIM(Raw_Data!E455),1))="M","Male",IF(UPPER(LEFT(TRIM(Raw_Data!E455),1))="F","Female","Unknown"))</f>
        <v>Female</v>
      </c>
      <c r="F455" s="13" t="str">
        <f aca="false">PROPER(TRIM(SUBSTITUTE(Raw_Data!F455,"'","")))</f>
        <v>Diploma</v>
      </c>
      <c r="G455" s="13" t="str">
        <f aca="false">PROPER(TRIM(Raw_Data!G455))</f>
        <v>Operations</v>
      </c>
      <c r="H455" s="13" t="str">
        <f aca="false">PROPER(TRIM(Raw_Data!H455))</f>
        <v>Analyst</v>
      </c>
      <c r="I455" s="13" t="n">
        <f aca="false">IF(Raw_Data!I455="",DefaultPerf,Raw_Data!I455)</f>
        <v>3</v>
      </c>
      <c r="J455" s="13" t="n">
        <f aca="false">IF(Raw_Data!J455="",DefaultSat,Raw_Data!J455)</f>
        <v>4</v>
      </c>
      <c r="K455" s="15" t="n">
        <f aca="false">Raw_Data!K455</f>
        <v>80500</v>
      </c>
      <c r="L455" s="13" t="str">
        <f aca="false">PROPER(TRIM(Raw_Data!N455))</f>
        <v>No</v>
      </c>
      <c r="M455" s="13" t="n">
        <f aca="false">IF(C455="",0,1)</f>
        <v>1</v>
      </c>
      <c r="N455" s="13" t="str">
        <f aca="false">IF(M455=0,"Active",IF(TRIM(Raw_Data!L455)="","Unknown",PROPER(TRIM(Raw_Data!L455))))</f>
        <v>Voluntary</v>
      </c>
      <c r="O455" s="13" t="str">
        <f aca="false">IF(M455=0,"",IF(TRIM(Raw_Data!M455)="","Not Recorded",TRIM(Raw_Data!M455)))</f>
        <v>Better Compensation</v>
      </c>
      <c r="P455" s="16" t="n">
        <f aca="false">ROUND((IF(C455="",AsOfDate,C455)-B455)/365.25,2)</f>
        <v>8.51</v>
      </c>
      <c r="Q455" s="13" t="str">
        <f aca="false">IF(D455="","Unknown",IF(D455&lt;25,"Under 25",IF(D455&lt;35,"25-34",IF(D455&lt;45,"35-44",IF(D455&lt;55,"45-54","55+")))))</f>
        <v>35-44</v>
      </c>
      <c r="R455" s="13" t="str">
        <f aca="false">IF(P455&lt;1,"0-1 yrs",IF(P455&lt;3,"1-3 yrs",IF(P455&lt;5,"3-5 yrs",IF(P455&lt;10,"5-10 yrs","10+ yrs"))))</f>
        <v>5-10 yrs</v>
      </c>
      <c r="S455" s="13" t="str">
        <f aca="false">IF(I455&gt;=4,"High",IF(I455=3,"Medium","Low"))</f>
        <v>Medium</v>
      </c>
      <c r="T455" s="13" t="n">
        <f aca="false">IF(M455=1,YEAR(C455),"")</f>
        <v>2024</v>
      </c>
      <c r="U455" s="13" t="str">
        <f aca="false">IF(M455=1,YEAR(C455)&amp;"-Q"&amp;ROUNDUP(MONTH(C455)/3,0),"")</f>
        <v>2024-Q4</v>
      </c>
      <c r="V455" s="13" t="n">
        <f aca="false">IF(M455=1,MONTH(C455),"")</f>
        <v>11</v>
      </c>
    </row>
    <row r="456" customFormat="false" ht="15" hidden="false" customHeight="false" outlineLevel="0" collapsed="false">
      <c r="A456" s="13" t="str">
        <f aca="false">TRIM(Raw_Data!A456)</f>
        <v>EMP0455</v>
      </c>
      <c r="B456" s="14" t="n">
        <f aca="false">Raw_Data!B456</f>
        <v>42506</v>
      </c>
      <c r="C456" s="14" t="str">
        <f aca="false">IF(Raw_Data!C456="","",Raw_Data!C456)</f>
        <v/>
      </c>
      <c r="D456" s="13" t="n">
        <f aca="false">IF(Raw_Data!D456="","",Raw_Data!D456)</f>
        <v>40</v>
      </c>
      <c r="E456" s="13" t="str">
        <f aca="false">IF(UPPER(LEFT(TRIM(Raw_Data!E456),1))="M","Male",IF(UPPER(LEFT(TRIM(Raw_Data!E456),1))="F","Female","Unknown"))</f>
        <v>Female</v>
      </c>
      <c r="F456" s="13" t="str">
        <f aca="false">PROPER(TRIM(SUBSTITUTE(Raw_Data!F456,"'","")))</f>
        <v>Bachelors</v>
      </c>
      <c r="G456" s="13" t="str">
        <f aca="false">PROPER(TRIM(Raw_Data!G456))</f>
        <v>Sales</v>
      </c>
      <c r="H456" s="13" t="str">
        <f aca="false">PROPER(TRIM(Raw_Data!H456))</f>
        <v>Associate</v>
      </c>
      <c r="I456" s="13" t="n">
        <f aca="false">IF(Raw_Data!I456="",DefaultPerf,Raw_Data!I456)</f>
        <v>4</v>
      </c>
      <c r="J456" s="13" t="n">
        <f aca="false">IF(Raw_Data!J456="",DefaultSat,Raw_Data!J456)</f>
        <v>3</v>
      </c>
      <c r="K456" s="15" t="n">
        <f aca="false">Raw_Data!K456</f>
        <v>46500</v>
      </c>
      <c r="L456" s="13" t="str">
        <f aca="false">PROPER(TRIM(Raw_Data!N456))</f>
        <v>No</v>
      </c>
      <c r="M456" s="13" t="n">
        <f aca="false">IF(C456="",0,1)</f>
        <v>0</v>
      </c>
      <c r="N456" s="13" t="str">
        <f aca="false">IF(M456=0,"Active",IF(TRIM(Raw_Data!L456)="","Unknown",PROPER(TRIM(Raw_Data!L456))))</f>
        <v>Active</v>
      </c>
      <c r="O456" s="13" t="str">
        <f aca="false">IF(M456=0,"",IF(TRIM(Raw_Data!M456)="","Not Recorded",TRIM(Raw_Data!M456)))</f>
        <v/>
      </c>
      <c r="P456" s="16" t="n">
        <f aca="false">ROUND((IF(C456="",AsOfDate,C456)-B456)/365.25,2)</f>
        <v>9.63</v>
      </c>
      <c r="Q456" s="13" t="str">
        <f aca="false">IF(D456="","Unknown",IF(D456&lt;25,"Under 25",IF(D456&lt;35,"25-34",IF(D456&lt;45,"35-44",IF(D456&lt;55,"45-54","55+")))))</f>
        <v>35-44</v>
      </c>
      <c r="R456" s="13" t="str">
        <f aca="false">IF(P456&lt;1,"0-1 yrs",IF(P456&lt;3,"1-3 yrs",IF(P456&lt;5,"3-5 yrs",IF(P456&lt;10,"5-10 yrs","10+ yrs"))))</f>
        <v>5-10 yrs</v>
      </c>
      <c r="S456" s="13" t="str">
        <f aca="false">IF(I456&gt;=4,"High",IF(I456=3,"Medium","Low"))</f>
        <v>High</v>
      </c>
      <c r="T456" s="13" t="str">
        <f aca="false">IF(M456=1,YEAR(C456),"")</f>
        <v/>
      </c>
      <c r="U456" s="13" t="str">
        <f aca="false">IF(M456=1,YEAR(C456)&amp;"-Q"&amp;ROUNDUP(MONTH(C456)/3,0),"")</f>
        <v/>
      </c>
      <c r="V456" s="13" t="str">
        <f aca="false">IF(M456=1,MONTH(C456),"")</f>
        <v/>
      </c>
    </row>
    <row r="457" customFormat="false" ht="15" hidden="false" customHeight="false" outlineLevel="0" collapsed="false">
      <c r="A457" s="13" t="str">
        <f aca="false">TRIM(Raw_Data!A457)</f>
        <v>EMP0456</v>
      </c>
      <c r="B457" s="14" t="n">
        <f aca="false">Raw_Data!B457</f>
        <v>42506</v>
      </c>
      <c r="C457" s="14" t="str">
        <f aca="false">IF(Raw_Data!C457="","",Raw_Data!C457)</f>
        <v/>
      </c>
      <c r="D457" s="13" t="n">
        <f aca="false">IF(Raw_Data!D457="","",Raw_Data!D457)</f>
        <v>45</v>
      </c>
      <c r="E457" s="13" t="str">
        <f aca="false">IF(UPPER(LEFT(TRIM(Raw_Data!E457),1))="M","Male",IF(UPPER(LEFT(TRIM(Raw_Data!E457),1))="F","Female","Unknown"))</f>
        <v>Male</v>
      </c>
      <c r="F457" s="13" t="str">
        <f aca="false">PROPER(TRIM(SUBSTITUTE(Raw_Data!F457,"'","")))</f>
        <v>Diploma</v>
      </c>
      <c r="G457" s="13" t="str">
        <f aca="false">PROPER(TRIM(Raw_Data!G457))</f>
        <v>Engineering</v>
      </c>
      <c r="H457" s="13" t="str">
        <f aca="false">PROPER(TRIM(Raw_Data!H457))</f>
        <v>Associate</v>
      </c>
      <c r="I457" s="13" t="n">
        <f aca="false">IF(Raw_Data!I457="",DefaultPerf,Raw_Data!I457)</f>
        <v>3</v>
      </c>
      <c r="J457" s="13" t="n">
        <f aca="false">IF(Raw_Data!J457="",DefaultSat,Raw_Data!J457)</f>
        <v>3</v>
      </c>
      <c r="K457" s="15" t="n">
        <f aca="false">Raw_Data!K457</f>
        <v>37000</v>
      </c>
      <c r="L457" s="13" t="str">
        <f aca="false">PROPER(TRIM(Raw_Data!N457))</f>
        <v>No</v>
      </c>
      <c r="M457" s="13" t="n">
        <f aca="false">IF(C457="",0,1)</f>
        <v>0</v>
      </c>
      <c r="N457" s="13" t="str">
        <f aca="false">IF(M457=0,"Active",IF(TRIM(Raw_Data!L457)="","Unknown",PROPER(TRIM(Raw_Data!L457))))</f>
        <v>Active</v>
      </c>
      <c r="O457" s="13" t="str">
        <f aca="false">IF(M457=0,"",IF(TRIM(Raw_Data!M457)="","Not Recorded",TRIM(Raw_Data!M457)))</f>
        <v/>
      </c>
      <c r="P457" s="16" t="n">
        <f aca="false">ROUND((IF(C457="",AsOfDate,C457)-B457)/365.25,2)</f>
        <v>9.63</v>
      </c>
      <c r="Q457" s="13" t="str">
        <f aca="false">IF(D457="","Unknown",IF(D457&lt;25,"Under 25",IF(D457&lt;35,"25-34",IF(D457&lt;45,"35-44",IF(D457&lt;55,"45-54","55+")))))</f>
        <v>45-54</v>
      </c>
      <c r="R457" s="13" t="str">
        <f aca="false">IF(P457&lt;1,"0-1 yrs",IF(P457&lt;3,"1-3 yrs",IF(P457&lt;5,"3-5 yrs",IF(P457&lt;10,"5-10 yrs","10+ yrs"))))</f>
        <v>5-10 yrs</v>
      </c>
      <c r="S457" s="13" t="str">
        <f aca="false">IF(I457&gt;=4,"High",IF(I457=3,"Medium","Low"))</f>
        <v>Medium</v>
      </c>
      <c r="T457" s="13" t="str">
        <f aca="false">IF(M457=1,YEAR(C457),"")</f>
        <v/>
      </c>
      <c r="U457" s="13" t="str">
        <f aca="false">IF(M457=1,YEAR(C457)&amp;"-Q"&amp;ROUNDUP(MONTH(C457)/3,0),"")</f>
        <v/>
      </c>
      <c r="V457" s="13" t="str">
        <f aca="false">IF(M457=1,MONTH(C457),"")</f>
        <v/>
      </c>
    </row>
    <row r="458" customFormat="false" ht="15" hidden="false" customHeight="false" outlineLevel="0" collapsed="false">
      <c r="A458" s="13" t="str">
        <f aca="false">TRIM(Raw_Data!A458)</f>
        <v>EMP0457</v>
      </c>
      <c r="B458" s="14" t="n">
        <f aca="false">Raw_Data!B458</f>
        <v>42507</v>
      </c>
      <c r="C458" s="14" t="str">
        <f aca="false">IF(Raw_Data!C458="","",Raw_Data!C458)</f>
        <v/>
      </c>
      <c r="D458" s="13" t="n">
        <f aca="false">IF(Raw_Data!D458="","",Raw_Data!D458)</f>
        <v>38</v>
      </c>
      <c r="E458" s="13" t="str">
        <f aca="false">IF(UPPER(LEFT(TRIM(Raw_Data!E458),1))="M","Male",IF(UPPER(LEFT(TRIM(Raw_Data!E458),1))="F","Female","Unknown"))</f>
        <v>Female</v>
      </c>
      <c r="F458" s="13" t="str">
        <f aca="false">PROPER(TRIM(SUBSTITUTE(Raw_Data!F458,"'","")))</f>
        <v>Bachelors</v>
      </c>
      <c r="G458" s="13" t="str">
        <f aca="false">PROPER(TRIM(Raw_Data!G458))</f>
        <v>Sales</v>
      </c>
      <c r="H458" s="13" t="str">
        <f aca="false">PROPER(TRIM(Raw_Data!H458))</f>
        <v>Senior Analyst</v>
      </c>
      <c r="I458" s="13" t="n">
        <f aca="false">IF(Raw_Data!I458="",DefaultPerf,Raw_Data!I458)</f>
        <v>4</v>
      </c>
      <c r="J458" s="13" t="n">
        <f aca="false">IF(Raw_Data!J458="",DefaultSat,Raw_Data!J458)</f>
        <v>4</v>
      </c>
      <c r="K458" s="15" t="n">
        <f aca="false">Raw_Data!K458</f>
        <v>111500</v>
      </c>
      <c r="L458" s="13" t="str">
        <f aca="false">PROPER(TRIM(Raw_Data!N458))</f>
        <v>No</v>
      </c>
      <c r="M458" s="13" t="n">
        <f aca="false">IF(C458="",0,1)</f>
        <v>0</v>
      </c>
      <c r="N458" s="13" t="str">
        <f aca="false">IF(M458=0,"Active",IF(TRIM(Raw_Data!L458)="","Unknown",PROPER(TRIM(Raw_Data!L458))))</f>
        <v>Active</v>
      </c>
      <c r="O458" s="13" t="str">
        <f aca="false">IF(M458=0,"",IF(TRIM(Raw_Data!M458)="","Not Recorded",TRIM(Raw_Data!M458)))</f>
        <v/>
      </c>
      <c r="P458" s="16" t="n">
        <f aca="false">ROUND((IF(C458="",AsOfDate,C458)-B458)/365.25,2)</f>
        <v>9.62</v>
      </c>
      <c r="Q458" s="13" t="str">
        <f aca="false">IF(D458="","Unknown",IF(D458&lt;25,"Under 25",IF(D458&lt;35,"25-34",IF(D458&lt;45,"35-44",IF(D458&lt;55,"45-54","55+")))))</f>
        <v>35-44</v>
      </c>
      <c r="R458" s="13" t="str">
        <f aca="false">IF(P458&lt;1,"0-1 yrs",IF(P458&lt;3,"1-3 yrs",IF(P458&lt;5,"3-5 yrs",IF(P458&lt;10,"5-10 yrs","10+ yrs"))))</f>
        <v>5-10 yrs</v>
      </c>
      <c r="S458" s="13" t="str">
        <f aca="false">IF(I458&gt;=4,"High",IF(I458=3,"Medium","Low"))</f>
        <v>High</v>
      </c>
      <c r="T458" s="13" t="str">
        <f aca="false">IF(M458=1,YEAR(C458),"")</f>
        <v/>
      </c>
      <c r="U458" s="13" t="str">
        <f aca="false">IF(M458=1,YEAR(C458)&amp;"-Q"&amp;ROUNDUP(MONTH(C458)/3,0),"")</f>
        <v/>
      </c>
      <c r="V458" s="13" t="str">
        <f aca="false">IF(M458=1,MONTH(C458),"")</f>
        <v/>
      </c>
    </row>
    <row r="459" customFormat="false" ht="15" hidden="false" customHeight="false" outlineLevel="0" collapsed="false">
      <c r="A459" s="13" t="str">
        <f aca="false">TRIM(Raw_Data!A459)</f>
        <v>EMP0458</v>
      </c>
      <c r="B459" s="14" t="n">
        <f aca="false">Raw_Data!B459</f>
        <v>42509</v>
      </c>
      <c r="C459" s="14" t="n">
        <f aca="false">IF(Raw_Data!C459="","",Raw_Data!C459)</f>
        <v>45955</v>
      </c>
      <c r="D459" s="13" t="n">
        <f aca="false">IF(Raw_Data!D459="","",Raw_Data!D459)</f>
        <v>41</v>
      </c>
      <c r="E459" s="13" t="str">
        <f aca="false">IF(UPPER(LEFT(TRIM(Raw_Data!E459),1))="M","Male",IF(UPPER(LEFT(TRIM(Raw_Data!E459),1))="F","Female","Unknown"))</f>
        <v>Male</v>
      </c>
      <c r="F459" s="13" t="str">
        <f aca="false">PROPER(TRIM(SUBSTITUTE(Raw_Data!F459,"'","")))</f>
        <v>Masters</v>
      </c>
      <c r="G459" s="13" t="str">
        <f aca="false">PROPER(TRIM(Raw_Data!G459))</f>
        <v>Engineering</v>
      </c>
      <c r="H459" s="13" t="str">
        <f aca="false">PROPER(TRIM(Raw_Data!H459))</f>
        <v>Team Lead</v>
      </c>
      <c r="I459" s="13" t="n">
        <f aca="false">IF(Raw_Data!I459="",DefaultPerf,Raw_Data!I459)</f>
        <v>4</v>
      </c>
      <c r="J459" s="13" t="n">
        <f aca="false">IF(Raw_Data!J459="",DefaultSat,Raw_Data!J459)</f>
        <v>3</v>
      </c>
      <c r="K459" s="15" t="n">
        <f aca="false">Raw_Data!K459</f>
        <v>150000</v>
      </c>
      <c r="L459" s="13" t="str">
        <f aca="false">PROPER(TRIM(Raw_Data!N459))</f>
        <v>No</v>
      </c>
      <c r="M459" s="13" t="n">
        <f aca="false">IF(C459="",0,1)</f>
        <v>1</v>
      </c>
      <c r="N459" s="13" t="str">
        <f aca="false">IF(M459=0,"Active",IF(TRIM(Raw_Data!L459)="","Unknown",PROPER(TRIM(Raw_Data!L459))))</f>
        <v>Involuntary</v>
      </c>
      <c r="O459" s="13" t="str">
        <f aca="false">IF(M459=0,"",IF(TRIM(Raw_Data!M459)="","Not Recorded",TRIM(Raw_Data!M459)))</f>
        <v>Poor Performance</v>
      </c>
      <c r="P459" s="16" t="n">
        <f aca="false">ROUND((IF(C459="",AsOfDate,C459)-B459)/365.25,2)</f>
        <v>9.43</v>
      </c>
      <c r="Q459" s="13" t="str">
        <f aca="false">IF(D459="","Unknown",IF(D459&lt;25,"Under 25",IF(D459&lt;35,"25-34",IF(D459&lt;45,"35-44",IF(D459&lt;55,"45-54","55+")))))</f>
        <v>35-44</v>
      </c>
      <c r="R459" s="13" t="str">
        <f aca="false">IF(P459&lt;1,"0-1 yrs",IF(P459&lt;3,"1-3 yrs",IF(P459&lt;5,"3-5 yrs",IF(P459&lt;10,"5-10 yrs","10+ yrs"))))</f>
        <v>5-10 yrs</v>
      </c>
      <c r="S459" s="13" t="str">
        <f aca="false">IF(I459&gt;=4,"High",IF(I459=3,"Medium","Low"))</f>
        <v>High</v>
      </c>
      <c r="T459" s="13" t="n">
        <f aca="false">IF(M459=1,YEAR(C459),"")</f>
        <v>2025</v>
      </c>
      <c r="U459" s="13" t="str">
        <f aca="false">IF(M459=1,YEAR(C459)&amp;"-Q"&amp;ROUNDUP(MONTH(C459)/3,0),"")</f>
        <v>2025-Q4</v>
      </c>
      <c r="V459" s="13" t="n">
        <f aca="false">IF(M459=1,MONTH(C459),"")</f>
        <v>10</v>
      </c>
    </row>
    <row r="460" customFormat="false" ht="15" hidden="false" customHeight="false" outlineLevel="0" collapsed="false">
      <c r="A460" s="13" t="str">
        <f aca="false">TRIM(Raw_Data!A460)</f>
        <v>EMP0459</v>
      </c>
      <c r="B460" s="14" t="n">
        <f aca="false">Raw_Data!B460</f>
        <v>42512</v>
      </c>
      <c r="C460" s="14" t="str">
        <f aca="false">IF(Raw_Data!C460="","",Raw_Data!C460)</f>
        <v/>
      </c>
      <c r="D460" s="13" t="n">
        <f aca="false">IF(Raw_Data!D460="","",Raw_Data!D460)</f>
        <v>39</v>
      </c>
      <c r="E460" s="13" t="str">
        <f aca="false">IF(UPPER(LEFT(TRIM(Raw_Data!E460),1))="M","Male",IF(UPPER(LEFT(TRIM(Raw_Data!E460),1))="F","Female","Unknown"))</f>
        <v>Male</v>
      </c>
      <c r="F460" s="13" t="str">
        <f aca="false">PROPER(TRIM(SUBSTITUTE(Raw_Data!F460,"'","")))</f>
        <v>Bachelors</v>
      </c>
      <c r="G460" s="13" t="str">
        <f aca="false">PROPER(TRIM(Raw_Data!G460))</f>
        <v>Operations</v>
      </c>
      <c r="H460" s="13" t="str">
        <f aca="false">PROPER(TRIM(Raw_Data!H460))</f>
        <v>Senior Analyst</v>
      </c>
      <c r="I460" s="13" t="n">
        <f aca="false">IF(Raw_Data!I460="",DefaultPerf,Raw_Data!I460)</f>
        <v>2</v>
      </c>
      <c r="J460" s="13" t="n">
        <f aca="false">IF(Raw_Data!J460="",DefaultSat,Raw_Data!J460)</f>
        <v>3</v>
      </c>
      <c r="K460" s="15" t="n">
        <f aca="false">Raw_Data!K460</f>
        <v>102000</v>
      </c>
      <c r="L460" s="13" t="str">
        <f aca="false">PROPER(TRIM(Raw_Data!N460))</f>
        <v>No</v>
      </c>
      <c r="M460" s="13" t="n">
        <f aca="false">IF(C460="",0,1)</f>
        <v>0</v>
      </c>
      <c r="N460" s="13" t="str">
        <f aca="false">IF(M460=0,"Active",IF(TRIM(Raw_Data!L460)="","Unknown",PROPER(TRIM(Raw_Data!L460))))</f>
        <v>Active</v>
      </c>
      <c r="O460" s="13" t="str">
        <f aca="false">IF(M460=0,"",IF(TRIM(Raw_Data!M460)="","Not Recorded",TRIM(Raw_Data!M460)))</f>
        <v/>
      </c>
      <c r="P460" s="16" t="n">
        <f aca="false">ROUND((IF(C460="",AsOfDate,C460)-B460)/365.25,2)</f>
        <v>9.61</v>
      </c>
      <c r="Q460" s="13" t="str">
        <f aca="false">IF(D460="","Unknown",IF(D460&lt;25,"Under 25",IF(D460&lt;35,"25-34",IF(D460&lt;45,"35-44",IF(D460&lt;55,"45-54","55+")))))</f>
        <v>35-44</v>
      </c>
      <c r="R460" s="13" t="str">
        <f aca="false">IF(P460&lt;1,"0-1 yrs",IF(P460&lt;3,"1-3 yrs",IF(P460&lt;5,"3-5 yrs",IF(P460&lt;10,"5-10 yrs","10+ yrs"))))</f>
        <v>5-10 yrs</v>
      </c>
      <c r="S460" s="13" t="str">
        <f aca="false">IF(I460&gt;=4,"High",IF(I460=3,"Medium","Low"))</f>
        <v>Low</v>
      </c>
      <c r="T460" s="13" t="str">
        <f aca="false">IF(M460=1,YEAR(C460),"")</f>
        <v/>
      </c>
      <c r="U460" s="13" t="str">
        <f aca="false">IF(M460=1,YEAR(C460)&amp;"-Q"&amp;ROUNDUP(MONTH(C460)/3,0),"")</f>
        <v/>
      </c>
      <c r="V460" s="13" t="str">
        <f aca="false">IF(M460=1,MONTH(C460),"")</f>
        <v/>
      </c>
    </row>
    <row r="461" customFormat="false" ht="15" hidden="false" customHeight="false" outlineLevel="0" collapsed="false">
      <c r="A461" s="13" t="str">
        <f aca="false">TRIM(Raw_Data!A461)</f>
        <v>EMP0460</v>
      </c>
      <c r="B461" s="14" t="n">
        <f aca="false">Raw_Data!B461</f>
        <v>42514</v>
      </c>
      <c r="C461" s="14" t="n">
        <f aca="false">IF(Raw_Data!C461="","",Raw_Data!C461)</f>
        <v>45098</v>
      </c>
      <c r="D461" s="13" t="n">
        <f aca="false">IF(Raw_Data!D461="","",Raw_Data!D461)</f>
        <v>31</v>
      </c>
      <c r="E461" s="13" t="str">
        <f aca="false">IF(UPPER(LEFT(TRIM(Raw_Data!E461),1))="M","Male",IF(UPPER(LEFT(TRIM(Raw_Data!E461),1))="F","Female","Unknown"))</f>
        <v>Male</v>
      </c>
      <c r="F461" s="13" t="str">
        <f aca="false">PROPER(TRIM(SUBSTITUTE(Raw_Data!F461,"'","")))</f>
        <v>Bachelors</v>
      </c>
      <c r="G461" s="13" t="str">
        <f aca="false">PROPER(TRIM(Raw_Data!G461))</f>
        <v>Customer Support</v>
      </c>
      <c r="H461" s="13" t="str">
        <f aca="false">PROPER(TRIM(Raw_Data!H461))</f>
        <v>Analyst</v>
      </c>
      <c r="I461" s="13" t="n">
        <f aca="false">IF(Raw_Data!I461="",DefaultPerf,Raw_Data!I461)</f>
        <v>4</v>
      </c>
      <c r="J461" s="13" t="n">
        <f aca="false">IF(Raw_Data!J461="",DefaultSat,Raw_Data!J461)</f>
        <v>3</v>
      </c>
      <c r="K461" s="15" t="n">
        <f aca="false">Raw_Data!K461</f>
        <v>79000</v>
      </c>
      <c r="L461" s="13" t="str">
        <f aca="false">PROPER(TRIM(Raw_Data!N461))</f>
        <v>No</v>
      </c>
      <c r="M461" s="13" t="n">
        <f aca="false">IF(C461="",0,1)</f>
        <v>1</v>
      </c>
      <c r="N461" s="13" t="str">
        <f aca="false">IF(M461=0,"Active",IF(TRIM(Raw_Data!L461)="","Unknown",PROPER(TRIM(Raw_Data!L461))))</f>
        <v>Voluntary</v>
      </c>
      <c r="O461" s="13" t="str">
        <f aca="false">IF(M461=0,"",IF(TRIM(Raw_Data!M461)="","Not Recorded",TRIM(Raw_Data!M461)))</f>
        <v>Better Compensation</v>
      </c>
      <c r="P461" s="16" t="n">
        <f aca="false">ROUND((IF(C461="",AsOfDate,C461)-B461)/365.25,2)</f>
        <v>7.07</v>
      </c>
      <c r="Q461" s="13" t="str">
        <f aca="false">IF(D461="","Unknown",IF(D461&lt;25,"Under 25",IF(D461&lt;35,"25-34",IF(D461&lt;45,"35-44",IF(D461&lt;55,"45-54","55+")))))</f>
        <v>25-34</v>
      </c>
      <c r="R461" s="13" t="str">
        <f aca="false">IF(P461&lt;1,"0-1 yrs",IF(P461&lt;3,"1-3 yrs",IF(P461&lt;5,"3-5 yrs",IF(P461&lt;10,"5-10 yrs","10+ yrs"))))</f>
        <v>5-10 yrs</v>
      </c>
      <c r="S461" s="13" t="str">
        <f aca="false">IF(I461&gt;=4,"High",IF(I461=3,"Medium","Low"))</f>
        <v>High</v>
      </c>
      <c r="T461" s="13" t="n">
        <f aca="false">IF(M461=1,YEAR(C461),"")</f>
        <v>2023</v>
      </c>
      <c r="U461" s="13" t="str">
        <f aca="false">IF(M461=1,YEAR(C461)&amp;"-Q"&amp;ROUNDUP(MONTH(C461)/3,0),"")</f>
        <v>2023-Q2</v>
      </c>
      <c r="V461" s="13" t="n">
        <f aca="false">IF(M461=1,MONTH(C461),"")</f>
        <v>6</v>
      </c>
    </row>
    <row r="462" customFormat="false" ht="15" hidden="false" customHeight="false" outlineLevel="0" collapsed="false">
      <c r="A462" s="13" t="str">
        <f aca="false">TRIM(Raw_Data!A462)</f>
        <v>EMP0461</v>
      </c>
      <c r="B462" s="14" t="n">
        <f aca="false">Raw_Data!B462</f>
        <v>42524</v>
      </c>
      <c r="C462" s="14" t="n">
        <f aca="false">IF(Raw_Data!C462="","",Raw_Data!C462)</f>
        <v>45367</v>
      </c>
      <c r="D462" s="13" t="n">
        <f aca="false">IF(Raw_Data!D462="","",Raw_Data!D462)</f>
        <v>29</v>
      </c>
      <c r="E462" s="13" t="str">
        <f aca="false">IF(UPPER(LEFT(TRIM(Raw_Data!E462),1))="M","Male",IF(UPPER(LEFT(TRIM(Raw_Data!E462),1))="F","Female","Unknown"))</f>
        <v>Male</v>
      </c>
      <c r="F462" s="13" t="str">
        <f aca="false">PROPER(TRIM(SUBSTITUTE(Raw_Data!F462,"'","")))</f>
        <v>Bachelors</v>
      </c>
      <c r="G462" s="13" t="str">
        <f aca="false">PROPER(TRIM(Raw_Data!G462))</f>
        <v>Engineering</v>
      </c>
      <c r="H462" s="13" t="str">
        <f aca="false">PROPER(TRIM(Raw_Data!H462))</f>
        <v>Associate</v>
      </c>
      <c r="I462" s="13" t="n">
        <f aca="false">IF(Raw_Data!I462="",DefaultPerf,Raw_Data!I462)</f>
        <v>3</v>
      </c>
      <c r="J462" s="13" t="n">
        <f aca="false">IF(Raw_Data!J462="",DefaultSat,Raw_Data!J462)</f>
        <v>1</v>
      </c>
      <c r="K462" s="15" t="n">
        <f aca="false">Raw_Data!K462</f>
        <v>39500</v>
      </c>
      <c r="L462" s="13" t="str">
        <f aca="false">PROPER(TRIM(Raw_Data!N462))</f>
        <v>No</v>
      </c>
      <c r="M462" s="13" t="n">
        <f aca="false">IF(C462="",0,1)</f>
        <v>1</v>
      </c>
      <c r="N462" s="13" t="str">
        <f aca="false">IF(M462=0,"Active",IF(TRIM(Raw_Data!L462)="","Unknown",PROPER(TRIM(Raw_Data!L462))))</f>
        <v>Unknown</v>
      </c>
      <c r="O462" s="13" t="str">
        <f aca="false">IF(M462=0,"",IF(TRIM(Raw_Data!M462)="","Not Recorded",TRIM(Raw_Data!M462)))</f>
        <v>End of Contract</v>
      </c>
      <c r="P462" s="16" t="n">
        <f aca="false">ROUND((IF(C462="",AsOfDate,C462)-B462)/365.25,2)</f>
        <v>7.78</v>
      </c>
      <c r="Q462" s="13" t="str">
        <f aca="false">IF(D462="","Unknown",IF(D462&lt;25,"Under 25",IF(D462&lt;35,"25-34",IF(D462&lt;45,"35-44",IF(D462&lt;55,"45-54","55+")))))</f>
        <v>25-34</v>
      </c>
      <c r="R462" s="13" t="str">
        <f aca="false">IF(P462&lt;1,"0-1 yrs",IF(P462&lt;3,"1-3 yrs",IF(P462&lt;5,"3-5 yrs",IF(P462&lt;10,"5-10 yrs","10+ yrs"))))</f>
        <v>5-10 yrs</v>
      </c>
      <c r="S462" s="13" t="str">
        <f aca="false">IF(I462&gt;=4,"High",IF(I462=3,"Medium","Low"))</f>
        <v>Medium</v>
      </c>
      <c r="T462" s="13" t="n">
        <f aca="false">IF(M462=1,YEAR(C462),"")</f>
        <v>2024</v>
      </c>
      <c r="U462" s="13" t="str">
        <f aca="false">IF(M462=1,YEAR(C462)&amp;"-Q"&amp;ROUNDUP(MONTH(C462)/3,0),"")</f>
        <v>2024-Q1</v>
      </c>
      <c r="V462" s="13" t="n">
        <f aca="false">IF(M462=1,MONTH(C462),"")</f>
        <v>3</v>
      </c>
    </row>
    <row r="463" customFormat="false" ht="15" hidden="false" customHeight="false" outlineLevel="0" collapsed="false">
      <c r="A463" s="13" t="str">
        <f aca="false">TRIM(Raw_Data!A463)</f>
        <v>EMP0462</v>
      </c>
      <c r="B463" s="14" t="n">
        <f aca="false">Raw_Data!B463</f>
        <v>42534</v>
      </c>
      <c r="C463" s="14" t="n">
        <f aca="false">IF(Raw_Data!C463="","",Raw_Data!C463)</f>
        <v>44970</v>
      </c>
      <c r="D463" s="13" t="n">
        <f aca="false">IF(Raw_Data!D463="","",Raw_Data!D463)</f>
        <v>29</v>
      </c>
      <c r="E463" s="13" t="str">
        <f aca="false">IF(UPPER(LEFT(TRIM(Raw_Data!E463),1))="M","Male",IF(UPPER(LEFT(TRIM(Raw_Data!E463),1))="F","Female","Unknown"))</f>
        <v>Male</v>
      </c>
      <c r="F463" s="13" t="str">
        <f aca="false">PROPER(TRIM(SUBSTITUTE(Raw_Data!F463,"'","")))</f>
        <v>High School</v>
      </c>
      <c r="G463" s="13" t="str">
        <f aca="false">PROPER(TRIM(Raw_Data!G463))</f>
        <v>Customer Support</v>
      </c>
      <c r="H463" s="13" t="str">
        <f aca="false">PROPER(TRIM(Raw_Data!H463))</f>
        <v>Associate</v>
      </c>
      <c r="I463" s="13" t="n">
        <f aca="false">IF(Raw_Data!I463="",DefaultPerf,Raw_Data!I463)</f>
        <v>3</v>
      </c>
      <c r="J463" s="13" t="n">
        <f aca="false">IF(Raw_Data!J463="",DefaultSat,Raw_Data!J463)</f>
        <v>2</v>
      </c>
      <c r="K463" s="15" t="n">
        <f aca="false">Raw_Data!K463</f>
        <v>55500</v>
      </c>
      <c r="L463" s="13" t="str">
        <f aca="false">PROPER(TRIM(Raw_Data!N463))</f>
        <v>No</v>
      </c>
      <c r="M463" s="13" t="n">
        <f aca="false">IF(C463="",0,1)</f>
        <v>1</v>
      </c>
      <c r="N463" s="13" t="str">
        <f aca="false">IF(M463=0,"Active",IF(TRIM(Raw_Data!L463)="","Unknown",PROPER(TRIM(Raw_Data!L463))))</f>
        <v>Voluntary</v>
      </c>
      <c r="O463" s="13" t="str">
        <f aca="false">IF(M463=0,"",IF(TRIM(Raw_Data!M463)="","Not Recorded",TRIM(Raw_Data!M463)))</f>
        <v>Personal Reasons</v>
      </c>
      <c r="P463" s="16" t="n">
        <f aca="false">ROUND((IF(C463="",AsOfDate,C463)-B463)/365.25,2)</f>
        <v>6.67</v>
      </c>
      <c r="Q463" s="13" t="str">
        <f aca="false">IF(D463="","Unknown",IF(D463&lt;25,"Under 25",IF(D463&lt;35,"25-34",IF(D463&lt;45,"35-44",IF(D463&lt;55,"45-54","55+")))))</f>
        <v>25-34</v>
      </c>
      <c r="R463" s="13" t="str">
        <f aca="false">IF(P463&lt;1,"0-1 yrs",IF(P463&lt;3,"1-3 yrs",IF(P463&lt;5,"3-5 yrs",IF(P463&lt;10,"5-10 yrs","10+ yrs"))))</f>
        <v>5-10 yrs</v>
      </c>
      <c r="S463" s="13" t="str">
        <f aca="false">IF(I463&gt;=4,"High",IF(I463=3,"Medium","Low"))</f>
        <v>Medium</v>
      </c>
      <c r="T463" s="13" t="n">
        <f aca="false">IF(M463=1,YEAR(C463),"")</f>
        <v>2023</v>
      </c>
      <c r="U463" s="13" t="str">
        <f aca="false">IF(M463=1,YEAR(C463)&amp;"-Q"&amp;ROUNDUP(MONTH(C463)/3,0),"")</f>
        <v>2023-Q1</v>
      </c>
      <c r="V463" s="13" t="n">
        <f aca="false">IF(M463=1,MONTH(C463),"")</f>
        <v>2</v>
      </c>
    </row>
    <row r="464" customFormat="false" ht="15" hidden="false" customHeight="false" outlineLevel="0" collapsed="false">
      <c r="A464" s="13" t="str">
        <f aca="false">TRIM(Raw_Data!A464)</f>
        <v>EMP0463</v>
      </c>
      <c r="B464" s="14" t="n">
        <f aca="false">Raw_Data!B464</f>
        <v>42535</v>
      </c>
      <c r="C464" s="14" t="str">
        <f aca="false">IF(Raw_Data!C464="","",Raw_Data!C464)</f>
        <v/>
      </c>
      <c r="D464" s="13" t="n">
        <f aca="false">IF(Raw_Data!D464="","",Raw_Data!D464)</f>
        <v>43</v>
      </c>
      <c r="E464" s="13" t="str">
        <f aca="false">IF(UPPER(LEFT(TRIM(Raw_Data!E464),1))="M","Male",IF(UPPER(LEFT(TRIM(Raw_Data!E464),1))="F","Female","Unknown"))</f>
        <v>Female</v>
      </c>
      <c r="F464" s="13" t="str">
        <f aca="false">PROPER(TRIM(SUBSTITUTE(Raw_Data!F464,"'","")))</f>
        <v>Bachelors</v>
      </c>
      <c r="G464" s="13" t="str">
        <f aca="false">PROPER(TRIM(Raw_Data!G464))</f>
        <v>Sales</v>
      </c>
      <c r="H464" s="13" t="str">
        <f aca="false">PROPER(TRIM(Raw_Data!H464))</f>
        <v>Senior Analyst</v>
      </c>
      <c r="I464" s="13" t="n">
        <f aca="false">IF(Raw_Data!I464="",DefaultPerf,Raw_Data!I464)</f>
        <v>3</v>
      </c>
      <c r="J464" s="13" t="n">
        <f aca="false">IF(Raw_Data!J464="",DefaultSat,Raw_Data!J464)</f>
        <v>1</v>
      </c>
      <c r="K464" s="15" t="n">
        <f aca="false">Raw_Data!K464</f>
        <v>113500</v>
      </c>
      <c r="L464" s="13" t="str">
        <f aca="false">PROPER(TRIM(Raw_Data!N464))</f>
        <v>No</v>
      </c>
      <c r="M464" s="13" t="n">
        <f aca="false">IF(C464="",0,1)</f>
        <v>0</v>
      </c>
      <c r="N464" s="13" t="str">
        <f aca="false">IF(M464=0,"Active",IF(TRIM(Raw_Data!L464)="","Unknown",PROPER(TRIM(Raw_Data!L464))))</f>
        <v>Active</v>
      </c>
      <c r="O464" s="13" t="str">
        <f aca="false">IF(M464=0,"",IF(TRIM(Raw_Data!M464)="","Not Recorded",TRIM(Raw_Data!M464)))</f>
        <v/>
      </c>
      <c r="P464" s="16" t="n">
        <f aca="false">ROUND((IF(C464="",AsOfDate,C464)-B464)/365.25,2)</f>
        <v>9.55</v>
      </c>
      <c r="Q464" s="13" t="str">
        <f aca="false">IF(D464="","Unknown",IF(D464&lt;25,"Under 25",IF(D464&lt;35,"25-34",IF(D464&lt;45,"35-44",IF(D464&lt;55,"45-54","55+")))))</f>
        <v>35-44</v>
      </c>
      <c r="R464" s="13" t="str">
        <f aca="false">IF(P464&lt;1,"0-1 yrs",IF(P464&lt;3,"1-3 yrs",IF(P464&lt;5,"3-5 yrs",IF(P464&lt;10,"5-10 yrs","10+ yrs"))))</f>
        <v>5-10 yrs</v>
      </c>
      <c r="S464" s="13" t="str">
        <f aca="false">IF(I464&gt;=4,"High",IF(I464=3,"Medium","Low"))</f>
        <v>Medium</v>
      </c>
      <c r="T464" s="13" t="str">
        <f aca="false">IF(M464=1,YEAR(C464),"")</f>
        <v/>
      </c>
      <c r="U464" s="13" t="str">
        <f aca="false">IF(M464=1,YEAR(C464)&amp;"-Q"&amp;ROUNDUP(MONTH(C464)/3,0),"")</f>
        <v/>
      </c>
      <c r="V464" s="13" t="str">
        <f aca="false">IF(M464=1,MONTH(C464),"")</f>
        <v/>
      </c>
    </row>
    <row r="465" customFormat="false" ht="15" hidden="false" customHeight="false" outlineLevel="0" collapsed="false">
      <c r="A465" s="13" t="str">
        <f aca="false">TRIM(Raw_Data!A465)</f>
        <v>EMP0464</v>
      </c>
      <c r="B465" s="14" t="n">
        <f aca="false">Raw_Data!B465</f>
        <v>42539</v>
      </c>
      <c r="C465" s="14" t="n">
        <f aca="false">IF(Raw_Data!C465="","",Raw_Data!C465)</f>
        <v>45370</v>
      </c>
      <c r="D465" s="13" t="n">
        <f aca="false">IF(Raw_Data!D465="","",Raw_Data!D465)</f>
        <v>29</v>
      </c>
      <c r="E465" s="13" t="str">
        <f aca="false">IF(UPPER(LEFT(TRIM(Raw_Data!E465),1))="M","Male",IF(UPPER(LEFT(TRIM(Raw_Data!E465),1))="F","Female","Unknown"))</f>
        <v>Female</v>
      </c>
      <c r="F465" s="13" t="str">
        <f aca="false">PROPER(TRIM(SUBSTITUTE(Raw_Data!F465,"'","")))</f>
        <v>Bachelors</v>
      </c>
      <c r="G465" s="13" t="str">
        <f aca="false">PROPER(TRIM(Raw_Data!G465))</f>
        <v>Customer Support</v>
      </c>
      <c r="H465" s="13" t="str">
        <f aca="false">PROPER(TRIM(Raw_Data!H465))</f>
        <v>Analyst</v>
      </c>
      <c r="I465" s="13" t="n">
        <f aca="false">IF(Raw_Data!I465="",DefaultPerf,Raw_Data!I465)</f>
        <v>3</v>
      </c>
      <c r="J465" s="13" t="n">
        <f aca="false">IF(Raw_Data!J465="",DefaultSat,Raw_Data!J465)</f>
        <v>2</v>
      </c>
      <c r="K465" s="15" t="n">
        <f aca="false">Raw_Data!K465</f>
        <v>69000</v>
      </c>
      <c r="L465" s="13" t="str">
        <f aca="false">PROPER(TRIM(Raw_Data!N465))</f>
        <v>Yes</v>
      </c>
      <c r="M465" s="13" t="n">
        <f aca="false">IF(C465="",0,1)</f>
        <v>1</v>
      </c>
      <c r="N465" s="13" t="str">
        <f aca="false">IF(M465=0,"Active",IF(TRIM(Raw_Data!L465)="","Unknown",PROPER(TRIM(Raw_Data!L465))))</f>
        <v>Voluntary</v>
      </c>
      <c r="O465" s="13" t="str">
        <f aca="false">IF(M465=0,"",IF(TRIM(Raw_Data!M465)="","Not Recorded",TRIM(Raw_Data!M465)))</f>
        <v>Relocation</v>
      </c>
      <c r="P465" s="16" t="n">
        <f aca="false">ROUND((IF(C465="",AsOfDate,C465)-B465)/365.25,2)</f>
        <v>7.75</v>
      </c>
      <c r="Q465" s="13" t="str">
        <f aca="false">IF(D465="","Unknown",IF(D465&lt;25,"Under 25",IF(D465&lt;35,"25-34",IF(D465&lt;45,"35-44",IF(D465&lt;55,"45-54","55+")))))</f>
        <v>25-34</v>
      </c>
      <c r="R465" s="13" t="str">
        <f aca="false">IF(P465&lt;1,"0-1 yrs",IF(P465&lt;3,"1-3 yrs",IF(P465&lt;5,"3-5 yrs",IF(P465&lt;10,"5-10 yrs","10+ yrs"))))</f>
        <v>5-10 yrs</v>
      </c>
      <c r="S465" s="13" t="str">
        <f aca="false">IF(I465&gt;=4,"High",IF(I465=3,"Medium","Low"))</f>
        <v>Medium</v>
      </c>
      <c r="T465" s="13" t="n">
        <f aca="false">IF(M465=1,YEAR(C465),"")</f>
        <v>2024</v>
      </c>
      <c r="U465" s="13" t="str">
        <f aca="false">IF(M465=1,YEAR(C465)&amp;"-Q"&amp;ROUNDUP(MONTH(C465)/3,0),"")</f>
        <v>2024-Q1</v>
      </c>
      <c r="V465" s="13" t="n">
        <f aca="false">IF(M465=1,MONTH(C465),"")</f>
        <v>3</v>
      </c>
    </row>
    <row r="466" customFormat="false" ht="15" hidden="false" customHeight="false" outlineLevel="0" collapsed="false">
      <c r="A466" s="13" t="str">
        <f aca="false">TRIM(Raw_Data!A466)</f>
        <v>EMP0465</v>
      </c>
      <c r="B466" s="14" t="n">
        <f aca="false">Raw_Data!B466</f>
        <v>42542</v>
      </c>
      <c r="C466" s="14" t="str">
        <f aca="false">IF(Raw_Data!C466="","",Raw_Data!C466)</f>
        <v/>
      </c>
      <c r="D466" s="13" t="n">
        <f aca="false">IF(Raw_Data!D466="","",Raw_Data!D466)</f>
        <v>37</v>
      </c>
      <c r="E466" s="13" t="str">
        <f aca="false">IF(UPPER(LEFT(TRIM(Raw_Data!E466),1))="M","Male",IF(UPPER(LEFT(TRIM(Raw_Data!E466),1))="F","Female","Unknown"))</f>
        <v>Male</v>
      </c>
      <c r="F466" s="13" t="str">
        <f aca="false">PROPER(TRIM(SUBSTITUTE(Raw_Data!F466,"'","")))</f>
        <v>Masters</v>
      </c>
      <c r="G466" s="13" t="str">
        <f aca="false">PROPER(TRIM(Raw_Data!G466))</f>
        <v>Operations</v>
      </c>
      <c r="H466" s="13" t="str">
        <f aca="false">PROPER(TRIM(Raw_Data!H466))</f>
        <v>Senior Analyst</v>
      </c>
      <c r="I466" s="13" t="n">
        <f aca="false">IF(Raw_Data!I466="",DefaultPerf,Raw_Data!I466)</f>
        <v>4</v>
      </c>
      <c r="J466" s="13" t="n">
        <f aca="false">IF(Raw_Data!J466="",DefaultSat,Raw_Data!J466)</f>
        <v>3</v>
      </c>
      <c r="K466" s="15" t="n">
        <f aca="false">Raw_Data!K466</f>
        <v>116000</v>
      </c>
      <c r="L466" s="13" t="str">
        <f aca="false">PROPER(TRIM(Raw_Data!N466))</f>
        <v>Yes</v>
      </c>
      <c r="M466" s="13" t="n">
        <f aca="false">IF(C466="",0,1)</f>
        <v>0</v>
      </c>
      <c r="N466" s="13" t="str">
        <f aca="false">IF(M466=0,"Active",IF(TRIM(Raw_Data!L466)="","Unknown",PROPER(TRIM(Raw_Data!L466))))</f>
        <v>Active</v>
      </c>
      <c r="O466" s="13" t="str">
        <f aca="false">IF(M466=0,"",IF(TRIM(Raw_Data!M466)="","Not Recorded",TRIM(Raw_Data!M466)))</f>
        <v/>
      </c>
      <c r="P466" s="16" t="n">
        <f aca="false">ROUND((IF(C466="",AsOfDate,C466)-B466)/365.25,2)</f>
        <v>9.53</v>
      </c>
      <c r="Q466" s="13" t="str">
        <f aca="false">IF(D466="","Unknown",IF(D466&lt;25,"Under 25",IF(D466&lt;35,"25-34",IF(D466&lt;45,"35-44",IF(D466&lt;55,"45-54","55+")))))</f>
        <v>35-44</v>
      </c>
      <c r="R466" s="13" t="str">
        <f aca="false">IF(P466&lt;1,"0-1 yrs",IF(P466&lt;3,"1-3 yrs",IF(P466&lt;5,"3-5 yrs",IF(P466&lt;10,"5-10 yrs","10+ yrs"))))</f>
        <v>5-10 yrs</v>
      </c>
      <c r="S466" s="13" t="str">
        <f aca="false">IF(I466&gt;=4,"High",IF(I466=3,"Medium","Low"))</f>
        <v>High</v>
      </c>
      <c r="T466" s="13" t="str">
        <f aca="false">IF(M466=1,YEAR(C466),"")</f>
        <v/>
      </c>
      <c r="U466" s="13" t="str">
        <f aca="false">IF(M466=1,YEAR(C466)&amp;"-Q"&amp;ROUNDUP(MONTH(C466)/3,0),"")</f>
        <v/>
      </c>
      <c r="V466" s="13" t="str">
        <f aca="false">IF(M466=1,MONTH(C466),"")</f>
        <v/>
      </c>
    </row>
    <row r="467" customFormat="false" ht="15" hidden="false" customHeight="false" outlineLevel="0" collapsed="false">
      <c r="A467" s="13" t="str">
        <f aca="false">TRIM(Raw_Data!A467)</f>
        <v>EMP0466</v>
      </c>
      <c r="B467" s="14" t="n">
        <f aca="false">Raw_Data!B467</f>
        <v>42545</v>
      </c>
      <c r="C467" s="14" t="n">
        <f aca="false">IF(Raw_Data!C467="","",Raw_Data!C467)</f>
        <v>44940</v>
      </c>
      <c r="D467" s="13" t="n">
        <f aca="false">IF(Raw_Data!D467="","",Raw_Data!D467)</f>
        <v>29</v>
      </c>
      <c r="E467" s="13" t="str">
        <f aca="false">IF(UPPER(LEFT(TRIM(Raw_Data!E467),1))="M","Male",IF(UPPER(LEFT(TRIM(Raw_Data!E467),1))="F","Female","Unknown"))</f>
        <v>Female</v>
      </c>
      <c r="F467" s="13" t="str">
        <f aca="false">PROPER(TRIM(SUBSTITUTE(Raw_Data!F467,"'","")))</f>
        <v>High School</v>
      </c>
      <c r="G467" s="13" t="str">
        <f aca="false">PROPER(TRIM(Raw_Data!G467))</f>
        <v>Sales</v>
      </c>
      <c r="H467" s="13" t="str">
        <f aca="false">PROPER(TRIM(Raw_Data!H467))</f>
        <v>Associate</v>
      </c>
      <c r="I467" s="13" t="n">
        <f aca="false">IF(Raw_Data!I467="",DefaultPerf,Raw_Data!I467)</f>
        <v>1</v>
      </c>
      <c r="J467" s="13" t="n">
        <f aca="false">IF(Raw_Data!J467="",DefaultSat,Raw_Data!J467)</f>
        <v>3</v>
      </c>
      <c r="K467" s="15" t="n">
        <f aca="false">Raw_Data!K467</f>
        <v>50500</v>
      </c>
      <c r="L467" s="13" t="str">
        <f aca="false">PROPER(TRIM(Raw_Data!N467))</f>
        <v>No</v>
      </c>
      <c r="M467" s="13" t="n">
        <f aca="false">IF(C467="",0,1)</f>
        <v>1</v>
      </c>
      <c r="N467" s="13" t="str">
        <f aca="false">IF(M467=0,"Active",IF(TRIM(Raw_Data!L467)="","Unknown",PROPER(TRIM(Raw_Data!L467))))</f>
        <v>Involuntary</v>
      </c>
      <c r="O467" s="13" t="str">
        <f aca="false">IF(M467=0,"",IF(TRIM(Raw_Data!M467)="","Not Recorded",TRIM(Raw_Data!M467)))</f>
        <v>Restructuring / Layoff</v>
      </c>
      <c r="P467" s="16" t="n">
        <f aca="false">ROUND((IF(C467="",AsOfDate,C467)-B467)/365.25,2)</f>
        <v>6.56</v>
      </c>
      <c r="Q467" s="13" t="str">
        <f aca="false">IF(D467="","Unknown",IF(D467&lt;25,"Under 25",IF(D467&lt;35,"25-34",IF(D467&lt;45,"35-44",IF(D467&lt;55,"45-54","55+")))))</f>
        <v>25-34</v>
      </c>
      <c r="R467" s="13" t="str">
        <f aca="false">IF(P467&lt;1,"0-1 yrs",IF(P467&lt;3,"1-3 yrs",IF(P467&lt;5,"3-5 yrs",IF(P467&lt;10,"5-10 yrs","10+ yrs"))))</f>
        <v>5-10 yrs</v>
      </c>
      <c r="S467" s="13" t="str">
        <f aca="false">IF(I467&gt;=4,"High",IF(I467=3,"Medium","Low"))</f>
        <v>Low</v>
      </c>
      <c r="T467" s="13" t="n">
        <f aca="false">IF(M467=1,YEAR(C467),"")</f>
        <v>2023</v>
      </c>
      <c r="U467" s="13" t="str">
        <f aca="false">IF(M467=1,YEAR(C467)&amp;"-Q"&amp;ROUNDUP(MONTH(C467)/3,0),"")</f>
        <v>2023-Q1</v>
      </c>
      <c r="V467" s="13" t="n">
        <f aca="false">IF(M467=1,MONTH(C467),"")</f>
        <v>1</v>
      </c>
    </row>
    <row r="468" customFormat="false" ht="15" hidden="false" customHeight="false" outlineLevel="0" collapsed="false">
      <c r="A468" s="13" t="str">
        <f aca="false">TRIM(Raw_Data!A468)</f>
        <v>EMP0467</v>
      </c>
      <c r="B468" s="14" t="n">
        <f aca="false">Raw_Data!B468</f>
        <v>42546</v>
      </c>
      <c r="C468" s="14" t="n">
        <f aca="false">IF(Raw_Data!C468="","",Raw_Data!C468)</f>
        <v>45005</v>
      </c>
      <c r="D468" s="13" t="n">
        <f aca="false">IF(Raw_Data!D468="","",Raw_Data!D468)</f>
        <v>35</v>
      </c>
      <c r="E468" s="13" t="str">
        <f aca="false">IF(UPPER(LEFT(TRIM(Raw_Data!E468),1))="M","Male",IF(UPPER(LEFT(TRIM(Raw_Data!E468),1))="F","Female","Unknown"))</f>
        <v>Female</v>
      </c>
      <c r="F468" s="13" t="str">
        <f aca="false">PROPER(TRIM(SUBSTITUTE(Raw_Data!F468,"'","")))</f>
        <v>Bachelors</v>
      </c>
      <c r="G468" s="13" t="str">
        <f aca="false">PROPER(TRIM(Raw_Data!G468))</f>
        <v>Engineering</v>
      </c>
      <c r="H468" s="13" t="str">
        <f aca="false">PROPER(TRIM(Raw_Data!H468))</f>
        <v>Senior Analyst</v>
      </c>
      <c r="I468" s="13" t="n">
        <f aca="false">IF(Raw_Data!I468="",DefaultPerf,Raw_Data!I468)</f>
        <v>4</v>
      </c>
      <c r="J468" s="13" t="n">
        <f aca="false">IF(Raw_Data!J468="",DefaultSat,Raw_Data!J468)</f>
        <v>3</v>
      </c>
      <c r="K468" s="15" t="n">
        <f aca="false">Raw_Data!K468</f>
        <v>105500</v>
      </c>
      <c r="L468" s="13" t="str">
        <f aca="false">PROPER(TRIM(Raw_Data!N468))</f>
        <v>No</v>
      </c>
      <c r="M468" s="13" t="n">
        <f aca="false">IF(C468="",0,1)</f>
        <v>1</v>
      </c>
      <c r="N468" s="13" t="str">
        <f aca="false">IF(M468=0,"Active",IF(TRIM(Raw_Data!L468)="","Unknown",PROPER(TRIM(Raw_Data!L468))))</f>
        <v>Involuntary</v>
      </c>
      <c r="O468" s="13" t="str">
        <f aca="false">IF(M468=0,"",IF(TRIM(Raw_Data!M468)="","Not Recorded",TRIM(Raw_Data!M468)))</f>
        <v>Poor Performance</v>
      </c>
      <c r="P468" s="16" t="n">
        <f aca="false">ROUND((IF(C468="",AsOfDate,C468)-B468)/365.25,2)</f>
        <v>6.73</v>
      </c>
      <c r="Q468" s="13" t="str">
        <f aca="false">IF(D468="","Unknown",IF(D468&lt;25,"Under 25",IF(D468&lt;35,"25-34",IF(D468&lt;45,"35-44",IF(D468&lt;55,"45-54","55+")))))</f>
        <v>35-44</v>
      </c>
      <c r="R468" s="13" t="str">
        <f aca="false">IF(P468&lt;1,"0-1 yrs",IF(P468&lt;3,"1-3 yrs",IF(P468&lt;5,"3-5 yrs",IF(P468&lt;10,"5-10 yrs","10+ yrs"))))</f>
        <v>5-10 yrs</v>
      </c>
      <c r="S468" s="13" t="str">
        <f aca="false">IF(I468&gt;=4,"High",IF(I468=3,"Medium","Low"))</f>
        <v>High</v>
      </c>
      <c r="T468" s="13" t="n">
        <f aca="false">IF(M468=1,YEAR(C468),"")</f>
        <v>2023</v>
      </c>
      <c r="U468" s="13" t="str">
        <f aca="false">IF(M468=1,YEAR(C468)&amp;"-Q"&amp;ROUNDUP(MONTH(C468)/3,0),"")</f>
        <v>2023-Q1</v>
      </c>
      <c r="V468" s="13" t="n">
        <f aca="false">IF(M468=1,MONTH(C468),"")</f>
        <v>3</v>
      </c>
    </row>
    <row r="469" customFormat="false" ht="15" hidden="false" customHeight="false" outlineLevel="0" collapsed="false">
      <c r="A469" s="13" t="str">
        <f aca="false">TRIM(Raw_Data!A469)</f>
        <v>EMP0468</v>
      </c>
      <c r="B469" s="14" t="n">
        <f aca="false">Raw_Data!B469</f>
        <v>42547</v>
      </c>
      <c r="C469" s="14" t="str">
        <f aca="false">IF(Raw_Data!C469="","",Raw_Data!C469)</f>
        <v/>
      </c>
      <c r="D469" s="13" t="n">
        <f aca="false">IF(Raw_Data!D469="","",Raw_Data!D469)</f>
        <v>37</v>
      </c>
      <c r="E469" s="13" t="str">
        <f aca="false">IF(UPPER(LEFT(TRIM(Raw_Data!E469),1))="M","Male",IF(UPPER(LEFT(TRIM(Raw_Data!E469),1))="F","Female","Unknown"))</f>
        <v>Female</v>
      </c>
      <c r="F469" s="13" t="str">
        <f aca="false">PROPER(TRIM(SUBSTITUTE(Raw_Data!F469,"'","")))</f>
        <v>Doctorate</v>
      </c>
      <c r="G469" s="13" t="str">
        <f aca="false">PROPER(TRIM(Raw_Data!G469))</f>
        <v>Engineering</v>
      </c>
      <c r="H469" s="13" t="str">
        <f aca="false">PROPER(TRIM(Raw_Data!H469))</f>
        <v>Analyst</v>
      </c>
      <c r="I469" s="13" t="n">
        <f aca="false">IF(Raw_Data!I469="",DefaultPerf,Raw_Data!I469)</f>
        <v>3</v>
      </c>
      <c r="J469" s="13" t="n">
        <f aca="false">IF(Raw_Data!J469="",DefaultSat,Raw_Data!J469)</f>
        <v>2</v>
      </c>
      <c r="K469" s="15" t="n">
        <f aca="false">Raw_Data!K469</f>
        <v>75500</v>
      </c>
      <c r="L469" s="13" t="str">
        <f aca="false">PROPER(TRIM(Raw_Data!N469))</f>
        <v>No</v>
      </c>
      <c r="M469" s="13" t="n">
        <f aca="false">IF(C469="",0,1)</f>
        <v>0</v>
      </c>
      <c r="N469" s="13" t="str">
        <f aca="false">IF(M469=0,"Active",IF(TRIM(Raw_Data!L469)="","Unknown",PROPER(TRIM(Raw_Data!L469))))</f>
        <v>Active</v>
      </c>
      <c r="O469" s="13" t="str">
        <f aca="false">IF(M469=0,"",IF(TRIM(Raw_Data!M469)="","Not Recorded",TRIM(Raw_Data!M469)))</f>
        <v/>
      </c>
      <c r="P469" s="16" t="n">
        <f aca="false">ROUND((IF(C469="",AsOfDate,C469)-B469)/365.25,2)</f>
        <v>9.51</v>
      </c>
      <c r="Q469" s="13" t="str">
        <f aca="false">IF(D469="","Unknown",IF(D469&lt;25,"Under 25",IF(D469&lt;35,"25-34",IF(D469&lt;45,"35-44",IF(D469&lt;55,"45-54","55+")))))</f>
        <v>35-44</v>
      </c>
      <c r="R469" s="13" t="str">
        <f aca="false">IF(P469&lt;1,"0-1 yrs",IF(P469&lt;3,"1-3 yrs",IF(P469&lt;5,"3-5 yrs",IF(P469&lt;10,"5-10 yrs","10+ yrs"))))</f>
        <v>5-10 yrs</v>
      </c>
      <c r="S469" s="13" t="str">
        <f aca="false">IF(I469&gt;=4,"High",IF(I469=3,"Medium","Low"))</f>
        <v>Medium</v>
      </c>
      <c r="T469" s="13" t="str">
        <f aca="false">IF(M469=1,YEAR(C469),"")</f>
        <v/>
      </c>
      <c r="U469" s="13" t="str">
        <f aca="false">IF(M469=1,YEAR(C469)&amp;"-Q"&amp;ROUNDUP(MONTH(C469)/3,0),"")</f>
        <v/>
      </c>
      <c r="V469" s="13" t="str">
        <f aca="false">IF(M469=1,MONTH(C469),"")</f>
        <v/>
      </c>
    </row>
    <row r="470" customFormat="false" ht="15" hidden="false" customHeight="false" outlineLevel="0" collapsed="false">
      <c r="A470" s="13" t="str">
        <f aca="false">TRIM(Raw_Data!A470)</f>
        <v>EMP0469</v>
      </c>
      <c r="B470" s="14" t="n">
        <f aca="false">Raw_Data!B470</f>
        <v>42548</v>
      </c>
      <c r="C470" s="14" t="n">
        <f aca="false">IF(Raw_Data!C470="","",Raw_Data!C470)</f>
        <v>44820</v>
      </c>
      <c r="D470" s="13" t="n">
        <f aca="false">IF(Raw_Data!D470="","",Raw_Data!D470)</f>
        <v>40</v>
      </c>
      <c r="E470" s="13" t="str">
        <f aca="false">IF(UPPER(LEFT(TRIM(Raw_Data!E470),1))="M","Male",IF(UPPER(LEFT(TRIM(Raw_Data!E470),1))="F","Female","Unknown"))</f>
        <v>Male</v>
      </c>
      <c r="F470" s="13" t="str">
        <f aca="false">PROPER(TRIM(SUBSTITUTE(Raw_Data!F470,"'","")))</f>
        <v>Bachelors</v>
      </c>
      <c r="G470" s="13" t="str">
        <f aca="false">PROPER(TRIM(Raw_Data!G470))</f>
        <v>Sales</v>
      </c>
      <c r="H470" s="13" t="str">
        <f aca="false">PROPER(TRIM(Raw_Data!H470))</f>
        <v>Associate</v>
      </c>
      <c r="I470" s="13" t="n">
        <f aca="false">IF(Raw_Data!I470="",DefaultPerf,Raw_Data!I470)</f>
        <v>3</v>
      </c>
      <c r="J470" s="13" t="n">
        <f aca="false">IF(Raw_Data!J470="",DefaultSat,Raw_Data!J470)</f>
        <v>1</v>
      </c>
      <c r="K470" s="15" t="n">
        <f aca="false">Raw_Data!K470</f>
        <v>47000</v>
      </c>
      <c r="L470" s="13" t="str">
        <f aca="false">PROPER(TRIM(Raw_Data!N470))</f>
        <v>No</v>
      </c>
      <c r="M470" s="13" t="n">
        <f aca="false">IF(C470="",0,1)</f>
        <v>1</v>
      </c>
      <c r="N470" s="13" t="str">
        <f aca="false">IF(M470=0,"Active",IF(TRIM(Raw_Data!L470)="","Unknown",PROPER(TRIM(Raw_Data!L470))))</f>
        <v>Voluntary</v>
      </c>
      <c r="O470" s="13" t="str">
        <f aca="false">IF(M470=0,"",IF(TRIM(Raw_Data!M470)="","Not Recorded",TRIM(Raw_Data!M470)))</f>
        <v>Job Dissatisfaction</v>
      </c>
      <c r="P470" s="16" t="n">
        <f aca="false">ROUND((IF(C470="",AsOfDate,C470)-B470)/365.25,2)</f>
        <v>6.22</v>
      </c>
      <c r="Q470" s="13" t="str">
        <f aca="false">IF(D470="","Unknown",IF(D470&lt;25,"Under 25",IF(D470&lt;35,"25-34",IF(D470&lt;45,"35-44",IF(D470&lt;55,"45-54","55+")))))</f>
        <v>35-44</v>
      </c>
      <c r="R470" s="13" t="str">
        <f aca="false">IF(P470&lt;1,"0-1 yrs",IF(P470&lt;3,"1-3 yrs",IF(P470&lt;5,"3-5 yrs",IF(P470&lt;10,"5-10 yrs","10+ yrs"))))</f>
        <v>5-10 yrs</v>
      </c>
      <c r="S470" s="13" t="str">
        <f aca="false">IF(I470&gt;=4,"High",IF(I470=3,"Medium","Low"))</f>
        <v>Medium</v>
      </c>
      <c r="T470" s="13" t="n">
        <f aca="false">IF(M470=1,YEAR(C470),"")</f>
        <v>2022</v>
      </c>
      <c r="U470" s="13" t="str">
        <f aca="false">IF(M470=1,YEAR(C470)&amp;"-Q"&amp;ROUNDUP(MONTH(C470)/3,0),"")</f>
        <v>2022-Q3</v>
      </c>
      <c r="V470" s="13" t="n">
        <f aca="false">IF(M470=1,MONTH(C470),"")</f>
        <v>9</v>
      </c>
    </row>
    <row r="471" customFormat="false" ht="15" hidden="false" customHeight="false" outlineLevel="0" collapsed="false">
      <c r="A471" s="13" t="str">
        <f aca="false">TRIM(Raw_Data!A471)</f>
        <v>EMP0470</v>
      </c>
      <c r="B471" s="14" t="n">
        <f aca="false">Raw_Data!B471</f>
        <v>42555</v>
      </c>
      <c r="C471" s="14" t="str">
        <f aca="false">IF(Raw_Data!C471="","",Raw_Data!C471)</f>
        <v/>
      </c>
      <c r="D471" s="13" t="n">
        <f aca="false">IF(Raw_Data!D471="","",Raw_Data!D471)</f>
        <v>40</v>
      </c>
      <c r="E471" s="13" t="str">
        <f aca="false">IF(UPPER(LEFT(TRIM(Raw_Data!E471),1))="M","Male",IF(UPPER(LEFT(TRIM(Raw_Data!E471),1))="F","Female","Unknown"))</f>
        <v>Female</v>
      </c>
      <c r="F471" s="13" t="str">
        <f aca="false">PROPER(TRIM(SUBSTITUTE(Raw_Data!F471,"'","")))</f>
        <v>Bachelors</v>
      </c>
      <c r="G471" s="13" t="str">
        <f aca="false">PROPER(TRIM(Raw_Data!G471))</f>
        <v>Operations</v>
      </c>
      <c r="H471" s="13" t="str">
        <f aca="false">PROPER(TRIM(Raw_Data!H471))</f>
        <v>Team Lead</v>
      </c>
      <c r="I471" s="13" t="n">
        <f aca="false">IF(Raw_Data!I471="",DefaultPerf,Raw_Data!I471)</f>
        <v>3</v>
      </c>
      <c r="J471" s="13" t="n">
        <f aca="false">IF(Raw_Data!J471="",DefaultSat,Raw_Data!J471)</f>
        <v>3</v>
      </c>
      <c r="K471" s="15" t="n">
        <f aca="false">Raw_Data!K471</f>
        <v>146000</v>
      </c>
      <c r="L471" s="13" t="str">
        <f aca="false">PROPER(TRIM(Raw_Data!N471))</f>
        <v>No</v>
      </c>
      <c r="M471" s="13" t="n">
        <f aca="false">IF(C471="",0,1)</f>
        <v>0</v>
      </c>
      <c r="N471" s="13" t="str">
        <f aca="false">IF(M471=0,"Active",IF(TRIM(Raw_Data!L471)="","Unknown",PROPER(TRIM(Raw_Data!L471))))</f>
        <v>Active</v>
      </c>
      <c r="O471" s="13" t="str">
        <f aca="false">IF(M471=0,"",IF(TRIM(Raw_Data!M471)="","Not Recorded",TRIM(Raw_Data!M471)))</f>
        <v/>
      </c>
      <c r="P471" s="16" t="n">
        <f aca="false">ROUND((IF(C471="",AsOfDate,C471)-B471)/365.25,2)</f>
        <v>9.49</v>
      </c>
      <c r="Q471" s="13" t="str">
        <f aca="false">IF(D471="","Unknown",IF(D471&lt;25,"Under 25",IF(D471&lt;35,"25-34",IF(D471&lt;45,"35-44",IF(D471&lt;55,"45-54","55+")))))</f>
        <v>35-44</v>
      </c>
      <c r="R471" s="13" t="str">
        <f aca="false">IF(P471&lt;1,"0-1 yrs",IF(P471&lt;3,"1-3 yrs",IF(P471&lt;5,"3-5 yrs",IF(P471&lt;10,"5-10 yrs","10+ yrs"))))</f>
        <v>5-10 yrs</v>
      </c>
      <c r="S471" s="13" t="str">
        <f aca="false">IF(I471&gt;=4,"High",IF(I471=3,"Medium","Low"))</f>
        <v>Medium</v>
      </c>
      <c r="T471" s="13" t="str">
        <f aca="false">IF(M471=1,YEAR(C471),"")</f>
        <v/>
      </c>
      <c r="U471" s="13" t="str">
        <f aca="false">IF(M471=1,YEAR(C471)&amp;"-Q"&amp;ROUNDUP(MONTH(C471)/3,0),"")</f>
        <v/>
      </c>
      <c r="V471" s="13" t="str">
        <f aca="false">IF(M471=1,MONTH(C471),"")</f>
        <v/>
      </c>
    </row>
    <row r="472" customFormat="false" ht="15" hidden="false" customHeight="false" outlineLevel="0" collapsed="false">
      <c r="A472" s="13" t="str">
        <f aca="false">TRIM(Raw_Data!A472)</f>
        <v>EMP0471</v>
      </c>
      <c r="B472" s="14" t="n">
        <f aca="false">Raw_Data!B472</f>
        <v>42555</v>
      </c>
      <c r="C472" s="14" t="str">
        <f aca="false">IF(Raw_Data!C472="","",Raw_Data!C472)</f>
        <v/>
      </c>
      <c r="D472" s="13" t="n">
        <f aca="false">IF(Raw_Data!D472="","",Raw_Data!D472)</f>
        <v>34</v>
      </c>
      <c r="E472" s="13" t="str">
        <f aca="false">IF(UPPER(LEFT(TRIM(Raw_Data!E472),1))="M","Male",IF(UPPER(LEFT(TRIM(Raw_Data!E472),1))="F","Female","Unknown"))</f>
        <v>Female</v>
      </c>
      <c r="F472" s="13" t="str">
        <f aca="false">PROPER(TRIM(SUBSTITUTE(Raw_Data!F472,"'","")))</f>
        <v>Bachelors</v>
      </c>
      <c r="G472" s="13" t="str">
        <f aca="false">PROPER(TRIM(Raw_Data!G472))</f>
        <v>Finance</v>
      </c>
      <c r="H472" s="13" t="str">
        <f aca="false">PROPER(TRIM(Raw_Data!H472))</f>
        <v>Specialist</v>
      </c>
      <c r="I472" s="13" t="n">
        <f aca="false">IF(Raw_Data!I472="",DefaultPerf,Raw_Data!I472)</f>
        <v>2</v>
      </c>
      <c r="J472" s="13" t="n">
        <f aca="false">IF(Raw_Data!J472="",DefaultSat,Raw_Data!J472)</f>
        <v>3</v>
      </c>
      <c r="K472" s="15" t="n">
        <f aca="false">Raw_Data!K472</f>
        <v>127000</v>
      </c>
      <c r="L472" s="13" t="str">
        <f aca="false">PROPER(TRIM(Raw_Data!N472))</f>
        <v>No</v>
      </c>
      <c r="M472" s="13" t="n">
        <f aca="false">IF(C472="",0,1)</f>
        <v>0</v>
      </c>
      <c r="N472" s="13" t="str">
        <f aca="false">IF(M472=0,"Active",IF(TRIM(Raw_Data!L472)="","Unknown",PROPER(TRIM(Raw_Data!L472))))</f>
        <v>Active</v>
      </c>
      <c r="O472" s="13" t="str">
        <f aca="false">IF(M472=0,"",IF(TRIM(Raw_Data!M472)="","Not Recorded",TRIM(Raw_Data!M472)))</f>
        <v/>
      </c>
      <c r="P472" s="16" t="n">
        <f aca="false">ROUND((IF(C472="",AsOfDate,C472)-B472)/365.25,2)</f>
        <v>9.49</v>
      </c>
      <c r="Q472" s="13" t="str">
        <f aca="false">IF(D472="","Unknown",IF(D472&lt;25,"Under 25",IF(D472&lt;35,"25-34",IF(D472&lt;45,"35-44",IF(D472&lt;55,"45-54","55+")))))</f>
        <v>25-34</v>
      </c>
      <c r="R472" s="13" t="str">
        <f aca="false">IF(P472&lt;1,"0-1 yrs",IF(P472&lt;3,"1-3 yrs",IF(P472&lt;5,"3-5 yrs",IF(P472&lt;10,"5-10 yrs","10+ yrs"))))</f>
        <v>5-10 yrs</v>
      </c>
      <c r="S472" s="13" t="str">
        <f aca="false">IF(I472&gt;=4,"High",IF(I472=3,"Medium","Low"))</f>
        <v>Low</v>
      </c>
      <c r="T472" s="13" t="str">
        <f aca="false">IF(M472=1,YEAR(C472),"")</f>
        <v/>
      </c>
      <c r="U472" s="13" t="str">
        <f aca="false">IF(M472=1,YEAR(C472)&amp;"-Q"&amp;ROUNDUP(MONTH(C472)/3,0),"")</f>
        <v/>
      </c>
      <c r="V472" s="13" t="str">
        <f aca="false">IF(M472=1,MONTH(C472),"")</f>
        <v/>
      </c>
    </row>
    <row r="473" customFormat="false" ht="15" hidden="false" customHeight="false" outlineLevel="0" collapsed="false">
      <c r="A473" s="13" t="str">
        <f aca="false">TRIM(Raw_Data!A473)</f>
        <v>EMP0472</v>
      </c>
      <c r="B473" s="14" t="n">
        <f aca="false">Raw_Data!B473</f>
        <v>42556</v>
      </c>
      <c r="C473" s="14" t="str">
        <f aca="false">IF(Raw_Data!C473="","",Raw_Data!C473)</f>
        <v/>
      </c>
      <c r="D473" s="13" t="n">
        <f aca="false">IF(Raw_Data!D473="","",Raw_Data!D473)</f>
        <v>42</v>
      </c>
      <c r="E473" s="13" t="str">
        <f aca="false">IF(UPPER(LEFT(TRIM(Raw_Data!E473),1))="M","Male",IF(UPPER(LEFT(TRIM(Raw_Data!E473),1))="F","Female","Unknown"))</f>
        <v>Male</v>
      </c>
      <c r="F473" s="13" t="str">
        <f aca="false">PROPER(TRIM(SUBSTITUTE(Raw_Data!F473,"'","")))</f>
        <v>Bachelors</v>
      </c>
      <c r="G473" s="13" t="str">
        <f aca="false">PROPER(TRIM(Raw_Data!G473))</f>
        <v>Customer Support</v>
      </c>
      <c r="H473" s="13" t="str">
        <f aca="false">PROPER(TRIM(Raw_Data!H473))</f>
        <v>Associate</v>
      </c>
      <c r="I473" s="13" t="n">
        <f aca="false">IF(Raw_Data!I473="",DefaultPerf,Raw_Data!I473)</f>
        <v>4</v>
      </c>
      <c r="J473" s="13" t="n">
        <f aca="false">IF(Raw_Data!J473="",DefaultSat,Raw_Data!J473)</f>
        <v>4</v>
      </c>
      <c r="K473" s="15" t="n">
        <f aca="false">Raw_Data!K473</f>
        <v>42500</v>
      </c>
      <c r="L473" s="13" t="str">
        <f aca="false">PROPER(TRIM(Raw_Data!N473))</f>
        <v>Yes</v>
      </c>
      <c r="M473" s="13" t="n">
        <f aca="false">IF(C473="",0,1)</f>
        <v>0</v>
      </c>
      <c r="N473" s="13" t="str">
        <f aca="false">IF(M473=0,"Active",IF(TRIM(Raw_Data!L473)="","Unknown",PROPER(TRIM(Raw_Data!L473))))</f>
        <v>Active</v>
      </c>
      <c r="O473" s="13" t="str">
        <f aca="false">IF(M473=0,"",IF(TRIM(Raw_Data!M473)="","Not Recorded",TRIM(Raw_Data!M473)))</f>
        <v/>
      </c>
      <c r="P473" s="16" t="n">
        <f aca="false">ROUND((IF(C473="",AsOfDate,C473)-B473)/365.25,2)</f>
        <v>9.49</v>
      </c>
      <c r="Q473" s="13" t="str">
        <f aca="false">IF(D473="","Unknown",IF(D473&lt;25,"Under 25",IF(D473&lt;35,"25-34",IF(D473&lt;45,"35-44",IF(D473&lt;55,"45-54","55+")))))</f>
        <v>35-44</v>
      </c>
      <c r="R473" s="13" t="str">
        <f aca="false">IF(P473&lt;1,"0-1 yrs",IF(P473&lt;3,"1-3 yrs",IF(P473&lt;5,"3-5 yrs",IF(P473&lt;10,"5-10 yrs","10+ yrs"))))</f>
        <v>5-10 yrs</v>
      </c>
      <c r="S473" s="13" t="str">
        <f aca="false">IF(I473&gt;=4,"High",IF(I473=3,"Medium","Low"))</f>
        <v>High</v>
      </c>
      <c r="T473" s="13" t="str">
        <f aca="false">IF(M473=1,YEAR(C473),"")</f>
        <v/>
      </c>
      <c r="U473" s="13" t="str">
        <f aca="false">IF(M473=1,YEAR(C473)&amp;"-Q"&amp;ROUNDUP(MONTH(C473)/3,0),"")</f>
        <v/>
      </c>
      <c r="V473" s="13" t="str">
        <f aca="false">IF(M473=1,MONTH(C473),"")</f>
        <v/>
      </c>
    </row>
    <row r="474" customFormat="false" ht="15" hidden="false" customHeight="false" outlineLevel="0" collapsed="false">
      <c r="A474" s="13" t="str">
        <f aca="false">TRIM(Raw_Data!A474)</f>
        <v>EMP0473</v>
      </c>
      <c r="B474" s="14" t="n">
        <f aca="false">Raw_Data!B474</f>
        <v>42562</v>
      </c>
      <c r="C474" s="14" t="str">
        <f aca="false">IF(Raw_Data!C474="","",Raw_Data!C474)</f>
        <v/>
      </c>
      <c r="D474" s="13" t="n">
        <f aca="false">IF(Raw_Data!D474="","",Raw_Data!D474)</f>
        <v>36</v>
      </c>
      <c r="E474" s="13" t="str">
        <f aca="false">IF(UPPER(LEFT(TRIM(Raw_Data!E474),1))="M","Male",IF(UPPER(LEFT(TRIM(Raw_Data!E474),1))="F","Female","Unknown"))</f>
        <v>Male</v>
      </c>
      <c r="F474" s="13" t="str">
        <f aca="false">PROPER(TRIM(SUBSTITUTE(Raw_Data!F474,"'","")))</f>
        <v>Masters</v>
      </c>
      <c r="G474" s="13" t="str">
        <f aca="false">PROPER(TRIM(Raw_Data!G474))</f>
        <v>Customer Support</v>
      </c>
      <c r="H474" s="13" t="str">
        <f aca="false">PROPER(TRIM(Raw_Data!H474))</f>
        <v>Senior Analyst</v>
      </c>
      <c r="I474" s="13" t="n">
        <f aca="false">IF(Raw_Data!I474="",DefaultPerf,Raw_Data!I474)</f>
        <v>4</v>
      </c>
      <c r="J474" s="13" t="n">
        <f aca="false">IF(Raw_Data!J474="",DefaultSat,Raw_Data!J474)</f>
        <v>4</v>
      </c>
      <c r="K474" s="15" t="n">
        <f aca="false">Raw_Data!K474</f>
        <v>114500</v>
      </c>
      <c r="L474" s="13" t="str">
        <f aca="false">PROPER(TRIM(Raw_Data!N474))</f>
        <v>No</v>
      </c>
      <c r="M474" s="13" t="n">
        <f aca="false">IF(C474="",0,1)</f>
        <v>0</v>
      </c>
      <c r="N474" s="13" t="str">
        <f aca="false">IF(M474=0,"Active",IF(TRIM(Raw_Data!L474)="","Unknown",PROPER(TRIM(Raw_Data!L474))))</f>
        <v>Active</v>
      </c>
      <c r="O474" s="13" t="str">
        <f aca="false">IF(M474=0,"",IF(TRIM(Raw_Data!M474)="","Not Recorded",TRIM(Raw_Data!M474)))</f>
        <v/>
      </c>
      <c r="P474" s="16" t="n">
        <f aca="false">ROUND((IF(C474="",AsOfDate,C474)-B474)/365.25,2)</f>
        <v>9.47</v>
      </c>
      <c r="Q474" s="13" t="str">
        <f aca="false">IF(D474="","Unknown",IF(D474&lt;25,"Under 25",IF(D474&lt;35,"25-34",IF(D474&lt;45,"35-44",IF(D474&lt;55,"45-54","55+")))))</f>
        <v>35-44</v>
      </c>
      <c r="R474" s="13" t="str">
        <f aca="false">IF(P474&lt;1,"0-1 yrs",IF(P474&lt;3,"1-3 yrs",IF(P474&lt;5,"3-5 yrs",IF(P474&lt;10,"5-10 yrs","10+ yrs"))))</f>
        <v>5-10 yrs</v>
      </c>
      <c r="S474" s="13" t="str">
        <f aca="false">IF(I474&gt;=4,"High",IF(I474=3,"Medium","Low"))</f>
        <v>High</v>
      </c>
      <c r="T474" s="13" t="str">
        <f aca="false">IF(M474=1,YEAR(C474),"")</f>
        <v/>
      </c>
      <c r="U474" s="13" t="str">
        <f aca="false">IF(M474=1,YEAR(C474)&amp;"-Q"&amp;ROUNDUP(MONTH(C474)/3,0),"")</f>
        <v/>
      </c>
      <c r="V474" s="13" t="str">
        <f aca="false">IF(M474=1,MONTH(C474),"")</f>
        <v/>
      </c>
    </row>
    <row r="475" customFormat="false" ht="15" hidden="false" customHeight="false" outlineLevel="0" collapsed="false">
      <c r="A475" s="13" t="str">
        <f aca="false">TRIM(Raw_Data!A475)</f>
        <v>EMP0474</v>
      </c>
      <c r="B475" s="14" t="n">
        <f aca="false">Raw_Data!B475</f>
        <v>42564</v>
      </c>
      <c r="C475" s="14" t="n">
        <f aca="false">IF(Raw_Data!C475="","",Raw_Data!C475)</f>
        <v>44976</v>
      </c>
      <c r="D475" s="13" t="str">
        <f aca="false">IF(Raw_Data!D475="","",Raw_Data!D475)</f>
        <v/>
      </c>
      <c r="E475" s="13" t="str">
        <f aca="false">IF(UPPER(LEFT(TRIM(Raw_Data!E475),1))="M","Male",IF(UPPER(LEFT(TRIM(Raw_Data!E475),1))="F","Female","Unknown"))</f>
        <v>Female</v>
      </c>
      <c r="F475" s="13" t="str">
        <f aca="false">PROPER(TRIM(SUBSTITUTE(Raw_Data!F475,"'","")))</f>
        <v>High School</v>
      </c>
      <c r="G475" s="13" t="str">
        <f aca="false">PROPER(TRIM(Raw_Data!G475))</f>
        <v>Customer Support</v>
      </c>
      <c r="H475" s="13" t="str">
        <f aca="false">PROPER(TRIM(Raw_Data!H475))</f>
        <v>Team Lead</v>
      </c>
      <c r="I475" s="13" t="n">
        <f aca="false">IF(Raw_Data!I475="",DefaultPerf,Raw_Data!I475)</f>
        <v>4</v>
      </c>
      <c r="J475" s="13" t="n">
        <f aca="false">IF(Raw_Data!J475="",DefaultSat,Raw_Data!J475)</f>
        <v>1</v>
      </c>
      <c r="K475" s="15" t="n">
        <f aca="false">Raw_Data!K475</f>
        <v>148000</v>
      </c>
      <c r="L475" s="13" t="str">
        <f aca="false">PROPER(TRIM(Raw_Data!N475))</f>
        <v>No</v>
      </c>
      <c r="M475" s="13" t="n">
        <f aca="false">IF(C475="",0,1)</f>
        <v>1</v>
      </c>
      <c r="N475" s="13" t="str">
        <f aca="false">IF(M475=0,"Active",IF(TRIM(Raw_Data!L475)="","Unknown",PROPER(TRIM(Raw_Data!L475))))</f>
        <v>Voluntary</v>
      </c>
      <c r="O475" s="13" t="str">
        <f aca="false">IF(M475=0,"",IF(TRIM(Raw_Data!M475)="","Not Recorded",TRIM(Raw_Data!M475)))</f>
        <v>Career Growth</v>
      </c>
      <c r="P475" s="16" t="n">
        <f aca="false">ROUND((IF(C475="",AsOfDate,C475)-B475)/365.25,2)</f>
        <v>6.6</v>
      </c>
      <c r="Q475" s="13" t="str">
        <f aca="false">IF(D475="","Unknown",IF(D475&lt;25,"Under 25",IF(D475&lt;35,"25-34",IF(D475&lt;45,"35-44",IF(D475&lt;55,"45-54","55+")))))</f>
        <v>Unknown</v>
      </c>
      <c r="R475" s="13" t="str">
        <f aca="false">IF(P475&lt;1,"0-1 yrs",IF(P475&lt;3,"1-3 yrs",IF(P475&lt;5,"3-5 yrs",IF(P475&lt;10,"5-10 yrs","10+ yrs"))))</f>
        <v>5-10 yrs</v>
      </c>
      <c r="S475" s="13" t="str">
        <f aca="false">IF(I475&gt;=4,"High",IF(I475=3,"Medium","Low"))</f>
        <v>High</v>
      </c>
      <c r="T475" s="13" t="n">
        <f aca="false">IF(M475=1,YEAR(C475),"")</f>
        <v>2023</v>
      </c>
      <c r="U475" s="13" t="str">
        <f aca="false">IF(M475=1,YEAR(C475)&amp;"-Q"&amp;ROUNDUP(MONTH(C475)/3,0),"")</f>
        <v>2023-Q1</v>
      </c>
      <c r="V475" s="13" t="n">
        <f aca="false">IF(M475=1,MONTH(C475),"")</f>
        <v>2</v>
      </c>
    </row>
    <row r="476" customFormat="false" ht="15" hidden="false" customHeight="false" outlineLevel="0" collapsed="false">
      <c r="A476" s="13" t="str">
        <f aca="false">TRIM(Raw_Data!A476)</f>
        <v>EMP0475</v>
      </c>
      <c r="B476" s="14" t="n">
        <f aca="false">Raw_Data!B476</f>
        <v>42564</v>
      </c>
      <c r="C476" s="14" t="str">
        <f aca="false">IF(Raw_Data!C476="","",Raw_Data!C476)</f>
        <v/>
      </c>
      <c r="D476" s="13" t="n">
        <f aca="false">IF(Raw_Data!D476="","",Raw_Data!D476)</f>
        <v>35</v>
      </c>
      <c r="E476" s="13" t="str">
        <f aca="false">IF(UPPER(LEFT(TRIM(Raw_Data!E476),1))="M","Male",IF(UPPER(LEFT(TRIM(Raw_Data!E476),1))="F","Female","Unknown"))</f>
        <v>Female</v>
      </c>
      <c r="F476" s="13" t="str">
        <f aca="false">PROPER(TRIM(SUBSTITUTE(Raw_Data!F476,"'","")))</f>
        <v>Bachelors</v>
      </c>
      <c r="G476" s="13" t="str">
        <f aca="false">PROPER(TRIM(Raw_Data!G476))</f>
        <v>Engineering</v>
      </c>
      <c r="H476" s="13" t="str">
        <f aca="false">PROPER(TRIM(Raw_Data!H476))</f>
        <v>Analyst</v>
      </c>
      <c r="I476" s="13" t="n">
        <f aca="false">IF(Raw_Data!I476="",DefaultPerf,Raw_Data!I476)</f>
        <v>3</v>
      </c>
      <c r="J476" s="13" t="n">
        <f aca="false">IF(Raw_Data!J476="",DefaultSat,Raw_Data!J476)</f>
        <v>3</v>
      </c>
      <c r="K476" s="15" t="n">
        <f aca="false">Raw_Data!K476</f>
        <v>76500</v>
      </c>
      <c r="L476" s="13" t="str">
        <f aca="false">PROPER(TRIM(Raw_Data!N476))</f>
        <v>No</v>
      </c>
      <c r="M476" s="13" t="n">
        <f aca="false">IF(C476="",0,1)</f>
        <v>0</v>
      </c>
      <c r="N476" s="13" t="str">
        <f aca="false">IF(M476=0,"Active",IF(TRIM(Raw_Data!L476)="","Unknown",PROPER(TRIM(Raw_Data!L476))))</f>
        <v>Active</v>
      </c>
      <c r="O476" s="13" t="str">
        <f aca="false">IF(M476=0,"",IF(TRIM(Raw_Data!M476)="","Not Recorded",TRIM(Raw_Data!M476)))</f>
        <v/>
      </c>
      <c r="P476" s="16" t="n">
        <f aca="false">ROUND((IF(C476="",AsOfDate,C476)-B476)/365.25,2)</f>
        <v>9.47</v>
      </c>
      <c r="Q476" s="13" t="str">
        <f aca="false">IF(D476="","Unknown",IF(D476&lt;25,"Under 25",IF(D476&lt;35,"25-34",IF(D476&lt;45,"35-44",IF(D476&lt;55,"45-54","55+")))))</f>
        <v>35-44</v>
      </c>
      <c r="R476" s="13" t="str">
        <f aca="false">IF(P476&lt;1,"0-1 yrs",IF(P476&lt;3,"1-3 yrs",IF(P476&lt;5,"3-5 yrs",IF(P476&lt;10,"5-10 yrs","10+ yrs"))))</f>
        <v>5-10 yrs</v>
      </c>
      <c r="S476" s="13" t="str">
        <f aca="false">IF(I476&gt;=4,"High",IF(I476=3,"Medium","Low"))</f>
        <v>Medium</v>
      </c>
      <c r="T476" s="13" t="str">
        <f aca="false">IF(M476=1,YEAR(C476),"")</f>
        <v/>
      </c>
      <c r="U476" s="13" t="str">
        <f aca="false">IF(M476=1,YEAR(C476)&amp;"-Q"&amp;ROUNDUP(MONTH(C476)/3,0),"")</f>
        <v/>
      </c>
      <c r="V476" s="13" t="str">
        <f aca="false">IF(M476=1,MONTH(C476),"")</f>
        <v/>
      </c>
    </row>
    <row r="477" customFormat="false" ht="15" hidden="false" customHeight="false" outlineLevel="0" collapsed="false">
      <c r="A477" s="13" t="str">
        <f aca="false">TRIM(Raw_Data!A477)</f>
        <v>EMP0476</v>
      </c>
      <c r="B477" s="14" t="n">
        <f aca="false">Raw_Data!B477</f>
        <v>42564</v>
      </c>
      <c r="C477" s="14" t="str">
        <f aca="false">IF(Raw_Data!C477="","",Raw_Data!C477)</f>
        <v/>
      </c>
      <c r="D477" s="13" t="n">
        <f aca="false">IF(Raw_Data!D477="","",Raw_Data!D477)</f>
        <v>30</v>
      </c>
      <c r="E477" s="13" t="str">
        <f aca="false">IF(UPPER(LEFT(TRIM(Raw_Data!E477),1))="M","Male",IF(UPPER(LEFT(TRIM(Raw_Data!E477),1))="F","Female","Unknown"))</f>
        <v>Male</v>
      </c>
      <c r="F477" s="13" t="str">
        <f aca="false">PROPER(TRIM(SUBSTITUTE(Raw_Data!F477,"'","")))</f>
        <v>High School</v>
      </c>
      <c r="G477" s="13" t="str">
        <f aca="false">PROPER(TRIM(Raw_Data!G477))</f>
        <v>Sales</v>
      </c>
      <c r="H477" s="13" t="str">
        <f aca="false">PROPER(TRIM(Raw_Data!H477))</f>
        <v>Specialist</v>
      </c>
      <c r="I477" s="13" t="n">
        <f aca="false">IF(Raw_Data!I477="",DefaultPerf,Raw_Data!I477)</f>
        <v>3</v>
      </c>
      <c r="J477" s="13" t="n">
        <f aca="false">IF(Raw_Data!J477="",DefaultSat,Raw_Data!J477)</f>
        <v>4</v>
      </c>
      <c r="K477" s="15" t="n">
        <f aca="false">Raw_Data!K477</f>
        <v>135500</v>
      </c>
      <c r="L477" s="13" t="str">
        <f aca="false">PROPER(TRIM(Raw_Data!N477))</f>
        <v>No</v>
      </c>
      <c r="M477" s="13" t="n">
        <f aca="false">IF(C477="",0,1)</f>
        <v>0</v>
      </c>
      <c r="N477" s="13" t="str">
        <f aca="false">IF(M477=0,"Active",IF(TRIM(Raw_Data!L477)="","Unknown",PROPER(TRIM(Raw_Data!L477))))</f>
        <v>Active</v>
      </c>
      <c r="O477" s="13" t="str">
        <f aca="false">IF(M477=0,"",IF(TRIM(Raw_Data!M477)="","Not Recorded",TRIM(Raw_Data!M477)))</f>
        <v/>
      </c>
      <c r="P477" s="16" t="n">
        <f aca="false">ROUND((IF(C477="",AsOfDate,C477)-B477)/365.25,2)</f>
        <v>9.47</v>
      </c>
      <c r="Q477" s="13" t="str">
        <f aca="false">IF(D477="","Unknown",IF(D477&lt;25,"Under 25",IF(D477&lt;35,"25-34",IF(D477&lt;45,"35-44",IF(D477&lt;55,"45-54","55+")))))</f>
        <v>25-34</v>
      </c>
      <c r="R477" s="13" t="str">
        <f aca="false">IF(P477&lt;1,"0-1 yrs",IF(P477&lt;3,"1-3 yrs",IF(P477&lt;5,"3-5 yrs",IF(P477&lt;10,"5-10 yrs","10+ yrs"))))</f>
        <v>5-10 yrs</v>
      </c>
      <c r="S477" s="13" t="str">
        <f aca="false">IF(I477&gt;=4,"High",IF(I477=3,"Medium","Low"))</f>
        <v>Medium</v>
      </c>
      <c r="T477" s="13" t="str">
        <f aca="false">IF(M477=1,YEAR(C477),"")</f>
        <v/>
      </c>
      <c r="U477" s="13" t="str">
        <f aca="false">IF(M477=1,YEAR(C477)&amp;"-Q"&amp;ROUNDUP(MONTH(C477)/3,0),"")</f>
        <v/>
      </c>
      <c r="V477" s="13" t="str">
        <f aca="false">IF(M477=1,MONTH(C477),"")</f>
        <v/>
      </c>
    </row>
    <row r="478" customFormat="false" ht="15" hidden="false" customHeight="false" outlineLevel="0" collapsed="false">
      <c r="A478" s="13" t="str">
        <f aca="false">TRIM(Raw_Data!A478)</f>
        <v>EMP0477</v>
      </c>
      <c r="B478" s="14" t="n">
        <f aca="false">Raw_Data!B478</f>
        <v>42567</v>
      </c>
      <c r="C478" s="14" t="str">
        <f aca="false">IF(Raw_Data!C478="","",Raw_Data!C478)</f>
        <v/>
      </c>
      <c r="D478" s="13" t="n">
        <f aca="false">IF(Raw_Data!D478="","",Raw_Data!D478)</f>
        <v>42</v>
      </c>
      <c r="E478" s="13" t="str">
        <f aca="false">IF(UPPER(LEFT(TRIM(Raw_Data!E478),1))="M","Male",IF(UPPER(LEFT(TRIM(Raw_Data!E478),1))="F","Female","Unknown"))</f>
        <v>Male</v>
      </c>
      <c r="F478" s="13" t="str">
        <f aca="false">PROPER(TRIM(SUBSTITUTE(Raw_Data!F478,"'","")))</f>
        <v>Diploma</v>
      </c>
      <c r="G478" s="13" t="str">
        <f aca="false">PROPER(TRIM(Raw_Data!G478))</f>
        <v>Sales</v>
      </c>
      <c r="H478" s="13" t="str">
        <f aca="false">PROPER(TRIM(Raw_Data!H478))</f>
        <v>Associate</v>
      </c>
      <c r="I478" s="13" t="n">
        <f aca="false">IF(Raw_Data!I478="",DefaultPerf,Raw_Data!I478)</f>
        <v>3</v>
      </c>
      <c r="J478" s="13" t="n">
        <f aca="false">IF(Raw_Data!J478="",DefaultSat,Raw_Data!J478)</f>
        <v>2</v>
      </c>
      <c r="K478" s="15" t="n">
        <f aca="false">Raw_Data!K478</f>
        <v>51500</v>
      </c>
      <c r="L478" s="13" t="str">
        <f aca="false">PROPER(TRIM(Raw_Data!N478))</f>
        <v>No</v>
      </c>
      <c r="M478" s="13" t="n">
        <f aca="false">IF(C478="",0,1)</f>
        <v>0</v>
      </c>
      <c r="N478" s="13" t="str">
        <f aca="false">IF(M478=0,"Active",IF(TRIM(Raw_Data!L478)="","Unknown",PROPER(TRIM(Raw_Data!L478))))</f>
        <v>Active</v>
      </c>
      <c r="O478" s="13" t="str">
        <f aca="false">IF(M478=0,"",IF(TRIM(Raw_Data!M478)="","Not Recorded",TRIM(Raw_Data!M478)))</f>
        <v/>
      </c>
      <c r="P478" s="16" t="n">
        <f aca="false">ROUND((IF(C478="",AsOfDate,C478)-B478)/365.25,2)</f>
        <v>9.46</v>
      </c>
      <c r="Q478" s="13" t="str">
        <f aca="false">IF(D478="","Unknown",IF(D478&lt;25,"Under 25",IF(D478&lt;35,"25-34",IF(D478&lt;45,"35-44",IF(D478&lt;55,"45-54","55+")))))</f>
        <v>35-44</v>
      </c>
      <c r="R478" s="13" t="str">
        <f aca="false">IF(P478&lt;1,"0-1 yrs",IF(P478&lt;3,"1-3 yrs",IF(P478&lt;5,"3-5 yrs",IF(P478&lt;10,"5-10 yrs","10+ yrs"))))</f>
        <v>5-10 yrs</v>
      </c>
      <c r="S478" s="13" t="str">
        <f aca="false">IF(I478&gt;=4,"High",IF(I478=3,"Medium","Low"))</f>
        <v>Medium</v>
      </c>
      <c r="T478" s="13" t="str">
        <f aca="false">IF(M478=1,YEAR(C478),"")</f>
        <v/>
      </c>
      <c r="U478" s="13" t="str">
        <f aca="false">IF(M478=1,YEAR(C478)&amp;"-Q"&amp;ROUNDUP(MONTH(C478)/3,0),"")</f>
        <v/>
      </c>
      <c r="V478" s="13" t="str">
        <f aca="false">IF(M478=1,MONTH(C478),"")</f>
        <v/>
      </c>
    </row>
    <row r="479" customFormat="false" ht="15" hidden="false" customHeight="false" outlineLevel="0" collapsed="false">
      <c r="A479" s="13" t="str">
        <f aca="false">TRIM(Raw_Data!A479)</f>
        <v>EMP0478</v>
      </c>
      <c r="B479" s="14" t="n">
        <f aca="false">Raw_Data!B479</f>
        <v>42569</v>
      </c>
      <c r="C479" s="14" t="str">
        <f aca="false">IF(Raw_Data!C479="","",Raw_Data!C479)</f>
        <v/>
      </c>
      <c r="D479" s="13" t="n">
        <f aca="false">IF(Raw_Data!D479="","",Raw_Data!D479)</f>
        <v>37</v>
      </c>
      <c r="E479" s="13" t="str">
        <f aca="false">IF(UPPER(LEFT(TRIM(Raw_Data!E479),1))="M","Male",IF(UPPER(LEFT(TRIM(Raw_Data!E479),1))="F","Female","Unknown"))</f>
        <v>Male</v>
      </c>
      <c r="F479" s="13" t="str">
        <f aca="false">PROPER(TRIM(SUBSTITUTE(Raw_Data!F479,"'","")))</f>
        <v>Bachelors</v>
      </c>
      <c r="G479" s="13" t="str">
        <f aca="false">PROPER(TRIM(Raw_Data!G479))</f>
        <v>Sales</v>
      </c>
      <c r="H479" s="13" t="str">
        <f aca="false">PROPER(TRIM(Raw_Data!H479))</f>
        <v>Associate</v>
      </c>
      <c r="I479" s="13" t="n">
        <f aca="false">IF(Raw_Data!I479="",DefaultPerf,Raw_Data!I479)</f>
        <v>3</v>
      </c>
      <c r="J479" s="13" t="n">
        <f aca="false">IF(Raw_Data!J479="",DefaultSat,Raw_Data!J479)</f>
        <v>4</v>
      </c>
      <c r="K479" s="15" t="n">
        <f aca="false">Raw_Data!K479</f>
        <v>47500</v>
      </c>
      <c r="L479" s="13" t="str">
        <f aca="false">PROPER(TRIM(Raw_Data!N479))</f>
        <v>No</v>
      </c>
      <c r="M479" s="13" t="n">
        <f aca="false">IF(C479="",0,1)</f>
        <v>0</v>
      </c>
      <c r="N479" s="13" t="str">
        <f aca="false">IF(M479=0,"Active",IF(TRIM(Raw_Data!L479)="","Unknown",PROPER(TRIM(Raw_Data!L479))))</f>
        <v>Active</v>
      </c>
      <c r="O479" s="13" t="str">
        <f aca="false">IF(M479=0,"",IF(TRIM(Raw_Data!M479)="","Not Recorded",TRIM(Raw_Data!M479)))</f>
        <v/>
      </c>
      <c r="P479" s="16" t="n">
        <f aca="false">ROUND((IF(C479="",AsOfDate,C479)-B479)/365.25,2)</f>
        <v>9.45</v>
      </c>
      <c r="Q479" s="13" t="str">
        <f aca="false">IF(D479="","Unknown",IF(D479&lt;25,"Under 25",IF(D479&lt;35,"25-34",IF(D479&lt;45,"35-44",IF(D479&lt;55,"45-54","55+")))))</f>
        <v>35-44</v>
      </c>
      <c r="R479" s="13" t="str">
        <f aca="false">IF(P479&lt;1,"0-1 yrs",IF(P479&lt;3,"1-3 yrs",IF(P479&lt;5,"3-5 yrs",IF(P479&lt;10,"5-10 yrs","10+ yrs"))))</f>
        <v>5-10 yrs</v>
      </c>
      <c r="S479" s="13" t="str">
        <f aca="false">IF(I479&gt;=4,"High",IF(I479=3,"Medium","Low"))</f>
        <v>Medium</v>
      </c>
      <c r="T479" s="13" t="str">
        <f aca="false">IF(M479=1,YEAR(C479),"")</f>
        <v/>
      </c>
      <c r="U479" s="13" t="str">
        <f aca="false">IF(M479=1,YEAR(C479)&amp;"-Q"&amp;ROUNDUP(MONTH(C479)/3,0),"")</f>
        <v/>
      </c>
      <c r="V479" s="13" t="str">
        <f aca="false">IF(M479=1,MONTH(C479),"")</f>
        <v/>
      </c>
    </row>
    <row r="480" customFormat="false" ht="15" hidden="false" customHeight="false" outlineLevel="0" collapsed="false">
      <c r="A480" s="13" t="str">
        <f aca="false">TRIM(Raw_Data!A480)</f>
        <v>EMP0479</v>
      </c>
      <c r="B480" s="14" t="n">
        <f aca="false">Raw_Data!B480</f>
        <v>42573</v>
      </c>
      <c r="C480" s="14" t="n">
        <f aca="false">IF(Raw_Data!C480="","",Raw_Data!C480)</f>
        <v>45736</v>
      </c>
      <c r="D480" s="13" t="n">
        <f aca="false">IF(Raw_Data!D480="","",Raw_Data!D480)</f>
        <v>49</v>
      </c>
      <c r="E480" s="13" t="str">
        <f aca="false">IF(UPPER(LEFT(TRIM(Raw_Data!E480),1))="M","Male",IF(UPPER(LEFT(TRIM(Raw_Data!E480),1))="F","Female","Unknown"))</f>
        <v>Female</v>
      </c>
      <c r="F480" s="13" t="str">
        <f aca="false">PROPER(TRIM(SUBSTITUTE(Raw_Data!F480,"'","")))</f>
        <v>Diploma</v>
      </c>
      <c r="G480" s="13" t="str">
        <f aca="false">PROPER(TRIM(Raw_Data!G480))</f>
        <v>Sales</v>
      </c>
      <c r="H480" s="13" t="str">
        <f aca="false">PROPER(TRIM(Raw_Data!H480))</f>
        <v>Associate</v>
      </c>
      <c r="I480" s="13" t="n">
        <f aca="false">IF(Raw_Data!I480="",DefaultPerf,Raw_Data!I480)</f>
        <v>4</v>
      </c>
      <c r="J480" s="13" t="n">
        <f aca="false">IF(Raw_Data!J480="",DefaultSat,Raw_Data!J480)</f>
        <v>3</v>
      </c>
      <c r="K480" s="15" t="n">
        <f aca="false">Raw_Data!K480</f>
        <v>41000</v>
      </c>
      <c r="L480" s="13" t="str">
        <f aca="false">PROPER(TRIM(Raw_Data!N480))</f>
        <v>No</v>
      </c>
      <c r="M480" s="13" t="n">
        <f aca="false">IF(C480="",0,1)</f>
        <v>1</v>
      </c>
      <c r="N480" s="13" t="str">
        <f aca="false">IF(M480=0,"Active",IF(TRIM(Raw_Data!L480)="","Unknown",PROPER(TRIM(Raw_Data!L480))))</f>
        <v>Voluntary</v>
      </c>
      <c r="O480" s="13" t="str">
        <f aca="false">IF(M480=0,"",IF(TRIM(Raw_Data!M480)="","Not Recorded",TRIM(Raw_Data!M480)))</f>
        <v>Relocation</v>
      </c>
      <c r="P480" s="16" t="n">
        <f aca="false">ROUND((IF(C480="",AsOfDate,C480)-B480)/365.25,2)</f>
        <v>8.66</v>
      </c>
      <c r="Q480" s="13" t="str">
        <f aca="false">IF(D480="","Unknown",IF(D480&lt;25,"Under 25",IF(D480&lt;35,"25-34",IF(D480&lt;45,"35-44",IF(D480&lt;55,"45-54","55+")))))</f>
        <v>45-54</v>
      </c>
      <c r="R480" s="13" t="str">
        <f aca="false">IF(P480&lt;1,"0-1 yrs",IF(P480&lt;3,"1-3 yrs",IF(P480&lt;5,"3-5 yrs",IF(P480&lt;10,"5-10 yrs","10+ yrs"))))</f>
        <v>5-10 yrs</v>
      </c>
      <c r="S480" s="13" t="str">
        <f aca="false">IF(I480&gt;=4,"High",IF(I480=3,"Medium","Low"))</f>
        <v>High</v>
      </c>
      <c r="T480" s="13" t="n">
        <f aca="false">IF(M480=1,YEAR(C480),"")</f>
        <v>2025</v>
      </c>
      <c r="U480" s="13" t="str">
        <f aca="false">IF(M480=1,YEAR(C480)&amp;"-Q"&amp;ROUNDUP(MONTH(C480)/3,0),"")</f>
        <v>2025-Q1</v>
      </c>
      <c r="V480" s="13" t="n">
        <f aca="false">IF(M480=1,MONTH(C480),"")</f>
        <v>3</v>
      </c>
    </row>
    <row r="481" customFormat="false" ht="15" hidden="false" customHeight="false" outlineLevel="0" collapsed="false">
      <c r="A481" s="13" t="str">
        <f aca="false">TRIM(Raw_Data!A481)</f>
        <v>EMP0480</v>
      </c>
      <c r="B481" s="14" t="n">
        <f aca="false">Raw_Data!B481</f>
        <v>42578</v>
      </c>
      <c r="C481" s="14" t="str">
        <f aca="false">IF(Raw_Data!C481="","",Raw_Data!C481)</f>
        <v/>
      </c>
      <c r="D481" s="13" t="n">
        <f aca="false">IF(Raw_Data!D481="","",Raw_Data!D481)</f>
        <v>39</v>
      </c>
      <c r="E481" s="13" t="str">
        <f aca="false">IF(UPPER(LEFT(TRIM(Raw_Data!E481),1))="M","Male",IF(UPPER(LEFT(TRIM(Raw_Data!E481),1))="F","Female","Unknown"))</f>
        <v>Male</v>
      </c>
      <c r="F481" s="13" t="str">
        <f aca="false">PROPER(TRIM(SUBSTITUTE(Raw_Data!F481,"'","")))</f>
        <v>Diploma</v>
      </c>
      <c r="G481" s="13" t="str">
        <f aca="false">PROPER(TRIM(Raw_Data!G481))</f>
        <v>Human Resources</v>
      </c>
      <c r="H481" s="13" t="str">
        <f aca="false">PROPER(TRIM(Raw_Data!H481))</f>
        <v>Specialist</v>
      </c>
      <c r="I481" s="13" t="n">
        <f aca="false">IF(Raw_Data!I481="",DefaultPerf,Raw_Data!I481)</f>
        <v>3</v>
      </c>
      <c r="J481" s="13" t="n">
        <f aca="false">IF(Raw_Data!J481="",DefaultSat,Raw_Data!J481)</f>
        <v>3</v>
      </c>
      <c r="K481" s="15" t="n">
        <f aca="false">Raw_Data!K481</f>
        <v>116500</v>
      </c>
      <c r="L481" s="13" t="str">
        <f aca="false">PROPER(TRIM(Raw_Data!N481))</f>
        <v>Yes</v>
      </c>
      <c r="M481" s="13" t="n">
        <f aca="false">IF(C481="",0,1)</f>
        <v>0</v>
      </c>
      <c r="N481" s="13" t="str">
        <f aca="false">IF(M481=0,"Active",IF(TRIM(Raw_Data!L481)="","Unknown",PROPER(TRIM(Raw_Data!L481))))</f>
        <v>Active</v>
      </c>
      <c r="O481" s="13" t="str">
        <f aca="false">IF(M481=0,"",IF(TRIM(Raw_Data!M481)="","Not Recorded",TRIM(Raw_Data!M481)))</f>
        <v/>
      </c>
      <c r="P481" s="16" t="n">
        <f aca="false">ROUND((IF(C481="",AsOfDate,C481)-B481)/365.25,2)</f>
        <v>9.43</v>
      </c>
      <c r="Q481" s="13" t="str">
        <f aca="false">IF(D481="","Unknown",IF(D481&lt;25,"Under 25",IF(D481&lt;35,"25-34",IF(D481&lt;45,"35-44",IF(D481&lt;55,"45-54","55+")))))</f>
        <v>35-44</v>
      </c>
      <c r="R481" s="13" t="str">
        <f aca="false">IF(P481&lt;1,"0-1 yrs",IF(P481&lt;3,"1-3 yrs",IF(P481&lt;5,"3-5 yrs",IF(P481&lt;10,"5-10 yrs","10+ yrs"))))</f>
        <v>5-10 yrs</v>
      </c>
      <c r="S481" s="13" t="str">
        <f aca="false">IF(I481&gt;=4,"High",IF(I481=3,"Medium","Low"))</f>
        <v>Medium</v>
      </c>
      <c r="T481" s="13" t="str">
        <f aca="false">IF(M481=1,YEAR(C481),"")</f>
        <v/>
      </c>
      <c r="U481" s="13" t="str">
        <f aca="false">IF(M481=1,YEAR(C481)&amp;"-Q"&amp;ROUNDUP(MONTH(C481)/3,0),"")</f>
        <v/>
      </c>
      <c r="V481" s="13" t="str">
        <f aca="false">IF(M481=1,MONTH(C481),"")</f>
        <v/>
      </c>
    </row>
    <row r="482" customFormat="false" ht="15" hidden="false" customHeight="false" outlineLevel="0" collapsed="false">
      <c r="A482" s="13" t="str">
        <f aca="false">TRIM(Raw_Data!A482)</f>
        <v>EMP0481</v>
      </c>
      <c r="B482" s="14" t="n">
        <f aca="false">Raw_Data!B482</f>
        <v>42578</v>
      </c>
      <c r="C482" s="14" t="str">
        <f aca="false">IF(Raw_Data!C482="","",Raw_Data!C482)</f>
        <v/>
      </c>
      <c r="D482" s="13" t="n">
        <f aca="false">IF(Raw_Data!D482="","",Raw_Data!D482)</f>
        <v>31</v>
      </c>
      <c r="E482" s="13" t="str">
        <f aca="false">IF(UPPER(LEFT(TRIM(Raw_Data!E482),1))="M","Male",IF(UPPER(LEFT(TRIM(Raw_Data!E482),1))="F","Female","Unknown"))</f>
        <v>Female</v>
      </c>
      <c r="F482" s="13" t="str">
        <f aca="false">PROPER(TRIM(SUBSTITUTE(Raw_Data!F482,"'","")))</f>
        <v>Bachelors</v>
      </c>
      <c r="G482" s="13" t="str">
        <f aca="false">PROPER(TRIM(Raw_Data!G482))</f>
        <v>Engineering</v>
      </c>
      <c r="H482" s="13" t="str">
        <f aca="false">PROPER(TRIM(Raw_Data!H482))</f>
        <v>Analyst</v>
      </c>
      <c r="I482" s="13" t="n">
        <f aca="false">IF(Raw_Data!I482="",DefaultPerf,Raw_Data!I482)</f>
        <v>4</v>
      </c>
      <c r="J482" s="13" t="n">
        <f aca="false">IF(Raw_Data!J482="",DefaultSat,Raw_Data!J482)</f>
        <v>4</v>
      </c>
      <c r="K482" s="15" t="n">
        <f aca="false">Raw_Data!K482</f>
        <v>62000</v>
      </c>
      <c r="L482" s="13" t="str">
        <f aca="false">PROPER(TRIM(Raw_Data!N482))</f>
        <v>Yes</v>
      </c>
      <c r="M482" s="13" t="n">
        <f aca="false">IF(C482="",0,1)</f>
        <v>0</v>
      </c>
      <c r="N482" s="13" t="str">
        <f aca="false">IF(M482=0,"Active",IF(TRIM(Raw_Data!L482)="","Unknown",PROPER(TRIM(Raw_Data!L482))))</f>
        <v>Active</v>
      </c>
      <c r="O482" s="13" t="str">
        <f aca="false">IF(M482=0,"",IF(TRIM(Raw_Data!M482)="","Not Recorded",TRIM(Raw_Data!M482)))</f>
        <v/>
      </c>
      <c r="P482" s="16" t="n">
        <f aca="false">ROUND((IF(C482="",AsOfDate,C482)-B482)/365.25,2)</f>
        <v>9.43</v>
      </c>
      <c r="Q482" s="13" t="str">
        <f aca="false">IF(D482="","Unknown",IF(D482&lt;25,"Under 25",IF(D482&lt;35,"25-34",IF(D482&lt;45,"35-44",IF(D482&lt;55,"45-54","55+")))))</f>
        <v>25-34</v>
      </c>
      <c r="R482" s="13" t="str">
        <f aca="false">IF(P482&lt;1,"0-1 yrs",IF(P482&lt;3,"1-3 yrs",IF(P482&lt;5,"3-5 yrs",IF(P482&lt;10,"5-10 yrs","10+ yrs"))))</f>
        <v>5-10 yrs</v>
      </c>
      <c r="S482" s="13" t="str">
        <f aca="false">IF(I482&gt;=4,"High",IF(I482=3,"Medium","Low"))</f>
        <v>High</v>
      </c>
      <c r="T482" s="13" t="str">
        <f aca="false">IF(M482=1,YEAR(C482),"")</f>
        <v/>
      </c>
      <c r="U482" s="13" t="str">
        <f aca="false">IF(M482=1,YEAR(C482)&amp;"-Q"&amp;ROUNDUP(MONTH(C482)/3,0),"")</f>
        <v/>
      </c>
      <c r="V482" s="13" t="str">
        <f aca="false">IF(M482=1,MONTH(C482),"")</f>
        <v/>
      </c>
    </row>
    <row r="483" customFormat="false" ht="15" hidden="false" customHeight="false" outlineLevel="0" collapsed="false">
      <c r="A483" s="13" t="str">
        <f aca="false">TRIM(Raw_Data!A483)</f>
        <v>EMP0482</v>
      </c>
      <c r="B483" s="14" t="n">
        <f aca="false">Raw_Data!B483</f>
        <v>42586</v>
      </c>
      <c r="C483" s="14" t="str">
        <f aca="false">IF(Raw_Data!C483="","",Raw_Data!C483)</f>
        <v/>
      </c>
      <c r="D483" s="13" t="n">
        <f aca="false">IF(Raw_Data!D483="","",Raw_Data!D483)</f>
        <v>36</v>
      </c>
      <c r="E483" s="13" t="str">
        <f aca="false">IF(UPPER(LEFT(TRIM(Raw_Data!E483),1))="M","Male",IF(UPPER(LEFT(TRIM(Raw_Data!E483),1))="F","Female","Unknown"))</f>
        <v>Female</v>
      </c>
      <c r="F483" s="13" t="str">
        <f aca="false">PROPER(TRIM(SUBSTITUTE(Raw_Data!F483,"'","")))</f>
        <v>Masters</v>
      </c>
      <c r="G483" s="13" t="str">
        <f aca="false">PROPER(TRIM(Raw_Data!G483))</f>
        <v>Engineering</v>
      </c>
      <c r="H483" s="13" t="str">
        <f aca="false">PROPER(TRIM(Raw_Data!H483))</f>
        <v>Team Lead</v>
      </c>
      <c r="I483" s="13" t="n">
        <f aca="false">IF(Raw_Data!I483="",DefaultPerf,Raw_Data!I483)</f>
        <v>5</v>
      </c>
      <c r="J483" s="13" t="n">
        <f aca="false">IF(Raw_Data!J483="",DefaultSat,Raw_Data!J483)</f>
        <v>4</v>
      </c>
      <c r="K483" s="15" t="n">
        <f aca="false">Raw_Data!K483</f>
        <v>175500</v>
      </c>
      <c r="L483" s="13" t="str">
        <f aca="false">PROPER(TRIM(Raw_Data!N483))</f>
        <v>No</v>
      </c>
      <c r="M483" s="13" t="n">
        <f aca="false">IF(C483="",0,1)</f>
        <v>0</v>
      </c>
      <c r="N483" s="13" t="str">
        <f aca="false">IF(M483=0,"Active",IF(TRIM(Raw_Data!L483)="","Unknown",PROPER(TRIM(Raw_Data!L483))))</f>
        <v>Active</v>
      </c>
      <c r="O483" s="13" t="str">
        <f aca="false">IF(M483=0,"",IF(TRIM(Raw_Data!M483)="","Not Recorded",TRIM(Raw_Data!M483)))</f>
        <v/>
      </c>
      <c r="P483" s="16" t="n">
        <f aca="false">ROUND((IF(C483="",AsOfDate,C483)-B483)/365.25,2)</f>
        <v>9.41</v>
      </c>
      <c r="Q483" s="13" t="str">
        <f aca="false">IF(D483="","Unknown",IF(D483&lt;25,"Under 25",IF(D483&lt;35,"25-34",IF(D483&lt;45,"35-44",IF(D483&lt;55,"45-54","55+")))))</f>
        <v>35-44</v>
      </c>
      <c r="R483" s="13" t="str">
        <f aca="false">IF(P483&lt;1,"0-1 yrs",IF(P483&lt;3,"1-3 yrs",IF(P483&lt;5,"3-5 yrs",IF(P483&lt;10,"5-10 yrs","10+ yrs"))))</f>
        <v>5-10 yrs</v>
      </c>
      <c r="S483" s="13" t="str">
        <f aca="false">IF(I483&gt;=4,"High",IF(I483=3,"Medium","Low"))</f>
        <v>High</v>
      </c>
      <c r="T483" s="13" t="str">
        <f aca="false">IF(M483=1,YEAR(C483),"")</f>
        <v/>
      </c>
      <c r="U483" s="13" t="str">
        <f aca="false">IF(M483=1,YEAR(C483)&amp;"-Q"&amp;ROUNDUP(MONTH(C483)/3,0),"")</f>
        <v/>
      </c>
      <c r="V483" s="13" t="str">
        <f aca="false">IF(M483=1,MONTH(C483),"")</f>
        <v/>
      </c>
    </row>
    <row r="484" customFormat="false" ht="15" hidden="false" customHeight="false" outlineLevel="0" collapsed="false">
      <c r="A484" s="13" t="str">
        <f aca="false">TRIM(Raw_Data!A484)</f>
        <v>EMP0483</v>
      </c>
      <c r="B484" s="14" t="n">
        <f aca="false">Raw_Data!B484</f>
        <v>42587</v>
      </c>
      <c r="C484" s="14" t="str">
        <f aca="false">IF(Raw_Data!C484="","",Raw_Data!C484)</f>
        <v/>
      </c>
      <c r="D484" s="13" t="n">
        <f aca="false">IF(Raw_Data!D484="","",Raw_Data!D484)</f>
        <v>46</v>
      </c>
      <c r="E484" s="13" t="str">
        <f aca="false">IF(UPPER(LEFT(TRIM(Raw_Data!E484),1))="M","Male",IF(UPPER(LEFT(TRIM(Raw_Data!E484),1))="F","Female","Unknown"))</f>
        <v>Male</v>
      </c>
      <c r="F484" s="13" t="str">
        <f aca="false">PROPER(TRIM(SUBSTITUTE(Raw_Data!F484,"'","")))</f>
        <v>Masters</v>
      </c>
      <c r="G484" s="13" t="str">
        <f aca="false">PROPER(TRIM(Raw_Data!G484))</f>
        <v>Finance</v>
      </c>
      <c r="H484" s="13" t="str">
        <f aca="false">PROPER(TRIM(Raw_Data!H484))</f>
        <v>Associate</v>
      </c>
      <c r="I484" s="13" t="n">
        <f aca="false">IF(Raw_Data!I484="",DefaultPerf,Raw_Data!I484)</f>
        <v>2</v>
      </c>
      <c r="J484" s="13" t="n">
        <f aca="false">IF(Raw_Data!J484="",DefaultSat,Raw_Data!J484)</f>
        <v>4</v>
      </c>
      <c r="K484" s="15" t="n">
        <f aca="false">Raw_Data!K484</f>
        <v>40000</v>
      </c>
      <c r="L484" s="13" t="str">
        <f aca="false">PROPER(TRIM(Raw_Data!N484))</f>
        <v>No</v>
      </c>
      <c r="M484" s="13" t="n">
        <f aca="false">IF(C484="",0,1)</f>
        <v>0</v>
      </c>
      <c r="N484" s="13" t="str">
        <f aca="false">IF(M484=0,"Active",IF(TRIM(Raw_Data!L484)="","Unknown",PROPER(TRIM(Raw_Data!L484))))</f>
        <v>Active</v>
      </c>
      <c r="O484" s="13" t="str">
        <f aca="false">IF(M484=0,"",IF(TRIM(Raw_Data!M484)="","Not Recorded",TRIM(Raw_Data!M484)))</f>
        <v/>
      </c>
      <c r="P484" s="16" t="n">
        <f aca="false">ROUND((IF(C484="",AsOfDate,C484)-B484)/365.25,2)</f>
        <v>9.4</v>
      </c>
      <c r="Q484" s="13" t="str">
        <f aca="false">IF(D484="","Unknown",IF(D484&lt;25,"Under 25",IF(D484&lt;35,"25-34",IF(D484&lt;45,"35-44",IF(D484&lt;55,"45-54","55+")))))</f>
        <v>45-54</v>
      </c>
      <c r="R484" s="13" t="str">
        <f aca="false">IF(P484&lt;1,"0-1 yrs",IF(P484&lt;3,"1-3 yrs",IF(P484&lt;5,"3-5 yrs",IF(P484&lt;10,"5-10 yrs","10+ yrs"))))</f>
        <v>5-10 yrs</v>
      </c>
      <c r="S484" s="13" t="str">
        <f aca="false">IF(I484&gt;=4,"High",IF(I484=3,"Medium","Low"))</f>
        <v>Low</v>
      </c>
      <c r="T484" s="13" t="str">
        <f aca="false">IF(M484=1,YEAR(C484),"")</f>
        <v/>
      </c>
      <c r="U484" s="13" t="str">
        <f aca="false">IF(M484=1,YEAR(C484)&amp;"-Q"&amp;ROUNDUP(MONTH(C484)/3,0),"")</f>
        <v/>
      </c>
      <c r="V484" s="13" t="str">
        <f aca="false">IF(M484=1,MONTH(C484),"")</f>
        <v/>
      </c>
    </row>
    <row r="485" customFormat="false" ht="15" hidden="false" customHeight="false" outlineLevel="0" collapsed="false">
      <c r="A485" s="13" t="str">
        <f aca="false">TRIM(Raw_Data!A485)</f>
        <v>EMP0484</v>
      </c>
      <c r="B485" s="14" t="n">
        <f aca="false">Raw_Data!B485</f>
        <v>42592</v>
      </c>
      <c r="C485" s="14" t="str">
        <f aca="false">IF(Raw_Data!C485="","",Raw_Data!C485)</f>
        <v/>
      </c>
      <c r="D485" s="13" t="n">
        <f aca="false">IF(Raw_Data!D485="","",Raw_Data!D485)</f>
        <v>37</v>
      </c>
      <c r="E485" s="13" t="str">
        <f aca="false">IF(UPPER(LEFT(TRIM(Raw_Data!E485),1))="M","Male",IF(UPPER(LEFT(TRIM(Raw_Data!E485),1))="F","Female","Unknown"))</f>
        <v>Female</v>
      </c>
      <c r="F485" s="13" t="str">
        <f aca="false">PROPER(TRIM(SUBSTITUTE(Raw_Data!F485,"'","")))</f>
        <v>Bachelors</v>
      </c>
      <c r="G485" s="13" t="str">
        <f aca="false">PROPER(TRIM(Raw_Data!G485))</f>
        <v>Operations</v>
      </c>
      <c r="H485" s="13" t="str">
        <f aca="false">PROPER(TRIM(Raw_Data!H485))</f>
        <v>Analyst</v>
      </c>
      <c r="I485" s="13" t="n">
        <f aca="false">IF(Raw_Data!I485="",DefaultPerf,Raw_Data!I485)</f>
        <v>4</v>
      </c>
      <c r="J485" s="13" t="n">
        <f aca="false">IF(Raw_Data!J485="",DefaultSat,Raw_Data!J485)</f>
        <v>4</v>
      </c>
      <c r="K485" s="15" t="n">
        <f aca="false">Raw_Data!K485</f>
        <v>79500</v>
      </c>
      <c r="L485" s="13" t="str">
        <f aca="false">PROPER(TRIM(Raw_Data!N485))</f>
        <v>Yes</v>
      </c>
      <c r="M485" s="13" t="n">
        <f aca="false">IF(C485="",0,1)</f>
        <v>0</v>
      </c>
      <c r="N485" s="13" t="str">
        <f aca="false">IF(M485=0,"Active",IF(TRIM(Raw_Data!L485)="","Unknown",PROPER(TRIM(Raw_Data!L485))))</f>
        <v>Active</v>
      </c>
      <c r="O485" s="13" t="str">
        <f aca="false">IF(M485=0,"",IF(TRIM(Raw_Data!M485)="","Not Recorded",TRIM(Raw_Data!M485)))</f>
        <v/>
      </c>
      <c r="P485" s="16" t="n">
        <f aca="false">ROUND((IF(C485="",AsOfDate,C485)-B485)/365.25,2)</f>
        <v>9.39</v>
      </c>
      <c r="Q485" s="13" t="str">
        <f aca="false">IF(D485="","Unknown",IF(D485&lt;25,"Under 25",IF(D485&lt;35,"25-34",IF(D485&lt;45,"35-44",IF(D485&lt;55,"45-54","55+")))))</f>
        <v>35-44</v>
      </c>
      <c r="R485" s="13" t="str">
        <f aca="false">IF(P485&lt;1,"0-1 yrs",IF(P485&lt;3,"1-3 yrs",IF(P485&lt;5,"3-5 yrs",IF(P485&lt;10,"5-10 yrs","10+ yrs"))))</f>
        <v>5-10 yrs</v>
      </c>
      <c r="S485" s="13" t="str">
        <f aca="false">IF(I485&gt;=4,"High",IF(I485=3,"Medium","Low"))</f>
        <v>High</v>
      </c>
      <c r="T485" s="13" t="str">
        <f aca="false">IF(M485=1,YEAR(C485),"")</f>
        <v/>
      </c>
      <c r="U485" s="13" t="str">
        <f aca="false">IF(M485=1,YEAR(C485)&amp;"-Q"&amp;ROUNDUP(MONTH(C485)/3,0),"")</f>
        <v/>
      </c>
      <c r="V485" s="13" t="str">
        <f aca="false">IF(M485=1,MONTH(C485),"")</f>
        <v/>
      </c>
    </row>
    <row r="486" customFormat="false" ht="15" hidden="false" customHeight="false" outlineLevel="0" collapsed="false">
      <c r="A486" s="13" t="str">
        <f aca="false">TRIM(Raw_Data!A486)</f>
        <v>EMP0485</v>
      </c>
      <c r="B486" s="14" t="n">
        <f aca="false">Raw_Data!B486</f>
        <v>42593</v>
      </c>
      <c r="C486" s="14" t="str">
        <f aca="false">IF(Raw_Data!C486="","",Raw_Data!C486)</f>
        <v/>
      </c>
      <c r="D486" s="13" t="n">
        <f aca="false">IF(Raw_Data!D486="","",Raw_Data!D486)</f>
        <v>35</v>
      </c>
      <c r="E486" s="13" t="str">
        <f aca="false">IF(UPPER(LEFT(TRIM(Raw_Data!E486),1))="M","Male",IF(UPPER(LEFT(TRIM(Raw_Data!E486),1))="F","Female","Unknown"))</f>
        <v>Male</v>
      </c>
      <c r="F486" s="13" t="str">
        <f aca="false">PROPER(TRIM(SUBSTITUTE(Raw_Data!F486,"'","")))</f>
        <v>Bachelors</v>
      </c>
      <c r="G486" s="13" t="str">
        <f aca="false">PROPER(TRIM(Raw_Data!G486))</f>
        <v>Sales</v>
      </c>
      <c r="H486" s="13" t="str">
        <f aca="false">PROPER(TRIM(Raw_Data!H486))</f>
        <v>Analyst</v>
      </c>
      <c r="I486" s="13" t="n">
        <f aca="false">IF(Raw_Data!I486="",DefaultPerf,Raw_Data!I486)</f>
        <v>4</v>
      </c>
      <c r="J486" s="13" t="n">
        <f aca="false">IF(Raw_Data!J486="",DefaultSat,Raw_Data!J486)</f>
        <v>3</v>
      </c>
      <c r="K486" s="15" t="n">
        <f aca="false">Raw_Data!K486</f>
        <v>76000</v>
      </c>
      <c r="L486" s="13" t="str">
        <f aca="false">PROPER(TRIM(Raw_Data!N486))</f>
        <v>No</v>
      </c>
      <c r="M486" s="13" t="n">
        <f aca="false">IF(C486="",0,1)</f>
        <v>0</v>
      </c>
      <c r="N486" s="13" t="str">
        <f aca="false">IF(M486=0,"Active",IF(TRIM(Raw_Data!L486)="","Unknown",PROPER(TRIM(Raw_Data!L486))))</f>
        <v>Active</v>
      </c>
      <c r="O486" s="13" t="str">
        <f aca="false">IF(M486=0,"",IF(TRIM(Raw_Data!M486)="","Not Recorded",TRIM(Raw_Data!M486)))</f>
        <v/>
      </c>
      <c r="P486" s="16" t="n">
        <f aca="false">ROUND((IF(C486="",AsOfDate,C486)-B486)/365.25,2)</f>
        <v>9.39</v>
      </c>
      <c r="Q486" s="13" t="str">
        <f aca="false">IF(D486="","Unknown",IF(D486&lt;25,"Under 25",IF(D486&lt;35,"25-34",IF(D486&lt;45,"35-44",IF(D486&lt;55,"45-54","55+")))))</f>
        <v>35-44</v>
      </c>
      <c r="R486" s="13" t="str">
        <f aca="false">IF(P486&lt;1,"0-1 yrs",IF(P486&lt;3,"1-3 yrs",IF(P486&lt;5,"3-5 yrs",IF(P486&lt;10,"5-10 yrs","10+ yrs"))))</f>
        <v>5-10 yrs</v>
      </c>
      <c r="S486" s="13" t="str">
        <f aca="false">IF(I486&gt;=4,"High",IF(I486=3,"Medium","Low"))</f>
        <v>High</v>
      </c>
      <c r="T486" s="13" t="str">
        <f aca="false">IF(M486=1,YEAR(C486),"")</f>
        <v/>
      </c>
      <c r="U486" s="13" t="str">
        <f aca="false">IF(M486=1,YEAR(C486)&amp;"-Q"&amp;ROUNDUP(MONTH(C486)/3,0),"")</f>
        <v/>
      </c>
      <c r="V486" s="13" t="str">
        <f aca="false">IF(M486=1,MONTH(C486),"")</f>
        <v/>
      </c>
    </row>
    <row r="487" customFormat="false" ht="15" hidden="false" customHeight="false" outlineLevel="0" collapsed="false">
      <c r="A487" s="13" t="str">
        <f aca="false">TRIM(Raw_Data!A487)</f>
        <v>EMP0486</v>
      </c>
      <c r="B487" s="14" t="n">
        <f aca="false">Raw_Data!B487</f>
        <v>42597</v>
      </c>
      <c r="C487" s="14" t="n">
        <f aca="false">IF(Raw_Data!C487="","",Raw_Data!C487)</f>
        <v>44727</v>
      </c>
      <c r="D487" s="13" t="n">
        <f aca="false">IF(Raw_Data!D487="","",Raw_Data!D487)</f>
        <v>34</v>
      </c>
      <c r="E487" s="13" t="str">
        <f aca="false">IF(UPPER(LEFT(TRIM(Raw_Data!E487),1))="M","Male",IF(UPPER(LEFT(TRIM(Raw_Data!E487),1))="F","Female","Unknown"))</f>
        <v>Female</v>
      </c>
      <c r="F487" s="13" t="str">
        <f aca="false">PROPER(TRIM(SUBSTITUTE(Raw_Data!F487,"'","")))</f>
        <v>Bachelors</v>
      </c>
      <c r="G487" s="13" t="str">
        <f aca="false">PROPER(TRIM(Raw_Data!G487))</f>
        <v>Customer Support</v>
      </c>
      <c r="H487" s="13" t="str">
        <f aca="false">PROPER(TRIM(Raw_Data!H487))</f>
        <v>Specialist</v>
      </c>
      <c r="I487" s="13" t="n">
        <f aca="false">IF(Raw_Data!I487="",DefaultPerf,Raw_Data!I487)</f>
        <v>2</v>
      </c>
      <c r="J487" s="13" t="n">
        <f aca="false">IF(Raw_Data!J487="",DefaultSat,Raw_Data!J487)</f>
        <v>4</v>
      </c>
      <c r="K487" s="15" t="n">
        <f aca="false">Raw_Data!K487</f>
        <v>116000</v>
      </c>
      <c r="L487" s="13" t="str">
        <f aca="false">PROPER(TRIM(Raw_Data!N487))</f>
        <v>No</v>
      </c>
      <c r="M487" s="13" t="n">
        <f aca="false">IF(C487="",0,1)</f>
        <v>1</v>
      </c>
      <c r="N487" s="13" t="str">
        <f aca="false">IF(M487=0,"Active",IF(TRIM(Raw_Data!L487)="","Unknown",PROPER(TRIM(Raw_Data!L487))))</f>
        <v>Involuntary</v>
      </c>
      <c r="O487" s="13" t="str">
        <f aca="false">IF(M487=0,"",IF(TRIM(Raw_Data!M487)="","Not Recorded",TRIM(Raw_Data!M487)))</f>
        <v>End of Contract</v>
      </c>
      <c r="P487" s="16" t="n">
        <f aca="false">ROUND((IF(C487="",AsOfDate,C487)-B487)/365.25,2)</f>
        <v>5.83</v>
      </c>
      <c r="Q487" s="13" t="str">
        <f aca="false">IF(D487="","Unknown",IF(D487&lt;25,"Under 25",IF(D487&lt;35,"25-34",IF(D487&lt;45,"35-44",IF(D487&lt;55,"45-54","55+")))))</f>
        <v>25-34</v>
      </c>
      <c r="R487" s="13" t="str">
        <f aca="false">IF(P487&lt;1,"0-1 yrs",IF(P487&lt;3,"1-3 yrs",IF(P487&lt;5,"3-5 yrs",IF(P487&lt;10,"5-10 yrs","10+ yrs"))))</f>
        <v>5-10 yrs</v>
      </c>
      <c r="S487" s="13" t="str">
        <f aca="false">IF(I487&gt;=4,"High",IF(I487=3,"Medium","Low"))</f>
        <v>Low</v>
      </c>
      <c r="T487" s="13" t="n">
        <f aca="false">IF(M487=1,YEAR(C487),"")</f>
        <v>2022</v>
      </c>
      <c r="U487" s="13" t="str">
        <f aca="false">IF(M487=1,YEAR(C487)&amp;"-Q"&amp;ROUNDUP(MONTH(C487)/3,0),"")</f>
        <v>2022-Q2</v>
      </c>
      <c r="V487" s="13" t="n">
        <f aca="false">IF(M487=1,MONTH(C487),"")</f>
        <v>6</v>
      </c>
    </row>
    <row r="488" customFormat="false" ht="15" hidden="false" customHeight="false" outlineLevel="0" collapsed="false">
      <c r="A488" s="13" t="str">
        <f aca="false">TRIM(Raw_Data!A488)</f>
        <v>EMP0487</v>
      </c>
      <c r="B488" s="14" t="n">
        <f aca="false">Raw_Data!B488</f>
        <v>42598</v>
      </c>
      <c r="C488" s="14" t="str">
        <f aca="false">IF(Raw_Data!C488="","",Raw_Data!C488)</f>
        <v/>
      </c>
      <c r="D488" s="13" t="n">
        <f aca="false">IF(Raw_Data!D488="","",Raw_Data!D488)</f>
        <v>39</v>
      </c>
      <c r="E488" s="13" t="str">
        <f aca="false">IF(UPPER(LEFT(TRIM(Raw_Data!E488),1))="M","Male",IF(UPPER(LEFT(TRIM(Raw_Data!E488),1))="F","Female","Unknown"))</f>
        <v>Male</v>
      </c>
      <c r="F488" s="13" t="str">
        <f aca="false">PROPER(TRIM(SUBSTITUTE(Raw_Data!F488,"'","")))</f>
        <v>Bachelors</v>
      </c>
      <c r="G488" s="13" t="str">
        <f aca="false">PROPER(TRIM(Raw_Data!G488))</f>
        <v>Engineering</v>
      </c>
      <c r="H488" s="13" t="str">
        <f aca="false">PROPER(TRIM(Raw_Data!H488))</f>
        <v>Senior Analyst</v>
      </c>
      <c r="I488" s="13" t="n">
        <f aca="false">IF(Raw_Data!I488="",DefaultPerf,Raw_Data!I488)</f>
        <v>3</v>
      </c>
      <c r="J488" s="13" t="n">
        <f aca="false">IF(Raw_Data!J488="",DefaultSat,Raw_Data!J488)</f>
        <v>2</v>
      </c>
      <c r="K488" s="15" t="n">
        <f aca="false">Raw_Data!K488</f>
        <v>103000</v>
      </c>
      <c r="L488" s="13" t="str">
        <f aca="false">PROPER(TRIM(Raw_Data!N488))</f>
        <v>No</v>
      </c>
      <c r="M488" s="13" t="n">
        <f aca="false">IF(C488="",0,1)</f>
        <v>0</v>
      </c>
      <c r="N488" s="13" t="str">
        <f aca="false">IF(M488=0,"Active",IF(TRIM(Raw_Data!L488)="","Unknown",PROPER(TRIM(Raw_Data!L488))))</f>
        <v>Active</v>
      </c>
      <c r="O488" s="13" t="str">
        <f aca="false">IF(M488=0,"",IF(TRIM(Raw_Data!M488)="","Not Recorded",TRIM(Raw_Data!M488)))</f>
        <v/>
      </c>
      <c r="P488" s="16" t="n">
        <f aca="false">ROUND((IF(C488="",AsOfDate,C488)-B488)/365.25,2)</f>
        <v>9.37</v>
      </c>
      <c r="Q488" s="13" t="str">
        <f aca="false">IF(D488="","Unknown",IF(D488&lt;25,"Under 25",IF(D488&lt;35,"25-34",IF(D488&lt;45,"35-44",IF(D488&lt;55,"45-54","55+")))))</f>
        <v>35-44</v>
      </c>
      <c r="R488" s="13" t="str">
        <f aca="false">IF(P488&lt;1,"0-1 yrs",IF(P488&lt;3,"1-3 yrs",IF(P488&lt;5,"3-5 yrs",IF(P488&lt;10,"5-10 yrs","10+ yrs"))))</f>
        <v>5-10 yrs</v>
      </c>
      <c r="S488" s="13" t="str">
        <f aca="false">IF(I488&gt;=4,"High",IF(I488=3,"Medium","Low"))</f>
        <v>Medium</v>
      </c>
      <c r="T488" s="13" t="str">
        <f aca="false">IF(M488=1,YEAR(C488),"")</f>
        <v/>
      </c>
      <c r="U488" s="13" t="str">
        <f aca="false">IF(M488=1,YEAR(C488)&amp;"-Q"&amp;ROUNDUP(MONTH(C488)/3,0),"")</f>
        <v/>
      </c>
      <c r="V488" s="13" t="str">
        <f aca="false">IF(M488=1,MONTH(C488),"")</f>
        <v/>
      </c>
    </row>
    <row r="489" customFormat="false" ht="15" hidden="false" customHeight="false" outlineLevel="0" collapsed="false">
      <c r="A489" s="13" t="str">
        <f aca="false">TRIM(Raw_Data!A489)</f>
        <v>EMP0488</v>
      </c>
      <c r="B489" s="14" t="n">
        <f aca="false">Raw_Data!B489</f>
        <v>42602</v>
      </c>
      <c r="C489" s="14" t="n">
        <f aca="false">IF(Raw_Data!C489="","",Raw_Data!C489)</f>
        <v>44564</v>
      </c>
      <c r="D489" s="13" t="n">
        <f aca="false">IF(Raw_Data!D489="","",Raw_Data!D489)</f>
        <v>32</v>
      </c>
      <c r="E489" s="13" t="str">
        <f aca="false">IF(UPPER(LEFT(TRIM(Raw_Data!E489),1))="M","Male",IF(UPPER(LEFT(TRIM(Raw_Data!E489),1))="F","Female","Unknown"))</f>
        <v>Male</v>
      </c>
      <c r="F489" s="13" t="str">
        <f aca="false">PROPER(TRIM(SUBSTITUTE(Raw_Data!F489,"'","")))</f>
        <v>Masters</v>
      </c>
      <c r="G489" s="13" t="str">
        <f aca="false">PROPER(TRIM(Raw_Data!G489))</f>
        <v>Sales</v>
      </c>
      <c r="H489" s="13" t="str">
        <f aca="false">PROPER(TRIM(Raw_Data!H489))</f>
        <v>Specialist</v>
      </c>
      <c r="I489" s="13" t="n">
        <f aca="false">IF(Raw_Data!I489="",DefaultPerf,Raw_Data!I489)</f>
        <v>2</v>
      </c>
      <c r="J489" s="17" t="n">
        <f aca="false">IF(Raw_Data!J489="",DefaultSat,Raw_Data!J489)</f>
        <v>3</v>
      </c>
      <c r="K489" s="15" t="n">
        <f aca="false">Raw_Data!K489</f>
        <v>115500</v>
      </c>
      <c r="L489" s="13" t="str">
        <f aca="false">PROPER(TRIM(Raw_Data!N489))</f>
        <v>No</v>
      </c>
      <c r="M489" s="13" t="n">
        <f aca="false">IF(C489="",0,1)</f>
        <v>1</v>
      </c>
      <c r="N489" s="13" t="str">
        <f aca="false">IF(M489=0,"Active",IF(TRIM(Raw_Data!L489)="","Unknown",PROPER(TRIM(Raw_Data!L489))))</f>
        <v>Voluntary</v>
      </c>
      <c r="O489" s="13" t="str">
        <f aca="false">IF(M489=0,"",IF(TRIM(Raw_Data!M489)="","Not Recorded",TRIM(Raw_Data!M489)))</f>
        <v>Better Compensation</v>
      </c>
      <c r="P489" s="16" t="n">
        <f aca="false">ROUND((IF(C489="",AsOfDate,C489)-B489)/365.25,2)</f>
        <v>5.37</v>
      </c>
      <c r="Q489" s="13" t="str">
        <f aca="false">IF(D489="","Unknown",IF(D489&lt;25,"Under 25",IF(D489&lt;35,"25-34",IF(D489&lt;45,"35-44",IF(D489&lt;55,"45-54","55+")))))</f>
        <v>25-34</v>
      </c>
      <c r="R489" s="13" t="str">
        <f aca="false">IF(P489&lt;1,"0-1 yrs",IF(P489&lt;3,"1-3 yrs",IF(P489&lt;5,"3-5 yrs",IF(P489&lt;10,"5-10 yrs","10+ yrs"))))</f>
        <v>5-10 yrs</v>
      </c>
      <c r="S489" s="13" t="str">
        <f aca="false">IF(I489&gt;=4,"High",IF(I489=3,"Medium","Low"))</f>
        <v>Low</v>
      </c>
      <c r="T489" s="13" t="n">
        <f aca="false">IF(M489=1,YEAR(C489),"")</f>
        <v>2022</v>
      </c>
      <c r="U489" s="13" t="str">
        <f aca="false">IF(M489=1,YEAR(C489)&amp;"-Q"&amp;ROUNDUP(MONTH(C489)/3,0),"")</f>
        <v>2022-Q1</v>
      </c>
      <c r="V489" s="13" t="n">
        <f aca="false">IF(M489=1,MONTH(C489),"")</f>
        <v>1</v>
      </c>
    </row>
    <row r="490" customFormat="false" ht="15" hidden="false" customHeight="false" outlineLevel="0" collapsed="false">
      <c r="A490" s="13" t="str">
        <f aca="false">TRIM(Raw_Data!A490)</f>
        <v>EMP0489</v>
      </c>
      <c r="B490" s="14" t="n">
        <f aca="false">Raw_Data!B490</f>
        <v>42609</v>
      </c>
      <c r="C490" s="14" t="str">
        <f aca="false">IF(Raw_Data!C490="","",Raw_Data!C490)</f>
        <v/>
      </c>
      <c r="D490" s="13" t="n">
        <f aca="false">IF(Raw_Data!D490="","",Raw_Data!D490)</f>
        <v>33</v>
      </c>
      <c r="E490" s="13" t="str">
        <f aca="false">IF(UPPER(LEFT(TRIM(Raw_Data!E490),1))="M","Male",IF(UPPER(LEFT(TRIM(Raw_Data!E490),1))="F","Female","Unknown"))</f>
        <v>Male</v>
      </c>
      <c r="F490" s="13" t="str">
        <f aca="false">PROPER(TRIM(SUBSTITUTE(Raw_Data!F490,"'","")))</f>
        <v>Doctorate</v>
      </c>
      <c r="G490" s="13" t="str">
        <f aca="false">PROPER(TRIM(Raw_Data!G490))</f>
        <v>Engineering</v>
      </c>
      <c r="H490" s="13" t="str">
        <f aca="false">PROPER(TRIM(Raw_Data!H490))</f>
        <v>Senior Analyst</v>
      </c>
      <c r="I490" s="13" t="n">
        <f aca="false">IF(Raw_Data!I490="",DefaultPerf,Raw_Data!I490)</f>
        <v>3</v>
      </c>
      <c r="J490" s="13" t="n">
        <f aca="false">IF(Raw_Data!J490="",DefaultSat,Raw_Data!J490)</f>
        <v>3</v>
      </c>
      <c r="K490" s="15" t="n">
        <f aca="false">Raw_Data!K490</f>
        <v>103500</v>
      </c>
      <c r="L490" s="13" t="str">
        <f aca="false">PROPER(TRIM(Raw_Data!N490))</f>
        <v>No</v>
      </c>
      <c r="M490" s="13" t="n">
        <f aca="false">IF(C490="",0,1)</f>
        <v>0</v>
      </c>
      <c r="N490" s="13" t="str">
        <f aca="false">IF(M490=0,"Active",IF(TRIM(Raw_Data!L490)="","Unknown",PROPER(TRIM(Raw_Data!L490))))</f>
        <v>Active</v>
      </c>
      <c r="O490" s="13" t="str">
        <f aca="false">IF(M490=0,"",IF(TRIM(Raw_Data!M490)="","Not Recorded",TRIM(Raw_Data!M490)))</f>
        <v/>
      </c>
      <c r="P490" s="16" t="n">
        <f aca="false">ROUND((IF(C490="",AsOfDate,C490)-B490)/365.25,2)</f>
        <v>9.34</v>
      </c>
      <c r="Q490" s="13" t="str">
        <f aca="false">IF(D490="","Unknown",IF(D490&lt;25,"Under 25",IF(D490&lt;35,"25-34",IF(D490&lt;45,"35-44",IF(D490&lt;55,"45-54","55+")))))</f>
        <v>25-34</v>
      </c>
      <c r="R490" s="13" t="str">
        <f aca="false">IF(P490&lt;1,"0-1 yrs",IF(P490&lt;3,"1-3 yrs",IF(P490&lt;5,"3-5 yrs",IF(P490&lt;10,"5-10 yrs","10+ yrs"))))</f>
        <v>5-10 yrs</v>
      </c>
      <c r="S490" s="13" t="str">
        <f aca="false">IF(I490&gt;=4,"High",IF(I490=3,"Medium","Low"))</f>
        <v>Medium</v>
      </c>
      <c r="T490" s="13" t="str">
        <f aca="false">IF(M490=1,YEAR(C490),"")</f>
        <v/>
      </c>
      <c r="U490" s="13" t="str">
        <f aca="false">IF(M490=1,YEAR(C490)&amp;"-Q"&amp;ROUNDUP(MONTH(C490)/3,0),"")</f>
        <v/>
      </c>
      <c r="V490" s="13" t="str">
        <f aca="false">IF(M490=1,MONTH(C490),"")</f>
        <v/>
      </c>
    </row>
    <row r="491" customFormat="false" ht="15" hidden="false" customHeight="false" outlineLevel="0" collapsed="false">
      <c r="A491" s="13" t="str">
        <f aca="false">TRIM(Raw_Data!A491)</f>
        <v>EMP0490</v>
      </c>
      <c r="B491" s="14" t="n">
        <f aca="false">Raw_Data!B491</f>
        <v>42609</v>
      </c>
      <c r="C491" s="14" t="str">
        <f aca="false">IF(Raw_Data!C491="","",Raw_Data!C491)</f>
        <v/>
      </c>
      <c r="D491" s="13" t="n">
        <f aca="false">IF(Raw_Data!D491="","",Raw_Data!D491)</f>
        <v>31</v>
      </c>
      <c r="E491" s="13" t="str">
        <f aca="false">IF(UPPER(LEFT(TRIM(Raw_Data!E491),1))="M","Male",IF(UPPER(LEFT(TRIM(Raw_Data!E491),1))="F","Female","Unknown"))</f>
        <v>Male</v>
      </c>
      <c r="F491" s="13" t="str">
        <f aca="false">PROPER(TRIM(SUBSTITUTE(Raw_Data!F491,"'","")))</f>
        <v>High School</v>
      </c>
      <c r="G491" s="13" t="str">
        <f aca="false">PROPER(TRIM(Raw_Data!G491))</f>
        <v>Human Resources</v>
      </c>
      <c r="H491" s="13" t="str">
        <f aca="false">PROPER(TRIM(Raw_Data!H491))</f>
        <v>Associate</v>
      </c>
      <c r="I491" s="13" t="n">
        <f aca="false">IF(Raw_Data!I491="",DefaultPerf,Raw_Data!I491)</f>
        <v>2</v>
      </c>
      <c r="J491" s="13" t="n">
        <f aca="false">IF(Raw_Data!J491="",DefaultSat,Raw_Data!J491)</f>
        <v>2</v>
      </c>
      <c r="K491" s="15" t="n">
        <f aca="false">Raw_Data!K491</f>
        <v>43000</v>
      </c>
      <c r="L491" s="13" t="str">
        <f aca="false">PROPER(TRIM(Raw_Data!N491))</f>
        <v>No</v>
      </c>
      <c r="M491" s="13" t="n">
        <f aca="false">IF(C491="",0,1)</f>
        <v>0</v>
      </c>
      <c r="N491" s="13" t="str">
        <f aca="false">IF(M491=0,"Active",IF(TRIM(Raw_Data!L491)="","Unknown",PROPER(TRIM(Raw_Data!L491))))</f>
        <v>Active</v>
      </c>
      <c r="O491" s="13" t="str">
        <f aca="false">IF(M491=0,"",IF(TRIM(Raw_Data!M491)="","Not Recorded",TRIM(Raw_Data!M491)))</f>
        <v/>
      </c>
      <c r="P491" s="16" t="n">
        <f aca="false">ROUND((IF(C491="",AsOfDate,C491)-B491)/365.25,2)</f>
        <v>9.34</v>
      </c>
      <c r="Q491" s="13" t="str">
        <f aca="false">IF(D491="","Unknown",IF(D491&lt;25,"Under 25",IF(D491&lt;35,"25-34",IF(D491&lt;45,"35-44",IF(D491&lt;55,"45-54","55+")))))</f>
        <v>25-34</v>
      </c>
      <c r="R491" s="13" t="str">
        <f aca="false">IF(P491&lt;1,"0-1 yrs",IF(P491&lt;3,"1-3 yrs",IF(P491&lt;5,"3-5 yrs",IF(P491&lt;10,"5-10 yrs","10+ yrs"))))</f>
        <v>5-10 yrs</v>
      </c>
      <c r="S491" s="13" t="str">
        <f aca="false">IF(I491&gt;=4,"High",IF(I491=3,"Medium","Low"))</f>
        <v>Low</v>
      </c>
      <c r="T491" s="13" t="str">
        <f aca="false">IF(M491=1,YEAR(C491),"")</f>
        <v/>
      </c>
      <c r="U491" s="13" t="str">
        <f aca="false">IF(M491=1,YEAR(C491)&amp;"-Q"&amp;ROUNDUP(MONTH(C491)/3,0),"")</f>
        <v/>
      </c>
      <c r="V491" s="13" t="str">
        <f aca="false">IF(M491=1,MONTH(C491),"")</f>
        <v/>
      </c>
    </row>
    <row r="492" customFormat="false" ht="15" hidden="false" customHeight="false" outlineLevel="0" collapsed="false">
      <c r="A492" s="13" t="str">
        <f aca="false">TRIM(Raw_Data!A492)</f>
        <v>EMP0491</v>
      </c>
      <c r="B492" s="14" t="n">
        <f aca="false">Raw_Data!B492</f>
        <v>42617</v>
      </c>
      <c r="C492" s="14" t="n">
        <f aca="false">IF(Raw_Data!C492="","",Raw_Data!C492)</f>
        <v>44569</v>
      </c>
      <c r="D492" s="13" t="n">
        <f aca="false">IF(Raw_Data!D492="","",Raw_Data!D492)</f>
        <v>39</v>
      </c>
      <c r="E492" s="13" t="str">
        <f aca="false">IF(UPPER(LEFT(TRIM(Raw_Data!E492),1))="M","Male",IF(UPPER(LEFT(TRIM(Raw_Data!E492),1))="F","Female","Unknown"))</f>
        <v>Male</v>
      </c>
      <c r="F492" s="13" t="str">
        <f aca="false">PROPER(TRIM(SUBSTITUTE(Raw_Data!F492,"'","")))</f>
        <v>High School</v>
      </c>
      <c r="G492" s="13" t="str">
        <f aca="false">PROPER(TRIM(Raw_Data!G492))</f>
        <v>Engineering</v>
      </c>
      <c r="H492" s="13" t="str">
        <f aca="false">PROPER(TRIM(Raw_Data!H492))</f>
        <v>Specialist</v>
      </c>
      <c r="I492" s="13" t="n">
        <f aca="false">IF(Raw_Data!I492="",DefaultPerf,Raw_Data!I492)</f>
        <v>3</v>
      </c>
      <c r="J492" s="13" t="n">
        <f aca="false">IF(Raw_Data!J492="",DefaultSat,Raw_Data!J492)</f>
        <v>2</v>
      </c>
      <c r="K492" s="15" t="n">
        <f aca="false">Raw_Data!K492</f>
        <v>103000</v>
      </c>
      <c r="L492" s="13" t="str">
        <f aca="false">PROPER(TRIM(Raw_Data!N492))</f>
        <v>Yes</v>
      </c>
      <c r="M492" s="13" t="n">
        <f aca="false">IF(C492="",0,1)</f>
        <v>1</v>
      </c>
      <c r="N492" s="13" t="str">
        <f aca="false">IF(M492=0,"Active",IF(TRIM(Raw_Data!L492)="","Unknown",PROPER(TRIM(Raw_Data!L492))))</f>
        <v>Voluntary</v>
      </c>
      <c r="O492" s="13" t="str">
        <f aca="false">IF(M492=0,"",IF(TRIM(Raw_Data!M492)="","Not Recorded",TRIM(Raw_Data!M492)))</f>
        <v>Better Compensation</v>
      </c>
      <c r="P492" s="16" t="n">
        <f aca="false">ROUND((IF(C492="",AsOfDate,C492)-B492)/365.25,2)</f>
        <v>5.34</v>
      </c>
      <c r="Q492" s="13" t="str">
        <f aca="false">IF(D492="","Unknown",IF(D492&lt;25,"Under 25",IF(D492&lt;35,"25-34",IF(D492&lt;45,"35-44",IF(D492&lt;55,"45-54","55+")))))</f>
        <v>35-44</v>
      </c>
      <c r="R492" s="13" t="str">
        <f aca="false">IF(P492&lt;1,"0-1 yrs",IF(P492&lt;3,"1-3 yrs",IF(P492&lt;5,"3-5 yrs",IF(P492&lt;10,"5-10 yrs","10+ yrs"))))</f>
        <v>5-10 yrs</v>
      </c>
      <c r="S492" s="13" t="str">
        <f aca="false">IF(I492&gt;=4,"High",IF(I492=3,"Medium","Low"))</f>
        <v>Medium</v>
      </c>
      <c r="T492" s="13" t="n">
        <f aca="false">IF(M492=1,YEAR(C492),"")</f>
        <v>2022</v>
      </c>
      <c r="U492" s="13" t="str">
        <f aca="false">IF(M492=1,YEAR(C492)&amp;"-Q"&amp;ROUNDUP(MONTH(C492)/3,0),"")</f>
        <v>2022-Q1</v>
      </c>
      <c r="V492" s="13" t="n">
        <f aca="false">IF(M492=1,MONTH(C492),"")</f>
        <v>1</v>
      </c>
    </row>
    <row r="493" customFormat="false" ht="15" hidden="false" customHeight="false" outlineLevel="0" collapsed="false">
      <c r="A493" s="13" t="str">
        <f aca="false">TRIM(Raw_Data!A493)</f>
        <v>EMP0492</v>
      </c>
      <c r="B493" s="14" t="n">
        <f aca="false">Raw_Data!B493</f>
        <v>42619</v>
      </c>
      <c r="C493" s="14" t="n">
        <f aca="false">IF(Raw_Data!C493="","",Raw_Data!C493)</f>
        <v>45275</v>
      </c>
      <c r="D493" s="13" t="n">
        <f aca="false">IF(Raw_Data!D493="","",Raw_Data!D493)</f>
        <v>50</v>
      </c>
      <c r="E493" s="13" t="str">
        <f aca="false">IF(UPPER(LEFT(TRIM(Raw_Data!E493),1))="M","Male",IF(UPPER(LEFT(TRIM(Raw_Data!E493),1))="F","Female","Unknown"))</f>
        <v>Female</v>
      </c>
      <c r="F493" s="13" t="str">
        <f aca="false">PROPER(TRIM(SUBSTITUTE(Raw_Data!F493,"'","")))</f>
        <v>Masters</v>
      </c>
      <c r="G493" s="13" t="str">
        <f aca="false">PROPER(TRIM(Raw_Data!G493))</f>
        <v>Customer Support</v>
      </c>
      <c r="H493" s="13" t="str">
        <f aca="false">PROPER(TRIM(Raw_Data!H493))</f>
        <v>Specialist</v>
      </c>
      <c r="I493" s="13" t="n">
        <f aca="false">IF(Raw_Data!I493="",DefaultPerf,Raw_Data!I493)</f>
        <v>1</v>
      </c>
      <c r="J493" s="13" t="n">
        <f aca="false">IF(Raw_Data!J493="",DefaultSat,Raw_Data!J493)</f>
        <v>4</v>
      </c>
      <c r="K493" s="15" t="n">
        <f aca="false">Raw_Data!K493</f>
        <v>142500</v>
      </c>
      <c r="L493" s="13" t="str">
        <f aca="false">PROPER(TRIM(Raw_Data!N493))</f>
        <v>Yes</v>
      </c>
      <c r="M493" s="13" t="n">
        <f aca="false">IF(C493="",0,1)</f>
        <v>1</v>
      </c>
      <c r="N493" s="13" t="str">
        <f aca="false">IF(M493=0,"Active",IF(TRIM(Raw_Data!L493)="","Unknown",PROPER(TRIM(Raw_Data!L493))))</f>
        <v>Involuntary</v>
      </c>
      <c r="O493" s="13" t="str">
        <f aca="false">IF(M493=0,"",IF(TRIM(Raw_Data!M493)="","Not Recorded",TRIM(Raw_Data!M493)))</f>
        <v>Restructuring / Layoff</v>
      </c>
      <c r="P493" s="16" t="n">
        <f aca="false">ROUND((IF(C493="",AsOfDate,C493)-B493)/365.25,2)</f>
        <v>7.27</v>
      </c>
      <c r="Q493" s="13" t="str">
        <f aca="false">IF(D493="","Unknown",IF(D493&lt;25,"Under 25",IF(D493&lt;35,"25-34",IF(D493&lt;45,"35-44",IF(D493&lt;55,"45-54","55+")))))</f>
        <v>45-54</v>
      </c>
      <c r="R493" s="13" t="str">
        <f aca="false">IF(P493&lt;1,"0-1 yrs",IF(P493&lt;3,"1-3 yrs",IF(P493&lt;5,"3-5 yrs",IF(P493&lt;10,"5-10 yrs","10+ yrs"))))</f>
        <v>5-10 yrs</v>
      </c>
      <c r="S493" s="13" t="str">
        <f aca="false">IF(I493&gt;=4,"High",IF(I493=3,"Medium","Low"))</f>
        <v>Low</v>
      </c>
      <c r="T493" s="13" t="n">
        <f aca="false">IF(M493=1,YEAR(C493),"")</f>
        <v>2023</v>
      </c>
      <c r="U493" s="13" t="str">
        <f aca="false">IF(M493=1,YEAR(C493)&amp;"-Q"&amp;ROUNDUP(MONTH(C493)/3,0),"")</f>
        <v>2023-Q4</v>
      </c>
      <c r="V493" s="13" t="n">
        <f aca="false">IF(M493=1,MONTH(C493),"")</f>
        <v>12</v>
      </c>
    </row>
    <row r="494" customFormat="false" ht="15" hidden="false" customHeight="false" outlineLevel="0" collapsed="false">
      <c r="A494" s="13" t="str">
        <f aca="false">TRIM(Raw_Data!A494)</f>
        <v>EMP0493</v>
      </c>
      <c r="B494" s="14" t="n">
        <f aca="false">Raw_Data!B494</f>
        <v>42619</v>
      </c>
      <c r="C494" s="14" t="str">
        <f aca="false">IF(Raw_Data!C494="","",Raw_Data!C494)</f>
        <v/>
      </c>
      <c r="D494" s="13" t="n">
        <f aca="false">IF(Raw_Data!D494="","",Raw_Data!D494)</f>
        <v>41</v>
      </c>
      <c r="E494" s="13" t="str">
        <f aca="false">IF(UPPER(LEFT(TRIM(Raw_Data!E494),1))="M","Male",IF(UPPER(LEFT(TRIM(Raw_Data!E494),1))="F","Female","Unknown"))</f>
        <v>Female</v>
      </c>
      <c r="F494" s="13" t="str">
        <f aca="false">PROPER(TRIM(SUBSTITUTE(Raw_Data!F494,"'","")))</f>
        <v>Doctorate</v>
      </c>
      <c r="G494" s="13" t="str">
        <f aca="false">PROPER(TRIM(Raw_Data!G494))</f>
        <v>Engineering</v>
      </c>
      <c r="H494" s="13" t="str">
        <f aca="false">PROPER(TRIM(Raw_Data!H494))</f>
        <v>Specialist</v>
      </c>
      <c r="I494" s="13" t="n">
        <f aca="false">IF(Raw_Data!I494="",DefaultPerf,Raw_Data!I494)</f>
        <v>3</v>
      </c>
      <c r="J494" s="13" t="n">
        <f aca="false">IF(Raw_Data!J494="",DefaultSat,Raw_Data!J494)</f>
        <v>2</v>
      </c>
      <c r="K494" s="15" t="n">
        <f aca="false">Raw_Data!K494</f>
        <v>126500</v>
      </c>
      <c r="L494" s="13" t="str">
        <f aca="false">PROPER(TRIM(Raw_Data!N494))</f>
        <v>No</v>
      </c>
      <c r="M494" s="13" t="n">
        <f aca="false">IF(C494="",0,1)</f>
        <v>0</v>
      </c>
      <c r="N494" s="13" t="str">
        <f aca="false">IF(M494=0,"Active",IF(TRIM(Raw_Data!L494)="","Unknown",PROPER(TRIM(Raw_Data!L494))))</f>
        <v>Active</v>
      </c>
      <c r="O494" s="13" t="str">
        <f aca="false">IF(M494=0,"",IF(TRIM(Raw_Data!M494)="","Not Recorded",TRIM(Raw_Data!M494)))</f>
        <v/>
      </c>
      <c r="P494" s="16" t="n">
        <f aca="false">ROUND((IF(C494="",AsOfDate,C494)-B494)/365.25,2)</f>
        <v>9.32</v>
      </c>
      <c r="Q494" s="13" t="str">
        <f aca="false">IF(D494="","Unknown",IF(D494&lt;25,"Under 25",IF(D494&lt;35,"25-34",IF(D494&lt;45,"35-44",IF(D494&lt;55,"45-54","55+")))))</f>
        <v>35-44</v>
      </c>
      <c r="R494" s="13" t="str">
        <f aca="false">IF(P494&lt;1,"0-1 yrs",IF(P494&lt;3,"1-3 yrs",IF(P494&lt;5,"3-5 yrs",IF(P494&lt;10,"5-10 yrs","10+ yrs"))))</f>
        <v>5-10 yrs</v>
      </c>
      <c r="S494" s="13" t="str">
        <f aca="false">IF(I494&gt;=4,"High",IF(I494=3,"Medium","Low"))</f>
        <v>Medium</v>
      </c>
      <c r="T494" s="13" t="str">
        <f aca="false">IF(M494=1,YEAR(C494),"")</f>
        <v/>
      </c>
      <c r="U494" s="13" t="str">
        <f aca="false">IF(M494=1,YEAR(C494)&amp;"-Q"&amp;ROUNDUP(MONTH(C494)/3,0),"")</f>
        <v/>
      </c>
      <c r="V494" s="13" t="str">
        <f aca="false">IF(M494=1,MONTH(C494),"")</f>
        <v/>
      </c>
    </row>
    <row r="495" customFormat="false" ht="15" hidden="false" customHeight="false" outlineLevel="0" collapsed="false">
      <c r="A495" s="13" t="str">
        <f aca="false">TRIM(Raw_Data!A495)</f>
        <v>EMP0494</v>
      </c>
      <c r="B495" s="14" t="n">
        <f aca="false">Raw_Data!B495</f>
        <v>42620</v>
      </c>
      <c r="C495" s="14" t="n">
        <f aca="false">IF(Raw_Data!C495="","",Raw_Data!C495)</f>
        <v>45938</v>
      </c>
      <c r="D495" s="13" t="n">
        <f aca="false">IF(Raw_Data!D495="","",Raw_Data!D495)</f>
        <v>45</v>
      </c>
      <c r="E495" s="13" t="str">
        <f aca="false">IF(UPPER(LEFT(TRIM(Raw_Data!E495),1))="M","Male",IF(UPPER(LEFT(TRIM(Raw_Data!E495),1))="F","Female","Unknown"))</f>
        <v>Female</v>
      </c>
      <c r="F495" s="13" t="str">
        <f aca="false">PROPER(TRIM(SUBSTITUTE(Raw_Data!F495,"'","")))</f>
        <v>Bachelors</v>
      </c>
      <c r="G495" s="13" t="str">
        <f aca="false">PROPER(TRIM(Raw_Data!G495))</f>
        <v>Sales</v>
      </c>
      <c r="H495" s="13" t="str">
        <f aca="false">PROPER(TRIM(Raw_Data!H495))</f>
        <v>Analyst</v>
      </c>
      <c r="I495" s="13" t="n">
        <f aca="false">IF(Raw_Data!I495="",DefaultPerf,Raw_Data!I495)</f>
        <v>3</v>
      </c>
      <c r="J495" s="13" t="n">
        <f aca="false">IF(Raw_Data!J495="",DefaultSat,Raw_Data!J495)</f>
        <v>3</v>
      </c>
      <c r="K495" s="15" t="n">
        <f aca="false">Raw_Data!K495</f>
        <v>73500</v>
      </c>
      <c r="L495" s="13" t="str">
        <f aca="false">PROPER(TRIM(Raw_Data!N495))</f>
        <v>No</v>
      </c>
      <c r="M495" s="13" t="n">
        <f aca="false">IF(C495="",0,1)</f>
        <v>1</v>
      </c>
      <c r="N495" s="13" t="str">
        <f aca="false">IF(M495=0,"Active",IF(TRIM(Raw_Data!L495)="","Unknown",PROPER(TRIM(Raw_Data!L495))))</f>
        <v>Voluntary</v>
      </c>
      <c r="O495" s="13" t="str">
        <f aca="false">IF(M495=0,"",IF(TRIM(Raw_Data!M495)="","Not Recorded",TRIM(Raw_Data!M495)))</f>
        <v>Better Compensation</v>
      </c>
      <c r="P495" s="16" t="n">
        <f aca="false">ROUND((IF(C495="",AsOfDate,C495)-B495)/365.25,2)</f>
        <v>9.08</v>
      </c>
      <c r="Q495" s="13" t="str">
        <f aca="false">IF(D495="","Unknown",IF(D495&lt;25,"Under 25",IF(D495&lt;35,"25-34",IF(D495&lt;45,"35-44",IF(D495&lt;55,"45-54","55+")))))</f>
        <v>45-54</v>
      </c>
      <c r="R495" s="13" t="str">
        <f aca="false">IF(P495&lt;1,"0-1 yrs",IF(P495&lt;3,"1-3 yrs",IF(P495&lt;5,"3-5 yrs",IF(P495&lt;10,"5-10 yrs","10+ yrs"))))</f>
        <v>5-10 yrs</v>
      </c>
      <c r="S495" s="13" t="str">
        <f aca="false">IF(I495&gt;=4,"High",IF(I495=3,"Medium","Low"))</f>
        <v>Medium</v>
      </c>
      <c r="T495" s="13" t="n">
        <f aca="false">IF(M495=1,YEAR(C495),"")</f>
        <v>2025</v>
      </c>
      <c r="U495" s="13" t="str">
        <f aca="false">IF(M495=1,YEAR(C495)&amp;"-Q"&amp;ROUNDUP(MONTH(C495)/3,0),"")</f>
        <v>2025-Q4</v>
      </c>
      <c r="V495" s="13" t="n">
        <f aca="false">IF(M495=1,MONTH(C495),"")</f>
        <v>10</v>
      </c>
    </row>
    <row r="496" customFormat="false" ht="15" hidden="false" customHeight="false" outlineLevel="0" collapsed="false">
      <c r="A496" s="13" t="str">
        <f aca="false">TRIM(Raw_Data!A496)</f>
        <v>EMP0495</v>
      </c>
      <c r="B496" s="14" t="n">
        <f aca="false">Raw_Data!B496</f>
        <v>42623</v>
      </c>
      <c r="C496" s="14" t="str">
        <f aca="false">IF(Raw_Data!C496="","",Raw_Data!C496)</f>
        <v/>
      </c>
      <c r="D496" s="13" t="n">
        <f aca="false">IF(Raw_Data!D496="","",Raw_Data!D496)</f>
        <v>42</v>
      </c>
      <c r="E496" s="13" t="str">
        <f aca="false">IF(UPPER(LEFT(TRIM(Raw_Data!E496),1))="M","Male",IF(UPPER(LEFT(TRIM(Raw_Data!E496),1))="F","Female","Unknown"))</f>
        <v>Female</v>
      </c>
      <c r="F496" s="13" t="str">
        <f aca="false">PROPER(TRIM(SUBSTITUTE(Raw_Data!F496,"'","")))</f>
        <v>Bachelors</v>
      </c>
      <c r="G496" s="13" t="str">
        <f aca="false">PROPER(TRIM(Raw_Data!G496))</f>
        <v>Operations</v>
      </c>
      <c r="H496" s="13" t="str">
        <f aca="false">PROPER(TRIM(Raw_Data!H496))</f>
        <v>Analyst</v>
      </c>
      <c r="I496" s="13" t="n">
        <f aca="false">IF(Raw_Data!I496="",DefaultPerf,Raw_Data!I496)</f>
        <v>3</v>
      </c>
      <c r="J496" s="13" t="n">
        <f aca="false">IF(Raw_Data!J496="",DefaultSat,Raw_Data!J496)</f>
        <v>4</v>
      </c>
      <c r="K496" s="15" t="n">
        <f aca="false">Raw_Data!K496</f>
        <v>82500</v>
      </c>
      <c r="L496" s="13" t="str">
        <f aca="false">PROPER(TRIM(Raw_Data!N496))</f>
        <v>No</v>
      </c>
      <c r="M496" s="13" t="n">
        <f aca="false">IF(C496="",0,1)</f>
        <v>0</v>
      </c>
      <c r="N496" s="13" t="str">
        <f aca="false">IF(M496=0,"Active",IF(TRIM(Raw_Data!L496)="","Unknown",PROPER(TRIM(Raw_Data!L496))))</f>
        <v>Active</v>
      </c>
      <c r="O496" s="13" t="str">
        <f aca="false">IF(M496=0,"",IF(TRIM(Raw_Data!M496)="","Not Recorded",TRIM(Raw_Data!M496)))</f>
        <v/>
      </c>
      <c r="P496" s="16" t="n">
        <f aca="false">ROUND((IF(C496="",AsOfDate,C496)-B496)/365.25,2)</f>
        <v>9.31</v>
      </c>
      <c r="Q496" s="13" t="str">
        <f aca="false">IF(D496="","Unknown",IF(D496&lt;25,"Under 25",IF(D496&lt;35,"25-34",IF(D496&lt;45,"35-44",IF(D496&lt;55,"45-54","55+")))))</f>
        <v>35-44</v>
      </c>
      <c r="R496" s="13" t="str">
        <f aca="false">IF(P496&lt;1,"0-1 yrs",IF(P496&lt;3,"1-3 yrs",IF(P496&lt;5,"3-5 yrs",IF(P496&lt;10,"5-10 yrs","10+ yrs"))))</f>
        <v>5-10 yrs</v>
      </c>
      <c r="S496" s="13" t="str">
        <f aca="false">IF(I496&gt;=4,"High",IF(I496=3,"Medium","Low"))</f>
        <v>Medium</v>
      </c>
      <c r="T496" s="13" t="str">
        <f aca="false">IF(M496=1,YEAR(C496),"")</f>
        <v/>
      </c>
      <c r="U496" s="13" t="str">
        <f aca="false">IF(M496=1,YEAR(C496)&amp;"-Q"&amp;ROUNDUP(MONTH(C496)/3,0),"")</f>
        <v/>
      </c>
      <c r="V496" s="13" t="str">
        <f aca="false">IF(M496=1,MONTH(C496),"")</f>
        <v/>
      </c>
    </row>
    <row r="497" customFormat="false" ht="15" hidden="false" customHeight="false" outlineLevel="0" collapsed="false">
      <c r="A497" s="13" t="str">
        <f aca="false">TRIM(Raw_Data!A497)</f>
        <v>EMP0496</v>
      </c>
      <c r="B497" s="14" t="n">
        <f aca="false">Raw_Data!B497</f>
        <v>42625</v>
      </c>
      <c r="C497" s="14" t="str">
        <f aca="false">IF(Raw_Data!C497="","",Raw_Data!C497)</f>
        <v/>
      </c>
      <c r="D497" s="13" t="n">
        <f aca="false">IF(Raw_Data!D497="","",Raw_Data!D497)</f>
        <v>40</v>
      </c>
      <c r="E497" s="13" t="str">
        <f aca="false">IF(UPPER(LEFT(TRIM(Raw_Data!E497),1))="M","Male",IF(UPPER(LEFT(TRIM(Raw_Data!E497),1))="F","Female","Unknown"))</f>
        <v>Male</v>
      </c>
      <c r="F497" s="13" t="str">
        <f aca="false">PROPER(TRIM(SUBSTITUTE(Raw_Data!F497,"'","")))</f>
        <v>High School</v>
      </c>
      <c r="G497" s="13" t="str">
        <f aca="false">PROPER(TRIM(Raw_Data!G497))</f>
        <v>Operations</v>
      </c>
      <c r="H497" s="13" t="str">
        <f aca="false">PROPER(TRIM(Raw_Data!H497))</f>
        <v>Associate</v>
      </c>
      <c r="I497" s="13" t="n">
        <f aca="false">IF(Raw_Data!I497="",DefaultPerf,Raw_Data!I497)</f>
        <v>3</v>
      </c>
      <c r="J497" s="13" t="n">
        <f aca="false">IF(Raw_Data!J497="",DefaultSat,Raw_Data!J497)</f>
        <v>4</v>
      </c>
      <c r="K497" s="15" t="n">
        <f aca="false">Raw_Data!K497</f>
        <v>45000</v>
      </c>
      <c r="L497" s="13" t="str">
        <f aca="false">PROPER(TRIM(Raw_Data!N497))</f>
        <v>No</v>
      </c>
      <c r="M497" s="13" t="n">
        <f aca="false">IF(C497="",0,1)</f>
        <v>0</v>
      </c>
      <c r="N497" s="13" t="str">
        <f aca="false">IF(M497=0,"Active",IF(TRIM(Raw_Data!L497)="","Unknown",PROPER(TRIM(Raw_Data!L497))))</f>
        <v>Active</v>
      </c>
      <c r="O497" s="13" t="str">
        <f aca="false">IF(M497=0,"",IF(TRIM(Raw_Data!M497)="","Not Recorded",TRIM(Raw_Data!M497)))</f>
        <v/>
      </c>
      <c r="P497" s="16" t="n">
        <f aca="false">ROUND((IF(C497="",AsOfDate,C497)-B497)/365.25,2)</f>
        <v>9.3</v>
      </c>
      <c r="Q497" s="13" t="str">
        <f aca="false">IF(D497="","Unknown",IF(D497&lt;25,"Under 25",IF(D497&lt;35,"25-34",IF(D497&lt;45,"35-44",IF(D497&lt;55,"45-54","55+")))))</f>
        <v>35-44</v>
      </c>
      <c r="R497" s="13" t="str">
        <f aca="false">IF(P497&lt;1,"0-1 yrs",IF(P497&lt;3,"1-3 yrs",IF(P497&lt;5,"3-5 yrs",IF(P497&lt;10,"5-10 yrs","10+ yrs"))))</f>
        <v>5-10 yrs</v>
      </c>
      <c r="S497" s="13" t="str">
        <f aca="false">IF(I497&gt;=4,"High",IF(I497=3,"Medium","Low"))</f>
        <v>Medium</v>
      </c>
      <c r="T497" s="13" t="str">
        <f aca="false">IF(M497=1,YEAR(C497),"")</f>
        <v/>
      </c>
      <c r="U497" s="13" t="str">
        <f aca="false">IF(M497=1,YEAR(C497)&amp;"-Q"&amp;ROUNDUP(MONTH(C497)/3,0),"")</f>
        <v/>
      </c>
      <c r="V497" s="13" t="str">
        <f aca="false">IF(M497=1,MONTH(C497),"")</f>
        <v/>
      </c>
    </row>
    <row r="498" customFormat="false" ht="15" hidden="false" customHeight="false" outlineLevel="0" collapsed="false">
      <c r="A498" s="13" t="str">
        <f aca="false">TRIM(Raw_Data!A498)</f>
        <v>EMP0497</v>
      </c>
      <c r="B498" s="14" t="n">
        <f aca="false">Raw_Data!B498</f>
        <v>42628</v>
      </c>
      <c r="C498" s="14" t="str">
        <f aca="false">IF(Raw_Data!C498="","",Raw_Data!C498)</f>
        <v/>
      </c>
      <c r="D498" s="13" t="n">
        <f aca="false">IF(Raw_Data!D498="","",Raw_Data!D498)</f>
        <v>31</v>
      </c>
      <c r="E498" s="13" t="str">
        <f aca="false">IF(UPPER(LEFT(TRIM(Raw_Data!E498),1))="M","Male",IF(UPPER(LEFT(TRIM(Raw_Data!E498),1))="F","Female","Unknown"))</f>
        <v>Female</v>
      </c>
      <c r="F498" s="13" t="str">
        <f aca="false">PROPER(TRIM(SUBSTITUTE(Raw_Data!F498,"'","")))</f>
        <v>Masters</v>
      </c>
      <c r="G498" s="13" t="str">
        <f aca="false">PROPER(TRIM(Raw_Data!G498))</f>
        <v>Operations</v>
      </c>
      <c r="H498" s="13" t="str">
        <f aca="false">PROPER(TRIM(Raw_Data!H498))</f>
        <v>Specialist</v>
      </c>
      <c r="I498" s="13" t="n">
        <f aca="false">IF(Raw_Data!I498="",DefaultPerf,Raw_Data!I498)</f>
        <v>3</v>
      </c>
      <c r="J498" s="13" t="n">
        <f aca="false">IF(Raw_Data!J498="",DefaultSat,Raw_Data!J498)</f>
        <v>4</v>
      </c>
      <c r="K498" s="15" t="n">
        <f aca="false">Raw_Data!K498</f>
        <v>117000</v>
      </c>
      <c r="L498" s="13" t="str">
        <f aca="false">PROPER(TRIM(Raw_Data!N498))</f>
        <v>No</v>
      </c>
      <c r="M498" s="13" t="n">
        <f aca="false">IF(C498="",0,1)</f>
        <v>0</v>
      </c>
      <c r="N498" s="13" t="str">
        <f aca="false">IF(M498=0,"Active",IF(TRIM(Raw_Data!L498)="","Unknown",PROPER(TRIM(Raw_Data!L498))))</f>
        <v>Active</v>
      </c>
      <c r="O498" s="13" t="str">
        <f aca="false">IF(M498=0,"",IF(TRIM(Raw_Data!M498)="","Not Recorded",TRIM(Raw_Data!M498)))</f>
        <v/>
      </c>
      <c r="P498" s="16" t="n">
        <f aca="false">ROUND((IF(C498="",AsOfDate,C498)-B498)/365.25,2)</f>
        <v>9.29</v>
      </c>
      <c r="Q498" s="13" t="str">
        <f aca="false">IF(D498="","Unknown",IF(D498&lt;25,"Under 25",IF(D498&lt;35,"25-34",IF(D498&lt;45,"35-44",IF(D498&lt;55,"45-54","55+")))))</f>
        <v>25-34</v>
      </c>
      <c r="R498" s="13" t="str">
        <f aca="false">IF(P498&lt;1,"0-1 yrs",IF(P498&lt;3,"1-3 yrs",IF(P498&lt;5,"3-5 yrs",IF(P498&lt;10,"5-10 yrs","10+ yrs"))))</f>
        <v>5-10 yrs</v>
      </c>
      <c r="S498" s="13" t="str">
        <f aca="false">IF(I498&gt;=4,"High",IF(I498=3,"Medium","Low"))</f>
        <v>Medium</v>
      </c>
      <c r="T498" s="13" t="str">
        <f aca="false">IF(M498=1,YEAR(C498),"")</f>
        <v/>
      </c>
      <c r="U498" s="13" t="str">
        <f aca="false">IF(M498=1,YEAR(C498)&amp;"-Q"&amp;ROUNDUP(MONTH(C498)/3,0),"")</f>
        <v/>
      </c>
      <c r="V498" s="13" t="str">
        <f aca="false">IF(M498=1,MONTH(C498),"")</f>
        <v/>
      </c>
    </row>
    <row r="499" customFormat="false" ht="15" hidden="false" customHeight="false" outlineLevel="0" collapsed="false">
      <c r="A499" s="13" t="str">
        <f aca="false">TRIM(Raw_Data!A499)</f>
        <v>EMP0498</v>
      </c>
      <c r="B499" s="14" t="n">
        <f aca="false">Raw_Data!B499</f>
        <v>42630</v>
      </c>
      <c r="C499" s="14" t="str">
        <f aca="false">IF(Raw_Data!C499="","",Raw_Data!C499)</f>
        <v/>
      </c>
      <c r="D499" s="13" t="n">
        <f aca="false">IF(Raw_Data!D499="","",Raw_Data!D499)</f>
        <v>38</v>
      </c>
      <c r="E499" s="13" t="str">
        <f aca="false">IF(UPPER(LEFT(TRIM(Raw_Data!E499),1))="M","Male",IF(UPPER(LEFT(TRIM(Raw_Data!E499),1))="F","Female","Unknown"))</f>
        <v>Male</v>
      </c>
      <c r="F499" s="13" t="str">
        <f aca="false">PROPER(TRIM(SUBSTITUTE(Raw_Data!F499,"'","")))</f>
        <v>Bachelors</v>
      </c>
      <c r="G499" s="13" t="str">
        <f aca="false">PROPER(TRIM(Raw_Data!G499))</f>
        <v>Engineering</v>
      </c>
      <c r="H499" s="13" t="str">
        <f aca="false">PROPER(TRIM(Raw_Data!H499))</f>
        <v>Analyst</v>
      </c>
      <c r="I499" s="13" t="n">
        <f aca="false">IF(Raw_Data!I499="",DefaultPerf,Raw_Data!I499)</f>
        <v>3</v>
      </c>
      <c r="J499" s="13" t="n">
        <f aca="false">IF(Raw_Data!J499="",DefaultSat,Raw_Data!J499)</f>
        <v>2</v>
      </c>
      <c r="K499" s="15" t="n">
        <f aca="false">Raw_Data!K499</f>
        <v>62500</v>
      </c>
      <c r="L499" s="13" t="str">
        <f aca="false">PROPER(TRIM(Raw_Data!N499))</f>
        <v>No</v>
      </c>
      <c r="M499" s="13" t="n">
        <f aca="false">IF(C499="",0,1)</f>
        <v>0</v>
      </c>
      <c r="N499" s="13" t="str">
        <f aca="false">IF(M499=0,"Active",IF(TRIM(Raw_Data!L499)="","Unknown",PROPER(TRIM(Raw_Data!L499))))</f>
        <v>Active</v>
      </c>
      <c r="O499" s="13" t="str">
        <f aca="false">IF(M499=0,"",IF(TRIM(Raw_Data!M499)="","Not Recorded",TRIM(Raw_Data!M499)))</f>
        <v/>
      </c>
      <c r="P499" s="16" t="n">
        <f aca="false">ROUND((IF(C499="",AsOfDate,C499)-B499)/365.25,2)</f>
        <v>9.29</v>
      </c>
      <c r="Q499" s="13" t="str">
        <f aca="false">IF(D499="","Unknown",IF(D499&lt;25,"Under 25",IF(D499&lt;35,"25-34",IF(D499&lt;45,"35-44",IF(D499&lt;55,"45-54","55+")))))</f>
        <v>35-44</v>
      </c>
      <c r="R499" s="13" t="str">
        <f aca="false">IF(P499&lt;1,"0-1 yrs",IF(P499&lt;3,"1-3 yrs",IF(P499&lt;5,"3-5 yrs",IF(P499&lt;10,"5-10 yrs","10+ yrs"))))</f>
        <v>5-10 yrs</v>
      </c>
      <c r="S499" s="13" t="str">
        <f aca="false">IF(I499&gt;=4,"High",IF(I499=3,"Medium","Low"))</f>
        <v>Medium</v>
      </c>
      <c r="T499" s="13" t="str">
        <f aca="false">IF(M499=1,YEAR(C499),"")</f>
        <v/>
      </c>
      <c r="U499" s="13" t="str">
        <f aca="false">IF(M499=1,YEAR(C499)&amp;"-Q"&amp;ROUNDUP(MONTH(C499)/3,0),"")</f>
        <v/>
      </c>
      <c r="V499" s="13" t="str">
        <f aca="false">IF(M499=1,MONTH(C499),"")</f>
        <v/>
      </c>
    </row>
    <row r="500" customFormat="false" ht="15" hidden="false" customHeight="false" outlineLevel="0" collapsed="false">
      <c r="A500" s="13" t="str">
        <f aca="false">TRIM(Raw_Data!A500)</f>
        <v>EMP0499</v>
      </c>
      <c r="B500" s="14" t="n">
        <f aca="false">Raw_Data!B500</f>
        <v>42631</v>
      </c>
      <c r="C500" s="14" t="str">
        <f aca="false">IF(Raw_Data!C500="","",Raw_Data!C500)</f>
        <v/>
      </c>
      <c r="D500" s="13" t="n">
        <f aca="false">IF(Raw_Data!D500="","",Raw_Data!D500)</f>
        <v>39</v>
      </c>
      <c r="E500" s="13" t="str">
        <f aca="false">IF(UPPER(LEFT(TRIM(Raw_Data!E500),1))="M","Male",IF(UPPER(LEFT(TRIM(Raw_Data!E500),1))="F","Female","Unknown"))</f>
        <v>Male</v>
      </c>
      <c r="F500" s="13" t="str">
        <f aca="false">PROPER(TRIM(SUBSTITUTE(Raw_Data!F500,"'","")))</f>
        <v>Doctorate</v>
      </c>
      <c r="G500" s="13" t="str">
        <f aca="false">PROPER(TRIM(Raw_Data!G500))</f>
        <v>Engineering</v>
      </c>
      <c r="H500" s="13" t="str">
        <f aca="false">PROPER(TRIM(Raw_Data!H500))</f>
        <v>Manager</v>
      </c>
      <c r="I500" s="13" t="n">
        <f aca="false">IF(Raw_Data!I500="",DefaultPerf,Raw_Data!I500)</f>
        <v>4</v>
      </c>
      <c r="J500" s="13" t="n">
        <f aca="false">IF(Raw_Data!J500="",DefaultSat,Raw_Data!J500)</f>
        <v>3</v>
      </c>
      <c r="K500" s="15" t="n">
        <f aca="false">Raw_Data!K500</f>
        <v>200500</v>
      </c>
      <c r="L500" s="13" t="str">
        <f aca="false">PROPER(TRIM(Raw_Data!N500))</f>
        <v>Yes</v>
      </c>
      <c r="M500" s="13" t="n">
        <f aca="false">IF(C500="",0,1)</f>
        <v>0</v>
      </c>
      <c r="N500" s="13" t="str">
        <f aca="false">IF(M500=0,"Active",IF(TRIM(Raw_Data!L500)="","Unknown",PROPER(TRIM(Raw_Data!L500))))</f>
        <v>Active</v>
      </c>
      <c r="O500" s="13" t="str">
        <f aca="false">IF(M500=0,"",IF(TRIM(Raw_Data!M500)="","Not Recorded",TRIM(Raw_Data!M500)))</f>
        <v/>
      </c>
      <c r="P500" s="16" t="n">
        <f aca="false">ROUND((IF(C500="",AsOfDate,C500)-B500)/365.25,2)</f>
        <v>9.28</v>
      </c>
      <c r="Q500" s="13" t="str">
        <f aca="false">IF(D500="","Unknown",IF(D500&lt;25,"Under 25",IF(D500&lt;35,"25-34",IF(D500&lt;45,"35-44",IF(D500&lt;55,"45-54","55+")))))</f>
        <v>35-44</v>
      </c>
      <c r="R500" s="13" t="str">
        <f aca="false">IF(P500&lt;1,"0-1 yrs",IF(P500&lt;3,"1-3 yrs",IF(P500&lt;5,"3-5 yrs",IF(P500&lt;10,"5-10 yrs","10+ yrs"))))</f>
        <v>5-10 yrs</v>
      </c>
      <c r="S500" s="13" t="str">
        <f aca="false">IF(I500&gt;=4,"High",IF(I500=3,"Medium","Low"))</f>
        <v>High</v>
      </c>
      <c r="T500" s="13" t="str">
        <f aca="false">IF(M500=1,YEAR(C500),"")</f>
        <v/>
      </c>
      <c r="U500" s="13" t="str">
        <f aca="false">IF(M500=1,YEAR(C500)&amp;"-Q"&amp;ROUNDUP(MONTH(C500)/3,0),"")</f>
        <v/>
      </c>
      <c r="V500" s="13" t="str">
        <f aca="false">IF(M500=1,MONTH(C500),"")</f>
        <v/>
      </c>
    </row>
    <row r="501" customFormat="false" ht="15" hidden="false" customHeight="false" outlineLevel="0" collapsed="false">
      <c r="A501" s="13" t="str">
        <f aca="false">TRIM(Raw_Data!A501)</f>
        <v>EMP0500</v>
      </c>
      <c r="B501" s="14" t="n">
        <f aca="false">Raw_Data!B501</f>
        <v>42639</v>
      </c>
      <c r="C501" s="14" t="str">
        <f aca="false">IF(Raw_Data!C501="","",Raw_Data!C501)</f>
        <v/>
      </c>
      <c r="D501" s="13" t="n">
        <f aca="false">IF(Raw_Data!D501="","",Raw_Data!D501)</f>
        <v>37</v>
      </c>
      <c r="E501" s="13" t="str">
        <f aca="false">IF(UPPER(LEFT(TRIM(Raw_Data!E501),1))="M","Male",IF(UPPER(LEFT(TRIM(Raw_Data!E501),1))="F","Female","Unknown"))</f>
        <v>Male</v>
      </c>
      <c r="F501" s="13" t="str">
        <f aca="false">PROPER(TRIM(SUBSTITUTE(Raw_Data!F501,"'","")))</f>
        <v>Masters</v>
      </c>
      <c r="G501" s="13" t="str">
        <f aca="false">PROPER(TRIM(Raw_Data!G501))</f>
        <v>Customer Support</v>
      </c>
      <c r="H501" s="13" t="str">
        <f aca="false">PROPER(TRIM(Raw_Data!H501))</f>
        <v>Associate</v>
      </c>
      <c r="I501" s="13" t="n">
        <f aca="false">IF(Raw_Data!I501="",DefaultPerf,Raw_Data!I501)</f>
        <v>3</v>
      </c>
      <c r="J501" s="13" t="n">
        <f aca="false">IF(Raw_Data!J501="",DefaultSat,Raw_Data!J501)</f>
        <v>4</v>
      </c>
      <c r="K501" s="15" t="n">
        <f aca="false">Raw_Data!K501</f>
        <v>46500</v>
      </c>
      <c r="L501" s="13" t="str">
        <f aca="false">PROPER(TRIM(Raw_Data!N501))</f>
        <v>No</v>
      </c>
      <c r="M501" s="13" t="n">
        <f aca="false">IF(C501="",0,1)</f>
        <v>0</v>
      </c>
      <c r="N501" s="13" t="str">
        <f aca="false">IF(M501=0,"Active",IF(TRIM(Raw_Data!L501)="","Unknown",PROPER(TRIM(Raw_Data!L501))))</f>
        <v>Active</v>
      </c>
      <c r="O501" s="13" t="str">
        <f aca="false">IF(M501=0,"",IF(TRIM(Raw_Data!M501)="","Not Recorded",TRIM(Raw_Data!M501)))</f>
        <v/>
      </c>
      <c r="P501" s="16" t="n">
        <f aca="false">ROUND((IF(C501="",AsOfDate,C501)-B501)/365.25,2)</f>
        <v>9.26</v>
      </c>
      <c r="Q501" s="13" t="str">
        <f aca="false">IF(D501="","Unknown",IF(D501&lt;25,"Under 25",IF(D501&lt;35,"25-34",IF(D501&lt;45,"35-44",IF(D501&lt;55,"45-54","55+")))))</f>
        <v>35-44</v>
      </c>
      <c r="R501" s="13" t="str">
        <f aca="false">IF(P501&lt;1,"0-1 yrs",IF(P501&lt;3,"1-3 yrs",IF(P501&lt;5,"3-5 yrs",IF(P501&lt;10,"5-10 yrs","10+ yrs"))))</f>
        <v>5-10 yrs</v>
      </c>
      <c r="S501" s="13" t="str">
        <f aca="false">IF(I501&gt;=4,"High",IF(I501=3,"Medium","Low"))</f>
        <v>Medium</v>
      </c>
      <c r="T501" s="13" t="str">
        <f aca="false">IF(M501=1,YEAR(C501),"")</f>
        <v/>
      </c>
      <c r="U501" s="13" t="str">
        <f aca="false">IF(M501=1,YEAR(C501)&amp;"-Q"&amp;ROUNDUP(MONTH(C501)/3,0),"")</f>
        <v/>
      </c>
      <c r="V501" s="13" t="str">
        <f aca="false">IF(M501=1,MONTH(C501),"")</f>
        <v/>
      </c>
    </row>
    <row r="502" customFormat="false" ht="15" hidden="false" customHeight="false" outlineLevel="0" collapsed="false">
      <c r="A502" s="13" t="str">
        <f aca="false">TRIM(Raw_Data!A502)</f>
        <v>EMP0501</v>
      </c>
      <c r="B502" s="14" t="n">
        <f aca="false">Raw_Data!B502</f>
        <v>42641</v>
      </c>
      <c r="C502" s="14" t="str">
        <f aca="false">IF(Raw_Data!C502="","",Raw_Data!C502)</f>
        <v/>
      </c>
      <c r="D502" s="13" t="n">
        <f aca="false">IF(Raw_Data!D502="","",Raw_Data!D502)</f>
        <v>36</v>
      </c>
      <c r="E502" s="13" t="str">
        <f aca="false">IF(UPPER(LEFT(TRIM(Raw_Data!E502),1))="M","Male",IF(UPPER(LEFT(TRIM(Raw_Data!E502),1))="F","Female","Unknown"))</f>
        <v>Female</v>
      </c>
      <c r="F502" s="13" t="str">
        <f aca="false">PROPER(TRIM(SUBSTITUTE(Raw_Data!F502,"'","")))</f>
        <v>Diploma</v>
      </c>
      <c r="G502" s="13" t="str">
        <f aca="false">PROPER(TRIM(Raw_Data!G502))</f>
        <v>Operations</v>
      </c>
      <c r="H502" s="13" t="str">
        <f aca="false">PROPER(TRIM(Raw_Data!H502))</f>
        <v>Analyst</v>
      </c>
      <c r="I502" s="13" t="n">
        <f aca="false">IF(Raw_Data!I502="",DefaultPerf,Raw_Data!I502)</f>
        <v>3</v>
      </c>
      <c r="J502" s="13" t="n">
        <f aca="false">IF(Raw_Data!J502="",DefaultSat,Raw_Data!J502)</f>
        <v>1</v>
      </c>
      <c r="K502" s="15" t="n">
        <f aca="false">Raw_Data!K502</f>
        <v>69500</v>
      </c>
      <c r="L502" s="13" t="str">
        <f aca="false">PROPER(TRIM(Raw_Data!N502))</f>
        <v>No</v>
      </c>
      <c r="M502" s="13" t="n">
        <f aca="false">IF(C502="",0,1)</f>
        <v>0</v>
      </c>
      <c r="N502" s="13" t="str">
        <f aca="false">IF(M502=0,"Active",IF(TRIM(Raw_Data!L502)="","Unknown",PROPER(TRIM(Raw_Data!L502))))</f>
        <v>Active</v>
      </c>
      <c r="O502" s="13" t="str">
        <f aca="false">IF(M502=0,"",IF(TRIM(Raw_Data!M502)="","Not Recorded",TRIM(Raw_Data!M502)))</f>
        <v/>
      </c>
      <c r="P502" s="16" t="n">
        <f aca="false">ROUND((IF(C502="",AsOfDate,C502)-B502)/365.25,2)</f>
        <v>9.26</v>
      </c>
      <c r="Q502" s="13" t="str">
        <f aca="false">IF(D502="","Unknown",IF(D502&lt;25,"Under 25",IF(D502&lt;35,"25-34",IF(D502&lt;45,"35-44",IF(D502&lt;55,"45-54","55+")))))</f>
        <v>35-44</v>
      </c>
      <c r="R502" s="13" t="str">
        <f aca="false">IF(P502&lt;1,"0-1 yrs",IF(P502&lt;3,"1-3 yrs",IF(P502&lt;5,"3-5 yrs",IF(P502&lt;10,"5-10 yrs","10+ yrs"))))</f>
        <v>5-10 yrs</v>
      </c>
      <c r="S502" s="13" t="str">
        <f aca="false">IF(I502&gt;=4,"High",IF(I502=3,"Medium","Low"))</f>
        <v>Medium</v>
      </c>
      <c r="T502" s="13" t="str">
        <f aca="false">IF(M502=1,YEAR(C502),"")</f>
        <v/>
      </c>
      <c r="U502" s="13" t="str">
        <f aca="false">IF(M502=1,YEAR(C502)&amp;"-Q"&amp;ROUNDUP(MONTH(C502)/3,0),"")</f>
        <v/>
      </c>
      <c r="V502" s="13" t="str">
        <f aca="false">IF(M502=1,MONTH(C502),"")</f>
        <v/>
      </c>
    </row>
    <row r="503" customFormat="false" ht="15" hidden="false" customHeight="false" outlineLevel="0" collapsed="false">
      <c r="A503" s="13" t="str">
        <f aca="false">TRIM(Raw_Data!A503)</f>
        <v>EMP0502</v>
      </c>
      <c r="B503" s="14" t="n">
        <f aca="false">Raw_Data!B503</f>
        <v>42642</v>
      </c>
      <c r="C503" s="14" t="str">
        <f aca="false">IF(Raw_Data!C503="","",Raw_Data!C503)</f>
        <v/>
      </c>
      <c r="D503" s="13" t="n">
        <f aca="false">IF(Raw_Data!D503="","",Raw_Data!D503)</f>
        <v>39</v>
      </c>
      <c r="E503" s="13" t="str">
        <f aca="false">IF(UPPER(LEFT(TRIM(Raw_Data!E503),1))="M","Male",IF(UPPER(LEFT(TRIM(Raw_Data!E503),1))="F","Female","Unknown"))</f>
        <v>Male</v>
      </c>
      <c r="F503" s="13" t="str">
        <f aca="false">PROPER(TRIM(SUBSTITUTE(Raw_Data!F503,"'","")))</f>
        <v>Diploma</v>
      </c>
      <c r="G503" s="13" t="str">
        <f aca="false">PROPER(TRIM(Raw_Data!G503))</f>
        <v>Engineering</v>
      </c>
      <c r="H503" s="13" t="str">
        <f aca="false">PROPER(TRIM(Raw_Data!H503))</f>
        <v>Analyst</v>
      </c>
      <c r="I503" s="13" t="n">
        <f aca="false">IF(Raw_Data!I503="",DefaultPerf,Raw_Data!I503)</f>
        <v>3</v>
      </c>
      <c r="J503" s="13" t="n">
        <f aca="false">IF(Raw_Data!J503="",DefaultSat,Raw_Data!J503)</f>
        <v>4</v>
      </c>
      <c r="K503" s="15" t="n">
        <f aca="false">Raw_Data!K503</f>
        <v>64000</v>
      </c>
      <c r="L503" s="13" t="str">
        <f aca="false">PROPER(TRIM(Raw_Data!N503))</f>
        <v>No</v>
      </c>
      <c r="M503" s="13" t="n">
        <f aca="false">IF(C503="",0,1)</f>
        <v>0</v>
      </c>
      <c r="N503" s="13" t="str">
        <f aca="false">IF(M503=0,"Active",IF(TRIM(Raw_Data!L503)="","Unknown",PROPER(TRIM(Raw_Data!L503))))</f>
        <v>Active</v>
      </c>
      <c r="O503" s="13" t="str">
        <f aca="false">IF(M503=0,"",IF(TRIM(Raw_Data!M503)="","Not Recorded",TRIM(Raw_Data!M503)))</f>
        <v/>
      </c>
      <c r="P503" s="16" t="n">
        <f aca="false">ROUND((IF(C503="",AsOfDate,C503)-B503)/365.25,2)</f>
        <v>9.25</v>
      </c>
      <c r="Q503" s="13" t="str">
        <f aca="false">IF(D503="","Unknown",IF(D503&lt;25,"Under 25",IF(D503&lt;35,"25-34",IF(D503&lt;45,"35-44",IF(D503&lt;55,"45-54","55+")))))</f>
        <v>35-44</v>
      </c>
      <c r="R503" s="13" t="str">
        <f aca="false">IF(P503&lt;1,"0-1 yrs",IF(P503&lt;3,"1-3 yrs",IF(P503&lt;5,"3-5 yrs",IF(P503&lt;10,"5-10 yrs","10+ yrs"))))</f>
        <v>5-10 yrs</v>
      </c>
      <c r="S503" s="13" t="str">
        <f aca="false">IF(I503&gt;=4,"High",IF(I503=3,"Medium","Low"))</f>
        <v>Medium</v>
      </c>
      <c r="T503" s="13" t="str">
        <f aca="false">IF(M503=1,YEAR(C503),"")</f>
        <v/>
      </c>
      <c r="U503" s="13" t="str">
        <f aca="false">IF(M503=1,YEAR(C503)&amp;"-Q"&amp;ROUNDUP(MONTH(C503)/3,0),"")</f>
        <v/>
      </c>
      <c r="V503" s="13" t="str">
        <f aca="false">IF(M503=1,MONTH(C503),"")</f>
        <v/>
      </c>
    </row>
    <row r="504" customFormat="false" ht="15" hidden="false" customHeight="false" outlineLevel="0" collapsed="false">
      <c r="A504" s="13" t="str">
        <f aca="false">TRIM(Raw_Data!A504)</f>
        <v>EMP0503</v>
      </c>
      <c r="B504" s="14" t="n">
        <f aca="false">Raw_Data!B504</f>
        <v>42649</v>
      </c>
      <c r="C504" s="14" t="str">
        <f aca="false">IF(Raw_Data!C504="","",Raw_Data!C504)</f>
        <v/>
      </c>
      <c r="D504" s="13" t="n">
        <f aca="false">IF(Raw_Data!D504="","",Raw_Data!D504)</f>
        <v>38</v>
      </c>
      <c r="E504" s="13" t="str">
        <f aca="false">IF(UPPER(LEFT(TRIM(Raw_Data!E504),1))="M","Male",IF(UPPER(LEFT(TRIM(Raw_Data!E504),1))="F","Female","Unknown"))</f>
        <v>Male</v>
      </c>
      <c r="F504" s="13" t="str">
        <f aca="false">PROPER(TRIM(SUBSTITUTE(Raw_Data!F504,"'","")))</f>
        <v>Bachelors</v>
      </c>
      <c r="G504" s="13" t="str">
        <f aca="false">PROPER(TRIM(Raw_Data!G504))</f>
        <v>Engineering</v>
      </c>
      <c r="H504" s="13" t="str">
        <f aca="false">PROPER(TRIM(Raw_Data!H504))</f>
        <v>Senior Analyst</v>
      </c>
      <c r="I504" s="13" t="n">
        <f aca="false">IF(Raw_Data!I504="",DefaultPerf,Raw_Data!I504)</f>
        <v>5</v>
      </c>
      <c r="J504" s="13" t="n">
        <f aca="false">IF(Raw_Data!J504="",DefaultSat,Raw_Data!J504)</f>
        <v>2</v>
      </c>
      <c r="K504" s="15" t="n">
        <f aca="false">Raw_Data!K504</f>
        <v>102500</v>
      </c>
      <c r="L504" s="13" t="str">
        <f aca="false">PROPER(TRIM(Raw_Data!N504))</f>
        <v>No</v>
      </c>
      <c r="M504" s="13" t="n">
        <f aca="false">IF(C504="",0,1)</f>
        <v>0</v>
      </c>
      <c r="N504" s="13" t="str">
        <f aca="false">IF(M504=0,"Active",IF(TRIM(Raw_Data!L504)="","Unknown",PROPER(TRIM(Raw_Data!L504))))</f>
        <v>Active</v>
      </c>
      <c r="O504" s="13" t="str">
        <f aca="false">IF(M504=0,"",IF(TRIM(Raw_Data!M504)="","Not Recorded",TRIM(Raw_Data!M504)))</f>
        <v/>
      </c>
      <c r="P504" s="16" t="n">
        <f aca="false">ROUND((IF(C504="",AsOfDate,C504)-B504)/365.25,2)</f>
        <v>9.23</v>
      </c>
      <c r="Q504" s="13" t="str">
        <f aca="false">IF(D504="","Unknown",IF(D504&lt;25,"Under 25",IF(D504&lt;35,"25-34",IF(D504&lt;45,"35-44",IF(D504&lt;55,"45-54","55+")))))</f>
        <v>35-44</v>
      </c>
      <c r="R504" s="13" t="str">
        <f aca="false">IF(P504&lt;1,"0-1 yrs",IF(P504&lt;3,"1-3 yrs",IF(P504&lt;5,"3-5 yrs",IF(P504&lt;10,"5-10 yrs","10+ yrs"))))</f>
        <v>5-10 yrs</v>
      </c>
      <c r="S504" s="13" t="str">
        <f aca="false">IF(I504&gt;=4,"High",IF(I504=3,"Medium","Low"))</f>
        <v>High</v>
      </c>
      <c r="T504" s="13" t="str">
        <f aca="false">IF(M504=1,YEAR(C504),"")</f>
        <v/>
      </c>
      <c r="U504" s="13" t="str">
        <f aca="false">IF(M504=1,YEAR(C504)&amp;"-Q"&amp;ROUNDUP(MONTH(C504)/3,0),"")</f>
        <v/>
      </c>
      <c r="V504" s="13" t="str">
        <f aca="false">IF(M504=1,MONTH(C504),"")</f>
        <v/>
      </c>
    </row>
    <row r="505" customFormat="false" ht="15" hidden="false" customHeight="false" outlineLevel="0" collapsed="false">
      <c r="A505" s="13" t="str">
        <f aca="false">TRIM(Raw_Data!A505)</f>
        <v>EMP0504</v>
      </c>
      <c r="B505" s="14" t="n">
        <f aca="false">Raw_Data!B505</f>
        <v>42651</v>
      </c>
      <c r="C505" s="14" t="n">
        <f aca="false">IF(Raw_Data!C505="","",Raw_Data!C505)</f>
        <v>44850</v>
      </c>
      <c r="D505" s="13" t="n">
        <f aca="false">IF(Raw_Data!D505="","",Raw_Data!D505)</f>
        <v>34</v>
      </c>
      <c r="E505" s="13" t="str">
        <f aca="false">IF(UPPER(LEFT(TRIM(Raw_Data!E505),1))="M","Male",IF(UPPER(LEFT(TRIM(Raw_Data!E505),1))="F","Female","Unknown"))</f>
        <v>Male</v>
      </c>
      <c r="F505" s="13" t="str">
        <f aca="false">PROPER(TRIM(SUBSTITUTE(Raw_Data!F505,"'","")))</f>
        <v>Diploma</v>
      </c>
      <c r="G505" s="13" t="str">
        <f aca="false">PROPER(TRIM(Raw_Data!G505))</f>
        <v>Engineering</v>
      </c>
      <c r="H505" s="13" t="str">
        <f aca="false">PROPER(TRIM(Raw_Data!H505))</f>
        <v>Manager</v>
      </c>
      <c r="I505" s="13" t="n">
        <f aca="false">IF(Raw_Data!I505="",DefaultPerf,Raw_Data!I505)</f>
        <v>4</v>
      </c>
      <c r="J505" s="13" t="n">
        <f aca="false">IF(Raw_Data!J505="",DefaultSat,Raw_Data!J505)</f>
        <v>3</v>
      </c>
      <c r="K505" s="15" t="n">
        <f aca="false">Raw_Data!K505</f>
        <v>184000</v>
      </c>
      <c r="L505" s="13" t="str">
        <f aca="false">PROPER(TRIM(Raw_Data!N505))</f>
        <v>No</v>
      </c>
      <c r="M505" s="13" t="n">
        <f aca="false">IF(C505="",0,1)</f>
        <v>1</v>
      </c>
      <c r="N505" s="13" t="str">
        <f aca="false">IF(M505=0,"Active",IF(TRIM(Raw_Data!L505)="","Unknown",PROPER(TRIM(Raw_Data!L505))))</f>
        <v>Voluntary</v>
      </c>
      <c r="O505" s="13" t="str">
        <f aca="false">IF(M505=0,"",IF(TRIM(Raw_Data!M505)="","Not Recorded",TRIM(Raw_Data!M505)))</f>
        <v>Work-Life Balance</v>
      </c>
      <c r="P505" s="16" t="n">
        <f aca="false">ROUND((IF(C505="",AsOfDate,C505)-B505)/365.25,2)</f>
        <v>6.02</v>
      </c>
      <c r="Q505" s="13" t="str">
        <f aca="false">IF(D505="","Unknown",IF(D505&lt;25,"Under 25",IF(D505&lt;35,"25-34",IF(D505&lt;45,"35-44",IF(D505&lt;55,"45-54","55+")))))</f>
        <v>25-34</v>
      </c>
      <c r="R505" s="13" t="str">
        <f aca="false">IF(P505&lt;1,"0-1 yrs",IF(P505&lt;3,"1-3 yrs",IF(P505&lt;5,"3-5 yrs",IF(P505&lt;10,"5-10 yrs","10+ yrs"))))</f>
        <v>5-10 yrs</v>
      </c>
      <c r="S505" s="13" t="str">
        <f aca="false">IF(I505&gt;=4,"High",IF(I505=3,"Medium","Low"))</f>
        <v>High</v>
      </c>
      <c r="T505" s="13" t="n">
        <f aca="false">IF(M505=1,YEAR(C505),"")</f>
        <v>2022</v>
      </c>
      <c r="U505" s="13" t="str">
        <f aca="false">IF(M505=1,YEAR(C505)&amp;"-Q"&amp;ROUNDUP(MONTH(C505)/3,0),"")</f>
        <v>2022-Q4</v>
      </c>
      <c r="V505" s="13" t="n">
        <f aca="false">IF(M505=1,MONTH(C505),"")</f>
        <v>10</v>
      </c>
    </row>
    <row r="506" customFormat="false" ht="15" hidden="false" customHeight="false" outlineLevel="0" collapsed="false">
      <c r="A506" s="13" t="str">
        <f aca="false">TRIM(Raw_Data!A506)</f>
        <v>EMP0505</v>
      </c>
      <c r="B506" s="14" t="n">
        <f aca="false">Raw_Data!B506</f>
        <v>42656</v>
      </c>
      <c r="C506" s="14" t="n">
        <f aca="false">IF(Raw_Data!C506="","",Raw_Data!C506)</f>
        <v>44595</v>
      </c>
      <c r="D506" s="13" t="n">
        <f aca="false">IF(Raw_Data!D506="","",Raw_Data!D506)</f>
        <v>32</v>
      </c>
      <c r="E506" s="13" t="str">
        <f aca="false">IF(UPPER(LEFT(TRIM(Raw_Data!E506),1))="M","Male",IF(UPPER(LEFT(TRIM(Raw_Data!E506),1))="F","Female","Unknown"))</f>
        <v>Female</v>
      </c>
      <c r="F506" s="13" t="str">
        <f aca="false">PROPER(TRIM(SUBSTITUTE(Raw_Data!F506,"'","")))</f>
        <v>Bachelors</v>
      </c>
      <c r="G506" s="13" t="str">
        <f aca="false">PROPER(TRIM(Raw_Data!G506))</f>
        <v>Customer Support</v>
      </c>
      <c r="H506" s="13" t="str">
        <f aca="false">PROPER(TRIM(Raw_Data!H506))</f>
        <v>Associate</v>
      </c>
      <c r="I506" s="13" t="n">
        <f aca="false">IF(Raw_Data!I506="",DefaultPerf,Raw_Data!I506)</f>
        <v>4</v>
      </c>
      <c r="J506" s="13" t="n">
        <f aca="false">IF(Raw_Data!J506="",DefaultSat,Raw_Data!J506)</f>
        <v>2</v>
      </c>
      <c r="K506" s="15" t="n">
        <f aca="false">Raw_Data!K506</f>
        <v>39000</v>
      </c>
      <c r="L506" s="13" t="str">
        <f aca="false">PROPER(TRIM(Raw_Data!N506))</f>
        <v>No</v>
      </c>
      <c r="M506" s="13" t="n">
        <f aca="false">IF(C506="",0,1)</f>
        <v>1</v>
      </c>
      <c r="N506" s="13" t="str">
        <f aca="false">IF(M506=0,"Active",IF(TRIM(Raw_Data!L506)="","Unknown",PROPER(TRIM(Raw_Data!L506))))</f>
        <v>Voluntary</v>
      </c>
      <c r="O506" s="13" t="str">
        <f aca="false">IF(M506=0,"",IF(TRIM(Raw_Data!M506)="","Not Recorded",TRIM(Raw_Data!M506)))</f>
        <v>Job Dissatisfaction</v>
      </c>
      <c r="P506" s="16" t="n">
        <f aca="false">ROUND((IF(C506="",AsOfDate,C506)-B506)/365.25,2)</f>
        <v>5.31</v>
      </c>
      <c r="Q506" s="13" t="str">
        <f aca="false">IF(D506="","Unknown",IF(D506&lt;25,"Under 25",IF(D506&lt;35,"25-34",IF(D506&lt;45,"35-44",IF(D506&lt;55,"45-54","55+")))))</f>
        <v>25-34</v>
      </c>
      <c r="R506" s="13" t="str">
        <f aca="false">IF(P506&lt;1,"0-1 yrs",IF(P506&lt;3,"1-3 yrs",IF(P506&lt;5,"3-5 yrs",IF(P506&lt;10,"5-10 yrs","10+ yrs"))))</f>
        <v>5-10 yrs</v>
      </c>
      <c r="S506" s="13" t="str">
        <f aca="false">IF(I506&gt;=4,"High",IF(I506=3,"Medium","Low"))</f>
        <v>High</v>
      </c>
      <c r="T506" s="13" t="n">
        <f aca="false">IF(M506=1,YEAR(C506),"")</f>
        <v>2022</v>
      </c>
      <c r="U506" s="13" t="str">
        <f aca="false">IF(M506=1,YEAR(C506)&amp;"-Q"&amp;ROUNDUP(MONTH(C506)/3,0),"")</f>
        <v>2022-Q1</v>
      </c>
      <c r="V506" s="13" t="n">
        <f aca="false">IF(M506=1,MONTH(C506),"")</f>
        <v>2</v>
      </c>
    </row>
    <row r="507" customFormat="false" ht="15" hidden="false" customHeight="false" outlineLevel="0" collapsed="false">
      <c r="A507" s="13" t="str">
        <f aca="false">TRIM(Raw_Data!A507)</f>
        <v>EMP0506</v>
      </c>
      <c r="B507" s="14" t="n">
        <f aca="false">Raw_Data!B507</f>
        <v>42656</v>
      </c>
      <c r="C507" s="14" t="str">
        <f aca="false">IF(Raw_Data!C507="","",Raw_Data!C507)</f>
        <v/>
      </c>
      <c r="D507" s="13" t="n">
        <f aca="false">IF(Raw_Data!D507="","",Raw_Data!D507)</f>
        <v>38</v>
      </c>
      <c r="E507" s="13" t="str">
        <f aca="false">IF(UPPER(LEFT(TRIM(Raw_Data!E507),1))="M","Male",IF(UPPER(LEFT(TRIM(Raw_Data!E507),1))="F","Female","Unknown"))</f>
        <v>Female</v>
      </c>
      <c r="F507" s="13" t="str">
        <f aca="false">PROPER(TRIM(SUBSTITUTE(Raw_Data!F507,"'","")))</f>
        <v>Masters</v>
      </c>
      <c r="G507" s="13" t="str">
        <f aca="false">PROPER(TRIM(Raw_Data!G507))</f>
        <v>Customer Support</v>
      </c>
      <c r="H507" s="13" t="str">
        <f aca="false">PROPER(TRIM(Raw_Data!H507))</f>
        <v>Analyst</v>
      </c>
      <c r="I507" s="13" t="n">
        <f aca="false">IF(Raw_Data!I507="",DefaultPerf,Raw_Data!I507)</f>
        <v>4</v>
      </c>
      <c r="J507" s="13" t="n">
        <f aca="false">IF(Raw_Data!J507="",DefaultSat,Raw_Data!J507)</f>
        <v>2</v>
      </c>
      <c r="K507" s="15" t="n">
        <f aca="false">Raw_Data!K507</f>
        <v>75000</v>
      </c>
      <c r="L507" s="13" t="str">
        <f aca="false">PROPER(TRIM(Raw_Data!N507))</f>
        <v>No</v>
      </c>
      <c r="M507" s="13" t="n">
        <f aca="false">IF(C507="",0,1)</f>
        <v>0</v>
      </c>
      <c r="N507" s="13" t="str">
        <f aca="false">IF(M507=0,"Active",IF(TRIM(Raw_Data!L507)="","Unknown",PROPER(TRIM(Raw_Data!L507))))</f>
        <v>Active</v>
      </c>
      <c r="O507" s="13" t="str">
        <f aca="false">IF(M507=0,"",IF(TRIM(Raw_Data!M507)="","Not Recorded",TRIM(Raw_Data!M507)))</f>
        <v/>
      </c>
      <c r="P507" s="16" t="n">
        <f aca="false">ROUND((IF(C507="",AsOfDate,C507)-B507)/365.25,2)</f>
        <v>9.22</v>
      </c>
      <c r="Q507" s="13" t="str">
        <f aca="false">IF(D507="","Unknown",IF(D507&lt;25,"Under 25",IF(D507&lt;35,"25-34",IF(D507&lt;45,"35-44",IF(D507&lt;55,"45-54","55+")))))</f>
        <v>35-44</v>
      </c>
      <c r="R507" s="13" t="str">
        <f aca="false">IF(P507&lt;1,"0-1 yrs",IF(P507&lt;3,"1-3 yrs",IF(P507&lt;5,"3-5 yrs",IF(P507&lt;10,"5-10 yrs","10+ yrs"))))</f>
        <v>5-10 yrs</v>
      </c>
      <c r="S507" s="13" t="str">
        <f aca="false">IF(I507&gt;=4,"High",IF(I507=3,"Medium","Low"))</f>
        <v>High</v>
      </c>
      <c r="T507" s="13" t="str">
        <f aca="false">IF(M507=1,YEAR(C507),"")</f>
        <v/>
      </c>
      <c r="U507" s="13" t="str">
        <f aca="false">IF(M507=1,YEAR(C507)&amp;"-Q"&amp;ROUNDUP(MONTH(C507)/3,0),"")</f>
        <v/>
      </c>
      <c r="V507" s="13" t="str">
        <f aca="false">IF(M507=1,MONTH(C507),"")</f>
        <v/>
      </c>
    </row>
    <row r="508" customFormat="false" ht="15" hidden="false" customHeight="false" outlineLevel="0" collapsed="false">
      <c r="A508" s="13" t="str">
        <f aca="false">TRIM(Raw_Data!A508)</f>
        <v>EMP0507</v>
      </c>
      <c r="B508" s="14" t="n">
        <f aca="false">Raw_Data!B508</f>
        <v>42659</v>
      </c>
      <c r="C508" s="14" t="n">
        <f aca="false">IF(Raw_Data!C508="","",Raw_Data!C508)</f>
        <v>45080</v>
      </c>
      <c r="D508" s="13" t="n">
        <f aca="false">IF(Raw_Data!D508="","",Raw_Data!D508)</f>
        <v>37</v>
      </c>
      <c r="E508" s="13" t="str">
        <f aca="false">IF(UPPER(LEFT(TRIM(Raw_Data!E508),1))="M","Male",IF(UPPER(LEFT(TRIM(Raw_Data!E508),1))="F","Female","Unknown"))</f>
        <v>Male</v>
      </c>
      <c r="F508" s="13" t="str">
        <f aca="false">PROPER(TRIM(SUBSTITUTE(Raw_Data!F508,"'","")))</f>
        <v>Bachelors</v>
      </c>
      <c r="G508" s="13" t="str">
        <f aca="false">PROPER(TRIM(Raw_Data!G508))</f>
        <v>Operations</v>
      </c>
      <c r="H508" s="13" t="str">
        <f aca="false">PROPER(TRIM(Raw_Data!H508))</f>
        <v>Analyst</v>
      </c>
      <c r="I508" s="13" t="n">
        <f aca="false">IF(Raw_Data!I508="",DefaultPerf,Raw_Data!I508)</f>
        <v>1</v>
      </c>
      <c r="J508" s="13" t="n">
        <f aca="false">IF(Raw_Data!J508="",DefaultSat,Raw_Data!J508)</f>
        <v>1</v>
      </c>
      <c r="K508" s="15" t="n">
        <f aca="false">Raw_Data!K508</f>
        <v>71000</v>
      </c>
      <c r="L508" s="13" t="str">
        <f aca="false">PROPER(TRIM(Raw_Data!N508))</f>
        <v>No</v>
      </c>
      <c r="M508" s="13" t="n">
        <f aca="false">IF(C508="",0,1)</f>
        <v>1</v>
      </c>
      <c r="N508" s="13" t="str">
        <f aca="false">IF(M508=0,"Active",IF(TRIM(Raw_Data!L508)="","Unknown",PROPER(TRIM(Raw_Data!L508))))</f>
        <v>Voluntary</v>
      </c>
      <c r="O508" s="13" t="str">
        <f aca="false">IF(M508=0,"",IF(TRIM(Raw_Data!M508)="","Not Recorded",TRIM(Raw_Data!M508)))</f>
        <v>Further Studies</v>
      </c>
      <c r="P508" s="16" t="n">
        <f aca="false">ROUND((IF(C508="",AsOfDate,C508)-B508)/365.25,2)</f>
        <v>6.63</v>
      </c>
      <c r="Q508" s="13" t="str">
        <f aca="false">IF(D508="","Unknown",IF(D508&lt;25,"Under 25",IF(D508&lt;35,"25-34",IF(D508&lt;45,"35-44",IF(D508&lt;55,"45-54","55+")))))</f>
        <v>35-44</v>
      </c>
      <c r="R508" s="13" t="str">
        <f aca="false">IF(P508&lt;1,"0-1 yrs",IF(P508&lt;3,"1-3 yrs",IF(P508&lt;5,"3-5 yrs",IF(P508&lt;10,"5-10 yrs","10+ yrs"))))</f>
        <v>5-10 yrs</v>
      </c>
      <c r="S508" s="13" t="str">
        <f aca="false">IF(I508&gt;=4,"High",IF(I508=3,"Medium","Low"))</f>
        <v>Low</v>
      </c>
      <c r="T508" s="13" t="n">
        <f aca="false">IF(M508=1,YEAR(C508),"")</f>
        <v>2023</v>
      </c>
      <c r="U508" s="13" t="str">
        <f aca="false">IF(M508=1,YEAR(C508)&amp;"-Q"&amp;ROUNDUP(MONTH(C508)/3,0),"")</f>
        <v>2023-Q2</v>
      </c>
      <c r="V508" s="13" t="n">
        <f aca="false">IF(M508=1,MONTH(C508),"")</f>
        <v>6</v>
      </c>
    </row>
    <row r="509" customFormat="false" ht="15" hidden="false" customHeight="false" outlineLevel="0" collapsed="false">
      <c r="A509" s="13" t="str">
        <f aca="false">TRIM(Raw_Data!A509)</f>
        <v>EMP0508</v>
      </c>
      <c r="B509" s="14" t="n">
        <f aca="false">Raw_Data!B509</f>
        <v>42659</v>
      </c>
      <c r="C509" s="14" t="str">
        <f aca="false">IF(Raw_Data!C509="","",Raw_Data!C509)</f>
        <v/>
      </c>
      <c r="D509" s="13" t="n">
        <f aca="false">IF(Raw_Data!D509="","",Raw_Data!D509)</f>
        <v>40</v>
      </c>
      <c r="E509" s="13" t="str">
        <f aca="false">IF(UPPER(LEFT(TRIM(Raw_Data!E509),1))="M","Male",IF(UPPER(LEFT(TRIM(Raw_Data!E509),1))="F","Female","Unknown"))</f>
        <v>Male</v>
      </c>
      <c r="F509" s="13" t="str">
        <f aca="false">PROPER(TRIM(SUBSTITUTE(Raw_Data!F509,"'","")))</f>
        <v>Bachelors</v>
      </c>
      <c r="G509" s="13" t="str">
        <f aca="false">PROPER(TRIM(Raw_Data!G509))</f>
        <v>Customer Support</v>
      </c>
      <c r="H509" s="13" t="str">
        <f aca="false">PROPER(TRIM(Raw_Data!H509))</f>
        <v>Associate</v>
      </c>
      <c r="I509" s="13" t="n">
        <f aca="false">IF(Raw_Data!I509="",DefaultPerf,Raw_Data!I509)</f>
        <v>3</v>
      </c>
      <c r="J509" s="13" t="n">
        <f aca="false">IF(Raw_Data!J509="",DefaultSat,Raw_Data!J509)</f>
        <v>3</v>
      </c>
      <c r="K509" s="15" t="n">
        <f aca="false">Raw_Data!K509</f>
        <v>43000</v>
      </c>
      <c r="L509" s="13" t="str">
        <f aca="false">PROPER(TRIM(Raw_Data!N509))</f>
        <v>No</v>
      </c>
      <c r="M509" s="13" t="n">
        <f aca="false">IF(C509="",0,1)</f>
        <v>0</v>
      </c>
      <c r="N509" s="13" t="str">
        <f aca="false">IF(M509=0,"Active",IF(TRIM(Raw_Data!L509)="","Unknown",PROPER(TRIM(Raw_Data!L509))))</f>
        <v>Active</v>
      </c>
      <c r="O509" s="13" t="str">
        <f aca="false">IF(M509=0,"",IF(TRIM(Raw_Data!M509)="","Not Recorded",TRIM(Raw_Data!M509)))</f>
        <v/>
      </c>
      <c r="P509" s="16" t="n">
        <f aca="false">ROUND((IF(C509="",AsOfDate,C509)-B509)/365.25,2)</f>
        <v>9.21</v>
      </c>
      <c r="Q509" s="13" t="str">
        <f aca="false">IF(D509="","Unknown",IF(D509&lt;25,"Under 25",IF(D509&lt;35,"25-34",IF(D509&lt;45,"35-44",IF(D509&lt;55,"45-54","55+")))))</f>
        <v>35-44</v>
      </c>
      <c r="R509" s="13" t="str">
        <f aca="false">IF(P509&lt;1,"0-1 yrs",IF(P509&lt;3,"1-3 yrs",IF(P509&lt;5,"3-5 yrs",IF(P509&lt;10,"5-10 yrs","10+ yrs"))))</f>
        <v>5-10 yrs</v>
      </c>
      <c r="S509" s="13" t="str">
        <f aca="false">IF(I509&gt;=4,"High",IF(I509=3,"Medium","Low"))</f>
        <v>Medium</v>
      </c>
      <c r="T509" s="13" t="str">
        <f aca="false">IF(M509=1,YEAR(C509),"")</f>
        <v/>
      </c>
      <c r="U509" s="13" t="str">
        <f aca="false">IF(M509=1,YEAR(C509)&amp;"-Q"&amp;ROUNDUP(MONTH(C509)/3,0),"")</f>
        <v/>
      </c>
      <c r="V509" s="13" t="str">
        <f aca="false">IF(M509=1,MONTH(C509),"")</f>
        <v/>
      </c>
    </row>
    <row r="510" customFormat="false" ht="15" hidden="false" customHeight="false" outlineLevel="0" collapsed="false">
      <c r="A510" s="13" t="str">
        <f aca="false">TRIM(Raw_Data!A510)</f>
        <v>EMP0509</v>
      </c>
      <c r="B510" s="14" t="n">
        <f aca="false">Raw_Data!B510</f>
        <v>42665</v>
      </c>
      <c r="C510" s="14" t="str">
        <f aca="false">IF(Raw_Data!C510="","",Raw_Data!C510)</f>
        <v/>
      </c>
      <c r="D510" s="13" t="n">
        <f aca="false">IF(Raw_Data!D510="","",Raw_Data!D510)</f>
        <v>40</v>
      </c>
      <c r="E510" s="13" t="str">
        <f aca="false">IF(UPPER(LEFT(TRIM(Raw_Data!E510),1))="M","Male",IF(UPPER(LEFT(TRIM(Raw_Data!E510),1))="F","Female","Unknown"))</f>
        <v>Male</v>
      </c>
      <c r="F510" s="13" t="str">
        <f aca="false">PROPER(TRIM(SUBSTITUTE(Raw_Data!F510,"'","")))</f>
        <v>Doctorate</v>
      </c>
      <c r="G510" s="13" t="str">
        <f aca="false">PROPER(TRIM(Raw_Data!G510))</f>
        <v>Operations</v>
      </c>
      <c r="H510" s="13" t="str">
        <f aca="false">PROPER(TRIM(Raw_Data!H510))</f>
        <v>Associate</v>
      </c>
      <c r="I510" s="13" t="n">
        <f aca="false">IF(Raw_Data!I510="",DefaultPerf,Raw_Data!I510)</f>
        <v>4</v>
      </c>
      <c r="J510" s="13" t="n">
        <f aca="false">IF(Raw_Data!J510="",DefaultSat,Raw_Data!J510)</f>
        <v>4</v>
      </c>
      <c r="K510" s="15" t="n">
        <f aca="false">Raw_Data!K510</f>
        <v>44000</v>
      </c>
      <c r="L510" s="13" t="str">
        <f aca="false">PROPER(TRIM(Raw_Data!N510))</f>
        <v>No</v>
      </c>
      <c r="M510" s="13" t="n">
        <f aca="false">IF(C510="",0,1)</f>
        <v>0</v>
      </c>
      <c r="N510" s="13" t="str">
        <f aca="false">IF(M510=0,"Active",IF(TRIM(Raw_Data!L510)="","Unknown",PROPER(TRIM(Raw_Data!L510))))</f>
        <v>Active</v>
      </c>
      <c r="O510" s="13" t="str">
        <f aca="false">IF(M510=0,"",IF(TRIM(Raw_Data!M510)="","Not Recorded",TRIM(Raw_Data!M510)))</f>
        <v/>
      </c>
      <c r="P510" s="16" t="n">
        <f aca="false">ROUND((IF(C510="",AsOfDate,C510)-B510)/365.25,2)</f>
        <v>9.19</v>
      </c>
      <c r="Q510" s="13" t="str">
        <f aca="false">IF(D510="","Unknown",IF(D510&lt;25,"Under 25",IF(D510&lt;35,"25-34",IF(D510&lt;45,"35-44",IF(D510&lt;55,"45-54","55+")))))</f>
        <v>35-44</v>
      </c>
      <c r="R510" s="13" t="str">
        <f aca="false">IF(P510&lt;1,"0-1 yrs",IF(P510&lt;3,"1-3 yrs",IF(P510&lt;5,"3-5 yrs",IF(P510&lt;10,"5-10 yrs","10+ yrs"))))</f>
        <v>5-10 yrs</v>
      </c>
      <c r="S510" s="13" t="str">
        <f aca="false">IF(I510&gt;=4,"High",IF(I510=3,"Medium","Low"))</f>
        <v>High</v>
      </c>
      <c r="T510" s="13" t="str">
        <f aca="false">IF(M510=1,YEAR(C510),"")</f>
        <v/>
      </c>
      <c r="U510" s="13" t="str">
        <f aca="false">IF(M510=1,YEAR(C510)&amp;"-Q"&amp;ROUNDUP(MONTH(C510)/3,0),"")</f>
        <v/>
      </c>
      <c r="V510" s="13" t="str">
        <f aca="false">IF(M510=1,MONTH(C510),"")</f>
        <v/>
      </c>
    </row>
    <row r="511" customFormat="false" ht="15" hidden="false" customHeight="false" outlineLevel="0" collapsed="false">
      <c r="A511" s="13" t="str">
        <f aca="false">TRIM(Raw_Data!A511)</f>
        <v>EMP0510</v>
      </c>
      <c r="B511" s="14" t="n">
        <f aca="false">Raw_Data!B511</f>
        <v>42665</v>
      </c>
      <c r="C511" s="14" t="n">
        <f aca="false">IF(Raw_Data!C511="","",Raw_Data!C511)</f>
        <v>45437</v>
      </c>
      <c r="D511" s="13" t="n">
        <f aca="false">IF(Raw_Data!D511="","",Raw_Data!D511)</f>
        <v>42</v>
      </c>
      <c r="E511" s="13" t="str">
        <f aca="false">IF(UPPER(LEFT(TRIM(Raw_Data!E511),1))="M","Male",IF(UPPER(LEFT(TRIM(Raw_Data!E511),1))="F","Female","Unknown"))</f>
        <v>Female</v>
      </c>
      <c r="F511" s="13" t="str">
        <f aca="false">PROPER(TRIM(SUBSTITUTE(Raw_Data!F511,"'","")))</f>
        <v>Masters</v>
      </c>
      <c r="G511" s="13" t="str">
        <f aca="false">PROPER(TRIM(Raw_Data!G511))</f>
        <v>Engineering</v>
      </c>
      <c r="H511" s="13" t="str">
        <f aca="false">PROPER(TRIM(Raw_Data!H511))</f>
        <v>Manager</v>
      </c>
      <c r="I511" s="13" t="n">
        <f aca="false">IF(Raw_Data!I511="",DefaultPerf,Raw_Data!I511)</f>
        <v>1</v>
      </c>
      <c r="J511" s="13" t="n">
        <f aca="false">IF(Raw_Data!J511="",DefaultSat,Raw_Data!J511)</f>
        <v>4</v>
      </c>
      <c r="K511" s="15" t="n">
        <f aca="false">Raw_Data!K511</f>
        <v>238000</v>
      </c>
      <c r="L511" s="13" t="str">
        <f aca="false">PROPER(TRIM(Raw_Data!N511))</f>
        <v>Yes</v>
      </c>
      <c r="M511" s="13" t="n">
        <f aca="false">IF(C511="",0,1)</f>
        <v>1</v>
      </c>
      <c r="N511" s="13" t="str">
        <f aca="false">IF(M511=0,"Active",IF(TRIM(Raw_Data!L511)="","Unknown",PROPER(TRIM(Raw_Data!L511))))</f>
        <v>Voluntary</v>
      </c>
      <c r="O511" s="13" t="str">
        <f aca="false">IF(M511=0,"",IF(TRIM(Raw_Data!M511)="","Not Recorded",TRIM(Raw_Data!M511)))</f>
        <v>Better Compensation</v>
      </c>
      <c r="P511" s="16" t="n">
        <f aca="false">ROUND((IF(C511="",AsOfDate,C511)-B511)/365.25,2)</f>
        <v>7.59</v>
      </c>
      <c r="Q511" s="13" t="str">
        <f aca="false">IF(D511="","Unknown",IF(D511&lt;25,"Under 25",IF(D511&lt;35,"25-34",IF(D511&lt;45,"35-44",IF(D511&lt;55,"45-54","55+")))))</f>
        <v>35-44</v>
      </c>
      <c r="R511" s="13" t="str">
        <f aca="false">IF(P511&lt;1,"0-1 yrs",IF(P511&lt;3,"1-3 yrs",IF(P511&lt;5,"3-5 yrs",IF(P511&lt;10,"5-10 yrs","10+ yrs"))))</f>
        <v>5-10 yrs</v>
      </c>
      <c r="S511" s="13" t="str">
        <f aca="false">IF(I511&gt;=4,"High",IF(I511=3,"Medium","Low"))</f>
        <v>Low</v>
      </c>
      <c r="T511" s="13" t="n">
        <f aca="false">IF(M511=1,YEAR(C511),"")</f>
        <v>2024</v>
      </c>
      <c r="U511" s="13" t="str">
        <f aca="false">IF(M511=1,YEAR(C511)&amp;"-Q"&amp;ROUNDUP(MONTH(C511)/3,0),"")</f>
        <v>2024-Q2</v>
      </c>
      <c r="V511" s="13" t="n">
        <f aca="false">IF(M511=1,MONTH(C511),"")</f>
        <v>5</v>
      </c>
    </row>
    <row r="512" customFormat="false" ht="15" hidden="false" customHeight="false" outlineLevel="0" collapsed="false">
      <c r="A512" s="13" t="str">
        <f aca="false">TRIM(Raw_Data!A512)</f>
        <v>EMP0511</v>
      </c>
      <c r="B512" s="14" t="n">
        <f aca="false">Raw_Data!B512</f>
        <v>42666</v>
      </c>
      <c r="C512" s="14" t="n">
        <f aca="false">IF(Raw_Data!C512="","",Raw_Data!C512)</f>
        <v>45005</v>
      </c>
      <c r="D512" s="13" t="n">
        <f aca="false">IF(Raw_Data!D512="","",Raw_Data!D512)</f>
        <v>38</v>
      </c>
      <c r="E512" s="13" t="str">
        <f aca="false">IF(UPPER(LEFT(TRIM(Raw_Data!E512),1))="M","Male",IF(UPPER(LEFT(TRIM(Raw_Data!E512),1))="F","Female","Unknown"))</f>
        <v>Male</v>
      </c>
      <c r="F512" s="13" t="str">
        <f aca="false">PROPER(TRIM(SUBSTITUTE(Raw_Data!F512,"'","")))</f>
        <v>Masters</v>
      </c>
      <c r="G512" s="13" t="str">
        <f aca="false">PROPER(TRIM(Raw_Data!G512))</f>
        <v>Engineering</v>
      </c>
      <c r="H512" s="13" t="str">
        <f aca="false">PROPER(TRIM(Raw_Data!H512))</f>
        <v>Analyst</v>
      </c>
      <c r="I512" s="13" t="n">
        <f aca="false">IF(Raw_Data!I512="",DefaultPerf,Raw_Data!I512)</f>
        <v>2</v>
      </c>
      <c r="J512" s="13" t="n">
        <f aca="false">IF(Raw_Data!J512="",DefaultSat,Raw_Data!J512)</f>
        <v>3</v>
      </c>
      <c r="K512" s="15" t="n">
        <f aca="false">Raw_Data!K512</f>
        <v>72000</v>
      </c>
      <c r="L512" s="13" t="str">
        <f aca="false">PROPER(TRIM(Raw_Data!N512))</f>
        <v>No</v>
      </c>
      <c r="M512" s="13" t="n">
        <f aca="false">IF(C512="",0,1)</f>
        <v>1</v>
      </c>
      <c r="N512" s="13" t="str">
        <f aca="false">IF(M512=0,"Active",IF(TRIM(Raw_Data!L512)="","Unknown",PROPER(TRIM(Raw_Data!L512))))</f>
        <v>Involuntary</v>
      </c>
      <c r="O512" s="13" t="str">
        <f aca="false">IF(M512=0,"",IF(TRIM(Raw_Data!M512)="","Not Recorded",TRIM(Raw_Data!M512)))</f>
        <v>Restructuring / Layoff</v>
      </c>
      <c r="P512" s="16" t="n">
        <f aca="false">ROUND((IF(C512="",AsOfDate,C512)-B512)/365.25,2)</f>
        <v>6.4</v>
      </c>
      <c r="Q512" s="13" t="str">
        <f aca="false">IF(D512="","Unknown",IF(D512&lt;25,"Under 25",IF(D512&lt;35,"25-34",IF(D512&lt;45,"35-44",IF(D512&lt;55,"45-54","55+")))))</f>
        <v>35-44</v>
      </c>
      <c r="R512" s="13" t="str">
        <f aca="false">IF(P512&lt;1,"0-1 yrs",IF(P512&lt;3,"1-3 yrs",IF(P512&lt;5,"3-5 yrs",IF(P512&lt;10,"5-10 yrs","10+ yrs"))))</f>
        <v>5-10 yrs</v>
      </c>
      <c r="S512" s="13" t="str">
        <f aca="false">IF(I512&gt;=4,"High",IF(I512=3,"Medium","Low"))</f>
        <v>Low</v>
      </c>
      <c r="T512" s="13" t="n">
        <f aca="false">IF(M512=1,YEAR(C512),"")</f>
        <v>2023</v>
      </c>
      <c r="U512" s="13" t="str">
        <f aca="false">IF(M512=1,YEAR(C512)&amp;"-Q"&amp;ROUNDUP(MONTH(C512)/3,0),"")</f>
        <v>2023-Q1</v>
      </c>
      <c r="V512" s="13" t="n">
        <f aca="false">IF(M512=1,MONTH(C512),"")</f>
        <v>3</v>
      </c>
    </row>
    <row r="513" customFormat="false" ht="15" hidden="false" customHeight="false" outlineLevel="0" collapsed="false">
      <c r="A513" s="13" t="str">
        <f aca="false">TRIM(Raw_Data!A513)</f>
        <v>EMP0512</v>
      </c>
      <c r="B513" s="14" t="n">
        <f aca="false">Raw_Data!B513</f>
        <v>42667</v>
      </c>
      <c r="C513" s="14" t="str">
        <f aca="false">IF(Raw_Data!C513="","",Raw_Data!C513)</f>
        <v/>
      </c>
      <c r="D513" s="13" t="n">
        <f aca="false">IF(Raw_Data!D513="","",Raw_Data!D513)</f>
        <v>44</v>
      </c>
      <c r="E513" s="13" t="str">
        <f aca="false">IF(UPPER(LEFT(TRIM(Raw_Data!E513),1))="M","Male",IF(UPPER(LEFT(TRIM(Raw_Data!E513),1))="F","Female","Unknown"))</f>
        <v>Female</v>
      </c>
      <c r="F513" s="13" t="str">
        <f aca="false">PROPER(TRIM(SUBSTITUTE(Raw_Data!F513,"'","")))</f>
        <v>Bachelors</v>
      </c>
      <c r="G513" s="13" t="str">
        <f aca="false">PROPER(TRIM(Raw_Data!G513))</f>
        <v>Operations</v>
      </c>
      <c r="H513" s="13" t="str">
        <f aca="false">PROPER(TRIM(Raw_Data!H513))</f>
        <v>Specialist</v>
      </c>
      <c r="I513" s="13" t="n">
        <f aca="false">IF(Raw_Data!I513="",DefaultPerf,Raw_Data!I513)</f>
        <v>3</v>
      </c>
      <c r="J513" s="13" t="n">
        <f aca="false">IF(Raw_Data!J513="",DefaultSat,Raw_Data!J513)</f>
        <v>4</v>
      </c>
      <c r="K513" s="15" t="n">
        <f aca="false">Raw_Data!K513</f>
        <v>127000</v>
      </c>
      <c r="L513" s="13" t="str">
        <f aca="false">PROPER(TRIM(Raw_Data!N513))</f>
        <v>No</v>
      </c>
      <c r="M513" s="13" t="n">
        <f aca="false">IF(C513="",0,1)</f>
        <v>0</v>
      </c>
      <c r="N513" s="13" t="str">
        <f aca="false">IF(M513=0,"Active",IF(TRIM(Raw_Data!L513)="","Unknown",PROPER(TRIM(Raw_Data!L513))))</f>
        <v>Active</v>
      </c>
      <c r="O513" s="13" t="str">
        <f aca="false">IF(M513=0,"",IF(TRIM(Raw_Data!M513)="","Not Recorded",TRIM(Raw_Data!M513)))</f>
        <v/>
      </c>
      <c r="P513" s="16" t="n">
        <f aca="false">ROUND((IF(C513="",AsOfDate,C513)-B513)/365.25,2)</f>
        <v>9.19</v>
      </c>
      <c r="Q513" s="13" t="str">
        <f aca="false">IF(D513="","Unknown",IF(D513&lt;25,"Under 25",IF(D513&lt;35,"25-34",IF(D513&lt;45,"35-44",IF(D513&lt;55,"45-54","55+")))))</f>
        <v>35-44</v>
      </c>
      <c r="R513" s="13" t="str">
        <f aca="false">IF(P513&lt;1,"0-1 yrs",IF(P513&lt;3,"1-3 yrs",IF(P513&lt;5,"3-5 yrs",IF(P513&lt;10,"5-10 yrs","10+ yrs"))))</f>
        <v>5-10 yrs</v>
      </c>
      <c r="S513" s="13" t="str">
        <f aca="false">IF(I513&gt;=4,"High",IF(I513=3,"Medium","Low"))</f>
        <v>Medium</v>
      </c>
      <c r="T513" s="13" t="str">
        <f aca="false">IF(M513=1,YEAR(C513),"")</f>
        <v/>
      </c>
      <c r="U513" s="13" t="str">
        <f aca="false">IF(M513=1,YEAR(C513)&amp;"-Q"&amp;ROUNDUP(MONTH(C513)/3,0),"")</f>
        <v/>
      </c>
      <c r="V513" s="13" t="str">
        <f aca="false">IF(M513=1,MONTH(C513),"")</f>
        <v/>
      </c>
    </row>
    <row r="514" customFormat="false" ht="15" hidden="false" customHeight="false" outlineLevel="0" collapsed="false">
      <c r="A514" s="13" t="str">
        <f aca="false">TRIM(Raw_Data!A514)</f>
        <v>EMP0513</v>
      </c>
      <c r="B514" s="14" t="n">
        <f aca="false">Raw_Data!B514</f>
        <v>42668</v>
      </c>
      <c r="C514" s="14" t="str">
        <f aca="false">IF(Raw_Data!C514="","",Raw_Data!C514)</f>
        <v/>
      </c>
      <c r="D514" s="13" t="n">
        <f aca="false">IF(Raw_Data!D514="","",Raw_Data!D514)</f>
        <v>45</v>
      </c>
      <c r="E514" s="13" t="str">
        <f aca="false">IF(UPPER(LEFT(TRIM(Raw_Data!E514),1))="M","Male",IF(UPPER(LEFT(TRIM(Raw_Data!E514),1))="F","Female","Unknown"))</f>
        <v>Female</v>
      </c>
      <c r="F514" s="13" t="str">
        <f aca="false">PROPER(TRIM(SUBSTITUTE(Raw_Data!F514,"'","")))</f>
        <v>Diploma</v>
      </c>
      <c r="G514" s="13" t="str">
        <f aca="false">PROPER(TRIM(Raw_Data!G514))</f>
        <v>Engineering</v>
      </c>
      <c r="H514" s="13" t="str">
        <f aca="false">PROPER(TRIM(Raw_Data!H514))</f>
        <v>Specialist</v>
      </c>
      <c r="I514" s="13" t="n">
        <f aca="false">IF(Raw_Data!I514="",DefaultPerf,Raw_Data!I514)</f>
        <v>3</v>
      </c>
      <c r="J514" s="13" t="n">
        <f aca="false">IF(Raw_Data!J514="",DefaultSat,Raw_Data!J514)</f>
        <v>1</v>
      </c>
      <c r="K514" s="15" t="n">
        <f aca="false">Raw_Data!K514</f>
        <v>108500</v>
      </c>
      <c r="L514" s="13" t="str">
        <f aca="false">PROPER(TRIM(Raw_Data!N514))</f>
        <v>No</v>
      </c>
      <c r="M514" s="13" t="n">
        <f aca="false">IF(C514="",0,1)</f>
        <v>0</v>
      </c>
      <c r="N514" s="13" t="str">
        <f aca="false">IF(M514=0,"Active",IF(TRIM(Raw_Data!L514)="","Unknown",PROPER(TRIM(Raw_Data!L514))))</f>
        <v>Active</v>
      </c>
      <c r="O514" s="13" t="str">
        <f aca="false">IF(M514=0,"",IF(TRIM(Raw_Data!M514)="","Not Recorded",TRIM(Raw_Data!M514)))</f>
        <v/>
      </c>
      <c r="P514" s="16" t="n">
        <f aca="false">ROUND((IF(C514="",AsOfDate,C514)-B514)/365.25,2)</f>
        <v>9.18</v>
      </c>
      <c r="Q514" s="13" t="str">
        <f aca="false">IF(D514="","Unknown",IF(D514&lt;25,"Under 25",IF(D514&lt;35,"25-34",IF(D514&lt;45,"35-44",IF(D514&lt;55,"45-54","55+")))))</f>
        <v>45-54</v>
      </c>
      <c r="R514" s="13" t="str">
        <f aca="false">IF(P514&lt;1,"0-1 yrs",IF(P514&lt;3,"1-3 yrs",IF(P514&lt;5,"3-5 yrs",IF(P514&lt;10,"5-10 yrs","10+ yrs"))))</f>
        <v>5-10 yrs</v>
      </c>
      <c r="S514" s="13" t="str">
        <f aca="false">IF(I514&gt;=4,"High",IF(I514=3,"Medium","Low"))</f>
        <v>Medium</v>
      </c>
      <c r="T514" s="13" t="str">
        <f aca="false">IF(M514=1,YEAR(C514),"")</f>
        <v/>
      </c>
      <c r="U514" s="13" t="str">
        <f aca="false">IF(M514=1,YEAR(C514)&amp;"-Q"&amp;ROUNDUP(MONTH(C514)/3,0),"")</f>
        <v/>
      </c>
      <c r="V514" s="13" t="str">
        <f aca="false">IF(M514=1,MONTH(C514),"")</f>
        <v/>
      </c>
    </row>
    <row r="515" customFormat="false" ht="15" hidden="false" customHeight="false" outlineLevel="0" collapsed="false">
      <c r="A515" s="13" t="str">
        <f aca="false">TRIM(Raw_Data!A515)</f>
        <v>EMP0514</v>
      </c>
      <c r="B515" s="14" t="n">
        <f aca="false">Raw_Data!B515</f>
        <v>42676</v>
      </c>
      <c r="C515" s="14" t="str">
        <f aca="false">IF(Raw_Data!C515="","",Raw_Data!C515)</f>
        <v/>
      </c>
      <c r="D515" s="13" t="n">
        <f aca="false">IF(Raw_Data!D515="","",Raw_Data!D515)</f>
        <v>34</v>
      </c>
      <c r="E515" s="13" t="str">
        <f aca="false">IF(UPPER(LEFT(TRIM(Raw_Data!E515),1))="M","Male",IF(UPPER(LEFT(TRIM(Raw_Data!E515),1))="F","Female","Unknown"))</f>
        <v>Male</v>
      </c>
      <c r="F515" s="13" t="str">
        <f aca="false">PROPER(TRIM(SUBSTITUTE(Raw_Data!F515,"'","")))</f>
        <v>Diploma</v>
      </c>
      <c r="G515" s="13" t="str">
        <f aca="false">PROPER(TRIM(Raw_Data!G515))</f>
        <v>Engineering</v>
      </c>
      <c r="H515" s="13" t="str">
        <f aca="false">PROPER(TRIM(Raw_Data!H515))</f>
        <v>Senior Analyst</v>
      </c>
      <c r="I515" s="13" t="n">
        <f aca="false">IF(Raw_Data!I515="",DefaultPerf,Raw_Data!I515)</f>
        <v>3</v>
      </c>
      <c r="J515" s="13" t="n">
        <f aca="false">IF(Raw_Data!J515="",DefaultSat,Raw_Data!J515)</f>
        <v>3</v>
      </c>
      <c r="K515" s="15" t="n">
        <f aca="false">Raw_Data!K515</f>
        <v>113000</v>
      </c>
      <c r="L515" s="13" t="str">
        <f aca="false">PROPER(TRIM(Raw_Data!N515))</f>
        <v>Yes</v>
      </c>
      <c r="M515" s="13" t="n">
        <f aca="false">IF(C515="",0,1)</f>
        <v>0</v>
      </c>
      <c r="N515" s="13" t="str">
        <f aca="false">IF(M515=0,"Active",IF(TRIM(Raw_Data!L515)="","Unknown",PROPER(TRIM(Raw_Data!L515))))</f>
        <v>Active</v>
      </c>
      <c r="O515" s="13" t="str">
        <f aca="false">IF(M515=0,"",IF(TRIM(Raw_Data!M515)="","Not Recorded",TRIM(Raw_Data!M515)))</f>
        <v/>
      </c>
      <c r="P515" s="16" t="n">
        <f aca="false">ROUND((IF(C515="",AsOfDate,C515)-B515)/365.25,2)</f>
        <v>9.16</v>
      </c>
      <c r="Q515" s="13" t="str">
        <f aca="false">IF(D515="","Unknown",IF(D515&lt;25,"Under 25",IF(D515&lt;35,"25-34",IF(D515&lt;45,"35-44",IF(D515&lt;55,"45-54","55+")))))</f>
        <v>25-34</v>
      </c>
      <c r="R515" s="13" t="str">
        <f aca="false">IF(P515&lt;1,"0-1 yrs",IF(P515&lt;3,"1-3 yrs",IF(P515&lt;5,"3-5 yrs",IF(P515&lt;10,"5-10 yrs","10+ yrs"))))</f>
        <v>5-10 yrs</v>
      </c>
      <c r="S515" s="13" t="str">
        <f aca="false">IF(I515&gt;=4,"High",IF(I515=3,"Medium","Low"))</f>
        <v>Medium</v>
      </c>
      <c r="T515" s="13" t="str">
        <f aca="false">IF(M515=1,YEAR(C515),"")</f>
        <v/>
      </c>
      <c r="U515" s="13" t="str">
        <f aca="false">IF(M515=1,YEAR(C515)&amp;"-Q"&amp;ROUNDUP(MONTH(C515)/3,0),"")</f>
        <v/>
      </c>
      <c r="V515" s="13" t="str">
        <f aca="false">IF(M515=1,MONTH(C515),"")</f>
        <v/>
      </c>
    </row>
    <row r="516" customFormat="false" ht="15" hidden="false" customHeight="false" outlineLevel="0" collapsed="false">
      <c r="A516" s="13" t="str">
        <f aca="false">TRIM(Raw_Data!A516)</f>
        <v>EMP0515</v>
      </c>
      <c r="B516" s="14" t="n">
        <f aca="false">Raw_Data!B516</f>
        <v>42677</v>
      </c>
      <c r="C516" s="14" t="n">
        <f aca="false">IF(Raw_Data!C516="","",Raw_Data!C516)</f>
        <v>45137</v>
      </c>
      <c r="D516" s="13" t="n">
        <f aca="false">IF(Raw_Data!D516="","",Raw_Data!D516)</f>
        <v>36</v>
      </c>
      <c r="E516" s="13" t="str">
        <f aca="false">IF(UPPER(LEFT(TRIM(Raw_Data!E516),1))="M","Male",IF(UPPER(LEFT(TRIM(Raw_Data!E516),1))="F","Female","Unknown"))</f>
        <v>Female</v>
      </c>
      <c r="F516" s="13" t="str">
        <f aca="false">PROPER(TRIM(SUBSTITUTE(Raw_Data!F516,"'","")))</f>
        <v>Bachelors</v>
      </c>
      <c r="G516" s="13" t="str">
        <f aca="false">PROPER(TRIM(Raw_Data!G516))</f>
        <v>Customer Support</v>
      </c>
      <c r="H516" s="13" t="str">
        <f aca="false">PROPER(TRIM(Raw_Data!H516))</f>
        <v>Associate</v>
      </c>
      <c r="I516" s="13" t="n">
        <f aca="false">IF(Raw_Data!I516="",DefaultPerf,Raw_Data!I516)</f>
        <v>2</v>
      </c>
      <c r="J516" s="17" t="n">
        <f aca="false">IF(Raw_Data!J516="",DefaultSat,Raw_Data!J516)</f>
        <v>3</v>
      </c>
      <c r="K516" s="15" t="n">
        <f aca="false">Raw_Data!K516</f>
        <v>40000</v>
      </c>
      <c r="L516" s="13" t="str">
        <f aca="false">PROPER(TRIM(Raw_Data!N516))</f>
        <v>Yes</v>
      </c>
      <c r="M516" s="13" t="n">
        <f aca="false">IF(C516="",0,1)</f>
        <v>1</v>
      </c>
      <c r="N516" s="13" t="str">
        <f aca="false">IF(M516=0,"Active",IF(TRIM(Raw_Data!L516)="","Unknown",PROPER(TRIM(Raw_Data!L516))))</f>
        <v>Voluntary</v>
      </c>
      <c r="O516" s="13" t="str">
        <f aca="false">IF(M516=0,"",IF(TRIM(Raw_Data!M516)="","Not Recorded",TRIM(Raw_Data!M516)))</f>
        <v>Career Growth</v>
      </c>
      <c r="P516" s="16" t="n">
        <f aca="false">ROUND((IF(C516="",AsOfDate,C516)-B516)/365.25,2)</f>
        <v>6.74</v>
      </c>
      <c r="Q516" s="13" t="str">
        <f aca="false">IF(D516="","Unknown",IF(D516&lt;25,"Under 25",IF(D516&lt;35,"25-34",IF(D516&lt;45,"35-44",IF(D516&lt;55,"45-54","55+")))))</f>
        <v>35-44</v>
      </c>
      <c r="R516" s="13" t="str">
        <f aca="false">IF(P516&lt;1,"0-1 yrs",IF(P516&lt;3,"1-3 yrs",IF(P516&lt;5,"3-5 yrs",IF(P516&lt;10,"5-10 yrs","10+ yrs"))))</f>
        <v>5-10 yrs</v>
      </c>
      <c r="S516" s="13" t="str">
        <f aca="false">IF(I516&gt;=4,"High",IF(I516=3,"Medium","Low"))</f>
        <v>Low</v>
      </c>
      <c r="T516" s="13" t="n">
        <f aca="false">IF(M516=1,YEAR(C516),"")</f>
        <v>2023</v>
      </c>
      <c r="U516" s="13" t="str">
        <f aca="false">IF(M516=1,YEAR(C516)&amp;"-Q"&amp;ROUNDUP(MONTH(C516)/3,0),"")</f>
        <v>2023-Q3</v>
      </c>
      <c r="V516" s="13" t="n">
        <f aca="false">IF(M516=1,MONTH(C516),"")</f>
        <v>7</v>
      </c>
    </row>
    <row r="517" customFormat="false" ht="15" hidden="false" customHeight="false" outlineLevel="0" collapsed="false">
      <c r="A517" s="13" t="str">
        <f aca="false">TRIM(Raw_Data!A517)</f>
        <v>EMP0516</v>
      </c>
      <c r="B517" s="14" t="n">
        <f aca="false">Raw_Data!B517</f>
        <v>42679</v>
      </c>
      <c r="C517" s="14" t="str">
        <f aca="false">IF(Raw_Data!C517="","",Raw_Data!C517)</f>
        <v/>
      </c>
      <c r="D517" s="13" t="n">
        <f aca="false">IF(Raw_Data!D517="","",Raw_Data!D517)</f>
        <v>38</v>
      </c>
      <c r="E517" s="13" t="str">
        <f aca="false">IF(UPPER(LEFT(TRIM(Raw_Data!E517),1))="M","Male",IF(UPPER(LEFT(TRIM(Raw_Data!E517),1))="F","Female","Unknown"))</f>
        <v>Female</v>
      </c>
      <c r="F517" s="13" t="str">
        <f aca="false">PROPER(TRIM(SUBSTITUTE(Raw_Data!F517,"'","")))</f>
        <v>Masters</v>
      </c>
      <c r="G517" s="13" t="str">
        <f aca="false">PROPER(TRIM(Raw_Data!G517))</f>
        <v>Sales</v>
      </c>
      <c r="H517" s="13" t="str">
        <f aca="false">PROPER(TRIM(Raw_Data!H517))</f>
        <v>Senior Analyst</v>
      </c>
      <c r="I517" s="13" t="n">
        <f aca="false">IF(Raw_Data!I517="",DefaultPerf,Raw_Data!I517)</f>
        <v>4</v>
      </c>
      <c r="J517" s="13" t="n">
        <f aca="false">IF(Raw_Data!J517="",DefaultSat,Raw_Data!J517)</f>
        <v>4</v>
      </c>
      <c r="K517" s="15" t="n">
        <f aca="false">Raw_Data!K517</f>
        <v>112000</v>
      </c>
      <c r="L517" s="13" t="str">
        <f aca="false">PROPER(TRIM(Raw_Data!N517))</f>
        <v>No</v>
      </c>
      <c r="M517" s="13" t="n">
        <f aca="false">IF(C517="",0,1)</f>
        <v>0</v>
      </c>
      <c r="N517" s="13" t="str">
        <f aca="false">IF(M517=0,"Active",IF(TRIM(Raw_Data!L517)="","Unknown",PROPER(TRIM(Raw_Data!L517))))</f>
        <v>Active</v>
      </c>
      <c r="O517" s="13" t="str">
        <f aca="false">IF(M517=0,"",IF(TRIM(Raw_Data!M517)="","Not Recorded",TRIM(Raw_Data!M517)))</f>
        <v/>
      </c>
      <c r="P517" s="16" t="n">
        <f aca="false">ROUND((IF(C517="",AsOfDate,C517)-B517)/365.25,2)</f>
        <v>9.15</v>
      </c>
      <c r="Q517" s="13" t="str">
        <f aca="false">IF(D517="","Unknown",IF(D517&lt;25,"Under 25",IF(D517&lt;35,"25-34",IF(D517&lt;45,"35-44",IF(D517&lt;55,"45-54","55+")))))</f>
        <v>35-44</v>
      </c>
      <c r="R517" s="13" t="str">
        <f aca="false">IF(P517&lt;1,"0-1 yrs",IF(P517&lt;3,"1-3 yrs",IF(P517&lt;5,"3-5 yrs",IF(P517&lt;10,"5-10 yrs","10+ yrs"))))</f>
        <v>5-10 yrs</v>
      </c>
      <c r="S517" s="13" t="str">
        <f aca="false">IF(I517&gt;=4,"High",IF(I517=3,"Medium","Low"))</f>
        <v>High</v>
      </c>
      <c r="T517" s="13" t="str">
        <f aca="false">IF(M517=1,YEAR(C517),"")</f>
        <v/>
      </c>
      <c r="U517" s="13" t="str">
        <f aca="false">IF(M517=1,YEAR(C517)&amp;"-Q"&amp;ROUNDUP(MONTH(C517)/3,0),"")</f>
        <v/>
      </c>
      <c r="V517" s="13" t="str">
        <f aca="false">IF(M517=1,MONTH(C517),"")</f>
        <v/>
      </c>
    </row>
    <row r="518" customFormat="false" ht="15" hidden="false" customHeight="false" outlineLevel="0" collapsed="false">
      <c r="A518" s="13" t="str">
        <f aca="false">TRIM(Raw_Data!A518)</f>
        <v>EMP0517</v>
      </c>
      <c r="B518" s="14" t="n">
        <f aca="false">Raw_Data!B518</f>
        <v>42687</v>
      </c>
      <c r="C518" s="14" t="str">
        <f aca="false">IF(Raw_Data!C518="","",Raw_Data!C518)</f>
        <v/>
      </c>
      <c r="D518" s="13" t="n">
        <f aca="false">IF(Raw_Data!D518="","",Raw_Data!D518)</f>
        <v>39</v>
      </c>
      <c r="E518" s="13" t="str">
        <f aca="false">IF(UPPER(LEFT(TRIM(Raw_Data!E518),1))="M","Male",IF(UPPER(LEFT(TRIM(Raw_Data!E518),1))="F","Female","Unknown"))</f>
        <v>Male</v>
      </c>
      <c r="F518" s="13" t="str">
        <f aca="false">PROPER(TRIM(SUBSTITUTE(Raw_Data!F518,"'","")))</f>
        <v>Bachelors</v>
      </c>
      <c r="G518" s="13" t="str">
        <f aca="false">PROPER(TRIM(Raw_Data!G518))</f>
        <v>Sales</v>
      </c>
      <c r="H518" s="13" t="str">
        <f aca="false">PROPER(TRIM(Raw_Data!H518))</f>
        <v>Manager</v>
      </c>
      <c r="I518" s="13" t="n">
        <f aca="false">IF(Raw_Data!I518="",DefaultPerf,Raw_Data!I518)</f>
        <v>3</v>
      </c>
      <c r="J518" s="13" t="n">
        <f aca="false">IF(Raw_Data!J518="",DefaultSat,Raw_Data!J518)</f>
        <v>2</v>
      </c>
      <c r="K518" s="15" t="n">
        <f aca="false">Raw_Data!K518</f>
        <v>205500</v>
      </c>
      <c r="L518" s="13" t="str">
        <f aca="false">PROPER(TRIM(Raw_Data!N518))</f>
        <v>No</v>
      </c>
      <c r="M518" s="13" t="n">
        <f aca="false">IF(C518="",0,1)</f>
        <v>0</v>
      </c>
      <c r="N518" s="13" t="str">
        <f aca="false">IF(M518=0,"Active",IF(TRIM(Raw_Data!L518)="","Unknown",PROPER(TRIM(Raw_Data!L518))))</f>
        <v>Active</v>
      </c>
      <c r="O518" s="13" t="str">
        <f aca="false">IF(M518=0,"",IF(TRIM(Raw_Data!M518)="","Not Recorded",TRIM(Raw_Data!M518)))</f>
        <v/>
      </c>
      <c r="P518" s="16" t="n">
        <f aca="false">ROUND((IF(C518="",AsOfDate,C518)-B518)/365.25,2)</f>
        <v>9.13</v>
      </c>
      <c r="Q518" s="13" t="str">
        <f aca="false">IF(D518="","Unknown",IF(D518&lt;25,"Under 25",IF(D518&lt;35,"25-34",IF(D518&lt;45,"35-44",IF(D518&lt;55,"45-54","55+")))))</f>
        <v>35-44</v>
      </c>
      <c r="R518" s="13" t="str">
        <f aca="false">IF(P518&lt;1,"0-1 yrs",IF(P518&lt;3,"1-3 yrs",IF(P518&lt;5,"3-5 yrs",IF(P518&lt;10,"5-10 yrs","10+ yrs"))))</f>
        <v>5-10 yrs</v>
      </c>
      <c r="S518" s="13" t="str">
        <f aca="false">IF(I518&gt;=4,"High",IF(I518=3,"Medium","Low"))</f>
        <v>Medium</v>
      </c>
      <c r="T518" s="13" t="str">
        <f aca="false">IF(M518=1,YEAR(C518),"")</f>
        <v/>
      </c>
      <c r="U518" s="13" t="str">
        <f aca="false">IF(M518=1,YEAR(C518)&amp;"-Q"&amp;ROUNDUP(MONTH(C518)/3,0),"")</f>
        <v/>
      </c>
      <c r="V518" s="13" t="str">
        <f aca="false">IF(M518=1,MONTH(C518),"")</f>
        <v/>
      </c>
    </row>
    <row r="519" customFormat="false" ht="15" hidden="false" customHeight="false" outlineLevel="0" collapsed="false">
      <c r="A519" s="13" t="str">
        <f aca="false">TRIM(Raw_Data!A519)</f>
        <v>EMP0518</v>
      </c>
      <c r="B519" s="14" t="n">
        <f aca="false">Raw_Data!B519</f>
        <v>42688</v>
      </c>
      <c r="C519" s="14" t="str">
        <f aca="false">IF(Raw_Data!C519="","",Raw_Data!C519)</f>
        <v/>
      </c>
      <c r="D519" s="13" t="n">
        <f aca="false">IF(Raw_Data!D519="","",Raw_Data!D519)</f>
        <v>34</v>
      </c>
      <c r="E519" s="13" t="str">
        <f aca="false">IF(UPPER(LEFT(TRIM(Raw_Data!E519),1))="M","Male",IF(UPPER(LEFT(TRIM(Raw_Data!E519),1))="F","Female","Unknown"))</f>
        <v>Male</v>
      </c>
      <c r="F519" s="13" t="str">
        <f aca="false">PROPER(TRIM(SUBSTITUTE(Raw_Data!F519,"'","")))</f>
        <v>Bachelors</v>
      </c>
      <c r="G519" s="13" t="str">
        <f aca="false">PROPER(TRIM(Raw_Data!G519))</f>
        <v>Customer Support</v>
      </c>
      <c r="H519" s="13" t="str">
        <f aca="false">PROPER(TRIM(Raw_Data!H519))</f>
        <v>Analyst</v>
      </c>
      <c r="I519" s="13" t="n">
        <f aca="false">IF(Raw_Data!I519="",DefaultPerf,Raw_Data!I519)</f>
        <v>4</v>
      </c>
      <c r="J519" s="13" t="n">
        <f aca="false">IF(Raw_Data!J519="",DefaultSat,Raw_Data!J519)</f>
        <v>3</v>
      </c>
      <c r="K519" s="15" t="n">
        <f aca="false">Raw_Data!K519</f>
        <v>77500</v>
      </c>
      <c r="L519" s="13" t="str">
        <f aca="false">PROPER(TRIM(Raw_Data!N519))</f>
        <v>No</v>
      </c>
      <c r="M519" s="13" t="n">
        <f aca="false">IF(C519="",0,1)</f>
        <v>0</v>
      </c>
      <c r="N519" s="13" t="str">
        <f aca="false">IF(M519=0,"Active",IF(TRIM(Raw_Data!L519)="","Unknown",PROPER(TRIM(Raw_Data!L519))))</f>
        <v>Active</v>
      </c>
      <c r="O519" s="13" t="str">
        <f aca="false">IF(M519=0,"",IF(TRIM(Raw_Data!M519)="","Not Recorded",TRIM(Raw_Data!M519)))</f>
        <v/>
      </c>
      <c r="P519" s="16" t="n">
        <f aca="false">ROUND((IF(C519="",AsOfDate,C519)-B519)/365.25,2)</f>
        <v>9.13</v>
      </c>
      <c r="Q519" s="13" t="str">
        <f aca="false">IF(D519="","Unknown",IF(D519&lt;25,"Under 25",IF(D519&lt;35,"25-34",IF(D519&lt;45,"35-44",IF(D519&lt;55,"45-54","55+")))))</f>
        <v>25-34</v>
      </c>
      <c r="R519" s="13" t="str">
        <f aca="false">IF(P519&lt;1,"0-1 yrs",IF(P519&lt;3,"1-3 yrs",IF(P519&lt;5,"3-5 yrs",IF(P519&lt;10,"5-10 yrs","10+ yrs"))))</f>
        <v>5-10 yrs</v>
      </c>
      <c r="S519" s="13" t="str">
        <f aca="false">IF(I519&gt;=4,"High",IF(I519=3,"Medium","Low"))</f>
        <v>High</v>
      </c>
      <c r="T519" s="13" t="str">
        <f aca="false">IF(M519=1,YEAR(C519),"")</f>
        <v/>
      </c>
      <c r="U519" s="13" t="str">
        <f aca="false">IF(M519=1,YEAR(C519)&amp;"-Q"&amp;ROUNDUP(MONTH(C519)/3,0),"")</f>
        <v/>
      </c>
      <c r="V519" s="13" t="str">
        <f aca="false">IF(M519=1,MONTH(C519),"")</f>
        <v/>
      </c>
    </row>
    <row r="520" customFormat="false" ht="15" hidden="false" customHeight="false" outlineLevel="0" collapsed="false">
      <c r="A520" s="13" t="str">
        <f aca="false">TRIM(Raw_Data!A520)</f>
        <v>EMP0519</v>
      </c>
      <c r="B520" s="14" t="n">
        <f aca="false">Raw_Data!B520</f>
        <v>42689</v>
      </c>
      <c r="C520" s="14" t="n">
        <f aca="false">IF(Raw_Data!C520="","",Raw_Data!C520)</f>
        <v>45168</v>
      </c>
      <c r="D520" s="13" t="n">
        <f aca="false">IF(Raw_Data!D520="","",Raw_Data!D520)</f>
        <v>47</v>
      </c>
      <c r="E520" s="13" t="str">
        <f aca="false">IF(UPPER(LEFT(TRIM(Raw_Data!E520),1))="M","Male",IF(UPPER(LEFT(TRIM(Raw_Data!E520),1))="F","Female","Unknown"))</f>
        <v>Male</v>
      </c>
      <c r="F520" s="13" t="str">
        <f aca="false">PROPER(TRIM(SUBSTITUTE(Raw_Data!F520,"'","")))</f>
        <v>Bachelors</v>
      </c>
      <c r="G520" s="13" t="str">
        <f aca="false">PROPER(TRIM(Raw_Data!G520))</f>
        <v>Customer Support</v>
      </c>
      <c r="H520" s="13" t="str">
        <f aca="false">PROPER(TRIM(Raw_Data!H520))</f>
        <v>Team Lead</v>
      </c>
      <c r="I520" s="13" t="n">
        <f aca="false">IF(Raw_Data!I520="",DefaultPerf,Raw_Data!I520)</f>
        <v>2</v>
      </c>
      <c r="J520" s="13" t="n">
        <f aca="false">IF(Raw_Data!J520="",DefaultSat,Raw_Data!J520)</f>
        <v>3</v>
      </c>
      <c r="K520" s="15" t="n">
        <f aca="false">Raw_Data!K520</f>
        <v>152500</v>
      </c>
      <c r="L520" s="13" t="str">
        <f aca="false">PROPER(TRIM(Raw_Data!N520))</f>
        <v>Yes</v>
      </c>
      <c r="M520" s="13" t="n">
        <f aca="false">IF(C520="",0,1)</f>
        <v>1</v>
      </c>
      <c r="N520" s="13" t="str">
        <f aca="false">IF(M520=0,"Active",IF(TRIM(Raw_Data!L520)="","Unknown",PROPER(TRIM(Raw_Data!L520))))</f>
        <v>Involuntary</v>
      </c>
      <c r="O520" s="13" t="str">
        <f aca="false">IF(M520=0,"",IF(TRIM(Raw_Data!M520)="","Not Recorded",TRIM(Raw_Data!M520)))</f>
        <v>Poor Performance</v>
      </c>
      <c r="P520" s="16" t="n">
        <f aca="false">ROUND((IF(C520="",AsOfDate,C520)-B520)/365.25,2)</f>
        <v>6.79</v>
      </c>
      <c r="Q520" s="13" t="str">
        <f aca="false">IF(D520="","Unknown",IF(D520&lt;25,"Under 25",IF(D520&lt;35,"25-34",IF(D520&lt;45,"35-44",IF(D520&lt;55,"45-54","55+")))))</f>
        <v>45-54</v>
      </c>
      <c r="R520" s="13" t="str">
        <f aca="false">IF(P520&lt;1,"0-1 yrs",IF(P520&lt;3,"1-3 yrs",IF(P520&lt;5,"3-5 yrs",IF(P520&lt;10,"5-10 yrs","10+ yrs"))))</f>
        <v>5-10 yrs</v>
      </c>
      <c r="S520" s="13" t="str">
        <f aca="false">IF(I520&gt;=4,"High",IF(I520=3,"Medium","Low"))</f>
        <v>Low</v>
      </c>
      <c r="T520" s="13" t="n">
        <f aca="false">IF(M520=1,YEAR(C520),"")</f>
        <v>2023</v>
      </c>
      <c r="U520" s="13" t="str">
        <f aca="false">IF(M520=1,YEAR(C520)&amp;"-Q"&amp;ROUNDUP(MONTH(C520)/3,0),"")</f>
        <v>2023-Q3</v>
      </c>
      <c r="V520" s="13" t="n">
        <f aca="false">IF(M520=1,MONTH(C520),"")</f>
        <v>8</v>
      </c>
    </row>
    <row r="521" customFormat="false" ht="15" hidden="false" customHeight="false" outlineLevel="0" collapsed="false">
      <c r="A521" s="13" t="str">
        <f aca="false">TRIM(Raw_Data!A521)</f>
        <v>EMP0520</v>
      </c>
      <c r="B521" s="14" t="n">
        <f aca="false">Raw_Data!B521</f>
        <v>42690</v>
      </c>
      <c r="C521" s="14" t="str">
        <f aca="false">IF(Raw_Data!C521="","",Raw_Data!C521)</f>
        <v/>
      </c>
      <c r="D521" s="13" t="n">
        <f aca="false">IF(Raw_Data!D521="","",Raw_Data!D521)</f>
        <v>30</v>
      </c>
      <c r="E521" s="13" t="str">
        <f aca="false">IF(UPPER(LEFT(TRIM(Raw_Data!E521),1))="M","Male",IF(UPPER(LEFT(TRIM(Raw_Data!E521),1))="F","Female","Unknown"))</f>
        <v>Male</v>
      </c>
      <c r="F521" s="13" t="str">
        <f aca="false">PROPER(TRIM(SUBSTITUTE(Raw_Data!F521,"'","")))</f>
        <v>Masters</v>
      </c>
      <c r="G521" s="13" t="str">
        <f aca="false">PROPER(TRIM(Raw_Data!G521))</f>
        <v>Operations</v>
      </c>
      <c r="H521" s="13" t="str">
        <f aca="false">PROPER(TRIM(Raw_Data!H521))</f>
        <v>Team Lead</v>
      </c>
      <c r="I521" s="13" t="n">
        <f aca="false">IF(Raw_Data!I521="",DefaultPerf,Raw_Data!I521)</f>
        <v>3</v>
      </c>
      <c r="J521" s="13" t="n">
        <f aca="false">IF(Raw_Data!J521="",DefaultSat,Raw_Data!J521)</f>
        <v>4</v>
      </c>
      <c r="K521" s="15" t="n">
        <f aca="false">Raw_Data!K521</f>
        <v>128500</v>
      </c>
      <c r="L521" s="13" t="str">
        <f aca="false">PROPER(TRIM(Raw_Data!N521))</f>
        <v>No</v>
      </c>
      <c r="M521" s="13" t="n">
        <f aca="false">IF(C521="",0,1)</f>
        <v>0</v>
      </c>
      <c r="N521" s="13" t="str">
        <f aca="false">IF(M521=0,"Active",IF(TRIM(Raw_Data!L521)="","Unknown",PROPER(TRIM(Raw_Data!L521))))</f>
        <v>Active</v>
      </c>
      <c r="O521" s="13" t="str">
        <f aca="false">IF(M521=0,"",IF(TRIM(Raw_Data!M521)="","Not Recorded",TRIM(Raw_Data!M521)))</f>
        <v/>
      </c>
      <c r="P521" s="16" t="n">
        <f aca="false">ROUND((IF(C521="",AsOfDate,C521)-B521)/365.25,2)</f>
        <v>9.12</v>
      </c>
      <c r="Q521" s="13" t="str">
        <f aca="false">IF(D521="","Unknown",IF(D521&lt;25,"Under 25",IF(D521&lt;35,"25-34",IF(D521&lt;45,"35-44",IF(D521&lt;55,"45-54","55+")))))</f>
        <v>25-34</v>
      </c>
      <c r="R521" s="13" t="str">
        <f aca="false">IF(P521&lt;1,"0-1 yrs",IF(P521&lt;3,"1-3 yrs",IF(P521&lt;5,"3-5 yrs",IF(P521&lt;10,"5-10 yrs","10+ yrs"))))</f>
        <v>5-10 yrs</v>
      </c>
      <c r="S521" s="13" t="str">
        <f aca="false">IF(I521&gt;=4,"High",IF(I521=3,"Medium","Low"))</f>
        <v>Medium</v>
      </c>
      <c r="T521" s="13" t="str">
        <f aca="false">IF(M521=1,YEAR(C521),"")</f>
        <v/>
      </c>
      <c r="U521" s="13" t="str">
        <f aca="false">IF(M521=1,YEAR(C521)&amp;"-Q"&amp;ROUNDUP(MONTH(C521)/3,0),"")</f>
        <v/>
      </c>
      <c r="V521" s="13" t="str">
        <f aca="false">IF(M521=1,MONTH(C521),"")</f>
        <v/>
      </c>
    </row>
    <row r="522" customFormat="false" ht="15" hidden="false" customHeight="false" outlineLevel="0" collapsed="false">
      <c r="A522" s="13" t="str">
        <f aca="false">TRIM(Raw_Data!A522)</f>
        <v>EMP0521</v>
      </c>
      <c r="B522" s="14" t="n">
        <f aca="false">Raw_Data!B522</f>
        <v>42690</v>
      </c>
      <c r="C522" s="14" t="str">
        <f aca="false">IF(Raw_Data!C522="","",Raw_Data!C522)</f>
        <v/>
      </c>
      <c r="D522" s="13" t="n">
        <f aca="false">IF(Raw_Data!D522="","",Raw_Data!D522)</f>
        <v>35</v>
      </c>
      <c r="E522" s="13" t="str">
        <f aca="false">IF(UPPER(LEFT(TRIM(Raw_Data!E522),1))="M","Male",IF(UPPER(LEFT(TRIM(Raw_Data!E522),1))="F","Female","Unknown"))</f>
        <v>Female</v>
      </c>
      <c r="F522" s="13" t="str">
        <f aca="false">PROPER(TRIM(SUBSTITUTE(Raw_Data!F522,"'","")))</f>
        <v>Bachelors</v>
      </c>
      <c r="G522" s="13" t="str">
        <f aca="false">PROPER(TRIM(Raw_Data!G522))</f>
        <v>Sales</v>
      </c>
      <c r="H522" s="13" t="str">
        <f aca="false">PROPER(TRIM(Raw_Data!H522))</f>
        <v>Specialist</v>
      </c>
      <c r="I522" s="13" t="n">
        <f aca="false">IF(Raw_Data!I522="",DefaultPerf,Raw_Data!I522)</f>
        <v>4</v>
      </c>
      <c r="J522" s="13" t="n">
        <f aca="false">IF(Raw_Data!J522="",DefaultSat,Raw_Data!J522)</f>
        <v>4</v>
      </c>
      <c r="K522" s="15" t="n">
        <f aca="false">Raw_Data!K522</f>
        <v>118000</v>
      </c>
      <c r="L522" s="13" t="str">
        <f aca="false">PROPER(TRIM(Raw_Data!N522))</f>
        <v>No</v>
      </c>
      <c r="M522" s="13" t="n">
        <f aca="false">IF(C522="",0,1)</f>
        <v>0</v>
      </c>
      <c r="N522" s="13" t="str">
        <f aca="false">IF(M522=0,"Active",IF(TRIM(Raw_Data!L522)="","Unknown",PROPER(TRIM(Raw_Data!L522))))</f>
        <v>Active</v>
      </c>
      <c r="O522" s="13" t="str">
        <f aca="false">IF(M522=0,"",IF(TRIM(Raw_Data!M522)="","Not Recorded",TRIM(Raw_Data!M522)))</f>
        <v/>
      </c>
      <c r="P522" s="16" t="n">
        <f aca="false">ROUND((IF(C522="",AsOfDate,C522)-B522)/365.25,2)</f>
        <v>9.12</v>
      </c>
      <c r="Q522" s="13" t="str">
        <f aca="false">IF(D522="","Unknown",IF(D522&lt;25,"Under 25",IF(D522&lt;35,"25-34",IF(D522&lt;45,"35-44",IF(D522&lt;55,"45-54","55+")))))</f>
        <v>35-44</v>
      </c>
      <c r="R522" s="13" t="str">
        <f aca="false">IF(P522&lt;1,"0-1 yrs",IF(P522&lt;3,"1-3 yrs",IF(P522&lt;5,"3-5 yrs",IF(P522&lt;10,"5-10 yrs","10+ yrs"))))</f>
        <v>5-10 yrs</v>
      </c>
      <c r="S522" s="13" t="str">
        <f aca="false">IF(I522&gt;=4,"High",IF(I522=3,"Medium","Low"))</f>
        <v>High</v>
      </c>
      <c r="T522" s="13" t="str">
        <f aca="false">IF(M522=1,YEAR(C522),"")</f>
        <v/>
      </c>
      <c r="U522" s="13" t="str">
        <f aca="false">IF(M522=1,YEAR(C522)&amp;"-Q"&amp;ROUNDUP(MONTH(C522)/3,0),"")</f>
        <v/>
      </c>
      <c r="V522" s="13" t="str">
        <f aca="false">IF(M522=1,MONTH(C522),"")</f>
        <v/>
      </c>
    </row>
    <row r="523" customFormat="false" ht="15" hidden="false" customHeight="false" outlineLevel="0" collapsed="false">
      <c r="A523" s="13" t="str">
        <f aca="false">TRIM(Raw_Data!A523)</f>
        <v>EMP0522</v>
      </c>
      <c r="B523" s="14" t="n">
        <f aca="false">Raw_Data!B523</f>
        <v>42691</v>
      </c>
      <c r="C523" s="14" t="n">
        <f aca="false">IF(Raw_Data!C523="","",Raw_Data!C523)</f>
        <v>44850</v>
      </c>
      <c r="D523" s="13" t="n">
        <f aca="false">IF(Raw_Data!D523="","",Raw_Data!D523)</f>
        <v>38</v>
      </c>
      <c r="E523" s="13" t="str">
        <f aca="false">IF(UPPER(LEFT(TRIM(Raw_Data!E523),1))="M","Male",IF(UPPER(LEFT(TRIM(Raw_Data!E523),1))="F","Female","Unknown"))</f>
        <v>Female</v>
      </c>
      <c r="F523" s="13" t="str">
        <f aca="false">PROPER(TRIM(SUBSTITUTE(Raw_Data!F523,"'","")))</f>
        <v>Bachelors</v>
      </c>
      <c r="G523" s="13" t="str">
        <f aca="false">PROPER(TRIM(Raw_Data!G523))</f>
        <v>Sales</v>
      </c>
      <c r="H523" s="13" t="str">
        <f aca="false">PROPER(TRIM(Raw_Data!H523))</f>
        <v>Specialist</v>
      </c>
      <c r="I523" s="13" t="n">
        <f aca="false">IF(Raw_Data!I523="",DefaultPerf,Raw_Data!I523)</f>
        <v>3</v>
      </c>
      <c r="J523" s="13" t="n">
        <f aca="false">IF(Raw_Data!J523="",DefaultSat,Raw_Data!J523)</f>
        <v>1</v>
      </c>
      <c r="K523" s="15" t="n">
        <f aca="false">Raw_Data!K523</f>
        <v>124500</v>
      </c>
      <c r="L523" s="13" t="str">
        <f aca="false">PROPER(TRIM(Raw_Data!N523))</f>
        <v>No</v>
      </c>
      <c r="M523" s="13" t="n">
        <f aca="false">IF(C523="",0,1)</f>
        <v>1</v>
      </c>
      <c r="N523" s="13" t="str">
        <f aca="false">IF(M523=0,"Active",IF(TRIM(Raw_Data!L523)="","Unknown",PROPER(TRIM(Raw_Data!L523))))</f>
        <v>Voluntary</v>
      </c>
      <c r="O523" s="13" t="str">
        <f aca="false">IF(M523=0,"",IF(TRIM(Raw_Data!M523)="","Not Recorded",TRIM(Raw_Data!M523)))</f>
        <v>Further Studies</v>
      </c>
      <c r="P523" s="16" t="n">
        <f aca="false">ROUND((IF(C523="",AsOfDate,C523)-B523)/365.25,2)</f>
        <v>5.91</v>
      </c>
      <c r="Q523" s="13" t="str">
        <f aca="false">IF(D523="","Unknown",IF(D523&lt;25,"Under 25",IF(D523&lt;35,"25-34",IF(D523&lt;45,"35-44",IF(D523&lt;55,"45-54","55+")))))</f>
        <v>35-44</v>
      </c>
      <c r="R523" s="13" t="str">
        <f aca="false">IF(P523&lt;1,"0-1 yrs",IF(P523&lt;3,"1-3 yrs",IF(P523&lt;5,"3-5 yrs",IF(P523&lt;10,"5-10 yrs","10+ yrs"))))</f>
        <v>5-10 yrs</v>
      </c>
      <c r="S523" s="13" t="str">
        <f aca="false">IF(I523&gt;=4,"High",IF(I523=3,"Medium","Low"))</f>
        <v>Medium</v>
      </c>
      <c r="T523" s="13" t="n">
        <f aca="false">IF(M523=1,YEAR(C523),"")</f>
        <v>2022</v>
      </c>
      <c r="U523" s="13" t="str">
        <f aca="false">IF(M523=1,YEAR(C523)&amp;"-Q"&amp;ROUNDUP(MONTH(C523)/3,0),"")</f>
        <v>2022-Q4</v>
      </c>
      <c r="V523" s="13" t="n">
        <f aca="false">IF(M523=1,MONTH(C523),"")</f>
        <v>10</v>
      </c>
    </row>
    <row r="524" customFormat="false" ht="15" hidden="false" customHeight="false" outlineLevel="0" collapsed="false">
      <c r="A524" s="13" t="str">
        <f aca="false">TRIM(Raw_Data!A524)</f>
        <v>EMP0523</v>
      </c>
      <c r="B524" s="14" t="n">
        <f aca="false">Raw_Data!B524</f>
        <v>42692</v>
      </c>
      <c r="C524" s="14" t="str">
        <f aca="false">IF(Raw_Data!C524="","",Raw_Data!C524)</f>
        <v/>
      </c>
      <c r="D524" s="13" t="n">
        <f aca="false">IF(Raw_Data!D524="","",Raw_Data!D524)</f>
        <v>30</v>
      </c>
      <c r="E524" s="13" t="str">
        <f aca="false">IF(UPPER(LEFT(TRIM(Raw_Data!E524),1))="M","Male",IF(UPPER(LEFT(TRIM(Raw_Data!E524),1))="F","Female","Unknown"))</f>
        <v>Male</v>
      </c>
      <c r="F524" s="13" t="str">
        <f aca="false">PROPER(TRIM(SUBSTITUTE(Raw_Data!F524,"'","")))</f>
        <v>Masters</v>
      </c>
      <c r="G524" s="13" t="str">
        <f aca="false">PROPER(TRIM(Raw_Data!G524))</f>
        <v>Finance</v>
      </c>
      <c r="H524" s="13" t="str">
        <f aca="false">PROPER(TRIM(Raw_Data!H524))</f>
        <v>Manager</v>
      </c>
      <c r="I524" s="13" t="n">
        <f aca="false">IF(Raw_Data!I524="",DefaultPerf,Raw_Data!I524)</f>
        <v>3</v>
      </c>
      <c r="J524" s="13" t="n">
        <f aca="false">IF(Raw_Data!J524="",DefaultSat,Raw_Data!J524)</f>
        <v>1</v>
      </c>
      <c r="K524" s="15" t="n">
        <f aca="false">Raw_Data!K524</f>
        <v>232000</v>
      </c>
      <c r="L524" s="13" t="str">
        <f aca="false">PROPER(TRIM(Raw_Data!N524))</f>
        <v>No</v>
      </c>
      <c r="M524" s="13" t="n">
        <f aca="false">IF(C524="",0,1)</f>
        <v>0</v>
      </c>
      <c r="N524" s="13" t="str">
        <f aca="false">IF(M524=0,"Active",IF(TRIM(Raw_Data!L524)="","Unknown",PROPER(TRIM(Raw_Data!L524))))</f>
        <v>Active</v>
      </c>
      <c r="O524" s="13" t="str">
        <f aca="false">IF(M524=0,"",IF(TRIM(Raw_Data!M524)="","Not Recorded",TRIM(Raw_Data!M524)))</f>
        <v/>
      </c>
      <c r="P524" s="16" t="n">
        <f aca="false">ROUND((IF(C524="",AsOfDate,C524)-B524)/365.25,2)</f>
        <v>9.12</v>
      </c>
      <c r="Q524" s="13" t="str">
        <f aca="false">IF(D524="","Unknown",IF(D524&lt;25,"Under 25",IF(D524&lt;35,"25-34",IF(D524&lt;45,"35-44",IF(D524&lt;55,"45-54","55+")))))</f>
        <v>25-34</v>
      </c>
      <c r="R524" s="13" t="str">
        <f aca="false">IF(P524&lt;1,"0-1 yrs",IF(P524&lt;3,"1-3 yrs",IF(P524&lt;5,"3-5 yrs",IF(P524&lt;10,"5-10 yrs","10+ yrs"))))</f>
        <v>5-10 yrs</v>
      </c>
      <c r="S524" s="13" t="str">
        <f aca="false">IF(I524&gt;=4,"High",IF(I524=3,"Medium","Low"))</f>
        <v>Medium</v>
      </c>
      <c r="T524" s="13" t="str">
        <f aca="false">IF(M524=1,YEAR(C524),"")</f>
        <v/>
      </c>
      <c r="U524" s="13" t="str">
        <f aca="false">IF(M524=1,YEAR(C524)&amp;"-Q"&amp;ROUNDUP(MONTH(C524)/3,0),"")</f>
        <v/>
      </c>
      <c r="V524" s="13" t="str">
        <f aca="false">IF(M524=1,MONTH(C524),"")</f>
        <v/>
      </c>
    </row>
    <row r="525" customFormat="false" ht="15" hidden="false" customHeight="false" outlineLevel="0" collapsed="false">
      <c r="A525" s="13" t="str">
        <f aca="false">TRIM(Raw_Data!A525)</f>
        <v>EMP0524</v>
      </c>
      <c r="B525" s="14" t="n">
        <f aca="false">Raw_Data!B525</f>
        <v>42693</v>
      </c>
      <c r="C525" s="14" t="str">
        <f aca="false">IF(Raw_Data!C525="","",Raw_Data!C525)</f>
        <v/>
      </c>
      <c r="D525" s="13" t="n">
        <f aca="false">IF(Raw_Data!D525="","",Raw_Data!D525)</f>
        <v>36</v>
      </c>
      <c r="E525" s="13" t="str">
        <f aca="false">IF(UPPER(LEFT(TRIM(Raw_Data!E525),1))="M","Male",IF(UPPER(LEFT(TRIM(Raw_Data!E525),1))="F","Female","Unknown"))</f>
        <v>Female</v>
      </c>
      <c r="F525" s="13" t="str">
        <f aca="false">PROPER(TRIM(SUBSTITUTE(Raw_Data!F525,"'","")))</f>
        <v>Bachelors</v>
      </c>
      <c r="G525" s="13" t="str">
        <f aca="false">PROPER(TRIM(Raw_Data!G525))</f>
        <v>Operations</v>
      </c>
      <c r="H525" s="13" t="str">
        <f aca="false">PROPER(TRIM(Raw_Data!H525))</f>
        <v>Analyst</v>
      </c>
      <c r="I525" s="13" t="n">
        <f aca="false">IF(Raw_Data!I525="",DefaultPerf,Raw_Data!I525)</f>
        <v>2</v>
      </c>
      <c r="J525" s="13" t="n">
        <f aca="false">IF(Raw_Data!J525="",DefaultSat,Raw_Data!J525)</f>
        <v>4</v>
      </c>
      <c r="K525" s="15" t="n">
        <f aca="false">Raw_Data!K525</f>
        <v>77500</v>
      </c>
      <c r="L525" s="13" t="str">
        <f aca="false">PROPER(TRIM(Raw_Data!N525))</f>
        <v>No</v>
      </c>
      <c r="M525" s="13" t="n">
        <f aca="false">IF(C525="",0,1)</f>
        <v>0</v>
      </c>
      <c r="N525" s="13" t="str">
        <f aca="false">IF(M525=0,"Active",IF(TRIM(Raw_Data!L525)="","Unknown",PROPER(TRIM(Raw_Data!L525))))</f>
        <v>Active</v>
      </c>
      <c r="O525" s="13" t="str">
        <f aca="false">IF(M525=0,"",IF(TRIM(Raw_Data!M525)="","Not Recorded",TRIM(Raw_Data!M525)))</f>
        <v/>
      </c>
      <c r="P525" s="16" t="n">
        <f aca="false">ROUND((IF(C525="",AsOfDate,C525)-B525)/365.25,2)</f>
        <v>9.11</v>
      </c>
      <c r="Q525" s="13" t="str">
        <f aca="false">IF(D525="","Unknown",IF(D525&lt;25,"Under 25",IF(D525&lt;35,"25-34",IF(D525&lt;45,"35-44",IF(D525&lt;55,"45-54","55+")))))</f>
        <v>35-44</v>
      </c>
      <c r="R525" s="13" t="str">
        <f aca="false">IF(P525&lt;1,"0-1 yrs",IF(P525&lt;3,"1-3 yrs",IF(P525&lt;5,"3-5 yrs",IF(P525&lt;10,"5-10 yrs","10+ yrs"))))</f>
        <v>5-10 yrs</v>
      </c>
      <c r="S525" s="13" t="str">
        <f aca="false">IF(I525&gt;=4,"High",IF(I525=3,"Medium","Low"))</f>
        <v>Low</v>
      </c>
      <c r="T525" s="13" t="str">
        <f aca="false">IF(M525=1,YEAR(C525),"")</f>
        <v/>
      </c>
      <c r="U525" s="13" t="str">
        <f aca="false">IF(M525=1,YEAR(C525)&amp;"-Q"&amp;ROUNDUP(MONTH(C525)/3,0),"")</f>
        <v/>
      </c>
      <c r="V525" s="13" t="str">
        <f aca="false">IF(M525=1,MONTH(C525),"")</f>
        <v/>
      </c>
    </row>
    <row r="526" customFormat="false" ht="15" hidden="false" customHeight="false" outlineLevel="0" collapsed="false">
      <c r="A526" s="13" t="str">
        <f aca="false">TRIM(Raw_Data!A526)</f>
        <v>EMP0525</v>
      </c>
      <c r="B526" s="14" t="n">
        <f aca="false">Raw_Data!B526</f>
        <v>42693</v>
      </c>
      <c r="C526" s="14" t="str">
        <f aca="false">IF(Raw_Data!C526="","",Raw_Data!C526)</f>
        <v/>
      </c>
      <c r="D526" s="13" t="n">
        <f aca="false">IF(Raw_Data!D526="","",Raw_Data!D526)</f>
        <v>39</v>
      </c>
      <c r="E526" s="13" t="str">
        <f aca="false">IF(UPPER(LEFT(TRIM(Raw_Data!E526),1))="M","Male",IF(UPPER(LEFT(TRIM(Raw_Data!E526),1))="F","Female","Unknown"))</f>
        <v>Female</v>
      </c>
      <c r="F526" s="13" t="str">
        <f aca="false">PROPER(TRIM(SUBSTITUTE(Raw_Data!F526,"'","")))</f>
        <v>Masters</v>
      </c>
      <c r="G526" s="13" t="str">
        <f aca="false">PROPER(TRIM(Raw_Data!G526))</f>
        <v>Sales</v>
      </c>
      <c r="H526" s="13" t="str">
        <f aca="false">PROPER(TRIM(Raw_Data!H526))</f>
        <v>Team Lead</v>
      </c>
      <c r="I526" s="17" t="n">
        <f aca="false">IF(Raw_Data!I526="",DefaultPerf,Raw_Data!I526)</f>
        <v>3</v>
      </c>
      <c r="J526" s="13" t="n">
        <f aca="false">IF(Raw_Data!J526="",DefaultSat,Raw_Data!J526)</f>
        <v>1</v>
      </c>
      <c r="K526" s="15" t="n">
        <f aca="false">Raw_Data!K526</f>
        <v>156500</v>
      </c>
      <c r="L526" s="13" t="str">
        <f aca="false">PROPER(TRIM(Raw_Data!N526))</f>
        <v>No</v>
      </c>
      <c r="M526" s="13" t="n">
        <f aca="false">IF(C526="",0,1)</f>
        <v>0</v>
      </c>
      <c r="N526" s="13" t="str">
        <f aca="false">IF(M526=0,"Active",IF(TRIM(Raw_Data!L526)="","Unknown",PROPER(TRIM(Raw_Data!L526))))</f>
        <v>Active</v>
      </c>
      <c r="O526" s="13" t="str">
        <f aca="false">IF(M526=0,"",IF(TRIM(Raw_Data!M526)="","Not Recorded",TRIM(Raw_Data!M526)))</f>
        <v/>
      </c>
      <c r="P526" s="16" t="n">
        <f aca="false">ROUND((IF(C526="",AsOfDate,C526)-B526)/365.25,2)</f>
        <v>9.11</v>
      </c>
      <c r="Q526" s="13" t="str">
        <f aca="false">IF(D526="","Unknown",IF(D526&lt;25,"Under 25",IF(D526&lt;35,"25-34",IF(D526&lt;45,"35-44",IF(D526&lt;55,"45-54","55+")))))</f>
        <v>35-44</v>
      </c>
      <c r="R526" s="13" t="str">
        <f aca="false">IF(P526&lt;1,"0-1 yrs",IF(P526&lt;3,"1-3 yrs",IF(P526&lt;5,"3-5 yrs",IF(P526&lt;10,"5-10 yrs","10+ yrs"))))</f>
        <v>5-10 yrs</v>
      </c>
      <c r="S526" s="13" t="str">
        <f aca="false">IF(I526&gt;=4,"High",IF(I526=3,"Medium","Low"))</f>
        <v>Medium</v>
      </c>
      <c r="T526" s="13" t="str">
        <f aca="false">IF(M526=1,YEAR(C526),"")</f>
        <v/>
      </c>
      <c r="U526" s="13" t="str">
        <f aca="false">IF(M526=1,YEAR(C526)&amp;"-Q"&amp;ROUNDUP(MONTH(C526)/3,0),"")</f>
        <v/>
      </c>
      <c r="V526" s="13" t="str">
        <f aca="false">IF(M526=1,MONTH(C526),"")</f>
        <v/>
      </c>
    </row>
    <row r="527" customFormat="false" ht="15" hidden="false" customHeight="false" outlineLevel="0" collapsed="false">
      <c r="A527" s="13" t="str">
        <f aca="false">TRIM(Raw_Data!A527)</f>
        <v>EMP0526</v>
      </c>
      <c r="B527" s="14" t="n">
        <f aca="false">Raw_Data!B527</f>
        <v>42698</v>
      </c>
      <c r="C527" s="14" t="str">
        <f aca="false">IF(Raw_Data!C527="","",Raw_Data!C527)</f>
        <v/>
      </c>
      <c r="D527" s="13" t="n">
        <f aca="false">IF(Raw_Data!D527="","",Raw_Data!D527)</f>
        <v>34</v>
      </c>
      <c r="E527" s="13" t="str">
        <f aca="false">IF(UPPER(LEFT(TRIM(Raw_Data!E527),1))="M","Male",IF(UPPER(LEFT(TRIM(Raw_Data!E527),1))="F","Female","Unknown"))</f>
        <v>Male</v>
      </c>
      <c r="F527" s="13" t="str">
        <f aca="false">PROPER(TRIM(SUBSTITUTE(Raw_Data!F527,"'","")))</f>
        <v>Bachelors</v>
      </c>
      <c r="G527" s="13" t="str">
        <f aca="false">PROPER(TRIM(Raw_Data!G527))</f>
        <v>Engineering</v>
      </c>
      <c r="H527" s="13" t="str">
        <f aca="false">PROPER(TRIM(Raw_Data!H527))</f>
        <v>Associate</v>
      </c>
      <c r="I527" s="13" t="n">
        <f aca="false">IF(Raw_Data!I527="",DefaultPerf,Raw_Data!I527)</f>
        <v>3</v>
      </c>
      <c r="J527" s="13" t="n">
        <f aca="false">IF(Raw_Data!J527="",DefaultSat,Raw_Data!J527)</f>
        <v>2</v>
      </c>
      <c r="K527" s="15" t="n">
        <f aca="false">Raw_Data!K527</f>
        <v>53500</v>
      </c>
      <c r="L527" s="13" t="str">
        <f aca="false">PROPER(TRIM(Raw_Data!N527))</f>
        <v>No</v>
      </c>
      <c r="M527" s="13" t="n">
        <f aca="false">IF(C527="",0,1)</f>
        <v>0</v>
      </c>
      <c r="N527" s="13" t="str">
        <f aca="false">IF(M527=0,"Active",IF(TRIM(Raw_Data!L527)="","Unknown",PROPER(TRIM(Raw_Data!L527))))</f>
        <v>Active</v>
      </c>
      <c r="O527" s="13" t="str">
        <f aca="false">IF(M527=0,"",IF(TRIM(Raw_Data!M527)="","Not Recorded",TRIM(Raw_Data!M527)))</f>
        <v/>
      </c>
      <c r="P527" s="16" t="n">
        <f aca="false">ROUND((IF(C527="",AsOfDate,C527)-B527)/365.25,2)</f>
        <v>9.1</v>
      </c>
      <c r="Q527" s="13" t="str">
        <f aca="false">IF(D527="","Unknown",IF(D527&lt;25,"Under 25",IF(D527&lt;35,"25-34",IF(D527&lt;45,"35-44",IF(D527&lt;55,"45-54","55+")))))</f>
        <v>25-34</v>
      </c>
      <c r="R527" s="13" t="str">
        <f aca="false">IF(P527&lt;1,"0-1 yrs",IF(P527&lt;3,"1-3 yrs",IF(P527&lt;5,"3-5 yrs",IF(P527&lt;10,"5-10 yrs","10+ yrs"))))</f>
        <v>5-10 yrs</v>
      </c>
      <c r="S527" s="13" t="str">
        <f aca="false">IF(I527&gt;=4,"High",IF(I527=3,"Medium","Low"))</f>
        <v>Medium</v>
      </c>
      <c r="T527" s="13" t="str">
        <f aca="false">IF(M527=1,YEAR(C527),"")</f>
        <v/>
      </c>
      <c r="U527" s="13" t="str">
        <f aca="false">IF(M527=1,YEAR(C527)&amp;"-Q"&amp;ROUNDUP(MONTH(C527)/3,0),"")</f>
        <v/>
      </c>
      <c r="V527" s="13" t="str">
        <f aca="false">IF(M527=1,MONTH(C527),"")</f>
        <v/>
      </c>
    </row>
    <row r="528" customFormat="false" ht="15" hidden="false" customHeight="false" outlineLevel="0" collapsed="false">
      <c r="A528" s="13" t="str">
        <f aca="false">TRIM(Raw_Data!A528)</f>
        <v>EMP0527</v>
      </c>
      <c r="B528" s="14" t="n">
        <f aca="false">Raw_Data!B528</f>
        <v>42704</v>
      </c>
      <c r="C528" s="14" t="str">
        <f aca="false">IF(Raw_Data!C528="","",Raw_Data!C528)</f>
        <v/>
      </c>
      <c r="D528" s="13" t="n">
        <f aca="false">IF(Raw_Data!D528="","",Raw_Data!D528)</f>
        <v>41</v>
      </c>
      <c r="E528" s="13" t="str">
        <f aca="false">IF(UPPER(LEFT(TRIM(Raw_Data!E528),1))="M","Male",IF(UPPER(LEFT(TRIM(Raw_Data!E528),1))="F","Female","Unknown"))</f>
        <v>Male</v>
      </c>
      <c r="F528" s="13" t="str">
        <f aca="false">PROPER(TRIM(SUBSTITUTE(Raw_Data!F528,"'","")))</f>
        <v>Bachelors</v>
      </c>
      <c r="G528" s="13" t="str">
        <f aca="false">PROPER(TRIM(Raw_Data!G528))</f>
        <v>Finance</v>
      </c>
      <c r="H528" s="13" t="str">
        <f aca="false">PROPER(TRIM(Raw_Data!H528))</f>
        <v>Specialist</v>
      </c>
      <c r="I528" s="13" t="n">
        <f aca="false">IF(Raw_Data!I528="",DefaultPerf,Raw_Data!I528)</f>
        <v>3</v>
      </c>
      <c r="J528" s="13" t="n">
        <f aca="false">IF(Raw_Data!J528="",DefaultSat,Raw_Data!J528)</f>
        <v>3</v>
      </c>
      <c r="K528" s="15" t="n">
        <f aca="false">Raw_Data!K528</f>
        <v>105500</v>
      </c>
      <c r="L528" s="13" t="str">
        <f aca="false">PROPER(TRIM(Raw_Data!N528))</f>
        <v>No</v>
      </c>
      <c r="M528" s="13" t="n">
        <f aca="false">IF(C528="",0,1)</f>
        <v>0</v>
      </c>
      <c r="N528" s="13" t="str">
        <f aca="false">IF(M528=0,"Active",IF(TRIM(Raw_Data!L528)="","Unknown",PROPER(TRIM(Raw_Data!L528))))</f>
        <v>Active</v>
      </c>
      <c r="O528" s="13" t="str">
        <f aca="false">IF(M528=0,"",IF(TRIM(Raw_Data!M528)="","Not Recorded",TRIM(Raw_Data!M528)))</f>
        <v/>
      </c>
      <c r="P528" s="16" t="n">
        <f aca="false">ROUND((IF(C528="",AsOfDate,C528)-B528)/365.25,2)</f>
        <v>9.08</v>
      </c>
      <c r="Q528" s="13" t="str">
        <f aca="false">IF(D528="","Unknown",IF(D528&lt;25,"Under 25",IF(D528&lt;35,"25-34",IF(D528&lt;45,"35-44",IF(D528&lt;55,"45-54","55+")))))</f>
        <v>35-44</v>
      </c>
      <c r="R528" s="13" t="str">
        <f aca="false">IF(P528&lt;1,"0-1 yrs",IF(P528&lt;3,"1-3 yrs",IF(P528&lt;5,"3-5 yrs",IF(P528&lt;10,"5-10 yrs","10+ yrs"))))</f>
        <v>5-10 yrs</v>
      </c>
      <c r="S528" s="13" t="str">
        <f aca="false">IF(I528&gt;=4,"High",IF(I528=3,"Medium","Low"))</f>
        <v>Medium</v>
      </c>
      <c r="T528" s="13" t="str">
        <f aca="false">IF(M528=1,YEAR(C528),"")</f>
        <v/>
      </c>
      <c r="U528" s="13" t="str">
        <f aca="false">IF(M528=1,YEAR(C528)&amp;"-Q"&amp;ROUNDUP(MONTH(C528)/3,0),"")</f>
        <v/>
      </c>
      <c r="V528" s="13" t="str">
        <f aca="false">IF(M528=1,MONTH(C528),"")</f>
        <v/>
      </c>
    </row>
    <row r="529" customFormat="false" ht="15" hidden="false" customHeight="false" outlineLevel="0" collapsed="false">
      <c r="A529" s="13" t="str">
        <f aca="false">TRIM(Raw_Data!A529)</f>
        <v>EMP0528</v>
      </c>
      <c r="B529" s="14" t="n">
        <f aca="false">Raw_Data!B529</f>
        <v>42706</v>
      </c>
      <c r="C529" s="14" t="str">
        <f aca="false">IF(Raw_Data!C529="","",Raw_Data!C529)</f>
        <v/>
      </c>
      <c r="D529" s="13" t="n">
        <f aca="false">IF(Raw_Data!D529="","",Raw_Data!D529)</f>
        <v>30</v>
      </c>
      <c r="E529" s="13" t="str">
        <f aca="false">IF(UPPER(LEFT(TRIM(Raw_Data!E529),1))="M","Male",IF(UPPER(LEFT(TRIM(Raw_Data!E529),1))="F","Female","Unknown"))</f>
        <v>Male</v>
      </c>
      <c r="F529" s="13" t="str">
        <f aca="false">PROPER(TRIM(SUBSTITUTE(Raw_Data!F529,"'","")))</f>
        <v>Bachelors</v>
      </c>
      <c r="G529" s="13" t="str">
        <f aca="false">PROPER(TRIM(Raw_Data!G529))</f>
        <v>Customer Support</v>
      </c>
      <c r="H529" s="13" t="str">
        <f aca="false">PROPER(TRIM(Raw_Data!H529))</f>
        <v>Associate</v>
      </c>
      <c r="I529" s="13" t="n">
        <f aca="false">IF(Raw_Data!I529="",DefaultPerf,Raw_Data!I529)</f>
        <v>5</v>
      </c>
      <c r="J529" s="13" t="n">
        <f aca="false">IF(Raw_Data!J529="",DefaultSat,Raw_Data!J529)</f>
        <v>4</v>
      </c>
      <c r="K529" s="15" t="n">
        <f aca="false">Raw_Data!K529</f>
        <v>43000</v>
      </c>
      <c r="L529" s="13" t="str">
        <f aca="false">PROPER(TRIM(Raw_Data!N529))</f>
        <v>Yes</v>
      </c>
      <c r="M529" s="13" t="n">
        <f aca="false">IF(C529="",0,1)</f>
        <v>0</v>
      </c>
      <c r="N529" s="13" t="str">
        <f aca="false">IF(M529=0,"Active",IF(TRIM(Raw_Data!L529)="","Unknown",PROPER(TRIM(Raw_Data!L529))))</f>
        <v>Active</v>
      </c>
      <c r="O529" s="13" t="str">
        <f aca="false">IF(M529=0,"",IF(TRIM(Raw_Data!M529)="","Not Recorded",TRIM(Raw_Data!M529)))</f>
        <v/>
      </c>
      <c r="P529" s="16" t="n">
        <f aca="false">ROUND((IF(C529="",AsOfDate,C529)-B529)/365.25,2)</f>
        <v>9.08</v>
      </c>
      <c r="Q529" s="13" t="str">
        <f aca="false">IF(D529="","Unknown",IF(D529&lt;25,"Under 25",IF(D529&lt;35,"25-34",IF(D529&lt;45,"35-44",IF(D529&lt;55,"45-54","55+")))))</f>
        <v>25-34</v>
      </c>
      <c r="R529" s="13" t="str">
        <f aca="false">IF(P529&lt;1,"0-1 yrs",IF(P529&lt;3,"1-3 yrs",IF(P529&lt;5,"3-5 yrs",IF(P529&lt;10,"5-10 yrs","10+ yrs"))))</f>
        <v>5-10 yrs</v>
      </c>
      <c r="S529" s="13" t="str">
        <f aca="false">IF(I529&gt;=4,"High",IF(I529=3,"Medium","Low"))</f>
        <v>High</v>
      </c>
      <c r="T529" s="13" t="str">
        <f aca="false">IF(M529=1,YEAR(C529),"")</f>
        <v/>
      </c>
      <c r="U529" s="13" t="str">
        <f aca="false">IF(M529=1,YEAR(C529)&amp;"-Q"&amp;ROUNDUP(MONTH(C529)/3,0),"")</f>
        <v/>
      </c>
      <c r="V529" s="13" t="str">
        <f aca="false">IF(M529=1,MONTH(C529),"")</f>
        <v/>
      </c>
    </row>
    <row r="530" customFormat="false" ht="15" hidden="false" customHeight="false" outlineLevel="0" collapsed="false">
      <c r="A530" s="13" t="str">
        <f aca="false">TRIM(Raw_Data!A530)</f>
        <v>EMP0529</v>
      </c>
      <c r="B530" s="14" t="n">
        <f aca="false">Raw_Data!B530</f>
        <v>42711</v>
      </c>
      <c r="C530" s="14" t="str">
        <f aca="false">IF(Raw_Data!C530="","",Raw_Data!C530)</f>
        <v/>
      </c>
      <c r="D530" s="13" t="n">
        <f aca="false">IF(Raw_Data!D530="","",Raw_Data!D530)</f>
        <v>32</v>
      </c>
      <c r="E530" s="13" t="str">
        <f aca="false">IF(UPPER(LEFT(TRIM(Raw_Data!E530),1))="M","Male",IF(UPPER(LEFT(TRIM(Raw_Data!E530),1))="F","Female","Unknown"))</f>
        <v>Female</v>
      </c>
      <c r="F530" s="13" t="str">
        <f aca="false">PROPER(TRIM(SUBSTITUTE(Raw_Data!F530,"'","")))</f>
        <v>Diploma</v>
      </c>
      <c r="G530" s="13" t="str">
        <f aca="false">PROPER(TRIM(Raw_Data!G530))</f>
        <v>Operations</v>
      </c>
      <c r="H530" s="13" t="str">
        <f aca="false">PROPER(TRIM(Raw_Data!H530))</f>
        <v>Analyst</v>
      </c>
      <c r="I530" s="13" t="n">
        <f aca="false">IF(Raw_Data!I530="",DefaultPerf,Raw_Data!I530)</f>
        <v>3</v>
      </c>
      <c r="J530" s="13" t="n">
        <f aca="false">IF(Raw_Data!J530="",DefaultSat,Raw_Data!J530)</f>
        <v>4</v>
      </c>
      <c r="K530" s="15" t="n">
        <f aca="false">Raw_Data!K530</f>
        <v>60000</v>
      </c>
      <c r="L530" s="13" t="str">
        <f aca="false">PROPER(TRIM(Raw_Data!N530))</f>
        <v>No</v>
      </c>
      <c r="M530" s="13" t="n">
        <f aca="false">IF(C530="",0,1)</f>
        <v>0</v>
      </c>
      <c r="N530" s="13" t="str">
        <f aca="false">IF(M530=0,"Active",IF(TRIM(Raw_Data!L530)="","Unknown",PROPER(TRIM(Raw_Data!L530))))</f>
        <v>Active</v>
      </c>
      <c r="O530" s="13" t="str">
        <f aca="false">IF(M530=0,"",IF(TRIM(Raw_Data!M530)="","Not Recorded",TRIM(Raw_Data!M530)))</f>
        <v/>
      </c>
      <c r="P530" s="16" t="n">
        <f aca="false">ROUND((IF(C530="",AsOfDate,C530)-B530)/365.25,2)</f>
        <v>9.07</v>
      </c>
      <c r="Q530" s="13" t="str">
        <f aca="false">IF(D530="","Unknown",IF(D530&lt;25,"Under 25",IF(D530&lt;35,"25-34",IF(D530&lt;45,"35-44",IF(D530&lt;55,"45-54","55+")))))</f>
        <v>25-34</v>
      </c>
      <c r="R530" s="13" t="str">
        <f aca="false">IF(P530&lt;1,"0-1 yrs",IF(P530&lt;3,"1-3 yrs",IF(P530&lt;5,"3-5 yrs",IF(P530&lt;10,"5-10 yrs","10+ yrs"))))</f>
        <v>5-10 yrs</v>
      </c>
      <c r="S530" s="13" t="str">
        <f aca="false">IF(I530&gt;=4,"High",IF(I530=3,"Medium","Low"))</f>
        <v>Medium</v>
      </c>
      <c r="T530" s="13" t="str">
        <f aca="false">IF(M530=1,YEAR(C530),"")</f>
        <v/>
      </c>
      <c r="U530" s="13" t="str">
        <f aca="false">IF(M530=1,YEAR(C530)&amp;"-Q"&amp;ROUNDUP(MONTH(C530)/3,0),"")</f>
        <v/>
      </c>
      <c r="V530" s="13" t="str">
        <f aca="false">IF(M530=1,MONTH(C530),"")</f>
        <v/>
      </c>
    </row>
    <row r="531" customFormat="false" ht="15" hidden="false" customHeight="false" outlineLevel="0" collapsed="false">
      <c r="A531" s="13" t="str">
        <f aca="false">TRIM(Raw_Data!A531)</f>
        <v>EMP0530</v>
      </c>
      <c r="B531" s="14" t="n">
        <f aca="false">Raw_Data!B531</f>
        <v>42713</v>
      </c>
      <c r="C531" s="14" t="str">
        <f aca="false">IF(Raw_Data!C531="","",Raw_Data!C531)</f>
        <v/>
      </c>
      <c r="D531" s="13" t="n">
        <f aca="false">IF(Raw_Data!D531="","",Raw_Data!D531)</f>
        <v>47</v>
      </c>
      <c r="E531" s="13" t="str">
        <f aca="false">IF(UPPER(LEFT(TRIM(Raw_Data!E531),1))="M","Male",IF(UPPER(LEFT(TRIM(Raw_Data!E531),1))="F","Female","Unknown"))</f>
        <v>Male</v>
      </c>
      <c r="F531" s="13" t="str">
        <f aca="false">PROPER(TRIM(SUBSTITUTE(Raw_Data!F531,"'","")))</f>
        <v>Bachelors</v>
      </c>
      <c r="G531" s="13" t="str">
        <f aca="false">PROPER(TRIM(Raw_Data!G531))</f>
        <v>Customer Support</v>
      </c>
      <c r="H531" s="13" t="str">
        <f aca="false">PROPER(TRIM(Raw_Data!H531))</f>
        <v>Senior Analyst</v>
      </c>
      <c r="I531" s="13" t="n">
        <f aca="false">IF(Raw_Data!I531="",DefaultPerf,Raw_Data!I531)</f>
        <v>3</v>
      </c>
      <c r="J531" s="13" t="n">
        <f aca="false">IF(Raw_Data!J531="",DefaultSat,Raw_Data!J531)</f>
        <v>2</v>
      </c>
      <c r="K531" s="15" t="n">
        <f aca="false">Raw_Data!K531</f>
        <v>100000</v>
      </c>
      <c r="L531" s="13" t="str">
        <f aca="false">PROPER(TRIM(Raw_Data!N531))</f>
        <v>No</v>
      </c>
      <c r="M531" s="13" t="n">
        <f aca="false">IF(C531="",0,1)</f>
        <v>0</v>
      </c>
      <c r="N531" s="13" t="str">
        <f aca="false">IF(M531=0,"Active",IF(TRIM(Raw_Data!L531)="","Unknown",PROPER(TRIM(Raw_Data!L531))))</f>
        <v>Active</v>
      </c>
      <c r="O531" s="13" t="str">
        <f aca="false">IF(M531=0,"",IF(TRIM(Raw_Data!M531)="","Not Recorded",TRIM(Raw_Data!M531)))</f>
        <v/>
      </c>
      <c r="P531" s="16" t="n">
        <f aca="false">ROUND((IF(C531="",AsOfDate,C531)-B531)/365.25,2)</f>
        <v>9.06</v>
      </c>
      <c r="Q531" s="13" t="str">
        <f aca="false">IF(D531="","Unknown",IF(D531&lt;25,"Under 25",IF(D531&lt;35,"25-34",IF(D531&lt;45,"35-44",IF(D531&lt;55,"45-54","55+")))))</f>
        <v>45-54</v>
      </c>
      <c r="R531" s="13" t="str">
        <f aca="false">IF(P531&lt;1,"0-1 yrs",IF(P531&lt;3,"1-3 yrs",IF(P531&lt;5,"3-5 yrs",IF(P531&lt;10,"5-10 yrs","10+ yrs"))))</f>
        <v>5-10 yrs</v>
      </c>
      <c r="S531" s="13" t="str">
        <f aca="false">IF(I531&gt;=4,"High",IF(I531=3,"Medium","Low"))</f>
        <v>Medium</v>
      </c>
      <c r="T531" s="13" t="str">
        <f aca="false">IF(M531=1,YEAR(C531),"")</f>
        <v/>
      </c>
      <c r="U531" s="13" t="str">
        <f aca="false">IF(M531=1,YEAR(C531)&amp;"-Q"&amp;ROUNDUP(MONTH(C531)/3,0),"")</f>
        <v/>
      </c>
      <c r="V531" s="13" t="str">
        <f aca="false">IF(M531=1,MONTH(C531),"")</f>
        <v/>
      </c>
    </row>
    <row r="532" customFormat="false" ht="15" hidden="false" customHeight="false" outlineLevel="0" collapsed="false">
      <c r="A532" s="13" t="str">
        <f aca="false">TRIM(Raw_Data!A532)</f>
        <v>EMP0531</v>
      </c>
      <c r="B532" s="14" t="n">
        <f aca="false">Raw_Data!B532</f>
        <v>42715</v>
      </c>
      <c r="C532" s="14" t="str">
        <f aca="false">IF(Raw_Data!C532="","",Raw_Data!C532)</f>
        <v/>
      </c>
      <c r="D532" s="13" t="n">
        <f aca="false">IF(Raw_Data!D532="","",Raw_Data!D532)</f>
        <v>39</v>
      </c>
      <c r="E532" s="13" t="str">
        <f aca="false">IF(UPPER(LEFT(TRIM(Raw_Data!E532),1))="M","Male",IF(UPPER(LEFT(TRIM(Raw_Data!E532),1))="F","Female","Unknown"))</f>
        <v>Male</v>
      </c>
      <c r="F532" s="13" t="str">
        <f aca="false">PROPER(TRIM(SUBSTITUTE(Raw_Data!F532,"'","")))</f>
        <v>Masters</v>
      </c>
      <c r="G532" s="13" t="str">
        <f aca="false">PROPER(TRIM(Raw_Data!G532))</f>
        <v>Operations</v>
      </c>
      <c r="H532" s="13" t="str">
        <f aca="false">PROPER(TRIM(Raw_Data!H532))</f>
        <v>Specialist</v>
      </c>
      <c r="I532" s="13" t="n">
        <f aca="false">IF(Raw_Data!I532="",DefaultPerf,Raw_Data!I532)</f>
        <v>3</v>
      </c>
      <c r="J532" s="13" t="n">
        <f aca="false">IF(Raw_Data!J532="",DefaultSat,Raw_Data!J532)</f>
        <v>3</v>
      </c>
      <c r="K532" s="15" t="n">
        <f aca="false">Raw_Data!K532</f>
        <v>105500</v>
      </c>
      <c r="L532" s="13" t="str">
        <f aca="false">PROPER(TRIM(Raw_Data!N532))</f>
        <v>No</v>
      </c>
      <c r="M532" s="13" t="n">
        <f aca="false">IF(C532="",0,1)</f>
        <v>0</v>
      </c>
      <c r="N532" s="13" t="str">
        <f aca="false">IF(M532=0,"Active",IF(TRIM(Raw_Data!L532)="","Unknown",PROPER(TRIM(Raw_Data!L532))))</f>
        <v>Active</v>
      </c>
      <c r="O532" s="13" t="str">
        <f aca="false">IF(M532=0,"",IF(TRIM(Raw_Data!M532)="","Not Recorded",TRIM(Raw_Data!M532)))</f>
        <v/>
      </c>
      <c r="P532" s="16" t="n">
        <f aca="false">ROUND((IF(C532="",AsOfDate,C532)-B532)/365.25,2)</f>
        <v>9.05</v>
      </c>
      <c r="Q532" s="13" t="str">
        <f aca="false">IF(D532="","Unknown",IF(D532&lt;25,"Under 25",IF(D532&lt;35,"25-34",IF(D532&lt;45,"35-44",IF(D532&lt;55,"45-54","55+")))))</f>
        <v>35-44</v>
      </c>
      <c r="R532" s="13" t="str">
        <f aca="false">IF(P532&lt;1,"0-1 yrs",IF(P532&lt;3,"1-3 yrs",IF(P532&lt;5,"3-5 yrs",IF(P532&lt;10,"5-10 yrs","10+ yrs"))))</f>
        <v>5-10 yrs</v>
      </c>
      <c r="S532" s="13" t="str">
        <f aca="false">IF(I532&gt;=4,"High",IF(I532=3,"Medium","Low"))</f>
        <v>Medium</v>
      </c>
      <c r="T532" s="13" t="str">
        <f aca="false">IF(M532=1,YEAR(C532),"")</f>
        <v/>
      </c>
      <c r="U532" s="13" t="str">
        <f aca="false">IF(M532=1,YEAR(C532)&amp;"-Q"&amp;ROUNDUP(MONTH(C532)/3,0),"")</f>
        <v/>
      </c>
      <c r="V532" s="13" t="str">
        <f aca="false">IF(M532=1,MONTH(C532),"")</f>
        <v/>
      </c>
    </row>
    <row r="533" customFormat="false" ht="15" hidden="false" customHeight="false" outlineLevel="0" collapsed="false">
      <c r="A533" s="13" t="str">
        <f aca="false">TRIM(Raw_Data!A533)</f>
        <v>EMP0532</v>
      </c>
      <c r="B533" s="14" t="n">
        <f aca="false">Raw_Data!B533</f>
        <v>42720</v>
      </c>
      <c r="C533" s="14" t="str">
        <f aca="false">IF(Raw_Data!C533="","",Raw_Data!C533)</f>
        <v/>
      </c>
      <c r="D533" s="13" t="n">
        <f aca="false">IF(Raw_Data!D533="","",Raw_Data!D533)</f>
        <v>39</v>
      </c>
      <c r="E533" s="13" t="str">
        <f aca="false">IF(UPPER(LEFT(TRIM(Raw_Data!E533),1))="M","Male",IF(UPPER(LEFT(TRIM(Raw_Data!E533),1))="F","Female","Unknown"))</f>
        <v>Female</v>
      </c>
      <c r="F533" s="13" t="str">
        <f aca="false">PROPER(TRIM(SUBSTITUTE(Raw_Data!F533,"'","")))</f>
        <v>Bachelors</v>
      </c>
      <c r="G533" s="13" t="str">
        <f aca="false">PROPER(TRIM(Raw_Data!G533))</f>
        <v>Engineering</v>
      </c>
      <c r="H533" s="13" t="str">
        <f aca="false">PROPER(TRIM(Raw_Data!H533))</f>
        <v>Specialist</v>
      </c>
      <c r="I533" s="13" t="n">
        <f aca="false">IF(Raw_Data!I533="",DefaultPerf,Raw_Data!I533)</f>
        <v>4</v>
      </c>
      <c r="J533" s="13" t="n">
        <f aca="false">IF(Raw_Data!J533="",DefaultSat,Raw_Data!J533)</f>
        <v>4</v>
      </c>
      <c r="K533" s="15" t="n">
        <f aca="false">Raw_Data!K533</f>
        <v>110000</v>
      </c>
      <c r="L533" s="13" t="str">
        <f aca="false">PROPER(TRIM(Raw_Data!N533))</f>
        <v>No</v>
      </c>
      <c r="M533" s="13" t="n">
        <f aca="false">IF(C533="",0,1)</f>
        <v>0</v>
      </c>
      <c r="N533" s="13" t="str">
        <f aca="false">IF(M533=0,"Active",IF(TRIM(Raw_Data!L533)="","Unknown",PROPER(TRIM(Raw_Data!L533))))</f>
        <v>Active</v>
      </c>
      <c r="O533" s="13" t="str">
        <f aca="false">IF(M533=0,"",IF(TRIM(Raw_Data!M533)="","Not Recorded",TRIM(Raw_Data!M533)))</f>
        <v/>
      </c>
      <c r="P533" s="16" t="n">
        <f aca="false">ROUND((IF(C533="",AsOfDate,C533)-B533)/365.25,2)</f>
        <v>9.04</v>
      </c>
      <c r="Q533" s="13" t="str">
        <f aca="false">IF(D533="","Unknown",IF(D533&lt;25,"Under 25",IF(D533&lt;35,"25-34",IF(D533&lt;45,"35-44",IF(D533&lt;55,"45-54","55+")))))</f>
        <v>35-44</v>
      </c>
      <c r="R533" s="13" t="str">
        <f aca="false">IF(P533&lt;1,"0-1 yrs",IF(P533&lt;3,"1-3 yrs",IF(P533&lt;5,"3-5 yrs",IF(P533&lt;10,"5-10 yrs","10+ yrs"))))</f>
        <v>5-10 yrs</v>
      </c>
      <c r="S533" s="13" t="str">
        <f aca="false">IF(I533&gt;=4,"High",IF(I533=3,"Medium","Low"))</f>
        <v>High</v>
      </c>
      <c r="T533" s="13" t="str">
        <f aca="false">IF(M533=1,YEAR(C533),"")</f>
        <v/>
      </c>
      <c r="U533" s="13" t="str">
        <f aca="false">IF(M533=1,YEAR(C533)&amp;"-Q"&amp;ROUNDUP(MONTH(C533)/3,0),"")</f>
        <v/>
      </c>
      <c r="V533" s="13" t="str">
        <f aca="false">IF(M533=1,MONTH(C533),"")</f>
        <v/>
      </c>
    </row>
    <row r="534" customFormat="false" ht="15" hidden="false" customHeight="false" outlineLevel="0" collapsed="false">
      <c r="A534" s="13" t="str">
        <f aca="false">TRIM(Raw_Data!A534)</f>
        <v>EMP0533</v>
      </c>
      <c r="B534" s="14" t="n">
        <f aca="false">Raw_Data!B534</f>
        <v>42723</v>
      </c>
      <c r="C534" s="14" t="str">
        <f aca="false">IF(Raw_Data!C534="","",Raw_Data!C534)</f>
        <v/>
      </c>
      <c r="D534" s="13" t="n">
        <f aca="false">IF(Raw_Data!D534="","",Raw_Data!D534)</f>
        <v>30</v>
      </c>
      <c r="E534" s="13" t="str">
        <f aca="false">IF(UPPER(LEFT(TRIM(Raw_Data!E534),1))="M","Male",IF(UPPER(LEFT(TRIM(Raw_Data!E534),1))="F","Female","Unknown"))</f>
        <v>Male</v>
      </c>
      <c r="F534" s="13" t="str">
        <f aca="false">PROPER(TRIM(SUBSTITUTE(Raw_Data!F534,"'","")))</f>
        <v>Bachelors</v>
      </c>
      <c r="G534" s="13" t="str">
        <f aca="false">PROPER(TRIM(Raw_Data!G534))</f>
        <v>Finance</v>
      </c>
      <c r="H534" s="13" t="str">
        <f aca="false">PROPER(TRIM(Raw_Data!H534))</f>
        <v>Associate</v>
      </c>
      <c r="I534" s="13" t="n">
        <f aca="false">IF(Raw_Data!I534="",DefaultPerf,Raw_Data!I534)</f>
        <v>2</v>
      </c>
      <c r="J534" s="13" t="n">
        <f aca="false">IF(Raw_Data!J534="",DefaultSat,Raw_Data!J534)</f>
        <v>1</v>
      </c>
      <c r="K534" s="15" t="n">
        <f aca="false">Raw_Data!K534</f>
        <v>48500</v>
      </c>
      <c r="L534" s="13" t="str">
        <f aca="false">PROPER(TRIM(Raw_Data!N534))</f>
        <v>No</v>
      </c>
      <c r="M534" s="13" t="n">
        <f aca="false">IF(C534="",0,1)</f>
        <v>0</v>
      </c>
      <c r="N534" s="13" t="str">
        <f aca="false">IF(M534=0,"Active",IF(TRIM(Raw_Data!L534)="","Unknown",PROPER(TRIM(Raw_Data!L534))))</f>
        <v>Active</v>
      </c>
      <c r="O534" s="13" t="str">
        <f aca="false">IF(M534=0,"",IF(TRIM(Raw_Data!M534)="","Not Recorded",TRIM(Raw_Data!M534)))</f>
        <v/>
      </c>
      <c r="P534" s="16" t="n">
        <f aca="false">ROUND((IF(C534="",AsOfDate,C534)-B534)/365.25,2)</f>
        <v>9.03</v>
      </c>
      <c r="Q534" s="13" t="str">
        <f aca="false">IF(D534="","Unknown",IF(D534&lt;25,"Under 25",IF(D534&lt;35,"25-34",IF(D534&lt;45,"35-44",IF(D534&lt;55,"45-54","55+")))))</f>
        <v>25-34</v>
      </c>
      <c r="R534" s="13" t="str">
        <f aca="false">IF(P534&lt;1,"0-1 yrs",IF(P534&lt;3,"1-3 yrs",IF(P534&lt;5,"3-5 yrs",IF(P534&lt;10,"5-10 yrs","10+ yrs"))))</f>
        <v>5-10 yrs</v>
      </c>
      <c r="S534" s="13" t="str">
        <f aca="false">IF(I534&gt;=4,"High",IF(I534=3,"Medium","Low"))</f>
        <v>Low</v>
      </c>
      <c r="T534" s="13" t="str">
        <f aca="false">IF(M534=1,YEAR(C534),"")</f>
        <v/>
      </c>
      <c r="U534" s="13" t="str">
        <f aca="false">IF(M534=1,YEAR(C534)&amp;"-Q"&amp;ROUNDUP(MONTH(C534)/3,0),"")</f>
        <v/>
      </c>
      <c r="V534" s="13" t="str">
        <f aca="false">IF(M534=1,MONTH(C534),"")</f>
        <v/>
      </c>
    </row>
    <row r="535" customFormat="false" ht="15" hidden="false" customHeight="false" outlineLevel="0" collapsed="false">
      <c r="A535" s="13" t="str">
        <f aca="false">TRIM(Raw_Data!A535)</f>
        <v>EMP0534</v>
      </c>
      <c r="B535" s="14" t="n">
        <f aca="false">Raw_Data!B535</f>
        <v>42723</v>
      </c>
      <c r="C535" s="14" t="str">
        <f aca="false">IF(Raw_Data!C535="","",Raw_Data!C535)</f>
        <v/>
      </c>
      <c r="D535" s="13" t="n">
        <f aca="false">IF(Raw_Data!D535="","",Raw_Data!D535)</f>
        <v>35</v>
      </c>
      <c r="E535" s="13" t="str">
        <f aca="false">IF(UPPER(LEFT(TRIM(Raw_Data!E535),1))="M","Male",IF(UPPER(LEFT(TRIM(Raw_Data!E535),1))="F","Female","Unknown"))</f>
        <v>Male</v>
      </c>
      <c r="F535" s="13" t="str">
        <f aca="false">PROPER(TRIM(SUBSTITUTE(Raw_Data!F535,"'","")))</f>
        <v>Masters</v>
      </c>
      <c r="G535" s="13" t="str">
        <f aca="false">PROPER(TRIM(Raw_Data!G535))</f>
        <v>Customer Support</v>
      </c>
      <c r="H535" s="13" t="str">
        <f aca="false">PROPER(TRIM(Raw_Data!H535))</f>
        <v>Associate</v>
      </c>
      <c r="I535" s="13" t="n">
        <f aca="false">IF(Raw_Data!I535="",DefaultPerf,Raw_Data!I535)</f>
        <v>3</v>
      </c>
      <c r="J535" s="13" t="n">
        <f aca="false">IF(Raw_Data!J535="",DefaultSat,Raw_Data!J535)</f>
        <v>1</v>
      </c>
      <c r="K535" s="15" t="n">
        <f aca="false">Raw_Data!K535</f>
        <v>43500</v>
      </c>
      <c r="L535" s="13" t="str">
        <f aca="false">PROPER(TRIM(Raw_Data!N535))</f>
        <v>Yes</v>
      </c>
      <c r="M535" s="13" t="n">
        <f aca="false">IF(C535="",0,1)</f>
        <v>0</v>
      </c>
      <c r="N535" s="13" t="str">
        <f aca="false">IF(M535=0,"Active",IF(TRIM(Raw_Data!L535)="","Unknown",PROPER(TRIM(Raw_Data!L535))))</f>
        <v>Active</v>
      </c>
      <c r="O535" s="13" t="str">
        <f aca="false">IF(M535=0,"",IF(TRIM(Raw_Data!M535)="","Not Recorded",TRIM(Raw_Data!M535)))</f>
        <v/>
      </c>
      <c r="P535" s="16" t="n">
        <f aca="false">ROUND((IF(C535="",AsOfDate,C535)-B535)/365.25,2)</f>
        <v>9.03</v>
      </c>
      <c r="Q535" s="13" t="str">
        <f aca="false">IF(D535="","Unknown",IF(D535&lt;25,"Under 25",IF(D535&lt;35,"25-34",IF(D535&lt;45,"35-44",IF(D535&lt;55,"45-54","55+")))))</f>
        <v>35-44</v>
      </c>
      <c r="R535" s="13" t="str">
        <f aca="false">IF(P535&lt;1,"0-1 yrs",IF(P535&lt;3,"1-3 yrs",IF(P535&lt;5,"3-5 yrs",IF(P535&lt;10,"5-10 yrs","10+ yrs"))))</f>
        <v>5-10 yrs</v>
      </c>
      <c r="S535" s="13" t="str">
        <f aca="false">IF(I535&gt;=4,"High",IF(I535=3,"Medium","Low"))</f>
        <v>Medium</v>
      </c>
      <c r="T535" s="13" t="str">
        <f aca="false">IF(M535=1,YEAR(C535),"")</f>
        <v/>
      </c>
      <c r="U535" s="13" t="str">
        <f aca="false">IF(M535=1,YEAR(C535)&amp;"-Q"&amp;ROUNDUP(MONTH(C535)/3,0),"")</f>
        <v/>
      </c>
      <c r="V535" s="13" t="str">
        <f aca="false">IF(M535=1,MONTH(C535),"")</f>
        <v/>
      </c>
    </row>
    <row r="536" customFormat="false" ht="15" hidden="false" customHeight="false" outlineLevel="0" collapsed="false">
      <c r="A536" s="13" t="str">
        <f aca="false">TRIM(Raw_Data!A536)</f>
        <v>EMP0535</v>
      </c>
      <c r="B536" s="14" t="n">
        <f aca="false">Raw_Data!B536</f>
        <v>42725</v>
      </c>
      <c r="C536" s="14" t="str">
        <f aca="false">IF(Raw_Data!C536="","",Raw_Data!C536)</f>
        <v/>
      </c>
      <c r="D536" s="13" t="n">
        <f aca="false">IF(Raw_Data!D536="","",Raw_Data!D536)</f>
        <v>41</v>
      </c>
      <c r="E536" s="13" t="str">
        <f aca="false">IF(UPPER(LEFT(TRIM(Raw_Data!E536),1))="M","Male",IF(UPPER(LEFT(TRIM(Raw_Data!E536),1))="F","Female","Unknown"))</f>
        <v>Female</v>
      </c>
      <c r="F536" s="13" t="str">
        <f aca="false">PROPER(TRIM(SUBSTITUTE(Raw_Data!F536,"'","")))</f>
        <v>Diploma</v>
      </c>
      <c r="G536" s="13" t="str">
        <f aca="false">PROPER(TRIM(Raw_Data!G536))</f>
        <v>Engineering</v>
      </c>
      <c r="H536" s="13" t="str">
        <f aca="false">PROPER(TRIM(Raw_Data!H536))</f>
        <v>Associate</v>
      </c>
      <c r="I536" s="13" t="n">
        <f aca="false">IF(Raw_Data!I536="",DefaultPerf,Raw_Data!I536)</f>
        <v>5</v>
      </c>
      <c r="J536" s="13" t="n">
        <f aca="false">IF(Raw_Data!J536="",DefaultSat,Raw_Data!J536)</f>
        <v>2</v>
      </c>
      <c r="K536" s="15" t="n">
        <f aca="false">Raw_Data!K536</f>
        <v>50500</v>
      </c>
      <c r="L536" s="13" t="str">
        <f aca="false">PROPER(TRIM(Raw_Data!N536))</f>
        <v>No</v>
      </c>
      <c r="M536" s="13" t="n">
        <f aca="false">IF(C536="",0,1)</f>
        <v>0</v>
      </c>
      <c r="N536" s="13" t="str">
        <f aca="false">IF(M536=0,"Active",IF(TRIM(Raw_Data!L536)="","Unknown",PROPER(TRIM(Raw_Data!L536))))</f>
        <v>Active</v>
      </c>
      <c r="O536" s="13" t="str">
        <f aca="false">IF(M536=0,"",IF(TRIM(Raw_Data!M536)="","Not Recorded",TRIM(Raw_Data!M536)))</f>
        <v/>
      </c>
      <c r="P536" s="16" t="n">
        <f aca="false">ROUND((IF(C536="",AsOfDate,C536)-B536)/365.25,2)</f>
        <v>9.03</v>
      </c>
      <c r="Q536" s="13" t="str">
        <f aca="false">IF(D536="","Unknown",IF(D536&lt;25,"Under 25",IF(D536&lt;35,"25-34",IF(D536&lt;45,"35-44",IF(D536&lt;55,"45-54","55+")))))</f>
        <v>35-44</v>
      </c>
      <c r="R536" s="13" t="str">
        <f aca="false">IF(P536&lt;1,"0-1 yrs",IF(P536&lt;3,"1-3 yrs",IF(P536&lt;5,"3-5 yrs",IF(P536&lt;10,"5-10 yrs","10+ yrs"))))</f>
        <v>5-10 yrs</v>
      </c>
      <c r="S536" s="13" t="str">
        <f aca="false">IF(I536&gt;=4,"High",IF(I536=3,"Medium","Low"))</f>
        <v>High</v>
      </c>
      <c r="T536" s="13" t="str">
        <f aca="false">IF(M536=1,YEAR(C536),"")</f>
        <v/>
      </c>
      <c r="U536" s="13" t="str">
        <f aca="false">IF(M536=1,YEAR(C536)&amp;"-Q"&amp;ROUNDUP(MONTH(C536)/3,0),"")</f>
        <v/>
      </c>
      <c r="V536" s="13" t="str">
        <f aca="false">IF(M536=1,MONTH(C536),"")</f>
        <v/>
      </c>
    </row>
    <row r="537" customFormat="false" ht="15" hidden="false" customHeight="false" outlineLevel="0" collapsed="false">
      <c r="A537" s="13" t="str">
        <f aca="false">TRIM(Raw_Data!A537)</f>
        <v>EMP0536</v>
      </c>
      <c r="B537" s="14" t="n">
        <f aca="false">Raw_Data!B537</f>
        <v>42730</v>
      </c>
      <c r="C537" s="14" t="str">
        <f aca="false">IF(Raw_Data!C537="","",Raw_Data!C537)</f>
        <v/>
      </c>
      <c r="D537" s="13" t="n">
        <f aca="false">IF(Raw_Data!D537="","",Raw_Data!D537)</f>
        <v>32</v>
      </c>
      <c r="E537" s="13" t="str">
        <f aca="false">IF(UPPER(LEFT(TRIM(Raw_Data!E537),1))="M","Male",IF(UPPER(LEFT(TRIM(Raw_Data!E537),1))="F","Female","Unknown"))</f>
        <v>Male</v>
      </c>
      <c r="F537" s="13" t="str">
        <f aca="false">PROPER(TRIM(SUBSTITUTE(Raw_Data!F537,"'","")))</f>
        <v>High School</v>
      </c>
      <c r="G537" s="13" t="str">
        <f aca="false">PROPER(TRIM(Raw_Data!G537))</f>
        <v>Finance</v>
      </c>
      <c r="H537" s="13" t="str">
        <f aca="false">PROPER(TRIM(Raw_Data!H537))</f>
        <v>Senior Analyst</v>
      </c>
      <c r="I537" s="13" t="n">
        <f aca="false">IF(Raw_Data!I537="",DefaultPerf,Raw_Data!I537)</f>
        <v>3</v>
      </c>
      <c r="J537" s="13" t="n">
        <f aca="false">IF(Raw_Data!J537="",DefaultSat,Raw_Data!J537)</f>
        <v>4</v>
      </c>
      <c r="K537" s="15" t="n">
        <f aca="false">Raw_Data!K537</f>
        <v>111000</v>
      </c>
      <c r="L537" s="13" t="str">
        <f aca="false">PROPER(TRIM(Raw_Data!N537))</f>
        <v>Yes</v>
      </c>
      <c r="M537" s="13" t="n">
        <f aca="false">IF(C537="",0,1)</f>
        <v>0</v>
      </c>
      <c r="N537" s="13" t="str">
        <f aca="false">IF(M537=0,"Active",IF(TRIM(Raw_Data!L537)="","Unknown",PROPER(TRIM(Raw_Data!L537))))</f>
        <v>Active</v>
      </c>
      <c r="O537" s="13" t="str">
        <f aca="false">IF(M537=0,"",IF(TRIM(Raw_Data!M537)="","Not Recorded",TRIM(Raw_Data!M537)))</f>
        <v/>
      </c>
      <c r="P537" s="16" t="n">
        <f aca="false">ROUND((IF(C537="",AsOfDate,C537)-B537)/365.25,2)</f>
        <v>9.01</v>
      </c>
      <c r="Q537" s="13" t="str">
        <f aca="false">IF(D537="","Unknown",IF(D537&lt;25,"Under 25",IF(D537&lt;35,"25-34",IF(D537&lt;45,"35-44",IF(D537&lt;55,"45-54","55+")))))</f>
        <v>25-34</v>
      </c>
      <c r="R537" s="13" t="str">
        <f aca="false">IF(P537&lt;1,"0-1 yrs",IF(P537&lt;3,"1-3 yrs",IF(P537&lt;5,"3-5 yrs",IF(P537&lt;10,"5-10 yrs","10+ yrs"))))</f>
        <v>5-10 yrs</v>
      </c>
      <c r="S537" s="13" t="str">
        <f aca="false">IF(I537&gt;=4,"High",IF(I537=3,"Medium","Low"))</f>
        <v>Medium</v>
      </c>
      <c r="T537" s="13" t="str">
        <f aca="false">IF(M537=1,YEAR(C537),"")</f>
        <v/>
      </c>
      <c r="U537" s="13" t="str">
        <f aca="false">IF(M537=1,YEAR(C537)&amp;"-Q"&amp;ROUNDUP(MONTH(C537)/3,0),"")</f>
        <v/>
      </c>
      <c r="V537" s="13" t="str">
        <f aca="false">IF(M537=1,MONTH(C537),"")</f>
        <v/>
      </c>
    </row>
    <row r="538" customFormat="false" ht="15" hidden="false" customHeight="false" outlineLevel="0" collapsed="false">
      <c r="A538" s="13" t="str">
        <f aca="false">TRIM(Raw_Data!A538)</f>
        <v>EMP0537</v>
      </c>
      <c r="B538" s="14" t="n">
        <f aca="false">Raw_Data!B538</f>
        <v>42739</v>
      </c>
      <c r="C538" s="14" t="n">
        <f aca="false">IF(Raw_Data!C538="","",Raw_Data!C538)</f>
        <v>45825</v>
      </c>
      <c r="D538" s="13" t="n">
        <f aca="false">IF(Raw_Data!D538="","",Raw_Data!D538)</f>
        <v>33</v>
      </c>
      <c r="E538" s="13" t="str">
        <f aca="false">IF(UPPER(LEFT(TRIM(Raw_Data!E538),1))="M","Male",IF(UPPER(LEFT(TRIM(Raw_Data!E538),1))="F","Female","Unknown"))</f>
        <v>Female</v>
      </c>
      <c r="F538" s="13" t="str">
        <f aca="false">PROPER(TRIM(SUBSTITUTE(Raw_Data!F538,"'","")))</f>
        <v>Diploma</v>
      </c>
      <c r="G538" s="13" t="str">
        <f aca="false">PROPER(TRIM(Raw_Data!G538))</f>
        <v>Operations</v>
      </c>
      <c r="H538" s="13" t="str">
        <f aca="false">PROPER(TRIM(Raw_Data!H538))</f>
        <v>Associate</v>
      </c>
      <c r="I538" s="13" t="n">
        <f aca="false">IF(Raw_Data!I538="",DefaultPerf,Raw_Data!I538)</f>
        <v>4</v>
      </c>
      <c r="J538" s="13" t="n">
        <f aca="false">IF(Raw_Data!J538="",DefaultSat,Raw_Data!J538)</f>
        <v>1</v>
      </c>
      <c r="K538" s="15" t="n">
        <f aca="false">Raw_Data!K538</f>
        <v>47500</v>
      </c>
      <c r="L538" s="13" t="str">
        <f aca="false">PROPER(TRIM(Raw_Data!N538))</f>
        <v>Yes</v>
      </c>
      <c r="M538" s="13" t="n">
        <f aca="false">IF(C538="",0,1)</f>
        <v>1</v>
      </c>
      <c r="N538" s="13" t="str">
        <f aca="false">IF(M538=0,"Active",IF(TRIM(Raw_Data!L538)="","Unknown",PROPER(TRIM(Raw_Data!L538))))</f>
        <v>Involuntary</v>
      </c>
      <c r="O538" s="13" t="str">
        <f aca="false">IF(M538=0,"",IF(TRIM(Raw_Data!M538)="","Not Recorded",TRIM(Raw_Data!M538)))</f>
        <v>End of Contract</v>
      </c>
      <c r="P538" s="16" t="n">
        <f aca="false">ROUND((IF(C538="",AsOfDate,C538)-B538)/365.25,2)</f>
        <v>8.45</v>
      </c>
      <c r="Q538" s="13" t="str">
        <f aca="false">IF(D538="","Unknown",IF(D538&lt;25,"Under 25",IF(D538&lt;35,"25-34",IF(D538&lt;45,"35-44",IF(D538&lt;55,"45-54","55+")))))</f>
        <v>25-34</v>
      </c>
      <c r="R538" s="13" t="str">
        <f aca="false">IF(P538&lt;1,"0-1 yrs",IF(P538&lt;3,"1-3 yrs",IF(P538&lt;5,"3-5 yrs",IF(P538&lt;10,"5-10 yrs","10+ yrs"))))</f>
        <v>5-10 yrs</v>
      </c>
      <c r="S538" s="13" t="str">
        <f aca="false">IF(I538&gt;=4,"High",IF(I538=3,"Medium","Low"))</f>
        <v>High</v>
      </c>
      <c r="T538" s="13" t="n">
        <f aca="false">IF(M538=1,YEAR(C538),"")</f>
        <v>2025</v>
      </c>
      <c r="U538" s="13" t="str">
        <f aca="false">IF(M538=1,YEAR(C538)&amp;"-Q"&amp;ROUNDUP(MONTH(C538)/3,0),"")</f>
        <v>2025-Q2</v>
      </c>
      <c r="V538" s="13" t="n">
        <f aca="false">IF(M538=1,MONTH(C538),"")</f>
        <v>6</v>
      </c>
    </row>
    <row r="539" customFormat="false" ht="15" hidden="false" customHeight="false" outlineLevel="0" collapsed="false">
      <c r="A539" s="13" t="str">
        <f aca="false">TRIM(Raw_Data!A539)</f>
        <v>EMP0538</v>
      </c>
      <c r="B539" s="14" t="n">
        <f aca="false">Raw_Data!B539</f>
        <v>42740</v>
      </c>
      <c r="C539" s="14" t="str">
        <f aca="false">IF(Raw_Data!C539="","",Raw_Data!C539)</f>
        <v/>
      </c>
      <c r="D539" s="13" t="n">
        <f aca="false">IF(Raw_Data!D539="","",Raw_Data!D539)</f>
        <v>42</v>
      </c>
      <c r="E539" s="13" t="str">
        <f aca="false">IF(UPPER(LEFT(TRIM(Raw_Data!E539),1))="M","Male",IF(UPPER(LEFT(TRIM(Raw_Data!E539),1))="F","Female","Unknown"))</f>
        <v>Female</v>
      </c>
      <c r="F539" s="13" t="str">
        <f aca="false">PROPER(TRIM(SUBSTITUTE(Raw_Data!F539,"'","")))</f>
        <v>Masters</v>
      </c>
      <c r="G539" s="13" t="str">
        <f aca="false">PROPER(TRIM(Raw_Data!G539))</f>
        <v>Customer Support</v>
      </c>
      <c r="H539" s="13" t="str">
        <f aca="false">PROPER(TRIM(Raw_Data!H539))</f>
        <v>Team Lead</v>
      </c>
      <c r="I539" s="13" t="n">
        <f aca="false">IF(Raw_Data!I539="",DefaultPerf,Raw_Data!I539)</f>
        <v>4</v>
      </c>
      <c r="J539" s="13" t="n">
        <f aca="false">IF(Raw_Data!J539="",DefaultSat,Raw_Data!J539)</f>
        <v>4</v>
      </c>
      <c r="K539" s="15" t="n">
        <f aca="false">Raw_Data!K539</f>
        <v>173500</v>
      </c>
      <c r="L539" s="13" t="str">
        <f aca="false">PROPER(TRIM(Raw_Data!N539))</f>
        <v>No</v>
      </c>
      <c r="M539" s="13" t="n">
        <f aca="false">IF(C539="",0,1)</f>
        <v>0</v>
      </c>
      <c r="N539" s="13" t="str">
        <f aca="false">IF(M539=0,"Active",IF(TRIM(Raw_Data!L539)="","Unknown",PROPER(TRIM(Raw_Data!L539))))</f>
        <v>Active</v>
      </c>
      <c r="O539" s="13" t="str">
        <f aca="false">IF(M539=0,"",IF(TRIM(Raw_Data!M539)="","Not Recorded",TRIM(Raw_Data!M539)))</f>
        <v/>
      </c>
      <c r="P539" s="16" t="n">
        <f aca="false">ROUND((IF(C539="",AsOfDate,C539)-B539)/365.25,2)</f>
        <v>8.99</v>
      </c>
      <c r="Q539" s="13" t="str">
        <f aca="false">IF(D539="","Unknown",IF(D539&lt;25,"Under 25",IF(D539&lt;35,"25-34",IF(D539&lt;45,"35-44",IF(D539&lt;55,"45-54","55+")))))</f>
        <v>35-44</v>
      </c>
      <c r="R539" s="13" t="str">
        <f aca="false">IF(P539&lt;1,"0-1 yrs",IF(P539&lt;3,"1-3 yrs",IF(P539&lt;5,"3-5 yrs",IF(P539&lt;10,"5-10 yrs","10+ yrs"))))</f>
        <v>5-10 yrs</v>
      </c>
      <c r="S539" s="13" t="str">
        <f aca="false">IF(I539&gt;=4,"High",IF(I539=3,"Medium","Low"))</f>
        <v>High</v>
      </c>
      <c r="T539" s="13" t="str">
        <f aca="false">IF(M539=1,YEAR(C539),"")</f>
        <v/>
      </c>
      <c r="U539" s="13" t="str">
        <f aca="false">IF(M539=1,YEAR(C539)&amp;"-Q"&amp;ROUNDUP(MONTH(C539)/3,0),"")</f>
        <v/>
      </c>
      <c r="V539" s="13" t="str">
        <f aca="false">IF(M539=1,MONTH(C539),"")</f>
        <v/>
      </c>
    </row>
    <row r="540" customFormat="false" ht="15" hidden="false" customHeight="false" outlineLevel="0" collapsed="false">
      <c r="A540" s="13" t="str">
        <f aca="false">TRIM(Raw_Data!A540)</f>
        <v>EMP0539</v>
      </c>
      <c r="B540" s="14" t="n">
        <f aca="false">Raw_Data!B540</f>
        <v>42742</v>
      </c>
      <c r="C540" s="14" t="str">
        <f aca="false">IF(Raw_Data!C540="","",Raw_Data!C540)</f>
        <v/>
      </c>
      <c r="D540" s="13" t="n">
        <f aca="false">IF(Raw_Data!D540="","",Raw_Data!D540)</f>
        <v>32</v>
      </c>
      <c r="E540" s="13" t="str">
        <f aca="false">IF(UPPER(LEFT(TRIM(Raw_Data!E540),1))="M","Male",IF(UPPER(LEFT(TRIM(Raw_Data!E540),1))="F","Female","Unknown"))</f>
        <v>Male</v>
      </c>
      <c r="F540" s="13" t="str">
        <f aca="false">PROPER(TRIM(SUBSTITUTE(Raw_Data!F540,"'","")))</f>
        <v>Bachelors</v>
      </c>
      <c r="G540" s="13" t="str">
        <f aca="false">PROPER(TRIM(Raw_Data!G540))</f>
        <v>Finance</v>
      </c>
      <c r="H540" s="13" t="str">
        <f aca="false">PROPER(TRIM(Raw_Data!H540))</f>
        <v>Senior Analyst</v>
      </c>
      <c r="I540" s="13" t="n">
        <f aca="false">IF(Raw_Data!I540="",DefaultPerf,Raw_Data!I540)</f>
        <v>3</v>
      </c>
      <c r="J540" s="13" t="n">
        <f aca="false">IF(Raw_Data!J540="",DefaultSat,Raw_Data!J540)</f>
        <v>2</v>
      </c>
      <c r="K540" s="15" t="n">
        <f aca="false">Raw_Data!K540</f>
        <v>101500</v>
      </c>
      <c r="L540" s="13" t="str">
        <f aca="false">PROPER(TRIM(Raw_Data!N540))</f>
        <v>Yes</v>
      </c>
      <c r="M540" s="13" t="n">
        <f aca="false">IF(C540="",0,1)</f>
        <v>0</v>
      </c>
      <c r="N540" s="13" t="str">
        <f aca="false">IF(M540=0,"Active",IF(TRIM(Raw_Data!L540)="","Unknown",PROPER(TRIM(Raw_Data!L540))))</f>
        <v>Active</v>
      </c>
      <c r="O540" s="13" t="str">
        <f aca="false">IF(M540=0,"",IF(TRIM(Raw_Data!M540)="","Not Recorded",TRIM(Raw_Data!M540)))</f>
        <v/>
      </c>
      <c r="P540" s="16" t="n">
        <f aca="false">ROUND((IF(C540="",AsOfDate,C540)-B540)/365.25,2)</f>
        <v>8.98</v>
      </c>
      <c r="Q540" s="13" t="str">
        <f aca="false">IF(D540="","Unknown",IF(D540&lt;25,"Under 25",IF(D540&lt;35,"25-34",IF(D540&lt;45,"35-44",IF(D540&lt;55,"45-54","55+")))))</f>
        <v>25-34</v>
      </c>
      <c r="R540" s="13" t="str">
        <f aca="false">IF(P540&lt;1,"0-1 yrs",IF(P540&lt;3,"1-3 yrs",IF(P540&lt;5,"3-5 yrs",IF(P540&lt;10,"5-10 yrs","10+ yrs"))))</f>
        <v>5-10 yrs</v>
      </c>
      <c r="S540" s="13" t="str">
        <f aca="false">IF(I540&gt;=4,"High",IF(I540=3,"Medium","Low"))</f>
        <v>Medium</v>
      </c>
      <c r="T540" s="13" t="str">
        <f aca="false">IF(M540=1,YEAR(C540),"")</f>
        <v/>
      </c>
      <c r="U540" s="13" t="str">
        <f aca="false">IF(M540=1,YEAR(C540)&amp;"-Q"&amp;ROUNDUP(MONTH(C540)/3,0),"")</f>
        <v/>
      </c>
      <c r="V540" s="13" t="str">
        <f aca="false">IF(M540=1,MONTH(C540),"")</f>
        <v/>
      </c>
    </row>
    <row r="541" customFormat="false" ht="15" hidden="false" customHeight="false" outlineLevel="0" collapsed="false">
      <c r="A541" s="13" t="str">
        <f aca="false">TRIM(Raw_Data!A541)</f>
        <v>EMP0540</v>
      </c>
      <c r="B541" s="14" t="n">
        <f aca="false">Raw_Data!B541</f>
        <v>42749</v>
      </c>
      <c r="C541" s="14" t="str">
        <f aca="false">IF(Raw_Data!C541="","",Raw_Data!C541)</f>
        <v/>
      </c>
      <c r="D541" s="13" t="n">
        <f aca="false">IF(Raw_Data!D541="","",Raw_Data!D541)</f>
        <v>38</v>
      </c>
      <c r="E541" s="13" t="str">
        <f aca="false">IF(UPPER(LEFT(TRIM(Raw_Data!E541),1))="M","Male",IF(UPPER(LEFT(TRIM(Raw_Data!E541),1))="F","Female","Unknown"))</f>
        <v>Male</v>
      </c>
      <c r="F541" s="13" t="str">
        <f aca="false">PROPER(TRIM(SUBSTITUTE(Raw_Data!F541,"'","")))</f>
        <v>Bachelors</v>
      </c>
      <c r="G541" s="13" t="str">
        <f aca="false">PROPER(TRIM(Raw_Data!G541))</f>
        <v>Engineering</v>
      </c>
      <c r="H541" s="13" t="str">
        <f aca="false">PROPER(TRIM(Raw_Data!H541))</f>
        <v>Analyst</v>
      </c>
      <c r="I541" s="13" t="n">
        <f aca="false">IF(Raw_Data!I541="",DefaultPerf,Raw_Data!I541)</f>
        <v>4</v>
      </c>
      <c r="J541" s="13" t="n">
        <f aca="false">IF(Raw_Data!J541="",DefaultSat,Raw_Data!J541)</f>
        <v>2</v>
      </c>
      <c r="K541" s="15" t="n">
        <f aca="false">Raw_Data!K541</f>
        <v>67500</v>
      </c>
      <c r="L541" s="13" t="str">
        <f aca="false">PROPER(TRIM(Raw_Data!N541))</f>
        <v>No</v>
      </c>
      <c r="M541" s="13" t="n">
        <f aca="false">IF(C541="",0,1)</f>
        <v>0</v>
      </c>
      <c r="N541" s="13" t="str">
        <f aca="false">IF(M541=0,"Active",IF(TRIM(Raw_Data!L541)="","Unknown",PROPER(TRIM(Raw_Data!L541))))</f>
        <v>Active</v>
      </c>
      <c r="O541" s="13" t="str">
        <f aca="false">IF(M541=0,"",IF(TRIM(Raw_Data!M541)="","Not Recorded",TRIM(Raw_Data!M541)))</f>
        <v/>
      </c>
      <c r="P541" s="16" t="n">
        <f aca="false">ROUND((IF(C541="",AsOfDate,C541)-B541)/365.25,2)</f>
        <v>8.96</v>
      </c>
      <c r="Q541" s="13" t="str">
        <f aca="false">IF(D541="","Unknown",IF(D541&lt;25,"Under 25",IF(D541&lt;35,"25-34",IF(D541&lt;45,"35-44",IF(D541&lt;55,"45-54","55+")))))</f>
        <v>35-44</v>
      </c>
      <c r="R541" s="13" t="str">
        <f aca="false">IF(P541&lt;1,"0-1 yrs",IF(P541&lt;3,"1-3 yrs",IF(P541&lt;5,"3-5 yrs",IF(P541&lt;10,"5-10 yrs","10+ yrs"))))</f>
        <v>5-10 yrs</v>
      </c>
      <c r="S541" s="13" t="str">
        <f aca="false">IF(I541&gt;=4,"High",IF(I541=3,"Medium","Low"))</f>
        <v>High</v>
      </c>
      <c r="T541" s="13" t="str">
        <f aca="false">IF(M541=1,YEAR(C541),"")</f>
        <v/>
      </c>
      <c r="U541" s="13" t="str">
        <f aca="false">IF(M541=1,YEAR(C541)&amp;"-Q"&amp;ROUNDUP(MONTH(C541)/3,0),"")</f>
        <v/>
      </c>
      <c r="V541" s="13" t="str">
        <f aca="false">IF(M541=1,MONTH(C541),"")</f>
        <v/>
      </c>
    </row>
    <row r="542" customFormat="false" ht="15" hidden="false" customHeight="false" outlineLevel="0" collapsed="false">
      <c r="A542" s="13" t="str">
        <f aca="false">TRIM(Raw_Data!A542)</f>
        <v>EMP0541</v>
      </c>
      <c r="B542" s="14" t="n">
        <f aca="false">Raw_Data!B542</f>
        <v>42757</v>
      </c>
      <c r="C542" s="14" t="str">
        <f aca="false">IF(Raw_Data!C542="","",Raw_Data!C542)</f>
        <v/>
      </c>
      <c r="D542" s="13" t="n">
        <f aca="false">IF(Raw_Data!D542="","",Raw_Data!D542)</f>
        <v>36</v>
      </c>
      <c r="E542" s="13" t="str">
        <f aca="false">IF(UPPER(LEFT(TRIM(Raw_Data!E542),1))="M","Male",IF(UPPER(LEFT(TRIM(Raw_Data!E542),1))="F","Female","Unknown"))</f>
        <v>Male</v>
      </c>
      <c r="F542" s="13" t="str">
        <f aca="false">PROPER(TRIM(SUBSTITUTE(Raw_Data!F542,"'","")))</f>
        <v>Masters</v>
      </c>
      <c r="G542" s="13" t="str">
        <f aca="false">PROPER(TRIM(Raw_Data!G542))</f>
        <v>Operations</v>
      </c>
      <c r="H542" s="13" t="str">
        <f aca="false">PROPER(TRIM(Raw_Data!H542))</f>
        <v>Senior Analyst</v>
      </c>
      <c r="I542" s="13" t="n">
        <f aca="false">IF(Raw_Data!I542="",DefaultPerf,Raw_Data!I542)</f>
        <v>4</v>
      </c>
      <c r="J542" s="13" t="n">
        <f aca="false">IF(Raw_Data!J542="",DefaultSat,Raw_Data!J542)</f>
        <v>4</v>
      </c>
      <c r="K542" s="15" t="n">
        <f aca="false">Raw_Data!K542</f>
        <v>119000</v>
      </c>
      <c r="L542" s="13" t="str">
        <f aca="false">PROPER(TRIM(Raw_Data!N542))</f>
        <v>No</v>
      </c>
      <c r="M542" s="13" t="n">
        <f aca="false">IF(C542="",0,1)</f>
        <v>0</v>
      </c>
      <c r="N542" s="13" t="str">
        <f aca="false">IF(M542=0,"Active",IF(TRIM(Raw_Data!L542)="","Unknown",PROPER(TRIM(Raw_Data!L542))))</f>
        <v>Active</v>
      </c>
      <c r="O542" s="13" t="str">
        <f aca="false">IF(M542=0,"",IF(TRIM(Raw_Data!M542)="","Not Recorded",TRIM(Raw_Data!M542)))</f>
        <v/>
      </c>
      <c r="P542" s="16" t="n">
        <f aca="false">ROUND((IF(C542="",AsOfDate,C542)-B542)/365.25,2)</f>
        <v>8.94</v>
      </c>
      <c r="Q542" s="13" t="str">
        <f aca="false">IF(D542="","Unknown",IF(D542&lt;25,"Under 25",IF(D542&lt;35,"25-34",IF(D542&lt;45,"35-44",IF(D542&lt;55,"45-54","55+")))))</f>
        <v>35-44</v>
      </c>
      <c r="R542" s="13" t="str">
        <f aca="false">IF(P542&lt;1,"0-1 yrs",IF(P542&lt;3,"1-3 yrs",IF(P542&lt;5,"3-5 yrs",IF(P542&lt;10,"5-10 yrs","10+ yrs"))))</f>
        <v>5-10 yrs</v>
      </c>
      <c r="S542" s="13" t="str">
        <f aca="false">IF(I542&gt;=4,"High",IF(I542=3,"Medium","Low"))</f>
        <v>High</v>
      </c>
      <c r="T542" s="13" t="str">
        <f aca="false">IF(M542=1,YEAR(C542),"")</f>
        <v/>
      </c>
      <c r="U542" s="13" t="str">
        <f aca="false">IF(M542=1,YEAR(C542)&amp;"-Q"&amp;ROUNDUP(MONTH(C542)/3,0),"")</f>
        <v/>
      </c>
      <c r="V542" s="13" t="str">
        <f aca="false">IF(M542=1,MONTH(C542),"")</f>
        <v/>
      </c>
    </row>
    <row r="543" customFormat="false" ht="15" hidden="false" customHeight="false" outlineLevel="0" collapsed="false">
      <c r="A543" s="13" t="str">
        <f aca="false">TRIM(Raw_Data!A543)</f>
        <v>EMP0542</v>
      </c>
      <c r="B543" s="14" t="n">
        <f aca="false">Raw_Data!B543</f>
        <v>42760</v>
      </c>
      <c r="C543" s="14" t="n">
        <f aca="false">IF(Raw_Data!C543="","",Raw_Data!C543)</f>
        <v>44648</v>
      </c>
      <c r="D543" s="13" t="n">
        <f aca="false">IF(Raw_Data!D543="","",Raw_Data!D543)</f>
        <v>28</v>
      </c>
      <c r="E543" s="13" t="str">
        <f aca="false">IF(UPPER(LEFT(TRIM(Raw_Data!E543),1))="M","Male",IF(UPPER(LEFT(TRIM(Raw_Data!E543),1))="F","Female","Unknown"))</f>
        <v>Female</v>
      </c>
      <c r="F543" s="13" t="str">
        <f aca="false">PROPER(TRIM(SUBSTITUTE(Raw_Data!F543,"'","")))</f>
        <v>Bachelors</v>
      </c>
      <c r="G543" s="13" t="str">
        <f aca="false">PROPER(TRIM(Raw_Data!G543))</f>
        <v>Engineering</v>
      </c>
      <c r="H543" s="13" t="str">
        <f aca="false">PROPER(TRIM(Raw_Data!H543))</f>
        <v>Associate</v>
      </c>
      <c r="I543" s="13" t="n">
        <f aca="false">IF(Raw_Data!I543="",DefaultPerf,Raw_Data!I543)</f>
        <v>4</v>
      </c>
      <c r="J543" s="13" t="n">
        <f aca="false">IF(Raw_Data!J543="",DefaultSat,Raw_Data!J543)</f>
        <v>4</v>
      </c>
      <c r="K543" s="15" t="n">
        <f aca="false">Raw_Data!K543</f>
        <v>45000</v>
      </c>
      <c r="L543" s="13" t="str">
        <f aca="false">PROPER(TRIM(Raw_Data!N543))</f>
        <v>No</v>
      </c>
      <c r="M543" s="13" t="n">
        <f aca="false">IF(C543="",0,1)</f>
        <v>1</v>
      </c>
      <c r="N543" s="13" t="str">
        <f aca="false">IF(M543=0,"Active",IF(TRIM(Raw_Data!L543)="","Unknown",PROPER(TRIM(Raw_Data!L543))))</f>
        <v>Unknown</v>
      </c>
      <c r="O543" s="13" t="str">
        <f aca="false">IF(M543=0,"",IF(TRIM(Raw_Data!M543)="","Not Recorded",TRIM(Raw_Data!M543)))</f>
        <v>End of Contract</v>
      </c>
      <c r="P543" s="16" t="n">
        <f aca="false">ROUND((IF(C543="",AsOfDate,C543)-B543)/365.25,2)</f>
        <v>5.17</v>
      </c>
      <c r="Q543" s="13" t="str">
        <f aca="false">IF(D543="","Unknown",IF(D543&lt;25,"Under 25",IF(D543&lt;35,"25-34",IF(D543&lt;45,"35-44",IF(D543&lt;55,"45-54","55+")))))</f>
        <v>25-34</v>
      </c>
      <c r="R543" s="13" t="str">
        <f aca="false">IF(P543&lt;1,"0-1 yrs",IF(P543&lt;3,"1-3 yrs",IF(P543&lt;5,"3-5 yrs",IF(P543&lt;10,"5-10 yrs","10+ yrs"))))</f>
        <v>5-10 yrs</v>
      </c>
      <c r="S543" s="13" t="str">
        <f aca="false">IF(I543&gt;=4,"High",IF(I543=3,"Medium","Low"))</f>
        <v>High</v>
      </c>
      <c r="T543" s="13" t="n">
        <f aca="false">IF(M543=1,YEAR(C543),"")</f>
        <v>2022</v>
      </c>
      <c r="U543" s="13" t="str">
        <f aca="false">IF(M543=1,YEAR(C543)&amp;"-Q"&amp;ROUNDUP(MONTH(C543)/3,0),"")</f>
        <v>2022-Q1</v>
      </c>
      <c r="V543" s="13" t="n">
        <f aca="false">IF(M543=1,MONTH(C543),"")</f>
        <v>3</v>
      </c>
    </row>
    <row r="544" customFormat="false" ht="15" hidden="false" customHeight="false" outlineLevel="0" collapsed="false">
      <c r="A544" s="13" t="str">
        <f aca="false">TRIM(Raw_Data!A544)</f>
        <v>EMP0543</v>
      </c>
      <c r="B544" s="14" t="n">
        <f aca="false">Raw_Data!B544</f>
        <v>42765</v>
      </c>
      <c r="C544" s="14" t="str">
        <f aca="false">IF(Raw_Data!C544="","",Raw_Data!C544)</f>
        <v/>
      </c>
      <c r="D544" s="13" t="n">
        <f aca="false">IF(Raw_Data!D544="","",Raw_Data!D544)</f>
        <v>38</v>
      </c>
      <c r="E544" s="13" t="str">
        <f aca="false">IF(UPPER(LEFT(TRIM(Raw_Data!E544),1))="M","Male",IF(UPPER(LEFT(TRIM(Raw_Data!E544),1))="F","Female","Unknown"))</f>
        <v>Male</v>
      </c>
      <c r="F544" s="13" t="str">
        <f aca="false">PROPER(TRIM(SUBSTITUTE(Raw_Data!F544,"'","")))</f>
        <v>Bachelors</v>
      </c>
      <c r="G544" s="13" t="str">
        <f aca="false">PROPER(TRIM(Raw_Data!G544))</f>
        <v>Customer Support</v>
      </c>
      <c r="H544" s="13" t="str">
        <f aca="false">PROPER(TRIM(Raw_Data!H544))</f>
        <v>Senior Analyst</v>
      </c>
      <c r="I544" s="13" t="n">
        <f aca="false">IF(Raw_Data!I544="",DefaultPerf,Raw_Data!I544)</f>
        <v>3</v>
      </c>
      <c r="J544" s="13" t="n">
        <f aca="false">IF(Raw_Data!J544="",DefaultSat,Raw_Data!J544)</f>
        <v>4</v>
      </c>
      <c r="K544" s="15" t="n">
        <f aca="false">Raw_Data!K544</f>
        <v>101000</v>
      </c>
      <c r="L544" s="13" t="str">
        <f aca="false">PROPER(TRIM(Raw_Data!N544))</f>
        <v>No</v>
      </c>
      <c r="M544" s="13" t="n">
        <f aca="false">IF(C544="",0,1)</f>
        <v>0</v>
      </c>
      <c r="N544" s="13" t="str">
        <f aca="false">IF(M544=0,"Active",IF(TRIM(Raw_Data!L544)="","Unknown",PROPER(TRIM(Raw_Data!L544))))</f>
        <v>Active</v>
      </c>
      <c r="O544" s="13" t="str">
        <f aca="false">IF(M544=0,"",IF(TRIM(Raw_Data!M544)="","Not Recorded",TRIM(Raw_Data!M544)))</f>
        <v/>
      </c>
      <c r="P544" s="16" t="n">
        <f aca="false">ROUND((IF(C544="",AsOfDate,C544)-B544)/365.25,2)</f>
        <v>8.92</v>
      </c>
      <c r="Q544" s="13" t="str">
        <f aca="false">IF(D544="","Unknown",IF(D544&lt;25,"Under 25",IF(D544&lt;35,"25-34",IF(D544&lt;45,"35-44",IF(D544&lt;55,"45-54","55+")))))</f>
        <v>35-44</v>
      </c>
      <c r="R544" s="13" t="str">
        <f aca="false">IF(P544&lt;1,"0-1 yrs",IF(P544&lt;3,"1-3 yrs",IF(P544&lt;5,"3-5 yrs",IF(P544&lt;10,"5-10 yrs","10+ yrs"))))</f>
        <v>5-10 yrs</v>
      </c>
      <c r="S544" s="13" t="str">
        <f aca="false">IF(I544&gt;=4,"High",IF(I544=3,"Medium","Low"))</f>
        <v>Medium</v>
      </c>
      <c r="T544" s="13" t="str">
        <f aca="false">IF(M544=1,YEAR(C544),"")</f>
        <v/>
      </c>
      <c r="U544" s="13" t="str">
        <f aca="false">IF(M544=1,YEAR(C544)&amp;"-Q"&amp;ROUNDUP(MONTH(C544)/3,0),"")</f>
        <v/>
      </c>
      <c r="V544" s="13" t="str">
        <f aca="false">IF(M544=1,MONTH(C544),"")</f>
        <v/>
      </c>
    </row>
    <row r="545" customFormat="false" ht="15" hidden="false" customHeight="false" outlineLevel="0" collapsed="false">
      <c r="A545" s="13" t="str">
        <f aca="false">TRIM(Raw_Data!A545)</f>
        <v>EMP0544</v>
      </c>
      <c r="B545" s="14" t="n">
        <f aca="false">Raw_Data!B545</f>
        <v>42766</v>
      </c>
      <c r="C545" s="14" t="str">
        <f aca="false">IF(Raw_Data!C545="","",Raw_Data!C545)</f>
        <v/>
      </c>
      <c r="D545" s="13" t="n">
        <f aca="false">IF(Raw_Data!D545="","",Raw_Data!D545)</f>
        <v>39</v>
      </c>
      <c r="E545" s="13" t="str">
        <f aca="false">IF(UPPER(LEFT(TRIM(Raw_Data!E545),1))="M","Male",IF(UPPER(LEFT(TRIM(Raw_Data!E545),1))="F","Female","Unknown"))</f>
        <v>Male</v>
      </c>
      <c r="F545" s="13" t="str">
        <f aca="false">PROPER(TRIM(SUBSTITUTE(Raw_Data!F545,"'","")))</f>
        <v>Masters</v>
      </c>
      <c r="G545" s="13" t="str">
        <f aca="false">PROPER(TRIM(Raw_Data!G545))</f>
        <v>Customer Support</v>
      </c>
      <c r="H545" s="13" t="str">
        <f aca="false">PROPER(TRIM(Raw_Data!H545))</f>
        <v>Associate</v>
      </c>
      <c r="I545" s="13" t="n">
        <f aca="false">IF(Raw_Data!I545="",DefaultPerf,Raw_Data!I545)</f>
        <v>3</v>
      </c>
      <c r="J545" s="13" t="n">
        <f aca="false">IF(Raw_Data!J545="",DefaultSat,Raw_Data!J545)</f>
        <v>3</v>
      </c>
      <c r="K545" s="15" t="n">
        <f aca="false">Raw_Data!K545</f>
        <v>59000</v>
      </c>
      <c r="L545" s="13" t="str">
        <f aca="false">PROPER(TRIM(Raw_Data!N545))</f>
        <v>No</v>
      </c>
      <c r="M545" s="13" t="n">
        <f aca="false">IF(C545="",0,1)</f>
        <v>0</v>
      </c>
      <c r="N545" s="13" t="str">
        <f aca="false">IF(M545=0,"Active",IF(TRIM(Raw_Data!L545)="","Unknown",PROPER(TRIM(Raw_Data!L545))))</f>
        <v>Active</v>
      </c>
      <c r="O545" s="13" t="str">
        <f aca="false">IF(M545=0,"",IF(TRIM(Raw_Data!M545)="","Not Recorded",TRIM(Raw_Data!M545)))</f>
        <v/>
      </c>
      <c r="P545" s="16" t="n">
        <f aca="false">ROUND((IF(C545="",AsOfDate,C545)-B545)/365.25,2)</f>
        <v>8.91</v>
      </c>
      <c r="Q545" s="13" t="str">
        <f aca="false">IF(D545="","Unknown",IF(D545&lt;25,"Under 25",IF(D545&lt;35,"25-34",IF(D545&lt;45,"35-44",IF(D545&lt;55,"45-54","55+")))))</f>
        <v>35-44</v>
      </c>
      <c r="R545" s="13" t="str">
        <f aca="false">IF(P545&lt;1,"0-1 yrs",IF(P545&lt;3,"1-3 yrs",IF(P545&lt;5,"3-5 yrs",IF(P545&lt;10,"5-10 yrs","10+ yrs"))))</f>
        <v>5-10 yrs</v>
      </c>
      <c r="S545" s="13" t="str">
        <f aca="false">IF(I545&gt;=4,"High",IF(I545=3,"Medium","Low"))</f>
        <v>Medium</v>
      </c>
      <c r="T545" s="13" t="str">
        <f aca="false">IF(M545=1,YEAR(C545),"")</f>
        <v/>
      </c>
      <c r="U545" s="13" t="str">
        <f aca="false">IF(M545=1,YEAR(C545)&amp;"-Q"&amp;ROUNDUP(MONTH(C545)/3,0),"")</f>
        <v/>
      </c>
      <c r="V545" s="13" t="str">
        <f aca="false">IF(M545=1,MONTH(C545),"")</f>
        <v/>
      </c>
    </row>
    <row r="546" customFormat="false" ht="15" hidden="false" customHeight="false" outlineLevel="0" collapsed="false">
      <c r="A546" s="13" t="str">
        <f aca="false">TRIM(Raw_Data!A546)</f>
        <v>EMP0545</v>
      </c>
      <c r="B546" s="14" t="n">
        <f aca="false">Raw_Data!B546</f>
        <v>42767</v>
      </c>
      <c r="C546" s="14" t="str">
        <f aca="false">IF(Raw_Data!C546="","",Raw_Data!C546)</f>
        <v/>
      </c>
      <c r="D546" s="13" t="n">
        <f aca="false">IF(Raw_Data!D546="","",Raw_Data!D546)</f>
        <v>30</v>
      </c>
      <c r="E546" s="13" t="str">
        <f aca="false">IF(UPPER(LEFT(TRIM(Raw_Data!E546),1))="M","Male",IF(UPPER(LEFT(TRIM(Raw_Data!E546),1))="F","Female","Unknown"))</f>
        <v>Female</v>
      </c>
      <c r="F546" s="13" t="str">
        <f aca="false">PROPER(TRIM(SUBSTITUTE(Raw_Data!F546,"'","")))</f>
        <v>Doctorate</v>
      </c>
      <c r="G546" s="13" t="str">
        <f aca="false">PROPER(TRIM(Raw_Data!G546))</f>
        <v>Customer Support</v>
      </c>
      <c r="H546" s="13" t="str">
        <f aca="false">PROPER(TRIM(Raw_Data!H546))</f>
        <v>Senior Analyst</v>
      </c>
      <c r="I546" s="13" t="n">
        <f aca="false">IF(Raw_Data!I546="",DefaultPerf,Raw_Data!I546)</f>
        <v>4</v>
      </c>
      <c r="J546" s="13" t="n">
        <f aca="false">IF(Raw_Data!J546="",DefaultSat,Raw_Data!J546)</f>
        <v>3</v>
      </c>
      <c r="K546" s="15" t="n">
        <f aca="false">Raw_Data!K546</f>
        <v>89500</v>
      </c>
      <c r="L546" s="13" t="str">
        <f aca="false">PROPER(TRIM(Raw_Data!N546))</f>
        <v>No</v>
      </c>
      <c r="M546" s="13" t="n">
        <f aca="false">IF(C546="",0,1)</f>
        <v>0</v>
      </c>
      <c r="N546" s="13" t="str">
        <f aca="false">IF(M546=0,"Active",IF(TRIM(Raw_Data!L546)="","Unknown",PROPER(TRIM(Raw_Data!L546))))</f>
        <v>Active</v>
      </c>
      <c r="O546" s="13" t="str">
        <f aca="false">IF(M546=0,"",IF(TRIM(Raw_Data!M546)="","Not Recorded",TRIM(Raw_Data!M546)))</f>
        <v/>
      </c>
      <c r="P546" s="16" t="n">
        <f aca="false">ROUND((IF(C546="",AsOfDate,C546)-B546)/365.25,2)</f>
        <v>8.91</v>
      </c>
      <c r="Q546" s="13" t="str">
        <f aca="false">IF(D546="","Unknown",IF(D546&lt;25,"Under 25",IF(D546&lt;35,"25-34",IF(D546&lt;45,"35-44",IF(D546&lt;55,"45-54","55+")))))</f>
        <v>25-34</v>
      </c>
      <c r="R546" s="13" t="str">
        <f aca="false">IF(P546&lt;1,"0-1 yrs",IF(P546&lt;3,"1-3 yrs",IF(P546&lt;5,"3-5 yrs",IF(P546&lt;10,"5-10 yrs","10+ yrs"))))</f>
        <v>5-10 yrs</v>
      </c>
      <c r="S546" s="13" t="str">
        <f aca="false">IF(I546&gt;=4,"High",IF(I546=3,"Medium","Low"))</f>
        <v>High</v>
      </c>
      <c r="T546" s="13" t="str">
        <f aca="false">IF(M546=1,YEAR(C546),"")</f>
        <v/>
      </c>
      <c r="U546" s="13" t="str">
        <f aca="false">IF(M546=1,YEAR(C546)&amp;"-Q"&amp;ROUNDUP(MONTH(C546)/3,0),"")</f>
        <v/>
      </c>
      <c r="V546" s="13" t="str">
        <f aca="false">IF(M546=1,MONTH(C546),"")</f>
        <v/>
      </c>
    </row>
    <row r="547" customFormat="false" ht="15" hidden="false" customHeight="false" outlineLevel="0" collapsed="false">
      <c r="A547" s="13" t="str">
        <f aca="false">TRIM(Raw_Data!A547)</f>
        <v>EMP0546</v>
      </c>
      <c r="B547" s="14" t="n">
        <f aca="false">Raw_Data!B547</f>
        <v>42770</v>
      </c>
      <c r="C547" s="14" t="str">
        <f aca="false">IF(Raw_Data!C547="","",Raw_Data!C547)</f>
        <v/>
      </c>
      <c r="D547" s="13" t="n">
        <f aca="false">IF(Raw_Data!D547="","",Raw_Data!D547)</f>
        <v>43</v>
      </c>
      <c r="E547" s="13" t="str">
        <f aca="false">IF(UPPER(LEFT(TRIM(Raw_Data!E547),1))="M","Male",IF(UPPER(LEFT(TRIM(Raw_Data!E547),1))="F","Female","Unknown"))</f>
        <v>Female</v>
      </c>
      <c r="F547" s="13" t="str">
        <f aca="false">PROPER(TRIM(SUBSTITUTE(Raw_Data!F547,"'","")))</f>
        <v>Doctorate</v>
      </c>
      <c r="G547" s="13" t="str">
        <f aca="false">PROPER(TRIM(Raw_Data!G547))</f>
        <v>Operations</v>
      </c>
      <c r="H547" s="13" t="str">
        <f aca="false">PROPER(TRIM(Raw_Data!H547))</f>
        <v>Associate</v>
      </c>
      <c r="I547" s="13" t="n">
        <f aca="false">IF(Raw_Data!I547="",DefaultPerf,Raw_Data!I547)</f>
        <v>2</v>
      </c>
      <c r="J547" s="13" t="n">
        <f aca="false">IF(Raw_Data!J547="",DefaultSat,Raw_Data!J547)</f>
        <v>3</v>
      </c>
      <c r="K547" s="15" t="n">
        <f aca="false">Raw_Data!K547</f>
        <v>44000</v>
      </c>
      <c r="L547" s="13" t="str">
        <f aca="false">PROPER(TRIM(Raw_Data!N547))</f>
        <v>No</v>
      </c>
      <c r="M547" s="13" t="n">
        <f aca="false">IF(C547="",0,1)</f>
        <v>0</v>
      </c>
      <c r="N547" s="13" t="str">
        <f aca="false">IF(M547=0,"Active",IF(TRIM(Raw_Data!L547)="","Unknown",PROPER(TRIM(Raw_Data!L547))))</f>
        <v>Active</v>
      </c>
      <c r="O547" s="13" t="str">
        <f aca="false">IF(M547=0,"",IF(TRIM(Raw_Data!M547)="","Not Recorded",TRIM(Raw_Data!M547)))</f>
        <v/>
      </c>
      <c r="P547" s="16" t="n">
        <f aca="false">ROUND((IF(C547="",AsOfDate,C547)-B547)/365.25,2)</f>
        <v>8.9</v>
      </c>
      <c r="Q547" s="13" t="str">
        <f aca="false">IF(D547="","Unknown",IF(D547&lt;25,"Under 25",IF(D547&lt;35,"25-34",IF(D547&lt;45,"35-44",IF(D547&lt;55,"45-54","55+")))))</f>
        <v>35-44</v>
      </c>
      <c r="R547" s="13" t="str">
        <f aca="false">IF(P547&lt;1,"0-1 yrs",IF(P547&lt;3,"1-3 yrs",IF(P547&lt;5,"3-5 yrs",IF(P547&lt;10,"5-10 yrs","10+ yrs"))))</f>
        <v>5-10 yrs</v>
      </c>
      <c r="S547" s="13" t="str">
        <f aca="false">IF(I547&gt;=4,"High",IF(I547=3,"Medium","Low"))</f>
        <v>Low</v>
      </c>
      <c r="T547" s="13" t="str">
        <f aca="false">IF(M547=1,YEAR(C547),"")</f>
        <v/>
      </c>
      <c r="U547" s="13" t="str">
        <f aca="false">IF(M547=1,YEAR(C547)&amp;"-Q"&amp;ROUNDUP(MONTH(C547)/3,0),"")</f>
        <v/>
      </c>
      <c r="V547" s="13" t="str">
        <f aca="false">IF(M547=1,MONTH(C547),"")</f>
        <v/>
      </c>
    </row>
    <row r="548" customFormat="false" ht="15" hidden="false" customHeight="false" outlineLevel="0" collapsed="false">
      <c r="A548" s="13" t="str">
        <f aca="false">TRIM(Raw_Data!A548)</f>
        <v>EMP0547</v>
      </c>
      <c r="B548" s="14" t="n">
        <f aca="false">Raw_Data!B548</f>
        <v>42773</v>
      </c>
      <c r="C548" s="14" t="n">
        <f aca="false">IF(Raw_Data!C548="","",Raw_Data!C548)</f>
        <v>44962</v>
      </c>
      <c r="D548" s="13" t="n">
        <f aca="false">IF(Raw_Data!D548="","",Raw_Data!D548)</f>
        <v>30</v>
      </c>
      <c r="E548" s="13" t="str">
        <f aca="false">IF(UPPER(LEFT(TRIM(Raw_Data!E548),1))="M","Male",IF(UPPER(LEFT(TRIM(Raw_Data!E548),1))="F","Female","Unknown"))</f>
        <v>Male</v>
      </c>
      <c r="F548" s="13" t="str">
        <f aca="false">PROPER(TRIM(SUBSTITUTE(Raw_Data!F548,"'","")))</f>
        <v>Bachelors</v>
      </c>
      <c r="G548" s="13" t="str">
        <f aca="false">PROPER(TRIM(Raw_Data!G548))</f>
        <v>Finance</v>
      </c>
      <c r="H548" s="13" t="str">
        <f aca="false">PROPER(TRIM(Raw_Data!H548))</f>
        <v>Senior Analyst</v>
      </c>
      <c r="I548" s="13" t="n">
        <f aca="false">IF(Raw_Data!I548="",DefaultPerf,Raw_Data!I548)</f>
        <v>3</v>
      </c>
      <c r="J548" s="13" t="n">
        <f aca="false">IF(Raw_Data!J548="",DefaultSat,Raw_Data!J548)</f>
        <v>3</v>
      </c>
      <c r="K548" s="15" t="n">
        <f aca="false">Raw_Data!K548</f>
        <v>109500</v>
      </c>
      <c r="L548" s="13" t="str">
        <f aca="false">PROPER(TRIM(Raw_Data!N548))</f>
        <v>No</v>
      </c>
      <c r="M548" s="13" t="n">
        <f aca="false">IF(C548="",0,1)</f>
        <v>1</v>
      </c>
      <c r="N548" s="13" t="str">
        <f aca="false">IF(M548=0,"Active",IF(TRIM(Raw_Data!L548)="","Unknown",PROPER(TRIM(Raw_Data!L548))))</f>
        <v>Voluntary</v>
      </c>
      <c r="O548" s="13" t="str">
        <f aca="false">IF(M548=0,"",IF(TRIM(Raw_Data!M548)="","Not Recorded",TRIM(Raw_Data!M548)))</f>
        <v>Work-Life Balance</v>
      </c>
      <c r="P548" s="16" t="n">
        <f aca="false">ROUND((IF(C548="",AsOfDate,C548)-B548)/365.25,2)</f>
        <v>5.99</v>
      </c>
      <c r="Q548" s="13" t="str">
        <f aca="false">IF(D548="","Unknown",IF(D548&lt;25,"Under 25",IF(D548&lt;35,"25-34",IF(D548&lt;45,"35-44",IF(D548&lt;55,"45-54","55+")))))</f>
        <v>25-34</v>
      </c>
      <c r="R548" s="13" t="str">
        <f aca="false">IF(P548&lt;1,"0-1 yrs",IF(P548&lt;3,"1-3 yrs",IF(P548&lt;5,"3-5 yrs",IF(P548&lt;10,"5-10 yrs","10+ yrs"))))</f>
        <v>5-10 yrs</v>
      </c>
      <c r="S548" s="13" t="str">
        <f aca="false">IF(I548&gt;=4,"High",IF(I548=3,"Medium","Low"))</f>
        <v>Medium</v>
      </c>
      <c r="T548" s="13" t="n">
        <f aca="false">IF(M548=1,YEAR(C548),"")</f>
        <v>2023</v>
      </c>
      <c r="U548" s="13" t="str">
        <f aca="false">IF(M548=1,YEAR(C548)&amp;"-Q"&amp;ROUNDUP(MONTH(C548)/3,0),"")</f>
        <v>2023-Q1</v>
      </c>
      <c r="V548" s="13" t="n">
        <f aca="false">IF(M548=1,MONTH(C548),"")</f>
        <v>2</v>
      </c>
    </row>
    <row r="549" customFormat="false" ht="15" hidden="false" customHeight="false" outlineLevel="0" collapsed="false">
      <c r="A549" s="13" t="str">
        <f aca="false">TRIM(Raw_Data!A549)</f>
        <v>EMP0548</v>
      </c>
      <c r="B549" s="14" t="n">
        <f aca="false">Raw_Data!B549</f>
        <v>42777</v>
      </c>
      <c r="C549" s="14" t="str">
        <f aca="false">IF(Raw_Data!C549="","",Raw_Data!C549)</f>
        <v/>
      </c>
      <c r="D549" s="13" t="n">
        <f aca="false">IF(Raw_Data!D549="","",Raw_Data!D549)</f>
        <v>34</v>
      </c>
      <c r="E549" s="13" t="str">
        <f aca="false">IF(UPPER(LEFT(TRIM(Raw_Data!E549),1))="M","Male",IF(UPPER(LEFT(TRIM(Raw_Data!E549),1))="F","Female","Unknown"))</f>
        <v>Female</v>
      </c>
      <c r="F549" s="13" t="str">
        <f aca="false">PROPER(TRIM(SUBSTITUTE(Raw_Data!F549,"'","")))</f>
        <v>Bachelors</v>
      </c>
      <c r="G549" s="13" t="str">
        <f aca="false">PROPER(TRIM(Raw_Data!G549))</f>
        <v>Customer Support</v>
      </c>
      <c r="H549" s="13" t="str">
        <f aca="false">PROPER(TRIM(Raw_Data!H549))</f>
        <v>Specialist</v>
      </c>
      <c r="I549" s="13" t="n">
        <f aca="false">IF(Raw_Data!I549="",DefaultPerf,Raw_Data!I549)</f>
        <v>4</v>
      </c>
      <c r="J549" s="13" t="n">
        <f aca="false">IF(Raw_Data!J549="",DefaultSat,Raw_Data!J549)</f>
        <v>4</v>
      </c>
      <c r="K549" s="15" t="n">
        <f aca="false">Raw_Data!K549</f>
        <v>116500</v>
      </c>
      <c r="L549" s="13" t="str">
        <f aca="false">PROPER(TRIM(Raw_Data!N549))</f>
        <v>No</v>
      </c>
      <c r="M549" s="13" t="n">
        <f aca="false">IF(C549="",0,1)</f>
        <v>0</v>
      </c>
      <c r="N549" s="13" t="str">
        <f aca="false">IF(M549=0,"Active",IF(TRIM(Raw_Data!L549)="","Unknown",PROPER(TRIM(Raw_Data!L549))))</f>
        <v>Active</v>
      </c>
      <c r="O549" s="13" t="str">
        <f aca="false">IF(M549=0,"",IF(TRIM(Raw_Data!M549)="","Not Recorded",TRIM(Raw_Data!M549)))</f>
        <v/>
      </c>
      <c r="P549" s="16" t="n">
        <f aca="false">ROUND((IF(C549="",AsOfDate,C549)-B549)/365.25,2)</f>
        <v>8.88</v>
      </c>
      <c r="Q549" s="13" t="str">
        <f aca="false">IF(D549="","Unknown",IF(D549&lt;25,"Under 25",IF(D549&lt;35,"25-34",IF(D549&lt;45,"35-44",IF(D549&lt;55,"45-54","55+")))))</f>
        <v>25-34</v>
      </c>
      <c r="R549" s="13" t="str">
        <f aca="false">IF(P549&lt;1,"0-1 yrs",IF(P549&lt;3,"1-3 yrs",IF(P549&lt;5,"3-5 yrs",IF(P549&lt;10,"5-10 yrs","10+ yrs"))))</f>
        <v>5-10 yrs</v>
      </c>
      <c r="S549" s="13" t="str">
        <f aca="false">IF(I549&gt;=4,"High",IF(I549=3,"Medium","Low"))</f>
        <v>High</v>
      </c>
      <c r="T549" s="13" t="str">
        <f aca="false">IF(M549=1,YEAR(C549),"")</f>
        <v/>
      </c>
      <c r="U549" s="13" t="str">
        <f aca="false">IF(M549=1,YEAR(C549)&amp;"-Q"&amp;ROUNDUP(MONTH(C549)/3,0),"")</f>
        <v/>
      </c>
      <c r="V549" s="13" t="str">
        <f aca="false">IF(M549=1,MONTH(C549),"")</f>
        <v/>
      </c>
    </row>
    <row r="550" customFormat="false" ht="15" hidden="false" customHeight="false" outlineLevel="0" collapsed="false">
      <c r="A550" s="13" t="str">
        <f aca="false">TRIM(Raw_Data!A550)</f>
        <v>EMP0549</v>
      </c>
      <c r="B550" s="14" t="n">
        <f aca="false">Raw_Data!B550</f>
        <v>42782</v>
      </c>
      <c r="C550" s="14" t="str">
        <f aca="false">IF(Raw_Data!C550="","",Raw_Data!C550)</f>
        <v/>
      </c>
      <c r="D550" s="13" t="n">
        <f aca="false">IF(Raw_Data!D550="","",Raw_Data!D550)</f>
        <v>39</v>
      </c>
      <c r="E550" s="13" t="str">
        <f aca="false">IF(UPPER(LEFT(TRIM(Raw_Data!E550),1))="M","Male",IF(UPPER(LEFT(TRIM(Raw_Data!E550),1))="F","Female","Unknown"))</f>
        <v>Female</v>
      </c>
      <c r="F550" s="13" t="str">
        <f aca="false">PROPER(TRIM(SUBSTITUTE(Raw_Data!F550,"'","")))</f>
        <v>Bachelors</v>
      </c>
      <c r="G550" s="13" t="str">
        <f aca="false">PROPER(TRIM(Raw_Data!G550))</f>
        <v>Finance</v>
      </c>
      <c r="H550" s="13" t="str">
        <f aca="false">PROPER(TRIM(Raw_Data!H550))</f>
        <v>Associate</v>
      </c>
      <c r="I550" s="13" t="n">
        <f aca="false">IF(Raw_Data!I550="",DefaultPerf,Raw_Data!I550)</f>
        <v>4</v>
      </c>
      <c r="J550" s="13" t="n">
        <f aca="false">IF(Raw_Data!J550="",DefaultSat,Raw_Data!J550)</f>
        <v>2</v>
      </c>
      <c r="K550" s="15" t="n">
        <f aca="false">Raw_Data!K550</f>
        <v>46000</v>
      </c>
      <c r="L550" s="13" t="str">
        <f aca="false">PROPER(TRIM(Raw_Data!N550))</f>
        <v>No</v>
      </c>
      <c r="M550" s="13" t="n">
        <f aca="false">IF(C550="",0,1)</f>
        <v>0</v>
      </c>
      <c r="N550" s="13" t="str">
        <f aca="false">IF(M550=0,"Active",IF(TRIM(Raw_Data!L550)="","Unknown",PROPER(TRIM(Raw_Data!L550))))</f>
        <v>Active</v>
      </c>
      <c r="O550" s="13" t="str">
        <f aca="false">IF(M550=0,"",IF(TRIM(Raw_Data!M550)="","Not Recorded",TRIM(Raw_Data!M550)))</f>
        <v/>
      </c>
      <c r="P550" s="16" t="n">
        <f aca="false">ROUND((IF(C550="",AsOfDate,C550)-B550)/365.25,2)</f>
        <v>8.87</v>
      </c>
      <c r="Q550" s="13" t="str">
        <f aca="false">IF(D550="","Unknown",IF(D550&lt;25,"Under 25",IF(D550&lt;35,"25-34",IF(D550&lt;45,"35-44",IF(D550&lt;55,"45-54","55+")))))</f>
        <v>35-44</v>
      </c>
      <c r="R550" s="13" t="str">
        <f aca="false">IF(P550&lt;1,"0-1 yrs",IF(P550&lt;3,"1-3 yrs",IF(P550&lt;5,"3-5 yrs",IF(P550&lt;10,"5-10 yrs","10+ yrs"))))</f>
        <v>5-10 yrs</v>
      </c>
      <c r="S550" s="13" t="str">
        <f aca="false">IF(I550&gt;=4,"High",IF(I550=3,"Medium","Low"))</f>
        <v>High</v>
      </c>
      <c r="T550" s="13" t="str">
        <f aca="false">IF(M550=1,YEAR(C550),"")</f>
        <v/>
      </c>
      <c r="U550" s="13" t="str">
        <f aca="false">IF(M550=1,YEAR(C550)&amp;"-Q"&amp;ROUNDUP(MONTH(C550)/3,0),"")</f>
        <v/>
      </c>
      <c r="V550" s="13" t="str">
        <f aca="false">IF(M550=1,MONTH(C550),"")</f>
        <v/>
      </c>
    </row>
    <row r="551" customFormat="false" ht="15" hidden="false" customHeight="false" outlineLevel="0" collapsed="false">
      <c r="A551" s="13" t="str">
        <f aca="false">TRIM(Raw_Data!A551)</f>
        <v>EMP0550</v>
      </c>
      <c r="B551" s="14" t="n">
        <f aca="false">Raw_Data!B551</f>
        <v>42784</v>
      </c>
      <c r="C551" s="14" t="str">
        <f aca="false">IF(Raw_Data!C551="","",Raw_Data!C551)</f>
        <v/>
      </c>
      <c r="D551" s="13" t="n">
        <f aca="false">IF(Raw_Data!D551="","",Raw_Data!D551)</f>
        <v>41</v>
      </c>
      <c r="E551" s="13" t="str">
        <f aca="false">IF(UPPER(LEFT(TRIM(Raw_Data!E551),1))="M","Male",IF(UPPER(LEFT(TRIM(Raw_Data!E551),1))="F","Female","Unknown"))</f>
        <v>Female</v>
      </c>
      <c r="F551" s="13" t="str">
        <f aca="false">PROPER(TRIM(SUBSTITUTE(Raw_Data!F551,"'","")))</f>
        <v>Diploma</v>
      </c>
      <c r="G551" s="13" t="str">
        <f aca="false">PROPER(TRIM(Raw_Data!G551))</f>
        <v>Finance</v>
      </c>
      <c r="H551" s="13" t="str">
        <f aca="false">PROPER(TRIM(Raw_Data!H551))</f>
        <v>Associate</v>
      </c>
      <c r="I551" s="13" t="n">
        <f aca="false">IF(Raw_Data!I551="",DefaultPerf,Raw_Data!I551)</f>
        <v>3</v>
      </c>
      <c r="J551" s="13" t="n">
        <f aca="false">IF(Raw_Data!J551="",DefaultSat,Raw_Data!J551)</f>
        <v>4</v>
      </c>
      <c r="K551" s="15" t="n">
        <f aca="false">Raw_Data!K551</f>
        <v>44000</v>
      </c>
      <c r="L551" s="13" t="str">
        <f aca="false">PROPER(TRIM(Raw_Data!N551))</f>
        <v>No</v>
      </c>
      <c r="M551" s="13" t="n">
        <f aca="false">IF(C551="",0,1)</f>
        <v>0</v>
      </c>
      <c r="N551" s="13" t="str">
        <f aca="false">IF(M551=0,"Active",IF(TRIM(Raw_Data!L551)="","Unknown",PROPER(TRIM(Raw_Data!L551))))</f>
        <v>Active</v>
      </c>
      <c r="O551" s="13" t="str">
        <f aca="false">IF(M551=0,"",IF(TRIM(Raw_Data!M551)="","Not Recorded",TRIM(Raw_Data!M551)))</f>
        <v/>
      </c>
      <c r="P551" s="16" t="n">
        <f aca="false">ROUND((IF(C551="",AsOfDate,C551)-B551)/365.25,2)</f>
        <v>8.87</v>
      </c>
      <c r="Q551" s="13" t="str">
        <f aca="false">IF(D551="","Unknown",IF(D551&lt;25,"Under 25",IF(D551&lt;35,"25-34",IF(D551&lt;45,"35-44",IF(D551&lt;55,"45-54","55+")))))</f>
        <v>35-44</v>
      </c>
      <c r="R551" s="13" t="str">
        <f aca="false">IF(P551&lt;1,"0-1 yrs",IF(P551&lt;3,"1-3 yrs",IF(P551&lt;5,"3-5 yrs",IF(P551&lt;10,"5-10 yrs","10+ yrs"))))</f>
        <v>5-10 yrs</v>
      </c>
      <c r="S551" s="13" t="str">
        <f aca="false">IF(I551&gt;=4,"High",IF(I551=3,"Medium","Low"))</f>
        <v>Medium</v>
      </c>
      <c r="T551" s="13" t="str">
        <f aca="false">IF(M551=1,YEAR(C551),"")</f>
        <v/>
      </c>
      <c r="U551" s="13" t="str">
        <f aca="false">IF(M551=1,YEAR(C551)&amp;"-Q"&amp;ROUNDUP(MONTH(C551)/3,0),"")</f>
        <v/>
      </c>
      <c r="V551" s="13" t="str">
        <f aca="false">IF(M551=1,MONTH(C551),"")</f>
        <v/>
      </c>
    </row>
    <row r="552" customFormat="false" ht="15" hidden="false" customHeight="false" outlineLevel="0" collapsed="false">
      <c r="A552" s="13" t="str">
        <f aca="false">TRIM(Raw_Data!A552)</f>
        <v>EMP0551</v>
      </c>
      <c r="B552" s="14" t="n">
        <f aca="false">Raw_Data!B552</f>
        <v>42786</v>
      </c>
      <c r="C552" s="14" t="n">
        <f aca="false">IF(Raw_Data!C552="","",Raw_Data!C552)</f>
        <v>45829</v>
      </c>
      <c r="D552" s="13" t="n">
        <f aca="false">IF(Raw_Data!D552="","",Raw_Data!D552)</f>
        <v>42</v>
      </c>
      <c r="E552" s="13" t="str">
        <f aca="false">IF(UPPER(LEFT(TRIM(Raw_Data!E552),1))="M","Male",IF(UPPER(LEFT(TRIM(Raw_Data!E552),1))="F","Female","Unknown"))</f>
        <v>Male</v>
      </c>
      <c r="F552" s="13" t="str">
        <f aca="false">PROPER(TRIM(SUBSTITUTE(Raw_Data!F552,"'","")))</f>
        <v>Bachelors</v>
      </c>
      <c r="G552" s="13" t="str">
        <f aca="false">PROPER(TRIM(Raw_Data!G552))</f>
        <v>Engineering</v>
      </c>
      <c r="H552" s="13" t="str">
        <f aca="false">PROPER(TRIM(Raw_Data!H552))</f>
        <v>Associate</v>
      </c>
      <c r="I552" s="13" t="n">
        <f aca="false">IF(Raw_Data!I552="",DefaultPerf,Raw_Data!I552)</f>
        <v>3</v>
      </c>
      <c r="J552" s="13" t="n">
        <f aca="false">IF(Raw_Data!J552="",DefaultSat,Raw_Data!J552)</f>
        <v>2</v>
      </c>
      <c r="K552" s="15" t="n">
        <f aca="false">Raw_Data!K552</f>
        <v>45000</v>
      </c>
      <c r="L552" s="13" t="str">
        <f aca="false">PROPER(TRIM(Raw_Data!N552))</f>
        <v>No</v>
      </c>
      <c r="M552" s="13" t="n">
        <f aca="false">IF(C552="",0,1)</f>
        <v>1</v>
      </c>
      <c r="N552" s="13" t="str">
        <f aca="false">IF(M552=0,"Active",IF(TRIM(Raw_Data!L552)="","Unknown",PROPER(TRIM(Raw_Data!L552))))</f>
        <v>Involuntary</v>
      </c>
      <c r="O552" s="13" t="str">
        <f aca="false">IF(M552=0,"",IF(TRIM(Raw_Data!M552)="","Not Recorded",TRIM(Raw_Data!M552)))</f>
        <v>End of Contract</v>
      </c>
      <c r="P552" s="16" t="n">
        <f aca="false">ROUND((IF(C552="",AsOfDate,C552)-B552)/365.25,2)</f>
        <v>8.33</v>
      </c>
      <c r="Q552" s="13" t="str">
        <f aca="false">IF(D552="","Unknown",IF(D552&lt;25,"Under 25",IF(D552&lt;35,"25-34",IF(D552&lt;45,"35-44",IF(D552&lt;55,"45-54","55+")))))</f>
        <v>35-44</v>
      </c>
      <c r="R552" s="13" t="str">
        <f aca="false">IF(P552&lt;1,"0-1 yrs",IF(P552&lt;3,"1-3 yrs",IF(P552&lt;5,"3-5 yrs",IF(P552&lt;10,"5-10 yrs","10+ yrs"))))</f>
        <v>5-10 yrs</v>
      </c>
      <c r="S552" s="13" t="str">
        <f aca="false">IF(I552&gt;=4,"High",IF(I552=3,"Medium","Low"))</f>
        <v>Medium</v>
      </c>
      <c r="T552" s="13" t="n">
        <f aca="false">IF(M552=1,YEAR(C552),"")</f>
        <v>2025</v>
      </c>
      <c r="U552" s="13" t="str">
        <f aca="false">IF(M552=1,YEAR(C552)&amp;"-Q"&amp;ROUNDUP(MONTH(C552)/3,0),"")</f>
        <v>2025-Q2</v>
      </c>
      <c r="V552" s="13" t="n">
        <f aca="false">IF(M552=1,MONTH(C552),"")</f>
        <v>6</v>
      </c>
    </row>
    <row r="553" customFormat="false" ht="15" hidden="false" customHeight="false" outlineLevel="0" collapsed="false">
      <c r="A553" s="13" t="str">
        <f aca="false">TRIM(Raw_Data!A553)</f>
        <v>EMP0552</v>
      </c>
      <c r="B553" s="14" t="n">
        <f aca="false">Raw_Data!B553</f>
        <v>42792</v>
      </c>
      <c r="C553" s="14" t="str">
        <f aca="false">IF(Raw_Data!C553="","",Raw_Data!C553)</f>
        <v/>
      </c>
      <c r="D553" s="13" t="n">
        <f aca="false">IF(Raw_Data!D553="","",Raw_Data!D553)</f>
        <v>30</v>
      </c>
      <c r="E553" s="13" t="str">
        <f aca="false">IF(UPPER(LEFT(TRIM(Raw_Data!E553),1))="M","Male",IF(UPPER(LEFT(TRIM(Raw_Data!E553),1))="F","Female","Unknown"))</f>
        <v>Female</v>
      </c>
      <c r="F553" s="13" t="str">
        <f aca="false">PROPER(TRIM(SUBSTITUTE(Raw_Data!F553,"'","")))</f>
        <v>Masters</v>
      </c>
      <c r="G553" s="13" t="str">
        <f aca="false">PROPER(TRIM(Raw_Data!G553))</f>
        <v>Engineering</v>
      </c>
      <c r="H553" s="13" t="str">
        <f aca="false">PROPER(TRIM(Raw_Data!H553))</f>
        <v>Team Lead</v>
      </c>
      <c r="I553" s="13" t="n">
        <f aca="false">IF(Raw_Data!I553="",DefaultPerf,Raw_Data!I553)</f>
        <v>4</v>
      </c>
      <c r="J553" s="13" t="n">
        <f aca="false">IF(Raw_Data!J553="",DefaultSat,Raw_Data!J553)</f>
        <v>3</v>
      </c>
      <c r="K553" s="15" t="n">
        <f aca="false">Raw_Data!K553</f>
        <v>153500</v>
      </c>
      <c r="L553" s="13" t="str">
        <f aca="false">PROPER(TRIM(Raw_Data!N553))</f>
        <v>Yes</v>
      </c>
      <c r="M553" s="13" t="n">
        <f aca="false">IF(C553="",0,1)</f>
        <v>0</v>
      </c>
      <c r="N553" s="13" t="str">
        <f aca="false">IF(M553=0,"Active",IF(TRIM(Raw_Data!L553)="","Unknown",PROPER(TRIM(Raw_Data!L553))))</f>
        <v>Active</v>
      </c>
      <c r="O553" s="13" t="str">
        <f aca="false">IF(M553=0,"",IF(TRIM(Raw_Data!M553)="","Not Recorded",TRIM(Raw_Data!M553)))</f>
        <v/>
      </c>
      <c r="P553" s="16" t="n">
        <f aca="false">ROUND((IF(C553="",AsOfDate,C553)-B553)/365.25,2)</f>
        <v>8.84</v>
      </c>
      <c r="Q553" s="13" t="str">
        <f aca="false">IF(D553="","Unknown",IF(D553&lt;25,"Under 25",IF(D553&lt;35,"25-34",IF(D553&lt;45,"35-44",IF(D553&lt;55,"45-54","55+")))))</f>
        <v>25-34</v>
      </c>
      <c r="R553" s="13" t="str">
        <f aca="false">IF(P553&lt;1,"0-1 yrs",IF(P553&lt;3,"1-3 yrs",IF(P553&lt;5,"3-5 yrs",IF(P553&lt;10,"5-10 yrs","10+ yrs"))))</f>
        <v>5-10 yrs</v>
      </c>
      <c r="S553" s="13" t="str">
        <f aca="false">IF(I553&gt;=4,"High",IF(I553=3,"Medium","Low"))</f>
        <v>High</v>
      </c>
      <c r="T553" s="13" t="str">
        <f aca="false">IF(M553=1,YEAR(C553),"")</f>
        <v/>
      </c>
      <c r="U553" s="13" t="str">
        <f aca="false">IF(M553=1,YEAR(C553)&amp;"-Q"&amp;ROUNDUP(MONTH(C553)/3,0),"")</f>
        <v/>
      </c>
      <c r="V553" s="13" t="str">
        <f aca="false">IF(M553=1,MONTH(C553),"")</f>
        <v/>
      </c>
    </row>
    <row r="554" customFormat="false" ht="15" hidden="false" customHeight="false" outlineLevel="0" collapsed="false">
      <c r="A554" s="13" t="str">
        <f aca="false">TRIM(Raw_Data!A554)</f>
        <v>EMP0553</v>
      </c>
      <c r="B554" s="14" t="n">
        <f aca="false">Raw_Data!B554</f>
        <v>42794</v>
      </c>
      <c r="C554" s="14" t="str">
        <f aca="false">IF(Raw_Data!C554="","",Raw_Data!C554)</f>
        <v/>
      </c>
      <c r="D554" s="13" t="n">
        <f aca="false">IF(Raw_Data!D554="","",Raw_Data!D554)</f>
        <v>37</v>
      </c>
      <c r="E554" s="13" t="str">
        <f aca="false">IF(UPPER(LEFT(TRIM(Raw_Data!E554),1))="M","Male",IF(UPPER(LEFT(TRIM(Raw_Data!E554),1))="F","Female","Unknown"))</f>
        <v>Male</v>
      </c>
      <c r="F554" s="13" t="str">
        <f aca="false">PROPER(TRIM(SUBSTITUTE(Raw_Data!F554,"'","")))</f>
        <v>Masters</v>
      </c>
      <c r="G554" s="13" t="str">
        <f aca="false">PROPER(TRIM(Raw_Data!G554))</f>
        <v>Customer Support</v>
      </c>
      <c r="H554" s="13" t="str">
        <f aca="false">PROPER(TRIM(Raw_Data!H554))</f>
        <v>Manager</v>
      </c>
      <c r="I554" s="13" t="n">
        <f aca="false">IF(Raw_Data!I554="",DefaultPerf,Raw_Data!I554)</f>
        <v>2</v>
      </c>
      <c r="J554" s="13" t="n">
        <f aca="false">IF(Raw_Data!J554="",DefaultSat,Raw_Data!J554)</f>
        <v>3</v>
      </c>
      <c r="K554" s="15" t="n">
        <f aca="false">Raw_Data!K554</f>
        <v>207000</v>
      </c>
      <c r="L554" s="13" t="str">
        <f aca="false">PROPER(TRIM(Raw_Data!N554))</f>
        <v>No</v>
      </c>
      <c r="M554" s="13" t="n">
        <f aca="false">IF(C554="",0,1)</f>
        <v>0</v>
      </c>
      <c r="N554" s="13" t="str">
        <f aca="false">IF(M554=0,"Active",IF(TRIM(Raw_Data!L554)="","Unknown",PROPER(TRIM(Raw_Data!L554))))</f>
        <v>Active</v>
      </c>
      <c r="O554" s="13" t="str">
        <f aca="false">IF(M554=0,"",IF(TRIM(Raw_Data!M554)="","Not Recorded",TRIM(Raw_Data!M554)))</f>
        <v/>
      </c>
      <c r="P554" s="16" t="n">
        <f aca="false">ROUND((IF(C554="",AsOfDate,C554)-B554)/365.25,2)</f>
        <v>8.84</v>
      </c>
      <c r="Q554" s="13" t="str">
        <f aca="false">IF(D554="","Unknown",IF(D554&lt;25,"Under 25",IF(D554&lt;35,"25-34",IF(D554&lt;45,"35-44",IF(D554&lt;55,"45-54","55+")))))</f>
        <v>35-44</v>
      </c>
      <c r="R554" s="13" t="str">
        <f aca="false">IF(P554&lt;1,"0-1 yrs",IF(P554&lt;3,"1-3 yrs",IF(P554&lt;5,"3-5 yrs",IF(P554&lt;10,"5-10 yrs","10+ yrs"))))</f>
        <v>5-10 yrs</v>
      </c>
      <c r="S554" s="13" t="str">
        <f aca="false">IF(I554&gt;=4,"High",IF(I554=3,"Medium","Low"))</f>
        <v>Low</v>
      </c>
      <c r="T554" s="13" t="str">
        <f aca="false">IF(M554=1,YEAR(C554),"")</f>
        <v/>
      </c>
      <c r="U554" s="13" t="str">
        <f aca="false">IF(M554=1,YEAR(C554)&amp;"-Q"&amp;ROUNDUP(MONTH(C554)/3,0),"")</f>
        <v/>
      </c>
      <c r="V554" s="13" t="str">
        <f aca="false">IF(M554=1,MONTH(C554),"")</f>
        <v/>
      </c>
    </row>
    <row r="555" customFormat="false" ht="15" hidden="false" customHeight="false" outlineLevel="0" collapsed="false">
      <c r="A555" s="13" t="str">
        <f aca="false">TRIM(Raw_Data!A555)</f>
        <v>EMP0554</v>
      </c>
      <c r="B555" s="14" t="n">
        <f aca="false">Raw_Data!B555</f>
        <v>42795</v>
      </c>
      <c r="C555" s="14" t="n">
        <f aca="false">IF(Raw_Data!C555="","",Raw_Data!C555)</f>
        <v>45117</v>
      </c>
      <c r="D555" s="13" t="n">
        <f aca="false">IF(Raw_Data!D555="","",Raw_Data!D555)</f>
        <v>40</v>
      </c>
      <c r="E555" s="13" t="str">
        <f aca="false">IF(UPPER(LEFT(TRIM(Raw_Data!E555),1))="M","Male",IF(UPPER(LEFT(TRIM(Raw_Data!E555),1))="F","Female","Unknown"))</f>
        <v>Female</v>
      </c>
      <c r="F555" s="13" t="str">
        <f aca="false">PROPER(TRIM(SUBSTITUTE(Raw_Data!F555,"'","")))</f>
        <v>Bachelors</v>
      </c>
      <c r="G555" s="13" t="str">
        <f aca="false">PROPER(TRIM(Raw_Data!G555))</f>
        <v>Sales</v>
      </c>
      <c r="H555" s="13" t="str">
        <f aca="false">PROPER(TRIM(Raw_Data!H555))</f>
        <v>Senior Analyst</v>
      </c>
      <c r="I555" s="13" t="n">
        <f aca="false">IF(Raw_Data!I555="",DefaultPerf,Raw_Data!I555)</f>
        <v>4</v>
      </c>
      <c r="J555" s="13" t="n">
        <f aca="false">IF(Raw_Data!J555="",DefaultSat,Raw_Data!J555)</f>
        <v>2</v>
      </c>
      <c r="K555" s="15" t="n">
        <f aca="false">Raw_Data!K555</f>
        <v>111500</v>
      </c>
      <c r="L555" s="13" t="str">
        <f aca="false">PROPER(TRIM(Raw_Data!N555))</f>
        <v>Yes</v>
      </c>
      <c r="M555" s="13" t="n">
        <f aca="false">IF(C555="",0,1)</f>
        <v>1</v>
      </c>
      <c r="N555" s="13" t="str">
        <f aca="false">IF(M555=0,"Active",IF(TRIM(Raw_Data!L555)="","Unknown",PROPER(TRIM(Raw_Data!L555))))</f>
        <v>Involuntary</v>
      </c>
      <c r="O555" s="13" t="str">
        <f aca="false">IF(M555=0,"",IF(TRIM(Raw_Data!M555)="","Not Recorded",TRIM(Raw_Data!M555)))</f>
        <v>Poor Performance</v>
      </c>
      <c r="P555" s="16" t="n">
        <f aca="false">ROUND((IF(C555="",AsOfDate,C555)-B555)/365.25,2)</f>
        <v>6.36</v>
      </c>
      <c r="Q555" s="13" t="str">
        <f aca="false">IF(D555="","Unknown",IF(D555&lt;25,"Under 25",IF(D555&lt;35,"25-34",IF(D555&lt;45,"35-44",IF(D555&lt;55,"45-54","55+")))))</f>
        <v>35-44</v>
      </c>
      <c r="R555" s="13" t="str">
        <f aca="false">IF(P555&lt;1,"0-1 yrs",IF(P555&lt;3,"1-3 yrs",IF(P555&lt;5,"3-5 yrs",IF(P555&lt;10,"5-10 yrs","10+ yrs"))))</f>
        <v>5-10 yrs</v>
      </c>
      <c r="S555" s="13" t="str">
        <f aca="false">IF(I555&gt;=4,"High",IF(I555=3,"Medium","Low"))</f>
        <v>High</v>
      </c>
      <c r="T555" s="13" t="n">
        <f aca="false">IF(M555=1,YEAR(C555),"")</f>
        <v>2023</v>
      </c>
      <c r="U555" s="13" t="str">
        <f aca="false">IF(M555=1,YEAR(C555)&amp;"-Q"&amp;ROUNDUP(MONTH(C555)/3,0),"")</f>
        <v>2023-Q3</v>
      </c>
      <c r="V555" s="13" t="n">
        <f aca="false">IF(M555=1,MONTH(C555),"")</f>
        <v>7</v>
      </c>
    </row>
    <row r="556" customFormat="false" ht="15" hidden="false" customHeight="false" outlineLevel="0" collapsed="false">
      <c r="A556" s="13" t="str">
        <f aca="false">TRIM(Raw_Data!A556)</f>
        <v>EMP0555</v>
      </c>
      <c r="B556" s="14" t="n">
        <f aca="false">Raw_Data!B556</f>
        <v>42795</v>
      </c>
      <c r="C556" s="14" t="str">
        <f aca="false">IF(Raw_Data!C556="","",Raw_Data!C556)</f>
        <v/>
      </c>
      <c r="D556" s="13" t="n">
        <f aca="false">IF(Raw_Data!D556="","",Raw_Data!D556)</f>
        <v>35</v>
      </c>
      <c r="E556" s="13" t="str">
        <f aca="false">IF(UPPER(LEFT(TRIM(Raw_Data!E556),1))="M","Male",IF(UPPER(LEFT(TRIM(Raw_Data!E556),1))="F","Female","Unknown"))</f>
        <v>Male</v>
      </c>
      <c r="F556" s="13" t="str">
        <f aca="false">PROPER(TRIM(SUBSTITUTE(Raw_Data!F556,"'","")))</f>
        <v>Bachelors</v>
      </c>
      <c r="G556" s="13" t="str">
        <f aca="false">PROPER(TRIM(Raw_Data!G556))</f>
        <v>Operations</v>
      </c>
      <c r="H556" s="13" t="str">
        <f aca="false">PROPER(TRIM(Raw_Data!H556))</f>
        <v>Associate</v>
      </c>
      <c r="I556" s="13" t="n">
        <f aca="false">IF(Raw_Data!I556="",DefaultPerf,Raw_Data!I556)</f>
        <v>4</v>
      </c>
      <c r="J556" s="13" t="n">
        <f aca="false">IF(Raw_Data!J556="",DefaultSat,Raw_Data!J556)</f>
        <v>2</v>
      </c>
      <c r="K556" s="15" t="n">
        <f aca="false">Raw_Data!K556</f>
        <v>38500</v>
      </c>
      <c r="L556" s="13" t="str">
        <f aca="false">PROPER(TRIM(Raw_Data!N556))</f>
        <v>No</v>
      </c>
      <c r="M556" s="13" t="n">
        <f aca="false">IF(C556="",0,1)</f>
        <v>0</v>
      </c>
      <c r="N556" s="13" t="str">
        <f aca="false">IF(M556=0,"Active",IF(TRIM(Raw_Data!L556)="","Unknown",PROPER(TRIM(Raw_Data!L556))))</f>
        <v>Active</v>
      </c>
      <c r="O556" s="13" t="str">
        <f aca="false">IF(M556=0,"",IF(TRIM(Raw_Data!M556)="","Not Recorded",TRIM(Raw_Data!M556)))</f>
        <v/>
      </c>
      <c r="P556" s="16" t="n">
        <f aca="false">ROUND((IF(C556="",AsOfDate,C556)-B556)/365.25,2)</f>
        <v>8.84</v>
      </c>
      <c r="Q556" s="13" t="str">
        <f aca="false">IF(D556="","Unknown",IF(D556&lt;25,"Under 25",IF(D556&lt;35,"25-34",IF(D556&lt;45,"35-44",IF(D556&lt;55,"45-54","55+")))))</f>
        <v>35-44</v>
      </c>
      <c r="R556" s="13" t="str">
        <f aca="false">IF(P556&lt;1,"0-1 yrs",IF(P556&lt;3,"1-3 yrs",IF(P556&lt;5,"3-5 yrs",IF(P556&lt;10,"5-10 yrs","10+ yrs"))))</f>
        <v>5-10 yrs</v>
      </c>
      <c r="S556" s="13" t="str">
        <f aca="false">IF(I556&gt;=4,"High",IF(I556=3,"Medium","Low"))</f>
        <v>High</v>
      </c>
      <c r="T556" s="13" t="str">
        <f aca="false">IF(M556=1,YEAR(C556),"")</f>
        <v/>
      </c>
      <c r="U556" s="13" t="str">
        <f aca="false">IF(M556=1,YEAR(C556)&amp;"-Q"&amp;ROUNDUP(MONTH(C556)/3,0),"")</f>
        <v/>
      </c>
      <c r="V556" s="13" t="str">
        <f aca="false">IF(M556=1,MONTH(C556),"")</f>
        <v/>
      </c>
    </row>
    <row r="557" customFormat="false" ht="15" hidden="false" customHeight="false" outlineLevel="0" collapsed="false">
      <c r="A557" s="13" t="str">
        <f aca="false">TRIM(Raw_Data!A557)</f>
        <v>EMP0556</v>
      </c>
      <c r="B557" s="14" t="n">
        <f aca="false">Raw_Data!B557</f>
        <v>42800</v>
      </c>
      <c r="C557" s="14" t="str">
        <f aca="false">IF(Raw_Data!C557="","",Raw_Data!C557)</f>
        <v/>
      </c>
      <c r="D557" s="13" t="n">
        <f aca="false">IF(Raw_Data!D557="","",Raw_Data!D557)</f>
        <v>34</v>
      </c>
      <c r="E557" s="13" t="str">
        <f aca="false">IF(UPPER(LEFT(TRIM(Raw_Data!E557),1))="M","Male",IF(UPPER(LEFT(TRIM(Raw_Data!E557),1))="F","Female","Unknown"))</f>
        <v>Male</v>
      </c>
      <c r="F557" s="13" t="str">
        <f aca="false">PROPER(TRIM(SUBSTITUTE(Raw_Data!F557,"'","")))</f>
        <v>Bachelors</v>
      </c>
      <c r="G557" s="13" t="str">
        <f aca="false">PROPER(TRIM(Raw_Data!G557))</f>
        <v>Human Resources</v>
      </c>
      <c r="H557" s="13" t="str">
        <f aca="false">PROPER(TRIM(Raw_Data!H557))</f>
        <v>Senior Analyst</v>
      </c>
      <c r="I557" s="13" t="n">
        <f aca="false">IF(Raw_Data!I557="",DefaultPerf,Raw_Data!I557)</f>
        <v>4</v>
      </c>
      <c r="J557" s="17" t="n">
        <f aca="false">IF(Raw_Data!J557="",DefaultSat,Raw_Data!J557)</f>
        <v>3</v>
      </c>
      <c r="K557" s="15" t="n">
        <f aca="false">Raw_Data!K557</f>
        <v>109500</v>
      </c>
      <c r="L557" s="13" t="str">
        <f aca="false">PROPER(TRIM(Raw_Data!N557))</f>
        <v>No</v>
      </c>
      <c r="M557" s="13" t="n">
        <f aca="false">IF(C557="",0,1)</f>
        <v>0</v>
      </c>
      <c r="N557" s="13" t="str">
        <f aca="false">IF(M557=0,"Active",IF(TRIM(Raw_Data!L557)="","Unknown",PROPER(TRIM(Raw_Data!L557))))</f>
        <v>Active</v>
      </c>
      <c r="O557" s="13" t="str">
        <f aca="false">IF(M557=0,"",IF(TRIM(Raw_Data!M557)="","Not Recorded",TRIM(Raw_Data!M557)))</f>
        <v/>
      </c>
      <c r="P557" s="16" t="n">
        <f aca="false">ROUND((IF(C557="",AsOfDate,C557)-B557)/365.25,2)</f>
        <v>8.82</v>
      </c>
      <c r="Q557" s="13" t="str">
        <f aca="false">IF(D557="","Unknown",IF(D557&lt;25,"Under 25",IF(D557&lt;35,"25-34",IF(D557&lt;45,"35-44",IF(D557&lt;55,"45-54","55+")))))</f>
        <v>25-34</v>
      </c>
      <c r="R557" s="13" t="str">
        <f aca="false">IF(P557&lt;1,"0-1 yrs",IF(P557&lt;3,"1-3 yrs",IF(P557&lt;5,"3-5 yrs",IF(P557&lt;10,"5-10 yrs","10+ yrs"))))</f>
        <v>5-10 yrs</v>
      </c>
      <c r="S557" s="13" t="str">
        <f aca="false">IF(I557&gt;=4,"High",IF(I557=3,"Medium","Low"))</f>
        <v>High</v>
      </c>
      <c r="T557" s="13" t="str">
        <f aca="false">IF(M557=1,YEAR(C557),"")</f>
        <v/>
      </c>
      <c r="U557" s="13" t="str">
        <f aca="false">IF(M557=1,YEAR(C557)&amp;"-Q"&amp;ROUNDUP(MONTH(C557)/3,0),"")</f>
        <v/>
      </c>
      <c r="V557" s="13" t="str">
        <f aca="false">IF(M557=1,MONTH(C557),"")</f>
        <v/>
      </c>
    </row>
    <row r="558" customFormat="false" ht="15" hidden="false" customHeight="false" outlineLevel="0" collapsed="false">
      <c r="A558" s="13" t="str">
        <f aca="false">TRIM(Raw_Data!A558)</f>
        <v>EMP0557</v>
      </c>
      <c r="B558" s="14" t="n">
        <f aca="false">Raw_Data!B558</f>
        <v>42800</v>
      </c>
      <c r="C558" s="14" t="n">
        <f aca="false">IF(Raw_Data!C558="","",Raw_Data!C558)</f>
        <v>45162</v>
      </c>
      <c r="D558" s="13" t="n">
        <f aca="false">IF(Raw_Data!D558="","",Raw_Data!D558)</f>
        <v>35</v>
      </c>
      <c r="E558" s="13" t="str">
        <f aca="false">IF(UPPER(LEFT(TRIM(Raw_Data!E558),1))="M","Male",IF(UPPER(LEFT(TRIM(Raw_Data!E558),1))="F","Female","Unknown"))</f>
        <v>Female</v>
      </c>
      <c r="F558" s="13" t="str">
        <f aca="false">PROPER(TRIM(SUBSTITUTE(Raw_Data!F558,"'","")))</f>
        <v>Bachelors</v>
      </c>
      <c r="G558" s="13" t="str">
        <f aca="false">PROPER(TRIM(Raw_Data!G558))</f>
        <v>Customer Support</v>
      </c>
      <c r="H558" s="13" t="str">
        <f aca="false">PROPER(TRIM(Raw_Data!H558))</f>
        <v>Analyst</v>
      </c>
      <c r="I558" s="13" t="n">
        <f aca="false">IF(Raw_Data!I558="",DefaultPerf,Raw_Data!I558)</f>
        <v>4</v>
      </c>
      <c r="J558" s="13" t="n">
        <f aca="false">IF(Raw_Data!J558="",DefaultSat,Raw_Data!J558)</f>
        <v>3</v>
      </c>
      <c r="K558" s="15" t="n">
        <f aca="false">Raw_Data!K558</f>
        <v>62000</v>
      </c>
      <c r="L558" s="13" t="str">
        <f aca="false">PROPER(TRIM(Raw_Data!N558))</f>
        <v>Yes</v>
      </c>
      <c r="M558" s="13" t="n">
        <f aca="false">IF(C558="",0,1)</f>
        <v>1</v>
      </c>
      <c r="N558" s="13" t="str">
        <f aca="false">IF(M558=0,"Active",IF(TRIM(Raw_Data!L558)="","Unknown",PROPER(TRIM(Raw_Data!L558))))</f>
        <v>Voluntary</v>
      </c>
      <c r="O558" s="13" t="str">
        <f aca="false">IF(M558=0,"",IF(TRIM(Raw_Data!M558)="","Not Recorded",TRIM(Raw_Data!M558)))</f>
        <v>Better Compensation</v>
      </c>
      <c r="P558" s="16" t="n">
        <f aca="false">ROUND((IF(C558="",AsOfDate,C558)-B558)/365.25,2)</f>
        <v>6.47</v>
      </c>
      <c r="Q558" s="13" t="str">
        <f aca="false">IF(D558="","Unknown",IF(D558&lt;25,"Under 25",IF(D558&lt;35,"25-34",IF(D558&lt;45,"35-44",IF(D558&lt;55,"45-54","55+")))))</f>
        <v>35-44</v>
      </c>
      <c r="R558" s="13" t="str">
        <f aca="false">IF(P558&lt;1,"0-1 yrs",IF(P558&lt;3,"1-3 yrs",IF(P558&lt;5,"3-5 yrs",IF(P558&lt;10,"5-10 yrs","10+ yrs"))))</f>
        <v>5-10 yrs</v>
      </c>
      <c r="S558" s="13" t="str">
        <f aca="false">IF(I558&gt;=4,"High",IF(I558=3,"Medium","Low"))</f>
        <v>High</v>
      </c>
      <c r="T558" s="13" t="n">
        <f aca="false">IF(M558=1,YEAR(C558),"")</f>
        <v>2023</v>
      </c>
      <c r="U558" s="13" t="str">
        <f aca="false">IF(M558=1,YEAR(C558)&amp;"-Q"&amp;ROUNDUP(MONTH(C558)/3,0),"")</f>
        <v>2023-Q3</v>
      </c>
      <c r="V558" s="13" t="n">
        <f aca="false">IF(M558=1,MONTH(C558),"")</f>
        <v>8</v>
      </c>
    </row>
    <row r="559" customFormat="false" ht="15" hidden="false" customHeight="false" outlineLevel="0" collapsed="false">
      <c r="A559" s="13" t="str">
        <f aca="false">TRIM(Raw_Data!A559)</f>
        <v>EMP0558</v>
      </c>
      <c r="B559" s="14" t="n">
        <f aca="false">Raw_Data!B559</f>
        <v>42806</v>
      </c>
      <c r="C559" s="14" t="str">
        <f aca="false">IF(Raw_Data!C559="","",Raw_Data!C559)</f>
        <v/>
      </c>
      <c r="D559" s="13" t="n">
        <f aca="false">IF(Raw_Data!D559="","",Raw_Data!D559)</f>
        <v>43</v>
      </c>
      <c r="E559" s="13" t="str">
        <f aca="false">IF(UPPER(LEFT(TRIM(Raw_Data!E559),1))="M","Male",IF(UPPER(LEFT(TRIM(Raw_Data!E559),1))="F","Female","Unknown"))</f>
        <v>Male</v>
      </c>
      <c r="F559" s="13" t="str">
        <f aca="false">PROPER(TRIM(SUBSTITUTE(Raw_Data!F559,"'","")))</f>
        <v>Masters</v>
      </c>
      <c r="G559" s="13" t="str">
        <f aca="false">PROPER(TRIM(Raw_Data!G559))</f>
        <v>Engineering</v>
      </c>
      <c r="H559" s="13" t="str">
        <f aca="false">PROPER(TRIM(Raw_Data!H559))</f>
        <v>Associate</v>
      </c>
      <c r="I559" s="13" t="n">
        <f aca="false">IF(Raw_Data!I559="",DefaultPerf,Raw_Data!I559)</f>
        <v>4</v>
      </c>
      <c r="J559" s="13" t="n">
        <f aca="false">IF(Raw_Data!J559="",DefaultSat,Raw_Data!J559)</f>
        <v>3</v>
      </c>
      <c r="K559" s="15" t="n">
        <f aca="false">Raw_Data!K559</f>
        <v>49000</v>
      </c>
      <c r="L559" s="13" t="str">
        <f aca="false">PROPER(TRIM(Raw_Data!N559))</f>
        <v>Yes</v>
      </c>
      <c r="M559" s="13" t="n">
        <f aca="false">IF(C559="",0,1)</f>
        <v>0</v>
      </c>
      <c r="N559" s="13" t="str">
        <f aca="false">IF(M559=0,"Active",IF(TRIM(Raw_Data!L559)="","Unknown",PROPER(TRIM(Raw_Data!L559))))</f>
        <v>Active</v>
      </c>
      <c r="O559" s="13" t="str">
        <f aca="false">IF(M559=0,"",IF(TRIM(Raw_Data!M559)="","Not Recorded",TRIM(Raw_Data!M559)))</f>
        <v/>
      </c>
      <c r="P559" s="16" t="n">
        <f aca="false">ROUND((IF(C559="",AsOfDate,C559)-B559)/365.25,2)</f>
        <v>8.8</v>
      </c>
      <c r="Q559" s="13" t="str">
        <f aca="false">IF(D559="","Unknown",IF(D559&lt;25,"Under 25",IF(D559&lt;35,"25-34",IF(D559&lt;45,"35-44",IF(D559&lt;55,"45-54","55+")))))</f>
        <v>35-44</v>
      </c>
      <c r="R559" s="13" t="str">
        <f aca="false">IF(P559&lt;1,"0-1 yrs",IF(P559&lt;3,"1-3 yrs",IF(P559&lt;5,"3-5 yrs",IF(P559&lt;10,"5-10 yrs","10+ yrs"))))</f>
        <v>5-10 yrs</v>
      </c>
      <c r="S559" s="13" t="str">
        <f aca="false">IF(I559&gt;=4,"High",IF(I559=3,"Medium","Low"))</f>
        <v>High</v>
      </c>
      <c r="T559" s="13" t="str">
        <f aca="false">IF(M559=1,YEAR(C559),"")</f>
        <v/>
      </c>
      <c r="U559" s="13" t="str">
        <f aca="false">IF(M559=1,YEAR(C559)&amp;"-Q"&amp;ROUNDUP(MONTH(C559)/3,0),"")</f>
        <v/>
      </c>
      <c r="V559" s="13" t="str">
        <f aca="false">IF(M559=1,MONTH(C559),"")</f>
        <v/>
      </c>
    </row>
    <row r="560" customFormat="false" ht="15" hidden="false" customHeight="false" outlineLevel="0" collapsed="false">
      <c r="A560" s="13" t="str">
        <f aca="false">TRIM(Raw_Data!A560)</f>
        <v>EMP0559</v>
      </c>
      <c r="B560" s="14" t="n">
        <f aca="false">Raw_Data!B560</f>
        <v>42807</v>
      </c>
      <c r="C560" s="14" t="n">
        <f aca="false">IF(Raw_Data!C560="","",Raw_Data!C560)</f>
        <v>44712</v>
      </c>
      <c r="D560" s="13" t="n">
        <f aca="false">IF(Raw_Data!D560="","",Raw_Data!D560)</f>
        <v>38</v>
      </c>
      <c r="E560" s="13" t="str">
        <f aca="false">IF(UPPER(LEFT(TRIM(Raw_Data!E560),1))="M","Male",IF(UPPER(LEFT(TRIM(Raw_Data!E560),1))="F","Female","Unknown"))</f>
        <v>Male</v>
      </c>
      <c r="F560" s="13" t="str">
        <f aca="false">PROPER(TRIM(SUBSTITUTE(Raw_Data!F560,"'","")))</f>
        <v>Bachelors</v>
      </c>
      <c r="G560" s="13" t="str">
        <f aca="false">PROPER(TRIM(Raw_Data!G560))</f>
        <v>Operations</v>
      </c>
      <c r="H560" s="13" t="str">
        <f aca="false">PROPER(TRIM(Raw_Data!H560))</f>
        <v>Specialist</v>
      </c>
      <c r="I560" s="13" t="n">
        <f aca="false">IF(Raw_Data!I560="",DefaultPerf,Raw_Data!I560)</f>
        <v>3</v>
      </c>
      <c r="J560" s="13" t="n">
        <f aca="false">IF(Raw_Data!J560="",DefaultSat,Raw_Data!J560)</f>
        <v>3</v>
      </c>
      <c r="K560" s="15" t="n">
        <f aca="false">Raw_Data!K560</f>
        <v>140000</v>
      </c>
      <c r="L560" s="13" t="str">
        <f aca="false">PROPER(TRIM(Raw_Data!N560))</f>
        <v>No</v>
      </c>
      <c r="M560" s="13" t="n">
        <f aca="false">IF(C560="",0,1)</f>
        <v>1</v>
      </c>
      <c r="N560" s="13" t="str">
        <f aca="false">IF(M560=0,"Active",IF(TRIM(Raw_Data!L560)="","Unknown",PROPER(TRIM(Raw_Data!L560))))</f>
        <v>Voluntary</v>
      </c>
      <c r="O560" s="13" t="str">
        <f aca="false">IF(M560=0,"",IF(TRIM(Raw_Data!M560)="","Not Recorded",TRIM(Raw_Data!M560)))</f>
        <v>Relocation</v>
      </c>
      <c r="P560" s="16" t="n">
        <f aca="false">ROUND((IF(C560="",AsOfDate,C560)-B560)/365.25,2)</f>
        <v>5.22</v>
      </c>
      <c r="Q560" s="13" t="str">
        <f aca="false">IF(D560="","Unknown",IF(D560&lt;25,"Under 25",IF(D560&lt;35,"25-34",IF(D560&lt;45,"35-44",IF(D560&lt;55,"45-54","55+")))))</f>
        <v>35-44</v>
      </c>
      <c r="R560" s="13" t="str">
        <f aca="false">IF(P560&lt;1,"0-1 yrs",IF(P560&lt;3,"1-3 yrs",IF(P560&lt;5,"3-5 yrs",IF(P560&lt;10,"5-10 yrs","10+ yrs"))))</f>
        <v>5-10 yrs</v>
      </c>
      <c r="S560" s="13" t="str">
        <f aca="false">IF(I560&gt;=4,"High",IF(I560=3,"Medium","Low"))</f>
        <v>Medium</v>
      </c>
      <c r="T560" s="13" t="n">
        <f aca="false">IF(M560=1,YEAR(C560),"")</f>
        <v>2022</v>
      </c>
      <c r="U560" s="13" t="str">
        <f aca="false">IF(M560=1,YEAR(C560)&amp;"-Q"&amp;ROUNDUP(MONTH(C560)/3,0),"")</f>
        <v>2022-Q2</v>
      </c>
      <c r="V560" s="13" t="n">
        <f aca="false">IF(M560=1,MONTH(C560),"")</f>
        <v>5</v>
      </c>
    </row>
    <row r="561" customFormat="false" ht="15" hidden="false" customHeight="false" outlineLevel="0" collapsed="false">
      <c r="A561" s="13" t="str">
        <f aca="false">TRIM(Raw_Data!A561)</f>
        <v>EMP0560</v>
      </c>
      <c r="B561" s="14" t="n">
        <f aca="false">Raw_Data!B561</f>
        <v>42808</v>
      </c>
      <c r="C561" s="14" t="str">
        <f aca="false">IF(Raw_Data!C561="","",Raw_Data!C561)</f>
        <v/>
      </c>
      <c r="D561" s="13" t="n">
        <f aca="false">IF(Raw_Data!D561="","",Raw_Data!D561)</f>
        <v>40</v>
      </c>
      <c r="E561" s="13" t="str">
        <f aca="false">IF(UPPER(LEFT(TRIM(Raw_Data!E561),1))="M","Male",IF(UPPER(LEFT(TRIM(Raw_Data!E561),1))="F","Female","Unknown"))</f>
        <v>Male</v>
      </c>
      <c r="F561" s="13" t="str">
        <f aca="false">PROPER(TRIM(SUBSTITUTE(Raw_Data!F561,"'","")))</f>
        <v>Bachelors</v>
      </c>
      <c r="G561" s="13" t="str">
        <f aca="false">PROPER(TRIM(Raw_Data!G561))</f>
        <v>Finance</v>
      </c>
      <c r="H561" s="13" t="str">
        <f aca="false">PROPER(TRIM(Raw_Data!H561))</f>
        <v>Team Lead</v>
      </c>
      <c r="I561" s="13" t="n">
        <f aca="false">IF(Raw_Data!I561="",DefaultPerf,Raw_Data!I561)</f>
        <v>2</v>
      </c>
      <c r="J561" s="13" t="n">
        <f aca="false">IF(Raw_Data!J561="",DefaultSat,Raw_Data!J561)</f>
        <v>3</v>
      </c>
      <c r="K561" s="15" t="n">
        <f aca="false">Raw_Data!K561</f>
        <v>142000</v>
      </c>
      <c r="L561" s="13" t="str">
        <f aca="false">PROPER(TRIM(Raw_Data!N561))</f>
        <v>No</v>
      </c>
      <c r="M561" s="13" t="n">
        <f aca="false">IF(C561="",0,1)</f>
        <v>0</v>
      </c>
      <c r="N561" s="13" t="str">
        <f aca="false">IF(M561=0,"Active",IF(TRIM(Raw_Data!L561)="","Unknown",PROPER(TRIM(Raw_Data!L561))))</f>
        <v>Active</v>
      </c>
      <c r="O561" s="13" t="str">
        <f aca="false">IF(M561=0,"",IF(TRIM(Raw_Data!M561)="","Not Recorded",TRIM(Raw_Data!M561)))</f>
        <v/>
      </c>
      <c r="P561" s="16" t="n">
        <f aca="false">ROUND((IF(C561="",AsOfDate,C561)-B561)/365.25,2)</f>
        <v>8.8</v>
      </c>
      <c r="Q561" s="13" t="str">
        <f aca="false">IF(D561="","Unknown",IF(D561&lt;25,"Under 25",IF(D561&lt;35,"25-34",IF(D561&lt;45,"35-44",IF(D561&lt;55,"45-54","55+")))))</f>
        <v>35-44</v>
      </c>
      <c r="R561" s="13" t="str">
        <f aca="false">IF(P561&lt;1,"0-1 yrs",IF(P561&lt;3,"1-3 yrs",IF(P561&lt;5,"3-5 yrs",IF(P561&lt;10,"5-10 yrs","10+ yrs"))))</f>
        <v>5-10 yrs</v>
      </c>
      <c r="S561" s="13" t="str">
        <f aca="false">IF(I561&gt;=4,"High",IF(I561=3,"Medium","Low"))</f>
        <v>Low</v>
      </c>
      <c r="T561" s="13" t="str">
        <f aca="false">IF(M561=1,YEAR(C561),"")</f>
        <v/>
      </c>
      <c r="U561" s="13" t="str">
        <f aca="false">IF(M561=1,YEAR(C561)&amp;"-Q"&amp;ROUNDUP(MONTH(C561)/3,0),"")</f>
        <v/>
      </c>
      <c r="V561" s="13" t="str">
        <f aca="false">IF(M561=1,MONTH(C561),"")</f>
        <v/>
      </c>
    </row>
    <row r="562" customFormat="false" ht="15" hidden="false" customHeight="false" outlineLevel="0" collapsed="false">
      <c r="A562" s="13" t="str">
        <f aca="false">TRIM(Raw_Data!A562)</f>
        <v>EMP0561</v>
      </c>
      <c r="B562" s="14" t="n">
        <f aca="false">Raw_Data!B562</f>
        <v>42815</v>
      </c>
      <c r="C562" s="14" t="str">
        <f aca="false">IF(Raw_Data!C562="","",Raw_Data!C562)</f>
        <v/>
      </c>
      <c r="D562" s="13" t="n">
        <f aca="false">IF(Raw_Data!D562="","",Raw_Data!D562)</f>
        <v>37</v>
      </c>
      <c r="E562" s="13" t="str">
        <f aca="false">IF(UPPER(LEFT(TRIM(Raw_Data!E562),1))="M","Male",IF(UPPER(LEFT(TRIM(Raw_Data!E562),1))="F","Female","Unknown"))</f>
        <v>Female</v>
      </c>
      <c r="F562" s="13" t="str">
        <f aca="false">PROPER(TRIM(SUBSTITUTE(Raw_Data!F562,"'","")))</f>
        <v>Masters</v>
      </c>
      <c r="G562" s="13" t="str">
        <f aca="false">PROPER(TRIM(Raw_Data!G562))</f>
        <v>Operations</v>
      </c>
      <c r="H562" s="13" t="str">
        <f aca="false">PROPER(TRIM(Raw_Data!H562))</f>
        <v>Senior Analyst</v>
      </c>
      <c r="I562" s="17" t="n">
        <f aca="false">IF(Raw_Data!I562="",DefaultPerf,Raw_Data!I562)</f>
        <v>3</v>
      </c>
      <c r="J562" s="13" t="n">
        <f aca="false">IF(Raw_Data!J562="",DefaultSat,Raw_Data!J562)</f>
        <v>2</v>
      </c>
      <c r="K562" s="15" t="n">
        <f aca="false">Raw_Data!K562</f>
        <v>90500</v>
      </c>
      <c r="L562" s="13" t="str">
        <f aca="false">PROPER(TRIM(Raw_Data!N562))</f>
        <v>No</v>
      </c>
      <c r="M562" s="13" t="n">
        <f aca="false">IF(C562="",0,1)</f>
        <v>0</v>
      </c>
      <c r="N562" s="13" t="str">
        <f aca="false">IF(M562=0,"Active",IF(TRIM(Raw_Data!L562)="","Unknown",PROPER(TRIM(Raw_Data!L562))))</f>
        <v>Active</v>
      </c>
      <c r="O562" s="13" t="str">
        <f aca="false">IF(M562=0,"",IF(TRIM(Raw_Data!M562)="","Not Recorded",TRIM(Raw_Data!M562)))</f>
        <v/>
      </c>
      <c r="P562" s="16" t="n">
        <f aca="false">ROUND((IF(C562="",AsOfDate,C562)-B562)/365.25,2)</f>
        <v>8.78</v>
      </c>
      <c r="Q562" s="13" t="str">
        <f aca="false">IF(D562="","Unknown",IF(D562&lt;25,"Under 25",IF(D562&lt;35,"25-34",IF(D562&lt;45,"35-44",IF(D562&lt;55,"45-54","55+")))))</f>
        <v>35-44</v>
      </c>
      <c r="R562" s="13" t="str">
        <f aca="false">IF(P562&lt;1,"0-1 yrs",IF(P562&lt;3,"1-3 yrs",IF(P562&lt;5,"3-5 yrs",IF(P562&lt;10,"5-10 yrs","10+ yrs"))))</f>
        <v>5-10 yrs</v>
      </c>
      <c r="S562" s="13" t="str">
        <f aca="false">IF(I562&gt;=4,"High",IF(I562=3,"Medium","Low"))</f>
        <v>Medium</v>
      </c>
      <c r="T562" s="13" t="str">
        <f aca="false">IF(M562=1,YEAR(C562),"")</f>
        <v/>
      </c>
      <c r="U562" s="13" t="str">
        <f aca="false">IF(M562=1,YEAR(C562)&amp;"-Q"&amp;ROUNDUP(MONTH(C562)/3,0),"")</f>
        <v/>
      </c>
      <c r="V562" s="13" t="str">
        <f aca="false">IF(M562=1,MONTH(C562),"")</f>
        <v/>
      </c>
    </row>
    <row r="563" customFormat="false" ht="15" hidden="false" customHeight="false" outlineLevel="0" collapsed="false">
      <c r="A563" s="13" t="str">
        <f aca="false">TRIM(Raw_Data!A563)</f>
        <v>EMP0562</v>
      </c>
      <c r="B563" s="14" t="n">
        <f aca="false">Raw_Data!B563</f>
        <v>42817</v>
      </c>
      <c r="C563" s="14" t="str">
        <f aca="false">IF(Raw_Data!C563="","",Raw_Data!C563)</f>
        <v/>
      </c>
      <c r="D563" s="13" t="n">
        <f aca="false">IF(Raw_Data!D563="","",Raw_Data!D563)</f>
        <v>32</v>
      </c>
      <c r="E563" s="13" t="str">
        <f aca="false">IF(UPPER(LEFT(TRIM(Raw_Data!E563),1))="M","Male",IF(UPPER(LEFT(TRIM(Raw_Data!E563),1))="F","Female","Unknown"))</f>
        <v>Female</v>
      </c>
      <c r="F563" s="13" t="str">
        <f aca="false">PROPER(TRIM(SUBSTITUTE(Raw_Data!F563,"'","")))</f>
        <v>Diploma</v>
      </c>
      <c r="G563" s="13" t="str">
        <f aca="false">PROPER(TRIM(Raw_Data!G563))</f>
        <v>Finance</v>
      </c>
      <c r="H563" s="13" t="str">
        <f aca="false">PROPER(TRIM(Raw_Data!H563))</f>
        <v>Senior Analyst</v>
      </c>
      <c r="I563" s="13" t="n">
        <f aca="false">IF(Raw_Data!I563="",DefaultPerf,Raw_Data!I563)</f>
        <v>5</v>
      </c>
      <c r="J563" s="13" t="n">
        <f aca="false">IF(Raw_Data!J563="",DefaultSat,Raw_Data!J563)</f>
        <v>3</v>
      </c>
      <c r="K563" s="15" t="n">
        <f aca="false">Raw_Data!K563</f>
        <v>90500</v>
      </c>
      <c r="L563" s="13" t="str">
        <f aca="false">PROPER(TRIM(Raw_Data!N563))</f>
        <v>No</v>
      </c>
      <c r="M563" s="13" t="n">
        <f aca="false">IF(C563="",0,1)</f>
        <v>0</v>
      </c>
      <c r="N563" s="13" t="str">
        <f aca="false">IF(M563=0,"Active",IF(TRIM(Raw_Data!L563)="","Unknown",PROPER(TRIM(Raw_Data!L563))))</f>
        <v>Active</v>
      </c>
      <c r="O563" s="13" t="str">
        <f aca="false">IF(M563=0,"",IF(TRIM(Raw_Data!M563)="","Not Recorded",TRIM(Raw_Data!M563)))</f>
        <v/>
      </c>
      <c r="P563" s="16" t="n">
        <f aca="false">ROUND((IF(C563="",AsOfDate,C563)-B563)/365.25,2)</f>
        <v>8.77</v>
      </c>
      <c r="Q563" s="13" t="str">
        <f aca="false">IF(D563="","Unknown",IF(D563&lt;25,"Under 25",IF(D563&lt;35,"25-34",IF(D563&lt;45,"35-44",IF(D563&lt;55,"45-54","55+")))))</f>
        <v>25-34</v>
      </c>
      <c r="R563" s="13" t="str">
        <f aca="false">IF(P563&lt;1,"0-1 yrs",IF(P563&lt;3,"1-3 yrs",IF(P563&lt;5,"3-5 yrs",IF(P563&lt;10,"5-10 yrs","10+ yrs"))))</f>
        <v>5-10 yrs</v>
      </c>
      <c r="S563" s="13" t="str">
        <f aca="false">IF(I563&gt;=4,"High",IF(I563=3,"Medium","Low"))</f>
        <v>High</v>
      </c>
      <c r="T563" s="13" t="str">
        <f aca="false">IF(M563=1,YEAR(C563),"")</f>
        <v/>
      </c>
      <c r="U563" s="13" t="str">
        <f aca="false">IF(M563=1,YEAR(C563)&amp;"-Q"&amp;ROUNDUP(MONTH(C563)/3,0),"")</f>
        <v/>
      </c>
      <c r="V563" s="13" t="str">
        <f aca="false">IF(M563=1,MONTH(C563),"")</f>
        <v/>
      </c>
    </row>
    <row r="564" customFormat="false" ht="15" hidden="false" customHeight="false" outlineLevel="0" collapsed="false">
      <c r="A564" s="13" t="str">
        <f aca="false">TRIM(Raw_Data!A564)</f>
        <v>EMP0563</v>
      </c>
      <c r="B564" s="14" t="n">
        <f aca="false">Raw_Data!B564</f>
        <v>42821</v>
      </c>
      <c r="C564" s="14" t="str">
        <f aca="false">IF(Raw_Data!C564="","",Raw_Data!C564)</f>
        <v/>
      </c>
      <c r="D564" s="13" t="n">
        <f aca="false">IF(Raw_Data!D564="","",Raw_Data!D564)</f>
        <v>34</v>
      </c>
      <c r="E564" s="13" t="str">
        <f aca="false">IF(UPPER(LEFT(TRIM(Raw_Data!E564),1))="M","Male",IF(UPPER(LEFT(TRIM(Raw_Data!E564),1))="F","Female","Unknown"))</f>
        <v>Male</v>
      </c>
      <c r="F564" s="13" t="str">
        <f aca="false">PROPER(TRIM(SUBSTITUTE(Raw_Data!F564,"'","")))</f>
        <v>Masters</v>
      </c>
      <c r="G564" s="13" t="str">
        <f aca="false">PROPER(TRIM(Raw_Data!G564))</f>
        <v>Customer Support</v>
      </c>
      <c r="H564" s="13" t="str">
        <f aca="false">PROPER(TRIM(Raw_Data!H564))</f>
        <v>Manager</v>
      </c>
      <c r="I564" s="13" t="n">
        <f aca="false">IF(Raw_Data!I564="",DefaultPerf,Raw_Data!I564)</f>
        <v>2</v>
      </c>
      <c r="J564" s="13" t="n">
        <f aca="false">IF(Raw_Data!J564="",DefaultSat,Raw_Data!J564)</f>
        <v>1</v>
      </c>
      <c r="K564" s="15" t="n">
        <f aca="false">Raw_Data!K564</f>
        <v>203000</v>
      </c>
      <c r="L564" s="13" t="str">
        <f aca="false">PROPER(TRIM(Raw_Data!N564))</f>
        <v>No</v>
      </c>
      <c r="M564" s="13" t="n">
        <f aca="false">IF(C564="",0,1)</f>
        <v>0</v>
      </c>
      <c r="N564" s="13" t="str">
        <f aca="false">IF(M564=0,"Active",IF(TRIM(Raw_Data!L564)="","Unknown",PROPER(TRIM(Raw_Data!L564))))</f>
        <v>Active</v>
      </c>
      <c r="O564" s="13" t="str">
        <f aca="false">IF(M564=0,"",IF(TRIM(Raw_Data!M564)="","Not Recorded",TRIM(Raw_Data!M564)))</f>
        <v/>
      </c>
      <c r="P564" s="16" t="n">
        <f aca="false">ROUND((IF(C564="",AsOfDate,C564)-B564)/365.25,2)</f>
        <v>8.76</v>
      </c>
      <c r="Q564" s="13" t="str">
        <f aca="false">IF(D564="","Unknown",IF(D564&lt;25,"Under 25",IF(D564&lt;35,"25-34",IF(D564&lt;45,"35-44",IF(D564&lt;55,"45-54","55+")))))</f>
        <v>25-34</v>
      </c>
      <c r="R564" s="13" t="str">
        <f aca="false">IF(P564&lt;1,"0-1 yrs",IF(P564&lt;3,"1-3 yrs",IF(P564&lt;5,"3-5 yrs",IF(P564&lt;10,"5-10 yrs","10+ yrs"))))</f>
        <v>5-10 yrs</v>
      </c>
      <c r="S564" s="13" t="str">
        <f aca="false">IF(I564&gt;=4,"High",IF(I564=3,"Medium","Low"))</f>
        <v>Low</v>
      </c>
      <c r="T564" s="13" t="str">
        <f aca="false">IF(M564=1,YEAR(C564),"")</f>
        <v/>
      </c>
      <c r="U564" s="13" t="str">
        <f aca="false">IF(M564=1,YEAR(C564)&amp;"-Q"&amp;ROUNDUP(MONTH(C564)/3,0),"")</f>
        <v/>
      </c>
      <c r="V564" s="13" t="str">
        <f aca="false">IF(M564=1,MONTH(C564),"")</f>
        <v/>
      </c>
    </row>
    <row r="565" customFormat="false" ht="15" hidden="false" customHeight="false" outlineLevel="0" collapsed="false">
      <c r="A565" s="13" t="str">
        <f aca="false">TRIM(Raw_Data!A565)</f>
        <v>EMP0564</v>
      </c>
      <c r="B565" s="14" t="n">
        <f aca="false">Raw_Data!B565</f>
        <v>42825</v>
      </c>
      <c r="C565" s="14" t="n">
        <f aca="false">IF(Raw_Data!C565="","",Raw_Data!C565)</f>
        <v>45454</v>
      </c>
      <c r="D565" s="13" t="n">
        <f aca="false">IF(Raw_Data!D565="","",Raw_Data!D565)</f>
        <v>28</v>
      </c>
      <c r="E565" s="13" t="str">
        <f aca="false">IF(UPPER(LEFT(TRIM(Raw_Data!E565),1))="M","Male",IF(UPPER(LEFT(TRIM(Raw_Data!E565),1))="F","Female","Unknown"))</f>
        <v>Female</v>
      </c>
      <c r="F565" s="13" t="str">
        <f aca="false">PROPER(TRIM(SUBSTITUTE(Raw_Data!F565,"'","")))</f>
        <v>Bachelors</v>
      </c>
      <c r="G565" s="13" t="str">
        <f aca="false">PROPER(TRIM(Raw_Data!G565))</f>
        <v>Engineering</v>
      </c>
      <c r="H565" s="13" t="str">
        <f aca="false">PROPER(TRIM(Raw_Data!H565))</f>
        <v>Associate</v>
      </c>
      <c r="I565" s="13" t="n">
        <f aca="false">IF(Raw_Data!I565="",DefaultPerf,Raw_Data!I565)</f>
        <v>5</v>
      </c>
      <c r="J565" s="13" t="n">
        <f aca="false">IF(Raw_Data!J565="",DefaultSat,Raw_Data!J565)</f>
        <v>1</v>
      </c>
      <c r="K565" s="15" t="n">
        <f aca="false">Raw_Data!K565</f>
        <v>42500</v>
      </c>
      <c r="L565" s="13" t="str">
        <f aca="false">PROPER(TRIM(Raw_Data!N565))</f>
        <v>Yes</v>
      </c>
      <c r="M565" s="13" t="n">
        <f aca="false">IF(C565="",0,1)</f>
        <v>1</v>
      </c>
      <c r="N565" s="13" t="str">
        <f aca="false">IF(M565=0,"Active",IF(TRIM(Raw_Data!L565)="","Unknown",PROPER(TRIM(Raw_Data!L565))))</f>
        <v>Voluntary</v>
      </c>
      <c r="O565" s="13" t="str">
        <f aca="false">IF(M565=0,"",IF(TRIM(Raw_Data!M565)="","Not Recorded",TRIM(Raw_Data!M565)))</f>
        <v>Better Compensation</v>
      </c>
      <c r="P565" s="16" t="n">
        <f aca="false">ROUND((IF(C565="",AsOfDate,C565)-B565)/365.25,2)</f>
        <v>7.2</v>
      </c>
      <c r="Q565" s="13" t="str">
        <f aca="false">IF(D565="","Unknown",IF(D565&lt;25,"Under 25",IF(D565&lt;35,"25-34",IF(D565&lt;45,"35-44",IF(D565&lt;55,"45-54","55+")))))</f>
        <v>25-34</v>
      </c>
      <c r="R565" s="13" t="str">
        <f aca="false">IF(P565&lt;1,"0-1 yrs",IF(P565&lt;3,"1-3 yrs",IF(P565&lt;5,"3-5 yrs",IF(P565&lt;10,"5-10 yrs","10+ yrs"))))</f>
        <v>5-10 yrs</v>
      </c>
      <c r="S565" s="13" t="str">
        <f aca="false">IF(I565&gt;=4,"High",IF(I565=3,"Medium","Low"))</f>
        <v>High</v>
      </c>
      <c r="T565" s="13" t="n">
        <f aca="false">IF(M565=1,YEAR(C565),"")</f>
        <v>2024</v>
      </c>
      <c r="U565" s="13" t="str">
        <f aca="false">IF(M565=1,YEAR(C565)&amp;"-Q"&amp;ROUNDUP(MONTH(C565)/3,0),"")</f>
        <v>2024-Q2</v>
      </c>
      <c r="V565" s="13" t="n">
        <f aca="false">IF(M565=1,MONTH(C565),"")</f>
        <v>6</v>
      </c>
    </row>
    <row r="566" customFormat="false" ht="15" hidden="false" customHeight="false" outlineLevel="0" collapsed="false">
      <c r="A566" s="13" t="str">
        <f aca="false">TRIM(Raw_Data!A566)</f>
        <v>EMP0565</v>
      </c>
      <c r="B566" s="14" t="n">
        <f aca="false">Raw_Data!B566</f>
        <v>42826</v>
      </c>
      <c r="C566" s="14" t="str">
        <f aca="false">IF(Raw_Data!C566="","",Raw_Data!C566)</f>
        <v/>
      </c>
      <c r="D566" s="13" t="n">
        <f aca="false">IF(Raw_Data!D566="","",Raw_Data!D566)</f>
        <v>44</v>
      </c>
      <c r="E566" s="13" t="str">
        <f aca="false">IF(UPPER(LEFT(TRIM(Raw_Data!E566),1))="M","Male",IF(UPPER(LEFT(TRIM(Raw_Data!E566),1))="F","Female","Unknown"))</f>
        <v>Female</v>
      </c>
      <c r="F566" s="13" t="str">
        <f aca="false">PROPER(TRIM(SUBSTITUTE(Raw_Data!F566,"'","")))</f>
        <v>Masters</v>
      </c>
      <c r="G566" s="13" t="str">
        <f aca="false">PROPER(TRIM(Raw_Data!G566))</f>
        <v>Sales</v>
      </c>
      <c r="H566" s="13" t="str">
        <f aca="false">PROPER(TRIM(Raw_Data!H566))</f>
        <v>Team Lead</v>
      </c>
      <c r="I566" s="13" t="n">
        <f aca="false">IF(Raw_Data!I566="",DefaultPerf,Raw_Data!I566)</f>
        <v>4</v>
      </c>
      <c r="J566" s="13" t="n">
        <f aca="false">IF(Raw_Data!J566="",DefaultSat,Raw_Data!J566)</f>
        <v>1</v>
      </c>
      <c r="K566" s="15" t="n">
        <f aca="false">Raw_Data!K566</f>
        <v>154000</v>
      </c>
      <c r="L566" s="13" t="str">
        <f aca="false">PROPER(TRIM(Raw_Data!N566))</f>
        <v>Yes</v>
      </c>
      <c r="M566" s="13" t="n">
        <f aca="false">IF(C566="",0,1)</f>
        <v>0</v>
      </c>
      <c r="N566" s="13" t="str">
        <f aca="false">IF(M566=0,"Active",IF(TRIM(Raw_Data!L566)="","Unknown",PROPER(TRIM(Raw_Data!L566))))</f>
        <v>Active</v>
      </c>
      <c r="O566" s="13" t="str">
        <f aca="false">IF(M566=0,"",IF(TRIM(Raw_Data!M566)="","Not Recorded",TRIM(Raw_Data!M566)))</f>
        <v/>
      </c>
      <c r="P566" s="16" t="n">
        <f aca="false">ROUND((IF(C566="",AsOfDate,C566)-B566)/365.25,2)</f>
        <v>8.75</v>
      </c>
      <c r="Q566" s="13" t="str">
        <f aca="false">IF(D566="","Unknown",IF(D566&lt;25,"Under 25",IF(D566&lt;35,"25-34",IF(D566&lt;45,"35-44",IF(D566&lt;55,"45-54","55+")))))</f>
        <v>35-44</v>
      </c>
      <c r="R566" s="13" t="str">
        <f aca="false">IF(P566&lt;1,"0-1 yrs",IF(P566&lt;3,"1-3 yrs",IF(P566&lt;5,"3-5 yrs",IF(P566&lt;10,"5-10 yrs","10+ yrs"))))</f>
        <v>5-10 yrs</v>
      </c>
      <c r="S566" s="13" t="str">
        <f aca="false">IF(I566&gt;=4,"High",IF(I566=3,"Medium","Low"))</f>
        <v>High</v>
      </c>
      <c r="T566" s="13" t="str">
        <f aca="false">IF(M566=1,YEAR(C566),"")</f>
        <v/>
      </c>
      <c r="U566" s="13" t="str">
        <f aca="false">IF(M566=1,YEAR(C566)&amp;"-Q"&amp;ROUNDUP(MONTH(C566)/3,0),"")</f>
        <v/>
      </c>
      <c r="V566" s="13" t="str">
        <f aca="false">IF(M566=1,MONTH(C566),"")</f>
        <v/>
      </c>
    </row>
    <row r="567" customFormat="false" ht="15" hidden="false" customHeight="false" outlineLevel="0" collapsed="false">
      <c r="A567" s="13" t="str">
        <f aca="false">TRIM(Raw_Data!A567)</f>
        <v>EMP0566</v>
      </c>
      <c r="B567" s="14" t="n">
        <f aca="false">Raw_Data!B567</f>
        <v>42829</v>
      </c>
      <c r="C567" s="14" t="str">
        <f aca="false">IF(Raw_Data!C567="","",Raw_Data!C567)</f>
        <v/>
      </c>
      <c r="D567" s="13" t="n">
        <f aca="false">IF(Raw_Data!D567="","",Raw_Data!D567)</f>
        <v>40</v>
      </c>
      <c r="E567" s="13" t="str">
        <f aca="false">IF(UPPER(LEFT(TRIM(Raw_Data!E567),1))="M","Male",IF(UPPER(LEFT(TRIM(Raw_Data!E567),1))="F","Female","Unknown"))</f>
        <v>Female</v>
      </c>
      <c r="F567" s="13" t="str">
        <f aca="false">PROPER(TRIM(SUBSTITUTE(Raw_Data!F567,"'","")))</f>
        <v>Bachelors</v>
      </c>
      <c r="G567" s="13" t="str">
        <f aca="false">PROPER(TRIM(Raw_Data!G567))</f>
        <v>Operations</v>
      </c>
      <c r="H567" s="13" t="str">
        <f aca="false">PROPER(TRIM(Raw_Data!H567))</f>
        <v>Manager</v>
      </c>
      <c r="I567" s="17" t="n">
        <f aca="false">IF(Raw_Data!I567="",DefaultPerf,Raw_Data!I567)</f>
        <v>3</v>
      </c>
      <c r="J567" s="13" t="n">
        <f aca="false">IF(Raw_Data!J567="",DefaultSat,Raw_Data!J567)</f>
        <v>3</v>
      </c>
      <c r="K567" s="15" t="n">
        <f aca="false">Raw_Data!K567</f>
        <v>230500</v>
      </c>
      <c r="L567" s="13" t="str">
        <f aca="false">PROPER(TRIM(Raw_Data!N567))</f>
        <v>No</v>
      </c>
      <c r="M567" s="13" t="n">
        <f aca="false">IF(C567="",0,1)</f>
        <v>0</v>
      </c>
      <c r="N567" s="13" t="str">
        <f aca="false">IF(M567=0,"Active",IF(TRIM(Raw_Data!L567)="","Unknown",PROPER(TRIM(Raw_Data!L567))))</f>
        <v>Active</v>
      </c>
      <c r="O567" s="13" t="str">
        <f aca="false">IF(M567=0,"",IF(TRIM(Raw_Data!M567)="","Not Recorded",TRIM(Raw_Data!M567)))</f>
        <v/>
      </c>
      <c r="P567" s="16" t="n">
        <f aca="false">ROUND((IF(C567="",AsOfDate,C567)-B567)/365.25,2)</f>
        <v>8.74</v>
      </c>
      <c r="Q567" s="13" t="str">
        <f aca="false">IF(D567="","Unknown",IF(D567&lt;25,"Under 25",IF(D567&lt;35,"25-34",IF(D567&lt;45,"35-44",IF(D567&lt;55,"45-54","55+")))))</f>
        <v>35-44</v>
      </c>
      <c r="R567" s="13" t="str">
        <f aca="false">IF(P567&lt;1,"0-1 yrs",IF(P567&lt;3,"1-3 yrs",IF(P567&lt;5,"3-5 yrs",IF(P567&lt;10,"5-10 yrs","10+ yrs"))))</f>
        <v>5-10 yrs</v>
      </c>
      <c r="S567" s="13" t="str">
        <f aca="false">IF(I567&gt;=4,"High",IF(I567=3,"Medium","Low"))</f>
        <v>Medium</v>
      </c>
      <c r="T567" s="13" t="str">
        <f aca="false">IF(M567=1,YEAR(C567),"")</f>
        <v/>
      </c>
      <c r="U567" s="13" t="str">
        <f aca="false">IF(M567=1,YEAR(C567)&amp;"-Q"&amp;ROUNDUP(MONTH(C567)/3,0),"")</f>
        <v/>
      </c>
      <c r="V567" s="13" t="str">
        <f aca="false">IF(M567=1,MONTH(C567),"")</f>
        <v/>
      </c>
    </row>
    <row r="568" customFormat="false" ht="15" hidden="false" customHeight="false" outlineLevel="0" collapsed="false">
      <c r="A568" s="13" t="str">
        <f aca="false">TRIM(Raw_Data!A568)</f>
        <v>EMP0567</v>
      </c>
      <c r="B568" s="14" t="n">
        <f aca="false">Raw_Data!B568</f>
        <v>42837</v>
      </c>
      <c r="C568" s="14" t="str">
        <f aca="false">IF(Raw_Data!C568="","",Raw_Data!C568)</f>
        <v/>
      </c>
      <c r="D568" s="13" t="n">
        <f aca="false">IF(Raw_Data!D568="","",Raw_Data!D568)</f>
        <v>37</v>
      </c>
      <c r="E568" s="13" t="str">
        <f aca="false">IF(UPPER(LEFT(TRIM(Raw_Data!E568),1))="M","Male",IF(UPPER(LEFT(TRIM(Raw_Data!E568),1))="F","Female","Unknown"))</f>
        <v>Female</v>
      </c>
      <c r="F568" s="13" t="str">
        <f aca="false">PROPER(TRIM(SUBSTITUTE(Raw_Data!F568,"'","")))</f>
        <v>Masters</v>
      </c>
      <c r="G568" s="13" t="str">
        <f aca="false">PROPER(TRIM(Raw_Data!G568))</f>
        <v>Customer Support</v>
      </c>
      <c r="H568" s="13" t="str">
        <f aca="false">PROPER(TRIM(Raw_Data!H568))</f>
        <v>Team Lead</v>
      </c>
      <c r="I568" s="13" t="n">
        <f aca="false">IF(Raw_Data!I568="",DefaultPerf,Raw_Data!I568)</f>
        <v>2</v>
      </c>
      <c r="J568" s="13" t="n">
        <f aca="false">IF(Raw_Data!J568="",DefaultSat,Raw_Data!J568)</f>
        <v>4</v>
      </c>
      <c r="K568" s="15" t="n">
        <f aca="false">Raw_Data!K568</f>
        <v>146500</v>
      </c>
      <c r="L568" s="13" t="str">
        <f aca="false">PROPER(TRIM(Raw_Data!N568))</f>
        <v>No</v>
      </c>
      <c r="M568" s="13" t="n">
        <f aca="false">IF(C568="",0,1)</f>
        <v>0</v>
      </c>
      <c r="N568" s="13" t="str">
        <f aca="false">IF(M568=0,"Active",IF(TRIM(Raw_Data!L568)="","Unknown",PROPER(TRIM(Raw_Data!L568))))</f>
        <v>Active</v>
      </c>
      <c r="O568" s="13" t="str">
        <f aca="false">IF(M568=0,"",IF(TRIM(Raw_Data!M568)="","Not Recorded",TRIM(Raw_Data!M568)))</f>
        <v/>
      </c>
      <c r="P568" s="16" t="n">
        <f aca="false">ROUND((IF(C568="",AsOfDate,C568)-B568)/365.25,2)</f>
        <v>8.72</v>
      </c>
      <c r="Q568" s="13" t="str">
        <f aca="false">IF(D568="","Unknown",IF(D568&lt;25,"Under 25",IF(D568&lt;35,"25-34",IF(D568&lt;45,"35-44",IF(D568&lt;55,"45-54","55+")))))</f>
        <v>35-44</v>
      </c>
      <c r="R568" s="13" t="str">
        <f aca="false">IF(P568&lt;1,"0-1 yrs",IF(P568&lt;3,"1-3 yrs",IF(P568&lt;5,"3-5 yrs",IF(P568&lt;10,"5-10 yrs","10+ yrs"))))</f>
        <v>5-10 yrs</v>
      </c>
      <c r="S568" s="13" t="str">
        <f aca="false">IF(I568&gt;=4,"High",IF(I568=3,"Medium","Low"))</f>
        <v>Low</v>
      </c>
      <c r="T568" s="13" t="str">
        <f aca="false">IF(M568=1,YEAR(C568),"")</f>
        <v/>
      </c>
      <c r="U568" s="13" t="str">
        <f aca="false">IF(M568=1,YEAR(C568)&amp;"-Q"&amp;ROUNDUP(MONTH(C568)/3,0),"")</f>
        <v/>
      </c>
      <c r="V568" s="13" t="str">
        <f aca="false">IF(M568=1,MONTH(C568),"")</f>
        <v/>
      </c>
    </row>
    <row r="569" customFormat="false" ht="15" hidden="false" customHeight="false" outlineLevel="0" collapsed="false">
      <c r="A569" s="13" t="str">
        <f aca="false">TRIM(Raw_Data!A569)</f>
        <v>EMP0568</v>
      </c>
      <c r="B569" s="14" t="n">
        <f aca="false">Raw_Data!B569</f>
        <v>42838</v>
      </c>
      <c r="C569" s="14" t="n">
        <f aca="false">IF(Raw_Data!C569="","",Raw_Data!C569)</f>
        <v>44629</v>
      </c>
      <c r="D569" s="13" t="n">
        <f aca="false">IF(Raw_Data!D569="","",Raw_Data!D569)</f>
        <v>33</v>
      </c>
      <c r="E569" s="13" t="str">
        <f aca="false">IF(UPPER(LEFT(TRIM(Raw_Data!E569),1))="M","Male",IF(UPPER(LEFT(TRIM(Raw_Data!E569),1))="F","Female","Unknown"))</f>
        <v>Male</v>
      </c>
      <c r="F569" s="13" t="str">
        <f aca="false">PROPER(TRIM(SUBSTITUTE(Raw_Data!F569,"'","")))</f>
        <v>Bachelors</v>
      </c>
      <c r="G569" s="13" t="str">
        <f aca="false">PROPER(TRIM(Raw_Data!G569))</f>
        <v>Sales</v>
      </c>
      <c r="H569" s="13" t="str">
        <f aca="false">PROPER(TRIM(Raw_Data!H569))</f>
        <v>Senior Analyst</v>
      </c>
      <c r="I569" s="13" t="n">
        <f aca="false">IF(Raw_Data!I569="",DefaultPerf,Raw_Data!I569)</f>
        <v>2</v>
      </c>
      <c r="J569" s="13" t="n">
        <f aca="false">IF(Raw_Data!J569="",DefaultSat,Raw_Data!J569)</f>
        <v>4</v>
      </c>
      <c r="K569" s="15" t="n">
        <f aca="false">Raw_Data!K569</f>
        <v>98500</v>
      </c>
      <c r="L569" s="13" t="str">
        <f aca="false">PROPER(TRIM(Raw_Data!N569))</f>
        <v>Yes</v>
      </c>
      <c r="M569" s="13" t="n">
        <f aca="false">IF(C569="",0,1)</f>
        <v>1</v>
      </c>
      <c r="N569" s="13" t="str">
        <f aca="false">IF(M569=0,"Active",IF(TRIM(Raw_Data!L569)="","Unknown",PROPER(TRIM(Raw_Data!L569))))</f>
        <v>Voluntary</v>
      </c>
      <c r="O569" s="13" t="str">
        <f aca="false">IF(M569=0,"",IF(TRIM(Raw_Data!M569)="","Not Recorded",TRIM(Raw_Data!M569)))</f>
        <v>Career Growth</v>
      </c>
      <c r="P569" s="16" t="n">
        <f aca="false">ROUND((IF(C569="",AsOfDate,C569)-B569)/365.25,2)</f>
        <v>4.9</v>
      </c>
      <c r="Q569" s="13" t="str">
        <f aca="false">IF(D569="","Unknown",IF(D569&lt;25,"Under 25",IF(D569&lt;35,"25-34",IF(D569&lt;45,"35-44",IF(D569&lt;55,"45-54","55+")))))</f>
        <v>25-34</v>
      </c>
      <c r="R569" s="13" t="str">
        <f aca="false">IF(P569&lt;1,"0-1 yrs",IF(P569&lt;3,"1-3 yrs",IF(P569&lt;5,"3-5 yrs",IF(P569&lt;10,"5-10 yrs","10+ yrs"))))</f>
        <v>3-5 yrs</v>
      </c>
      <c r="S569" s="13" t="str">
        <f aca="false">IF(I569&gt;=4,"High",IF(I569=3,"Medium","Low"))</f>
        <v>Low</v>
      </c>
      <c r="T569" s="13" t="n">
        <f aca="false">IF(M569=1,YEAR(C569),"")</f>
        <v>2022</v>
      </c>
      <c r="U569" s="13" t="str">
        <f aca="false">IF(M569=1,YEAR(C569)&amp;"-Q"&amp;ROUNDUP(MONTH(C569)/3,0),"")</f>
        <v>2022-Q1</v>
      </c>
      <c r="V569" s="13" t="n">
        <f aca="false">IF(M569=1,MONTH(C569),"")</f>
        <v>3</v>
      </c>
    </row>
    <row r="570" customFormat="false" ht="15" hidden="false" customHeight="false" outlineLevel="0" collapsed="false">
      <c r="A570" s="13" t="str">
        <f aca="false">TRIM(Raw_Data!A570)</f>
        <v>EMP0569</v>
      </c>
      <c r="B570" s="14" t="n">
        <f aca="false">Raw_Data!B570</f>
        <v>42842</v>
      </c>
      <c r="C570" s="14" t="str">
        <f aca="false">IF(Raw_Data!C570="","",Raw_Data!C570)</f>
        <v/>
      </c>
      <c r="D570" s="13" t="n">
        <f aca="false">IF(Raw_Data!D570="","",Raw_Data!D570)</f>
        <v>39</v>
      </c>
      <c r="E570" s="13" t="str">
        <f aca="false">IF(UPPER(LEFT(TRIM(Raw_Data!E570),1))="M","Male",IF(UPPER(LEFT(TRIM(Raw_Data!E570),1))="F","Female","Unknown"))</f>
        <v>Male</v>
      </c>
      <c r="F570" s="13" t="str">
        <f aca="false">PROPER(TRIM(SUBSTITUTE(Raw_Data!F570,"'","")))</f>
        <v>Bachelors</v>
      </c>
      <c r="G570" s="13" t="str">
        <f aca="false">PROPER(TRIM(Raw_Data!G570))</f>
        <v>Sales</v>
      </c>
      <c r="H570" s="13" t="str">
        <f aca="false">PROPER(TRIM(Raw_Data!H570))</f>
        <v>Team Lead</v>
      </c>
      <c r="I570" s="13" t="n">
        <f aca="false">IF(Raw_Data!I570="",DefaultPerf,Raw_Data!I570)</f>
        <v>3</v>
      </c>
      <c r="J570" s="13" t="n">
        <f aca="false">IF(Raw_Data!J570="",DefaultSat,Raw_Data!J570)</f>
        <v>3</v>
      </c>
      <c r="K570" s="15" t="n">
        <f aca="false">Raw_Data!K570</f>
        <v>197500</v>
      </c>
      <c r="L570" s="13" t="str">
        <f aca="false">PROPER(TRIM(Raw_Data!N570))</f>
        <v>No</v>
      </c>
      <c r="M570" s="13" t="n">
        <f aca="false">IF(C570="",0,1)</f>
        <v>0</v>
      </c>
      <c r="N570" s="13" t="str">
        <f aca="false">IF(M570=0,"Active",IF(TRIM(Raw_Data!L570)="","Unknown",PROPER(TRIM(Raw_Data!L570))))</f>
        <v>Active</v>
      </c>
      <c r="O570" s="13" t="str">
        <f aca="false">IF(M570=0,"",IF(TRIM(Raw_Data!M570)="","Not Recorded",TRIM(Raw_Data!M570)))</f>
        <v/>
      </c>
      <c r="P570" s="16" t="n">
        <f aca="false">ROUND((IF(C570="",AsOfDate,C570)-B570)/365.25,2)</f>
        <v>8.71</v>
      </c>
      <c r="Q570" s="13" t="str">
        <f aca="false">IF(D570="","Unknown",IF(D570&lt;25,"Under 25",IF(D570&lt;35,"25-34",IF(D570&lt;45,"35-44",IF(D570&lt;55,"45-54","55+")))))</f>
        <v>35-44</v>
      </c>
      <c r="R570" s="13" t="str">
        <f aca="false">IF(P570&lt;1,"0-1 yrs",IF(P570&lt;3,"1-3 yrs",IF(P570&lt;5,"3-5 yrs",IF(P570&lt;10,"5-10 yrs","10+ yrs"))))</f>
        <v>5-10 yrs</v>
      </c>
      <c r="S570" s="13" t="str">
        <f aca="false">IF(I570&gt;=4,"High",IF(I570=3,"Medium","Low"))</f>
        <v>Medium</v>
      </c>
      <c r="T570" s="13" t="str">
        <f aca="false">IF(M570=1,YEAR(C570),"")</f>
        <v/>
      </c>
      <c r="U570" s="13" t="str">
        <f aca="false">IF(M570=1,YEAR(C570)&amp;"-Q"&amp;ROUNDUP(MONTH(C570)/3,0),"")</f>
        <v/>
      </c>
      <c r="V570" s="13" t="str">
        <f aca="false">IF(M570=1,MONTH(C570),"")</f>
        <v/>
      </c>
    </row>
    <row r="571" customFormat="false" ht="15" hidden="false" customHeight="false" outlineLevel="0" collapsed="false">
      <c r="A571" s="13" t="str">
        <f aca="false">TRIM(Raw_Data!A571)</f>
        <v>EMP0570</v>
      </c>
      <c r="B571" s="14" t="n">
        <f aca="false">Raw_Data!B571</f>
        <v>42843</v>
      </c>
      <c r="C571" s="14" t="str">
        <f aca="false">IF(Raw_Data!C571="","",Raw_Data!C571)</f>
        <v/>
      </c>
      <c r="D571" s="13" t="n">
        <f aca="false">IF(Raw_Data!D571="","",Raw_Data!D571)</f>
        <v>30</v>
      </c>
      <c r="E571" s="13" t="str">
        <f aca="false">IF(UPPER(LEFT(TRIM(Raw_Data!E571),1))="M","Male",IF(UPPER(LEFT(TRIM(Raw_Data!E571),1))="F","Female","Unknown"))</f>
        <v>Female</v>
      </c>
      <c r="F571" s="13" t="str">
        <f aca="false">PROPER(TRIM(SUBSTITUTE(Raw_Data!F571,"'","")))</f>
        <v>Masters</v>
      </c>
      <c r="G571" s="13" t="str">
        <f aca="false">PROPER(TRIM(Raw_Data!G571))</f>
        <v>Engineering</v>
      </c>
      <c r="H571" s="13" t="str">
        <f aca="false">PROPER(TRIM(Raw_Data!H571))</f>
        <v>Analyst</v>
      </c>
      <c r="I571" s="13" t="n">
        <f aca="false">IF(Raw_Data!I571="",DefaultPerf,Raw_Data!I571)</f>
        <v>4</v>
      </c>
      <c r="J571" s="13" t="n">
        <f aca="false">IF(Raw_Data!J571="",DefaultSat,Raw_Data!J571)</f>
        <v>4</v>
      </c>
      <c r="K571" s="15" t="n">
        <f aca="false">Raw_Data!K571</f>
        <v>69500</v>
      </c>
      <c r="L571" s="13" t="str">
        <f aca="false">PROPER(TRIM(Raw_Data!N571))</f>
        <v>No</v>
      </c>
      <c r="M571" s="13" t="n">
        <f aca="false">IF(C571="",0,1)</f>
        <v>0</v>
      </c>
      <c r="N571" s="13" t="str">
        <f aca="false">IF(M571=0,"Active",IF(TRIM(Raw_Data!L571)="","Unknown",PROPER(TRIM(Raw_Data!L571))))</f>
        <v>Active</v>
      </c>
      <c r="O571" s="13" t="str">
        <f aca="false">IF(M571=0,"",IF(TRIM(Raw_Data!M571)="","Not Recorded",TRIM(Raw_Data!M571)))</f>
        <v/>
      </c>
      <c r="P571" s="16" t="n">
        <f aca="false">ROUND((IF(C571="",AsOfDate,C571)-B571)/365.25,2)</f>
        <v>8.7</v>
      </c>
      <c r="Q571" s="13" t="str">
        <f aca="false">IF(D571="","Unknown",IF(D571&lt;25,"Under 25",IF(D571&lt;35,"25-34",IF(D571&lt;45,"35-44",IF(D571&lt;55,"45-54","55+")))))</f>
        <v>25-34</v>
      </c>
      <c r="R571" s="13" t="str">
        <f aca="false">IF(P571&lt;1,"0-1 yrs",IF(P571&lt;3,"1-3 yrs",IF(P571&lt;5,"3-5 yrs",IF(P571&lt;10,"5-10 yrs","10+ yrs"))))</f>
        <v>5-10 yrs</v>
      </c>
      <c r="S571" s="13" t="str">
        <f aca="false">IF(I571&gt;=4,"High",IF(I571=3,"Medium","Low"))</f>
        <v>High</v>
      </c>
      <c r="T571" s="13" t="str">
        <f aca="false">IF(M571=1,YEAR(C571),"")</f>
        <v/>
      </c>
      <c r="U571" s="13" t="str">
        <f aca="false">IF(M571=1,YEAR(C571)&amp;"-Q"&amp;ROUNDUP(MONTH(C571)/3,0),"")</f>
        <v/>
      </c>
      <c r="V571" s="13" t="str">
        <f aca="false">IF(M571=1,MONTH(C571),"")</f>
        <v/>
      </c>
    </row>
    <row r="572" customFormat="false" ht="15" hidden="false" customHeight="false" outlineLevel="0" collapsed="false">
      <c r="A572" s="13" t="str">
        <f aca="false">TRIM(Raw_Data!A572)</f>
        <v>EMP0571</v>
      </c>
      <c r="B572" s="14" t="n">
        <f aca="false">Raw_Data!B572</f>
        <v>42845</v>
      </c>
      <c r="C572" s="14" t="str">
        <f aca="false">IF(Raw_Data!C572="","",Raw_Data!C572)</f>
        <v/>
      </c>
      <c r="D572" s="13" t="n">
        <f aca="false">IF(Raw_Data!D572="","",Raw_Data!D572)</f>
        <v>45</v>
      </c>
      <c r="E572" s="13" t="str">
        <f aca="false">IF(UPPER(LEFT(TRIM(Raw_Data!E572),1))="M","Male",IF(UPPER(LEFT(TRIM(Raw_Data!E572),1))="F","Female","Unknown"))</f>
        <v>Male</v>
      </c>
      <c r="F572" s="13" t="str">
        <f aca="false">PROPER(TRIM(SUBSTITUTE(Raw_Data!F572,"'","")))</f>
        <v>Bachelors</v>
      </c>
      <c r="G572" s="13" t="str">
        <f aca="false">PROPER(TRIM(Raw_Data!G572))</f>
        <v>Customer Support</v>
      </c>
      <c r="H572" s="13" t="str">
        <f aca="false">PROPER(TRIM(Raw_Data!H572))</f>
        <v>Analyst</v>
      </c>
      <c r="I572" s="13" t="n">
        <f aca="false">IF(Raw_Data!I572="",DefaultPerf,Raw_Data!I572)</f>
        <v>3</v>
      </c>
      <c r="J572" s="13" t="n">
        <f aca="false">IF(Raw_Data!J572="",DefaultSat,Raw_Data!J572)</f>
        <v>2</v>
      </c>
      <c r="K572" s="15" t="n">
        <f aca="false">Raw_Data!K572</f>
        <v>70500</v>
      </c>
      <c r="L572" s="13" t="str">
        <f aca="false">PROPER(TRIM(Raw_Data!N572))</f>
        <v>No</v>
      </c>
      <c r="M572" s="13" t="n">
        <f aca="false">IF(C572="",0,1)</f>
        <v>0</v>
      </c>
      <c r="N572" s="13" t="str">
        <f aca="false">IF(M572=0,"Active",IF(TRIM(Raw_Data!L572)="","Unknown",PROPER(TRIM(Raw_Data!L572))))</f>
        <v>Active</v>
      </c>
      <c r="O572" s="13" t="str">
        <f aca="false">IF(M572=0,"",IF(TRIM(Raw_Data!M572)="","Not Recorded",TRIM(Raw_Data!M572)))</f>
        <v/>
      </c>
      <c r="P572" s="16" t="n">
        <f aca="false">ROUND((IF(C572="",AsOfDate,C572)-B572)/365.25,2)</f>
        <v>8.7</v>
      </c>
      <c r="Q572" s="13" t="str">
        <f aca="false">IF(D572="","Unknown",IF(D572&lt;25,"Under 25",IF(D572&lt;35,"25-34",IF(D572&lt;45,"35-44",IF(D572&lt;55,"45-54","55+")))))</f>
        <v>45-54</v>
      </c>
      <c r="R572" s="13" t="str">
        <f aca="false">IF(P572&lt;1,"0-1 yrs",IF(P572&lt;3,"1-3 yrs",IF(P572&lt;5,"3-5 yrs",IF(P572&lt;10,"5-10 yrs","10+ yrs"))))</f>
        <v>5-10 yrs</v>
      </c>
      <c r="S572" s="13" t="str">
        <f aca="false">IF(I572&gt;=4,"High",IF(I572=3,"Medium","Low"))</f>
        <v>Medium</v>
      </c>
      <c r="T572" s="13" t="str">
        <f aca="false">IF(M572=1,YEAR(C572),"")</f>
        <v/>
      </c>
      <c r="U572" s="13" t="str">
        <f aca="false">IF(M572=1,YEAR(C572)&amp;"-Q"&amp;ROUNDUP(MONTH(C572)/3,0),"")</f>
        <v/>
      </c>
      <c r="V572" s="13" t="str">
        <f aca="false">IF(M572=1,MONTH(C572),"")</f>
        <v/>
      </c>
    </row>
    <row r="573" customFormat="false" ht="15" hidden="false" customHeight="false" outlineLevel="0" collapsed="false">
      <c r="A573" s="13" t="str">
        <f aca="false">TRIM(Raw_Data!A573)</f>
        <v>EMP0572</v>
      </c>
      <c r="B573" s="14" t="n">
        <f aca="false">Raw_Data!B573</f>
        <v>42849</v>
      </c>
      <c r="C573" s="14" t="str">
        <f aca="false">IF(Raw_Data!C573="","",Raw_Data!C573)</f>
        <v/>
      </c>
      <c r="D573" s="13" t="n">
        <f aca="false">IF(Raw_Data!D573="","",Raw_Data!D573)</f>
        <v>41</v>
      </c>
      <c r="E573" s="13" t="str">
        <f aca="false">IF(UPPER(LEFT(TRIM(Raw_Data!E573),1))="M","Male",IF(UPPER(LEFT(TRIM(Raw_Data!E573),1))="F","Female","Unknown"))</f>
        <v>Male</v>
      </c>
      <c r="F573" s="13" t="str">
        <f aca="false">PROPER(TRIM(SUBSTITUTE(Raw_Data!F573,"'","")))</f>
        <v>Bachelors</v>
      </c>
      <c r="G573" s="13" t="str">
        <f aca="false">PROPER(TRIM(Raw_Data!G573))</f>
        <v>Human Resources</v>
      </c>
      <c r="H573" s="13" t="str">
        <f aca="false">PROPER(TRIM(Raw_Data!H573))</f>
        <v>Analyst</v>
      </c>
      <c r="I573" s="13" t="n">
        <f aca="false">IF(Raw_Data!I573="",DefaultPerf,Raw_Data!I573)</f>
        <v>3</v>
      </c>
      <c r="J573" s="13" t="n">
        <f aca="false">IF(Raw_Data!J573="",DefaultSat,Raw_Data!J573)</f>
        <v>2</v>
      </c>
      <c r="K573" s="15" t="n">
        <f aca="false">Raw_Data!K573</f>
        <v>64500</v>
      </c>
      <c r="L573" s="13" t="str">
        <f aca="false">PROPER(TRIM(Raw_Data!N573))</f>
        <v>No</v>
      </c>
      <c r="M573" s="13" t="n">
        <f aca="false">IF(C573="",0,1)</f>
        <v>0</v>
      </c>
      <c r="N573" s="13" t="str">
        <f aca="false">IF(M573=0,"Active",IF(TRIM(Raw_Data!L573)="","Unknown",PROPER(TRIM(Raw_Data!L573))))</f>
        <v>Active</v>
      </c>
      <c r="O573" s="13" t="str">
        <f aca="false">IF(M573=0,"",IF(TRIM(Raw_Data!M573)="","Not Recorded",TRIM(Raw_Data!M573)))</f>
        <v/>
      </c>
      <c r="P573" s="16" t="n">
        <f aca="false">ROUND((IF(C573="",AsOfDate,C573)-B573)/365.25,2)</f>
        <v>8.69</v>
      </c>
      <c r="Q573" s="13" t="str">
        <f aca="false">IF(D573="","Unknown",IF(D573&lt;25,"Under 25",IF(D573&lt;35,"25-34",IF(D573&lt;45,"35-44",IF(D573&lt;55,"45-54","55+")))))</f>
        <v>35-44</v>
      </c>
      <c r="R573" s="13" t="str">
        <f aca="false">IF(P573&lt;1,"0-1 yrs",IF(P573&lt;3,"1-3 yrs",IF(P573&lt;5,"3-5 yrs",IF(P573&lt;10,"5-10 yrs","10+ yrs"))))</f>
        <v>5-10 yrs</v>
      </c>
      <c r="S573" s="13" t="str">
        <f aca="false">IF(I573&gt;=4,"High",IF(I573=3,"Medium","Low"))</f>
        <v>Medium</v>
      </c>
      <c r="T573" s="13" t="str">
        <f aca="false">IF(M573=1,YEAR(C573),"")</f>
        <v/>
      </c>
      <c r="U573" s="13" t="str">
        <f aca="false">IF(M573=1,YEAR(C573)&amp;"-Q"&amp;ROUNDUP(MONTH(C573)/3,0),"")</f>
        <v/>
      </c>
      <c r="V573" s="13" t="str">
        <f aca="false">IF(M573=1,MONTH(C573),"")</f>
        <v/>
      </c>
    </row>
    <row r="574" customFormat="false" ht="15" hidden="false" customHeight="false" outlineLevel="0" collapsed="false">
      <c r="A574" s="13" t="str">
        <f aca="false">TRIM(Raw_Data!A574)</f>
        <v>EMP0573</v>
      </c>
      <c r="B574" s="14" t="n">
        <f aca="false">Raw_Data!B574</f>
        <v>42852</v>
      </c>
      <c r="C574" s="14" t="n">
        <f aca="false">IF(Raw_Data!C574="","",Raw_Data!C574)</f>
        <v>45127</v>
      </c>
      <c r="D574" s="13" t="n">
        <f aca="false">IF(Raw_Data!D574="","",Raw_Data!D574)</f>
        <v>31</v>
      </c>
      <c r="E574" s="13" t="str">
        <f aca="false">IF(UPPER(LEFT(TRIM(Raw_Data!E574),1))="M","Male",IF(UPPER(LEFT(TRIM(Raw_Data!E574),1))="F","Female","Unknown"))</f>
        <v>Male</v>
      </c>
      <c r="F574" s="13" t="str">
        <f aca="false">PROPER(TRIM(SUBSTITUTE(Raw_Data!F574,"'","")))</f>
        <v>Masters</v>
      </c>
      <c r="G574" s="13" t="str">
        <f aca="false">PROPER(TRIM(Raw_Data!G574))</f>
        <v>Engineering</v>
      </c>
      <c r="H574" s="13" t="str">
        <f aca="false">PROPER(TRIM(Raw_Data!H574))</f>
        <v>Associate</v>
      </c>
      <c r="I574" s="13" t="n">
        <f aca="false">IF(Raw_Data!I574="",DefaultPerf,Raw_Data!I574)</f>
        <v>3</v>
      </c>
      <c r="J574" s="13" t="n">
        <f aca="false">IF(Raw_Data!J574="",DefaultSat,Raw_Data!J574)</f>
        <v>2</v>
      </c>
      <c r="K574" s="15" t="n">
        <f aca="false">Raw_Data!K574</f>
        <v>45000</v>
      </c>
      <c r="L574" s="13" t="str">
        <f aca="false">PROPER(TRIM(Raw_Data!N574))</f>
        <v>Yes</v>
      </c>
      <c r="M574" s="13" t="n">
        <f aca="false">IF(C574="",0,1)</f>
        <v>1</v>
      </c>
      <c r="N574" s="13" t="str">
        <f aca="false">IF(M574=0,"Active",IF(TRIM(Raw_Data!L574)="","Unknown",PROPER(TRIM(Raw_Data!L574))))</f>
        <v>Involuntary</v>
      </c>
      <c r="O574" s="13" t="str">
        <f aca="false">IF(M574=0,"",IF(TRIM(Raw_Data!M574)="","Not Recorded",TRIM(Raw_Data!M574)))</f>
        <v>Restructuring / Layoff</v>
      </c>
      <c r="P574" s="16" t="n">
        <f aca="false">ROUND((IF(C574="",AsOfDate,C574)-B574)/365.25,2)</f>
        <v>6.23</v>
      </c>
      <c r="Q574" s="13" t="str">
        <f aca="false">IF(D574="","Unknown",IF(D574&lt;25,"Under 25",IF(D574&lt;35,"25-34",IF(D574&lt;45,"35-44",IF(D574&lt;55,"45-54","55+")))))</f>
        <v>25-34</v>
      </c>
      <c r="R574" s="13" t="str">
        <f aca="false">IF(P574&lt;1,"0-1 yrs",IF(P574&lt;3,"1-3 yrs",IF(P574&lt;5,"3-5 yrs",IF(P574&lt;10,"5-10 yrs","10+ yrs"))))</f>
        <v>5-10 yrs</v>
      </c>
      <c r="S574" s="13" t="str">
        <f aca="false">IF(I574&gt;=4,"High",IF(I574=3,"Medium","Low"))</f>
        <v>Medium</v>
      </c>
      <c r="T574" s="13" t="n">
        <f aca="false">IF(M574=1,YEAR(C574),"")</f>
        <v>2023</v>
      </c>
      <c r="U574" s="13" t="str">
        <f aca="false">IF(M574=1,YEAR(C574)&amp;"-Q"&amp;ROUNDUP(MONTH(C574)/3,0),"")</f>
        <v>2023-Q3</v>
      </c>
      <c r="V574" s="13" t="n">
        <f aca="false">IF(M574=1,MONTH(C574),"")</f>
        <v>7</v>
      </c>
    </row>
    <row r="575" customFormat="false" ht="15" hidden="false" customHeight="false" outlineLevel="0" collapsed="false">
      <c r="A575" s="13" t="str">
        <f aca="false">TRIM(Raw_Data!A575)</f>
        <v>EMP0574</v>
      </c>
      <c r="B575" s="14" t="n">
        <f aca="false">Raw_Data!B575</f>
        <v>42853</v>
      </c>
      <c r="C575" s="14" t="n">
        <f aca="false">IF(Raw_Data!C575="","",Raw_Data!C575)</f>
        <v>45220</v>
      </c>
      <c r="D575" s="13" t="n">
        <f aca="false">IF(Raw_Data!D575="","",Raw_Data!D575)</f>
        <v>35</v>
      </c>
      <c r="E575" s="13" t="str">
        <f aca="false">IF(UPPER(LEFT(TRIM(Raw_Data!E575),1))="M","Male",IF(UPPER(LEFT(TRIM(Raw_Data!E575),1))="F","Female","Unknown"))</f>
        <v>Male</v>
      </c>
      <c r="F575" s="13" t="str">
        <f aca="false">PROPER(TRIM(SUBSTITUTE(Raw_Data!F575,"'","")))</f>
        <v>Bachelors</v>
      </c>
      <c r="G575" s="13" t="str">
        <f aca="false">PROPER(TRIM(Raw_Data!G575))</f>
        <v>Engineering</v>
      </c>
      <c r="H575" s="13" t="str">
        <f aca="false">PROPER(TRIM(Raw_Data!H575))</f>
        <v>Associate</v>
      </c>
      <c r="I575" s="13" t="n">
        <f aca="false">IF(Raw_Data!I575="",DefaultPerf,Raw_Data!I575)</f>
        <v>5</v>
      </c>
      <c r="J575" s="13" t="n">
        <f aca="false">IF(Raw_Data!J575="",DefaultSat,Raw_Data!J575)</f>
        <v>2</v>
      </c>
      <c r="K575" s="15" t="n">
        <f aca="false">Raw_Data!K575</f>
        <v>43500</v>
      </c>
      <c r="L575" s="13" t="str">
        <f aca="false">PROPER(TRIM(Raw_Data!N575))</f>
        <v>No</v>
      </c>
      <c r="M575" s="13" t="n">
        <f aca="false">IF(C575="",0,1)</f>
        <v>1</v>
      </c>
      <c r="N575" s="13" t="str">
        <f aca="false">IF(M575=0,"Active",IF(TRIM(Raw_Data!L575)="","Unknown",PROPER(TRIM(Raw_Data!L575))))</f>
        <v>Voluntary</v>
      </c>
      <c r="O575" s="13" t="str">
        <f aca="false">IF(M575=0,"",IF(TRIM(Raw_Data!M575)="","Not Recorded",TRIM(Raw_Data!M575)))</f>
        <v>Job Dissatisfaction</v>
      </c>
      <c r="P575" s="16" t="n">
        <f aca="false">ROUND((IF(C575="",AsOfDate,C575)-B575)/365.25,2)</f>
        <v>6.48</v>
      </c>
      <c r="Q575" s="13" t="str">
        <f aca="false">IF(D575="","Unknown",IF(D575&lt;25,"Under 25",IF(D575&lt;35,"25-34",IF(D575&lt;45,"35-44",IF(D575&lt;55,"45-54","55+")))))</f>
        <v>35-44</v>
      </c>
      <c r="R575" s="13" t="str">
        <f aca="false">IF(P575&lt;1,"0-1 yrs",IF(P575&lt;3,"1-3 yrs",IF(P575&lt;5,"3-5 yrs",IF(P575&lt;10,"5-10 yrs","10+ yrs"))))</f>
        <v>5-10 yrs</v>
      </c>
      <c r="S575" s="13" t="str">
        <f aca="false">IF(I575&gt;=4,"High",IF(I575=3,"Medium","Low"))</f>
        <v>High</v>
      </c>
      <c r="T575" s="13" t="n">
        <f aca="false">IF(M575=1,YEAR(C575),"")</f>
        <v>2023</v>
      </c>
      <c r="U575" s="13" t="str">
        <f aca="false">IF(M575=1,YEAR(C575)&amp;"-Q"&amp;ROUNDUP(MONTH(C575)/3,0),"")</f>
        <v>2023-Q4</v>
      </c>
      <c r="V575" s="13" t="n">
        <f aca="false">IF(M575=1,MONTH(C575),"")</f>
        <v>10</v>
      </c>
    </row>
    <row r="576" customFormat="false" ht="15" hidden="false" customHeight="false" outlineLevel="0" collapsed="false">
      <c r="A576" s="13" t="str">
        <f aca="false">TRIM(Raw_Data!A576)</f>
        <v>EMP0575</v>
      </c>
      <c r="B576" s="14" t="n">
        <f aca="false">Raw_Data!B576</f>
        <v>42853</v>
      </c>
      <c r="C576" s="14" t="n">
        <f aca="false">IF(Raw_Data!C576="","",Raw_Data!C576)</f>
        <v>45765</v>
      </c>
      <c r="D576" s="13" t="n">
        <f aca="false">IF(Raw_Data!D576="","",Raw_Data!D576)</f>
        <v>47</v>
      </c>
      <c r="E576" s="13" t="str">
        <f aca="false">IF(UPPER(LEFT(TRIM(Raw_Data!E576),1))="M","Male",IF(UPPER(LEFT(TRIM(Raw_Data!E576),1))="F","Female","Unknown"))</f>
        <v>Male</v>
      </c>
      <c r="F576" s="13" t="str">
        <f aca="false">PROPER(TRIM(SUBSTITUTE(Raw_Data!F576,"'","")))</f>
        <v>Bachelors</v>
      </c>
      <c r="G576" s="13" t="str">
        <f aca="false">PROPER(TRIM(Raw_Data!G576))</f>
        <v>Customer Support</v>
      </c>
      <c r="H576" s="13" t="str">
        <f aca="false">PROPER(TRIM(Raw_Data!H576))</f>
        <v>Analyst</v>
      </c>
      <c r="I576" s="13" t="n">
        <f aca="false">IF(Raw_Data!I576="",DefaultPerf,Raw_Data!I576)</f>
        <v>3</v>
      </c>
      <c r="J576" s="13" t="n">
        <f aca="false">IF(Raw_Data!J576="",DefaultSat,Raw_Data!J576)</f>
        <v>3</v>
      </c>
      <c r="K576" s="15" t="n">
        <f aca="false">Raw_Data!K576</f>
        <v>73000</v>
      </c>
      <c r="L576" s="13" t="str">
        <f aca="false">PROPER(TRIM(Raw_Data!N576))</f>
        <v>Yes</v>
      </c>
      <c r="M576" s="13" t="n">
        <f aca="false">IF(C576="",0,1)</f>
        <v>1</v>
      </c>
      <c r="N576" s="13" t="str">
        <f aca="false">IF(M576=0,"Active",IF(TRIM(Raw_Data!L576)="","Unknown",PROPER(TRIM(Raw_Data!L576))))</f>
        <v>Voluntary</v>
      </c>
      <c r="O576" s="13" t="str">
        <f aca="false">IF(M576=0,"",IF(TRIM(Raw_Data!M576)="","Not Recorded",TRIM(Raw_Data!M576)))</f>
        <v>Better Compensation</v>
      </c>
      <c r="P576" s="16" t="n">
        <f aca="false">ROUND((IF(C576="",AsOfDate,C576)-B576)/365.25,2)</f>
        <v>7.97</v>
      </c>
      <c r="Q576" s="13" t="str">
        <f aca="false">IF(D576="","Unknown",IF(D576&lt;25,"Under 25",IF(D576&lt;35,"25-34",IF(D576&lt;45,"35-44",IF(D576&lt;55,"45-54","55+")))))</f>
        <v>45-54</v>
      </c>
      <c r="R576" s="13" t="str">
        <f aca="false">IF(P576&lt;1,"0-1 yrs",IF(P576&lt;3,"1-3 yrs",IF(P576&lt;5,"3-5 yrs",IF(P576&lt;10,"5-10 yrs","10+ yrs"))))</f>
        <v>5-10 yrs</v>
      </c>
      <c r="S576" s="13" t="str">
        <f aca="false">IF(I576&gt;=4,"High",IF(I576=3,"Medium","Low"))</f>
        <v>Medium</v>
      </c>
      <c r="T576" s="13" t="n">
        <f aca="false">IF(M576=1,YEAR(C576),"")</f>
        <v>2025</v>
      </c>
      <c r="U576" s="13" t="str">
        <f aca="false">IF(M576=1,YEAR(C576)&amp;"-Q"&amp;ROUNDUP(MONTH(C576)/3,0),"")</f>
        <v>2025-Q2</v>
      </c>
      <c r="V576" s="13" t="n">
        <f aca="false">IF(M576=1,MONTH(C576),"")</f>
        <v>4</v>
      </c>
    </row>
    <row r="577" customFormat="false" ht="15" hidden="false" customHeight="false" outlineLevel="0" collapsed="false">
      <c r="A577" s="13" t="str">
        <f aca="false">TRIM(Raw_Data!A577)</f>
        <v>EMP0576</v>
      </c>
      <c r="B577" s="14" t="n">
        <f aca="false">Raw_Data!B577</f>
        <v>42855</v>
      </c>
      <c r="C577" s="14" t="str">
        <f aca="false">IF(Raw_Data!C577="","",Raw_Data!C577)</f>
        <v/>
      </c>
      <c r="D577" s="13" t="n">
        <f aca="false">IF(Raw_Data!D577="","",Raw_Data!D577)</f>
        <v>42</v>
      </c>
      <c r="E577" s="13" t="str">
        <f aca="false">IF(UPPER(LEFT(TRIM(Raw_Data!E577),1))="M","Male",IF(UPPER(LEFT(TRIM(Raw_Data!E577),1))="F","Female","Unknown"))</f>
        <v>Male</v>
      </c>
      <c r="F577" s="13" t="str">
        <f aca="false">PROPER(TRIM(SUBSTITUTE(Raw_Data!F577,"'","")))</f>
        <v>Bachelors</v>
      </c>
      <c r="G577" s="13" t="str">
        <f aca="false">PROPER(TRIM(Raw_Data!G577))</f>
        <v>Sales</v>
      </c>
      <c r="H577" s="13" t="str">
        <f aca="false">PROPER(TRIM(Raw_Data!H577))</f>
        <v>Senior Analyst</v>
      </c>
      <c r="I577" s="13" t="n">
        <f aca="false">IF(Raw_Data!I577="",DefaultPerf,Raw_Data!I577)</f>
        <v>3</v>
      </c>
      <c r="J577" s="13" t="n">
        <f aca="false">IF(Raw_Data!J577="",DefaultSat,Raw_Data!J577)</f>
        <v>3</v>
      </c>
      <c r="K577" s="15" t="n">
        <f aca="false">Raw_Data!K577</f>
        <v>105500</v>
      </c>
      <c r="L577" s="13" t="str">
        <f aca="false">PROPER(TRIM(Raw_Data!N577))</f>
        <v>No</v>
      </c>
      <c r="M577" s="13" t="n">
        <f aca="false">IF(C577="",0,1)</f>
        <v>0</v>
      </c>
      <c r="N577" s="13" t="str">
        <f aca="false">IF(M577=0,"Active",IF(TRIM(Raw_Data!L577)="","Unknown",PROPER(TRIM(Raw_Data!L577))))</f>
        <v>Active</v>
      </c>
      <c r="O577" s="13" t="str">
        <f aca="false">IF(M577=0,"",IF(TRIM(Raw_Data!M577)="","Not Recorded",TRIM(Raw_Data!M577)))</f>
        <v/>
      </c>
      <c r="P577" s="16" t="n">
        <f aca="false">ROUND((IF(C577="",AsOfDate,C577)-B577)/365.25,2)</f>
        <v>8.67</v>
      </c>
      <c r="Q577" s="13" t="str">
        <f aca="false">IF(D577="","Unknown",IF(D577&lt;25,"Under 25",IF(D577&lt;35,"25-34",IF(D577&lt;45,"35-44",IF(D577&lt;55,"45-54","55+")))))</f>
        <v>35-44</v>
      </c>
      <c r="R577" s="13" t="str">
        <f aca="false">IF(P577&lt;1,"0-1 yrs",IF(P577&lt;3,"1-3 yrs",IF(P577&lt;5,"3-5 yrs",IF(P577&lt;10,"5-10 yrs","10+ yrs"))))</f>
        <v>5-10 yrs</v>
      </c>
      <c r="S577" s="13" t="str">
        <f aca="false">IF(I577&gt;=4,"High",IF(I577=3,"Medium","Low"))</f>
        <v>Medium</v>
      </c>
      <c r="T577" s="13" t="str">
        <f aca="false">IF(M577=1,YEAR(C577),"")</f>
        <v/>
      </c>
      <c r="U577" s="13" t="str">
        <f aca="false">IF(M577=1,YEAR(C577)&amp;"-Q"&amp;ROUNDUP(MONTH(C577)/3,0),"")</f>
        <v/>
      </c>
      <c r="V577" s="13" t="str">
        <f aca="false">IF(M577=1,MONTH(C577),"")</f>
        <v/>
      </c>
    </row>
    <row r="578" customFormat="false" ht="15" hidden="false" customHeight="false" outlineLevel="0" collapsed="false">
      <c r="A578" s="13" t="str">
        <f aca="false">TRIM(Raw_Data!A578)</f>
        <v>EMP0577</v>
      </c>
      <c r="B578" s="14" t="n">
        <f aca="false">Raw_Data!B578</f>
        <v>42856</v>
      </c>
      <c r="C578" s="14" t="n">
        <f aca="false">IF(Raw_Data!C578="","",Raw_Data!C578)</f>
        <v>45511</v>
      </c>
      <c r="D578" s="13" t="n">
        <f aca="false">IF(Raw_Data!D578="","",Raw_Data!D578)</f>
        <v>44</v>
      </c>
      <c r="E578" s="13" t="str">
        <f aca="false">IF(UPPER(LEFT(TRIM(Raw_Data!E578),1))="M","Male",IF(UPPER(LEFT(TRIM(Raw_Data!E578),1))="F","Female","Unknown"))</f>
        <v>Female</v>
      </c>
      <c r="F578" s="13" t="str">
        <f aca="false">PROPER(TRIM(SUBSTITUTE(Raw_Data!F578,"'","")))</f>
        <v>Bachelors</v>
      </c>
      <c r="G578" s="13" t="str">
        <f aca="false">PROPER(TRIM(Raw_Data!G578))</f>
        <v>Sales</v>
      </c>
      <c r="H578" s="13" t="str">
        <f aca="false">PROPER(TRIM(Raw_Data!H578))</f>
        <v>Associate</v>
      </c>
      <c r="I578" s="13" t="n">
        <f aca="false">IF(Raw_Data!I578="",DefaultPerf,Raw_Data!I578)</f>
        <v>3</v>
      </c>
      <c r="J578" s="13" t="n">
        <f aca="false">IF(Raw_Data!J578="",DefaultSat,Raw_Data!J578)</f>
        <v>2</v>
      </c>
      <c r="K578" s="15" t="n">
        <f aca="false">Raw_Data!K578</f>
        <v>38000</v>
      </c>
      <c r="L578" s="13" t="str">
        <f aca="false">PROPER(TRIM(Raw_Data!N578))</f>
        <v>No</v>
      </c>
      <c r="M578" s="13" t="n">
        <f aca="false">IF(C578="",0,1)</f>
        <v>1</v>
      </c>
      <c r="N578" s="13" t="str">
        <f aca="false">IF(M578=0,"Active",IF(TRIM(Raw_Data!L578)="","Unknown",PROPER(TRIM(Raw_Data!L578))))</f>
        <v>Voluntary</v>
      </c>
      <c r="O578" s="13" t="str">
        <f aca="false">IF(M578=0,"",IF(TRIM(Raw_Data!M578)="","Not Recorded",TRIM(Raw_Data!M578)))</f>
        <v>Career Growth</v>
      </c>
      <c r="P578" s="16" t="n">
        <f aca="false">ROUND((IF(C578="",AsOfDate,C578)-B578)/365.25,2)</f>
        <v>7.27</v>
      </c>
      <c r="Q578" s="13" t="str">
        <f aca="false">IF(D578="","Unknown",IF(D578&lt;25,"Under 25",IF(D578&lt;35,"25-34",IF(D578&lt;45,"35-44",IF(D578&lt;55,"45-54","55+")))))</f>
        <v>35-44</v>
      </c>
      <c r="R578" s="13" t="str">
        <f aca="false">IF(P578&lt;1,"0-1 yrs",IF(P578&lt;3,"1-3 yrs",IF(P578&lt;5,"3-5 yrs",IF(P578&lt;10,"5-10 yrs","10+ yrs"))))</f>
        <v>5-10 yrs</v>
      </c>
      <c r="S578" s="13" t="str">
        <f aca="false">IF(I578&gt;=4,"High",IF(I578=3,"Medium","Low"))</f>
        <v>Medium</v>
      </c>
      <c r="T578" s="13" t="n">
        <f aca="false">IF(M578=1,YEAR(C578),"")</f>
        <v>2024</v>
      </c>
      <c r="U578" s="13" t="str">
        <f aca="false">IF(M578=1,YEAR(C578)&amp;"-Q"&amp;ROUNDUP(MONTH(C578)/3,0),"")</f>
        <v>2024-Q3</v>
      </c>
      <c r="V578" s="13" t="n">
        <f aca="false">IF(M578=1,MONTH(C578),"")</f>
        <v>8</v>
      </c>
    </row>
    <row r="579" customFormat="false" ht="15" hidden="false" customHeight="false" outlineLevel="0" collapsed="false">
      <c r="A579" s="13" t="str">
        <f aca="false">TRIM(Raw_Data!A579)</f>
        <v>EMP0578</v>
      </c>
      <c r="B579" s="14" t="n">
        <f aca="false">Raw_Data!B579</f>
        <v>42856</v>
      </c>
      <c r="C579" s="14" t="n">
        <f aca="false">IF(Raw_Data!C579="","",Raw_Data!C579)</f>
        <v>44615</v>
      </c>
      <c r="D579" s="13" t="n">
        <f aca="false">IF(Raw_Data!D579="","",Raw_Data!D579)</f>
        <v>34</v>
      </c>
      <c r="E579" s="13" t="str">
        <f aca="false">IF(UPPER(LEFT(TRIM(Raw_Data!E579),1))="M","Male",IF(UPPER(LEFT(TRIM(Raw_Data!E579),1))="F","Female","Unknown"))</f>
        <v>Female</v>
      </c>
      <c r="F579" s="13" t="str">
        <f aca="false">PROPER(TRIM(SUBSTITUTE(Raw_Data!F579,"'","")))</f>
        <v>Diploma</v>
      </c>
      <c r="G579" s="13" t="str">
        <f aca="false">PROPER(TRIM(Raw_Data!G579))</f>
        <v>Engineering</v>
      </c>
      <c r="H579" s="13" t="str">
        <f aca="false">PROPER(TRIM(Raw_Data!H579))</f>
        <v>Specialist</v>
      </c>
      <c r="I579" s="13" t="n">
        <f aca="false">IF(Raw_Data!I579="",DefaultPerf,Raw_Data!I579)</f>
        <v>3</v>
      </c>
      <c r="J579" s="13" t="n">
        <f aca="false">IF(Raw_Data!J579="",DefaultSat,Raw_Data!J579)</f>
        <v>4</v>
      </c>
      <c r="K579" s="15" t="n">
        <f aca="false">Raw_Data!K579</f>
        <v>103500</v>
      </c>
      <c r="L579" s="13" t="str">
        <f aca="false">PROPER(TRIM(Raw_Data!N579))</f>
        <v>No</v>
      </c>
      <c r="M579" s="13" t="n">
        <f aca="false">IF(C579="",0,1)</f>
        <v>1</v>
      </c>
      <c r="N579" s="13" t="str">
        <f aca="false">IF(M579=0,"Active",IF(TRIM(Raw_Data!L579)="","Unknown",PROPER(TRIM(Raw_Data!L579))))</f>
        <v>Voluntary</v>
      </c>
      <c r="O579" s="13" t="str">
        <f aca="false">IF(M579=0,"",IF(TRIM(Raw_Data!M579)="","Not Recorded",TRIM(Raw_Data!M579)))</f>
        <v>Better Compensation</v>
      </c>
      <c r="P579" s="16" t="n">
        <f aca="false">ROUND((IF(C579="",AsOfDate,C579)-B579)/365.25,2)</f>
        <v>4.82</v>
      </c>
      <c r="Q579" s="13" t="str">
        <f aca="false">IF(D579="","Unknown",IF(D579&lt;25,"Under 25",IF(D579&lt;35,"25-34",IF(D579&lt;45,"35-44",IF(D579&lt;55,"45-54","55+")))))</f>
        <v>25-34</v>
      </c>
      <c r="R579" s="13" t="str">
        <f aca="false">IF(P579&lt;1,"0-1 yrs",IF(P579&lt;3,"1-3 yrs",IF(P579&lt;5,"3-5 yrs",IF(P579&lt;10,"5-10 yrs","10+ yrs"))))</f>
        <v>3-5 yrs</v>
      </c>
      <c r="S579" s="13" t="str">
        <f aca="false">IF(I579&gt;=4,"High",IF(I579=3,"Medium","Low"))</f>
        <v>Medium</v>
      </c>
      <c r="T579" s="13" t="n">
        <f aca="false">IF(M579=1,YEAR(C579),"")</f>
        <v>2022</v>
      </c>
      <c r="U579" s="13" t="str">
        <f aca="false">IF(M579=1,YEAR(C579)&amp;"-Q"&amp;ROUNDUP(MONTH(C579)/3,0),"")</f>
        <v>2022-Q1</v>
      </c>
      <c r="V579" s="13" t="n">
        <f aca="false">IF(M579=1,MONTH(C579),"")</f>
        <v>2</v>
      </c>
    </row>
    <row r="580" customFormat="false" ht="15" hidden="false" customHeight="false" outlineLevel="0" collapsed="false">
      <c r="A580" s="13" t="str">
        <f aca="false">TRIM(Raw_Data!A580)</f>
        <v>EMP0579</v>
      </c>
      <c r="B580" s="14" t="n">
        <f aca="false">Raw_Data!B580</f>
        <v>42857</v>
      </c>
      <c r="C580" s="14" t="str">
        <f aca="false">IF(Raw_Data!C580="","",Raw_Data!C580)</f>
        <v/>
      </c>
      <c r="D580" s="13" t="n">
        <f aca="false">IF(Raw_Data!D580="","",Raw_Data!D580)</f>
        <v>33</v>
      </c>
      <c r="E580" s="13" t="str">
        <f aca="false">IF(UPPER(LEFT(TRIM(Raw_Data!E580),1))="M","Male",IF(UPPER(LEFT(TRIM(Raw_Data!E580),1))="F","Female","Unknown"))</f>
        <v>Female</v>
      </c>
      <c r="F580" s="13" t="str">
        <f aca="false">PROPER(TRIM(SUBSTITUTE(Raw_Data!F580,"'","")))</f>
        <v>Bachelors</v>
      </c>
      <c r="G580" s="13" t="str">
        <f aca="false">PROPER(TRIM(Raw_Data!G580))</f>
        <v>Customer Support</v>
      </c>
      <c r="H580" s="13" t="str">
        <f aca="false">PROPER(TRIM(Raw_Data!H580))</f>
        <v>Associate</v>
      </c>
      <c r="I580" s="13" t="n">
        <f aca="false">IF(Raw_Data!I580="",DefaultPerf,Raw_Data!I580)</f>
        <v>2</v>
      </c>
      <c r="J580" s="13" t="n">
        <f aca="false">IF(Raw_Data!J580="",DefaultSat,Raw_Data!J580)</f>
        <v>4</v>
      </c>
      <c r="K580" s="15" t="n">
        <f aca="false">Raw_Data!K580</f>
        <v>48000</v>
      </c>
      <c r="L580" s="13" t="str">
        <f aca="false">PROPER(TRIM(Raw_Data!N580))</f>
        <v>Yes</v>
      </c>
      <c r="M580" s="13" t="n">
        <f aca="false">IF(C580="",0,1)</f>
        <v>0</v>
      </c>
      <c r="N580" s="13" t="str">
        <f aca="false">IF(M580=0,"Active",IF(TRIM(Raw_Data!L580)="","Unknown",PROPER(TRIM(Raw_Data!L580))))</f>
        <v>Active</v>
      </c>
      <c r="O580" s="13" t="str">
        <f aca="false">IF(M580=0,"",IF(TRIM(Raw_Data!M580)="","Not Recorded",TRIM(Raw_Data!M580)))</f>
        <v/>
      </c>
      <c r="P580" s="16" t="n">
        <f aca="false">ROUND((IF(C580="",AsOfDate,C580)-B580)/365.25,2)</f>
        <v>8.67</v>
      </c>
      <c r="Q580" s="13" t="str">
        <f aca="false">IF(D580="","Unknown",IF(D580&lt;25,"Under 25",IF(D580&lt;35,"25-34",IF(D580&lt;45,"35-44",IF(D580&lt;55,"45-54","55+")))))</f>
        <v>25-34</v>
      </c>
      <c r="R580" s="13" t="str">
        <f aca="false">IF(P580&lt;1,"0-1 yrs",IF(P580&lt;3,"1-3 yrs",IF(P580&lt;5,"3-5 yrs",IF(P580&lt;10,"5-10 yrs","10+ yrs"))))</f>
        <v>5-10 yrs</v>
      </c>
      <c r="S580" s="13" t="str">
        <f aca="false">IF(I580&gt;=4,"High",IF(I580=3,"Medium","Low"))</f>
        <v>Low</v>
      </c>
      <c r="T580" s="13" t="str">
        <f aca="false">IF(M580=1,YEAR(C580),"")</f>
        <v/>
      </c>
      <c r="U580" s="13" t="str">
        <f aca="false">IF(M580=1,YEAR(C580)&amp;"-Q"&amp;ROUNDUP(MONTH(C580)/3,0),"")</f>
        <v/>
      </c>
      <c r="V580" s="13" t="str">
        <f aca="false">IF(M580=1,MONTH(C580),"")</f>
        <v/>
      </c>
    </row>
    <row r="581" customFormat="false" ht="15" hidden="false" customHeight="false" outlineLevel="0" collapsed="false">
      <c r="A581" s="13" t="str">
        <f aca="false">TRIM(Raw_Data!A581)</f>
        <v>EMP0580</v>
      </c>
      <c r="B581" s="14" t="n">
        <f aca="false">Raw_Data!B581</f>
        <v>42858</v>
      </c>
      <c r="C581" s="14" t="str">
        <f aca="false">IF(Raw_Data!C581="","",Raw_Data!C581)</f>
        <v/>
      </c>
      <c r="D581" s="13" t="n">
        <f aca="false">IF(Raw_Data!D581="","",Raw_Data!D581)</f>
        <v>36</v>
      </c>
      <c r="E581" s="13" t="str">
        <f aca="false">IF(UPPER(LEFT(TRIM(Raw_Data!E581),1))="M","Male",IF(UPPER(LEFT(TRIM(Raw_Data!E581),1))="F","Female","Unknown"))</f>
        <v>Female</v>
      </c>
      <c r="F581" s="13" t="str">
        <f aca="false">PROPER(TRIM(SUBSTITUTE(Raw_Data!F581,"'","")))</f>
        <v>Bachelors</v>
      </c>
      <c r="G581" s="13" t="str">
        <f aca="false">PROPER(TRIM(Raw_Data!G581))</f>
        <v>Sales</v>
      </c>
      <c r="H581" s="13" t="str">
        <f aca="false">PROPER(TRIM(Raw_Data!H581))</f>
        <v>Associate</v>
      </c>
      <c r="I581" s="13" t="n">
        <f aca="false">IF(Raw_Data!I581="",DefaultPerf,Raw_Data!I581)</f>
        <v>5</v>
      </c>
      <c r="J581" s="13" t="n">
        <f aca="false">IF(Raw_Data!J581="",DefaultSat,Raw_Data!J581)</f>
        <v>1</v>
      </c>
      <c r="K581" s="15" t="n">
        <f aca="false">Raw_Data!K581</f>
        <v>47000</v>
      </c>
      <c r="L581" s="13" t="str">
        <f aca="false">PROPER(TRIM(Raw_Data!N581))</f>
        <v>No</v>
      </c>
      <c r="M581" s="13" t="n">
        <f aca="false">IF(C581="",0,1)</f>
        <v>0</v>
      </c>
      <c r="N581" s="13" t="str">
        <f aca="false">IF(M581=0,"Active",IF(TRIM(Raw_Data!L581)="","Unknown",PROPER(TRIM(Raw_Data!L581))))</f>
        <v>Active</v>
      </c>
      <c r="O581" s="13" t="str">
        <f aca="false">IF(M581=0,"",IF(TRIM(Raw_Data!M581)="","Not Recorded",TRIM(Raw_Data!M581)))</f>
        <v/>
      </c>
      <c r="P581" s="16" t="n">
        <f aca="false">ROUND((IF(C581="",AsOfDate,C581)-B581)/365.25,2)</f>
        <v>8.66</v>
      </c>
      <c r="Q581" s="13" t="str">
        <f aca="false">IF(D581="","Unknown",IF(D581&lt;25,"Under 25",IF(D581&lt;35,"25-34",IF(D581&lt;45,"35-44",IF(D581&lt;55,"45-54","55+")))))</f>
        <v>35-44</v>
      </c>
      <c r="R581" s="13" t="str">
        <f aca="false">IF(P581&lt;1,"0-1 yrs",IF(P581&lt;3,"1-3 yrs",IF(P581&lt;5,"3-5 yrs",IF(P581&lt;10,"5-10 yrs","10+ yrs"))))</f>
        <v>5-10 yrs</v>
      </c>
      <c r="S581" s="13" t="str">
        <f aca="false">IF(I581&gt;=4,"High",IF(I581=3,"Medium","Low"))</f>
        <v>High</v>
      </c>
      <c r="T581" s="13" t="str">
        <f aca="false">IF(M581=1,YEAR(C581),"")</f>
        <v/>
      </c>
      <c r="U581" s="13" t="str">
        <f aca="false">IF(M581=1,YEAR(C581)&amp;"-Q"&amp;ROUNDUP(MONTH(C581)/3,0),"")</f>
        <v/>
      </c>
      <c r="V581" s="13" t="str">
        <f aca="false">IF(M581=1,MONTH(C581),"")</f>
        <v/>
      </c>
    </row>
    <row r="582" customFormat="false" ht="15" hidden="false" customHeight="false" outlineLevel="0" collapsed="false">
      <c r="A582" s="13" t="str">
        <f aca="false">TRIM(Raw_Data!A582)</f>
        <v>EMP0581</v>
      </c>
      <c r="B582" s="14" t="n">
        <f aca="false">Raw_Data!B582</f>
        <v>42858</v>
      </c>
      <c r="C582" s="14" t="n">
        <f aca="false">IF(Raw_Data!C582="","",Raw_Data!C582)</f>
        <v>44809</v>
      </c>
      <c r="D582" s="13" t="n">
        <f aca="false">IF(Raw_Data!D582="","",Raw_Data!D582)</f>
        <v>40</v>
      </c>
      <c r="E582" s="13" t="str">
        <f aca="false">IF(UPPER(LEFT(TRIM(Raw_Data!E582),1))="M","Male",IF(UPPER(LEFT(TRIM(Raw_Data!E582),1))="F","Female","Unknown"))</f>
        <v>Male</v>
      </c>
      <c r="F582" s="13" t="str">
        <f aca="false">PROPER(TRIM(SUBSTITUTE(Raw_Data!F582,"'","")))</f>
        <v>Bachelors</v>
      </c>
      <c r="G582" s="13" t="str">
        <f aca="false">PROPER(TRIM(Raw_Data!G582))</f>
        <v>Sales</v>
      </c>
      <c r="H582" s="13" t="str">
        <f aca="false">PROPER(TRIM(Raw_Data!H582))</f>
        <v>Analyst</v>
      </c>
      <c r="I582" s="13" t="n">
        <f aca="false">IF(Raw_Data!I582="",DefaultPerf,Raw_Data!I582)</f>
        <v>2</v>
      </c>
      <c r="J582" s="13" t="n">
        <f aca="false">IF(Raw_Data!J582="",DefaultSat,Raw_Data!J582)</f>
        <v>3</v>
      </c>
      <c r="K582" s="15" t="n">
        <f aca="false">Raw_Data!K582</f>
        <v>68500</v>
      </c>
      <c r="L582" s="13" t="str">
        <f aca="false">PROPER(TRIM(Raw_Data!N582))</f>
        <v>No</v>
      </c>
      <c r="M582" s="13" t="n">
        <f aca="false">IF(C582="",0,1)</f>
        <v>1</v>
      </c>
      <c r="N582" s="13" t="str">
        <f aca="false">IF(M582=0,"Active",IF(TRIM(Raw_Data!L582)="","Unknown",PROPER(TRIM(Raw_Data!L582))))</f>
        <v>Involuntary</v>
      </c>
      <c r="O582" s="13" t="str">
        <f aca="false">IF(M582=0,"",IF(TRIM(Raw_Data!M582)="","Not Recorded",TRIM(Raw_Data!M582)))</f>
        <v>End of Contract</v>
      </c>
      <c r="P582" s="16" t="n">
        <f aca="false">ROUND((IF(C582="",AsOfDate,C582)-B582)/365.25,2)</f>
        <v>5.34</v>
      </c>
      <c r="Q582" s="13" t="str">
        <f aca="false">IF(D582="","Unknown",IF(D582&lt;25,"Under 25",IF(D582&lt;35,"25-34",IF(D582&lt;45,"35-44",IF(D582&lt;55,"45-54","55+")))))</f>
        <v>35-44</v>
      </c>
      <c r="R582" s="13" t="str">
        <f aca="false">IF(P582&lt;1,"0-1 yrs",IF(P582&lt;3,"1-3 yrs",IF(P582&lt;5,"3-5 yrs",IF(P582&lt;10,"5-10 yrs","10+ yrs"))))</f>
        <v>5-10 yrs</v>
      </c>
      <c r="S582" s="13" t="str">
        <f aca="false">IF(I582&gt;=4,"High",IF(I582=3,"Medium","Low"))</f>
        <v>Low</v>
      </c>
      <c r="T582" s="13" t="n">
        <f aca="false">IF(M582=1,YEAR(C582),"")</f>
        <v>2022</v>
      </c>
      <c r="U582" s="13" t="str">
        <f aca="false">IF(M582=1,YEAR(C582)&amp;"-Q"&amp;ROUNDUP(MONTH(C582)/3,0),"")</f>
        <v>2022-Q3</v>
      </c>
      <c r="V582" s="13" t="n">
        <f aca="false">IF(M582=1,MONTH(C582),"")</f>
        <v>9</v>
      </c>
    </row>
    <row r="583" customFormat="false" ht="15" hidden="false" customHeight="false" outlineLevel="0" collapsed="false">
      <c r="A583" s="13" t="str">
        <f aca="false">TRIM(Raw_Data!A583)</f>
        <v>EMP0582</v>
      </c>
      <c r="B583" s="14" t="n">
        <f aca="false">Raw_Data!B583</f>
        <v>42862</v>
      </c>
      <c r="C583" s="14" t="str">
        <f aca="false">IF(Raw_Data!C583="","",Raw_Data!C583)</f>
        <v/>
      </c>
      <c r="D583" s="13" t="n">
        <f aca="false">IF(Raw_Data!D583="","",Raw_Data!D583)</f>
        <v>39</v>
      </c>
      <c r="E583" s="13" t="str">
        <f aca="false">IF(UPPER(LEFT(TRIM(Raw_Data!E583),1))="M","Male",IF(UPPER(LEFT(TRIM(Raw_Data!E583),1))="F","Female","Unknown"))</f>
        <v>Female</v>
      </c>
      <c r="F583" s="13" t="str">
        <f aca="false">PROPER(TRIM(SUBSTITUTE(Raw_Data!F583,"'","")))</f>
        <v>Masters</v>
      </c>
      <c r="G583" s="13" t="str">
        <f aca="false">PROPER(TRIM(Raw_Data!G583))</f>
        <v>Finance</v>
      </c>
      <c r="H583" s="13" t="str">
        <f aca="false">PROPER(TRIM(Raw_Data!H583))</f>
        <v>Specialist</v>
      </c>
      <c r="I583" s="13" t="n">
        <f aca="false">IF(Raw_Data!I583="",DefaultPerf,Raw_Data!I583)</f>
        <v>3</v>
      </c>
      <c r="J583" s="13" t="n">
        <f aca="false">IF(Raw_Data!J583="",DefaultSat,Raw_Data!J583)</f>
        <v>4</v>
      </c>
      <c r="K583" s="15" t="n">
        <f aca="false">Raw_Data!K583</f>
        <v>126500</v>
      </c>
      <c r="L583" s="13" t="str">
        <f aca="false">PROPER(TRIM(Raw_Data!N583))</f>
        <v>No</v>
      </c>
      <c r="M583" s="13" t="n">
        <f aca="false">IF(C583="",0,1)</f>
        <v>0</v>
      </c>
      <c r="N583" s="13" t="str">
        <f aca="false">IF(M583=0,"Active",IF(TRIM(Raw_Data!L583)="","Unknown",PROPER(TRIM(Raw_Data!L583))))</f>
        <v>Active</v>
      </c>
      <c r="O583" s="13" t="str">
        <f aca="false">IF(M583=0,"",IF(TRIM(Raw_Data!M583)="","Not Recorded",TRIM(Raw_Data!M583)))</f>
        <v/>
      </c>
      <c r="P583" s="16" t="n">
        <f aca="false">ROUND((IF(C583="",AsOfDate,C583)-B583)/365.25,2)</f>
        <v>8.65</v>
      </c>
      <c r="Q583" s="13" t="str">
        <f aca="false">IF(D583="","Unknown",IF(D583&lt;25,"Under 25",IF(D583&lt;35,"25-34",IF(D583&lt;45,"35-44",IF(D583&lt;55,"45-54","55+")))))</f>
        <v>35-44</v>
      </c>
      <c r="R583" s="13" t="str">
        <f aca="false">IF(P583&lt;1,"0-1 yrs",IF(P583&lt;3,"1-3 yrs",IF(P583&lt;5,"3-5 yrs",IF(P583&lt;10,"5-10 yrs","10+ yrs"))))</f>
        <v>5-10 yrs</v>
      </c>
      <c r="S583" s="13" t="str">
        <f aca="false">IF(I583&gt;=4,"High",IF(I583=3,"Medium","Low"))</f>
        <v>Medium</v>
      </c>
      <c r="T583" s="13" t="str">
        <f aca="false">IF(M583=1,YEAR(C583),"")</f>
        <v/>
      </c>
      <c r="U583" s="13" t="str">
        <f aca="false">IF(M583=1,YEAR(C583)&amp;"-Q"&amp;ROUNDUP(MONTH(C583)/3,0),"")</f>
        <v/>
      </c>
      <c r="V583" s="13" t="str">
        <f aca="false">IF(M583=1,MONTH(C583),"")</f>
        <v/>
      </c>
    </row>
    <row r="584" customFormat="false" ht="15" hidden="false" customHeight="false" outlineLevel="0" collapsed="false">
      <c r="A584" s="13" t="str">
        <f aca="false">TRIM(Raw_Data!A584)</f>
        <v>EMP0583</v>
      </c>
      <c r="B584" s="14" t="n">
        <f aca="false">Raw_Data!B584</f>
        <v>42862</v>
      </c>
      <c r="C584" s="14" t="str">
        <f aca="false">IF(Raw_Data!C584="","",Raw_Data!C584)</f>
        <v/>
      </c>
      <c r="D584" s="13" t="n">
        <f aca="false">IF(Raw_Data!D584="","",Raw_Data!D584)</f>
        <v>35</v>
      </c>
      <c r="E584" s="13" t="str">
        <f aca="false">IF(UPPER(LEFT(TRIM(Raw_Data!E584),1))="M","Male",IF(UPPER(LEFT(TRIM(Raw_Data!E584),1))="F","Female","Unknown"))</f>
        <v>Male</v>
      </c>
      <c r="F584" s="13" t="str">
        <f aca="false">PROPER(TRIM(SUBSTITUTE(Raw_Data!F584,"'","")))</f>
        <v>Doctorate</v>
      </c>
      <c r="G584" s="13" t="str">
        <f aca="false">PROPER(TRIM(Raw_Data!G584))</f>
        <v>Engineering</v>
      </c>
      <c r="H584" s="13" t="str">
        <f aca="false">PROPER(TRIM(Raw_Data!H584))</f>
        <v>Analyst</v>
      </c>
      <c r="I584" s="13" t="n">
        <f aca="false">IF(Raw_Data!I584="",DefaultPerf,Raw_Data!I584)</f>
        <v>4</v>
      </c>
      <c r="J584" s="13" t="n">
        <f aca="false">IF(Raw_Data!J584="",DefaultSat,Raw_Data!J584)</f>
        <v>1</v>
      </c>
      <c r="K584" s="15" t="n">
        <f aca="false">Raw_Data!K584</f>
        <v>79500</v>
      </c>
      <c r="L584" s="13" t="str">
        <f aca="false">PROPER(TRIM(Raw_Data!N584))</f>
        <v>No</v>
      </c>
      <c r="M584" s="13" t="n">
        <f aca="false">IF(C584="",0,1)</f>
        <v>0</v>
      </c>
      <c r="N584" s="13" t="str">
        <f aca="false">IF(M584=0,"Active",IF(TRIM(Raw_Data!L584)="","Unknown",PROPER(TRIM(Raw_Data!L584))))</f>
        <v>Active</v>
      </c>
      <c r="O584" s="13" t="str">
        <f aca="false">IF(M584=0,"",IF(TRIM(Raw_Data!M584)="","Not Recorded",TRIM(Raw_Data!M584)))</f>
        <v/>
      </c>
      <c r="P584" s="16" t="n">
        <f aca="false">ROUND((IF(C584="",AsOfDate,C584)-B584)/365.25,2)</f>
        <v>8.65</v>
      </c>
      <c r="Q584" s="13" t="str">
        <f aca="false">IF(D584="","Unknown",IF(D584&lt;25,"Under 25",IF(D584&lt;35,"25-34",IF(D584&lt;45,"35-44",IF(D584&lt;55,"45-54","55+")))))</f>
        <v>35-44</v>
      </c>
      <c r="R584" s="13" t="str">
        <f aca="false">IF(P584&lt;1,"0-1 yrs",IF(P584&lt;3,"1-3 yrs",IF(P584&lt;5,"3-5 yrs",IF(P584&lt;10,"5-10 yrs","10+ yrs"))))</f>
        <v>5-10 yrs</v>
      </c>
      <c r="S584" s="13" t="str">
        <f aca="false">IF(I584&gt;=4,"High",IF(I584=3,"Medium","Low"))</f>
        <v>High</v>
      </c>
      <c r="T584" s="13" t="str">
        <f aca="false">IF(M584=1,YEAR(C584),"")</f>
        <v/>
      </c>
      <c r="U584" s="13" t="str">
        <f aca="false">IF(M584=1,YEAR(C584)&amp;"-Q"&amp;ROUNDUP(MONTH(C584)/3,0),"")</f>
        <v/>
      </c>
      <c r="V584" s="13" t="str">
        <f aca="false">IF(M584=1,MONTH(C584),"")</f>
        <v/>
      </c>
    </row>
    <row r="585" customFormat="false" ht="15" hidden="false" customHeight="false" outlineLevel="0" collapsed="false">
      <c r="A585" s="13" t="str">
        <f aca="false">TRIM(Raw_Data!A585)</f>
        <v>EMP0584</v>
      </c>
      <c r="B585" s="14" t="n">
        <f aca="false">Raw_Data!B585</f>
        <v>42863</v>
      </c>
      <c r="C585" s="14" t="n">
        <f aca="false">IF(Raw_Data!C585="","",Raw_Data!C585)</f>
        <v>44659</v>
      </c>
      <c r="D585" s="13" t="n">
        <f aca="false">IF(Raw_Data!D585="","",Raw_Data!D585)</f>
        <v>26</v>
      </c>
      <c r="E585" s="13" t="str">
        <f aca="false">IF(UPPER(LEFT(TRIM(Raw_Data!E585),1))="M","Male",IF(UPPER(LEFT(TRIM(Raw_Data!E585),1))="F","Female","Unknown"))</f>
        <v>Male</v>
      </c>
      <c r="F585" s="13" t="str">
        <f aca="false">PROPER(TRIM(SUBSTITUTE(Raw_Data!F585,"'","")))</f>
        <v>Doctorate</v>
      </c>
      <c r="G585" s="13" t="str">
        <f aca="false">PROPER(TRIM(Raw_Data!G585))</f>
        <v>Engineering</v>
      </c>
      <c r="H585" s="13" t="str">
        <f aca="false">PROPER(TRIM(Raw_Data!H585))</f>
        <v>Team Lead</v>
      </c>
      <c r="I585" s="13" t="n">
        <f aca="false">IF(Raw_Data!I585="",DefaultPerf,Raw_Data!I585)</f>
        <v>2</v>
      </c>
      <c r="J585" s="13" t="n">
        <f aca="false">IF(Raw_Data!J585="",DefaultSat,Raw_Data!J585)</f>
        <v>4</v>
      </c>
      <c r="K585" s="15" t="n">
        <f aca="false">Raw_Data!K585</f>
        <v>137000</v>
      </c>
      <c r="L585" s="13" t="str">
        <f aca="false">PROPER(TRIM(Raw_Data!N585))</f>
        <v>Yes</v>
      </c>
      <c r="M585" s="13" t="n">
        <f aca="false">IF(C585="",0,1)</f>
        <v>1</v>
      </c>
      <c r="N585" s="13" t="str">
        <f aca="false">IF(M585=0,"Active",IF(TRIM(Raw_Data!L585)="","Unknown",PROPER(TRIM(Raw_Data!L585))))</f>
        <v>Involuntary</v>
      </c>
      <c r="O585" s="13" t="str">
        <f aca="false">IF(M585=0,"",IF(TRIM(Raw_Data!M585)="","Not Recorded",TRIM(Raw_Data!M585)))</f>
        <v>End of Contract</v>
      </c>
      <c r="P585" s="16" t="n">
        <f aca="false">ROUND((IF(C585="",AsOfDate,C585)-B585)/365.25,2)</f>
        <v>4.92</v>
      </c>
      <c r="Q585" s="13" t="str">
        <f aca="false">IF(D585="","Unknown",IF(D585&lt;25,"Under 25",IF(D585&lt;35,"25-34",IF(D585&lt;45,"35-44",IF(D585&lt;55,"45-54","55+")))))</f>
        <v>25-34</v>
      </c>
      <c r="R585" s="13" t="str">
        <f aca="false">IF(P585&lt;1,"0-1 yrs",IF(P585&lt;3,"1-3 yrs",IF(P585&lt;5,"3-5 yrs",IF(P585&lt;10,"5-10 yrs","10+ yrs"))))</f>
        <v>3-5 yrs</v>
      </c>
      <c r="S585" s="13" t="str">
        <f aca="false">IF(I585&gt;=4,"High",IF(I585=3,"Medium","Low"))</f>
        <v>Low</v>
      </c>
      <c r="T585" s="13" t="n">
        <f aca="false">IF(M585=1,YEAR(C585),"")</f>
        <v>2022</v>
      </c>
      <c r="U585" s="13" t="str">
        <f aca="false">IF(M585=1,YEAR(C585)&amp;"-Q"&amp;ROUNDUP(MONTH(C585)/3,0),"")</f>
        <v>2022-Q2</v>
      </c>
      <c r="V585" s="13" t="n">
        <f aca="false">IF(M585=1,MONTH(C585),"")</f>
        <v>4</v>
      </c>
    </row>
    <row r="586" customFormat="false" ht="15" hidden="false" customHeight="false" outlineLevel="0" collapsed="false">
      <c r="A586" s="13" t="str">
        <f aca="false">TRIM(Raw_Data!A586)</f>
        <v>EMP0585</v>
      </c>
      <c r="B586" s="14" t="n">
        <f aca="false">Raw_Data!B586</f>
        <v>42864</v>
      </c>
      <c r="C586" s="14" t="n">
        <f aca="false">IF(Raw_Data!C586="","",Raw_Data!C586)</f>
        <v>45159</v>
      </c>
      <c r="D586" s="13" t="n">
        <f aca="false">IF(Raw_Data!D586="","",Raw_Data!D586)</f>
        <v>39</v>
      </c>
      <c r="E586" s="13" t="str">
        <f aca="false">IF(UPPER(LEFT(TRIM(Raw_Data!E586),1))="M","Male",IF(UPPER(LEFT(TRIM(Raw_Data!E586),1))="F","Female","Unknown"))</f>
        <v>Male</v>
      </c>
      <c r="F586" s="13" t="str">
        <f aca="false">PROPER(TRIM(SUBSTITUTE(Raw_Data!F586,"'","")))</f>
        <v>High School</v>
      </c>
      <c r="G586" s="13" t="str">
        <f aca="false">PROPER(TRIM(Raw_Data!G586))</f>
        <v>Engineering</v>
      </c>
      <c r="H586" s="13" t="str">
        <f aca="false">PROPER(TRIM(Raw_Data!H586))</f>
        <v>Specialist</v>
      </c>
      <c r="I586" s="13" t="n">
        <f aca="false">IF(Raw_Data!I586="",DefaultPerf,Raw_Data!I586)</f>
        <v>4</v>
      </c>
      <c r="J586" s="13" t="n">
        <f aca="false">IF(Raw_Data!J586="",DefaultSat,Raw_Data!J586)</f>
        <v>1</v>
      </c>
      <c r="K586" s="15" t="n">
        <f aca="false">Raw_Data!K586</f>
        <v>134500</v>
      </c>
      <c r="L586" s="13" t="str">
        <f aca="false">PROPER(TRIM(Raw_Data!N586))</f>
        <v>Yes</v>
      </c>
      <c r="M586" s="13" t="n">
        <f aca="false">IF(C586="",0,1)</f>
        <v>1</v>
      </c>
      <c r="N586" s="13" t="str">
        <f aca="false">IF(M586=0,"Active",IF(TRIM(Raw_Data!L586)="","Unknown",PROPER(TRIM(Raw_Data!L586))))</f>
        <v>Involuntary</v>
      </c>
      <c r="O586" s="13" t="str">
        <f aca="false">IF(M586=0,"",IF(TRIM(Raw_Data!M586)="","Not Recorded",TRIM(Raw_Data!M586)))</f>
        <v>Restructuring / Layoff</v>
      </c>
      <c r="P586" s="16" t="n">
        <f aca="false">ROUND((IF(C586="",AsOfDate,C586)-B586)/365.25,2)</f>
        <v>6.28</v>
      </c>
      <c r="Q586" s="13" t="str">
        <f aca="false">IF(D586="","Unknown",IF(D586&lt;25,"Under 25",IF(D586&lt;35,"25-34",IF(D586&lt;45,"35-44",IF(D586&lt;55,"45-54","55+")))))</f>
        <v>35-44</v>
      </c>
      <c r="R586" s="13" t="str">
        <f aca="false">IF(P586&lt;1,"0-1 yrs",IF(P586&lt;3,"1-3 yrs",IF(P586&lt;5,"3-5 yrs",IF(P586&lt;10,"5-10 yrs","10+ yrs"))))</f>
        <v>5-10 yrs</v>
      </c>
      <c r="S586" s="13" t="str">
        <f aca="false">IF(I586&gt;=4,"High",IF(I586=3,"Medium","Low"))</f>
        <v>High</v>
      </c>
      <c r="T586" s="13" t="n">
        <f aca="false">IF(M586=1,YEAR(C586),"")</f>
        <v>2023</v>
      </c>
      <c r="U586" s="13" t="str">
        <f aca="false">IF(M586=1,YEAR(C586)&amp;"-Q"&amp;ROUNDUP(MONTH(C586)/3,0),"")</f>
        <v>2023-Q3</v>
      </c>
      <c r="V586" s="13" t="n">
        <f aca="false">IF(M586=1,MONTH(C586),"")</f>
        <v>8</v>
      </c>
    </row>
    <row r="587" customFormat="false" ht="15" hidden="false" customHeight="false" outlineLevel="0" collapsed="false">
      <c r="A587" s="13" t="str">
        <f aca="false">TRIM(Raw_Data!A587)</f>
        <v>EMP0586</v>
      </c>
      <c r="B587" s="14" t="n">
        <f aca="false">Raw_Data!B587</f>
        <v>42867</v>
      </c>
      <c r="C587" s="14" t="n">
        <f aca="false">IF(Raw_Data!C587="","",Raw_Data!C587)</f>
        <v>45931</v>
      </c>
      <c r="D587" s="13" t="n">
        <f aca="false">IF(Raw_Data!D587="","",Raw_Data!D587)</f>
        <v>42</v>
      </c>
      <c r="E587" s="13" t="str">
        <f aca="false">IF(UPPER(LEFT(TRIM(Raw_Data!E587),1))="M","Male",IF(UPPER(LEFT(TRIM(Raw_Data!E587),1))="F","Female","Unknown"))</f>
        <v>Male</v>
      </c>
      <c r="F587" s="13" t="str">
        <f aca="false">PROPER(TRIM(SUBSTITUTE(Raw_Data!F587,"'","")))</f>
        <v>Masters</v>
      </c>
      <c r="G587" s="13" t="str">
        <f aca="false">PROPER(TRIM(Raw_Data!G587))</f>
        <v>Sales</v>
      </c>
      <c r="H587" s="13" t="str">
        <f aca="false">PROPER(TRIM(Raw_Data!H587))</f>
        <v>Senior Analyst</v>
      </c>
      <c r="I587" s="13" t="n">
        <f aca="false">IF(Raw_Data!I587="",DefaultPerf,Raw_Data!I587)</f>
        <v>4</v>
      </c>
      <c r="J587" s="13" t="n">
        <f aca="false">IF(Raw_Data!J587="",DefaultSat,Raw_Data!J587)</f>
        <v>3</v>
      </c>
      <c r="K587" s="15" t="n">
        <f aca="false">Raw_Data!K587</f>
        <v>128500</v>
      </c>
      <c r="L587" s="13" t="str">
        <f aca="false">PROPER(TRIM(Raw_Data!N587))</f>
        <v>Yes</v>
      </c>
      <c r="M587" s="13" t="n">
        <f aca="false">IF(C587="",0,1)</f>
        <v>1</v>
      </c>
      <c r="N587" s="13" t="str">
        <f aca="false">IF(M587=0,"Active",IF(TRIM(Raw_Data!L587)="","Unknown",PROPER(TRIM(Raw_Data!L587))))</f>
        <v>Voluntary</v>
      </c>
      <c r="O587" s="13" t="str">
        <f aca="false">IF(M587=0,"",IF(TRIM(Raw_Data!M587)="","Not Recorded",TRIM(Raw_Data!M587)))</f>
        <v>Work-Life Balance</v>
      </c>
      <c r="P587" s="16" t="n">
        <f aca="false">ROUND((IF(C587="",AsOfDate,C587)-B587)/365.25,2)</f>
        <v>8.39</v>
      </c>
      <c r="Q587" s="13" t="str">
        <f aca="false">IF(D587="","Unknown",IF(D587&lt;25,"Under 25",IF(D587&lt;35,"25-34",IF(D587&lt;45,"35-44",IF(D587&lt;55,"45-54","55+")))))</f>
        <v>35-44</v>
      </c>
      <c r="R587" s="13" t="str">
        <f aca="false">IF(P587&lt;1,"0-1 yrs",IF(P587&lt;3,"1-3 yrs",IF(P587&lt;5,"3-5 yrs",IF(P587&lt;10,"5-10 yrs","10+ yrs"))))</f>
        <v>5-10 yrs</v>
      </c>
      <c r="S587" s="13" t="str">
        <f aca="false">IF(I587&gt;=4,"High",IF(I587=3,"Medium","Low"))</f>
        <v>High</v>
      </c>
      <c r="T587" s="13" t="n">
        <f aca="false">IF(M587=1,YEAR(C587),"")</f>
        <v>2025</v>
      </c>
      <c r="U587" s="13" t="str">
        <f aca="false">IF(M587=1,YEAR(C587)&amp;"-Q"&amp;ROUNDUP(MONTH(C587)/3,0),"")</f>
        <v>2025-Q4</v>
      </c>
      <c r="V587" s="13" t="n">
        <f aca="false">IF(M587=1,MONTH(C587),"")</f>
        <v>10</v>
      </c>
    </row>
    <row r="588" customFormat="false" ht="15" hidden="false" customHeight="false" outlineLevel="0" collapsed="false">
      <c r="A588" s="13" t="str">
        <f aca="false">TRIM(Raw_Data!A588)</f>
        <v>EMP0587</v>
      </c>
      <c r="B588" s="14" t="n">
        <f aca="false">Raw_Data!B588</f>
        <v>42869</v>
      </c>
      <c r="C588" s="14" t="n">
        <f aca="false">IF(Raw_Data!C588="","",Raw_Data!C588)</f>
        <v>44666</v>
      </c>
      <c r="D588" s="13" t="n">
        <f aca="false">IF(Raw_Data!D588="","",Raw_Data!D588)</f>
        <v>34</v>
      </c>
      <c r="E588" s="13" t="str">
        <f aca="false">IF(UPPER(LEFT(TRIM(Raw_Data!E588),1))="M","Male",IF(UPPER(LEFT(TRIM(Raw_Data!E588),1))="F","Female","Unknown"))</f>
        <v>Female</v>
      </c>
      <c r="F588" s="13" t="str">
        <f aca="false">PROPER(TRIM(SUBSTITUTE(Raw_Data!F588,"'","")))</f>
        <v>Doctorate</v>
      </c>
      <c r="G588" s="13" t="str">
        <f aca="false">PROPER(TRIM(Raw_Data!G588))</f>
        <v>Operations</v>
      </c>
      <c r="H588" s="13" t="str">
        <f aca="false">PROPER(TRIM(Raw_Data!H588))</f>
        <v>Team Lead</v>
      </c>
      <c r="I588" s="13" t="n">
        <f aca="false">IF(Raw_Data!I588="",DefaultPerf,Raw_Data!I588)</f>
        <v>2</v>
      </c>
      <c r="J588" s="13" t="n">
        <f aca="false">IF(Raw_Data!J588="",DefaultSat,Raw_Data!J588)</f>
        <v>2</v>
      </c>
      <c r="K588" s="15" t="n">
        <f aca="false">Raw_Data!K588</f>
        <v>171500</v>
      </c>
      <c r="L588" s="13" t="str">
        <f aca="false">PROPER(TRIM(Raw_Data!N588))</f>
        <v>No</v>
      </c>
      <c r="M588" s="13" t="n">
        <f aca="false">IF(C588="",0,1)</f>
        <v>1</v>
      </c>
      <c r="N588" s="13" t="str">
        <f aca="false">IF(M588=0,"Active",IF(TRIM(Raw_Data!L588)="","Unknown",PROPER(TRIM(Raw_Data!L588))))</f>
        <v>Voluntary</v>
      </c>
      <c r="O588" s="13" t="str">
        <f aca="false">IF(M588=0,"",IF(TRIM(Raw_Data!M588)="","Not Recorded",TRIM(Raw_Data!M588)))</f>
        <v>Better Compensation</v>
      </c>
      <c r="P588" s="16" t="n">
        <f aca="false">ROUND((IF(C588="",AsOfDate,C588)-B588)/365.25,2)</f>
        <v>4.92</v>
      </c>
      <c r="Q588" s="13" t="str">
        <f aca="false">IF(D588="","Unknown",IF(D588&lt;25,"Under 25",IF(D588&lt;35,"25-34",IF(D588&lt;45,"35-44",IF(D588&lt;55,"45-54","55+")))))</f>
        <v>25-34</v>
      </c>
      <c r="R588" s="13" t="str">
        <f aca="false">IF(P588&lt;1,"0-1 yrs",IF(P588&lt;3,"1-3 yrs",IF(P588&lt;5,"3-5 yrs",IF(P588&lt;10,"5-10 yrs","10+ yrs"))))</f>
        <v>3-5 yrs</v>
      </c>
      <c r="S588" s="13" t="str">
        <f aca="false">IF(I588&gt;=4,"High",IF(I588=3,"Medium","Low"))</f>
        <v>Low</v>
      </c>
      <c r="T588" s="13" t="n">
        <f aca="false">IF(M588=1,YEAR(C588),"")</f>
        <v>2022</v>
      </c>
      <c r="U588" s="13" t="str">
        <f aca="false">IF(M588=1,YEAR(C588)&amp;"-Q"&amp;ROUNDUP(MONTH(C588)/3,0),"")</f>
        <v>2022-Q2</v>
      </c>
      <c r="V588" s="13" t="n">
        <f aca="false">IF(M588=1,MONTH(C588),"")</f>
        <v>4</v>
      </c>
    </row>
    <row r="589" customFormat="false" ht="15" hidden="false" customHeight="false" outlineLevel="0" collapsed="false">
      <c r="A589" s="13" t="str">
        <f aca="false">TRIM(Raw_Data!A589)</f>
        <v>EMP0588</v>
      </c>
      <c r="B589" s="14" t="n">
        <f aca="false">Raw_Data!B589</f>
        <v>42874</v>
      </c>
      <c r="C589" s="14" t="str">
        <f aca="false">IF(Raw_Data!C589="","",Raw_Data!C589)</f>
        <v/>
      </c>
      <c r="D589" s="13" t="n">
        <f aca="false">IF(Raw_Data!D589="","",Raw_Data!D589)</f>
        <v>38</v>
      </c>
      <c r="E589" s="13" t="str">
        <f aca="false">IF(UPPER(LEFT(TRIM(Raw_Data!E589),1))="M","Male",IF(UPPER(LEFT(TRIM(Raw_Data!E589),1))="F","Female","Unknown"))</f>
        <v>Female</v>
      </c>
      <c r="F589" s="13" t="str">
        <f aca="false">PROPER(TRIM(SUBSTITUTE(Raw_Data!F589,"'","")))</f>
        <v>Bachelors</v>
      </c>
      <c r="G589" s="13" t="str">
        <f aca="false">PROPER(TRIM(Raw_Data!G589))</f>
        <v>Operations</v>
      </c>
      <c r="H589" s="13" t="str">
        <f aca="false">PROPER(TRIM(Raw_Data!H589))</f>
        <v>Analyst</v>
      </c>
      <c r="I589" s="13" t="n">
        <f aca="false">IF(Raw_Data!I589="",DefaultPerf,Raw_Data!I589)</f>
        <v>4</v>
      </c>
      <c r="J589" s="13" t="n">
        <f aca="false">IF(Raw_Data!J589="",DefaultSat,Raw_Data!J589)</f>
        <v>2</v>
      </c>
      <c r="K589" s="15" t="n">
        <f aca="false">Raw_Data!K589</f>
        <v>66500</v>
      </c>
      <c r="L589" s="13" t="str">
        <f aca="false">PROPER(TRIM(Raw_Data!N589))</f>
        <v>No</v>
      </c>
      <c r="M589" s="13" t="n">
        <f aca="false">IF(C589="",0,1)</f>
        <v>0</v>
      </c>
      <c r="N589" s="13" t="str">
        <f aca="false">IF(M589=0,"Active",IF(TRIM(Raw_Data!L589)="","Unknown",PROPER(TRIM(Raw_Data!L589))))</f>
        <v>Active</v>
      </c>
      <c r="O589" s="13" t="str">
        <f aca="false">IF(M589=0,"",IF(TRIM(Raw_Data!M589)="","Not Recorded",TRIM(Raw_Data!M589)))</f>
        <v/>
      </c>
      <c r="P589" s="16" t="n">
        <f aca="false">ROUND((IF(C589="",AsOfDate,C589)-B589)/365.25,2)</f>
        <v>8.62</v>
      </c>
      <c r="Q589" s="13" t="str">
        <f aca="false">IF(D589="","Unknown",IF(D589&lt;25,"Under 25",IF(D589&lt;35,"25-34",IF(D589&lt;45,"35-44",IF(D589&lt;55,"45-54","55+")))))</f>
        <v>35-44</v>
      </c>
      <c r="R589" s="13" t="str">
        <f aca="false">IF(P589&lt;1,"0-1 yrs",IF(P589&lt;3,"1-3 yrs",IF(P589&lt;5,"3-5 yrs",IF(P589&lt;10,"5-10 yrs","10+ yrs"))))</f>
        <v>5-10 yrs</v>
      </c>
      <c r="S589" s="13" t="str">
        <f aca="false">IF(I589&gt;=4,"High",IF(I589=3,"Medium","Low"))</f>
        <v>High</v>
      </c>
      <c r="T589" s="13" t="str">
        <f aca="false">IF(M589=1,YEAR(C589),"")</f>
        <v/>
      </c>
      <c r="U589" s="13" t="str">
        <f aca="false">IF(M589=1,YEAR(C589)&amp;"-Q"&amp;ROUNDUP(MONTH(C589)/3,0),"")</f>
        <v/>
      </c>
      <c r="V589" s="13" t="str">
        <f aca="false">IF(M589=1,MONTH(C589),"")</f>
        <v/>
      </c>
    </row>
    <row r="590" customFormat="false" ht="15" hidden="false" customHeight="false" outlineLevel="0" collapsed="false">
      <c r="A590" s="13" t="str">
        <f aca="false">TRIM(Raw_Data!A590)</f>
        <v>EMP0589</v>
      </c>
      <c r="B590" s="14" t="n">
        <f aca="false">Raw_Data!B590</f>
        <v>42877</v>
      </c>
      <c r="C590" s="14" t="str">
        <f aca="false">IF(Raw_Data!C590="","",Raw_Data!C590)</f>
        <v/>
      </c>
      <c r="D590" s="13" t="n">
        <f aca="false">IF(Raw_Data!D590="","",Raw_Data!D590)</f>
        <v>37</v>
      </c>
      <c r="E590" s="13" t="str">
        <f aca="false">IF(UPPER(LEFT(TRIM(Raw_Data!E590),1))="M","Male",IF(UPPER(LEFT(TRIM(Raw_Data!E590),1))="F","Female","Unknown"))</f>
        <v>Male</v>
      </c>
      <c r="F590" s="13" t="str">
        <f aca="false">PROPER(TRIM(SUBSTITUTE(Raw_Data!F590,"'","")))</f>
        <v>Bachelors</v>
      </c>
      <c r="G590" s="13" t="str">
        <f aca="false">PROPER(TRIM(Raw_Data!G590))</f>
        <v>Customer Support</v>
      </c>
      <c r="H590" s="13" t="str">
        <f aca="false">PROPER(TRIM(Raw_Data!H590))</f>
        <v>Senior Analyst</v>
      </c>
      <c r="I590" s="13" t="n">
        <f aca="false">IF(Raw_Data!I590="",DefaultPerf,Raw_Data!I590)</f>
        <v>4</v>
      </c>
      <c r="J590" s="13" t="n">
        <f aca="false">IF(Raw_Data!J590="",DefaultSat,Raw_Data!J590)</f>
        <v>4</v>
      </c>
      <c r="K590" s="15" t="n">
        <f aca="false">Raw_Data!K590</f>
        <v>113500</v>
      </c>
      <c r="L590" s="13" t="str">
        <f aca="false">PROPER(TRIM(Raw_Data!N590))</f>
        <v>Yes</v>
      </c>
      <c r="M590" s="13" t="n">
        <f aca="false">IF(C590="",0,1)</f>
        <v>0</v>
      </c>
      <c r="N590" s="13" t="str">
        <f aca="false">IF(M590=0,"Active",IF(TRIM(Raw_Data!L590)="","Unknown",PROPER(TRIM(Raw_Data!L590))))</f>
        <v>Active</v>
      </c>
      <c r="O590" s="13" t="str">
        <f aca="false">IF(M590=0,"",IF(TRIM(Raw_Data!M590)="","Not Recorded",TRIM(Raw_Data!M590)))</f>
        <v/>
      </c>
      <c r="P590" s="16" t="n">
        <f aca="false">ROUND((IF(C590="",AsOfDate,C590)-B590)/365.25,2)</f>
        <v>8.61</v>
      </c>
      <c r="Q590" s="13" t="str">
        <f aca="false">IF(D590="","Unknown",IF(D590&lt;25,"Under 25",IF(D590&lt;35,"25-34",IF(D590&lt;45,"35-44",IF(D590&lt;55,"45-54","55+")))))</f>
        <v>35-44</v>
      </c>
      <c r="R590" s="13" t="str">
        <f aca="false">IF(P590&lt;1,"0-1 yrs",IF(P590&lt;3,"1-3 yrs",IF(P590&lt;5,"3-5 yrs",IF(P590&lt;10,"5-10 yrs","10+ yrs"))))</f>
        <v>5-10 yrs</v>
      </c>
      <c r="S590" s="13" t="str">
        <f aca="false">IF(I590&gt;=4,"High",IF(I590=3,"Medium","Low"))</f>
        <v>High</v>
      </c>
      <c r="T590" s="13" t="str">
        <f aca="false">IF(M590=1,YEAR(C590),"")</f>
        <v/>
      </c>
      <c r="U590" s="13" t="str">
        <f aca="false">IF(M590=1,YEAR(C590)&amp;"-Q"&amp;ROUNDUP(MONTH(C590)/3,0),"")</f>
        <v/>
      </c>
      <c r="V590" s="13" t="str">
        <f aca="false">IF(M590=1,MONTH(C590),"")</f>
        <v/>
      </c>
    </row>
    <row r="591" customFormat="false" ht="15" hidden="false" customHeight="false" outlineLevel="0" collapsed="false">
      <c r="A591" s="13" t="str">
        <f aca="false">TRIM(Raw_Data!A591)</f>
        <v>EMP0590</v>
      </c>
      <c r="B591" s="14" t="n">
        <f aca="false">Raw_Data!B591</f>
        <v>42878</v>
      </c>
      <c r="C591" s="14" t="str">
        <f aca="false">IF(Raw_Data!C591="","",Raw_Data!C591)</f>
        <v/>
      </c>
      <c r="D591" s="13" t="n">
        <f aca="false">IF(Raw_Data!D591="","",Raw_Data!D591)</f>
        <v>31</v>
      </c>
      <c r="E591" s="13" t="str">
        <f aca="false">IF(UPPER(LEFT(TRIM(Raw_Data!E591),1))="M","Male",IF(UPPER(LEFT(TRIM(Raw_Data!E591),1))="F","Female","Unknown"))</f>
        <v>Female</v>
      </c>
      <c r="F591" s="13" t="str">
        <f aca="false">PROPER(TRIM(SUBSTITUTE(Raw_Data!F591,"'","")))</f>
        <v>Bachelors</v>
      </c>
      <c r="G591" s="13" t="str">
        <f aca="false">PROPER(TRIM(Raw_Data!G591))</f>
        <v>Sales</v>
      </c>
      <c r="H591" s="13" t="str">
        <f aca="false">PROPER(TRIM(Raw_Data!H591))</f>
        <v>Senior Analyst</v>
      </c>
      <c r="I591" s="13" t="n">
        <f aca="false">IF(Raw_Data!I591="",DefaultPerf,Raw_Data!I591)</f>
        <v>3</v>
      </c>
      <c r="J591" s="13" t="n">
        <f aca="false">IF(Raw_Data!J591="",DefaultSat,Raw_Data!J591)</f>
        <v>4</v>
      </c>
      <c r="K591" s="15" t="n">
        <f aca="false">Raw_Data!K591</f>
        <v>105000</v>
      </c>
      <c r="L591" s="13" t="str">
        <f aca="false">PROPER(TRIM(Raw_Data!N591))</f>
        <v>No</v>
      </c>
      <c r="M591" s="13" t="n">
        <f aca="false">IF(C591="",0,1)</f>
        <v>0</v>
      </c>
      <c r="N591" s="13" t="str">
        <f aca="false">IF(M591=0,"Active",IF(TRIM(Raw_Data!L591)="","Unknown",PROPER(TRIM(Raw_Data!L591))))</f>
        <v>Active</v>
      </c>
      <c r="O591" s="13" t="str">
        <f aca="false">IF(M591=0,"",IF(TRIM(Raw_Data!M591)="","Not Recorded",TRIM(Raw_Data!M591)))</f>
        <v/>
      </c>
      <c r="P591" s="16" t="n">
        <f aca="false">ROUND((IF(C591="",AsOfDate,C591)-B591)/365.25,2)</f>
        <v>8.61</v>
      </c>
      <c r="Q591" s="13" t="str">
        <f aca="false">IF(D591="","Unknown",IF(D591&lt;25,"Under 25",IF(D591&lt;35,"25-34",IF(D591&lt;45,"35-44",IF(D591&lt;55,"45-54","55+")))))</f>
        <v>25-34</v>
      </c>
      <c r="R591" s="13" t="str">
        <f aca="false">IF(P591&lt;1,"0-1 yrs",IF(P591&lt;3,"1-3 yrs",IF(P591&lt;5,"3-5 yrs",IF(P591&lt;10,"5-10 yrs","10+ yrs"))))</f>
        <v>5-10 yrs</v>
      </c>
      <c r="S591" s="13" t="str">
        <f aca="false">IF(I591&gt;=4,"High",IF(I591=3,"Medium","Low"))</f>
        <v>Medium</v>
      </c>
      <c r="T591" s="13" t="str">
        <f aca="false">IF(M591=1,YEAR(C591),"")</f>
        <v/>
      </c>
      <c r="U591" s="13" t="str">
        <f aca="false">IF(M591=1,YEAR(C591)&amp;"-Q"&amp;ROUNDUP(MONTH(C591)/3,0),"")</f>
        <v/>
      </c>
      <c r="V591" s="13" t="str">
        <f aca="false">IF(M591=1,MONTH(C591),"")</f>
        <v/>
      </c>
    </row>
    <row r="592" customFormat="false" ht="15" hidden="false" customHeight="false" outlineLevel="0" collapsed="false">
      <c r="A592" s="13" t="str">
        <f aca="false">TRIM(Raw_Data!A592)</f>
        <v>EMP0591</v>
      </c>
      <c r="B592" s="14" t="n">
        <f aca="false">Raw_Data!B592</f>
        <v>42881</v>
      </c>
      <c r="C592" s="14" t="n">
        <f aca="false">IF(Raw_Data!C592="","",Raw_Data!C592)</f>
        <v>45314</v>
      </c>
      <c r="D592" s="13" t="n">
        <f aca="false">IF(Raw_Data!D592="","",Raw_Data!D592)</f>
        <v>37</v>
      </c>
      <c r="E592" s="13" t="str">
        <f aca="false">IF(UPPER(LEFT(TRIM(Raw_Data!E592),1))="M","Male",IF(UPPER(LEFT(TRIM(Raw_Data!E592),1))="F","Female","Unknown"))</f>
        <v>Female</v>
      </c>
      <c r="F592" s="13" t="str">
        <f aca="false">PROPER(TRIM(SUBSTITUTE(Raw_Data!F592,"'","")))</f>
        <v>Diploma</v>
      </c>
      <c r="G592" s="13" t="str">
        <f aca="false">PROPER(TRIM(Raw_Data!G592))</f>
        <v>Finance</v>
      </c>
      <c r="H592" s="13" t="str">
        <f aca="false">PROPER(TRIM(Raw_Data!H592))</f>
        <v>Associate</v>
      </c>
      <c r="I592" s="13" t="n">
        <f aca="false">IF(Raw_Data!I592="",DefaultPerf,Raw_Data!I592)</f>
        <v>5</v>
      </c>
      <c r="J592" s="13" t="n">
        <f aca="false">IF(Raw_Data!J592="",DefaultSat,Raw_Data!J592)</f>
        <v>1</v>
      </c>
      <c r="K592" s="15" t="n">
        <f aca="false">Raw_Data!K592</f>
        <v>39500</v>
      </c>
      <c r="L592" s="13" t="str">
        <f aca="false">PROPER(TRIM(Raw_Data!N592))</f>
        <v>No</v>
      </c>
      <c r="M592" s="13" t="n">
        <f aca="false">IF(C592="",0,1)</f>
        <v>1</v>
      </c>
      <c r="N592" s="13" t="str">
        <f aca="false">IF(M592=0,"Active",IF(TRIM(Raw_Data!L592)="","Unknown",PROPER(TRIM(Raw_Data!L592))))</f>
        <v>Voluntary</v>
      </c>
      <c r="O592" s="13" t="str">
        <f aca="false">IF(M592=0,"",IF(TRIM(Raw_Data!M592)="","Not Recorded",TRIM(Raw_Data!M592)))</f>
        <v>Better Compensation</v>
      </c>
      <c r="P592" s="16" t="n">
        <f aca="false">ROUND((IF(C592="",AsOfDate,C592)-B592)/365.25,2)</f>
        <v>6.66</v>
      </c>
      <c r="Q592" s="13" t="str">
        <f aca="false">IF(D592="","Unknown",IF(D592&lt;25,"Under 25",IF(D592&lt;35,"25-34",IF(D592&lt;45,"35-44",IF(D592&lt;55,"45-54","55+")))))</f>
        <v>35-44</v>
      </c>
      <c r="R592" s="13" t="str">
        <f aca="false">IF(P592&lt;1,"0-1 yrs",IF(P592&lt;3,"1-3 yrs",IF(P592&lt;5,"3-5 yrs",IF(P592&lt;10,"5-10 yrs","10+ yrs"))))</f>
        <v>5-10 yrs</v>
      </c>
      <c r="S592" s="13" t="str">
        <f aca="false">IF(I592&gt;=4,"High",IF(I592=3,"Medium","Low"))</f>
        <v>High</v>
      </c>
      <c r="T592" s="13" t="n">
        <f aca="false">IF(M592=1,YEAR(C592),"")</f>
        <v>2024</v>
      </c>
      <c r="U592" s="13" t="str">
        <f aca="false">IF(M592=1,YEAR(C592)&amp;"-Q"&amp;ROUNDUP(MONTH(C592)/3,0),"")</f>
        <v>2024-Q1</v>
      </c>
      <c r="V592" s="13" t="n">
        <f aca="false">IF(M592=1,MONTH(C592),"")</f>
        <v>1</v>
      </c>
    </row>
    <row r="593" customFormat="false" ht="15" hidden="false" customHeight="false" outlineLevel="0" collapsed="false">
      <c r="A593" s="13" t="str">
        <f aca="false">TRIM(Raw_Data!A593)</f>
        <v>EMP0592</v>
      </c>
      <c r="B593" s="14" t="n">
        <f aca="false">Raw_Data!B593</f>
        <v>42881</v>
      </c>
      <c r="C593" s="14" t="str">
        <f aca="false">IF(Raw_Data!C593="","",Raw_Data!C593)</f>
        <v/>
      </c>
      <c r="D593" s="13" t="n">
        <f aca="false">IF(Raw_Data!D593="","",Raw_Data!D593)</f>
        <v>31</v>
      </c>
      <c r="E593" s="13" t="str">
        <f aca="false">IF(UPPER(LEFT(TRIM(Raw_Data!E593),1))="M","Male",IF(UPPER(LEFT(TRIM(Raw_Data!E593),1))="F","Female","Unknown"))</f>
        <v>Female</v>
      </c>
      <c r="F593" s="13" t="str">
        <f aca="false">PROPER(TRIM(SUBSTITUTE(Raw_Data!F593,"'","")))</f>
        <v>Masters</v>
      </c>
      <c r="G593" s="13" t="str">
        <f aca="false">PROPER(TRIM(Raw_Data!G593))</f>
        <v>Human Resources</v>
      </c>
      <c r="H593" s="13" t="str">
        <f aca="false">PROPER(TRIM(Raw_Data!H593))</f>
        <v>Associate</v>
      </c>
      <c r="I593" s="13" t="n">
        <f aca="false">IF(Raw_Data!I593="",DefaultPerf,Raw_Data!I593)</f>
        <v>3</v>
      </c>
      <c r="J593" s="13" t="n">
        <f aca="false">IF(Raw_Data!J593="",DefaultSat,Raw_Data!J593)</f>
        <v>4</v>
      </c>
      <c r="K593" s="15" t="n">
        <f aca="false">Raw_Data!K593</f>
        <v>40500</v>
      </c>
      <c r="L593" s="13" t="str">
        <f aca="false">PROPER(TRIM(Raw_Data!N593))</f>
        <v>No</v>
      </c>
      <c r="M593" s="13" t="n">
        <f aca="false">IF(C593="",0,1)</f>
        <v>0</v>
      </c>
      <c r="N593" s="13" t="str">
        <f aca="false">IF(M593=0,"Active",IF(TRIM(Raw_Data!L593)="","Unknown",PROPER(TRIM(Raw_Data!L593))))</f>
        <v>Active</v>
      </c>
      <c r="O593" s="13" t="str">
        <f aca="false">IF(M593=0,"",IF(TRIM(Raw_Data!M593)="","Not Recorded",TRIM(Raw_Data!M593)))</f>
        <v/>
      </c>
      <c r="P593" s="16" t="n">
        <f aca="false">ROUND((IF(C593="",AsOfDate,C593)-B593)/365.25,2)</f>
        <v>8.6</v>
      </c>
      <c r="Q593" s="13" t="str">
        <f aca="false">IF(D593="","Unknown",IF(D593&lt;25,"Under 25",IF(D593&lt;35,"25-34",IF(D593&lt;45,"35-44",IF(D593&lt;55,"45-54","55+")))))</f>
        <v>25-34</v>
      </c>
      <c r="R593" s="13" t="str">
        <f aca="false">IF(P593&lt;1,"0-1 yrs",IF(P593&lt;3,"1-3 yrs",IF(P593&lt;5,"3-5 yrs",IF(P593&lt;10,"5-10 yrs","10+ yrs"))))</f>
        <v>5-10 yrs</v>
      </c>
      <c r="S593" s="13" t="str">
        <f aca="false">IF(I593&gt;=4,"High",IF(I593=3,"Medium","Low"))</f>
        <v>Medium</v>
      </c>
      <c r="T593" s="13" t="str">
        <f aca="false">IF(M593=1,YEAR(C593),"")</f>
        <v/>
      </c>
      <c r="U593" s="13" t="str">
        <f aca="false">IF(M593=1,YEAR(C593)&amp;"-Q"&amp;ROUNDUP(MONTH(C593)/3,0),"")</f>
        <v/>
      </c>
      <c r="V593" s="13" t="str">
        <f aca="false">IF(M593=1,MONTH(C593),"")</f>
        <v/>
      </c>
    </row>
    <row r="594" customFormat="false" ht="15" hidden="false" customHeight="false" outlineLevel="0" collapsed="false">
      <c r="A594" s="13" t="str">
        <f aca="false">TRIM(Raw_Data!A594)</f>
        <v>EMP0593</v>
      </c>
      <c r="B594" s="14" t="n">
        <f aca="false">Raw_Data!B594</f>
        <v>42886</v>
      </c>
      <c r="C594" s="14" t="str">
        <f aca="false">IF(Raw_Data!C594="","",Raw_Data!C594)</f>
        <v/>
      </c>
      <c r="D594" s="13" t="n">
        <f aca="false">IF(Raw_Data!D594="","",Raw_Data!D594)</f>
        <v>37</v>
      </c>
      <c r="E594" s="13" t="str">
        <f aca="false">IF(UPPER(LEFT(TRIM(Raw_Data!E594),1))="M","Male",IF(UPPER(LEFT(TRIM(Raw_Data!E594),1))="F","Female","Unknown"))</f>
        <v>Female</v>
      </c>
      <c r="F594" s="13" t="str">
        <f aca="false">PROPER(TRIM(SUBSTITUTE(Raw_Data!F594,"'","")))</f>
        <v>Bachelors</v>
      </c>
      <c r="G594" s="13" t="str">
        <f aca="false">PROPER(TRIM(Raw_Data!G594))</f>
        <v>Engineering</v>
      </c>
      <c r="H594" s="13" t="str">
        <f aca="false">PROPER(TRIM(Raw_Data!H594))</f>
        <v>Manager</v>
      </c>
      <c r="I594" s="13" t="n">
        <f aca="false">IF(Raw_Data!I594="",DefaultPerf,Raw_Data!I594)</f>
        <v>3</v>
      </c>
      <c r="J594" s="13" t="n">
        <f aca="false">IF(Raw_Data!J594="",DefaultSat,Raw_Data!J594)</f>
        <v>1</v>
      </c>
      <c r="K594" s="15" t="n">
        <f aca="false">Raw_Data!K594</f>
        <v>203000</v>
      </c>
      <c r="L594" s="13" t="str">
        <f aca="false">PROPER(TRIM(Raw_Data!N594))</f>
        <v>Yes</v>
      </c>
      <c r="M594" s="13" t="n">
        <f aca="false">IF(C594="",0,1)</f>
        <v>0</v>
      </c>
      <c r="N594" s="13" t="str">
        <f aca="false">IF(M594=0,"Active",IF(TRIM(Raw_Data!L594)="","Unknown",PROPER(TRIM(Raw_Data!L594))))</f>
        <v>Active</v>
      </c>
      <c r="O594" s="13" t="str">
        <f aca="false">IF(M594=0,"",IF(TRIM(Raw_Data!M594)="","Not Recorded",TRIM(Raw_Data!M594)))</f>
        <v/>
      </c>
      <c r="P594" s="16" t="n">
        <f aca="false">ROUND((IF(C594="",AsOfDate,C594)-B594)/365.25,2)</f>
        <v>8.59</v>
      </c>
      <c r="Q594" s="13" t="str">
        <f aca="false">IF(D594="","Unknown",IF(D594&lt;25,"Under 25",IF(D594&lt;35,"25-34",IF(D594&lt;45,"35-44",IF(D594&lt;55,"45-54","55+")))))</f>
        <v>35-44</v>
      </c>
      <c r="R594" s="13" t="str">
        <f aca="false">IF(P594&lt;1,"0-1 yrs",IF(P594&lt;3,"1-3 yrs",IF(P594&lt;5,"3-5 yrs",IF(P594&lt;10,"5-10 yrs","10+ yrs"))))</f>
        <v>5-10 yrs</v>
      </c>
      <c r="S594" s="13" t="str">
        <f aca="false">IF(I594&gt;=4,"High",IF(I594=3,"Medium","Low"))</f>
        <v>Medium</v>
      </c>
      <c r="T594" s="13" t="str">
        <f aca="false">IF(M594=1,YEAR(C594),"")</f>
        <v/>
      </c>
      <c r="U594" s="13" t="str">
        <f aca="false">IF(M594=1,YEAR(C594)&amp;"-Q"&amp;ROUNDUP(MONTH(C594)/3,0),"")</f>
        <v/>
      </c>
      <c r="V594" s="13" t="str">
        <f aca="false">IF(M594=1,MONTH(C594),"")</f>
        <v/>
      </c>
    </row>
    <row r="595" customFormat="false" ht="15" hidden="false" customHeight="false" outlineLevel="0" collapsed="false">
      <c r="A595" s="13" t="str">
        <f aca="false">TRIM(Raw_Data!A595)</f>
        <v>EMP0594</v>
      </c>
      <c r="B595" s="14" t="n">
        <f aca="false">Raw_Data!B595</f>
        <v>42886</v>
      </c>
      <c r="C595" s="14" t="n">
        <f aca="false">IF(Raw_Data!C595="","",Raw_Data!C595)</f>
        <v>45033</v>
      </c>
      <c r="D595" s="13" t="n">
        <f aca="false">IF(Raw_Data!D595="","",Raw_Data!D595)</f>
        <v>36</v>
      </c>
      <c r="E595" s="13" t="str">
        <f aca="false">IF(UPPER(LEFT(TRIM(Raw_Data!E595),1))="M","Male",IF(UPPER(LEFT(TRIM(Raw_Data!E595),1))="F","Female","Unknown"))</f>
        <v>Male</v>
      </c>
      <c r="F595" s="13" t="str">
        <f aca="false">PROPER(TRIM(SUBSTITUTE(Raw_Data!F595,"'","")))</f>
        <v>Diploma</v>
      </c>
      <c r="G595" s="13" t="str">
        <f aca="false">PROPER(TRIM(Raw_Data!G595))</f>
        <v>Sales</v>
      </c>
      <c r="H595" s="13" t="str">
        <f aca="false">PROPER(TRIM(Raw_Data!H595))</f>
        <v>Analyst</v>
      </c>
      <c r="I595" s="13" t="n">
        <f aca="false">IF(Raw_Data!I595="",DefaultPerf,Raw_Data!I595)</f>
        <v>3</v>
      </c>
      <c r="J595" s="13" t="n">
        <f aca="false">IF(Raw_Data!J595="",DefaultSat,Raw_Data!J595)</f>
        <v>3</v>
      </c>
      <c r="K595" s="15" t="n">
        <f aca="false">Raw_Data!K595</f>
        <v>66000</v>
      </c>
      <c r="L595" s="13" t="str">
        <f aca="false">PROPER(TRIM(Raw_Data!N595))</f>
        <v>Yes</v>
      </c>
      <c r="M595" s="13" t="n">
        <f aca="false">IF(C595="",0,1)</f>
        <v>1</v>
      </c>
      <c r="N595" s="13" t="str">
        <f aca="false">IF(M595=0,"Active",IF(TRIM(Raw_Data!L595)="","Unknown",PROPER(TRIM(Raw_Data!L595))))</f>
        <v>Voluntary</v>
      </c>
      <c r="O595" s="13" t="str">
        <f aca="false">IF(M595=0,"",IF(TRIM(Raw_Data!M595)="","Not Recorded",TRIM(Raw_Data!M595)))</f>
        <v>Career Growth</v>
      </c>
      <c r="P595" s="16" t="n">
        <f aca="false">ROUND((IF(C595="",AsOfDate,C595)-B595)/365.25,2)</f>
        <v>5.88</v>
      </c>
      <c r="Q595" s="13" t="str">
        <f aca="false">IF(D595="","Unknown",IF(D595&lt;25,"Under 25",IF(D595&lt;35,"25-34",IF(D595&lt;45,"35-44",IF(D595&lt;55,"45-54","55+")))))</f>
        <v>35-44</v>
      </c>
      <c r="R595" s="13" t="str">
        <f aca="false">IF(P595&lt;1,"0-1 yrs",IF(P595&lt;3,"1-3 yrs",IF(P595&lt;5,"3-5 yrs",IF(P595&lt;10,"5-10 yrs","10+ yrs"))))</f>
        <v>5-10 yrs</v>
      </c>
      <c r="S595" s="13" t="str">
        <f aca="false">IF(I595&gt;=4,"High",IF(I595=3,"Medium","Low"))</f>
        <v>Medium</v>
      </c>
      <c r="T595" s="13" t="n">
        <f aca="false">IF(M595=1,YEAR(C595),"")</f>
        <v>2023</v>
      </c>
      <c r="U595" s="13" t="str">
        <f aca="false">IF(M595=1,YEAR(C595)&amp;"-Q"&amp;ROUNDUP(MONTH(C595)/3,0),"")</f>
        <v>2023-Q2</v>
      </c>
      <c r="V595" s="13" t="n">
        <f aca="false">IF(M595=1,MONTH(C595),"")</f>
        <v>4</v>
      </c>
    </row>
    <row r="596" customFormat="false" ht="15" hidden="false" customHeight="false" outlineLevel="0" collapsed="false">
      <c r="A596" s="13" t="str">
        <f aca="false">TRIM(Raw_Data!A596)</f>
        <v>EMP0595</v>
      </c>
      <c r="B596" s="14" t="n">
        <f aca="false">Raw_Data!B596</f>
        <v>42894</v>
      </c>
      <c r="C596" s="14" t="str">
        <f aca="false">IF(Raw_Data!C596="","",Raw_Data!C596)</f>
        <v/>
      </c>
      <c r="D596" s="13" t="n">
        <f aca="false">IF(Raw_Data!D596="","",Raw_Data!D596)</f>
        <v>38</v>
      </c>
      <c r="E596" s="13" t="str">
        <f aca="false">IF(UPPER(LEFT(TRIM(Raw_Data!E596),1))="M","Male",IF(UPPER(LEFT(TRIM(Raw_Data!E596),1))="F","Female","Unknown"))</f>
        <v>Male</v>
      </c>
      <c r="F596" s="13" t="str">
        <f aca="false">PROPER(TRIM(SUBSTITUTE(Raw_Data!F596,"'","")))</f>
        <v>Bachelors</v>
      </c>
      <c r="G596" s="13" t="str">
        <f aca="false">PROPER(TRIM(Raw_Data!G596))</f>
        <v>Finance</v>
      </c>
      <c r="H596" s="13" t="str">
        <f aca="false">PROPER(TRIM(Raw_Data!H596))</f>
        <v>Team Lead</v>
      </c>
      <c r="I596" s="13" t="n">
        <f aca="false">IF(Raw_Data!I596="",DefaultPerf,Raw_Data!I596)</f>
        <v>2</v>
      </c>
      <c r="J596" s="13" t="n">
        <f aca="false">IF(Raw_Data!J596="",DefaultSat,Raw_Data!J596)</f>
        <v>2</v>
      </c>
      <c r="K596" s="15" t="n">
        <f aca="false">Raw_Data!K596</f>
        <v>150000</v>
      </c>
      <c r="L596" s="13" t="str">
        <f aca="false">PROPER(TRIM(Raw_Data!N596))</f>
        <v>No</v>
      </c>
      <c r="M596" s="13" t="n">
        <f aca="false">IF(C596="",0,1)</f>
        <v>0</v>
      </c>
      <c r="N596" s="13" t="str">
        <f aca="false">IF(M596=0,"Active",IF(TRIM(Raw_Data!L596)="","Unknown",PROPER(TRIM(Raw_Data!L596))))</f>
        <v>Active</v>
      </c>
      <c r="O596" s="13" t="str">
        <f aca="false">IF(M596=0,"",IF(TRIM(Raw_Data!M596)="","Not Recorded",TRIM(Raw_Data!M596)))</f>
        <v/>
      </c>
      <c r="P596" s="16" t="n">
        <f aca="false">ROUND((IF(C596="",AsOfDate,C596)-B596)/365.25,2)</f>
        <v>8.56</v>
      </c>
      <c r="Q596" s="13" t="str">
        <f aca="false">IF(D596="","Unknown",IF(D596&lt;25,"Under 25",IF(D596&lt;35,"25-34",IF(D596&lt;45,"35-44",IF(D596&lt;55,"45-54","55+")))))</f>
        <v>35-44</v>
      </c>
      <c r="R596" s="13" t="str">
        <f aca="false">IF(P596&lt;1,"0-1 yrs",IF(P596&lt;3,"1-3 yrs",IF(P596&lt;5,"3-5 yrs",IF(P596&lt;10,"5-10 yrs","10+ yrs"))))</f>
        <v>5-10 yrs</v>
      </c>
      <c r="S596" s="13" t="str">
        <f aca="false">IF(I596&gt;=4,"High",IF(I596=3,"Medium","Low"))</f>
        <v>Low</v>
      </c>
      <c r="T596" s="13" t="str">
        <f aca="false">IF(M596=1,YEAR(C596),"")</f>
        <v/>
      </c>
      <c r="U596" s="13" t="str">
        <f aca="false">IF(M596=1,YEAR(C596)&amp;"-Q"&amp;ROUNDUP(MONTH(C596)/3,0),"")</f>
        <v/>
      </c>
      <c r="V596" s="13" t="str">
        <f aca="false">IF(M596=1,MONTH(C596),"")</f>
        <v/>
      </c>
    </row>
    <row r="597" customFormat="false" ht="15" hidden="false" customHeight="false" outlineLevel="0" collapsed="false">
      <c r="A597" s="13" t="str">
        <f aca="false">TRIM(Raw_Data!A597)</f>
        <v>EMP0596</v>
      </c>
      <c r="B597" s="14" t="n">
        <f aca="false">Raw_Data!B597</f>
        <v>42896</v>
      </c>
      <c r="C597" s="14" t="n">
        <f aca="false">IF(Raw_Data!C597="","",Raw_Data!C597)</f>
        <v>44565</v>
      </c>
      <c r="D597" s="13" t="n">
        <f aca="false">IF(Raw_Data!D597="","",Raw_Data!D597)</f>
        <v>28</v>
      </c>
      <c r="E597" s="13" t="str">
        <f aca="false">IF(UPPER(LEFT(TRIM(Raw_Data!E597),1))="M","Male",IF(UPPER(LEFT(TRIM(Raw_Data!E597),1))="F","Female","Unknown"))</f>
        <v>Female</v>
      </c>
      <c r="F597" s="13" t="str">
        <f aca="false">PROPER(TRIM(SUBSTITUTE(Raw_Data!F597,"'","")))</f>
        <v>Masters</v>
      </c>
      <c r="G597" s="13" t="str">
        <f aca="false">PROPER(TRIM(Raw_Data!G597))</f>
        <v>Customer Support</v>
      </c>
      <c r="H597" s="13" t="str">
        <f aca="false">PROPER(TRIM(Raw_Data!H597))</f>
        <v>Associate</v>
      </c>
      <c r="I597" s="13" t="n">
        <f aca="false">IF(Raw_Data!I597="",DefaultPerf,Raw_Data!I597)</f>
        <v>3</v>
      </c>
      <c r="J597" s="13" t="n">
        <f aca="false">IF(Raw_Data!J597="",DefaultSat,Raw_Data!J597)</f>
        <v>4</v>
      </c>
      <c r="K597" s="15" t="n">
        <f aca="false">Raw_Data!K597</f>
        <v>38500</v>
      </c>
      <c r="L597" s="13" t="str">
        <f aca="false">PROPER(TRIM(Raw_Data!N597))</f>
        <v>No</v>
      </c>
      <c r="M597" s="13" t="n">
        <f aca="false">IF(C597="",0,1)</f>
        <v>1</v>
      </c>
      <c r="N597" s="13" t="str">
        <f aca="false">IF(M597=0,"Active",IF(TRIM(Raw_Data!L597)="","Unknown",PROPER(TRIM(Raw_Data!L597))))</f>
        <v>Voluntary</v>
      </c>
      <c r="O597" s="13" t="str">
        <f aca="false">IF(M597=0,"",IF(TRIM(Raw_Data!M597)="","Not Recorded",TRIM(Raw_Data!M597)))</f>
        <v>Career Growth</v>
      </c>
      <c r="P597" s="16" t="n">
        <f aca="false">ROUND((IF(C597="",AsOfDate,C597)-B597)/365.25,2)</f>
        <v>4.57</v>
      </c>
      <c r="Q597" s="13" t="str">
        <f aca="false">IF(D597="","Unknown",IF(D597&lt;25,"Under 25",IF(D597&lt;35,"25-34",IF(D597&lt;45,"35-44",IF(D597&lt;55,"45-54","55+")))))</f>
        <v>25-34</v>
      </c>
      <c r="R597" s="13" t="str">
        <f aca="false">IF(P597&lt;1,"0-1 yrs",IF(P597&lt;3,"1-3 yrs",IF(P597&lt;5,"3-5 yrs",IF(P597&lt;10,"5-10 yrs","10+ yrs"))))</f>
        <v>3-5 yrs</v>
      </c>
      <c r="S597" s="13" t="str">
        <f aca="false">IF(I597&gt;=4,"High",IF(I597=3,"Medium","Low"))</f>
        <v>Medium</v>
      </c>
      <c r="T597" s="13" t="n">
        <f aca="false">IF(M597=1,YEAR(C597),"")</f>
        <v>2022</v>
      </c>
      <c r="U597" s="13" t="str">
        <f aca="false">IF(M597=1,YEAR(C597)&amp;"-Q"&amp;ROUNDUP(MONTH(C597)/3,0),"")</f>
        <v>2022-Q1</v>
      </c>
      <c r="V597" s="13" t="n">
        <f aca="false">IF(M597=1,MONTH(C597),"")</f>
        <v>1</v>
      </c>
    </row>
    <row r="598" customFormat="false" ht="15" hidden="false" customHeight="false" outlineLevel="0" collapsed="false">
      <c r="A598" s="13" t="str">
        <f aca="false">TRIM(Raw_Data!A598)</f>
        <v>EMP0597</v>
      </c>
      <c r="B598" s="14" t="n">
        <f aca="false">Raw_Data!B598</f>
        <v>42898</v>
      </c>
      <c r="C598" s="14" t="n">
        <f aca="false">IF(Raw_Data!C598="","",Raw_Data!C598)</f>
        <v>45267</v>
      </c>
      <c r="D598" s="13" t="n">
        <f aca="false">IF(Raw_Data!D598="","",Raw_Data!D598)</f>
        <v>31</v>
      </c>
      <c r="E598" s="13" t="str">
        <f aca="false">IF(UPPER(LEFT(TRIM(Raw_Data!E598),1))="M","Male",IF(UPPER(LEFT(TRIM(Raw_Data!E598),1))="F","Female","Unknown"))</f>
        <v>Male</v>
      </c>
      <c r="F598" s="13" t="str">
        <f aca="false">PROPER(TRIM(SUBSTITUTE(Raw_Data!F598,"'","")))</f>
        <v>High School</v>
      </c>
      <c r="G598" s="13" t="str">
        <f aca="false">PROPER(TRIM(Raw_Data!G598))</f>
        <v>Engineering</v>
      </c>
      <c r="H598" s="13" t="str">
        <f aca="false">PROPER(TRIM(Raw_Data!H598))</f>
        <v>Associate</v>
      </c>
      <c r="I598" s="13" t="n">
        <f aca="false">IF(Raw_Data!I598="",DefaultPerf,Raw_Data!I598)</f>
        <v>3</v>
      </c>
      <c r="J598" s="13" t="n">
        <f aca="false">IF(Raw_Data!J598="",DefaultSat,Raw_Data!J598)</f>
        <v>1</v>
      </c>
      <c r="K598" s="15" t="n">
        <f aca="false">Raw_Data!K598</f>
        <v>36000</v>
      </c>
      <c r="L598" s="13" t="str">
        <f aca="false">PROPER(TRIM(Raw_Data!N598))</f>
        <v>No</v>
      </c>
      <c r="M598" s="13" t="n">
        <f aca="false">IF(C598="",0,1)</f>
        <v>1</v>
      </c>
      <c r="N598" s="13" t="str">
        <f aca="false">IF(M598=0,"Active",IF(TRIM(Raw_Data!L598)="","Unknown",PROPER(TRIM(Raw_Data!L598))))</f>
        <v>Voluntary</v>
      </c>
      <c r="O598" s="13" t="str">
        <f aca="false">IF(M598=0,"",IF(TRIM(Raw_Data!M598)="","Not Recorded",TRIM(Raw_Data!M598)))</f>
        <v>Better Compensation</v>
      </c>
      <c r="P598" s="16" t="n">
        <f aca="false">ROUND((IF(C598="",AsOfDate,C598)-B598)/365.25,2)</f>
        <v>6.49</v>
      </c>
      <c r="Q598" s="13" t="str">
        <f aca="false">IF(D598="","Unknown",IF(D598&lt;25,"Under 25",IF(D598&lt;35,"25-34",IF(D598&lt;45,"35-44",IF(D598&lt;55,"45-54","55+")))))</f>
        <v>25-34</v>
      </c>
      <c r="R598" s="13" t="str">
        <f aca="false">IF(P598&lt;1,"0-1 yrs",IF(P598&lt;3,"1-3 yrs",IF(P598&lt;5,"3-5 yrs",IF(P598&lt;10,"5-10 yrs","10+ yrs"))))</f>
        <v>5-10 yrs</v>
      </c>
      <c r="S598" s="13" t="str">
        <f aca="false">IF(I598&gt;=4,"High",IF(I598=3,"Medium","Low"))</f>
        <v>Medium</v>
      </c>
      <c r="T598" s="13" t="n">
        <f aca="false">IF(M598=1,YEAR(C598),"")</f>
        <v>2023</v>
      </c>
      <c r="U598" s="13" t="str">
        <f aca="false">IF(M598=1,YEAR(C598)&amp;"-Q"&amp;ROUNDUP(MONTH(C598)/3,0),"")</f>
        <v>2023-Q4</v>
      </c>
      <c r="V598" s="13" t="n">
        <f aca="false">IF(M598=1,MONTH(C598),"")</f>
        <v>12</v>
      </c>
    </row>
    <row r="599" customFormat="false" ht="15" hidden="false" customHeight="false" outlineLevel="0" collapsed="false">
      <c r="A599" s="13" t="str">
        <f aca="false">TRIM(Raw_Data!A599)</f>
        <v>EMP0598</v>
      </c>
      <c r="B599" s="14" t="n">
        <f aca="false">Raw_Data!B599</f>
        <v>42898</v>
      </c>
      <c r="C599" s="14" t="n">
        <f aca="false">IF(Raw_Data!C599="","",Raw_Data!C599)</f>
        <v>45587</v>
      </c>
      <c r="D599" s="13" t="n">
        <f aca="false">IF(Raw_Data!D599="","",Raw_Data!D599)</f>
        <v>38</v>
      </c>
      <c r="E599" s="13" t="str">
        <f aca="false">IF(UPPER(LEFT(TRIM(Raw_Data!E599),1))="M","Male",IF(UPPER(LEFT(TRIM(Raw_Data!E599),1))="F","Female","Unknown"))</f>
        <v>Female</v>
      </c>
      <c r="F599" s="13" t="str">
        <f aca="false">PROPER(TRIM(SUBSTITUTE(Raw_Data!F599,"'","")))</f>
        <v>Bachelors</v>
      </c>
      <c r="G599" s="13" t="str">
        <f aca="false">PROPER(TRIM(Raw_Data!G599))</f>
        <v>Engineering</v>
      </c>
      <c r="H599" s="13" t="str">
        <f aca="false">PROPER(TRIM(Raw_Data!H599))</f>
        <v>Associate</v>
      </c>
      <c r="I599" s="13" t="n">
        <f aca="false">IF(Raw_Data!I599="",DefaultPerf,Raw_Data!I599)</f>
        <v>4</v>
      </c>
      <c r="J599" s="13" t="n">
        <f aca="false">IF(Raw_Data!J599="",DefaultSat,Raw_Data!J599)</f>
        <v>4</v>
      </c>
      <c r="K599" s="15" t="n">
        <f aca="false">Raw_Data!K599</f>
        <v>40500</v>
      </c>
      <c r="L599" s="13" t="str">
        <f aca="false">PROPER(TRIM(Raw_Data!N599))</f>
        <v>No</v>
      </c>
      <c r="M599" s="13" t="n">
        <f aca="false">IF(C599="",0,1)</f>
        <v>1</v>
      </c>
      <c r="N599" s="13" t="str">
        <f aca="false">IF(M599=0,"Active",IF(TRIM(Raw_Data!L599)="","Unknown",PROPER(TRIM(Raw_Data!L599))))</f>
        <v>Voluntary</v>
      </c>
      <c r="O599" s="13" t="str">
        <f aca="false">IF(M599=0,"",IF(TRIM(Raw_Data!M599)="","Not Recorded",TRIM(Raw_Data!M599)))</f>
        <v>Better Compensation</v>
      </c>
      <c r="P599" s="16" t="n">
        <f aca="false">ROUND((IF(C599="",AsOfDate,C599)-B599)/365.25,2)</f>
        <v>7.36</v>
      </c>
      <c r="Q599" s="13" t="str">
        <f aca="false">IF(D599="","Unknown",IF(D599&lt;25,"Under 25",IF(D599&lt;35,"25-34",IF(D599&lt;45,"35-44",IF(D599&lt;55,"45-54","55+")))))</f>
        <v>35-44</v>
      </c>
      <c r="R599" s="13" t="str">
        <f aca="false">IF(P599&lt;1,"0-1 yrs",IF(P599&lt;3,"1-3 yrs",IF(P599&lt;5,"3-5 yrs",IF(P599&lt;10,"5-10 yrs","10+ yrs"))))</f>
        <v>5-10 yrs</v>
      </c>
      <c r="S599" s="13" t="str">
        <f aca="false">IF(I599&gt;=4,"High",IF(I599=3,"Medium","Low"))</f>
        <v>High</v>
      </c>
      <c r="T599" s="13" t="n">
        <f aca="false">IF(M599=1,YEAR(C599),"")</f>
        <v>2024</v>
      </c>
      <c r="U599" s="13" t="str">
        <f aca="false">IF(M599=1,YEAR(C599)&amp;"-Q"&amp;ROUNDUP(MONTH(C599)/3,0),"")</f>
        <v>2024-Q4</v>
      </c>
      <c r="V599" s="13" t="n">
        <f aca="false">IF(M599=1,MONTH(C599),"")</f>
        <v>10</v>
      </c>
    </row>
    <row r="600" customFormat="false" ht="15" hidden="false" customHeight="false" outlineLevel="0" collapsed="false">
      <c r="A600" s="13" t="str">
        <f aca="false">TRIM(Raw_Data!A600)</f>
        <v>EMP0599</v>
      </c>
      <c r="B600" s="14" t="n">
        <f aca="false">Raw_Data!B600</f>
        <v>42900</v>
      </c>
      <c r="C600" s="14" t="str">
        <f aca="false">IF(Raw_Data!C600="","",Raw_Data!C600)</f>
        <v/>
      </c>
      <c r="D600" s="13" t="n">
        <f aca="false">IF(Raw_Data!D600="","",Raw_Data!D600)</f>
        <v>31</v>
      </c>
      <c r="E600" s="13" t="str">
        <f aca="false">IF(UPPER(LEFT(TRIM(Raw_Data!E600),1))="M","Male",IF(UPPER(LEFT(TRIM(Raw_Data!E600),1))="F","Female","Unknown"))</f>
        <v>Male</v>
      </c>
      <c r="F600" s="13" t="str">
        <f aca="false">PROPER(TRIM(SUBSTITUTE(Raw_Data!F600,"'","")))</f>
        <v>Masters</v>
      </c>
      <c r="G600" s="13" t="str">
        <f aca="false">PROPER(TRIM(Raw_Data!G600))</f>
        <v>Operations</v>
      </c>
      <c r="H600" s="13" t="str">
        <f aca="false">PROPER(TRIM(Raw_Data!H600))</f>
        <v>Associate</v>
      </c>
      <c r="I600" s="13" t="n">
        <f aca="false">IF(Raw_Data!I600="",DefaultPerf,Raw_Data!I600)</f>
        <v>3</v>
      </c>
      <c r="J600" s="13" t="n">
        <f aca="false">IF(Raw_Data!J600="",DefaultSat,Raw_Data!J600)</f>
        <v>3</v>
      </c>
      <c r="K600" s="15" t="n">
        <f aca="false">Raw_Data!K600</f>
        <v>48500</v>
      </c>
      <c r="L600" s="13" t="str">
        <f aca="false">PROPER(TRIM(Raw_Data!N600))</f>
        <v>No</v>
      </c>
      <c r="M600" s="13" t="n">
        <f aca="false">IF(C600="",0,1)</f>
        <v>0</v>
      </c>
      <c r="N600" s="13" t="str">
        <f aca="false">IF(M600=0,"Active",IF(TRIM(Raw_Data!L600)="","Unknown",PROPER(TRIM(Raw_Data!L600))))</f>
        <v>Active</v>
      </c>
      <c r="O600" s="13" t="str">
        <f aca="false">IF(M600=0,"",IF(TRIM(Raw_Data!M600)="","Not Recorded",TRIM(Raw_Data!M600)))</f>
        <v/>
      </c>
      <c r="P600" s="16" t="n">
        <f aca="false">ROUND((IF(C600="",AsOfDate,C600)-B600)/365.25,2)</f>
        <v>8.55</v>
      </c>
      <c r="Q600" s="13" t="str">
        <f aca="false">IF(D600="","Unknown",IF(D600&lt;25,"Under 25",IF(D600&lt;35,"25-34",IF(D600&lt;45,"35-44",IF(D600&lt;55,"45-54","55+")))))</f>
        <v>25-34</v>
      </c>
      <c r="R600" s="13" t="str">
        <f aca="false">IF(P600&lt;1,"0-1 yrs",IF(P600&lt;3,"1-3 yrs",IF(P600&lt;5,"3-5 yrs",IF(P600&lt;10,"5-10 yrs","10+ yrs"))))</f>
        <v>5-10 yrs</v>
      </c>
      <c r="S600" s="13" t="str">
        <f aca="false">IF(I600&gt;=4,"High",IF(I600=3,"Medium","Low"))</f>
        <v>Medium</v>
      </c>
      <c r="T600" s="13" t="str">
        <f aca="false">IF(M600=1,YEAR(C600),"")</f>
        <v/>
      </c>
      <c r="U600" s="13" t="str">
        <f aca="false">IF(M600=1,YEAR(C600)&amp;"-Q"&amp;ROUNDUP(MONTH(C600)/3,0),"")</f>
        <v/>
      </c>
      <c r="V600" s="13" t="str">
        <f aca="false">IF(M600=1,MONTH(C600),"")</f>
        <v/>
      </c>
    </row>
    <row r="601" customFormat="false" ht="15" hidden="false" customHeight="false" outlineLevel="0" collapsed="false">
      <c r="A601" s="13" t="str">
        <f aca="false">TRIM(Raw_Data!A601)</f>
        <v>EMP0600</v>
      </c>
      <c r="B601" s="14" t="n">
        <f aca="false">Raw_Data!B601</f>
        <v>42902</v>
      </c>
      <c r="C601" s="14" t="n">
        <f aca="false">IF(Raw_Data!C601="","",Raw_Data!C601)</f>
        <v>45813</v>
      </c>
      <c r="D601" s="13" t="n">
        <f aca="false">IF(Raw_Data!D601="","",Raw_Data!D601)</f>
        <v>32</v>
      </c>
      <c r="E601" s="13" t="str">
        <f aca="false">IF(UPPER(LEFT(TRIM(Raw_Data!E601),1))="M","Male",IF(UPPER(LEFT(TRIM(Raw_Data!E601),1))="F","Female","Unknown"))</f>
        <v>Male</v>
      </c>
      <c r="F601" s="13" t="str">
        <f aca="false">PROPER(TRIM(SUBSTITUTE(Raw_Data!F601,"'","")))</f>
        <v>Masters</v>
      </c>
      <c r="G601" s="13" t="str">
        <f aca="false">PROPER(TRIM(Raw_Data!G601))</f>
        <v>Sales</v>
      </c>
      <c r="H601" s="13" t="str">
        <f aca="false">PROPER(TRIM(Raw_Data!H601))</f>
        <v>Specialist</v>
      </c>
      <c r="I601" s="13" t="n">
        <f aca="false">IF(Raw_Data!I601="",DefaultPerf,Raw_Data!I601)</f>
        <v>4</v>
      </c>
      <c r="J601" s="13" t="n">
        <f aca="false">IF(Raw_Data!J601="",DefaultSat,Raw_Data!J601)</f>
        <v>2</v>
      </c>
      <c r="K601" s="15" t="n">
        <f aca="false">Raw_Data!K601</f>
        <v>119500</v>
      </c>
      <c r="L601" s="13" t="str">
        <f aca="false">PROPER(TRIM(Raw_Data!N601))</f>
        <v>Yes</v>
      </c>
      <c r="M601" s="13" t="n">
        <f aca="false">IF(C601="",0,1)</f>
        <v>1</v>
      </c>
      <c r="N601" s="13" t="str">
        <f aca="false">IF(M601=0,"Active",IF(TRIM(Raw_Data!L601)="","Unknown",PROPER(TRIM(Raw_Data!L601))))</f>
        <v>Voluntary</v>
      </c>
      <c r="O601" s="13" t="str">
        <f aca="false">IF(M601=0,"",IF(TRIM(Raw_Data!M601)="","Not Recorded",TRIM(Raw_Data!M601)))</f>
        <v>Manager Issues</v>
      </c>
      <c r="P601" s="16" t="n">
        <f aca="false">ROUND((IF(C601="",AsOfDate,C601)-B601)/365.25,2)</f>
        <v>7.97</v>
      </c>
      <c r="Q601" s="13" t="str">
        <f aca="false">IF(D601="","Unknown",IF(D601&lt;25,"Under 25",IF(D601&lt;35,"25-34",IF(D601&lt;45,"35-44",IF(D601&lt;55,"45-54","55+")))))</f>
        <v>25-34</v>
      </c>
      <c r="R601" s="13" t="str">
        <f aca="false">IF(P601&lt;1,"0-1 yrs",IF(P601&lt;3,"1-3 yrs",IF(P601&lt;5,"3-5 yrs",IF(P601&lt;10,"5-10 yrs","10+ yrs"))))</f>
        <v>5-10 yrs</v>
      </c>
      <c r="S601" s="13" t="str">
        <f aca="false">IF(I601&gt;=4,"High",IF(I601=3,"Medium","Low"))</f>
        <v>High</v>
      </c>
      <c r="T601" s="13" t="n">
        <f aca="false">IF(M601=1,YEAR(C601),"")</f>
        <v>2025</v>
      </c>
      <c r="U601" s="13" t="str">
        <f aca="false">IF(M601=1,YEAR(C601)&amp;"-Q"&amp;ROUNDUP(MONTH(C601)/3,0),"")</f>
        <v>2025-Q2</v>
      </c>
      <c r="V601" s="13" t="n">
        <f aca="false">IF(M601=1,MONTH(C601),"")</f>
        <v>6</v>
      </c>
    </row>
    <row r="602" customFormat="false" ht="15" hidden="false" customHeight="false" outlineLevel="0" collapsed="false">
      <c r="A602" s="13" t="str">
        <f aca="false">TRIM(Raw_Data!A602)</f>
        <v>EMP0601</v>
      </c>
      <c r="B602" s="14" t="n">
        <f aca="false">Raw_Data!B602</f>
        <v>42903</v>
      </c>
      <c r="C602" s="14" t="n">
        <f aca="false">IF(Raw_Data!C602="","",Raw_Data!C602)</f>
        <v>45274</v>
      </c>
      <c r="D602" s="13" t="n">
        <f aca="false">IF(Raw_Data!D602="","",Raw_Data!D602)</f>
        <v>38</v>
      </c>
      <c r="E602" s="13" t="str">
        <f aca="false">IF(UPPER(LEFT(TRIM(Raw_Data!E602),1))="M","Male",IF(UPPER(LEFT(TRIM(Raw_Data!E602),1))="F","Female","Unknown"))</f>
        <v>Female</v>
      </c>
      <c r="F602" s="13" t="str">
        <f aca="false">PROPER(TRIM(SUBSTITUTE(Raw_Data!F602,"'","")))</f>
        <v>Diploma</v>
      </c>
      <c r="G602" s="13" t="str">
        <f aca="false">PROPER(TRIM(Raw_Data!G602))</f>
        <v>Engineering</v>
      </c>
      <c r="H602" s="13" t="str">
        <f aca="false">PROPER(TRIM(Raw_Data!H602))</f>
        <v>Associate</v>
      </c>
      <c r="I602" s="13" t="n">
        <f aca="false">IF(Raw_Data!I602="",DefaultPerf,Raw_Data!I602)</f>
        <v>3</v>
      </c>
      <c r="J602" s="13" t="n">
        <f aca="false">IF(Raw_Data!J602="",DefaultSat,Raw_Data!J602)</f>
        <v>3</v>
      </c>
      <c r="K602" s="15" t="n">
        <f aca="false">Raw_Data!K602</f>
        <v>45500</v>
      </c>
      <c r="L602" s="13" t="str">
        <f aca="false">PROPER(TRIM(Raw_Data!N602))</f>
        <v>No</v>
      </c>
      <c r="M602" s="13" t="n">
        <f aca="false">IF(C602="",0,1)</f>
        <v>1</v>
      </c>
      <c r="N602" s="13" t="str">
        <f aca="false">IF(M602=0,"Active",IF(TRIM(Raw_Data!L602)="","Unknown",PROPER(TRIM(Raw_Data!L602))))</f>
        <v>Involuntary</v>
      </c>
      <c r="O602" s="13" t="str">
        <f aca="false">IF(M602=0,"",IF(TRIM(Raw_Data!M602)="","Not Recorded",TRIM(Raw_Data!M602)))</f>
        <v>Restructuring / Layoff</v>
      </c>
      <c r="P602" s="16" t="n">
        <f aca="false">ROUND((IF(C602="",AsOfDate,C602)-B602)/365.25,2)</f>
        <v>6.49</v>
      </c>
      <c r="Q602" s="13" t="str">
        <f aca="false">IF(D602="","Unknown",IF(D602&lt;25,"Under 25",IF(D602&lt;35,"25-34",IF(D602&lt;45,"35-44",IF(D602&lt;55,"45-54","55+")))))</f>
        <v>35-44</v>
      </c>
      <c r="R602" s="13" t="str">
        <f aca="false">IF(P602&lt;1,"0-1 yrs",IF(P602&lt;3,"1-3 yrs",IF(P602&lt;5,"3-5 yrs",IF(P602&lt;10,"5-10 yrs","10+ yrs"))))</f>
        <v>5-10 yrs</v>
      </c>
      <c r="S602" s="13" t="str">
        <f aca="false">IF(I602&gt;=4,"High",IF(I602=3,"Medium","Low"))</f>
        <v>Medium</v>
      </c>
      <c r="T602" s="13" t="n">
        <f aca="false">IF(M602=1,YEAR(C602),"")</f>
        <v>2023</v>
      </c>
      <c r="U602" s="13" t="str">
        <f aca="false">IF(M602=1,YEAR(C602)&amp;"-Q"&amp;ROUNDUP(MONTH(C602)/3,0),"")</f>
        <v>2023-Q4</v>
      </c>
      <c r="V602" s="13" t="n">
        <f aca="false">IF(M602=1,MONTH(C602),"")</f>
        <v>12</v>
      </c>
    </row>
    <row r="603" customFormat="false" ht="15" hidden="false" customHeight="false" outlineLevel="0" collapsed="false">
      <c r="A603" s="13" t="str">
        <f aca="false">TRIM(Raw_Data!A603)</f>
        <v>EMP0602</v>
      </c>
      <c r="B603" s="14" t="n">
        <f aca="false">Raw_Data!B603</f>
        <v>42910</v>
      </c>
      <c r="C603" s="14" t="n">
        <f aca="false">IF(Raw_Data!C603="","",Raw_Data!C603)</f>
        <v>45288</v>
      </c>
      <c r="D603" s="13" t="n">
        <f aca="false">IF(Raw_Data!D603="","",Raw_Data!D603)</f>
        <v>33</v>
      </c>
      <c r="E603" s="13" t="str">
        <f aca="false">IF(UPPER(LEFT(TRIM(Raw_Data!E603),1))="M","Male",IF(UPPER(LEFT(TRIM(Raw_Data!E603),1))="F","Female","Unknown"))</f>
        <v>Female</v>
      </c>
      <c r="F603" s="13" t="str">
        <f aca="false">PROPER(TRIM(SUBSTITUTE(Raw_Data!F603,"'","")))</f>
        <v>Bachelors</v>
      </c>
      <c r="G603" s="13" t="str">
        <f aca="false">PROPER(TRIM(Raw_Data!G603))</f>
        <v>Engineering</v>
      </c>
      <c r="H603" s="13" t="str">
        <f aca="false">PROPER(TRIM(Raw_Data!H603))</f>
        <v>Senior Analyst</v>
      </c>
      <c r="I603" s="13" t="n">
        <f aca="false">IF(Raw_Data!I603="",DefaultPerf,Raw_Data!I603)</f>
        <v>1</v>
      </c>
      <c r="J603" s="13" t="n">
        <f aca="false">IF(Raw_Data!J603="",DefaultSat,Raw_Data!J603)</f>
        <v>4</v>
      </c>
      <c r="K603" s="15" t="n">
        <f aca="false">Raw_Data!K603</f>
        <v>100500</v>
      </c>
      <c r="L603" s="13" t="str">
        <f aca="false">PROPER(TRIM(Raw_Data!N603))</f>
        <v>No</v>
      </c>
      <c r="M603" s="13" t="n">
        <f aca="false">IF(C603="",0,1)</f>
        <v>1</v>
      </c>
      <c r="N603" s="13" t="str">
        <f aca="false">IF(M603=0,"Active",IF(TRIM(Raw_Data!L603)="","Unknown",PROPER(TRIM(Raw_Data!L603))))</f>
        <v>Involuntary</v>
      </c>
      <c r="O603" s="13" t="str">
        <f aca="false">IF(M603=0,"",IF(TRIM(Raw_Data!M603)="","Not Recorded",TRIM(Raw_Data!M603)))</f>
        <v>Restructuring / Layoff</v>
      </c>
      <c r="P603" s="16" t="n">
        <f aca="false">ROUND((IF(C603="",AsOfDate,C603)-B603)/365.25,2)</f>
        <v>6.51</v>
      </c>
      <c r="Q603" s="13" t="str">
        <f aca="false">IF(D603="","Unknown",IF(D603&lt;25,"Under 25",IF(D603&lt;35,"25-34",IF(D603&lt;45,"35-44",IF(D603&lt;55,"45-54","55+")))))</f>
        <v>25-34</v>
      </c>
      <c r="R603" s="13" t="str">
        <f aca="false">IF(P603&lt;1,"0-1 yrs",IF(P603&lt;3,"1-3 yrs",IF(P603&lt;5,"3-5 yrs",IF(P603&lt;10,"5-10 yrs","10+ yrs"))))</f>
        <v>5-10 yrs</v>
      </c>
      <c r="S603" s="13" t="str">
        <f aca="false">IF(I603&gt;=4,"High",IF(I603=3,"Medium","Low"))</f>
        <v>Low</v>
      </c>
      <c r="T603" s="13" t="n">
        <f aca="false">IF(M603=1,YEAR(C603),"")</f>
        <v>2023</v>
      </c>
      <c r="U603" s="13" t="str">
        <f aca="false">IF(M603=1,YEAR(C603)&amp;"-Q"&amp;ROUNDUP(MONTH(C603)/3,0),"")</f>
        <v>2023-Q4</v>
      </c>
      <c r="V603" s="13" t="n">
        <f aca="false">IF(M603=1,MONTH(C603),"")</f>
        <v>12</v>
      </c>
    </row>
    <row r="604" customFormat="false" ht="15" hidden="false" customHeight="false" outlineLevel="0" collapsed="false">
      <c r="A604" s="13" t="str">
        <f aca="false">TRIM(Raw_Data!A604)</f>
        <v>EMP0603</v>
      </c>
      <c r="B604" s="14" t="n">
        <f aca="false">Raw_Data!B604</f>
        <v>42914</v>
      </c>
      <c r="C604" s="14" t="str">
        <f aca="false">IF(Raw_Data!C604="","",Raw_Data!C604)</f>
        <v/>
      </c>
      <c r="D604" s="13" t="n">
        <f aca="false">IF(Raw_Data!D604="","",Raw_Data!D604)</f>
        <v>40</v>
      </c>
      <c r="E604" s="13" t="str">
        <f aca="false">IF(UPPER(LEFT(TRIM(Raw_Data!E604),1))="M","Male",IF(UPPER(LEFT(TRIM(Raw_Data!E604),1))="F","Female","Unknown"))</f>
        <v>Male</v>
      </c>
      <c r="F604" s="13" t="str">
        <f aca="false">PROPER(TRIM(SUBSTITUTE(Raw_Data!F604,"'","")))</f>
        <v>High School</v>
      </c>
      <c r="G604" s="13" t="str">
        <f aca="false">PROPER(TRIM(Raw_Data!G604))</f>
        <v>Customer Support</v>
      </c>
      <c r="H604" s="13" t="str">
        <f aca="false">PROPER(TRIM(Raw_Data!H604))</f>
        <v>Associate</v>
      </c>
      <c r="I604" s="13" t="n">
        <f aca="false">IF(Raw_Data!I604="",DefaultPerf,Raw_Data!I604)</f>
        <v>3</v>
      </c>
      <c r="J604" s="13" t="n">
        <f aca="false">IF(Raw_Data!J604="",DefaultSat,Raw_Data!J604)</f>
        <v>4</v>
      </c>
      <c r="K604" s="15" t="n">
        <f aca="false">Raw_Data!K604</f>
        <v>41000</v>
      </c>
      <c r="L604" s="13" t="str">
        <f aca="false">PROPER(TRIM(Raw_Data!N604))</f>
        <v>Yes</v>
      </c>
      <c r="M604" s="13" t="n">
        <f aca="false">IF(C604="",0,1)</f>
        <v>0</v>
      </c>
      <c r="N604" s="13" t="str">
        <f aca="false">IF(M604=0,"Active",IF(TRIM(Raw_Data!L604)="","Unknown",PROPER(TRIM(Raw_Data!L604))))</f>
        <v>Active</v>
      </c>
      <c r="O604" s="13" t="str">
        <f aca="false">IF(M604=0,"",IF(TRIM(Raw_Data!M604)="","Not Recorded",TRIM(Raw_Data!M604)))</f>
        <v/>
      </c>
      <c r="P604" s="16" t="n">
        <f aca="false">ROUND((IF(C604="",AsOfDate,C604)-B604)/365.25,2)</f>
        <v>8.51</v>
      </c>
      <c r="Q604" s="13" t="str">
        <f aca="false">IF(D604="","Unknown",IF(D604&lt;25,"Under 25",IF(D604&lt;35,"25-34",IF(D604&lt;45,"35-44",IF(D604&lt;55,"45-54","55+")))))</f>
        <v>35-44</v>
      </c>
      <c r="R604" s="13" t="str">
        <f aca="false">IF(P604&lt;1,"0-1 yrs",IF(P604&lt;3,"1-3 yrs",IF(P604&lt;5,"3-5 yrs",IF(P604&lt;10,"5-10 yrs","10+ yrs"))))</f>
        <v>5-10 yrs</v>
      </c>
      <c r="S604" s="13" t="str">
        <f aca="false">IF(I604&gt;=4,"High",IF(I604=3,"Medium","Low"))</f>
        <v>Medium</v>
      </c>
      <c r="T604" s="13" t="str">
        <f aca="false">IF(M604=1,YEAR(C604),"")</f>
        <v/>
      </c>
      <c r="U604" s="13" t="str">
        <f aca="false">IF(M604=1,YEAR(C604)&amp;"-Q"&amp;ROUNDUP(MONTH(C604)/3,0),"")</f>
        <v/>
      </c>
      <c r="V604" s="13" t="str">
        <f aca="false">IF(M604=1,MONTH(C604),"")</f>
        <v/>
      </c>
    </row>
    <row r="605" customFormat="false" ht="15" hidden="false" customHeight="false" outlineLevel="0" collapsed="false">
      <c r="A605" s="13" t="str">
        <f aca="false">TRIM(Raw_Data!A605)</f>
        <v>EMP0604</v>
      </c>
      <c r="B605" s="14" t="n">
        <f aca="false">Raw_Data!B605</f>
        <v>42914</v>
      </c>
      <c r="C605" s="14" t="str">
        <f aca="false">IF(Raw_Data!C605="","",Raw_Data!C605)</f>
        <v/>
      </c>
      <c r="D605" s="13" t="n">
        <f aca="false">IF(Raw_Data!D605="","",Raw_Data!D605)</f>
        <v>37</v>
      </c>
      <c r="E605" s="13" t="str">
        <f aca="false">IF(UPPER(LEFT(TRIM(Raw_Data!E605),1))="M","Male",IF(UPPER(LEFT(TRIM(Raw_Data!E605),1))="F","Female","Unknown"))</f>
        <v>Male</v>
      </c>
      <c r="F605" s="13" t="str">
        <f aca="false">PROPER(TRIM(SUBSTITUTE(Raw_Data!F605,"'","")))</f>
        <v>Masters</v>
      </c>
      <c r="G605" s="13" t="str">
        <f aca="false">PROPER(TRIM(Raw_Data!G605))</f>
        <v>Engineering</v>
      </c>
      <c r="H605" s="13" t="str">
        <f aca="false">PROPER(TRIM(Raw_Data!H605))</f>
        <v>Senior Analyst</v>
      </c>
      <c r="I605" s="13" t="n">
        <f aca="false">IF(Raw_Data!I605="",DefaultPerf,Raw_Data!I605)</f>
        <v>3</v>
      </c>
      <c r="J605" s="13" t="n">
        <f aca="false">IF(Raw_Data!J605="",DefaultSat,Raw_Data!J605)</f>
        <v>2</v>
      </c>
      <c r="K605" s="15" t="n">
        <f aca="false">Raw_Data!K605</f>
        <v>105000</v>
      </c>
      <c r="L605" s="13" t="str">
        <f aca="false">PROPER(TRIM(Raw_Data!N605))</f>
        <v>No</v>
      </c>
      <c r="M605" s="13" t="n">
        <f aca="false">IF(C605="",0,1)</f>
        <v>0</v>
      </c>
      <c r="N605" s="13" t="str">
        <f aca="false">IF(M605=0,"Active",IF(TRIM(Raw_Data!L605)="","Unknown",PROPER(TRIM(Raw_Data!L605))))</f>
        <v>Active</v>
      </c>
      <c r="O605" s="13" t="str">
        <f aca="false">IF(M605=0,"",IF(TRIM(Raw_Data!M605)="","Not Recorded",TRIM(Raw_Data!M605)))</f>
        <v/>
      </c>
      <c r="P605" s="16" t="n">
        <f aca="false">ROUND((IF(C605="",AsOfDate,C605)-B605)/365.25,2)</f>
        <v>8.51</v>
      </c>
      <c r="Q605" s="13" t="str">
        <f aca="false">IF(D605="","Unknown",IF(D605&lt;25,"Under 25",IF(D605&lt;35,"25-34",IF(D605&lt;45,"35-44",IF(D605&lt;55,"45-54","55+")))))</f>
        <v>35-44</v>
      </c>
      <c r="R605" s="13" t="str">
        <f aca="false">IF(P605&lt;1,"0-1 yrs",IF(P605&lt;3,"1-3 yrs",IF(P605&lt;5,"3-5 yrs",IF(P605&lt;10,"5-10 yrs","10+ yrs"))))</f>
        <v>5-10 yrs</v>
      </c>
      <c r="S605" s="13" t="str">
        <f aca="false">IF(I605&gt;=4,"High",IF(I605=3,"Medium","Low"))</f>
        <v>Medium</v>
      </c>
      <c r="T605" s="13" t="str">
        <f aca="false">IF(M605=1,YEAR(C605),"")</f>
        <v/>
      </c>
      <c r="U605" s="13" t="str">
        <f aca="false">IF(M605=1,YEAR(C605)&amp;"-Q"&amp;ROUNDUP(MONTH(C605)/3,0),"")</f>
        <v/>
      </c>
      <c r="V605" s="13" t="str">
        <f aca="false">IF(M605=1,MONTH(C605),"")</f>
        <v/>
      </c>
    </row>
    <row r="606" customFormat="false" ht="15" hidden="false" customHeight="false" outlineLevel="0" collapsed="false">
      <c r="A606" s="13" t="str">
        <f aca="false">TRIM(Raw_Data!A606)</f>
        <v>EMP0605</v>
      </c>
      <c r="B606" s="14" t="n">
        <f aca="false">Raw_Data!B606</f>
        <v>42915</v>
      </c>
      <c r="C606" s="14" t="n">
        <f aca="false">IF(Raw_Data!C606="","",Raw_Data!C606)</f>
        <v>45708</v>
      </c>
      <c r="D606" s="13" t="n">
        <f aca="false">IF(Raw_Data!D606="","",Raw_Data!D606)</f>
        <v>37</v>
      </c>
      <c r="E606" s="13" t="str">
        <f aca="false">IF(UPPER(LEFT(TRIM(Raw_Data!E606),1))="M","Male",IF(UPPER(LEFT(TRIM(Raw_Data!E606),1))="F","Female","Unknown"))</f>
        <v>Male</v>
      </c>
      <c r="F606" s="13" t="str">
        <f aca="false">PROPER(TRIM(SUBSTITUTE(Raw_Data!F606,"'","")))</f>
        <v>High School</v>
      </c>
      <c r="G606" s="13" t="str">
        <f aca="false">PROPER(TRIM(Raw_Data!G606))</f>
        <v>Customer Support</v>
      </c>
      <c r="H606" s="13" t="str">
        <f aca="false">PROPER(TRIM(Raw_Data!H606))</f>
        <v>Analyst</v>
      </c>
      <c r="I606" s="13" t="n">
        <f aca="false">IF(Raw_Data!I606="",DefaultPerf,Raw_Data!I606)</f>
        <v>1</v>
      </c>
      <c r="J606" s="13" t="n">
        <f aca="false">IF(Raw_Data!J606="",DefaultSat,Raw_Data!J606)</f>
        <v>3</v>
      </c>
      <c r="K606" s="15" t="n">
        <f aca="false">Raw_Data!K606</f>
        <v>70500</v>
      </c>
      <c r="L606" s="13" t="str">
        <f aca="false">PROPER(TRIM(Raw_Data!N606))</f>
        <v>No</v>
      </c>
      <c r="M606" s="13" t="n">
        <f aca="false">IF(C606="",0,1)</f>
        <v>1</v>
      </c>
      <c r="N606" s="13" t="str">
        <f aca="false">IF(M606=0,"Active",IF(TRIM(Raw_Data!L606)="","Unknown",PROPER(TRIM(Raw_Data!L606))))</f>
        <v>Voluntary</v>
      </c>
      <c r="O606" s="13" t="str">
        <f aca="false">IF(M606=0,"",IF(TRIM(Raw_Data!M606)="","Not Recorded",TRIM(Raw_Data!M606)))</f>
        <v>Career Growth</v>
      </c>
      <c r="P606" s="16" t="n">
        <f aca="false">ROUND((IF(C606="",AsOfDate,C606)-B606)/365.25,2)</f>
        <v>7.65</v>
      </c>
      <c r="Q606" s="13" t="str">
        <f aca="false">IF(D606="","Unknown",IF(D606&lt;25,"Under 25",IF(D606&lt;35,"25-34",IF(D606&lt;45,"35-44",IF(D606&lt;55,"45-54","55+")))))</f>
        <v>35-44</v>
      </c>
      <c r="R606" s="13" t="str">
        <f aca="false">IF(P606&lt;1,"0-1 yrs",IF(P606&lt;3,"1-3 yrs",IF(P606&lt;5,"3-5 yrs",IF(P606&lt;10,"5-10 yrs","10+ yrs"))))</f>
        <v>5-10 yrs</v>
      </c>
      <c r="S606" s="13" t="str">
        <f aca="false">IF(I606&gt;=4,"High",IF(I606=3,"Medium","Low"))</f>
        <v>Low</v>
      </c>
      <c r="T606" s="13" t="n">
        <f aca="false">IF(M606=1,YEAR(C606),"")</f>
        <v>2025</v>
      </c>
      <c r="U606" s="13" t="str">
        <f aca="false">IF(M606=1,YEAR(C606)&amp;"-Q"&amp;ROUNDUP(MONTH(C606)/3,0),"")</f>
        <v>2025-Q1</v>
      </c>
      <c r="V606" s="13" t="n">
        <f aca="false">IF(M606=1,MONTH(C606),"")</f>
        <v>2</v>
      </c>
    </row>
    <row r="607" customFormat="false" ht="15" hidden="false" customHeight="false" outlineLevel="0" collapsed="false">
      <c r="A607" s="13" t="str">
        <f aca="false">TRIM(Raw_Data!A607)</f>
        <v>EMP0606</v>
      </c>
      <c r="B607" s="14" t="n">
        <f aca="false">Raw_Data!B607</f>
        <v>42915</v>
      </c>
      <c r="C607" s="14" t="str">
        <f aca="false">IF(Raw_Data!C607="","",Raw_Data!C607)</f>
        <v/>
      </c>
      <c r="D607" s="13" t="n">
        <f aca="false">IF(Raw_Data!D607="","",Raw_Data!D607)</f>
        <v>36</v>
      </c>
      <c r="E607" s="13" t="str">
        <f aca="false">IF(UPPER(LEFT(TRIM(Raw_Data!E607),1))="M","Male",IF(UPPER(LEFT(TRIM(Raw_Data!E607),1))="F","Female","Unknown"))</f>
        <v>Male</v>
      </c>
      <c r="F607" s="13" t="str">
        <f aca="false">PROPER(TRIM(SUBSTITUTE(Raw_Data!F607,"'","")))</f>
        <v>Bachelors</v>
      </c>
      <c r="G607" s="13" t="str">
        <f aca="false">PROPER(TRIM(Raw_Data!G607))</f>
        <v>Sales</v>
      </c>
      <c r="H607" s="13" t="str">
        <f aca="false">PROPER(TRIM(Raw_Data!H607))</f>
        <v>Analyst</v>
      </c>
      <c r="I607" s="13" t="n">
        <f aca="false">IF(Raw_Data!I607="",DefaultPerf,Raw_Data!I607)</f>
        <v>3</v>
      </c>
      <c r="J607" s="13" t="n">
        <f aca="false">IF(Raw_Data!J607="",DefaultSat,Raw_Data!J607)</f>
        <v>4</v>
      </c>
      <c r="K607" s="15" t="n">
        <f aca="false">Raw_Data!K607</f>
        <v>71500</v>
      </c>
      <c r="L607" s="13" t="str">
        <f aca="false">PROPER(TRIM(Raw_Data!N607))</f>
        <v>No</v>
      </c>
      <c r="M607" s="13" t="n">
        <f aca="false">IF(C607="",0,1)</f>
        <v>0</v>
      </c>
      <c r="N607" s="13" t="str">
        <f aca="false">IF(M607=0,"Active",IF(TRIM(Raw_Data!L607)="","Unknown",PROPER(TRIM(Raw_Data!L607))))</f>
        <v>Active</v>
      </c>
      <c r="O607" s="13" t="str">
        <f aca="false">IF(M607=0,"",IF(TRIM(Raw_Data!M607)="","Not Recorded",TRIM(Raw_Data!M607)))</f>
        <v/>
      </c>
      <c r="P607" s="16" t="n">
        <f aca="false">ROUND((IF(C607="",AsOfDate,C607)-B607)/365.25,2)</f>
        <v>8.51</v>
      </c>
      <c r="Q607" s="13" t="str">
        <f aca="false">IF(D607="","Unknown",IF(D607&lt;25,"Under 25",IF(D607&lt;35,"25-34",IF(D607&lt;45,"35-44",IF(D607&lt;55,"45-54","55+")))))</f>
        <v>35-44</v>
      </c>
      <c r="R607" s="13" t="str">
        <f aca="false">IF(P607&lt;1,"0-1 yrs",IF(P607&lt;3,"1-3 yrs",IF(P607&lt;5,"3-5 yrs",IF(P607&lt;10,"5-10 yrs","10+ yrs"))))</f>
        <v>5-10 yrs</v>
      </c>
      <c r="S607" s="13" t="str">
        <f aca="false">IF(I607&gt;=4,"High",IF(I607=3,"Medium","Low"))</f>
        <v>Medium</v>
      </c>
      <c r="T607" s="13" t="str">
        <f aca="false">IF(M607=1,YEAR(C607),"")</f>
        <v/>
      </c>
      <c r="U607" s="13" t="str">
        <f aca="false">IF(M607=1,YEAR(C607)&amp;"-Q"&amp;ROUNDUP(MONTH(C607)/3,0),"")</f>
        <v/>
      </c>
      <c r="V607" s="13" t="str">
        <f aca="false">IF(M607=1,MONTH(C607),"")</f>
        <v/>
      </c>
    </row>
    <row r="608" customFormat="false" ht="15" hidden="false" customHeight="false" outlineLevel="0" collapsed="false">
      <c r="A608" s="13" t="str">
        <f aca="false">TRIM(Raw_Data!A608)</f>
        <v>EMP0607</v>
      </c>
      <c r="B608" s="14" t="n">
        <f aca="false">Raw_Data!B608</f>
        <v>42918</v>
      </c>
      <c r="C608" s="14" t="str">
        <f aca="false">IF(Raw_Data!C608="","",Raw_Data!C608)</f>
        <v/>
      </c>
      <c r="D608" s="13" t="n">
        <f aca="false">IF(Raw_Data!D608="","",Raw_Data!D608)</f>
        <v>32</v>
      </c>
      <c r="E608" s="13" t="str">
        <f aca="false">IF(UPPER(LEFT(TRIM(Raw_Data!E608),1))="M","Male",IF(UPPER(LEFT(TRIM(Raw_Data!E608),1))="F","Female","Unknown"))</f>
        <v>Female</v>
      </c>
      <c r="F608" s="13" t="str">
        <f aca="false">PROPER(TRIM(SUBSTITUTE(Raw_Data!F608,"'","")))</f>
        <v>Masters</v>
      </c>
      <c r="G608" s="13" t="str">
        <f aca="false">PROPER(TRIM(Raw_Data!G608))</f>
        <v>Customer Support</v>
      </c>
      <c r="H608" s="13" t="str">
        <f aca="false">PROPER(TRIM(Raw_Data!H608))</f>
        <v>Specialist</v>
      </c>
      <c r="I608" s="13" t="n">
        <f aca="false">IF(Raw_Data!I608="",DefaultPerf,Raw_Data!I608)</f>
        <v>4</v>
      </c>
      <c r="J608" s="13" t="n">
        <f aca="false">IF(Raw_Data!J608="",DefaultSat,Raw_Data!J608)</f>
        <v>4</v>
      </c>
      <c r="K608" s="15" t="n">
        <f aca="false">Raw_Data!K608</f>
        <v>144000</v>
      </c>
      <c r="L608" s="13" t="str">
        <f aca="false">PROPER(TRIM(Raw_Data!N608))</f>
        <v>Yes</v>
      </c>
      <c r="M608" s="13" t="n">
        <f aca="false">IF(C608="",0,1)</f>
        <v>0</v>
      </c>
      <c r="N608" s="13" t="str">
        <f aca="false">IF(M608=0,"Active",IF(TRIM(Raw_Data!L608)="","Unknown",PROPER(TRIM(Raw_Data!L608))))</f>
        <v>Active</v>
      </c>
      <c r="O608" s="13" t="str">
        <f aca="false">IF(M608=0,"",IF(TRIM(Raw_Data!M608)="","Not Recorded",TRIM(Raw_Data!M608)))</f>
        <v/>
      </c>
      <c r="P608" s="16" t="n">
        <f aca="false">ROUND((IF(C608="",AsOfDate,C608)-B608)/365.25,2)</f>
        <v>8.5</v>
      </c>
      <c r="Q608" s="13" t="str">
        <f aca="false">IF(D608="","Unknown",IF(D608&lt;25,"Under 25",IF(D608&lt;35,"25-34",IF(D608&lt;45,"35-44",IF(D608&lt;55,"45-54","55+")))))</f>
        <v>25-34</v>
      </c>
      <c r="R608" s="13" t="str">
        <f aca="false">IF(P608&lt;1,"0-1 yrs",IF(P608&lt;3,"1-3 yrs",IF(P608&lt;5,"3-5 yrs",IF(P608&lt;10,"5-10 yrs","10+ yrs"))))</f>
        <v>5-10 yrs</v>
      </c>
      <c r="S608" s="13" t="str">
        <f aca="false">IF(I608&gt;=4,"High",IF(I608=3,"Medium","Low"))</f>
        <v>High</v>
      </c>
      <c r="T608" s="13" t="str">
        <f aca="false">IF(M608=1,YEAR(C608),"")</f>
        <v/>
      </c>
      <c r="U608" s="13" t="str">
        <f aca="false">IF(M608=1,YEAR(C608)&amp;"-Q"&amp;ROUNDUP(MONTH(C608)/3,0),"")</f>
        <v/>
      </c>
      <c r="V608" s="13" t="str">
        <f aca="false">IF(M608=1,MONTH(C608),"")</f>
        <v/>
      </c>
    </row>
    <row r="609" customFormat="false" ht="15" hidden="false" customHeight="false" outlineLevel="0" collapsed="false">
      <c r="A609" s="13" t="str">
        <f aca="false">TRIM(Raw_Data!A609)</f>
        <v>EMP0608</v>
      </c>
      <c r="B609" s="14" t="n">
        <f aca="false">Raw_Data!B609</f>
        <v>42919</v>
      </c>
      <c r="C609" s="14" t="str">
        <f aca="false">IF(Raw_Data!C609="","",Raw_Data!C609)</f>
        <v/>
      </c>
      <c r="D609" s="13" t="n">
        <f aca="false">IF(Raw_Data!D609="","",Raw_Data!D609)</f>
        <v>30</v>
      </c>
      <c r="E609" s="13" t="str">
        <f aca="false">IF(UPPER(LEFT(TRIM(Raw_Data!E609),1))="M","Male",IF(UPPER(LEFT(TRIM(Raw_Data!E609),1))="F","Female","Unknown"))</f>
        <v>Female</v>
      </c>
      <c r="F609" s="13" t="str">
        <f aca="false">PROPER(TRIM(SUBSTITUTE(Raw_Data!F609,"'","")))</f>
        <v>Masters</v>
      </c>
      <c r="G609" s="13" t="str">
        <f aca="false">PROPER(TRIM(Raw_Data!G609))</f>
        <v>Sales</v>
      </c>
      <c r="H609" s="13" t="str">
        <f aca="false">PROPER(TRIM(Raw_Data!H609))</f>
        <v>Analyst</v>
      </c>
      <c r="I609" s="13" t="n">
        <f aca="false">IF(Raw_Data!I609="",DefaultPerf,Raw_Data!I609)</f>
        <v>4</v>
      </c>
      <c r="J609" s="13" t="n">
        <f aca="false">IF(Raw_Data!J609="",DefaultSat,Raw_Data!J609)</f>
        <v>3</v>
      </c>
      <c r="K609" s="15" t="n">
        <f aca="false">Raw_Data!K609</f>
        <v>78000</v>
      </c>
      <c r="L609" s="13" t="str">
        <f aca="false">PROPER(TRIM(Raw_Data!N609))</f>
        <v>No</v>
      </c>
      <c r="M609" s="13" t="n">
        <f aca="false">IF(C609="",0,1)</f>
        <v>0</v>
      </c>
      <c r="N609" s="13" t="str">
        <f aca="false">IF(M609=0,"Active",IF(TRIM(Raw_Data!L609)="","Unknown",PROPER(TRIM(Raw_Data!L609))))</f>
        <v>Active</v>
      </c>
      <c r="O609" s="13" t="str">
        <f aca="false">IF(M609=0,"",IF(TRIM(Raw_Data!M609)="","Not Recorded",TRIM(Raw_Data!M609)))</f>
        <v/>
      </c>
      <c r="P609" s="16" t="n">
        <f aca="false">ROUND((IF(C609="",AsOfDate,C609)-B609)/365.25,2)</f>
        <v>8.5</v>
      </c>
      <c r="Q609" s="13" t="str">
        <f aca="false">IF(D609="","Unknown",IF(D609&lt;25,"Under 25",IF(D609&lt;35,"25-34",IF(D609&lt;45,"35-44",IF(D609&lt;55,"45-54","55+")))))</f>
        <v>25-34</v>
      </c>
      <c r="R609" s="13" t="str">
        <f aca="false">IF(P609&lt;1,"0-1 yrs",IF(P609&lt;3,"1-3 yrs",IF(P609&lt;5,"3-5 yrs",IF(P609&lt;10,"5-10 yrs","10+ yrs"))))</f>
        <v>5-10 yrs</v>
      </c>
      <c r="S609" s="13" t="str">
        <f aca="false">IF(I609&gt;=4,"High",IF(I609=3,"Medium","Low"))</f>
        <v>High</v>
      </c>
      <c r="T609" s="13" t="str">
        <f aca="false">IF(M609=1,YEAR(C609),"")</f>
        <v/>
      </c>
      <c r="U609" s="13" t="str">
        <f aca="false">IF(M609=1,YEAR(C609)&amp;"-Q"&amp;ROUNDUP(MONTH(C609)/3,0),"")</f>
        <v/>
      </c>
      <c r="V609" s="13" t="str">
        <f aca="false">IF(M609=1,MONTH(C609),"")</f>
        <v/>
      </c>
    </row>
    <row r="610" customFormat="false" ht="15" hidden="false" customHeight="false" outlineLevel="0" collapsed="false">
      <c r="A610" s="13" t="str">
        <f aca="false">TRIM(Raw_Data!A610)</f>
        <v>EMP0609</v>
      </c>
      <c r="B610" s="14" t="n">
        <f aca="false">Raw_Data!B610</f>
        <v>42921</v>
      </c>
      <c r="C610" s="14" t="str">
        <f aca="false">IF(Raw_Data!C610="","",Raw_Data!C610)</f>
        <v/>
      </c>
      <c r="D610" s="13" t="n">
        <f aca="false">IF(Raw_Data!D610="","",Raw_Data!D610)</f>
        <v>41</v>
      </c>
      <c r="E610" s="13" t="str">
        <f aca="false">IF(UPPER(LEFT(TRIM(Raw_Data!E610),1))="M","Male",IF(UPPER(LEFT(TRIM(Raw_Data!E610),1))="F","Female","Unknown"))</f>
        <v>Male</v>
      </c>
      <c r="F610" s="13" t="str">
        <f aca="false">PROPER(TRIM(SUBSTITUTE(Raw_Data!F610,"'","")))</f>
        <v>Masters</v>
      </c>
      <c r="G610" s="13" t="str">
        <f aca="false">PROPER(TRIM(Raw_Data!G610))</f>
        <v>Engineering</v>
      </c>
      <c r="H610" s="13" t="str">
        <f aca="false">PROPER(TRIM(Raw_Data!H610))</f>
        <v>Specialist</v>
      </c>
      <c r="I610" s="13" t="n">
        <f aca="false">IF(Raw_Data!I610="",DefaultPerf,Raw_Data!I610)</f>
        <v>3</v>
      </c>
      <c r="J610" s="13" t="n">
        <f aca="false">IF(Raw_Data!J610="",DefaultSat,Raw_Data!J610)</f>
        <v>3</v>
      </c>
      <c r="K610" s="15" t="n">
        <f aca="false">Raw_Data!K610</f>
        <v>127000</v>
      </c>
      <c r="L610" s="13" t="str">
        <f aca="false">PROPER(TRIM(Raw_Data!N610))</f>
        <v>Yes</v>
      </c>
      <c r="M610" s="13" t="n">
        <f aca="false">IF(C610="",0,1)</f>
        <v>0</v>
      </c>
      <c r="N610" s="13" t="str">
        <f aca="false">IF(M610=0,"Active",IF(TRIM(Raw_Data!L610)="","Unknown",PROPER(TRIM(Raw_Data!L610))))</f>
        <v>Active</v>
      </c>
      <c r="O610" s="13" t="str">
        <f aca="false">IF(M610=0,"",IF(TRIM(Raw_Data!M610)="","Not Recorded",TRIM(Raw_Data!M610)))</f>
        <v/>
      </c>
      <c r="P610" s="16" t="n">
        <f aca="false">ROUND((IF(C610="",AsOfDate,C610)-B610)/365.25,2)</f>
        <v>8.49</v>
      </c>
      <c r="Q610" s="13" t="str">
        <f aca="false">IF(D610="","Unknown",IF(D610&lt;25,"Under 25",IF(D610&lt;35,"25-34",IF(D610&lt;45,"35-44",IF(D610&lt;55,"45-54","55+")))))</f>
        <v>35-44</v>
      </c>
      <c r="R610" s="13" t="str">
        <f aca="false">IF(P610&lt;1,"0-1 yrs",IF(P610&lt;3,"1-3 yrs",IF(P610&lt;5,"3-5 yrs",IF(P610&lt;10,"5-10 yrs","10+ yrs"))))</f>
        <v>5-10 yrs</v>
      </c>
      <c r="S610" s="13" t="str">
        <f aca="false">IF(I610&gt;=4,"High",IF(I610=3,"Medium","Low"))</f>
        <v>Medium</v>
      </c>
      <c r="T610" s="13" t="str">
        <f aca="false">IF(M610=1,YEAR(C610),"")</f>
        <v/>
      </c>
      <c r="U610" s="13" t="str">
        <f aca="false">IF(M610=1,YEAR(C610)&amp;"-Q"&amp;ROUNDUP(MONTH(C610)/3,0),"")</f>
        <v/>
      </c>
      <c r="V610" s="13" t="str">
        <f aca="false">IF(M610=1,MONTH(C610),"")</f>
        <v/>
      </c>
    </row>
    <row r="611" customFormat="false" ht="15" hidden="false" customHeight="false" outlineLevel="0" collapsed="false">
      <c r="A611" s="13" t="str">
        <f aca="false">TRIM(Raw_Data!A611)</f>
        <v>EMP0610</v>
      </c>
      <c r="B611" s="14" t="n">
        <f aca="false">Raw_Data!B611</f>
        <v>42923</v>
      </c>
      <c r="C611" s="14" t="n">
        <f aca="false">IF(Raw_Data!C611="","",Raw_Data!C611)</f>
        <v>44758</v>
      </c>
      <c r="D611" s="13" t="n">
        <f aca="false">IF(Raw_Data!D611="","",Raw_Data!D611)</f>
        <v>36</v>
      </c>
      <c r="E611" s="13" t="str">
        <f aca="false">IF(UPPER(LEFT(TRIM(Raw_Data!E611),1))="M","Male",IF(UPPER(LEFT(TRIM(Raw_Data!E611),1))="F","Female","Unknown"))</f>
        <v>Male</v>
      </c>
      <c r="F611" s="13" t="str">
        <f aca="false">PROPER(TRIM(SUBSTITUTE(Raw_Data!F611,"'","")))</f>
        <v>Bachelors</v>
      </c>
      <c r="G611" s="13" t="str">
        <f aca="false">PROPER(TRIM(Raw_Data!G611))</f>
        <v>Finance</v>
      </c>
      <c r="H611" s="13" t="str">
        <f aca="false">PROPER(TRIM(Raw_Data!H611))</f>
        <v>Specialist</v>
      </c>
      <c r="I611" s="13" t="n">
        <f aca="false">IF(Raw_Data!I611="",DefaultPerf,Raw_Data!I611)</f>
        <v>3</v>
      </c>
      <c r="J611" s="13" t="n">
        <f aca="false">IF(Raw_Data!J611="",DefaultSat,Raw_Data!J611)</f>
        <v>3</v>
      </c>
      <c r="K611" s="15" t="n">
        <f aca="false">Raw_Data!K611</f>
        <v>100500</v>
      </c>
      <c r="L611" s="13" t="str">
        <f aca="false">PROPER(TRIM(Raw_Data!N611))</f>
        <v>No</v>
      </c>
      <c r="M611" s="13" t="n">
        <f aca="false">IF(C611="",0,1)</f>
        <v>1</v>
      </c>
      <c r="N611" s="13" t="str">
        <f aca="false">IF(M611=0,"Active",IF(TRIM(Raw_Data!L611)="","Unknown",PROPER(TRIM(Raw_Data!L611))))</f>
        <v>Voluntary</v>
      </c>
      <c r="O611" s="13" t="str">
        <f aca="false">IF(M611=0,"",IF(TRIM(Raw_Data!M611)="","Not Recorded",TRIM(Raw_Data!M611)))</f>
        <v>Relocation</v>
      </c>
      <c r="P611" s="16" t="n">
        <f aca="false">ROUND((IF(C611="",AsOfDate,C611)-B611)/365.25,2)</f>
        <v>5.02</v>
      </c>
      <c r="Q611" s="13" t="str">
        <f aca="false">IF(D611="","Unknown",IF(D611&lt;25,"Under 25",IF(D611&lt;35,"25-34",IF(D611&lt;45,"35-44",IF(D611&lt;55,"45-54","55+")))))</f>
        <v>35-44</v>
      </c>
      <c r="R611" s="13" t="str">
        <f aca="false">IF(P611&lt;1,"0-1 yrs",IF(P611&lt;3,"1-3 yrs",IF(P611&lt;5,"3-5 yrs",IF(P611&lt;10,"5-10 yrs","10+ yrs"))))</f>
        <v>5-10 yrs</v>
      </c>
      <c r="S611" s="13" t="str">
        <f aca="false">IF(I611&gt;=4,"High",IF(I611=3,"Medium","Low"))</f>
        <v>Medium</v>
      </c>
      <c r="T611" s="13" t="n">
        <f aca="false">IF(M611=1,YEAR(C611),"")</f>
        <v>2022</v>
      </c>
      <c r="U611" s="13" t="str">
        <f aca="false">IF(M611=1,YEAR(C611)&amp;"-Q"&amp;ROUNDUP(MONTH(C611)/3,0),"")</f>
        <v>2022-Q3</v>
      </c>
      <c r="V611" s="13" t="n">
        <f aca="false">IF(M611=1,MONTH(C611),"")</f>
        <v>7</v>
      </c>
    </row>
    <row r="612" customFormat="false" ht="15" hidden="false" customHeight="false" outlineLevel="0" collapsed="false">
      <c r="A612" s="13" t="str">
        <f aca="false">TRIM(Raw_Data!A612)</f>
        <v>EMP0611</v>
      </c>
      <c r="B612" s="14" t="n">
        <f aca="false">Raw_Data!B612</f>
        <v>42924</v>
      </c>
      <c r="C612" s="14" t="str">
        <f aca="false">IF(Raw_Data!C612="","",Raw_Data!C612)</f>
        <v/>
      </c>
      <c r="D612" s="13" t="n">
        <f aca="false">IF(Raw_Data!D612="","",Raw_Data!D612)</f>
        <v>33</v>
      </c>
      <c r="E612" s="13" t="str">
        <f aca="false">IF(UPPER(LEFT(TRIM(Raw_Data!E612),1))="M","Male",IF(UPPER(LEFT(TRIM(Raw_Data!E612),1))="F","Female","Unknown"))</f>
        <v>Male</v>
      </c>
      <c r="F612" s="13" t="str">
        <f aca="false">PROPER(TRIM(SUBSTITUTE(Raw_Data!F612,"'","")))</f>
        <v>High School</v>
      </c>
      <c r="G612" s="13" t="str">
        <f aca="false">PROPER(TRIM(Raw_Data!G612))</f>
        <v>Sales</v>
      </c>
      <c r="H612" s="13" t="str">
        <f aca="false">PROPER(TRIM(Raw_Data!H612))</f>
        <v>Associate</v>
      </c>
      <c r="I612" s="13" t="n">
        <f aca="false">IF(Raw_Data!I612="",DefaultPerf,Raw_Data!I612)</f>
        <v>4</v>
      </c>
      <c r="J612" s="13" t="n">
        <f aca="false">IF(Raw_Data!J612="",DefaultSat,Raw_Data!J612)</f>
        <v>1</v>
      </c>
      <c r="K612" s="15" t="n">
        <f aca="false">Raw_Data!K612</f>
        <v>42000</v>
      </c>
      <c r="L612" s="13" t="str">
        <f aca="false">PROPER(TRIM(Raw_Data!N612))</f>
        <v>Yes</v>
      </c>
      <c r="M612" s="13" t="n">
        <f aca="false">IF(C612="",0,1)</f>
        <v>0</v>
      </c>
      <c r="N612" s="13" t="str">
        <f aca="false">IF(M612=0,"Active",IF(TRIM(Raw_Data!L612)="","Unknown",PROPER(TRIM(Raw_Data!L612))))</f>
        <v>Active</v>
      </c>
      <c r="O612" s="13" t="str">
        <f aca="false">IF(M612=0,"",IF(TRIM(Raw_Data!M612)="","Not Recorded",TRIM(Raw_Data!M612)))</f>
        <v/>
      </c>
      <c r="P612" s="16" t="n">
        <f aca="false">ROUND((IF(C612="",AsOfDate,C612)-B612)/365.25,2)</f>
        <v>8.48</v>
      </c>
      <c r="Q612" s="13" t="str">
        <f aca="false">IF(D612="","Unknown",IF(D612&lt;25,"Under 25",IF(D612&lt;35,"25-34",IF(D612&lt;45,"35-44",IF(D612&lt;55,"45-54","55+")))))</f>
        <v>25-34</v>
      </c>
      <c r="R612" s="13" t="str">
        <f aca="false">IF(P612&lt;1,"0-1 yrs",IF(P612&lt;3,"1-3 yrs",IF(P612&lt;5,"3-5 yrs",IF(P612&lt;10,"5-10 yrs","10+ yrs"))))</f>
        <v>5-10 yrs</v>
      </c>
      <c r="S612" s="13" t="str">
        <f aca="false">IF(I612&gt;=4,"High",IF(I612=3,"Medium","Low"))</f>
        <v>High</v>
      </c>
      <c r="T612" s="13" t="str">
        <f aca="false">IF(M612=1,YEAR(C612),"")</f>
        <v/>
      </c>
      <c r="U612" s="13" t="str">
        <f aca="false">IF(M612=1,YEAR(C612)&amp;"-Q"&amp;ROUNDUP(MONTH(C612)/3,0),"")</f>
        <v/>
      </c>
      <c r="V612" s="13" t="str">
        <f aca="false">IF(M612=1,MONTH(C612),"")</f>
        <v/>
      </c>
    </row>
    <row r="613" customFormat="false" ht="15" hidden="false" customHeight="false" outlineLevel="0" collapsed="false">
      <c r="A613" s="13" t="str">
        <f aca="false">TRIM(Raw_Data!A613)</f>
        <v>EMP0612</v>
      </c>
      <c r="B613" s="14" t="n">
        <f aca="false">Raw_Data!B613</f>
        <v>42926</v>
      </c>
      <c r="C613" s="14" t="n">
        <f aca="false">IF(Raw_Data!C613="","",Raw_Data!C613)</f>
        <v>44631</v>
      </c>
      <c r="D613" s="13" t="n">
        <f aca="false">IF(Raw_Data!D613="","",Raw_Data!D613)</f>
        <v>42</v>
      </c>
      <c r="E613" s="13" t="str">
        <f aca="false">IF(UPPER(LEFT(TRIM(Raw_Data!E613),1))="M","Male",IF(UPPER(LEFT(TRIM(Raw_Data!E613),1))="F","Female","Unknown"))</f>
        <v>Female</v>
      </c>
      <c r="F613" s="13" t="str">
        <f aca="false">PROPER(TRIM(SUBSTITUTE(Raw_Data!F613,"'","")))</f>
        <v>Diploma</v>
      </c>
      <c r="G613" s="13" t="str">
        <f aca="false">PROPER(TRIM(Raw_Data!G613))</f>
        <v>Sales</v>
      </c>
      <c r="H613" s="13" t="str">
        <f aca="false">PROPER(TRIM(Raw_Data!H613))</f>
        <v>Analyst</v>
      </c>
      <c r="I613" s="13" t="n">
        <f aca="false">IF(Raw_Data!I613="",DefaultPerf,Raw_Data!I613)</f>
        <v>2</v>
      </c>
      <c r="J613" s="13" t="n">
        <f aca="false">IF(Raw_Data!J613="",DefaultSat,Raw_Data!J613)</f>
        <v>3</v>
      </c>
      <c r="K613" s="15" t="n">
        <f aca="false">Raw_Data!K613</f>
        <v>67500</v>
      </c>
      <c r="L613" s="13" t="str">
        <f aca="false">PROPER(TRIM(Raw_Data!N613))</f>
        <v>No</v>
      </c>
      <c r="M613" s="13" t="n">
        <f aca="false">IF(C613="",0,1)</f>
        <v>1</v>
      </c>
      <c r="N613" s="13" t="str">
        <f aca="false">IF(M613=0,"Active",IF(TRIM(Raw_Data!L613)="","Unknown",PROPER(TRIM(Raw_Data!L613))))</f>
        <v>Involuntary</v>
      </c>
      <c r="O613" s="13" t="str">
        <f aca="false">IF(M613=0,"",IF(TRIM(Raw_Data!M613)="","Not Recorded",TRIM(Raw_Data!M613)))</f>
        <v>Restructuring / Layoff</v>
      </c>
      <c r="P613" s="16" t="n">
        <f aca="false">ROUND((IF(C613="",AsOfDate,C613)-B613)/365.25,2)</f>
        <v>4.67</v>
      </c>
      <c r="Q613" s="13" t="str">
        <f aca="false">IF(D613="","Unknown",IF(D613&lt;25,"Under 25",IF(D613&lt;35,"25-34",IF(D613&lt;45,"35-44",IF(D613&lt;55,"45-54","55+")))))</f>
        <v>35-44</v>
      </c>
      <c r="R613" s="13" t="str">
        <f aca="false">IF(P613&lt;1,"0-1 yrs",IF(P613&lt;3,"1-3 yrs",IF(P613&lt;5,"3-5 yrs",IF(P613&lt;10,"5-10 yrs","10+ yrs"))))</f>
        <v>3-5 yrs</v>
      </c>
      <c r="S613" s="13" t="str">
        <f aca="false">IF(I613&gt;=4,"High",IF(I613=3,"Medium","Low"))</f>
        <v>Low</v>
      </c>
      <c r="T613" s="13" t="n">
        <f aca="false">IF(M613=1,YEAR(C613),"")</f>
        <v>2022</v>
      </c>
      <c r="U613" s="13" t="str">
        <f aca="false">IF(M613=1,YEAR(C613)&amp;"-Q"&amp;ROUNDUP(MONTH(C613)/3,0),"")</f>
        <v>2022-Q1</v>
      </c>
      <c r="V613" s="13" t="n">
        <f aca="false">IF(M613=1,MONTH(C613),"")</f>
        <v>3</v>
      </c>
    </row>
    <row r="614" customFormat="false" ht="15" hidden="false" customHeight="false" outlineLevel="0" collapsed="false">
      <c r="A614" s="13" t="str">
        <f aca="false">TRIM(Raw_Data!A614)</f>
        <v>EMP0613</v>
      </c>
      <c r="B614" s="14" t="n">
        <f aca="false">Raw_Data!B614</f>
        <v>42928</v>
      </c>
      <c r="C614" s="14" t="str">
        <f aca="false">IF(Raw_Data!C614="","",Raw_Data!C614)</f>
        <v/>
      </c>
      <c r="D614" s="13" t="n">
        <f aca="false">IF(Raw_Data!D614="","",Raw_Data!D614)</f>
        <v>39</v>
      </c>
      <c r="E614" s="13" t="str">
        <f aca="false">IF(UPPER(LEFT(TRIM(Raw_Data!E614),1))="M","Male",IF(UPPER(LEFT(TRIM(Raw_Data!E614),1))="F","Female","Unknown"))</f>
        <v>Male</v>
      </c>
      <c r="F614" s="13" t="str">
        <f aca="false">PROPER(TRIM(SUBSTITUTE(Raw_Data!F614,"'","")))</f>
        <v>Masters</v>
      </c>
      <c r="G614" s="13" t="str">
        <f aca="false">PROPER(TRIM(Raw_Data!G614))</f>
        <v>Operations</v>
      </c>
      <c r="H614" s="13" t="str">
        <f aca="false">PROPER(TRIM(Raw_Data!H614))</f>
        <v>Senior Analyst</v>
      </c>
      <c r="I614" s="13" t="n">
        <f aca="false">IF(Raw_Data!I614="",DefaultPerf,Raw_Data!I614)</f>
        <v>3</v>
      </c>
      <c r="J614" s="13" t="n">
        <f aca="false">IF(Raw_Data!J614="",DefaultSat,Raw_Data!J614)</f>
        <v>3</v>
      </c>
      <c r="K614" s="15" t="n">
        <f aca="false">Raw_Data!K614</f>
        <v>95000</v>
      </c>
      <c r="L614" s="13" t="str">
        <f aca="false">PROPER(TRIM(Raw_Data!N614))</f>
        <v>Yes</v>
      </c>
      <c r="M614" s="13" t="n">
        <f aca="false">IF(C614="",0,1)</f>
        <v>0</v>
      </c>
      <c r="N614" s="13" t="str">
        <f aca="false">IF(M614=0,"Active",IF(TRIM(Raw_Data!L614)="","Unknown",PROPER(TRIM(Raw_Data!L614))))</f>
        <v>Active</v>
      </c>
      <c r="O614" s="13" t="str">
        <f aca="false">IF(M614=0,"",IF(TRIM(Raw_Data!M614)="","Not Recorded",TRIM(Raw_Data!M614)))</f>
        <v/>
      </c>
      <c r="P614" s="16" t="n">
        <f aca="false">ROUND((IF(C614="",AsOfDate,C614)-B614)/365.25,2)</f>
        <v>8.47</v>
      </c>
      <c r="Q614" s="13" t="str">
        <f aca="false">IF(D614="","Unknown",IF(D614&lt;25,"Under 25",IF(D614&lt;35,"25-34",IF(D614&lt;45,"35-44",IF(D614&lt;55,"45-54","55+")))))</f>
        <v>35-44</v>
      </c>
      <c r="R614" s="13" t="str">
        <f aca="false">IF(P614&lt;1,"0-1 yrs",IF(P614&lt;3,"1-3 yrs",IF(P614&lt;5,"3-5 yrs",IF(P614&lt;10,"5-10 yrs","10+ yrs"))))</f>
        <v>5-10 yrs</v>
      </c>
      <c r="S614" s="13" t="str">
        <f aca="false">IF(I614&gt;=4,"High",IF(I614=3,"Medium","Low"))</f>
        <v>Medium</v>
      </c>
      <c r="T614" s="13" t="str">
        <f aca="false">IF(M614=1,YEAR(C614),"")</f>
        <v/>
      </c>
      <c r="U614" s="13" t="str">
        <f aca="false">IF(M614=1,YEAR(C614)&amp;"-Q"&amp;ROUNDUP(MONTH(C614)/3,0),"")</f>
        <v/>
      </c>
      <c r="V614" s="13" t="str">
        <f aca="false">IF(M614=1,MONTH(C614),"")</f>
        <v/>
      </c>
    </row>
    <row r="615" customFormat="false" ht="15" hidden="false" customHeight="false" outlineLevel="0" collapsed="false">
      <c r="A615" s="13" t="str">
        <f aca="false">TRIM(Raw_Data!A615)</f>
        <v>EMP0614</v>
      </c>
      <c r="B615" s="14" t="n">
        <f aca="false">Raw_Data!B615</f>
        <v>42930</v>
      </c>
      <c r="C615" s="14" t="str">
        <f aca="false">IF(Raw_Data!C615="","",Raw_Data!C615)</f>
        <v/>
      </c>
      <c r="D615" s="13" t="n">
        <f aca="false">IF(Raw_Data!D615="","",Raw_Data!D615)</f>
        <v>38</v>
      </c>
      <c r="E615" s="13" t="str">
        <f aca="false">IF(UPPER(LEFT(TRIM(Raw_Data!E615),1))="M","Male",IF(UPPER(LEFT(TRIM(Raw_Data!E615),1))="F","Female","Unknown"))</f>
        <v>Male</v>
      </c>
      <c r="F615" s="13" t="str">
        <f aca="false">PROPER(TRIM(SUBSTITUTE(Raw_Data!F615,"'","")))</f>
        <v>Diploma</v>
      </c>
      <c r="G615" s="13" t="str">
        <f aca="false">PROPER(TRIM(Raw_Data!G615))</f>
        <v>Engineering</v>
      </c>
      <c r="H615" s="13" t="str">
        <f aca="false">PROPER(TRIM(Raw_Data!H615))</f>
        <v>Associate</v>
      </c>
      <c r="I615" s="13" t="n">
        <f aca="false">IF(Raw_Data!I615="",DefaultPerf,Raw_Data!I615)</f>
        <v>4</v>
      </c>
      <c r="J615" s="13" t="n">
        <f aca="false">IF(Raw_Data!J615="",DefaultSat,Raw_Data!J615)</f>
        <v>2</v>
      </c>
      <c r="K615" s="15" t="n">
        <f aca="false">Raw_Data!K615</f>
        <v>45000</v>
      </c>
      <c r="L615" s="13" t="str">
        <f aca="false">PROPER(TRIM(Raw_Data!N615))</f>
        <v>No</v>
      </c>
      <c r="M615" s="13" t="n">
        <f aca="false">IF(C615="",0,1)</f>
        <v>0</v>
      </c>
      <c r="N615" s="13" t="str">
        <f aca="false">IF(M615=0,"Active",IF(TRIM(Raw_Data!L615)="","Unknown",PROPER(TRIM(Raw_Data!L615))))</f>
        <v>Active</v>
      </c>
      <c r="O615" s="13" t="str">
        <f aca="false">IF(M615=0,"",IF(TRIM(Raw_Data!M615)="","Not Recorded",TRIM(Raw_Data!M615)))</f>
        <v/>
      </c>
      <c r="P615" s="16" t="n">
        <f aca="false">ROUND((IF(C615="",AsOfDate,C615)-B615)/365.25,2)</f>
        <v>8.47</v>
      </c>
      <c r="Q615" s="13" t="str">
        <f aca="false">IF(D615="","Unknown",IF(D615&lt;25,"Under 25",IF(D615&lt;35,"25-34",IF(D615&lt;45,"35-44",IF(D615&lt;55,"45-54","55+")))))</f>
        <v>35-44</v>
      </c>
      <c r="R615" s="13" t="str">
        <f aca="false">IF(P615&lt;1,"0-1 yrs",IF(P615&lt;3,"1-3 yrs",IF(P615&lt;5,"3-5 yrs",IF(P615&lt;10,"5-10 yrs","10+ yrs"))))</f>
        <v>5-10 yrs</v>
      </c>
      <c r="S615" s="13" t="str">
        <f aca="false">IF(I615&gt;=4,"High",IF(I615=3,"Medium","Low"))</f>
        <v>High</v>
      </c>
      <c r="T615" s="13" t="str">
        <f aca="false">IF(M615=1,YEAR(C615),"")</f>
        <v/>
      </c>
      <c r="U615" s="13" t="str">
        <f aca="false">IF(M615=1,YEAR(C615)&amp;"-Q"&amp;ROUNDUP(MONTH(C615)/3,0),"")</f>
        <v/>
      </c>
      <c r="V615" s="13" t="str">
        <f aca="false">IF(M615=1,MONTH(C615),"")</f>
        <v/>
      </c>
    </row>
    <row r="616" customFormat="false" ht="15" hidden="false" customHeight="false" outlineLevel="0" collapsed="false">
      <c r="A616" s="13" t="str">
        <f aca="false">TRIM(Raw_Data!A616)</f>
        <v>EMP0615</v>
      </c>
      <c r="B616" s="14" t="n">
        <f aca="false">Raw_Data!B616</f>
        <v>42931</v>
      </c>
      <c r="C616" s="14" t="str">
        <f aca="false">IF(Raw_Data!C616="","",Raw_Data!C616)</f>
        <v/>
      </c>
      <c r="D616" s="13" t="n">
        <f aca="false">IF(Raw_Data!D616="","",Raw_Data!D616)</f>
        <v>40</v>
      </c>
      <c r="E616" s="13" t="str">
        <f aca="false">IF(UPPER(LEFT(TRIM(Raw_Data!E616),1))="M","Male",IF(UPPER(LEFT(TRIM(Raw_Data!E616),1))="F","Female","Unknown"))</f>
        <v>Male</v>
      </c>
      <c r="F616" s="13" t="str">
        <f aca="false">PROPER(TRIM(SUBSTITUTE(Raw_Data!F616,"'","")))</f>
        <v>Bachelors</v>
      </c>
      <c r="G616" s="13" t="str">
        <f aca="false">PROPER(TRIM(Raw_Data!G616))</f>
        <v>Sales</v>
      </c>
      <c r="H616" s="13" t="str">
        <f aca="false">PROPER(TRIM(Raw_Data!H616))</f>
        <v>Associate</v>
      </c>
      <c r="I616" s="13" t="n">
        <f aca="false">IF(Raw_Data!I616="",DefaultPerf,Raw_Data!I616)</f>
        <v>3</v>
      </c>
      <c r="J616" s="13" t="n">
        <f aca="false">IF(Raw_Data!J616="",DefaultSat,Raw_Data!J616)</f>
        <v>4</v>
      </c>
      <c r="K616" s="15" t="n">
        <f aca="false">Raw_Data!K616</f>
        <v>42000</v>
      </c>
      <c r="L616" s="13" t="str">
        <f aca="false">PROPER(TRIM(Raw_Data!N616))</f>
        <v>No</v>
      </c>
      <c r="M616" s="13" t="n">
        <f aca="false">IF(C616="",0,1)</f>
        <v>0</v>
      </c>
      <c r="N616" s="13" t="str">
        <f aca="false">IF(M616=0,"Active",IF(TRIM(Raw_Data!L616)="","Unknown",PROPER(TRIM(Raw_Data!L616))))</f>
        <v>Active</v>
      </c>
      <c r="O616" s="13" t="str">
        <f aca="false">IF(M616=0,"",IF(TRIM(Raw_Data!M616)="","Not Recorded",TRIM(Raw_Data!M616)))</f>
        <v/>
      </c>
      <c r="P616" s="16" t="n">
        <f aca="false">ROUND((IF(C616="",AsOfDate,C616)-B616)/365.25,2)</f>
        <v>8.46</v>
      </c>
      <c r="Q616" s="13" t="str">
        <f aca="false">IF(D616="","Unknown",IF(D616&lt;25,"Under 25",IF(D616&lt;35,"25-34",IF(D616&lt;45,"35-44",IF(D616&lt;55,"45-54","55+")))))</f>
        <v>35-44</v>
      </c>
      <c r="R616" s="13" t="str">
        <f aca="false">IF(P616&lt;1,"0-1 yrs",IF(P616&lt;3,"1-3 yrs",IF(P616&lt;5,"3-5 yrs",IF(P616&lt;10,"5-10 yrs","10+ yrs"))))</f>
        <v>5-10 yrs</v>
      </c>
      <c r="S616" s="13" t="str">
        <f aca="false">IF(I616&gt;=4,"High",IF(I616=3,"Medium","Low"))</f>
        <v>Medium</v>
      </c>
      <c r="T616" s="13" t="str">
        <f aca="false">IF(M616=1,YEAR(C616),"")</f>
        <v/>
      </c>
      <c r="U616" s="13" t="str">
        <f aca="false">IF(M616=1,YEAR(C616)&amp;"-Q"&amp;ROUNDUP(MONTH(C616)/3,0),"")</f>
        <v/>
      </c>
      <c r="V616" s="13" t="str">
        <f aca="false">IF(M616=1,MONTH(C616),"")</f>
        <v/>
      </c>
    </row>
    <row r="617" customFormat="false" ht="15" hidden="false" customHeight="false" outlineLevel="0" collapsed="false">
      <c r="A617" s="13" t="str">
        <f aca="false">TRIM(Raw_Data!A617)</f>
        <v>EMP0616</v>
      </c>
      <c r="B617" s="14" t="n">
        <f aca="false">Raw_Data!B617</f>
        <v>42936</v>
      </c>
      <c r="C617" s="14" t="str">
        <f aca="false">IF(Raw_Data!C617="","",Raw_Data!C617)</f>
        <v/>
      </c>
      <c r="D617" s="13" t="n">
        <f aca="false">IF(Raw_Data!D617="","",Raw_Data!D617)</f>
        <v>33</v>
      </c>
      <c r="E617" s="13" t="str">
        <f aca="false">IF(UPPER(LEFT(TRIM(Raw_Data!E617),1))="M","Male",IF(UPPER(LEFT(TRIM(Raw_Data!E617),1))="F","Female","Unknown"))</f>
        <v>Male</v>
      </c>
      <c r="F617" s="13" t="str">
        <f aca="false">PROPER(TRIM(SUBSTITUTE(Raw_Data!F617,"'","")))</f>
        <v>Bachelors</v>
      </c>
      <c r="G617" s="13" t="str">
        <f aca="false">PROPER(TRIM(Raw_Data!G617))</f>
        <v>Engineering</v>
      </c>
      <c r="H617" s="13" t="str">
        <f aca="false">PROPER(TRIM(Raw_Data!H617))</f>
        <v>Senior Analyst</v>
      </c>
      <c r="I617" s="13" t="n">
        <f aca="false">IF(Raw_Data!I617="",DefaultPerf,Raw_Data!I617)</f>
        <v>4</v>
      </c>
      <c r="J617" s="13" t="n">
        <f aca="false">IF(Raw_Data!J617="",DefaultSat,Raw_Data!J617)</f>
        <v>2</v>
      </c>
      <c r="K617" s="15" t="n">
        <f aca="false">Raw_Data!K617</f>
        <v>104500</v>
      </c>
      <c r="L617" s="13" t="str">
        <f aca="false">PROPER(TRIM(Raw_Data!N617))</f>
        <v>No</v>
      </c>
      <c r="M617" s="13" t="n">
        <f aca="false">IF(C617="",0,1)</f>
        <v>0</v>
      </c>
      <c r="N617" s="13" t="str">
        <f aca="false">IF(M617=0,"Active",IF(TRIM(Raw_Data!L617)="","Unknown",PROPER(TRIM(Raw_Data!L617))))</f>
        <v>Active</v>
      </c>
      <c r="O617" s="13" t="str">
        <f aca="false">IF(M617=0,"",IF(TRIM(Raw_Data!M617)="","Not Recorded",TRIM(Raw_Data!M617)))</f>
        <v/>
      </c>
      <c r="P617" s="16" t="n">
        <f aca="false">ROUND((IF(C617="",AsOfDate,C617)-B617)/365.25,2)</f>
        <v>8.45</v>
      </c>
      <c r="Q617" s="13" t="str">
        <f aca="false">IF(D617="","Unknown",IF(D617&lt;25,"Under 25",IF(D617&lt;35,"25-34",IF(D617&lt;45,"35-44",IF(D617&lt;55,"45-54","55+")))))</f>
        <v>25-34</v>
      </c>
      <c r="R617" s="13" t="str">
        <f aca="false">IF(P617&lt;1,"0-1 yrs",IF(P617&lt;3,"1-3 yrs",IF(P617&lt;5,"3-5 yrs",IF(P617&lt;10,"5-10 yrs","10+ yrs"))))</f>
        <v>5-10 yrs</v>
      </c>
      <c r="S617" s="13" t="str">
        <f aca="false">IF(I617&gt;=4,"High",IF(I617=3,"Medium","Low"))</f>
        <v>High</v>
      </c>
      <c r="T617" s="13" t="str">
        <f aca="false">IF(M617=1,YEAR(C617),"")</f>
        <v/>
      </c>
      <c r="U617" s="13" t="str">
        <f aca="false">IF(M617=1,YEAR(C617)&amp;"-Q"&amp;ROUNDUP(MONTH(C617)/3,0),"")</f>
        <v/>
      </c>
      <c r="V617" s="13" t="str">
        <f aca="false">IF(M617=1,MONTH(C617),"")</f>
        <v/>
      </c>
    </row>
    <row r="618" customFormat="false" ht="15" hidden="false" customHeight="false" outlineLevel="0" collapsed="false">
      <c r="A618" s="13" t="str">
        <f aca="false">TRIM(Raw_Data!A618)</f>
        <v>EMP0617</v>
      </c>
      <c r="B618" s="14" t="n">
        <f aca="false">Raw_Data!B618</f>
        <v>42939</v>
      </c>
      <c r="C618" s="14" t="str">
        <f aca="false">IF(Raw_Data!C618="","",Raw_Data!C618)</f>
        <v/>
      </c>
      <c r="D618" s="13" t="n">
        <f aca="false">IF(Raw_Data!D618="","",Raw_Data!D618)</f>
        <v>34</v>
      </c>
      <c r="E618" s="13" t="str">
        <f aca="false">IF(UPPER(LEFT(TRIM(Raw_Data!E618),1))="M","Male",IF(UPPER(LEFT(TRIM(Raw_Data!E618),1))="F","Female","Unknown"))</f>
        <v>Male</v>
      </c>
      <c r="F618" s="13" t="str">
        <f aca="false">PROPER(TRIM(SUBSTITUTE(Raw_Data!F618,"'","")))</f>
        <v>Masters</v>
      </c>
      <c r="G618" s="13" t="str">
        <f aca="false">PROPER(TRIM(Raw_Data!G618))</f>
        <v>Engineering</v>
      </c>
      <c r="H618" s="13" t="str">
        <f aca="false">PROPER(TRIM(Raw_Data!H618))</f>
        <v>Specialist</v>
      </c>
      <c r="I618" s="13" t="n">
        <f aca="false">IF(Raw_Data!I618="",DefaultPerf,Raw_Data!I618)</f>
        <v>3</v>
      </c>
      <c r="J618" s="13" t="n">
        <f aca="false">IF(Raw_Data!J618="",DefaultSat,Raw_Data!J618)</f>
        <v>3</v>
      </c>
      <c r="K618" s="15" t="n">
        <f aca="false">Raw_Data!K618</f>
        <v>121000</v>
      </c>
      <c r="L618" s="13" t="str">
        <f aca="false">PROPER(TRIM(Raw_Data!N618))</f>
        <v>Yes</v>
      </c>
      <c r="M618" s="13" t="n">
        <f aca="false">IF(C618="",0,1)</f>
        <v>0</v>
      </c>
      <c r="N618" s="13" t="str">
        <f aca="false">IF(M618=0,"Active",IF(TRIM(Raw_Data!L618)="","Unknown",PROPER(TRIM(Raw_Data!L618))))</f>
        <v>Active</v>
      </c>
      <c r="O618" s="13" t="str">
        <f aca="false">IF(M618=0,"",IF(TRIM(Raw_Data!M618)="","Not Recorded",TRIM(Raw_Data!M618)))</f>
        <v/>
      </c>
      <c r="P618" s="16" t="n">
        <f aca="false">ROUND((IF(C618="",AsOfDate,C618)-B618)/365.25,2)</f>
        <v>8.44</v>
      </c>
      <c r="Q618" s="13" t="str">
        <f aca="false">IF(D618="","Unknown",IF(D618&lt;25,"Under 25",IF(D618&lt;35,"25-34",IF(D618&lt;45,"35-44",IF(D618&lt;55,"45-54","55+")))))</f>
        <v>25-34</v>
      </c>
      <c r="R618" s="13" t="str">
        <f aca="false">IF(P618&lt;1,"0-1 yrs",IF(P618&lt;3,"1-3 yrs",IF(P618&lt;5,"3-5 yrs",IF(P618&lt;10,"5-10 yrs","10+ yrs"))))</f>
        <v>5-10 yrs</v>
      </c>
      <c r="S618" s="13" t="str">
        <f aca="false">IF(I618&gt;=4,"High",IF(I618=3,"Medium","Low"))</f>
        <v>Medium</v>
      </c>
      <c r="T618" s="13" t="str">
        <f aca="false">IF(M618=1,YEAR(C618),"")</f>
        <v/>
      </c>
      <c r="U618" s="13" t="str">
        <f aca="false">IF(M618=1,YEAR(C618)&amp;"-Q"&amp;ROUNDUP(MONTH(C618)/3,0),"")</f>
        <v/>
      </c>
      <c r="V618" s="13" t="str">
        <f aca="false">IF(M618=1,MONTH(C618),"")</f>
        <v/>
      </c>
    </row>
    <row r="619" customFormat="false" ht="15" hidden="false" customHeight="false" outlineLevel="0" collapsed="false">
      <c r="A619" s="13" t="str">
        <f aca="false">TRIM(Raw_Data!A619)</f>
        <v>EMP0618</v>
      </c>
      <c r="B619" s="14" t="n">
        <f aca="false">Raw_Data!B619</f>
        <v>42940</v>
      </c>
      <c r="C619" s="14" t="str">
        <f aca="false">IF(Raw_Data!C619="","",Raw_Data!C619)</f>
        <v/>
      </c>
      <c r="D619" s="13" t="n">
        <f aca="false">IF(Raw_Data!D619="","",Raw_Data!D619)</f>
        <v>34</v>
      </c>
      <c r="E619" s="13" t="str">
        <f aca="false">IF(UPPER(LEFT(TRIM(Raw_Data!E619),1))="M","Male",IF(UPPER(LEFT(TRIM(Raw_Data!E619),1))="F","Female","Unknown"))</f>
        <v>Male</v>
      </c>
      <c r="F619" s="13" t="str">
        <f aca="false">PROPER(TRIM(SUBSTITUTE(Raw_Data!F619,"'","")))</f>
        <v>Doctorate</v>
      </c>
      <c r="G619" s="13" t="str">
        <f aca="false">PROPER(TRIM(Raw_Data!G619))</f>
        <v>Operations</v>
      </c>
      <c r="H619" s="13" t="str">
        <f aca="false">PROPER(TRIM(Raw_Data!H619))</f>
        <v>Associate</v>
      </c>
      <c r="I619" s="13" t="n">
        <f aca="false">IF(Raw_Data!I619="",DefaultPerf,Raw_Data!I619)</f>
        <v>5</v>
      </c>
      <c r="J619" s="13" t="n">
        <f aca="false">IF(Raw_Data!J619="",DefaultSat,Raw_Data!J619)</f>
        <v>1</v>
      </c>
      <c r="K619" s="15" t="n">
        <f aca="false">Raw_Data!K619</f>
        <v>40500</v>
      </c>
      <c r="L619" s="13" t="str">
        <f aca="false">PROPER(TRIM(Raw_Data!N619))</f>
        <v>Yes</v>
      </c>
      <c r="M619" s="13" t="n">
        <f aca="false">IF(C619="",0,1)</f>
        <v>0</v>
      </c>
      <c r="N619" s="13" t="str">
        <f aca="false">IF(M619=0,"Active",IF(TRIM(Raw_Data!L619)="","Unknown",PROPER(TRIM(Raw_Data!L619))))</f>
        <v>Active</v>
      </c>
      <c r="O619" s="13" t="str">
        <f aca="false">IF(M619=0,"",IF(TRIM(Raw_Data!M619)="","Not Recorded",TRIM(Raw_Data!M619)))</f>
        <v/>
      </c>
      <c r="P619" s="16" t="n">
        <f aca="false">ROUND((IF(C619="",AsOfDate,C619)-B619)/365.25,2)</f>
        <v>8.44</v>
      </c>
      <c r="Q619" s="13" t="str">
        <f aca="false">IF(D619="","Unknown",IF(D619&lt;25,"Under 25",IF(D619&lt;35,"25-34",IF(D619&lt;45,"35-44",IF(D619&lt;55,"45-54","55+")))))</f>
        <v>25-34</v>
      </c>
      <c r="R619" s="13" t="str">
        <f aca="false">IF(P619&lt;1,"0-1 yrs",IF(P619&lt;3,"1-3 yrs",IF(P619&lt;5,"3-5 yrs",IF(P619&lt;10,"5-10 yrs","10+ yrs"))))</f>
        <v>5-10 yrs</v>
      </c>
      <c r="S619" s="13" t="str">
        <f aca="false">IF(I619&gt;=4,"High",IF(I619=3,"Medium","Low"))</f>
        <v>High</v>
      </c>
      <c r="T619" s="13" t="str">
        <f aca="false">IF(M619=1,YEAR(C619),"")</f>
        <v/>
      </c>
      <c r="U619" s="13" t="str">
        <f aca="false">IF(M619=1,YEAR(C619)&amp;"-Q"&amp;ROUNDUP(MONTH(C619)/3,0),"")</f>
        <v/>
      </c>
      <c r="V619" s="13" t="str">
        <f aca="false">IF(M619=1,MONTH(C619),"")</f>
        <v/>
      </c>
    </row>
    <row r="620" customFormat="false" ht="15" hidden="false" customHeight="false" outlineLevel="0" collapsed="false">
      <c r="A620" s="13" t="str">
        <f aca="false">TRIM(Raw_Data!A620)</f>
        <v>EMP0619</v>
      </c>
      <c r="B620" s="14" t="n">
        <f aca="false">Raw_Data!B620</f>
        <v>42941</v>
      </c>
      <c r="C620" s="14" t="str">
        <f aca="false">IF(Raw_Data!C620="","",Raw_Data!C620)</f>
        <v/>
      </c>
      <c r="D620" s="13" t="n">
        <f aca="false">IF(Raw_Data!D620="","",Raw_Data!D620)</f>
        <v>37</v>
      </c>
      <c r="E620" s="13" t="str">
        <f aca="false">IF(UPPER(LEFT(TRIM(Raw_Data!E620),1))="M","Male",IF(UPPER(LEFT(TRIM(Raw_Data!E620),1))="F","Female","Unknown"))</f>
        <v>Female</v>
      </c>
      <c r="F620" s="13" t="str">
        <f aca="false">PROPER(TRIM(SUBSTITUTE(Raw_Data!F620,"'","")))</f>
        <v>Masters</v>
      </c>
      <c r="G620" s="13" t="str">
        <f aca="false">PROPER(TRIM(Raw_Data!G620))</f>
        <v>Operations</v>
      </c>
      <c r="H620" s="13" t="str">
        <f aca="false">PROPER(TRIM(Raw_Data!H620))</f>
        <v>Senior Analyst</v>
      </c>
      <c r="I620" s="13" t="n">
        <f aca="false">IF(Raw_Data!I620="",DefaultPerf,Raw_Data!I620)</f>
        <v>3</v>
      </c>
      <c r="J620" s="13" t="n">
        <f aca="false">IF(Raw_Data!J620="",DefaultSat,Raw_Data!J620)</f>
        <v>1</v>
      </c>
      <c r="K620" s="15" t="n">
        <f aca="false">Raw_Data!K620</f>
        <v>110500</v>
      </c>
      <c r="L620" s="13" t="str">
        <f aca="false">PROPER(TRIM(Raw_Data!N620))</f>
        <v>No</v>
      </c>
      <c r="M620" s="13" t="n">
        <f aca="false">IF(C620="",0,1)</f>
        <v>0</v>
      </c>
      <c r="N620" s="13" t="str">
        <f aca="false">IF(M620=0,"Active",IF(TRIM(Raw_Data!L620)="","Unknown",PROPER(TRIM(Raw_Data!L620))))</f>
        <v>Active</v>
      </c>
      <c r="O620" s="13" t="str">
        <f aca="false">IF(M620=0,"",IF(TRIM(Raw_Data!M620)="","Not Recorded",TRIM(Raw_Data!M620)))</f>
        <v/>
      </c>
      <c r="P620" s="16" t="n">
        <f aca="false">ROUND((IF(C620="",AsOfDate,C620)-B620)/365.25,2)</f>
        <v>8.44</v>
      </c>
      <c r="Q620" s="13" t="str">
        <f aca="false">IF(D620="","Unknown",IF(D620&lt;25,"Under 25",IF(D620&lt;35,"25-34",IF(D620&lt;45,"35-44",IF(D620&lt;55,"45-54","55+")))))</f>
        <v>35-44</v>
      </c>
      <c r="R620" s="13" t="str">
        <f aca="false">IF(P620&lt;1,"0-1 yrs",IF(P620&lt;3,"1-3 yrs",IF(P620&lt;5,"3-5 yrs",IF(P620&lt;10,"5-10 yrs","10+ yrs"))))</f>
        <v>5-10 yrs</v>
      </c>
      <c r="S620" s="13" t="str">
        <f aca="false">IF(I620&gt;=4,"High",IF(I620=3,"Medium","Low"))</f>
        <v>Medium</v>
      </c>
      <c r="T620" s="13" t="str">
        <f aca="false">IF(M620=1,YEAR(C620),"")</f>
        <v/>
      </c>
      <c r="U620" s="13" t="str">
        <f aca="false">IF(M620=1,YEAR(C620)&amp;"-Q"&amp;ROUNDUP(MONTH(C620)/3,0),"")</f>
        <v/>
      </c>
      <c r="V620" s="13" t="str">
        <f aca="false">IF(M620=1,MONTH(C620),"")</f>
        <v/>
      </c>
    </row>
    <row r="621" customFormat="false" ht="15" hidden="false" customHeight="false" outlineLevel="0" collapsed="false">
      <c r="A621" s="13" t="str">
        <f aca="false">TRIM(Raw_Data!A621)</f>
        <v>EMP0620</v>
      </c>
      <c r="B621" s="14" t="n">
        <f aca="false">Raw_Data!B621</f>
        <v>42947</v>
      </c>
      <c r="C621" s="14" t="str">
        <f aca="false">IF(Raw_Data!C621="","",Raw_Data!C621)</f>
        <v/>
      </c>
      <c r="D621" s="13" t="n">
        <f aca="false">IF(Raw_Data!D621="","",Raw_Data!D621)</f>
        <v>42</v>
      </c>
      <c r="E621" s="13" t="str">
        <f aca="false">IF(UPPER(LEFT(TRIM(Raw_Data!E621),1))="M","Male",IF(UPPER(LEFT(TRIM(Raw_Data!E621),1))="F","Female","Unknown"))</f>
        <v>Female</v>
      </c>
      <c r="F621" s="13" t="str">
        <f aca="false">PROPER(TRIM(SUBSTITUTE(Raw_Data!F621,"'","")))</f>
        <v>Diploma</v>
      </c>
      <c r="G621" s="13" t="str">
        <f aca="false">PROPER(TRIM(Raw_Data!G621))</f>
        <v>Human Resources</v>
      </c>
      <c r="H621" s="13" t="str">
        <f aca="false">PROPER(TRIM(Raw_Data!H621))</f>
        <v>Analyst</v>
      </c>
      <c r="I621" s="13" t="n">
        <f aca="false">IF(Raw_Data!I621="",DefaultPerf,Raw_Data!I621)</f>
        <v>3</v>
      </c>
      <c r="J621" s="13" t="n">
        <f aca="false">IF(Raw_Data!J621="",DefaultSat,Raw_Data!J621)</f>
        <v>2</v>
      </c>
      <c r="K621" s="15" t="n">
        <f aca="false">Raw_Data!K621</f>
        <v>65000</v>
      </c>
      <c r="L621" s="13" t="str">
        <f aca="false">PROPER(TRIM(Raw_Data!N621))</f>
        <v>Yes</v>
      </c>
      <c r="M621" s="13" t="n">
        <f aca="false">IF(C621="",0,1)</f>
        <v>0</v>
      </c>
      <c r="N621" s="13" t="str">
        <f aca="false">IF(M621=0,"Active",IF(TRIM(Raw_Data!L621)="","Unknown",PROPER(TRIM(Raw_Data!L621))))</f>
        <v>Active</v>
      </c>
      <c r="O621" s="13" t="str">
        <f aca="false">IF(M621=0,"",IF(TRIM(Raw_Data!M621)="","Not Recorded",TRIM(Raw_Data!M621)))</f>
        <v/>
      </c>
      <c r="P621" s="16" t="n">
        <f aca="false">ROUND((IF(C621="",AsOfDate,C621)-B621)/365.25,2)</f>
        <v>8.42</v>
      </c>
      <c r="Q621" s="13" t="str">
        <f aca="false">IF(D621="","Unknown",IF(D621&lt;25,"Under 25",IF(D621&lt;35,"25-34",IF(D621&lt;45,"35-44",IF(D621&lt;55,"45-54","55+")))))</f>
        <v>35-44</v>
      </c>
      <c r="R621" s="13" t="str">
        <f aca="false">IF(P621&lt;1,"0-1 yrs",IF(P621&lt;3,"1-3 yrs",IF(P621&lt;5,"3-5 yrs",IF(P621&lt;10,"5-10 yrs","10+ yrs"))))</f>
        <v>5-10 yrs</v>
      </c>
      <c r="S621" s="13" t="str">
        <f aca="false">IF(I621&gt;=4,"High",IF(I621=3,"Medium","Low"))</f>
        <v>Medium</v>
      </c>
      <c r="T621" s="13" t="str">
        <f aca="false">IF(M621=1,YEAR(C621),"")</f>
        <v/>
      </c>
      <c r="U621" s="13" t="str">
        <f aca="false">IF(M621=1,YEAR(C621)&amp;"-Q"&amp;ROUNDUP(MONTH(C621)/3,0),"")</f>
        <v/>
      </c>
      <c r="V621" s="13" t="str">
        <f aca="false">IF(M621=1,MONTH(C621),"")</f>
        <v/>
      </c>
    </row>
    <row r="622" customFormat="false" ht="15" hidden="false" customHeight="false" outlineLevel="0" collapsed="false">
      <c r="A622" s="13" t="str">
        <f aca="false">TRIM(Raw_Data!A622)</f>
        <v>EMP0621</v>
      </c>
      <c r="B622" s="14" t="n">
        <f aca="false">Raw_Data!B622</f>
        <v>42948</v>
      </c>
      <c r="C622" s="14" t="str">
        <f aca="false">IF(Raw_Data!C622="","",Raw_Data!C622)</f>
        <v/>
      </c>
      <c r="D622" s="13" t="n">
        <f aca="false">IF(Raw_Data!D622="","",Raw_Data!D622)</f>
        <v>41</v>
      </c>
      <c r="E622" s="13" t="str">
        <f aca="false">IF(UPPER(LEFT(TRIM(Raw_Data!E622),1))="M","Male",IF(UPPER(LEFT(TRIM(Raw_Data!E622),1))="F","Female","Unknown"))</f>
        <v>Female</v>
      </c>
      <c r="F622" s="13" t="str">
        <f aca="false">PROPER(TRIM(SUBSTITUTE(Raw_Data!F622,"'","")))</f>
        <v>High School</v>
      </c>
      <c r="G622" s="13" t="str">
        <f aca="false">PROPER(TRIM(Raw_Data!G622))</f>
        <v>Customer Support</v>
      </c>
      <c r="H622" s="13" t="str">
        <f aca="false">PROPER(TRIM(Raw_Data!H622))</f>
        <v>Analyst</v>
      </c>
      <c r="I622" s="13" t="n">
        <f aca="false">IF(Raw_Data!I622="",DefaultPerf,Raw_Data!I622)</f>
        <v>4</v>
      </c>
      <c r="J622" s="13" t="n">
        <f aca="false">IF(Raw_Data!J622="",DefaultSat,Raw_Data!J622)</f>
        <v>2</v>
      </c>
      <c r="K622" s="15" t="n">
        <f aca="false">Raw_Data!K622</f>
        <v>68500</v>
      </c>
      <c r="L622" s="13" t="str">
        <f aca="false">PROPER(TRIM(Raw_Data!N622))</f>
        <v>No</v>
      </c>
      <c r="M622" s="13" t="n">
        <f aca="false">IF(C622="",0,1)</f>
        <v>0</v>
      </c>
      <c r="N622" s="13" t="str">
        <f aca="false">IF(M622=0,"Active",IF(TRIM(Raw_Data!L622)="","Unknown",PROPER(TRIM(Raw_Data!L622))))</f>
        <v>Active</v>
      </c>
      <c r="O622" s="13" t="str">
        <f aca="false">IF(M622=0,"",IF(TRIM(Raw_Data!M622)="","Not Recorded",TRIM(Raw_Data!M622)))</f>
        <v/>
      </c>
      <c r="P622" s="16" t="n">
        <f aca="false">ROUND((IF(C622="",AsOfDate,C622)-B622)/365.25,2)</f>
        <v>8.42</v>
      </c>
      <c r="Q622" s="13" t="str">
        <f aca="false">IF(D622="","Unknown",IF(D622&lt;25,"Under 25",IF(D622&lt;35,"25-34",IF(D622&lt;45,"35-44",IF(D622&lt;55,"45-54","55+")))))</f>
        <v>35-44</v>
      </c>
      <c r="R622" s="13" t="str">
        <f aca="false">IF(P622&lt;1,"0-1 yrs",IF(P622&lt;3,"1-3 yrs",IF(P622&lt;5,"3-5 yrs",IF(P622&lt;10,"5-10 yrs","10+ yrs"))))</f>
        <v>5-10 yrs</v>
      </c>
      <c r="S622" s="13" t="str">
        <f aca="false">IF(I622&gt;=4,"High",IF(I622=3,"Medium","Low"))</f>
        <v>High</v>
      </c>
      <c r="T622" s="13" t="str">
        <f aca="false">IF(M622=1,YEAR(C622),"")</f>
        <v/>
      </c>
      <c r="U622" s="13" t="str">
        <f aca="false">IF(M622=1,YEAR(C622)&amp;"-Q"&amp;ROUNDUP(MONTH(C622)/3,0),"")</f>
        <v/>
      </c>
      <c r="V622" s="13" t="str">
        <f aca="false">IF(M622=1,MONTH(C622),"")</f>
        <v/>
      </c>
    </row>
    <row r="623" customFormat="false" ht="15" hidden="false" customHeight="false" outlineLevel="0" collapsed="false">
      <c r="A623" s="13" t="str">
        <f aca="false">TRIM(Raw_Data!A623)</f>
        <v>EMP0622</v>
      </c>
      <c r="B623" s="14" t="n">
        <f aca="false">Raw_Data!B623</f>
        <v>42949</v>
      </c>
      <c r="C623" s="14" t="str">
        <f aca="false">IF(Raw_Data!C623="","",Raw_Data!C623)</f>
        <v/>
      </c>
      <c r="D623" s="13" t="n">
        <f aca="false">IF(Raw_Data!D623="","",Raw_Data!D623)</f>
        <v>33</v>
      </c>
      <c r="E623" s="13" t="str">
        <f aca="false">IF(UPPER(LEFT(TRIM(Raw_Data!E623),1))="M","Male",IF(UPPER(LEFT(TRIM(Raw_Data!E623),1))="F","Female","Unknown"))</f>
        <v>Male</v>
      </c>
      <c r="F623" s="13" t="str">
        <f aca="false">PROPER(TRIM(SUBSTITUTE(Raw_Data!F623,"'","")))</f>
        <v>Bachelors</v>
      </c>
      <c r="G623" s="13" t="str">
        <f aca="false">PROPER(TRIM(Raw_Data!G623))</f>
        <v>Customer Support</v>
      </c>
      <c r="H623" s="13" t="str">
        <f aca="false">PROPER(TRIM(Raw_Data!H623))</f>
        <v>Manager</v>
      </c>
      <c r="I623" s="13" t="n">
        <f aca="false">IF(Raw_Data!I623="",DefaultPerf,Raw_Data!I623)</f>
        <v>3</v>
      </c>
      <c r="J623" s="13" t="n">
        <f aca="false">IF(Raw_Data!J623="",DefaultSat,Raw_Data!J623)</f>
        <v>2</v>
      </c>
      <c r="K623" s="15" t="n">
        <f aca="false">Raw_Data!K623</f>
        <v>219000</v>
      </c>
      <c r="L623" s="13" t="str">
        <f aca="false">PROPER(TRIM(Raw_Data!N623))</f>
        <v>Yes</v>
      </c>
      <c r="M623" s="13" t="n">
        <f aca="false">IF(C623="",0,1)</f>
        <v>0</v>
      </c>
      <c r="N623" s="13" t="str">
        <f aca="false">IF(M623=0,"Active",IF(TRIM(Raw_Data!L623)="","Unknown",PROPER(TRIM(Raw_Data!L623))))</f>
        <v>Active</v>
      </c>
      <c r="O623" s="13" t="str">
        <f aca="false">IF(M623=0,"",IF(TRIM(Raw_Data!M623)="","Not Recorded",TRIM(Raw_Data!M623)))</f>
        <v/>
      </c>
      <c r="P623" s="16" t="n">
        <f aca="false">ROUND((IF(C623="",AsOfDate,C623)-B623)/365.25,2)</f>
        <v>8.41</v>
      </c>
      <c r="Q623" s="13" t="str">
        <f aca="false">IF(D623="","Unknown",IF(D623&lt;25,"Under 25",IF(D623&lt;35,"25-34",IF(D623&lt;45,"35-44",IF(D623&lt;55,"45-54","55+")))))</f>
        <v>25-34</v>
      </c>
      <c r="R623" s="13" t="str">
        <f aca="false">IF(P623&lt;1,"0-1 yrs",IF(P623&lt;3,"1-3 yrs",IF(P623&lt;5,"3-5 yrs",IF(P623&lt;10,"5-10 yrs","10+ yrs"))))</f>
        <v>5-10 yrs</v>
      </c>
      <c r="S623" s="13" t="str">
        <f aca="false">IF(I623&gt;=4,"High",IF(I623=3,"Medium","Low"))</f>
        <v>Medium</v>
      </c>
      <c r="T623" s="13" t="str">
        <f aca="false">IF(M623=1,YEAR(C623),"")</f>
        <v/>
      </c>
      <c r="U623" s="13" t="str">
        <f aca="false">IF(M623=1,YEAR(C623)&amp;"-Q"&amp;ROUNDUP(MONTH(C623)/3,0),"")</f>
        <v/>
      </c>
      <c r="V623" s="13" t="str">
        <f aca="false">IF(M623=1,MONTH(C623),"")</f>
        <v/>
      </c>
    </row>
    <row r="624" customFormat="false" ht="15" hidden="false" customHeight="false" outlineLevel="0" collapsed="false">
      <c r="A624" s="13" t="str">
        <f aca="false">TRIM(Raw_Data!A624)</f>
        <v>EMP0623</v>
      </c>
      <c r="B624" s="14" t="n">
        <f aca="false">Raw_Data!B624</f>
        <v>42951</v>
      </c>
      <c r="C624" s="14" t="n">
        <f aca="false">IF(Raw_Data!C624="","",Raw_Data!C624)</f>
        <v>45703</v>
      </c>
      <c r="D624" s="13" t="n">
        <f aca="false">IF(Raw_Data!D624="","",Raw_Data!D624)</f>
        <v>42</v>
      </c>
      <c r="E624" s="13" t="str">
        <f aca="false">IF(UPPER(LEFT(TRIM(Raw_Data!E624),1))="M","Male",IF(UPPER(LEFT(TRIM(Raw_Data!E624),1))="F","Female","Unknown"))</f>
        <v>Male</v>
      </c>
      <c r="F624" s="13" t="str">
        <f aca="false">PROPER(TRIM(SUBSTITUTE(Raw_Data!F624,"'","")))</f>
        <v>Diploma</v>
      </c>
      <c r="G624" s="13" t="str">
        <f aca="false">PROPER(TRIM(Raw_Data!G624))</f>
        <v>Sales</v>
      </c>
      <c r="H624" s="13" t="str">
        <f aca="false">PROPER(TRIM(Raw_Data!H624))</f>
        <v>Associate</v>
      </c>
      <c r="I624" s="13" t="n">
        <f aca="false">IF(Raw_Data!I624="",DefaultPerf,Raw_Data!I624)</f>
        <v>3</v>
      </c>
      <c r="J624" s="13" t="n">
        <f aca="false">IF(Raw_Data!J624="",DefaultSat,Raw_Data!J624)</f>
        <v>4</v>
      </c>
      <c r="K624" s="15" t="n">
        <f aca="false">Raw_Data!K624</f>
        <v>55000</v>
      </c>
      <c r="L624" s="13" t="str">
        <f aca="false">PROPER(TRIM(Raw_Data!N624))</f>
        <v>Yes</v>
      </c>
      <c r="M624" s="13" t="n">
        <f aca="false">IF(C624="",0,1)</f>
        <v>1</v>
      </c>
      <c r="N624" s="13" t="str">
        <f aca="false">IF(M624=0,"Active",IF(TRIM(Raw_Data!L624)="","Unknown",PROPER(TRIM(Raw_Data!L624))))</f>
        <v>Voluntary</v>
      </c>
      <c r="O624" s="13" t="str">
        <f aca="false">IF(M624=0,"",IF(TRIM(Raw_Data!M624)="","Not Recorded",TRIM(Raw_Data!M624)))</f>
        <v>Work-Life Balance</v>
      </c>
      <c r="P624" s="16" t="n">
        <f aca="false">ROUND((IF(C624="",AsOfDate,C624)-B624)/365.25,2)</f>
        <v>7.53</v>
      </c>
      <c r="Q624" s="13" t="str">
        <f aca="false">IF(D624="","Unknown",IF(D624&lt;25,"Under 25",IF(D624&lt;35,"25-34",IF(D624&lt;45,"35-44",IF(D624&lt;55,"45-54","55+")))))</f>
        <v>35-44</v>
      </c>
      <c r="R624" s="13" t="str">
        <f aca="false">IF(P624&lt;1,"0-1 yrs",IF(P624&lt;3,"1-3 yrs",IF(P624&lt;5,"3-5 yrs",IF(P624&lt;10,"5-10 yrs","10+ yrs"))))</f>
        <v>5-10 yrs</v>
      </c>
      <c r="S624" s="13" t="str">
        <f aca="false">IF(I624&gt;=4,"High",IF(I624=3,"Medium","Low"))</f>
        <v>Medium</v>
      </c>
      <c r="T624" s="13" t="n">
        <f aca="false">IF(M624=1,YEAR(C624),"")</f>
        <v>2025</v>
      </c>
      <c r="U624" s="13" t="str">
        <f aca="false">IF(M624=1,YEAR(C624)&amp;"-Q"&amp;ROUNDUP(MONTH(C624)/3,0),"")</f>
        <v>2025-Q1</v>
      </c>
      <c r="V624" s="13" t="n">
        <f aca="false">IF(M624=1,MONTH(C624),"")</f>
        <v>2</v>
      </c>
    </row>
    <row r="625" customFormat="false" ht="15" hidden="false" customHeight="false" outlineLevel="0" collapsed="false">
      <c r="A625" s="13" t="str">
        <f aca="false">TRIM(Raw_Data!A625)</f>
        <v>EMP0624</v>
      </c>
      <c r="B625" s="14" t="n">
        <f aca="false">Raw_Data!B625</f>
        <v>42957</v>
      </c>
      <c r="C625" s="14" t="n">
        <f aca="false">IF(Raw_Data!C625="","",Raw_Data!C625)</f>
        <v>44676</v>
      </c>
      <c r="D625" s="13" t="n">
        <f aca="false">IF(Raw_Data!D625="","",Raw_Data!D625)</f>
        <v>48</v>
      </c>
      <c r="E625" s="13" t="str">
        <f aca="false">IF(UPPER(LEFT(TRIM(Raw_Data!E625),1))="M","Male",IF(UPPER(LEFT(TRIM(Raw_Data!E625),1))="F","Female","Unknown"))</f>
        <v>Male</v>
      </c>
      <c r="F625" s="13" t="str">
        <f aca="false">PROPER(TRIM(SUBSTITUTE(Raw_Data!F625,"'","")))</f>
        <v>Bachelors</v>
      </c>
      <c r="G625" s="13" t="str">
        <f aca="false">PROPER(TRIM(Raw_Data!G625))</f>
        <v>Customer Support</v>
      </c>
      <c r="H625" s="13" t="str">
        <f aca="false">PROPER(TRIM(Raw_Data!H625))</f>
        <v>Associate</v>
      </c>
      <c r="I625" s="13" t="n">
        <f aca="false">IF(Raw_Data!I625="",DefaultPerf,Raw_Data!I625)</f>
        <v>4</v>
      </c>
      <c r="J625" s="13" t="n">
        <f aca="false">IF(Raw_Data!J625="",DefaultSat,Raw_Data!J625)</f>
        <v>3</v>
      </c>
      <c r="K625" s="15" t="n">
        <f aca="false">Raw_Data!K625</f>
        <v>38500</v>
      </c>
      <c r="L625" s="13" t="str">
        <f aca="false">PROPER(TRIM(Raw_Data!N625))</f>
        <v>No</v>
      </c>
      <c r="M625" s="13" t="n">
        <f aca="false">IF(C625="",0,1)</f>
        <v>1</v>
      </c>
      <c r="N625" s="13" t="str">
        <f aca="false">IF(M625=0,"Active",IF(TRIM(Raw_Data!L625)="","Unknown",PROPER(TRIM(Raw_Data!L625))))</f>
        <v>Voluntary</v>
      </c>
      <c r="O625" s="13" t="str">
        <f aca="false">IF(M625=0,"",IF(TRIM(Raw_Data!M625)="","Not Recorded",TRIM(Raw_Data!M625)))</f>
        <v>Better Compensation</v>
      </c>
      <c r="P625" s="16" t="n">
        <f aca="false">ROUND((IF(C625="",AsOfDate,C625)-B625)/365.25,2)</f>
        <v>4.71</v>
      </c>
      <c r="Q625" s="13" t="str">
        <f aca="false">IF(D625="","Unknown",IF(D625&lt;25,"Under 25",IF(D625&lt;35,"25-34",IF(D625&lt;45,"35-44",IF(D625&lt;55,"45-54","55+")))))</f>
        <v>45-54</v>
      </c>
      <c r="R625" s="13" t="str">
        <f aca="false">IF(P625&lt;1,"0-1 yrs",IF(P625&lt;3,"1-3 yrs",IF(P625&lt;5,"3-5 yrs",IF(P625&lt;10,"5-10 yrs","10+ yrs"))))</f>
        <v>3-5 yrs</v>
      </c>
      <c r="S625" s="13" t="str">
        <f aca="false">IF(I625&gt;=4,"High",IF(I625=3,"Medium","Low"))</f>
        <v>High</v>
      </c>
      <c r="T625" s="13" t="n">
        <f aca="false">IF(M625=1,YEAR(C625),"")</f>
        <v>2022</v>
      </c>
      <c r="U625" s="13" t="str">
        <f aca="false">IF(M625=1,YEAR(C625)&amp;"-Q"&amp;ROUNDUP(MONTH(C625)/3,0),"")</f>
        <v>2022-Q2</v>
      </c>
      <c r="V625" s="13" t="n">
        <f aca="false">IF(M625=1,MONTH(C625),"")</f>
        <v>4</v>
      </c>
    </row>
    <row r="626" customFormat="false" ht="15" hidden="false" customHeight="false" outlineLevel="0" collapsed="false">
      <c r="A626" s="13" t="str">
        <f aca="false">TRIM(Raw_Data!A626)</f>
        <v>EMP0625</v>
      </c>
      <c r="B626" s="14" t="n">
        <f aca="false">Raw_Data!B626</f>
        <v>42961</v>
      </c>
      <c r="C626" s="14" t="str">
        <f aca="false">IF(Raw_Data!C626="","",Raw_Data!C626)</f>
        <v/>
      </c>
      <c r="D626" s="13" t="n">
        <f aca="false">IF(Raw_Data!D626="","",Raw_Data!D626)</f>
        <v>33</v>
      </c>
      <c r="E626" s="13" t="str">
        <f aca="false">IF(UPPER(LEFT(TRIM(Raw_Data!E626),1))="M","Male",IF(UPPER(LEFT(TRIM(Raw_Data!E626),1))="F","Female","Unknown"))</f>
        <v>Male</v>
      </c>
      <c r="F626" s="13" t="str">
        <f aca="false">PROPER(TRIM(SUBSTITUTE(Raw_Data!F626,"'","")))</f>
        <v>Bachelors</v>
      </c>
      <c r="G626" s="13" t="str">
        <f aca="false">PROPER(TRIM(Raw_Data!G626))</f>
        <v>Engineering</v>
      </c>
      <c r="H626" s="13" t="str">
        <f aca="false">PROPER(TRIM(Raw_Data!H626))</f>
        <v>Associate</v>
      </c>
      <c r="I626" s="13" t="n">
        <f aca="false">IF(Raw_Data!I626="",DefaultPerf,Raw_Data!I626)</f>
        <v>3</v>
      </c>
      <c r="J626" s="13" t="n">
        <f aca="false">IF(Raw_Data!J626="",DefaultSat,Raw_Data!J626)</f>
        <v>3</v>
      </c>
      <c r="K626" s="15" t="n">
        <f aca="false">Raw_Data!K626</f>
        <v>51000</v>
      </c>
      <c r="L626" s="13" t="str">
        <f aca="false">PROPER(TRIM(Raw_Data!N626))</f>
        <v>Yes</v>
      </c>
      <c r="M626" s="13" t="n">
        <f aca="false">IF(C626="",0,1)</f>
        <v>0</v>
      </c>
      <c r="N626" s="13" t="str">
        <f aca="false">IF(M626=0,"Active",IF(TRIM(Raw_Data!L626)="","Unknown",PROPER(TRIM(Raw_Data!L626))))</f>
        <v>Active</v>
      </c>
      <c r="O626" s="13" t="str">
        <f aca="false">IF(M626=0,"",IF(TRIM(Raw_Data!M626)="","Not Recorded",TRIM(Raw_Data!M626)))</f>
        <v/>
      </c>
      <c r="P626" s="16" t="n">
        <f aca="false">ROUND((IF(C626="",AsOfDate,C626)-B626)/365.25,2)</f>
        <v>8.38</v>
      </c>
      <c r="Q626" s="13" t="str">
        <f aca="false">IF(D626="","Unknown",IF(D626&lt;25,"Under 25",IF(D626&lt;35,"25-34",IF(D626&lt;45,"35-44",IF(D626&lt;55,"45-54","55+")))))</f>
        <v>25-34</v>
      </c>
      <c r="R626" s="13" t="str">
        <f aca="false">IF(P626&lt;1,"0-1 yrs",IF(P626&lt;3,"1-3 yrs",IF(P626&lt;5,"3-5 yrs",IF(P626&lt;10,"5-10 yrs","10+ yrs"))))</f>
        <v>5-10 yrs</v>
      </c>
      <c r="S626" s="13" t="str">
        <f aca="false">IF(I626&gt;=4,"High",IF(I626=3,"Medium","Low"))</f>
        <v>Medium</v>
      </c>
      <c r="T626" s="13" t="str">
        <f aca="false">IF(M626=1,YEAR(C626),"")</f>
        <v/>
      </c>
      <c r="U626" s="13" t="str">
        <f aca="false">IF(M626=1,YEAR(C626)&amp;"-Q"&amp;ROUNDUP(MONTH(C626)/3,0),"")</f>
        <v/>
      </c>
      <c r="V626" s="13" t="str">
        <f aca="false">IF(M626=1,MONTH(C626),"")</f>
        <v/>
      </c>
    </row>
    <row r="627" customFormat="false" ht="15" hidden="false" customHeight="false" outlineLevel="0" collapsed="false">
      <c r="A627" s="13" t="str">
        <f aca="false">TRIM(Raw_Data!A627)</f>
        <v>EMP0626</v>
      </c>
      <c r="B627" s="14" t="n">
        <f aca="false">Raw_Data!B627</f>
        <v>42962</v>
      </c>
      <c r="C627" s="14" t="str">
        <f aca="false">IF(Raw_Data!C627="","",Raw_Data!C627)</f>
        <v/>
      </c>
      <c r="D627" s="13" t="n">
        <f aca="false">IF(Raw_Data!D627="","",Raw_Data!D627)</f>
        <v>45</v>
      </c>
      <c r="E627" s="13" t="str">
        <f aca="false">IF(UPPER(LEFT(TRIM(Raw_Data!E627),1))="M","Male",IF(UPPER(LEFT(TRIM(Raw_Data!E627),1))="F","Female","Unknown"))</f>
        <v>Female</v>
      </c>
      <c r="F627" s="13" t="str">
        <f aca="false">PROPER(TRIM(SUBSTITUTE(Raw_Data!F627,"'","")))</f>
        <v>Bachelors</v>
      </c>
      <c r="G627" s="13" t="str">
        <f aca="false">PROPER(TRIM(Raw_Data!G627))</f>
        <v>Engineering</v>
      </c>
      <c r="H627" s="13" t="str">
        <f aca="false">PROPER(TRIM(Raw_Data!H627))</f>
        <v>Senior Analyst</v>
      </c>
      <c r="I627" s="13" t="n">
        <f aca="false">IF(Raw_Data!I627="",DefaultPerf,Raw_Data!I627)</f>
        <v>4</v>
      </c>
      <c r="J627" s="13" t="n">
        <f aca="false">IF(Raw_Data!J627="",DefaultSat,Raw_Data!J627)</f>
        <v>3</v>
      </c>
      <c r="K627" s="15" t="n">
        <f aca="false">Raw_Data!K627</f>
        <v>107500</v>
      </c>
      <c r="L627" s="13" t="str">
        <f aca="false">PROPER(TRIM(Raw_Data!N627))</f>
        <v>No</v>
      </c>
      <c r="M627" s="13" t="n">
        <f aca="false">IF(C627="",0,1)</f>
        <v>0</v>
      </c>
      <c r="N627" s="13" t="str">
        <f aca="false">IF(M627=0,"Active",IF(TRIM(Raw_Data!L627)="","Unknown",PROPER(TRIM(Raw_Data!L627))))</f>
        <v>Active</v>
      </c>
      <c r="O627" s="13" t="str">
        <f aca="false">IF(M627=0,"",IF(TRIM(Raw_Data!M627)="","Not Recorded",TRIM(Raw_Data!M627)))</f>
        <v/>
      </c>
      <c r="P627" s="16" t="n">
        <f aca="false">ROUND((IF(C627="",AsOfDate,C627)-B627)/365.25,2)</f>
        <v>8.38</v>
      </c>
      <c r="Q627" s="13" t="str">
        <f aca="false">IF(D627="","Unknown",IF(D627&lt;25,"Under 25",IF(D627&lt;35,"25-34",IF(D627&lt;45,"35-44",IF(D627&lt;55,"45-54","55+")))))</f>
        <v>45-54</v>
      </c>
      <c r="R627" s="13" t="str">
        <f aca="false">IF(P627&lt;1,"0-1 yrs",IF(P627&lt;3,"1-3 yrs",IF(P627&lt;5,"3-5 yrs",IF(P627&lt;10,"5-10 yrs","10+ yrs"))))</f>
        <v>5-10 yrs</v>
      </c>
      <c r="S627" s="13" t="str">
        <f aca="false">IF(I627&gt;=4,"High",IF(I627=3,"Medium","Low"))</f>
        <v>High</v>
      </c>
      <c r="T627" s="13" t="str">
        <f aca="false">IF(M627=1,YEAR(C627),"")</f>
        <v/>
      </c>
      <c r="U627" s="13" t="str">
        <f aca="false">IF(M627=1,YEAR(C627)&amp;"-Q"&amp;ROUNDUP(MONTH(C627)/3,0),"")</f>
        <v/>
      </c>
      <c r="V627" s="13" t="str">
        <f aca="false">IF(M627=1,MONTH(C627),"")</f>
        <v/>
      </c>
    </row>
    <row r="628" customFormat="false" ht="15" hidden="false" customHeight="false" outlineLevel="0" collapsed="false">
      <c r="A628" s="13" t="str">
        <f aca="false">TRIM(Raw_Data!A628)</f>
        <v>EMP0627</v>
      </c>
      <c r="B628" s="14" t="n">
        <f aca="false">Raw_Data!B628</f>
        <v>42963</v>
      </c>
      <c r="C628" s="14" t="str">
        <f aca="false">IF(Raw_Data!C628="","",Raw_Data!C628)</f>
        <v/>
      </c>
      <c r="D628" s="13" t="n">
        <f aca="false">IF(Raw_Data!D628="","",Raw_Data!D628)</f>
        <v>31</v>
      </c>
      <c r="E628" s="13" t="str">
        <f aca="false">IF(UPPER(LEFT(TRIM(Raw_Data!E628),1))="M","Male",IF(UPPER(LEFT(TRIM(Raw_Data!E628),1))="F","Female","Unknown"))</f>
        <v>Male</v>
      </c>
      <c r="F628" s="13" t="str">
        <f aca="false">PROPER(TRIM(SUBSTITUTE(Raw_Data!F628,"'","")))</f>
        <v>Bachelors</v>
      </c>
      <c r="G628" s="13" t="str">
        <f aca="false">PROPER(TRIM(Raw_Data!G628))</f>
        <v>Customer Support</v>
      </c>
      <c r="H628" s="13" t="str">
        <f aca="false">PROPER(TRIM(Raw_Data!H628))</f>
        <v>Team Lead</v>
      </c>
      <c r="I628" s="13" t="n">
        <f aca="false">IF(Raw_Data!I628="",DefaultPerf,Raw_Data!I628)</f>
        <v>3</v>
      </c>
      <c r="J628" s="13" t="n">
        <f aca="false">IF(Raw_Data!J628="",DefaultSat,Raw_Data!J628)</f>
        <v>2</v>
      </c>
      <c r="K628" s="15" t="n">
        <f aca="false">Raw_Data!K628</f>
        <v>137500</v>
      </c>
      <c r="L628" s="13" t="str">
        <f aca="false">PROPER(TRIM(Raw_Data!N628))</f>
        <v>No</v>
      </c>
      <c r="M628" s="13" t="n">
        <f aca="false">IF(C628="",0,1)</f>
        <v>0</v>
      </c>
      <c r="N628" s="13" t="str">
        <f aca="false">IF(M628=0,"Active",IF(TRIM(Raw_Data!L628)="","Unknown",PROPER(TRIM(Raw_Data!L628))))</f>
        <v>Active</v>
      </c>
      <c r="O628" s="13" t="str">
        <f aca="false">IF(M628=0,"",IF(TRIM(Raw_Data!M628)="","Not Recorded",TRIM(Raw_Data!M628)))</f>
        <v/>
      </c>
      <c r="P628" s="16" t="n">
        <f aca="false">ROUND((IF(C628="",AsOfDate,C628)-B628)/365.25,2)</f>
        <v>8.38</v>
      </c>
      <c r="Q628" s="13" t="str">
        <f aca="false">IF(D628="","Unknown",IF(D628&lt;25,"Under 25",IF(D628&lt;35,"25-34",IF(D628&lt;45,"35-44",IF(D628&lt;55,"45-54","55+")))))</f>
        <v>25-34</v>
      </c>
      <c r="R628" s="13" t="str">
        <f aca="false">IF(P628&lt;1,"0-1 yrs",IF(P628&lt;3,"1-3 yrs",IF(P628&lt;5,"3-5 yrs",IF(P628&lt;10,"5-10 yrs","10+ yrs"))))</f>
        <v>5-10 yrs</v>
      </c>
      <c r="S628" s="13" t="str">
        <f aca="false">IF(I628&gt;=4,"High",IF(I628=3,"Medium","Low"))</f>
        <v>Medium</v>
      </c>
      <c r="T628" s="13" t="str">
        <f aca="false">IF(M628=1,YEAR(C628),"")</f>
        <v/>
      </c>
      <c r="U628" s="13" t="str">
        <f aca="false">IF(M628=1,YEAR(C628)&amp;"-Q"&amp;ROUNDUP(MONTH(C628)/3,0),"")</f>
        <v/>
      </c>
      <c r="V628" s="13" t="str">
        <f aca="false">IF(M628=1,MONTH(C628),"")</f>
        <v/>
      </c>
    </row>
    <row r="629" customFormat="false" ht="15" hidden="false" customHeight="false" outlineLevel="0" collapsed="false">
      <c r="A629" s="13" t="str">
        <f aca="false">TRIM(Raw_Data!A629)</f>
        <v>EMP0628</v>
      </c>
      <c r="B629" s="14" t="n">
        <f aca="false">Raw_Data!B629</f>
        <v>42965</v>
      </c>
      <c r="C629" s="14" t="n">
        <f aca="false">IF(Raw_Data!C629="","",Raw_Data!C629)</f>
        <v>45261</v>
      </c>
      <c r="D629" s="13" t="n">
        <f aca="false">IF(Raw_Data!D629="","",Raw_Data!D629)</f>
        <v>33</v>
      </c>
      <c r="E629" s="13" t="str">
        <f aca="false">IF(UPPER(LEFT(TRIM(Raw_Data!E629),1))="M","Male",IF(UPPER(LEFT(TRIM(Raw_Data!E629),1))="F","Female","Unknown"))</f>
        <v>Male</v>
      </c>
      <c r="F629" s="13" t="str">
        <f aca="false">PROPER(TRIM(SUBSTITUTE(Raw_Data!F629,"'","")))</f>
        <v>Bachelors</v>
      </c>
      <c r="G629" s="13" t="str">
        <f aca="false">PROPER(TRIM(Raw_Data!G629))</f>
        <v>Engineering</v>
      </c>
      <c r="H629" s="13" t="str">
        <f aca="false">PROPER(TRIM(Raw_Data!H629))</f>
        <v>Senior Analyst</v>
      </c>
      <c r="I629" s="13" t="n">
        <f aca="false">IF(Raw_Data!I629="",DefaultPerf,Raw_Data!I629)</f>
        <v>3</v>
      </c>
      <c r="J629" s="13" t="n">
        <f aca="false">IF(Raw_Data!J629="",DefaultSat,Raw_Data!J629)</f>
        <v>3</v>
      </c>
      <c r="K629" s="15" t="n">
        <f aca="false">Raw_Data!K629</f>
        <v>102500</v>
      </c>
      <c r="L629" s="13" t="str">
        <f aca="false">PROPER(TRIM(Raw_Data!N629))</f>
        <v>No</v>
      </c>
      <c r="M629" s="13" t="n">
        <f aca="false">IF(C629="",0,1)</f>
        <v>1</v>
      </c>
      <c r="N629" s="13" t="str">
        <f aca="false">IF(M629=0,"Active",IF(TRIM(Raw_Data!L629)="","Unknown",PROPER(TRIM(Raw_Data!L629))))</f>
        <v>Involuntary</v>
      </c>
      <c r="O629" s="13" t="str">
        <f aca="false">IF(M629=0,"",IF(TRIM(Raw_Data!M629)="","Not Recorded",TRIM(Raw_Data!M629)))</f>
        <v>Restructuring / Layoff</v>
      </c>
      <c r="P629" s="16" t="n">
        <f aca="false">ROUND((IF(C629="",AsOfDate,C629)-B629)/365.25,2)</f>
        <v>6.29</v>
      </c>
      <c r="Q629" s="13" t="str">
        <f aca="false">IF(D629="","Unknown",IF(D629&lt;25,"Under 25",IF(D629&lt;35,"25-34",IF(D629&lt;45,"35-44",IF(D629&lt;55,"45-54","55+")))))</f>
        <v>25-34</v>
      </c>
      <c r="R629" s="13" t="str">
        <f aca="false">IF(P629&lt;1,"0-1 yrs",IF(P629&lt;3,"1-3 yrs",IF(P629&lt;5,"3-5 yrs",IF(P629&lt;10,"5-10 yrs","10+ yrs"))))</f>
        <v>5-10 yrs</v>
      </c>
      <c r="S629" s="13" t="str">
        <f aca="false">IF(I629&gt;=4,"High",IF(I629=3,"Medium","Low"))</f>
        <v>Medium</v>
      </c>
      <c r="T629" s="13" t="n">
        <f aca="false">IF(M629=1,YEAR(C629),"")</f>
        <v>2023</v>
      </c>
      <c r="U629" s="13" t="str">
        <f aca="false">IF(M629=1,YEAR(C629)&amp;"-Q"&amp;ROUNDUP(MONTH(C629)/3,0),"")</f>
        <v>2023-Q4</v>
      </c>
      <c r="V629" s="13" t="n">
        <f aca="false">IF(M629=1,MONTH(C629),"")</f>
        <v>12</v>
      </c>
    </row>
    <row r="630" customFormat="false" ht="15" hidden="false" customHeight="false" outlineLevel="0" collapsed="false">
      <c r="A630" s="13" t="str">
        <f aca="false">TRIM(Raw_Data!A630)</f>
        <v>EMP0629</v>
      </c>
      <c r="B630" s="14" t="n">
        <f aca="false">Raw_Data!B630</f>
        <v>42966</v>
      </c>
      <c r="C630" s="14" t="str">
        <f aca="false">IF(Raw_Data!C630="","",Raw_Data!C630)</f>
        <v/>
      </c>
      <c r="D630" s="13" t="n">
        <f aca="false">IF(Raw_Data!D630="","",Raw_Data!D630)</f>
        <v>38</v>
      </c>
      <c r="E630" s="13" t="str">
        <f aca="false">IF(UPPER(LEFT(TRIM(Raw_Data!E630),1))="M","Male",IF(UPPER(LEFT(TRIM(Raw_Data!E630),1))="F","Female","Unknown"))</f>
        <v>Male</v>
      </c>
      <c r="F630" s="13" t="str">
        <f aca="false">PROPER(TRIM(SUBSTITUTE(Raw_Data!F630,"'","")))</f>
        <v>Doctorate</v>
      </c>
      <c r="G630" s="13" t="str">
        <f aca="false">PROPER(TRIM(Raw_Data!G630))</f>
        <v>Operations</v>
      </c>
      <c r="H630" s="13" t="str">
        <f aca="false">PROPER(TRIM(Raw_Data!H630))</f>
        <v>Associate</v>
      </c>
      <c r="I630" s="17" t="n">
        <f aca="false">IF(Raw_Data!I630="",DefaultPerf,Raw_Data!I630)</f>
        <v>3</v>
      </c>
      <c r="J630" s="13" t="n">
        <f aca="false">IF(Raw_Data!J630="",DefaultSat,Raw_Data!J630)</f>
        <v>3</v>
      </c>
      <c r="K630" s="15" t="n">
        <f aca="false">Raw_Data!K630</f>
        <v>40500</v>
      </c>
      <c r="L630" s="13" t="str">
        <f aca="false">PROPER(TRIM(Raw_Data!N630))</f>
        <v>No</v>
      </c>
      <c r="M630" s="13" t="n">
        <f aca="false">IF(C630="",0,1)</f>
        <v>0</v>
      </c>
      <c r="N630" s="13" t="str">
        <f aca="false">IF(M630=0,"Active",IF(TRIM(Raw_Data!L630)="","Unknown",PROPER(TRIM(Raw_Data!L630))))</f>
        <v>Active</v>
      </c>
      <c r="O630" s="13" t="str">
        <f aca="false">IF(M630=0,"",IF(TRIM(Raw_Data!M630)="","Not Recorded",TRIM(Raw_Data!M630)))</f>
        <v/>
      </c>
      <c r="P630" s="16" t="n">
        <f aca="false">ROUND((IF(C630="",AsOfDate,C630)-B630)/365.25,2)</f>
        <v>8.37</v>
      </c>
      <c r="Q630" s="13" t="str">
        <f aca="false">IF(D630="","Unknown",IF(D630&lt;25,"Under 25",IF(D630&lt;35,"25-34",IF(D630&lt;45,"35-44",IF(D630&lt;55,"45-54","55+")))))</f>
        <v>35-44</v>
      </c>
      <c r="R630" s="13" t="str">
        <f aca="false">IF(P630&lt;1,"0-1 yrs",IF(P630&lt;3,"1-3 yrs",IF(P630&lt;5,"3-5 yrs",IF(P630&lt;10,"5-10 yrs","10+ yrs"))))</f>
        <v>5-10 yrs</v>
      </c>
      <c r="S630" s="13" t="str">
        <f aca="false">IF(I630&gt;=4,"High",IF(I630=3,"Medium","Low"))</f>
        <v>Medium</v>
      </c>
      <c r="T630" s="13" t="str">
        <f aca="false">IF(M630=1,YEAR(C630),"")</f>
        <v/>
      </c>
      <c r="U630" s="13" t="str">
        <f aca="false">IF(M630=1,YEAR(C630)&amp;"-Q"&amp;ROUNDUP(MONTH(C630)/3,0),"")</f>
        <v/>
      </c>
      <c r="V630" s="13" t="str">
        <f aca="false">IF(M630=1,MONTH(C630),"")</f>
        <v/>
      </c>
    </row>
    <row r="631" customFormat="false" ht="15" hidden="false" customHeight="false" outlineLevel="0" collapsed="false">
      <c r="A631" s="13" t="str">
        <f aca="false">TRIM(Raw_Data!A631)</f>
        <v>EMP0630</v>
      </c>
      <c r="B631" s="14" t="n">
        <f aca="false">Raw_Data!B631</f>
        <v>42967</v>
      </c>
      <c r="C631" s="14" t="str">
        <f aca="false">IF(Raw_Data!C631="","",Raw_Data!C631)</f>
        <v/>
      </c>
      <c r="D631" s="13" t="n">
        <f aca="false">IF(Raw_Data!D631="","",Raw_Data!D631)</f>
        <v>29</v>
      </c>
      <c r="E631" s="13" t="str">
        <f aca="false">IF(UPPER(LEFT(TRIM(Raw_Data!E631),1))="M","Male",IF(UPPER(LEFT(TRIM(Raw_Data!E631),1))="F","Female","Unknown"))</f>
        <v>Female</v>
      </c>
      <c r="F631" s="13" t="str">
        <f aca="false">PROPER(TRIM(SUBSTITUTE(Raw_Data!F631,"'","")))</f>
        <v>Masters</v>
      </c>
      <c r="G631" s="13" t="str">
        <f aca="false">PROPER(TRIM(Raw_Data!G631))</f>
        <v>Customer Support</v>
      </c>
      <c r="H631" s="13" t="str">
        <f aca="false">PROPER(TRIM(Raw_Data!H631))</f>
        <v>Analyst</v>
      </c>
      <c r="I631" s="13" t="n">
        <f aca="false">IF(Raw_Data!I631="",DefaultPerf,Raw_Data!I631)</f>
        <v>4</v>
      </c>
      <c r="J631" s="13" t="n">
        <f aca="false">IF(Raw_Data!J631="",DefaultSat,Raw_Data!J631)</f>
        <v>4</v>
      </c>
      <c r="K631" s="15" t="n">
        <f aca="false">Raw_Data!K631</f>
        <v>75000</v>
      </c>
      <c r="L631" s="13" t="str">
        <f aca="false">PROPER(TRIM(Raw_Data!N631))</f>
        <v>No</v>
      </c>
      <c r="M631" s="13" t="n">
        <f aca="false">IF(C631="",0,1)</f>
        <v>0</v>
      </c>
      <c r="N631" s="13" t="str">
        <f aca="false">IF(M631=0,"Active",IF(TRIM(Raw_Data!L631)="","Unknown",PROPER(TRIM(Raw_Data!L631))))</f>
        <v>Active</v>
      </c>
      <c r="O631" s="13" t="str">
        <f aca="false">IF(M631=0,"",IF(TRIM(Raw_Data!M631)="","Not Recorded",TRIM(Raw_Data!M631)))</f>
        <v/>
      </c>
      <c r="P631" s="16" t="n">
        <f aca="false">ROUND((IF(C631="",AsOfDate,C631)-B631)/365.25,2)</f>
        <v>8.36</v>
      </c>
      <c r="Q631" s="13" t="str">
        <f aca="false">IF(D631="","Unknown",IF(D631&lt;25,"Under 25",IF(D631&lt;35,"25-34",IF(D631&lt;45,"35-44",IF(D631&lt;55,"45-54","55+")))))</f>
        <v>25-34</v>
      </c>
      <c r="R631" s="13" t="str">
        <f aca="false">IF(P631&lt;1,"0-1 yrs",IF(P631&lt;3,"1-3 yrs",IF(P631&lt;5,"3-5 yrs",IF(P631&lt;10,"5-10 yrs","10+ yrs"))))</f>
        <v>5-10 yrs</v>
      </c>
      <c r="S631" s="13" t="str">
        <f aca="false">IF(I631&gt;=4,"High",IF(I631=3,"Medium","Low"))</f>
        <v>High</v>
      </c>
      <c r="T631" s="13" t="str">
        <f aca="false">IF(M631=1,YEAR(C631),"")</f>
        <v/>
      </c>
      <c r="U631" s="13" t="str">
        <f aca="false">IF(M631=1,YEAR(C631)&amp;"-Q"&amp;ROUNDUP(MONTH(C631)/3,0),"")</f>
        <v/>
      </c>
      <c r="V631" s="13" t="str">
        <f aca="false">IF(M631=1,MONTH(C631),"")</f>
        <v/>
      </c>
    </row>
    <row r="632" customFormat="false" ht="15" hidden="false" customHeight="false" outlineLevel="0" collapsed="false">
      <c r="A632" s="13" t="str">
        <f aca="false">TRIM(Raw_Data!A632)</f>
        <v>EMP0631</v>
      </c>
      <c r="B632" s="14" t="n">
        <f aca="false">Raw_Data!B632</f>
        <v>42967</v>
      </c>
      <c r="C632" s="14" t="n">
        <f aca="false">IF(Raw_Data!C632="","",Raw_Data!C632)</f>
        <v>45288</v>
      </c>
      <c r="D632" s="13" t="n">
        <f aca="false">IF(Raw_Data!D632="","",Raw_Data!D632)</f>
        <v>34</v>
      </c>
      <c r="E632" s="13" t="str">
        <f aca="false">IF(UPPER(LEFT(TRIM(Raw_Data!E632),1))="M","Male",IF(UPPER(LEFT(TRIM(Raw_Data!E632),1))="F","Female","Unknown"))</f>
        <v>Male</v>
      </c>
      <c r="F632" s="13" t="str">
        <f aca="false">PROPER(TRIM(SUBSTITUTE(Raw_Data!F632,"'","")))</f>
        <v>Diploma</v>
      </c>
      <c r="G632" s="13" t="str">
        <f aca="false">PROPER(TRIM(Raw_Data!G632))</f>
        <v>Finance</v>
      </c>
      <c r="H632" s="13" t="str">
        <f aca="false">PROPER(TRIM(Raw_Data!H632))</f>
        <v>Associate</v>
      </c>
      <c r="I632" s="13" t="n">
        <f aca="false">IF(Raw_Data!I632="",DefaultPerf,Raw_Data!I632)</f>
        <v>2</v>
      </c>
      <c r="J632" s="13" t="n">
        <f aca="false">IF(Raw_Data!J632="",DefaultSat,Raw_Data!J632)</f>
        <v>4</v>
      </c>
      <c r="K632" s="15" t="n">
        <f aca="false">Raw_Data!K632</f>
        <v>47000</v>
      </c>
      <c r="L632" s="13" t="str">
        <f aca="false">PROPER(TRIM(Raw_Data!N632))</f>
        <v>Yes</v>
      </c>
      <c r="M632" s="13" t="n">
        <f aca="false">IF(C632="",0,1)</f>
        <v>1</v>
      </c>
      <c r="N632" s="13" t="str">
        <f aca="false">IF(M632=0,"Active",IF(TRIM(Raw_Data!L632)="","Unknown",PROPER(TRIM(Raw_Data!L632))))</f>
        <v>Involuntary</v>
      </c>
      <c r="O632" s="13" t="str">
        <f aca="false">IF(M632=0,"",IF(TRIM(Raw_Data!M632)="","Not Recorded",TRIM(Raw_Data!M632)))</f>
        <v>Restructuring / Layoff</v>
      </c>
      <c r="P632" s="16" t="n">
        <f aca="false">ROUND((IF(C632="",AsOfDate,C632)-B632)/365.25,2)</f>
        <v>6.35</v>
      </c>
      <c r="Q632" s="13" t="str">
        <f aca="false">IF(D632="","Unknown",IF(D632&lt;25,"Under 25",IF(D632&lt;35,"25-34",IF(D632&lt;45,"35-44",IF(D632&lt;55,"45-54","55+")))))</f>
        <v>25-34</v>
      </c>
      <c r="R632" s="13" t="str">
        <f aca="false">IF(P632&lt;1,"0-1 yrs",IF(P632&lt;3,"1-3 yrs",IF(P632&lt;5,"3-5 yrs",IF(P632&lt;10,"5-10 yrs","10+ yrs"))))</f>
        <v>5-10 yrs</v>
      </c>
      <c r="S632" s="13" t="str">
        <f aca="false">IF(I632&gt;=4,"High",IF(I632=3,"Medium","Low"))</f>
        <v>Low</v>
      </c>
      <c r="T632" s="13" t="n">
        <f aca="false">IF(M632=1,YEAR(C632),"")</f>
        <v>2023</v>
      </c>
      <c r="U632" s="13" t="str">
        <f aca="false">IF(M632=1,YEAR(C632)&amp;"-Q"&amp;ROUNDUP(MONTH(C632)/3,0),"")</f>
        <v>2023-Q4</v>
      </c>
      <c r="V632" s="13" t="n">
        <f aca="false">IF(M632=1,MONTH(C632),"")</f>
        <v>12</v>
      </c>
    </row>
    <row r="633" customFormat="false" ht="15" hidden="false" customHeight="false" outlineLevel="0" collapsed="false">
      <c r="A633" s="13" t="str">
        <f aca="false">TRIM(Raw_Data!A633)</f>
        <v>EMP0632</v>
      </c>
      <c r="B633" s="14" t="n">
        <f aca="false">Raw_Data!B633</f>
        <v>42968</v>
      </c>
      <c r="C633" s="14" t="str">
        <f aca="false">IF(Raw_Data!C633="","",Raw_Data!C633)</f>
        <v/>
      </c>
      <c r="D633" s="13" t="n">
        <f aca="false">IF(Raw_Data!D633="","",Raw_Data!D633)</f>
        <v>39</v>
      </c>
      <c r="E633" s="13" t="str">
        <f aca="false">IF(UPPER(LEFT(TRIM(Raw_Data!E633),1))="M","Male",IF(UPPER(LEFT(TRIM(Raw_Data!E633),1))="F","Female","Unknown"))</f>
        <v>Male</v>
      </c>
      <c r="F633" s="13" t="str">
        <f aca="false">PROPER(TRIM(SUBSTITUTE(Raw_Data!F633,"'","")))</f>
        <v>Bachelors</v>
      </c>
      <c r="G633" s="13" t="str">
        <f aca="false">PROPER(TRIM(Raw_Data!G633))</f>
        <v>Sales</v>
      </c>
      <c r="H633" s="13" t="str">
        <f aca="false">PROPER(TRIM(Raw_Data!H633))</f>
        <v>Associate</v>
      </c>
      <c r="I633" s="13" t="n">
        <f aca="false">IF(Raw_Data!I633="",DefaultPerf,Raw_Data!I633)</f>
        <v>4</v>
      </c>
      <c r="J633" s="13" t="n">
        <f aca="false">IF(Raw_Data!J633="",DefaultSat,Raw_Data!J633)</f>
        <v>3</v>
      </c>
      <c r="K633" s="15" t="n">
        <f aca="false">Raw_Data!K633</f>
        <v>47000</v>
      </c>
      <c r="L633" s="13" t="str">
        <f aca="false">PROPER(TRIM(Raw_Data!N633))</f>
        <v>No</v>
      </c>
      <c r="M633" s="13" t="n">
        <f aca="false">IF(C633="",0,1)</f>
        <v>0</v>
      </c>
      <c r="N633" s="13" t="str">
        <f aca="false">IF(M633=0,"Active",IF(TRIM(Raw_Data!L633)="","Unknown",PROPER(TRIM(Raw_Data!L633))))</f>
        <v>Active</v>
      </c>
      <c r="O633" s="13" t="str">
        <f aca="false">IF(M633=0,"",IF(TRIM(Raw_Data!M633)="","Not Recorded",TRIM(Raw_Data!M633)))</f>
        <v/>
      </c>
      <c r="P633" s="16" t="n">
        <f aca="false">ROUND((IF(C633="",AsOfDate,C633)-B633)/365.25,2)</f>
        <v>8.36</v>
      </c>
      <c r="Q633" s="13" t="str">
        <f aca="false">IF(D633="","Unknown",IF(D633&lt;25,"Under 25",IF(D633&lt;35,"25-34",IF(D633&lt;45,"35-44",IF(D633&lt;55,"45-54","55+")))))</f>
        <v>35-44</v>
      </c>
      <c r="R633" s="13" t="str">
        <f aca="false">IF(P633&lt;1,"0-1 yrs",IF(P633&lt;3,"1-3 yrs",IF(P633&lt;5,"3-5 yrs",IF(P633&lt;10,"5-10 yrs","10+ yrs"))))</f>
        <v>5-10 yrs</v>
      </c>
      <c r="S633" s="13" t="str">
        <f aca="false">IF(I633&gt;=4,"High",IF(I633=3,"Medium","Low"))</f>
        <v>High</v>
      </c>
      <c r="T633" s="13" t="str">
        <f aca="false">IF(M633=1,YEAR(C633),"")</f>
        <v/>
      </c>
      <c r="U633" s="13" t="str">
        <f aca="false">IF(M633=1,YEAR(C633)&amp;"-Q"&amp;ROUNDUP(MONTH(C633)/3,0),"")</f>
        <v/>
      </c>
      <c r="V633" s="13" t="str">
        <f aca="false">IF(M633=1,MONTH(C633),"")</f>
        <v/>
      </c>
    </row>
    <row r="634" customFormat="false" ht="15" hidden="false" customHeight="false" outlineLevel="0" collapsed="false">
      <c r="A634" s="13" t="str">
        <f aca="false">TRIM(Raw_Data!A634)</f>
        <v>EMP0633</v>
      </c>
      <c r="B634" s="14" t="n">
        <f aca="false">Raw_Data!B634</f>
        <v>42975</v>
      </c>
      <c r="C634" s="14" t="str">
        <f aca="false">IF(Raw_Data!C634="","",Raw_Data!C634)</f>
        <v/>
      </c>
      <c r="D634" s="13" t="n">
        <f aca="false">IF(Raw_Data!D634="","",Raw_Data!D634)</f>
        <v>43</v>
      </c>
      <c r="E634" s="13" t="str">
        <f aca="false">IF(UPPER(LEFT(TRIM(Raw_Data!E634),1))="M","Male",IF(UPPER(LEFT(TRIM(Raw_Data!E634),1))="F","Female","Unknown"))</f>
        <v>Male</v>
      </c>
      <c r="F634" s="13" t="str">
        <f aca="false">PROPER(TRIM(SUBSTITUTE(Raw_Data!F634,"'","")))</f>
        <v>Masters</v>
      </c>
      <c r="G634" s="13" t="str">
        <f aca="false">PROPER(TRIM(Raw_Data!G634))</f>
        <v>Sales</v>
      </c>
      <c r="H634" s="13" t="str">
        <f aca="false">PROPER(TRIM(Raw_Data!H634))</f>
        <v>Analyst</v>
      </c>
      <c r="I634" s="13" t="n">
        <f aca="false">IF(Raw_Data!I634="",DefaultPerf,Raw_Data!I634)</f>
        <v>3</v>
      </c>
      <c r="J634" s="13" t="n">
        <f aca="false">IF(Raw_Data!J634="",DefaultSat,Raw_Data!J634)</f>
        <v>1</v>
      </c>
      <c r="K634" s="15" t="n">
        <f aca="false">Raw_Data!K634</f>
        <v>75000</v>
      </c>
      <c r="L634" s="13" t="str">
        <f aca="false">PROPER(TRIM(Raw_Data!N634))</f>
        <v>No</v>
      </c>
      <c r="M634" s="13" t="n">
        <f aca="false">IF(C634="",0,1)</f>
        <v>0</v>
      </c>
      <c r="N634" s="13" t="str">
        <f aca="false">IF(M634=0,"Active",IF(TRIM(Raw_Data!L634)="","Unknown",PROPER(TRIM(Raw_Data!L634))))</f>
        <v>Active</v>
      </c>
      <c r="O634" s="13" t="str">
        <f aca="false">IF(M634=0,"",IF(TRIM(Raw_Data!M634)="","Not Recorded",TRIM(Raw_Data!M634)))</f>
        <v/>
      </c>
      <c r="P634" s="16" t="n">
        <f aca="false">ROUND((IF(C634="",AsOfDate,C634)-B634)/365.25,2)</f>
        <v>8.34</v>
      </c>
      <c r="Q634" s="13" t="str">
        <f aca="false">IF(D634="","Unknown",IF(D634&lt;25,"Under 25",IF(D634&lt;35,"25-34",IF(D634&lt;45,"35-44",IF(D634&lt;55,"45-54","55+")))))</f>
        <v>35-44</v>
      </c>
      <c r="R634" s="13" t="str">
        <f aca="false">IF(P634&lt;1,"0-1 yrs",IF(P634&lt;3,"1-3 yrs",IF(P634&lt;5,"3-5 yrs",IF(P634&lt;10,"5-10 yrs","10+ yrs"))))</f>
        <v>5-10 yrs</v>
      </c>
      <c r="S634" s="13" t="str">
        <f aca="false">IF(I634&gt;=4,"High",IF(I634=3,"Medium","Low"))</f>
        <v>Medium</v>
      </c>
      <c r="T634" s="13" t="str">
        <f aca="false">IF(M634=1,YEAR(C634),"")</f>
        <v/>
      </c>
      <c r="U634" s="13" t="str">
        <f aca="false">IF(M634=1,YEAR(C634)&amp;"-Q"&amp;ROUNDUP(MONTH(C634)/3,0),"")</f>
        <v/>
      </c>
      <c r="V634" s="13" t="str">
        <f aca="false">IF(M634=1,MONTH(C634),"")</f>
        <v/>
      </c>
    </row>
    <row r="635" customFormat="false" ht="15" hidden="false" customHeight="false" outlineLevel="0" collapsed="false">
      <c r="A635" s="13" t="str">
        <f aca="false">TRIM(Raw_Data!A635)</f>
        <v>EMP0634</v>
      </c>
      <c r="B635" s="14" t="n">
        <f aca="false">Raw_Data!B635</f>
        <v>42976</v>
      </c>
      <c r="C635" s="14" t="str">
        <f aca="false">IF(Raw_Data!C635="","",Raw_Data!C635)</f>
        <v/>
      </c>
      <c r="D635" s="13" t="n">
        <f aca="false">IF(Raw_Data!D635="","",Raw_Data!D635)</f>
        <v>39</v>
      </c>
      <c r="E635" s="13" t="str">
        <f aca="false">IF(UPPER(LEFT(TRIM(Raw_Data!E635),1))="M","Male",IF(UPPER(LEFT(TRIM(Raw_Data!E635),1))="F","Female","Unknown"))</f>
        <v>Female</v>
      </c>
      <c r="F635" s="13" t="str">
        <f aca="false">PROPER(TRIM(SUBSTITUTE(Raw_Data!F635,"'","")))</f>
        <v>Doctorate</v>
      </c>
      <c r="G635" s="13" t="str">
        <f aca="false">PROPER(TRIM(Raw_Data!G635))</f>
        <v>Sales</v>
      </c>
      <c r="H635" s="13" t="str">
        <f aca="false">PROPER(TRIM(Raw_Data!H635))</f>
        <v>Team Lead</v>
      </c>
      <c r="I635" s="13" t="n">
        <f aca="false">IF(Raw_Data!I635="",DefaultPerf,Raw_Data!I635)</f>
        <v>4</v>
      </c>
      <c r="J635" s="13" t="n">
        <f aca="false">IF(Raw_Data!J635="",DefaultSat,Raw_Data!J635)</f>
        <v>2</v>
      </c>
      <c r="K635" s="15" t="n">
        <f aca="false">Raw_Data!K635</f>
        <v>134500</v>
      </c>
      <c r="L635" s="13" t="str">
        <f aca="false">PROPER(TRIM(Raw_Data!N635))</f>
        <v>No</v>
      </c>
      <c r="M635" s="13" t="n">
        <f aca="false">IF(C635="",0,1)</f>
        <v>0</v>
      </c>
      <c r="N635" s="13" t="str">
        <f aca="false">IF(M635=0,"Active",IF(TRIM(Raw_Data!L635)="","Unknown",PROPER(TRIM(Raw_Data!L635))))</f>
        <v>Active</v>
      </c>
      <c r="O635" s="13" t="str">
        <f aca="false">IF(M635=0,"",IF(TRIM(Raw_Data!M635)="","Not Recorded",TRIM(Raw_Data!M635)))</f>
        <v/>
      </c>
      <c r="P635" s="16" t="n">
        <f aca="false">ROUND((IF(C635="",AsOfDate,C635)-B635)/365.25,2)</f>
        <v>8.34</v>
      </c>
      <c r="Q635" s="13" t="str">
        <f aca="false">IF(D635="","Unknown",IF(D635&lt;25,"Under 25",IF(D635&lt;35,"25-34",IF(D635&lt;45,"35-44",IF(D635&lt;55,"45-54","55+")))))</f>
        <v>35-44</v>
      </c>
      <c r="R635" s="13" t="str">
        <f aca="false">IF(P635&lt;1,"0-1 yrs",IF(P635&lt;3,"1-3 yrs",IF(P635&lt;5,"3-5 yrs",IF(P635&lt;10,"5-10 yrs","10+ yrs"))))</f>
        <v>5-10 yrs</v>
      </c>
      <c r="S635" s="13" t="str">
        <f aca="false">IF(I635&gt;=4,"High",IF(I635=3,"Medium","Low"))</f>
        <v>High</v>
      </c>
      <c r="T635" s="13" t="str">
        <f aca="false">IF(M635=1,YEAR(C635),"")</f>
        <v/>
      </c>
      <c r="U635" s="13" t="str">
        <f aca="false">IF(M635=1,YEAR(C635)&amp;"-Q"&amp;ROUNDUP(MONTH(C635)/3,0),"")</f>
        <v/>
      </c>
      <c r="V635" s="13" t="str">
        <f aca="false">IF(M635=1,MONTH(C635),"")</f>
        <v/>
      </c>
    </row>
    <row r="636" customFormat="false" ht="15" hidden="false" customHeight="false" outlineLevel="0" collapsed="false">
      <c r="A636" s="13" t="str">
        <f aca="false">TRIM(Raw_Data!A636)</f>
        <v>EMP0635</v>
      </c>
      <c r="B636" s="14" t="n">
        <f aca="false">Raw_Data!B636</f>
        <v>42978</v>
      </c>
      <c r="C636" s="14" t="str">
        <f aca="false">IF(Raw_Data!C636="","",Raw_Data!C636)</f>
        <v/>
      </c>
      <c r="D636" s="13" t="n">
        <f aca="false">IF(Raw_Data!D636="","",Raw_Data!D636)</f>
        <v>40</v>
      </c>
      <c r="E636" s="13" t="str">
        <f aca="false">IF(UPPER(LEFT(TRIM(Raw_Data!E636),1))="M","Male",IF(UPPER(LEFT(TRIM(Raw_Data!E636),1))="F","Female","Unknown"))</f>
        <v>Male</v>
      </c>
      <c r="F636" s="13" t="str">
        <f aca="false">PROPER(TRIM(SUBSTITUTE(Raw_Data!F636,"'","")))</f>
        <v>Bachelors</v>
      </c>
      <c r="G636" s="13" t="str">
        <f aca="false">PROPER(TRIM(Raw_Data!G636))</f>
        <v>Sales</v>
      </c>
      <c r="H636" s="13" t="str">
        <f aca="false">PROPER(TRIM(Raw_Data!H636))</f>
        <v>Specialist</v>
      </c>
      <c r="I636" s="13" t="n">
        <f aca="false">IF(Raw_Data!I636="",DefaultPerf,Raw_Data!I636)</f>
        <v>4</v>
      </c>
      <c r="J636" s="13" t="n">
        <f aca="false">IF(Raw_Data!J636="",DefaultSat,Raw_Data!J636)</f>
        <v>4</v>
      </c>
      <c r="K636" s="15" t="n">
        <f aca="false">Raw_Data!K636</f>
        <v>99000</v>
      </c>
      <c r="L636" s="13" t="str">
        <f aca="false">PROPER(TRIM(Raw_Data!N636))</f>
        <v>No</v>
      </c>
      <c r="M636" s="13" t="n">
        <f aca="false">IF(C636="",0,1)</f>
        <v>0</v>
      </c>
      <c r="N636" s="13" t="str">
        <f aca="false">IF(M636=0,"Active",IF(TRIM(Raw_Data!L636)="","Unknown",PROPER(TRIM(Raw_Data!L636))))</f>
        <v>Active</v>
      </c>
      <c r="O636" s="13" t="str">
        <f aca="false">IF(M636=0,"",IF(TRIM(Raw_Data!M636)="","Not Recorded",TRIM(Raw_Data!M636)))</f>
        <v/>
      </c>
      <c r="P636" s="16" t="n">
        <f aca="false">ROUND((IF(C636="",AsOfDate,C636)-B636)/365.25,2)</f>
        <v>8.33</v>
      </c>
      <c r="Q636" s="13" t="str">
        <f aca="false">IF(D636="","Unknown",IF(D636&lt;25,"Under 25",IF(D636&lt;35,"25-34",IF(D636&lt;45,"35-44",IF(D636&lt;55,"45-54","55+")))))</f>
        <v>35-44</v>
      </c>
      <c r="R636" s="13" t="str">
        <f aca="false">IF(P636&lt;1,"0-1 yrs",IF(P636&lt;3,"1-3 yrs",IF(P636&lt;5,"3-5 yrs",IF(P636&lt;10,"5-10 yrs","10+ yrs"))))</f>
        <v>5-10 yrs</v>
      </c>
      <c r="S636" s="13" t="str">
        <f aca="false">IF(I636&gt;=4,"High",IF(I636=3,"Medium","Low"))</f>
        <v>High</v>
      </c>
      <c r="T636" s="13" t="str">
        <f aca="false">IF(M636=1,YEAR(C636),"")</f>
        <v/>
      </c>
      <c r="U636" s="13" t="str">
        <f aca="false">IF(M636=1,YEAR(C636)&amp;"-Q"&amp;ROUNDUP(MONTH(C636)/3,0),"")</f>
        <v/>
      </c>
      <c r="V636" s="13" t="str">
        <f aca="false">IF(M636=1,MONTH(C636),"")</f>
        <v/>
      </c>
    </row>
    <row r="637" customFormat="false" ht="15" hidden="false" customHeight="false" outlineLevel="0" collapsed="false">
      <c r="A637" s="13" t="str">
        <f aca="false">TRIM(Raw_Data!A637)</f>
        <v>EMP0636</v>
      </c>
      <c r="B637" s="14" t="n">
        <f aca="false">Raw_Data!B637</f>
        <v>42979</v>
      </c>
      <c r="C637" s="14" t="str">
        <f aca="false">IF(Raw_Data!C637="","",Raw_Data!C637)</f>
        <v/>
      </c>
      <c r="D637" s="13" t="n">
        <f aca="false">IF(Raw_Data!D637="","",Raw_Data!D637)</f>
        <v>29</v>
      </c>
      <c r="E637" s="13" t="str">
        <f aca="false">IF(UPPER(LEFT(TRIM(Raw_Data!E637),1))="M","Male",IF(UPPER(LEFT(TRIM(Raw_Data!E637),1))="F","Female","Unknown"))</f>
        <v>Female</v>
      </c>
      <c r="F637" s="13" t="str">
        <f aca="false">PROPER(TRIM(SUBSTITUTE(Raw_Data!F637,"'","")))</f>
        <v>Masters</v>
      </c>
      <c r="G637" s="13" t="str">
        <f aca="false">PROPER(TRIM(Raw_Data!G637))</f>
        <v>Customer Support</v>
      </c>
      <c r="H637" s="13" t="str">
        <f aca="false">PROPER(TRIM(Raw_Data!H637))</f>
        <v>Manager</v>
      </c>
      <c r="I637" s="17" t="n">
        <f aca="false">IF(Raw_Data!I637="",DefaultPerf,Raw_Data!I637)</f>
        <v>3</v>
      </c>
      <c r="J637" s="13" t="n">
        <f aca="false">IF(Raw_Data!J637="",DefaultSat,Raw_Data!J637)</f>
        <v>4</v>
      </c>
      <c r="K637" s="15" t="n">
        <f aca="false">Raw_Data!K637</f>
        <v>223500</v>
      </c>
      <c r="L637" s="13" t="str">
        <f aca="false">PROPER(TRIM(Raw_Data!N637))</f>
        <v>No</v>
      </c>
      <c r="M637" s="13" t="n">
        <f aca="false">IF(C637="",0,1)</f>
        <v>0</v>
      </c>
      <c r="N637" s="13" t="str">
        <f aca="false">IF(M637=0,"Active",IF(TRIM(Raw_Data!L637)="","Unknown",PROPER(TRIM(Raw_Data!L637))))</f>
        <v>Active</v>
      </c>
      <c r="O637" s="13" t="str">
        <f aca="false">IF(M637=0,"",IF(TRIM(Raw_Data!M637)="","Not Recorded",TRIM(Raw_Data!M637)))</f>
        <v/>
      </c>
      <c r="P637" s="16" t="n">
        <f aca="false">ROUND((IF(C637="",AsOfDate,C637)-B637)/365.25,2)</f>
        <v>8.33</v>
      </c>
      <c r="Q637" s="13" t="str">
        <f aca="false">IF(D637="","Unknown",IF(D637&lt;25,"Under 25",IF(D637&lt;35,"25-34",IF(D637&lt;45,"35-44",IF(D637&lt;55,"45-54","55+")))))</f>
        <v>25-34</v>
      </c>
      <c r="R637" s="13" t="str">
        <f aca="false">IF(P637&lt;1,"0-1 yrs",IF(P637&lt;3,"1-3 yrs",IF(P637&lt;5,"3-5 yrs",IF(P637&lt;10,"5-10 yrs","10+ yrs"))))</f>
        <v>5-10 yrs</v>
      </c>
      <c r="S637" s="13" t="str">
        <f aca="false">IF(I637&gt;=4,"High",IF(I637=3,"Medium","Low"))</f>
        <v>Medium</v>
      </c>
      <c r="T637" s="13" t="str">
        <f aca="false">IF(M637=1,YEAR(C637),"")</f>
        <v/>
      </c>
      <c r="U637" s="13" t="str">
        <f aca="false">IF(M637=1,YEAR(C637)&amp;"-Q"&amp;ROUNDUP(MONTH(C637)/3,0),"")</f>
        <v/>
      </c>
      <c r="V637" s="13" t="str">
        <f aca="false">IF(M637=1,MONTH(C637),"")</f>
        <v/>
      </c>
    </row>
    <row r="638" customFormat="false" ht="15" hidden="false" customHeight="false" outlineLevel="0" collapsed="false">
      <c r="A638" s="13" t="str">
        <f aca="false">TRIM(Raw_Data!A638)</f>
        <v>EMP0637</v>
      </c>
      <c r="B638" s="14" t="n">
        <f aca="false">Raw_Data!B638</f>
        <v>42984</v>
      </c>
      <c r="C638" s="14" t="n">
        <f aca="false">IF(Raw_Data!C638="","",Raw_Data!C638)</f>
        <v>45681</v>
      </c>
      <c r="D638" s="13" t="n">
        <f aca="false">IF(Raw_Data!D638="","",Raw_Data!D638)</f>
        <v>36</v>
      </c>
      <c r="E638" s="13" t="str">
        <f aca="false">IF(UPPER(LEFT(TRIM(Raw_Data!E638),1))="M","Male",IF(UPPER(LEFT(TRIM(Raw_Data!E638),1))="F","Female","Unknown"))</f>
        <v>Female</v>
      </c>
      <c r="F638" s="13" t="str">
        <f aca="false">PROPER(TRIM(SUBSTITUTE(Raw_Data!F638,"'","")))</f>
        <v>Masters</v>
      </c>
      <c r="G638" s="13" t="str">
        <f aca="false">PROPER(TRIM(Raw_Data!G638))</f>
        <v>Customer Support</v>
      </c>
      <c r="H638" s="13" t="str">
        <f aca="false">PROPER(TRIM(Raw_Data!H638))</f>
        <v>Analyst</v>
      </c>
      <c r="I638" s="13" t="n">
        <f aca="false">IF(Raw_Data!I638="",DefaultPerf,Raw_Data!I638)</f>
        <v>3</v>
      </c>
      <c r="J638" s="13" t="n">
        <f aca="false">IF(Raw_Data!J638="",DefaultSat,Raw_Data!J638)</f>
        <v>1</v>
      </c>
      <c r="K638" s="15" t="n">
        <f aca="false">Raw_Data!K638</f>
        <v>67000</v>
      </c>
      <c r="L638" s="13" t="str">
        <f aca="false">PROPER(TRIM(Raw_Data!N638))</f>
        <v>No</v>
      </c>
      <c r="M638" s="13" t="n">
        <f aca="false">IF(C638="",0,1)</f>
        <v>1</v>
      </c>
      <c r="N638" s="13" t="str">
        <f aca="false">IF(M638=0,"Active",IF(TRIM(Raw_Data!L638)="","Unknown",PROPER(TRIM(Raw_Data!L638))))</f>
        <v>Involuntary</v>
      </c>
      <c r="O638" s="13" t="str">
        <f aca="false">IF(M638=0,"",IF(TRIM(Raw_Data!M638)="","Not Recorded",TRIM(Raw_Data!M638)))</f>
        <v>Poor Performance</v>
      </c>
      <c r="P638" s="16" t="n">
        <f aca="false">ROUND((IF(C638="",AsOfDate,C638)-B638)/365.25,2)</f>
        <v>7.38</v>
      </c>
      <c r="Q638" s="13" t="str">
        <f aca="false">IF(D638="","Unknown",IF(D638&lt;25,"Under 25",IF(D638&lt;35,"25-34",IF(D638&lt;45,"35-44",IF(D638&lt;55,"45-54","55+")))))</f>
        <v>35-44</v>
      </c>
      <c r="R638" s="13" t="str">
        <f aca="false">IF(P638&lt;1,"0-1 yrs",IF(P638&lt;3,"1-3 yrs",IF(P638&lt;5,"3-5 yrs",IF(P638&lt;10,"5-10 yrs","10+ yrs"))))</f>
        <v>5-10 yrs</v>
      </c>
      <c r="S638" s="13" t="str">
        <f aca="false">IF(I638&gt;=4,"High",IF(I638=3,"Medium","Low"))</f>
        <v>Medium</v>
      </c>
      <c r="T638" s="13" t="n">
        <f aca="false">IF(M638=1,YEAR(C638),"")</f>
        <v>2025</v>
      </c>
      <c r="U638" s="13" t="str">
        <f aca="false">IF(M638=1,YEAR(C638)&amp;"-Q"&amp;ROUNDUP(MONTH(C638)/3,0),"")</f>
        <v>2025-Q1</v>
      </c>
      <c r="V638" s="13" t="n">
        <f aca="false">IF(M638=1,MONTH(C638),"")</f>
        <v>1</v>
      </c>
    </row>
    <row r="639" customFormat="false" ht="15" hidden="false" customHeight="false" outlineLevel="0" collapsed="false">
      <c r="A639" s="13" t="str">
        <f aca="false">TRIM(Raw_Data!A639)</f>
        <v>EMP0638</v>
      </c>
      <c r="B639" s="14" t="n">
        <f aca="false">Raw_Data!B639</f>
        <v>42985</v>
      </c>
      <c r="C639" s="14" t="n">
        <f aca="false">IF(Raw_Data!C639="","",Raw_Data!C639)</f>
        <v>44929</v>
      </c>
      <c r="D639" s="13" t="n">
        <f aca="false">IF(Raw_Data!D639="","",Raw_Data!D639)</f>
        <v>33</v>
      </c>
      <c r="E639" s="13" t="str">
        <f aca="false">IF(UPPER(LEFT(TRIM(Raw_Data!E639),1))="M","Male",IF(UPPER(LEFT(TRIM(Raw_Data!E639),1))="F","Female","Unknown"))</f>
        <v>Female</v>
      </c>
      <c r="F639" s="13" t="str">
        <f aca="false">PROPER(TRIM(SUBSTITUTE(Raw_Data!F639,"'","")))</f>
        <v>Diploma</v>
      </c>
      <c r="G639" s="13" t="str">
        <f aca="false">PROPER(TRIM(Raw_Data!G639))</f>
        <v>Operations</v>
      </c>
      <c r="H639" s="13" t="str">
        <f aca="false">PROPER(TRIM(Raw_Data!H639))</f>
        <v>Associate</v>
      </c>
      <c r="I639" s="13" t="n">
        <f aca="false">IF(Raw_Data!I639="",DefaultPerf,Raw_Data!I639)</f>
        <v>2</v>
      </c>
      <c r="J639" s="13" t="n">
        <f aca="false">IF(Raw_Data!J639="",DefaultSat,Raw_Data!J639)</f>
        <v>1</v>
      </c>
      <c r="K639" s="15" t="n">
        <f aca="false">Raw_Data!K639</f>
        <v>40000</v>
      </c>
      <c r="L639" s="13" t="str">
        <f aca="false">PROPER(TRIM(Raw_Data!N639))</f>
        <v>No</v>
      </c>
      <c r="M639" s="13" t="n">
        <f aca="false">IF(C639="",0,1)</f>
        <v>1</v>
      </c>
      <c r="N639" s="13" t="str">
        <f aca="false">IF(M639=0,"Active",IF(TRIM(Raw_Data!L639)="","Unknown",PROPER(TRIM(Raw_Data!L639))))</f>
        <v>Voluntary</v>
      </c>
      <c r="O639" s="13" t="str">
        <f aca="false">IF(M639=0,"",IF(TRIM(Raw_Data!M639)="","Not Recorded",TRIM(Raw_Data!M639)))</f>
        <v>Work-Life Balance</v>
      </c>
      <c r="P639" s="16" t="n">
        <f aca="false">ROUND((IF(C639="",AsOfDate,C639)-B639)/365.25,2)</f>
        <v>5.32</v>
      </c>
      <c r="Q639" s="13" t="str">
        <f aca="false">IF(D639="","Unknown",IF(D639&lt;25,"Under 25",IF(D639&lt;35,"25-34",IF(D639&lt;45,"35-44",IF(D639&lt;55,"45-54","55+")))))</f>
        <v>25-34</v>
      </c>
      <c r="R639" s="13" t="str">
        <f aca="false">IF(P639&lt;1,"0-1 yrs",IF(P639&lt;3,"1-3 yrs",IF(P639&lt;5,"3-5 yrs",IF(P639&lt;10,"5-10 yrs","10+ yrs"))))</f>
        <v>5-10 yrs</v>
      </c>
      <c r="S639" s="13" t="str">
        <f aca="false">IF(I639&gt;=4,"High",IF(I639=3,"Medium","Low"))</f>
        <v>Low</v>
      </c>
      <c r="T639" s="13" t="n">
        <f aca="false">IF(M639=1,YEAR(C639),"")</f>
        <v>2023</v>
      </c>
      <c r="U639" s="13" t="str">
        <f aca="false">IF(M639=1,YEAR(C639)&amp;"-Q"&amp;ROUNDUP(MONTH(C639)/3,0),"")</f>
        <v>2023-Q1</v>
      </c>
      <c r="V639" s="13" t="n">
        <f aca="false">IF(M639=1,MONTH(C639),"")</f>
        <v>1</v>
      </c>
    </row>
    <row r="640" customFormat="false" ht="15" hidden="false" customHeight="false" outlineLevel="0" collapsed="false">
      <c r="A640" s="13" t="str">
        <f aca="false">TRIM(Raw_Data!A640)</f>
        <v>EMP0639</v>
      </c>
      <c r="B640" s="14" t="n">
        <f aca="false">Raw_Data!B640</f>
        <v>42986</v>
      </c>
      <c r="C640" s="14" t="str">
        <f aca="false">IF(Raw_Data!C640="","",Raw_Data!C640)</f>
        <v/>
      </c>
      <c r="D640" s="13" t="n">
        <f aca="false">IF(Raw_Data!D640="","",Raw_Data!D640)</f>
        <v>49</v>
      </c>
      <c r="E640" s="13" t="str">
        <f aca="false">IF(UPPER(LEFT(TRIM(Raw_Data!E640),1))="M","Male",IF(UPPER(LEFT(TRIM(Raw_Data!E640),1))="F","Female","Unknown"))</f>
        <v>Male</v>
      </c>
      <c r="F640" s="13" t="str">
        <f aca="false">PROPER(TRIM(SUBSTITUTE(Raw_Data!F640,"'","")))</f>
        <v>High School</v>
      </c>
      <c r="G640" s="13" t="str">
        <f aca="false">PROPER(TRIM(Raw_Data!G640))</f>
        <v>Sales</v>
      </c>
      <c r="H640" s="13" t="str">
        <f aca="false">PROPER(TRIM(Raw_Data!H640))</f>
        <v>Analyst</v>
      </c>
      <c r="I640" s="13" t="n">
        <f aca="false">IF(Raw_Data!I640="",DefaultPerf,Raw_Data!I640)</f>
        <v>3</v>
      </c>
      <c r="J640" s="13" t="n">
        <f aca="false">IF(Raw_Data!J640="",DefaultSat,Raw_Data!J640)</f>
        <v>2</v>
      </c>
      <c r="K640" s="15" t="n">
        <f aca="false">Raw_Data!K640</f>
        <v>77000</v>
      </c>
      <c r="L640" s="13" t="str">
        <f aca="false">PROPER(TRIM(Raw_Data!N640))</f>
        <v>Yes</v>
      </c>
      <c r="M640" s="13" t="n">
        <f aca="false">IF(C640="",0,1)</f>
        <v>0</v>
      </c>
      <c r="N640" s="13" t="str">
        <f aca="false">IF(M640=0,"Active",IF(TRIM(Raw_Data!L640)="","Unknown",PROPER(TRIM(Raw_Data!L640))))</f>
        <v>Active</v>
      </c>
      <c r="O640" s="13" t="str">
        <f aca="false">IF(M640=0,"",IF(TRIM(Raw_Data!M640)="","Not Recorded",TRIM(Raw_Data!M640)))</f>
        <v/>
      </c>
      <c r="P640" s="16" t="n">
        <f aca="false">ROUND((IF(C640="",AsOfDate,C640)-B640)/365.25,2)</f>
        <v>8.31</v>
      </c>
      <c r="Q640" s="13" t="str">
        <f aca="false">IF(D640="","Unknown",IF(D640&lt;25,"Under 25",IF(D640&lt;35,"25-34",IF(D640&lt;45,"35-44",IF(D640&lt;55,"45-54","55+")))))</f>
        <v>45-54</v>
      </c>
      <c r="R640" s="13" t="str">
        <f aca="false">IF(P640&lt;1,"0-1 yrs",IF(P640&lt;3,"1-3 yrs",IF(P640&lt;5,"3-5 yrs",IF(P640&lt;10,"5-10 yrs","10+ yrs"))))</f>
        <v>5-10 yrs</v>
      </c>
      <c r="S640" s="13" t="str">
        <f aca="false">IF(I640&gt;=4,"High",IF(I640=3,"Medium","Low"))</f>
        <v>Medium</v>
      </c>
      <c r="T640" s="13" t="str">
        <f aca="false">IF(M640=1,YEAR(C640),"")</f>
        <v/>
      </c>
      <c r="U640" s="13" t="str">
        <f aca="false">IF(M640=1,YEAR(C640)&amp;"-Q"&amp;ROUNDUP(MONTH(C640)/3,0),"")</f>
        <v/>
      </c>
      <c r="V640" s="13" t="str">
        <f aca="false">IF(M640=1,MONTH(C640),"")</f>
        <v/>
      </c>
    </row>
    <row r="641" customFormat="false" ht="15" hidden="false" customHeight="false" outlineLevel="0" collapsed="false">
      <c r="A641" s="13" t="str">
        <f aca="false">TRIM(Raw_Data!A641)</f>
        <v>EMP0640</v>
      </c>
      <c r="B641" s="14" t="n">
        <f aca="false">Raw_Data!B641</f>
        <v>42989</v>
      </c>
      <c r="C641" s="14" t="str">
        <f aca="false">IF(Raw_Data!C641="","",Raw_Data!C641)</f>
        <v/>
      </c>
      <c r="D641" s="13" t="n">
        <f aca="false">IF(Raw_Data!D641="","",Raw_Data!D641)</f>
        <v>44</v>
      </c>
      <c r="E641" s="13" t="str">
        <f aca="false">IF(UPPER(LEFT(TRIM(Raw_Data!E641),1))="M","Male",IF(UPPER(LEFT(TRIM(Raw_Data!E641),1))="F","Female","Unknown"))</f>
        <v>Male</v>
      </c>
      <c r="F641" s="13" t="str">
        <f aca="false">PROPER(TRIM(SUBSTITUTE(Raw_Data!F641,"'","")))</f>
        <v>High School</v>
      </c>
      <c r="G641" s="13" t="str">
        <f aca="false">PROPER(TRIM(Raw_Data!G641))</f>
        <v>Engineering</v>
      </c>
      <c r="H641" s="13" t="str">
        <f aca="false">PROPER(TRIM(Raw_Data!H641))</f>
        <v>Associate</v>
      </c>
      <c r="I641" s="13" t="n">
        <f aca="false">IF(Raw_Data!I641="",DefaultPerf,Raw_Data!I641)</f>
        <v>5</v>
      </c>
      <c r="J641" s="13" t="n">
        <f aca="false">IF(Raw_Data!J641="",DefaultSat,Raw_Data!J641)</f>
        <v>4</v>
      </c>
      <c r="K641" s="15" t="n">
        <f aca="false">Raw_Data!K641</f>
        <v>53500</v>
      </c>
      <c r="L641" s="13" t="str">
        <f aca="false">PROPER(TRIM(Raw_Data!N641))</f>
        <v>Yes</v>
      </c>
      <c r="M641" s="13" t="n">
        <f aca="false">IF(C641="",0,1)</f>
        <v>0</v>
      </c>
      <c r="N641" s="13" t="str">
        <f aca="false">IF(M641=0,"Active",IF(TRIM(Raw_Data!L641)="","Unknown",PROPER(TRIM(Raw_Data!L641))))</f>
        <v>Active</v>
      </c>
      <c r="O641" s="13" t="str">
        <f aca="false">IF(M641=0,"",IF(TRIM(Raw_Data!M641)="","Not Recorded",TRIM(Raw_Data!M641)))</f>
        <v/>
      </c>
      <c r="P641" s="16" t="n">
        <f aca="false">ROUND((IF(C641="",AsOfDate,C641)-B641)/365.25,2)</f>
        <v>8.3</v>
      </c>
      <c r="Q641" s="13" t="str">
        <f aca="false">IF(D641="","Unknown",IF(D641&lt;25,"Under 25",IF(D641&lt;35,"25-34",IF(D641&lt;45,"35-44",IF(D641&lt;55,"45-54","55+")))))</f>
        <v>35-44</v>
      </c>
      <c r="R641" s="13" t="str">
        <f aca="false">IF(P641&lt;1,"0-1 yrs",IF(P641&lt;3,"1-3 yrs",IF(P641&lt;5,"3-5 yrs",IF(P641&lt;10,"5-10 yrs","10+ yrs"))))</f>
        <v>5-10 yrs</v>
      </c>
      <c r="S641" s="13" t="str">
        <f aca="false">IF(I641&gt;=4,"High",IF(I641=3,"Medium","Low"))</f>
        <v>High</v>
      </c>
      <c r="T641" s="13" t="str">
        <f aca="false">IF(M641=1,YEAR(C641),"")</f>
        <v/>
      </c>
      <c r="U641" s="13" t="str">
        <f aca="false">IF(M641=1,YEAR(C641)&amp;"-Q"&amp;ROUNDUP(MONTH(C641)/3,0),"")</f>
        <v/>
      </c>
      <c r="V641" s="13" t="str">
        <f aca="false">IF(M641=1,MONTH(C641),"")</f>
        <v/>
      </c>
    </row>
    <row r="642" customFormat="false" ht="15" hidden="false" customHeight="false" outlineLevel="0" collapsed="false">
      <c r="A642" s="13" t="str">
        <f aca="false">TRIM(Raw_Data!A642)</f>
        <v>EMP0641</v>
      </c>
      <c r="B642" s="14" t="n">
        <f aca="false">Raw_Data!B642</f>
        <v>42992</v>
      </c>
      <c r="C642" s="14" t="str">
        <f aca="false">IF(Raw_Data!C642="","",Raw_Data!C642)</f>
        <v/>
      </c>
      <c r="D642" s="13" t="n">
        <f aca="false">IF(Raw_Data!D642="","",Raw_Data!D642)</f>
        <v>33</v>
      </c>
      <c r="E642" s="13" t="str">
        <f aca="false">IF(UPPER(LEFT(TRIM(Raw_Data!E642),1))="M","Male",IF(UPPER(LEFT(TRIM(Raw_Data!E642),1))="F","Female","Unknown"))</f>
        <v>Female</v>
      </c>
      <c r="F642" s="13" t="str">
        <f aca="false">PROPER(TRIM(SUBSTITUTE(Raw_Data!F642,"'","")))</f>
        <v>High School</v>
      </c>
      <c r="G642" s="13" t="str">
        <f aca="false">PROPER(TRIM(Raw_Data!G642))</f>
        <v>Customer Support</v>
      </c>
      <c r="H642" s="13" t="str">
        <f aca="false">PROPER(TRIM(Raw_Data!H642))</f>
        <v>Analyst</v>
      </c>
      <c r="I642" s="13" t="n">
        <f aca="false">IF(Raw_Data!I642="",DefaultPerf,Raw_Data!I642)</f>
        <v>2</v>
      </c>
      <c r="J642" s="13" t="n">
        <f aca="false">IF(Raw_Data!J642="",DefaultSat,Raw_Data!J642)</f>
        <v>4</v>
      </c>
      <c r="K642" s="15" t="n">
        <f aca="false">Raw_Data!K642</f>
        <v>78500</v>
      </c>
      <c r="L642" s="13" t="str">
        <f aca="false">PROPER(TRIM(Raw_Data!N642))</f>
        <v>No</v>
      </c>
      <c r="M642" s="13" t="n">
        <f aca="false">IF(C642="",0,1)</f>
        <v>0</v>
      </c>
      <c r="N642" s="13" t="str">
        <f aca="false">IF(M642=0,"Active",IF(TRIM(Raw_Data!L642)="","Unknown",PROPER(TRIM(Raw_Data!L642))))</f>
        <v>Active</v>
      </c>
      <c r="O642" s="13" t="str">
        <f aca="false">IF(M642=0,"",IF(TRIM(Raw_Data!M642)="","Not Recorded",TRIM(Raw_Data!M642)))</f>
        <v/>
      </c>
      <c r="P642" s="16" t="n">
        <f aca="false">ROUND((IF(C642="",AsOfDate,C642)-B642)/365.25,2)</f>
        <v>8.3</v>
      </c>
      <c r="Q642" s="13" t="str">
        <f aca="false">IF(D642="","Unknown",IF(D642&lt;25,"Under 25",IF(D642&lt;35,"25-34",IF(D642&lt;45,"35-44",IF(D642&lt;55,"45-54","55+")))))</f>
        <v>25-34</v>
      </c>
      <c r="R642" s="13" t="str">
        <f aca="false">IF(P642&lt;1,"0-1 yrs",IF(P642&lt;3,"1-3 yrs",IF(P642&lt;5,"3-5 yrs",IF(P642&lt;10,"5-10 yrs","10+ yrs"))))</f>
        <v>5-10 yrs</v>
      </c>
      <c r="S642" s="13" t="str">
        <f aca="false">IF(I642&gt;=4,"High",IF(I642=3,"Medium","Low"))</f>
        <v>Low</v>
      </c>
      <c r="T642" s="13" t="str">
        <f aca="false">IF(M642=1,YEAR(C642),"")</f>
        <v/>
      </c>
      <c r="U642" s="13" t="str">
        <f aca="false">IF(M642=1,YEAR(C642)&amp;"-Q"&amp;ROUNDUP(MONTH(C642)/3,0),"")</f>
        <v/>
      </c>
      <c r="V642" s="13" t="str">
        <f aca="false">IF(M642=1,MONTH(C642),"")</f>
        <v/>
      </c>
    </row>
    <row r="643" customFormat="false" ht="15" hidden="false" customHeight="false" outlineLevel="0" collapsed="false">
      <c r="A643" s="13" t="str">
        <f aca="false">TRIM(Raw_Data!A643)</f>
        <v>EMP0642</v>
      </c>
      <c r="B643" s="14" t="n">
        <f aca="false">Raw_Data!B643</f>
        <v>42993</v>
      </c>
      <c r="C643" s="14" t="n">
        <f aca="false">IF(Raw_Data!C643="","",Raw_Data!C643)</f>
        <v>45680</v>
      </c>
      <c r="D643" s="13" t="n">
        <f aca="false">IF(Raw_Data!D643="","",Raw_Data!D643)</f>
        <v>43</v>
      </c>
      <c r="E643" s="13" t="str">
        <f aca="false">IF(UPPER(LEFT(TRIM(Raw_Data!E643),1))="M","Male",IF(UPPER(LEFT(TRIM(Raw_Data!E643),1))="F","Female","Unknown"))</f>
        <v>Female</v>
      </c>
      <c r="F643" s="13" t="str">
        <f aca="false">PROPER(TRIM(SUBSTITUTE(Raw_Data!F643,"'","")))</f>
        <v>Masters</v>
      </c>
      <c r="G643" s="13" t="str">
        <f aca="false">PROPER(TRIM(Raw_Data!G643))</f>
        <v>Engineering</v>
      </c>
      <c r="H643" s="13" t="str">
        <f aca="false">PROPER(TRIM(Raw_Data!H643))</f>
        <v>Senior Analyst</v>
      </c>
      <c r="I643" s="17" t="n">
        <f aca="false">IF(Raw_Data!I643="",DefaultPerf,Raw_Data!I643)</f>
        <v>3</v>
      </c>
      <c r="J643" s="13" t="n">
        <f aca="false">IF(Raw_Data!J643="",DefaultSat,Raw_Data!J643)</f>
        <v>1</v>
      </c>
      <c r="K643" s="15" t="n">
        <f aca="false">Raw_Data!K643</f>
        <v>102500</v>
      </c>
      <c r="L643" s="13" t="str">
        <f aca="false">PROPER(TRIM(Raw_Data!N643))</f>
        <v>No</v>
      </c>
      <c r="M643" s="13" t="n">
        <f aca="false">IF(C643="",0,1)</f>
        <v>1</v>
      </c>
      <c r="N643" s="13" t="str">
        <f aca="false">IF(M643=0,"Active",IF(TRIM(Raw_Data!L643)="","Unknown",PROPER(TRIM(Raw_Data!L643))))</f>
        <v>Involuntary</v>
      </c>
      <c r="O643" s="13" t="str">
        <f aca="false">IF(M643=0,"",IF(TRIM(Raw_Data!M643)="","Not Recorded",TRIM(Raw_Data!M643)))</f>
        <v>Poor Performance</v>
      </c>
      <c r="P643" s="16" t="n">
        <f aca="false">ROUND((IF(C643="",AsOfDate,C643)-B643)/365.25,2)</f>
        <v>7.36</v>
      </c>
      <c r="Q643" s="13" t="str">
        <f aca="false">IF(D643="","Unknown",IF(D643&lt;25,"Under 25",IF(D643&lt;35,"25-34",IF(D643&lt;45,"35-44",IF(D643&lt;55,"45-54","55+")))))</f>
        <v>35-44</v>
      </c>
      <c r="R643" s="13" t="str">
        <f aca="false">IF(P643&lt;1,"0-1 yrs",IF(P643&lt;3,"1-3 yrs",IF(P643&lt;5,"3-5 yrs",IF(P643&lt;10,"5-10 yrs","10+ yrs"))))</f>
        <v>5-10 yrs</v>
      </c>
      <c r="S643" s="13" t="str">
        <f aca="false">IF(I643&gt;=4,"High",IF(I643=3,"Medium","Low"))</f>
        <v>Medium</v>
      </c>
      <c r="T643" s="13" t="n">
        <f aca="false">IF(M643=1,YEAR(C643),"")</f>
        <v>2025</v>
      </c>
      <c r="U643" s="13" t="str">
        <f aca="false">IF(M643=1,YEAR(C643)&amp;"-Q"&amp;ROUNDUP(MONTH(C643)/3,0),"")</f>
        <v>2025-Q1</v>
      </c>
      <c r="V643" s="13" t="n">
        <f aca="false">IF(M643=1,MONTH(C643),"")</f>
        <v>1</v>
      </c>
    </row>
    <row r="644" customFormat="false" ht="15" hidden="false" customHeight="false" outlineLevel="0" collapsed="false">
      <c r="A644" s="13" t="str">
        <f aca="false">TRIM(Raw_Data!A644)</f>
        <v>EMP0643</v>
      </c>
      <c r="B644" s="14" t="n">
        <f aca="false">Raw_Data!B644</f>
        <v>42994</v>
      </c>
      <c r="C644" s="14" t="str">
        <f aca="false">IF(Raw_Data!C644="","",Raw_Data!C644)</f>
        <v/>
      </c>
      <c r="D644" s="13" t="n">
        <f aca="false">IF(Raw_Data!D644="","",Raw_Data!D644)</f>
        <v>32</v>
      </c>
      <c r="E644" s="13" t="str">
        <f aca="false">IF(UPPER(LEFT(TRIM(Raw_Data!E644),1))="M","Male",IF(UPPER(LEFT(TRIM(Raw_Data!E644),1))="F","Female","Unknown"))</f>
        <v>Female</v>
      </c>
      <c r="F644" s="13" t="str">
        <f aca="false">PROPER(TRIM(SUBSTITUTE(Raw_Data!F644,"'","")))</f>
        <v>High School</v>
      </c>
      <c r="G644" s="13" t="str">
        <f aca="false">PROPER(TRIM(Raw_Data!G644))</f>
        <v>Sales</v>
      </c>
      <c r="H644" s="13" t="str">
        <f aca="false">PROPER(TRIM(Raw_Data!H644))</f>
        <v>Senior Analyst</v>
      </c>
      <c r="I644" s="13" t="n">
        <f aca="false">IF(Raw_Data!I644="",DefaultPerf,Raw_Data!I644)</f>
        <v>3</v>
      </c>
      <c r="J644" s="13" t="n">
        <f aca="false">IF(Raw_Data!J644="",DefaultSat,Raw_Data!J644)</f>
        <v>3</v>
      </c>
      <c r="K644" s="15" t="n">
        <f aca="false">Raw_Data!K644</f>
        <v>131000</v>
      </c>
      <c r="L644" s="13" t="str">
        <f aca="false">PROPER(TRIM(Raw_Data!N644))</f>
        <v>Yes</v>
      </c>
      <c r="M644" s="13" t="n">
        <f aca="false">IF(C644="",0,1)</f>
        <v>0</v>
      </c>
      <c r="N644" s="13" t="str">
        <f aca="false">IF(M644=0,"Active",IF(TRIM(Raw_Data!L644)="","Unknown",PROPER(TRIM(Raw_Data!L644))))</f>
        <v>Active</v>
      </c>
      <c r="O644" s="13" t="str">
        <f aca="false">IF(M644=0,"",IF(TRIM(Raw_Data!M644)="","Not Recorded",TRIM(Raw_Data!M644)))</f>
        <v/>
      </c>
      <c r="P644" s="16" t="n">
        <f aca="false">ROUND((IF(C644="",AsOfDate,C644)-B644)/365.25,2)</f>
        <v>8.29</v>
      </c>
      <c r="Q644" s="13" t="str">
        <f aca="false">IF(D644="","Unknown",IF(D644&lt;25,"Under 25",IF(D644&lt;35,"25-34",IF(D644&lt;45,"35-44",IF(D644&lt;55,"45-54","55+")))))</f>
        <v>25-34</v>
      </c>
      <c r="R644" s="13" t="str">
        <f aca="false">IF(P644&lt;1,"0-1 yrs",IF(P644&lt;3,"1-3 yrs",IF(P644&lt;5,"3-5 yrs",IF(P644&lt;10,"5-10 yrs","10+ yrs"))))</f>
        <v>5-10 yrs</v>
      </c>
      <c r="S644" s="13" t="str">
        <f aca="false">IF(I644&gt;=4,"High",IF(I644=3,"Medium","Low"))</f>
        <v>Medium</v>
      </c>
      <c r="T644" s="13" t="str">
        <f aca="false">IF(M644=1,YEAR(C644),"")</f>
        <v/>
      </c>
      <c r="U644" s="13" t="str">
        <f aca="false">IF(M644=1,YEAR(C644)&amp;"-Q"&amp;ROUNDUP(MONTH(C644)/3,0),"")</f>
        <v/>
      </c>
      <c r="V644" s="13" t="str">
        <f aca="false">IF(M644=1,MONTH(C644),"")</f>
        <v/>
      </c>
    </row>
    <row r="645" customFormat="false" ht="15" hidden="false" customHeight="false" outlineLevel="0" collapsed="false">
      <c r="A645" s="13" t="str">
        <f aca="false">TRIM(Raw_Data!A645)</f>
        <v>EMP0644</v>
      </c>
      <c r="B645" s="14" t="n">
        <f aca="false">Raw_Data!B645</f>
        <v>42995</v>
      </c>
      <c r="C645" s="14" t="str">
        <f aca="false">IF(Raw_Data!C645="","",Raw_Data!C645)</f>
        <v/>
      </c>
      <c r="D645" s="13" t="n">
        <f aca="false">IF(Raw_Data!D645="","",Raw_Data!D645)</f>
        <v>40</v>
      </c>
      <c r="E645" s="13" t="str">
        <f aca="false">IF(UPPER(LEFT(TRIM(Raw_Data!E645),1))="M","Male",IF(UPPER(LEFT(TRIM(Raw_Data!E645),1))="F","Female","Unknown"))</f>
        <v>Male</v>
      </c>
      <c r="F645" s="13" t="str">
        <f aca="false">PROPER(TRIM(SUBSTITUTE(Raw_Data!F645,"'","")))</f>
        <v>Masters</v>
      </c>
      <c r="G645" s="13" t="str">
        <f aca="false">PROPER(TRIM(Raw_Data!G645))</f>
        <v>Sales</v>
      </c>
      <c r="H645" s="13" t="str">
        <f aca="false">PROPER(TRIM(Raw_Data!H645))</f>
        <v>Manager</v>
      </c>
      <c r="I645" s="13" t="n">
        <f aca="false">IF(Raw_Data!I645="",DefaultPerf,Raw_Data!I645)</f>
        <v>4</v>
      </c>
      <c r="J645" s="13" t="n">
        <f aca="false">IF(Raw_Data!J645="",DefaultSat,Raw_Data!J645)</f>
        <v>4</v>
      </c>
      <c r="K645" s="15" t="n">
        <f aca="false">Raw_Data!K645</f>
        <v>249500</v>
      </c>
      <c r="L645" s="13" t="str">
        <f aca="false">PROPER(TRIM(Raw_Data!N645))</f>
        <v>No</v>
      </c>
      <c r="M645" s="13" t="n">
        <f aca="false">IF(C645="",0,1)</f>
        <v>0</v>
      </c>
      <c r="N645" s="13" t="str">
        <f aca="false">IF(M645=0,"Active",IF(TRIM(Raw_Data!L645)="","Unknown",PROPER(TRIM(Raw_Data!L645))))</f>
        <v>Active</v>
      </c>
      <c r="O645" s="13" t="str">
        <f aca="false">IF(M645=0,"",IF(TRIM(Raw_Data!M645)="","Not Recorded",TRIM(Raw_Data!M645)))</f>
        <v/>
      </c>
      <c r="P645" s="16" t="n">
        <f aca="false">ROUND((IF(C645="",AsOfDate,C645)-B645)/365.25,2)</f>
        <v>8.29</v>
      </c>
      <c r="Q645" s="13" t="str">
        <f aca="false">IF(D645="","Unknown",IF(D645&lt;25,"Under 25",IF(D645&lt;35,"25-34",IF(D645&lt;45,"35-44",IF(D645&lt;55,"45-54","55+")))))</f>
        <v>35-44</v>
      </c>
      <c r="R645" s="13" t="str">
        <f aca="false">IF(P645&lt;1,"0-1 yrs",IF(P645&lt;3,"1-3 yrs",IF(P645&lt;5,"3-5 yrs",IF(P645&lt;10,"5-10 yrs","10+ yrs"))))</f>
        <v>5-10 yrs</v>
      </c>
      <c r="S645" s="13" t="str">
        <f aca="false">IF(I645&gt;=4,"High",IF(I645=3,"Medium","Low"))</f>
        <v>High</v>
      </c>
      <c r="T645" s="13" t="str">
        <f aca="false">IF(M645=1,YEAR(C645),"")</f>
        <v/>
      </c>
      <c r="U645" s="13" t="str">
        <f aca="false">IF(M645=1,YEAR(C645)&amp;"-Q"&amp;ROUNDUP(MONTH(C645)/3,0),"")</f>
        <v/>
      </c>
      <c r="V645" s="13" t="str">
        <f aca="false">IF(M645=1,MONTH(C645),"")</f>
        <v/>
      </c>
    </row>
    <row r="646" customFormat="false" ht="15" hidden="false" customHeight="false" outlineLevel="0" collapsed="false">
      <c r="A646" s="13" t="str">
        <f aca="false">TRIM(Raw_Data!A646)</f>
        <v>EMP0645</v>
      </c>
      <c r="B646" s="14" t="n">
        <f aca="false">Raw_Data!B646</f>
        <v>42996</v>
      </c>
      <c r="C646" s="14" t="str">
        <f aca="false">IF(Raw_Data!C646="","",Raw_Data!C646)</f>
        <v/>
      </c>
      <c r="D646" s="13" t="n">
        <f aca="false">IF(Raw_Data!D646="","",Raw_Data!D646)</f>
        <v>32</v>
      </c>
      <c r="E646" s="13" t="str">
        <f aca="false">IF(UPPER(LEFT(TRIM(Raw_Data!E646),1))="M","Male",IF(UPPER(LEFT(TRIM(Raw_Data!E646),1))="F","Female","Unknown"))</f>
        <v>Female</v>
      </c>
      <c r="F646" s="13" t="str">
        <f aca="false">PROPER(TRIM(SUBSTITUTE(Raw_Data!F646,"'","")))</f>
        <v>Bachelors</v>
      </c>
      <c r="G646" s="13" t="str">
        <f aca="false">PROPER(TRIM(Raw_Data!G646))</f>
        <v>Sales</v>
      </c>
      <c r="H646" s="13" t="str">
        <f aca="false">PROPER(TRIM(Raw_Data!H646))</f>
        <v>Analyst</v>
      </c>
      <c r="I646" s="13" t="n">
        <f aca="false">IF(Raw_Data!I646="",DefaultPerf,Raw_Data!I646)</f>
        <v>4</v>
      </c>
      <c r="J646" s="13" t="n">
        <f aca="false">IF(Raw_Data!J646="",DefaultSat,Raw_Data!J646)</f>
        <v>3</v>
      </c>
      <c r="K646" s="15" t="n">
        <f aca="false">Raw_Data!K646</f>
        <v>61500</v>
      </c>
      <c r="L646" s="13" t="str">
        <f aca="false">PROPER(TRIM(Raw_Data!N646))</f>
        <v>No</v>
      </c>
      <c r="M646" s="13" t="n">
        <f aca="false">IF(C646="",0,1)</f>
        <v>0</v>
      </c>
      <c r="N646" s="13" t="str">
        <f aca="false">IF(M646=0,"Active",IF(TRIM(Raw_Data!L646)="","Unknown",PROPER(TRIM(Raw_Data!L646))))</f>
        <v>Active</v>
      </c>
      <c r="O646" s="13" t="str">
        <f aca="false">IF(M646=0,"",IF(TRIM(Raw_Data!M646)="","Not Recorded",TRIM(Raw_Data!M646)))</f>
        <v/>
      </c>
      <c r="P646" s="16" t="n">
        <f aca="false">ROUND((IF(C646="",AsOfDate,C646)-B646)/365.25,2)</f>
        <v>8.28</v>
      </c>
      <c r="Q646" s="13" t="str">
        <f aca="false">IF(D646="","Unknown",IF(D646&lt;25,"Under 25",IF(D646&lt;35,"25-34",IF(D646&lt;45,"35-44",IF(D646&lt;55,"45-54","55+")))))</f>
        <v>25-34</v>
      </c>
      <c r="R646" s="13" t="str">
        <f aca="false">IF(P646&lt;1,"0-1 yrs",IF(P646&lt;3,"1-3 yrs",IF(P646&lt;5,"3-5 yrs",IF(P646&lt;10,"5-10 yrs","10+ yrs"))))</f>
        <v>5-10 yrs</v>
      </c>
      <c r="S646" s="13" t="str">
        <f aca="false">IF(I646&gt;=4,"High",IF(I646=3,"Medium","Low"))</f>
        <v>High</v>
      </c>
      <c r="T646" s="13" t="str">
        <f aca="false">IF(M646=1,YEAR(C646),"")</f>
        <v/>
      </c>
      <c r="U646" s="13" t="str">
        <f aca="false">IF(M646=1,YEAR(C646)&amp;"-Q"&amp;ROUNDUP(MONTH(C646)/3,0),"")</f>
        <v/>
      </c>
      <c r="V646" s="13" t="str">
        <f aca="false">IF(M646=1,MONTH(C646),"")</f>
        <v/>
      </c>
    </row>
    <row r="647" customFormat="false" ht="15" hidden="false" customHeight="false" outlineLevel="0" collapsed="false">
      <c r="A647" s="13" t="str">
        <f aca="false">TRIM(Raw_Data!A647)</f>
        <v>EMP0646</v>
      </c>
      <c r="B647" s="14" t="n">
        <f aca="false">Raw_Data!B647</f>
        <v>42997</v>
      </c>
      <c r="C647" s="14" t="str">
        <f aca="false">IF(Raw_Data!C647="","",Raw_Data!C647)</f>
        <v/>
      </c>
      <c r="D647" s="13" t="n">
        <f aca="false">IF(Raw_Data!D647="","",Raw_Data!D647)</f>
        <v>44</v>
      </c>
      <c r="E647" s="13" t="str">
        <f aca="false">IF(UPPER(LEFT(TRIM(Raw_Data!E647),1))="M","Male",IF(UPPER(LEFT(TRIM(Raw_Data!E647),1))="F","Female","Unknown"))</f>
        <v>Male</v>
      </c>
      <c r="F647" s="13" t="str">
        <f aca="false">PROPER(TRIM(SUBSTITUTE(Raw_Data!F647,"'","")))</f>
        <v>Masters</v>
      </c>
      <c r="G647" s="13" t="str">
        <f aca="false">PROPER(TRIM(Raw_Data!G647))</f>
        <v>Engineering</v>
      </c>
      <c r="H647" s="13" t="str">
        <f aca="false">PROPER(TRIM(Raw_Data!H647))</f>
        <v>Associate</v>
      </c>
      <c r="I647" s="13" t="n">
        <f aca="false">IF(Raw_Data!I647="",DefaultPerf,Raw_Data!I647)</f>
        <v>4</v>
      </c>
      <c r="J647" s="13" t="n">
        <f aca="false">IF(Raw_Data!J647="",DefaultSat,Raw_Data!J647)</f>
        <v>4</v>
      </c>
      <c r="K647" s="15" t="n">
        <f aca="false">Raw_Data!K647</f>
        <v>45500</v>
      </c>
      <c r="L647" s="13" t="str">
        <f aca="false">PROPER(TRIM(Raw_Data!N647))</f>
        <v>No</v>
      </c>
      <c r="M647" s="13" t="n">
        <f aca="false">IF(C647="",0,1)</f>
        <v>0</v>
      </c>
      <c r="N647" s="13" t="str">
        <f aca="false">IF(M647=0,"Active",IF(TRIM(Raw_Data!L647)="","Unknown",PROPER(TRIM(Raw_Data!L647))))</f>
        <v>Active</v>
      </c>
      <c r="O647" s="13" t="str">
        <f aca="false">IF(M647=0,"",IF(TRIM(Raw_Data!M647)="","Not Recorded",TRIM(Raw_Data!M647)))</f>
        <v/>
      </c>
      <c r="P647" s="16" t="n">
        <f aca="false">ROUND((IF(C647="",AsOfDate,C647)-B647)/365.25,2)</f>
        <v>8.28</v>
      </c>
      <c r="Q647" s="13" t="str">
        <f aca="false">IF(D647="","Unknown",IF(D647&lt;25,"Under 25",IF(D647&lt;35,"25-34",IF(D647&lt;45,"35-44",IF(D647&lt;55,"45-54","55+")))))</f>
        <v>35-44</v>
      </c>
      <c r="R647" s="13" t="str">
        <f aca="false">IF(P647&lt;1,"0-1 yrs",IF(P647&lt;3,"1-3 yrs",IF(P647&lt;5,"3-5 yrs",IF(P647&lt;10,"5-10 yrs","10+ yrs"))))</f>
        <v>5-10 yrs</v>
      </c>
      <c r="S647" s="13" t="str">
        <f aca="false">IF(I647&gt;=4,"High",IF(I647=3,"Medium","Low"))</f>
        <v>High</v>
      </c>
      <c r="T647" s="13" t="str">
        <f aca="false">IF(M647=1,YEAR(C647),"")</f>
        <v/>
      </c>
      <c r="U647" s="13" t="str">
        <f aca="false">IF(M647=1,YEAR(C647)&amp;"-Q"&amp;ROUNDUP(MONTH(C647)/3,0),"")</f>
        <v/>
      </c>
      <c r="V647" s="13" t="str">
        <f aca="false">IF(M647=1,MONTH(C647),"")</f>
        <v/>
      </c>
    </row>
    <row r="648" customFormat="false" ht="15" hidden="false" customHeight="false" outlineLevel="0" collapsed="false">
      <c r="A648" s="13" t="str">
        <f aca="false">TRIM(Raw_Data!A648)</f>
        <v>EMP0647</v>
      </c>
      <c r="B648" s="14" t="n">
        <f aca="false">Raw_Data!B648</f>
        <v>43001</v>
      </c>
      <c r="C648" s="14" t="str">
        <f aca="false">IF(Raw_Data!C648="","",Raw_Data!C648)</f>
        <v/>
      </c>
      <c r="D648" s="13" t="n">
        <f aca="false">IF(Raw_Data!D648="","",Raw_Data!D648)</f>
        <v>40</v>
      </c>
      <c r="E648" s="13" t="str">
        <f aca="false">IF(UPPER(LEFT(TRIM(Raw_Data!E648),1))="M","Male",IF(UPPER(LEFT(TRIM(Raw_Data!E648),1))="F","Female","Unknown"))</f>
        <v>Female</v>
      </c>
      <c r="F648" s="13" t="str">
        <f aca="false">PROPER(TRIM(SUBSTITUTE(Raw_Data!F648,"'","")))</f>
        <v>Bachelors</v>
      </c>
      <c r="G648" s="13" t="str">
        <f aca="false">PROPER(TRIM(Raw_Data!G648))</f>
        <v>Sales</v>
      </c>
      <c r="H648" s="13" t="str">
        <f aca="false">PROPER(TRIM(Raw_Data!H648))</f>
        <v>Team Lead</v>
      </c>
      <c r="I648" s="13" t="n">
        <f aca="false">IF(Raw_Data!I648="",DefaultPerf,Raw_Data!I648)</f>
        <v>4</v>
      </c>
      <c r="J648" s="13" t="n">
        <f aca="false">IF(Raw_Data!J648="",DefaultSat,Raw_Data!J648)</f>
        <v>4</v>
      </c>
      <c r="K648" s="15" t="n">
        <f aca="false">Raw_Data!K648</f>
        <v>149000</v>
      </c>
      <c r="L648" s="13" t="str">
        <f aca="false">PROPER(TRIM(Raw_Data!N648))</f>
        <v>Yes</v>
      </c>
      <c r="M648" s="13" t="n">
        <f aca="false">IF(C648="",0,1)</f>
        <v>0</v>
      </c>
      <c r="N648" s="13" t="str">
        <f aca="false">IF(M648=0,"Active",IF(TRIM(Raw_Data!L648)="","Unknown",PROPER(TRIM(Raw_Data!L648))))</f>
        <v>Active</v>
      </c>
      <c r="O648" s="13" t="str">
        <f aca="false">IF(M648=0,"",IF(TRIM(Raw_Data!M648)="","Not Recorded",TRIM(Raw_Data!M648)))</f>
        <v/>
      </c>
      <c r="P648" s="16" t="n">
        <f aca="false">ROUND((IF(C648="",AsOfDate,C648)-B648)/365.25,2)</f>
        <v>8.27</v>
      </c>
      <c r="Q648" s="13" t="str">
        <f aca="false">IF(D648="","Unknown",IF(D648&lt;25,"Under 25",IF(D648&lt;35,"25-34",IF(D648&lt;45,"35-44",IF(D648&lt;55,"45-54","55+")))))</f>
        <v>35-44</v>
      </c>
      <c r="R648" s="13" t="str">
        <f aca="false">IF(P648&lt;1,"0-1 yrs",IF(P648&lt;3,"1-3 yrs",IF(P648&lt;5,"3-5 yrs",IF(P648&lt;10,"5-10 yrs","10+ yrs"))))</f>
        <v>5-10 yrs</v>
      </c>
      <c r="S648" s="13" t="str">
        <f aca="false">IF(I648&gt;=4,"High",IF(I648=3,"Medium","Low"))</f>
        <v>High</v>
      </c>
      <c r="T648" s="13" t="str">
        <f aca="false">IF(M648=1,YEAR(C648),"")</f>
        <v/>
      </c>
      <c r="U648" s="13" t="str">
        <f aca="false">IF(M648=1,YEAR(C648)&amp;"-Q"&amp;ROUNDUP(MONTH(C648)/3,0),"")</f>
        <v/>
      </c>
      <c r="V648" s="13" t="str">
        <f aca="false">IF(M648=1,MONTH(C648),"")</f>
        <v/>
      </c>
    </row>
    <row r="649" customFormat="false" ht="15" hidden="false" customHeight="false" outlineLevel="0" collapsed="false">
      <c r="A649" s="13" t="str">
        <f aca="false">TRIM(Raw_Data!A649)</f>
        <v>EMP0648</v>
      </c>
      <c r="B649" s="14" t="n">
        <f aca="false">Raw_Data!B649</f>
        <v>43008</v>
      </c>
      <c r="C649" s="14" t="str">
        <f aca="false">IF(Raw_Data!C649="","",Raw_Data!C649)</f>
        <v/>
      </c>
      <c r="D649" s="13" t="n">
        <f aca="false">IF(Raw_Data!D649="","",Raw_Data!D649)</f>
        <v>44</v>
      </c>
      <c r="E649" s="13" t="str">
        <f aca="false">IF(UPPER(LEFT(TRIM(Raw_Data!E649),1))="M","Male",IF(UPPER(LEFT(TRIM(Raw_Data!E649),1))="F","Female","Unknown"))</f>
        <v>Female</v>
      </c>
      <c r="F649" s="13" t="str">
        <f aca="false">PROPER(TRIM(SUBSTITUTE(Raw_Data!F649,"'","")))</f>
        <v>Masters</v>
      </c>
      <c r="G649" s="13" t="str">
        <f aca="false">PROPER(TRIM(Raw_Data!G649))</f>
        <v>Operations</v>
      </c>
      <c r="H649" s="13" t="str">
        <f aca="false">PROPER(TRIM(Raw_Data!H649))</f>
        <v>Associate</v>
      </c>
      <c r="I649" s="13" t="n">
        <f aca="false">IF(Raw_Data!I649="",DefaultPerf,Raw_Data!I649)</f>
        <v>5</v>
      </c>
      <c r="J649" s="13" t="n">
        <f aca="false">IF(Raw_Data!J649="",DefaultSat,Raw_Data!J649)</f>
        <v>2</v>
      </c>
      <c r="K649" s="15" t="n">
        <f aca="false">Raw_Data!K649</f>
        <v>39000</v>
      </c>
      <c r="L649" s="13" t="str">
        <f aca="false">PROPER(TRIM(Raw_Data!N649))</f>
        <v>No</v>
      </c>
      <c r="M649" s="13" t="n">
        <f aca="false">IF(C649="",0,1)</f>
        <v>0</v>
      </c>
      <c r="N649" s="13" t="str">
        <f aca="false">IF(M649=0,"Active",IF(TRIM(Raw_Data!L649)="","Unknown",PROPER(TRIM(Raw_Data!L649))))</f>
        <v>Active</v>
      </c>
      <c r="O649" s="13" t="str">
        <f aca="false">IF(M649=0,"",IF(TRIM(Raw_Data!M649)="","Not Recorded",TRIM(Raw_Data!M649)))</f>
        <v/>
      </c>
      <c r="P649" s="16" t="n">
        <f aca="false">ROUND((IF(C649="",AsOfDate,C649)-B649)/365.25,2)</f>
        <v>8.25</v>
      </c>
      <c r="Q649" s="13" t="str">
        <f aca="false">IF(D649="","Unknown",IF(D649&lt;25,"Under 25",IF(D649&lt;35,"25-34",IF(D649&lt;45,"35-44",IF(D649&lt;55,"45-54","55+")))))</f>
        <v>35-44</v>
      </c>
      <c r="R649" s="13" t="str">
        <f aca="false">IF(P649&lt;1,"0-1 yrs",IF(P649&lt;3,"1-3 yrs",IF(P649&lt;5,"3-5 yrs",IF(P649&lt;10,"5-10 yrs","10+ yrs"))))</f>
        <v>5-10 yrs</v>
      </c>
      <c r="S649" s="13" t="str">
        <f aca="false">IF(I649&gt;=4,"High",IF(I649=3,"Medium","Low"))</f>
        <v>High</v>
      </c>
      <c r="T649" s="13" t="str">
        <f aca="false">IF(M649=1,YEAR(C649),"")</f>
        <v/>
      </c>
      <c r="U649" s="13" t="str">
        <f aca="false">IF(M649=1,YEAR(C649)&amp;"-Q"&amp;ROUNDUP(MONTH(C649)/3,0),"")</f>
        <v/>
      </c>
      <c r="V649" s="13" t="str">
        <f aca="false">IF(M649=1,MONTH(C649),"")</f>
        <v/>
      </c>
    </row>
    <row r="650" customFormat="false" ht="15" hidden="false" customHeight="false" outlineLevel="0" collapsed="false">
      <c r="A650" s="13" t="str">
        <f aca="false">TRIM(Raw_Data!A650)</f>
        <v>EMP0649</v>
      </c>
      <c r="B650" s="14" t="n">
        <f aca="false">Raw_Data!B650</f>
        <v>43014</v>
      </c>
      <c r="C650" s="14" t="str">
        <f aca="false">IF(Raw_Data!C650="","",Raw_Data!C650)</f>
        <v/>
      </c>
      <c r="D650" s="13" t="n">
        <f aca="false">IF(Raw_Data!D650="","",Raw_Data!D650)</f>
        <v>41</v>
      </c>
      <c r="E650" s="13" t="str">
        <f aca="false">IF(UPPER(LEFT(TRIM(Raw_Data!E650),1))="M","Male",IF(UPPER(LEFT(TRIM(Raw_Data!E650),1))="F","Female","Unknown"))</f>
        <v>Male</v>
      </c>
      <c r="F650" s="13" t="str">
        <f aca="false">PROPER(TRIM(SUBSTITUTE(Raw_Data!F650,"'","")))</f>
        <v>Masters</v>
      </c>
      <c r="G650" s="13" t="str">
        <f aca="false">PROPER(TRIM(Raw_Data!G650))</f>
        <v>Customer Support</v>
      </c>
      <c r="H650" s="13" t="str">
        <f aca="false">PROPER(TRIM(Raw_Data!H650))</f>
        <v>Analyst</v>
      </c>
      <c r="I650" s="13" t="n">
        <f aca="false">IF(Raw_Data!I650="",DefaultPerf,Raw_Data!I650)</f>
        <v>4</v>
      </c>
      <c r="J650" s="13" t="n">
        <f aca="false">IF(Raw_Data!J650="",DefaultSat,Raw_Data!J650)</f>
        <v>4</v>
      </c>
      <c r="K650" s="15" t="n">
        <f aca="false">Raw_Data!K650</f>
        <v>71500</v>
      </c>
      <c r="L650" s="13" t="str">
        <f aca="false">PROPER(TRIM(Raw_Data!N650))</f>
        <v>No</v>
      </c>
      <c r="M650" s="13" t="n">
        <f aca="false">IF(C650="",0,1)</f>
        <v>0</v>
      </c>
      <c r="N650" s="13" t="str">
        <f aca="false">IF(M650=0,"Active",IF(TRIM(Raw_Data!L650)="","Unknown",PROPER(TRIM(Raw_Data!L650))))</f>
        <v>Active</v>
      </c>
      <c r="O650" s="13" t="str">
        <f aca="false">IF(M650=0,"",IF(TRIM(Raw_Data!M650)="","Not Recorded",TRIM(Raw_Data!M650)))</f>
        <v/>
      </c>
      <c r="P650" s="16" t="n">
        <f aca="false">ROUND((IF(C650="",AsOfDate,C650)-B650)/365.25,2)</f>
        <v>8.24</v>
      </c>
      <c r="Q650" s="13" t="str">
        <f aca="false">IF(D650="","Unknown",IF(D650&lt;25,"Under 25",IF(D650&lt;35,"25-34",IF(D650&lt;45,"35-44",IF(D650&lt;55,"45-54","55+")))))</f>
        <v>35-44</v>
      </c>
      <c r="R650" s="13" t="str">
        <f aca="false">IF(P650&lt;1,"0-1 yrs",IF(P650&lt;3,"1-3 yrs",IF(P650&lt;5,"3-5 yrs",IF(P650&lt;10,"5-10 yrs","10+ yrs"))))</f>
        <v>5-10 yrs</v>
      </c>
      <c r="S650" s="13" t="str">
        <f aca="false">IF(I650&gt;=4,"High",IF(I650=3,"Medium","Low"))</f>
        <v>High</v>
      </c>
      <c r="T650" s="13" t="str">
        <f aca="false">IF(M650=1,YEAR(C650),"")</f>
        <v/>
      </c>
      <c r="U650" s="13" t="str">
        <f aca="false">IF(M650=1,YEAR(C650)&amp;"-Q"&amp;ROUNDUP(MONTH(C650)/3,0),"")</f>
        <v/>
      </c>
      <c r="V650" s="13" t="str">
        <f aca="false">IF(M650=1,MONTH(C650),"")</f>
        <v/>
      </c>
    </row>
    <row r="651" customFormat="false" ht="15" hidden="false" customHeight="false" outlineLevel="0" collapsed="false">
      <c r="A651" s="13" t="str">
        <f aca="false">TRIM(Raw_Data!A651)</f>
        <v>EMP0650</v>
      </c>
      <c r="B651" s="14" t="n">
        <f aca="false">Raw_Data!B651</f>
        <v>43015</v>
      </c>
      <c r="C651" s="14" t="str">
        <f aca="false">IF(Raw_Data!C651="","",Raw_Data!C651)</f>
        <v/>
      </c>
      <c r="D651" s="13" t="n">
        <f aca="false">IF(Raw_Data!D651="","",Raw_Data!D651)</f>
        <v>37</v>
      </c>
      <c r="E651" s="13" t="str">
        <f aca="false">IF(UPPER(LEFT(TRIM(Raw_Data!E651),1))="M","Male",IF(UPPER(LEFT(TRIM(Raw_Data!E651),1))="F","Female","Unknown"))</f>
        <v>Female</v>
      </c>
      <c r="F651" s="13" t="str">
        <f aca="false">PROPER(TRIM(SUBSTITUTE(Raw_Data!F651,"'","")))</f>
        <v>Bachelors</v>
      </c>
      <c r="G651" s="13" t="str">
        <f aca="false">PROPER(TRIM(Raw_Data!G651))</f>
        <v>Sales</v>
      </c>
      <c r="H651" s="13" t="str">
        <f aca="false">PROPER(TRIM(Raw_Data!H651))</f>
        <v>Associate</v>
      </c>
      <c r="I651" s="13" t="n">
        <f aca="false">IF(Raw_Data!I651="",DefaultPerf,Raw_Data!I651)</f>
        <v>3</v>
      </c>
      <c r="J651" s="13" t="n">
        <f aca="false">IF(Raw_Data!J651="",DefaultSat,Raw_Data!J651)</f>
        <v>3</v>
      </c>
      <c r="K651" s="15" t="n">
        <f aca="false">Raw_Data!K651</f>
        <v>45500</v>
      </c>
      <c r="L651" s="13" t="str">
        <f aca="false">PROPER(TRIM(Raw_Data!N651))</f>
        <v>No</v>
      </c>
      <c r="M651" s="13" t="n">
        <f aca="false">IF(C651="",0,1)</f>
        <v>0</v>
      </c>
      <c r="N651" s="13" t="str">
        <f aca="false">IF(M651=0,"Active",IF(TRIM(Raw_Data!L651)="","Unknown",PROPER(TRIM(Raw_Data!L651))))</f>
        <v>Active</v>
      </c>
      <c r="O651" s="13" t="str">
        <f aca="false">IF(M651=0,"",IF(TRIM(Raw_Data!M651)="","Not Recorded",TRIM(Raw_Data!M651)))</f>
        <v/>
      </c>
      <c r="P651" s="16" t="n">
        <f aca="false">ROUND((IF(C651="",AsOfDate,C651)-B651)/365.25,2)</f>
        <v>8.23</v>
      </c>
      <c r="Q651" s="13" t="str">
        <f aca="false">IF(D651="","Unknown",IF(D651&lt;25,"Under 25",IF(D651&lt;35,"25-34",IF(D651&lt;45,"35-44",IF(D651&lt;55,"45-54","55+")))))</f>
        <v>35-44</v>
      </c>
      <c r="R651" s="13" t="str">
        <f aca="false">IF(P651&lt;1,"0-1 yrs",IF(P651&lt;3,"1-3 yrs",IF(P651&lt;5,"3-5 yrs",IF(P651&lt;10,"5-10 yrs","10+ yrs"))))</f>
        <v>5-10 yrs</v>
      </c>
      <c r="S651" s="13" t="str">
        <f aca="false">IF(I651&gt;=4,"High",IF(I651=3,"Medium","Low"))</f>
        <v>Medium</v>
      </c>
      <c r="T651" s="13" t="str">
        <f aca="false">IF(M651=1,YEAR(C651),"")</f>
        <v/>
      </c>
      <c r="U651" s="13" t="str">
        <f aca="false">IF(M651=1,YEAR(C651)&amp;"-Q"&amp;ROUNDUP(MONTH(C651)/3,0),"")</f>
        <v/>
      </c>
      <c r="V651" s="13" t="str">
        <f aca="false">IF(M651=1,MONTH(C651),"")</f>
        <v/>
      </c>
    </row>
    <row r="652" customFormat="false" ht="15" hidden="false" customHeight="false" outlineLevel="0" collapsed="false">
      <c r="A652" s="13" t="str">
        <f aca="false">TRIM(Raw_Data!A652)</f>
        <v>EMP0651</v>
      </c>
      <c r="B652" s="14" t="n">
        <f aca="false">Raw_Data!B652</f>
        <v>43015</v>
      </c>
      <c r="C652" s="14" t="str">
        <f aca="false">IF(Raw_Data!C652="","",Raw_Data!C652)</f>
        <v/>
      </c>
      <c r="D652" s="13" t="n">
        <f aca="false">IF(Raw_Data!D652="","",Raw_Data!D652)</f>
        <v>34</v>
      </c>
      <c r="E652" s="13" t="str">
        <f aca="false">IF(UPPER(LEFT(TRIM(Raw_Data!E652),1))="M","Male",IF(UPPER(LEFT(TRIM(Raw_Data!E652),1))="F","Female","Unknown"))</f>
        <v>Male</v>
      </c>
      <c r="F652" s="13" t="str">
        <f aca="false">PROPER(TRIM(SUBSTITUTE(Raw_Data!F652,"'","")))</f>
        <v>Bachelors</v>
      </c>
      <c r="G652" s="13" t="str">
        <f aca="false">PROPER(TRIM(Raw_Data!G652))</f>
        <v>Customer Support</v>
      </c>
      <c r="H652" s="13" t="str">
        <f aca="false">PROPER(TRIM(Raw_Data!H652))</f>
        <v>Specialist</v>
      </c>
      <c r="I652" s="13" t="n">
        <f aca="false">IF(Raw_Data!I652="",DefaultPerf,Raw_Data!I652)</f>
        <v>3</v>
      </c>
      <c r="J652" s="13" t="n">
        <f aca="false">IF(Raw_Data!J652="",DefaultSat,Raw_Data!J652)</f>
        <v>2</v>
      </c>
      <c r="K652" s="15" t="n">
        <f aca="false">Raw_Data!K652</f>
        <v>100500</v>
      </c>
      <c r="L652" s="13" t="str">
        <f aca="false">PROPER(TRIM(Raw_Data!N652))</f>
        <v>Yes</v>
      </c>
      <c r="M652" s="13" t="n">
        <f aca="false">IF(C652="",0,1)</f>
        <v>0</v>
      </c>
      <c r="N652" s="13" t="str">
        <f aca="false">IF(M652=0,"Active",IF(TRIM(Raw_Data!L652)="","Unknown",PROPER(TRIM(Raw_Data!L652))))</f>
        <v>Active</v>
      </c>
      <c r="O652" s="13" t="str">
        <f aca="false">IF(M652=0,"",IF(TRIM(Raw_Data!M652)="","Not Recorded",TRIM(Raw_Data!M652)))</f>
        <v/>
      </c>
      <c r="P652" s="16" t="n">
        <f aca="false">ROUND((IF(C652="",AsOfDate,C652)-B652)/365.25,2)</f>
        <v>8.23</v>
      </c>
      <c r="Q652" s="13" t="str">
        <f aca="false">IF(D652="","Unknown",IF(D652&lt;25,"Under 25",IF(D652&lt;35,"25-34",IF(D652&lt;45,"35-44",IF(D652&lt;55,"45-54","55+")))))</f>
        <v>25-34</v>
      </c>
      <c r="R652" s="13" t="str">
        <f aca="false">IF(P652&lt;1,"0-1 yrs",IF(P652&lt;3,"1-3 yrs",IF(P652&lt;5,"3-5 yrs",IF(P652&lt;10,"5-10 yrs","10+ yrs"))))</f>
        <v>5-10 yrs</v>
      </c>
      <c r="S652" s="13" t="str">
        <f aca="false">IF(I652&gt;=4,"High",IF(I652=3,"Medium","Low"))</f>
        <v>Medium</v>
      </c>
      <c r="T652" s="13" t="str">
        <f aca="false">IF(M652=1,YEAR(C652),"")</f>
        <v/>
      </c>
      <c r="U652" s="13" t="str">
        <f aca="false">IF(M652=1,YEAR(C652)&amp;"-Q"&amp;ROUNDUP(MONTH(C652)/3,0),"")</f>
        <v/>
      </c>
      <c r="V652" s="13" t="str">
        <f aca="false">IF(M652=1,MONTH(C652),"")</f>
        <v/>
      </c>
    </row>
    <row r="653" customFormat="false" ht="15" hidden="false" customHeight="false" outlineLevel="0" collapsed="false">
      <c r="A653" s="13" t="str">
        <f aca="false">TRIM(Raw_Data!A653)</f>
        <v>EMP0652</v>
      </c>
      <c r="B653" s="14" t="n">
        <f aca="false">Raw_Data!B653</f>
        <v>43018</v>
      </c>
      <c r="C653" s="14" t="n">
        <f aca="false">IF(Raw_Data!C653="","",Raw_Data!C653)</f>
        <v>45380</v>
      </c>
      <c r="D653" s="13" t="n">
        <f aca="false">IF(Raw_Data!D653="","",Raw_Data!D653)</f>
        <v>34</v>
      </c>
      <c r="E653" s="13" t="str">
        <f aca="false">IF(UPPER(LEFT(TRIM(Raw_Data!E653),1))="M","Male",IF(UPPER(LEFT(TRIM(Raw_Data!E653),1))="F","Female","Unknown"))</f>
        <v>Female</v>
      </c>
      <c r="F653" s="13" t="str">
        <f aca="false">PROPER(TRIM(SUBSTITUTE(Raw_Data!F653,"'","")))</f>
        <v>Bachelors</v>
      </c>
      <c r="G653" s="13" t="str">
        <f aca="false">PROPER(TRIM(Raw_Data!G653))</f>
        <v>Customer Support</v>
      </c>
      <c r="H653" s="13" t="str">
        <f aca="false">PROPER(TRIM(Raw_Data!H653))</f>
        <v>Team Lead</v>
      </c>
      <c r="I653" s="13" t="n">
        <f aca="false">IF(Raw_Data!I653="",DefaultPerf,Raw_Data!I653)</f>
        <v>3</v>
      </c>
      <c r="J653" s="13" t="n">
        <f aca="false">IF(Raw_Data!J653="",DefaultSat,Raw_Data!J653)</f>
        <v>2</v>
      </c>
      <c r="K653" s="15" t="n">
        <f aca="false">Raw_Data!K653</f>
        <v>110000</v>
      </c>
      <c r="L653" s="13" t="str">
        <f aca="false">PROPER(TRIM(Raw_Data!N653))</f>
        <v>Yes</v>
      </c>
      <c r="M653" s="13" t="n">
        <f aca="false">IF(C653="",0,1)</f>
        <v>1</v>
      </c>
      <c r="N653" s="13" t="str">
        <f aca="false">IF(M653=0,"Active",IF(TRIM(Raw_Data!L653)="","Unknown",PROPER(TRIM(Raw_Data!L653))))</f>
        <v>Voluntary</v>
      </c>
      <c r="O653" s="13" t="str">
        <f aca="false">IF(M653=0,"",IF(TRIM(Raw_Data!M653)="","Not Recorded",TRIM(Raw_Data!M653)))</f>
        <v>Work-Life Balance</v>
      </c>
      <c r="P653" s="16" t="n">
        <f aca="false">ROUND((IF(C653="",AsOfDate,C653)-B653)/365.25,2)</f>
        <v>6.47</v>
      </c>
      <c r="Q653" s="13" t="str">
        <f aca="false">IF(D653="","Unknown",IF(D653&lt;25,"Under 25",IF(D653&lt;35,"25-34",IF(D653&lt;45,"35-44",IF(D653&lt;55,"45-54","55+")))))</f>
        <v>25-34</v>
      </c>
      <c r="R653" s="13" t="str">
        <f aca="false">IF(P653&lt;1,"0-1 yrs",IF(P653&lt;3,"1-3 yrs",IF(P653&lt;5,"3-5 yrs",IF(P653&lt;10,"5-10 yrs","10+ yrs"))))</f>
        <v>5-10 yrs</v>
      </c>
      <c r="S653" s="13" t="str">
        <f aca="false">IF(I653&gt;=4,"High",IF(I653=3,"Medium","Low"))</f>
        <v>Medium</v>
      </c>
      <c r="T653" s="13" t="n">
        <f aca="false">IF(M653=1,YEAR(C653),"")</f>
        <v>2024</v>
      </c>
      <c r="U653" s="13" t="str">
        <f aca="false">IF(M653=1,YEAR(C653)&amp;"-Q"&amp;ROUNDUP(MONTH(C653)/3,0),"")</f>
        <v>2024-Q1</v>
      </c>
      <c r="V653" s="13" t="n">
        <f aca="false">IF(M653=1,MONTH(C653),"")</f>
        <v>3</v>
      </c>
    </row>
    <row r="654" customFormat="false" ht="15" hidden="false" customHeight="false" outlineLevel="0" collapsed="false">
      <c r="A654" s="13" t="str">
        <f aca="false">TRIM(Raw_Data!A654)</f>
        <v>EMP0653</v>
      </c>
      <c r="B654" s="14" t="n">
        <f aca="false">Raw_Data!B654</f>
        <v>43020</v>
      </c>
      <c r="C654" s="14" t="n">
        <f aca="false">IF(Raw_Data!C654="","",Raw_Data!C654)</f>
        <v>44982</v>
      </c>
      <c r="D654" s="13" t="n">
        <f aca="false">IF(Raw_Data!D654="","",Raw_Data!D654)</f>
        <v>35</v>
      </c>
      <c r="E654" s="13" t="str">
        <f aca="false">IF(UPPER(LEFT(TRIM(Raw_Data!E654),1))="M","Male",IF(UPPER(LEFT(TRIM(Raw_Data!E654),1))="F","Female","Unknown"))</f>
        <v>Male</v>
      </c>
      <c r="F654" s="13" t="str">
        <f aca="false">PROPER(TRIM(SUBSTITUTE(Raw_Data!F654,"'","")))</f>
        <v>Masters</v>
      </c>
      <c r="G654" s="13" t="str">
        <f aca="false">PROPER(TRIM(Raw_Data!G654))</f>
        <v>Operations</v>
      </c>
      <c r="H654" s="13" t="str">
        <f aca="false">PROPER(TRIM(Raw_Data!H654))</f>
        <v>Associate</v>
      </c>
      <c r="I654" s="13" t="n">
        <f aca="false">IF(Raw_Data!I654="",DefaultPerf,Raw_Data!I654)</f>
        <v>2</v>
      </c>
      <c r="J654" s="13" t="n">
        <f aca="false">IF(Raw_Data!J654="",DefaultSat,Raw_Data!J654)</f>
        <v>4</v>
      </c>
      <c r="K654" s="15" t="n">
        <f aca="false">Raw_Data!K654</f>
        <v>39000</v>
      </c>
      <c r="L654" s="13" t="str">
        <f aca="false">PROPER(TRIM(Raw_Data!N654))</f>
        <v>Yes</v>
      </c>
      <c r="M654" s="13" t="n">
        <f aca="false">IF(C654="",0,1)</f>
        <v>1</v>
      </c>
      <c r="N654" s="13" t="str">
        <f aca="false">IF(M654=0,"Active",IF(TRIM(Raw_Data!L654)="","Unknown",PROPER(TRIM(Raw_Data!L654))))</f>
        <v>Voluntary</v>
      </c>
      <c r="O654" s="13" t="str">
        <f aca="false">IF(M654=0,"",IF(TRIM(Raw_Data!M654)="","Not Recorded",TRIM(Raw_Data!M654)))</f>
        <v>Better Compensation</v>
      </c>
      <c r="P654" s="16" t="n">
        <f aca="false">ROUND((IF(C654="",AsOfDate,C654)-B654)/365.25,2)</f>
        <v>5.37</v>
      </c>
      <c r="Q654" s="13" t="str">
        <f aca="false">IF(D654="","Unknown",IF(D654&lt;25,"Under 25",IF(D654&lt;35,"25-34",IF(D654&lt;45,"35-44",IF(D654&lt;55,"45-54","55+")))))</f>
        <v>35-44</v>
      </c>
      <c r="R654" s="13" t="str">
        <f aca="false">IF(P654&lt;1,"0-1 yrs",IF(P654&lt;3,"1-3 yrs",IF(P654&lt;5,"3-5 yrs",IF(P654&lt;10,"5-10 yrs","10+ yrs"))))</f>
        <v>5-10 yrs</v>
      </c>
      <c r="S654" s="13" t="str">
        <f aca="false">IF(I654&gt;=4,"High",IF(I654=3,"Medium","Low"))</f>
        <v>Low</v>
      </c>
      <c r="T654" s="13" t="n">
        <f aca="false">IF(M654=1,YEAR(C654),"")</f>
        <v>2023</v>
      </c>
      <c r="U654" s="13" t="str">
        <f aca="false">IF(M654=1,YEAR(C654)&amp;"-Q"&amp;ROUNDUP(MONTH(C654)/3,0),"")</f>
        <v>2023-Q1</v>
      </c>
      <c r="V654" s="13" t="n">
        <f aca="false">IF(M654=1,MONTH(C654),"")</f>
        <v>2</v>
      </c>
    </row>
    <row r="655" customFormat="false" ht="15" hidden="false" customHeight="false" outlineLevel="0" collapsed="false">
      <c r="A655" s="13" t="str">
        <f aca="false">TRIM(Raw_Data!A655)</f>
        <v>EMP0654</v>
      </c>
      <c r="B655" s="14" t="n">
        <f aca="false">Raw_Data!B655</f>
        <v>43024</v>
      </c>
      <c r="C655" s="14" t="str">
        <f aca="false">IF(Raw_Data!C655="","",Raw_Data!C655)</f>
        <v/>
      </c>
      <c r="D655" s="13" t="n">
        <f aca="false">IF(Raw_Data!D655="","",Raw_Data!D655)</f>
        <v>40</v>
      </c>
      <c r="E655" s="13" t="str">
        <f aca="false">IF(UPPER(LEFT(TRIM(Raw_Data!E655),1))="M","Male",IF(UPPER(LEFT(TRIM(Raw_Data!E655),1))="F","Female","Unknown"))</f>
        <v>Male</v>
      </c>
      <c r="F655" s="13" t="str">
        <f aca="false">PROPER(TRIM(SUBSTITUTE(Raw_Data!F655,"'","")))</f>
        <v>Masters</v>
      </c>
      <c r="G655" s="13" t="str">
        <f aca="false">PROPER(TRIM(Raw_Data!G655))</f>
        <v>Sales</v>
      </c>
      <c r="H655" s="13" t="str">
        <f aca="false">PROPER(TRIM(Raw_Data!H655))</f>
        <v>Senior Analyst</v>
      </c>
      <c r="I655" s="13" t="n">
        <f aca="false">IF(Raw_Data!I655="",DefaultPerf,Raw_Data!I655)</f>
        <v>4</v>
      </c>
      <c r="J655" s="13" t="n">
        <f aca="false">IF(Raw_Data!J655="",DefaultSat,Raw_Data!J655)</f>
        <v>4</v>
      </c>
      <c r="K655" s="15" t="n">
        <f aca="false">Raw_Data!K655</f>
        <v>98500</v>
      </c>
      <c r="L655" s="13" t="str">
        <f aca="false">PROPER(TRIM(Raw_Data!N655))</f>
        <v>No</v>
      </c>
      <c r="M655" s="13" t="n">
        <f aca="false">IF(C655="",0,1)</f>
        <v>0</v>
      </c>
      <c r="N655" s="13" t="str">
        <f aca="false">IF(M655=0,"Active",IF(TRIM(Raw_Data!L655)="","Unknown",PROPER(TRIM(Raw_Data!L655))))</f>
        <v>Active</v>
      </c>
      <c r="O655" s="13" t="str">
        <f aca="false">IF(M655=0,"",IF(TRIM(Raw_Data!M655)="","Not Recorded",TRIM(Raw_Data!M655)))</f>
        <v/>
      </c>
      <c r="P655" s="16" t="n">
        <f aca="false">ROUND((IF(C655="",AsOfDate,C655)-B655)/365.25,2)</f>
        <v>8.21</v>
      </c>
      <c r="Q655" s="13" t="str">
        <f aca="false">IF(D655="","Unknown",IF(D655&lt;25,"Under 25",IF(D655&lt;35,"25-34",IF(D655&lt;45,"35-44",IF(D655&lt;55,"45-54","55+")))))</f>
        <v>35-44</v>
      </c>
      <c r="R655" s="13" t="str">
        <f aca="false">IF(P655&lt;1,"0-1 yrs",IF(P655&lt;3,"1-3 yrs",IF(P655&lt;5,"3-5 yrs",IF(P655&lt;10,"5-10 yrs","10+ yrs"))))</f>
        <v>5-10 yrs</v>
      </c>
      <c r="S655" s="13" t="str">
        <f aca="false">IF(I655&gt;=4,"High",IF(I655=3,"Medium","Low"))</f>
        <v>High</v>
      </c>
      <c r="T655" s="13" t="str">
        <f aca="false">IF(M655=1,YEAR(C655),"")</f>
        <v/>
      </c>
      <c r="U655" s="13" t="str">
        <f aca="false">IF(M655=1,YEAR(C655)&amp;"-Q"&amp;ROUNDUP(MONTH(C655)/3,0),"")</f>
        <v/>
      </c>
      <c r="V655" s="13" t="str">
        <f aca="false">IF(M655=1,MONTH(C655),"")</f>
        <v/>
      </c>
    </row>
    <row r="656" customFormat="false" ht="15" hidden="false" customHeight="false" outlineLevel="0" collapsed="false">
      <c r="A656" s="13" t="str">
        <f aca="false">TRIM(Raw_Data!A656)</f>
        <v>EMP0655</v>
      </c>
      <c r="B656" s="14" t="n">
        <f aca="false">Raw_Data!B656</f>
        <v>43025</v>
      </c>
      <c r="C656" s="14" t="str">
        <f aca="false">IF(Raw_Data!C656="","",Raw_Data!C656)</f>
        <v/>
      </c>
      <c r="D656" s="13" t="n">
        <f aca="false">IF(Raw_Data!D656="","",Raw_Data!D656)</f>
        <v>40</v>
      </c>
      <c r="E656" s="13" t="str">
        <f aca="false">IF(UPPER(LEFT(TRIM(Raw_Data!E656),1))="M","Male",IF(UPPER(LEFT(TRIM(Raw_Data!E656),1))="F","Female","Unknown"))</f>
        <v>Female</v>
      </c>
      <c r="F656" s="13" t="str">
        <f aca="false">PROPER(TRIM(SUBSTITUTE(Raw_Data!F656,"'","")))</f>
        <v>Bachelors</v>
      </c>
      <c r="G656" s="13" t="str">
        <f aca="false">PROPER(TRIM(Raw_Data!G656))</f>
        <v>Engineering</v>
      </c>
      <c r="H656" s="13" t="str">
        <f aca="false">PROPER(TRIM(Raw_Data!H656))</f>
        <v>Associate</v>
      </c>
      <c r="I656" s="13" t="n">
        <f aca="false">IF(Raw_Data!I656="",DefaultPerf,Raw_Data!I656)</f>
        <v>4</v>
      </c>
      <c r="J656" s="13" t="n">
        <f aca="false">IF(Raw_Data!J656="",DefaultSat,Raw_Data!J656)</f>
        <v>4</v>
      </c>
      <c r="K656" s="15" t="n">
        <f aca="false">Raw_Data!K656</f>
        <v>39000</v>
      </c>
      <c r="L656" s="13" t="str">
        <f aca="false">PROPER(TRIM(Raw_Data!N656))</f>
        <v>No</v>
      </c>
      <c r="M656" s="13" t="n">
        <f aca="false">IF(C656="",0,1)</f>
        <v>0</v>
      </c>
      <c r="N656" s="13" t="str">
        <f aca="false">IF(M656=0,"Active",IF(TRIM(Raw_Data!L656)="","Unknown",PROPER(TRIM(Raw_Data!L656))))</f>
        <v>Active</v>
      </c>
      <c r="O656" s="13" t="str">
        <f aca="false">IF(M656=0,"",IF(TRIM(Raw_Data!M656)="","Not Recorded",TRIM(Raw_Data!M656)))</f>
        <v/>
      </c>
      <c r="P656" s="16" t="n">
        <f aca="false">ROUND((IF(C656="",AsOfDate,C656)-B656)/365.25,2)</f>
        <v>8.21</v>
      </c>
      <c r="Q656" s="13" t="str">
        <f aca="false">IF(D656="","Unknown",IF(D656&lt;25,"Under 25",IF(D656&lt;35,"25-34",IF(D656&lt;45,"35-44",IF(D656&lt;55,"45-54","55+")))))</f>
        <v>35-44</v>
      </c>
      <c r="R656" s="13" t="str">
        <f aca="false">IF(P656&lt;1,"0-1 yrs",IF(P656&lt;3,"1-3 yrs",IF(P656&lt;5,"3-5 yrs",IF(P656&lt;10,"5-10 yrs","10+ yrs"))))</f>
        <v>5-10 yrs</v>
      </c>
      <c r="S656" s="13" t="str">
        <f aca="false">IF(I656&gt;=4,"High",IF(I656=3,"Medium","Low"))</f>
        <v>High</v>
      </c>
      <c r="T656" s="13" t="str">
        <f aca="false">IF(M656=1,YEAR(C656),"")</f>
        <v/>
      </c>
      <c r="U656" s="13" t="str">
        <f aca="false">IF(M656=1,YEAR(C656)&amp;"-Q"&amp;ROUNDUP(MONTH(C656)/3,0),"")</f>
        <v/>
      </c>
      <c r="V656" s="13" t="str">
        <f aca="false">IF(M656=1,MONTH(C656),"")</f>
        <v/>
      </c>
    </row>
    <row r="657" customFormat="false" ht="15" hidden="false" customHeight="false" outlineLevel="0" collapsed="false">
      <c r="A657" s="13" t="str">
        <f aca="false">TRIM(Raw_Data!A657)</f>
        <v>EMP0656</v>
      </c>
      <c r="B657" s="14" t="n">
        <f aca="false">Raw_Data!B657</f>
        <v>43037</v>
      </c>
      <c r="C657" s="14" t="n">
        <f aca="false">IF(Raw_Data!C657="","",Raw_Data!C657)</f>
        <v>45199</v>
      </c>
      <c r="D657" s="13" t="n">
        <f aca="false">IF(Raw_Data!D657="","",Raw_Data!D657)</f>
        <v>35</v>
      </c>
      <c r="E657" s="13" t="str">
        <f aca="false">IF(UPPER(LEFT(TRIM(Raw_Data!E657),1))="M","Male",IF(UPPER(LEFT(TRIM(Raw_Data!E657),1))="F","Female","Unknown"))</f>
        <v>Male</v>
      </c>
      <c r="F657" s="13" t="str">
        <f aca="false">PROPER(TRIM(SUBSTITUTE(Raw_Data!F657,"'","")))</f>
        <v>Diploma</v>
      </c>
      <c r="G657" s="13" t="str">
        <f aca="false">PROPER(TRIM(Raw_Data!G657))</f>
        <v>Engineering</v>
      </c>
      <c r="H657" s="13" t="str">
        <f aca="false">PROPER(TRIM(Raw_Data!H657))</f>
        <v>Specialist</v>
      </c>
      <c r="I657" s="13" t="n">
        <f aca="false">IF(Raw_Data!I657="",DefaultPerf,Raw_Data!I657)</f>
        <v>4</v>
      </c>
      <c r="J657" s="13" t="n">
        <f aca="false">IF(Raw_Data!J657="",DefaultSat,Raw_Data!J657)</f>
        <v>1</v>
      </c>
      <c r="K657" s="15" t="n">
        <f aca="false">Raw_Data!K657</f>
        <v>112500</v>
      </c>
      <c r="L657" s="13" t="str">
        <f aca="false">PROPER(TRIM(Raw_Data!N657))</f>
        <v>No</v>
      </c>
      <c r="M657" s="13" t="n">
        <f aca="false">IF(C657="",0,1)</f>
        <v>1</v>
      </c>
      <c r="N657" s="13" t="str">
        <f aca="false">IF(M657=0,"Active",IF(TRIM(Raw_Data!L657)="","Unknown",PROPER(TRIM(Raw_Data!L657))))</f>
        <v>Involuntary</v>
      </c>
      <c r="O657" s="13" t="str">
        <f aca="false">IF(M657=0,"",IF(TRIM(Raw_Data!M657)="","Not Recorded",TRIM(Raw_Data!M657)))</f>
        <v>Restructuring / Layoff</v>
      </c>
      <c r="P657" s="16" t="n">
        <f aca="false">ROUND((IF(C657="",AsOfDate,C657)-B657)/365.25,2)</f>
        <v>5.92</v>
      </c>
      <c r="Q657" s="13" t="str">
        <f aca="false">IF(D657="","Unknown",IF(D657&lt;25,"Under 25",IF(D657&lt;35,"25-34",IF(D657&lt;45,"35-44",IF(D657&lt;55,"45-54","55+")))))</f>
        <v>35-44</v>
      </c>
      <c r="R657" s="13" t="str">
        <f aca="false">IF(P657&lt;1,"0-1 yrs",IF(P657&lt;3,"1-3 yrs",IF(P657&lt;5,"3-5 yrs",IF(P657&lt;10,"5-10 yrs","10+ yrs"))))</f>
        <v>5-10 yrs</v>
      </c>
      <c r="S657" s="13" t="str">
        <f aca="false">IF(I657&gt;=4,"High",IF(I657=3,"Medium","Low"))</f>
        <v>High</v>
      </c>
      <c r="T657" s="13" t="n">
        <f aca="false">IF(M657=1,YEAR(C657),"")</f>
        <v>2023</v>
      </c>
      <c r="U657" s="13" t="str">
        <f aca="false">IF(M657=1,YEAR(C657)&amp;"-Q"&amp;ROUNDUP(MONTH(C657)/3,0),"")</f>
        <v>2023-Q3</v>
      </c>
      <c r="V657" s="13" t="n">
        <f aca="false">IF(M657=1,MONTH(C657),"")</f>
        <v>9</v>
      </c>
    </row>
    <row r="658" customFormat="false" ht="15" hidden="false" customHeight="false" outlineLevel="0" collapsed="false">
      <c r="A658" s="13" t="str">
        <f aca="false">TRIM(Raw_Data!A658)</f>
        <v>EMP0657</v>
      </c>
      <c r="B658" s="14" t="n">
        <f aca="false">Raw_Data!B658</f>
        <v>43038</v>
      </c>
      <c r="C658" s="14" t="n">
        <f aca="false">IF(Raw_Data!C658="","",Raw_Data!C658)</f>
        <v>46019</v>
      </c>
      <c r="D658" s="13" t="n">
        <f aca="false">IF(Raw_Data!D658="","",Raw_Data!D658)</f>
        <v>41</v>
      </c>
      <c r="E658" s="13" t="str">
        <f aca="false">IF(UPPER(LEFT(TRIM(Raw_Data!E658),1))="M","Male",IF(UPPER(LEFT(TRIM(Raw_Data!E658),1))="F","Female","Unknown"))</f>
        <v>Male</v>
      </c>
      <c r="F658" s="13" t="str">
        <f aca="false">PROPER(TRIM(SUBSTITUTE(Raw_Data!F658,"'","")))</f>
        <v>High School</v>
      </c>
      <c r="G658" s="13" t="str">
        <f aca="false">PROPER(TRIM(Raw_Data!G658))</f>
        <v>Customer Support</v>
      </c>
      <c r="H658" s="13" t="str">
        <f aca="false">PROPER(TRIM(Raw_Data!H658))</f>
        <v>Associate</v>
      </c>
      <c r="I658" s="13" t="n">
        <f aca="false">IF(Raw_Data!I658="",DefaultPerf,Raw_Data!I658)</f>
        <v>4</v>
      </c>
      <c r="J658" s="13" t="n">
        <f aca="false">IF(Raw_Data!J658="",DefaultSat,Raw_Data!J658)</f>
        <v>3</v>
      </c>
      <c r="K658" s="15" t="n">
        <f aca="false">Raw_Data!K658</f>
        <v>49000</v>
      </c>
      <c r="L658" s="13" t="str">
        <f aca="false">PROPER(TRIM(Raw_Data!N658))</f>
        <v>No</v>
      </c>
      <c r="M658" s="13" t="n">
        <f aca="false">IF(C658="",0,1)</f>
        <v>1</v>
      </c>
      <c r="N658" s="13" t="str">
        <f aca="false">IF(M658=0,"Active",IF(TRIM(Raw_Data!L658)="","Unknown",PROPER(TRIM(Raw_Data!L658))))</f>
        <v>Voluntary</v>
      </c>
      <c r="O658" s="13" t="str">
        <f aca="false">IF(M658=0,"",IF(TRIM(Raw_Data!M658)="","Not Recorded",TRIM(Raw_Data!M658)))</f>
        <v>Better Compensation</v>
      </c>
      <c r="P658" s="16" t="n">
        <f aca="false">ROUND((IF(C658="",AsOfDate,C658)-B658)/365.25,2)</f>
        <v>8.16</v>
      </c>
      <c r="Q658" s="13" t="str">
        <f aca="false">IF(D658="","Unknown",IF(D658&lt;25,"Under 25",IF(D658&lt;35,"25-34",IF(D658&lt;45,"35-44",IF(D658&lt;55,"45-54","55+")))))</f>
        <v>35-44</v>
      </c>
      <c r="R658" s="13" t="str">
        <f aca="false">IF(P658&lt;1,"0-1 yrs",IF(P658&lt;3,"1-3 yrs",IF(P658&lt;5,"3-5 yrs",IF(P658&lt;10,"5-10 yrs","10+ yrs"))))</f>
        <v>5-10 yrs</v>
      </c>
      <c r="S658" s="13" t="str">
        <f aca="false">IF(I658&gt;=4,"High",IF(I658=3,"Medium","Low"))</f>
        <v>High</v>
      </c>
      <c r="T658" s="13" t="n">
        <f aca="false">IF(M658=1,YEAR(C658),"")</f>
        <v>2025</v>
      </c>
      <c r="U658" s="13" t="str">
        <f aca="false">IF(M658=1,YEAR(C658)&amp;"-Q"&amp;ROUNDUP(MONTH(C658)/3,0),"")</f>
        <v>2025-Q4</v>
      </c>
      <c r="V658" s="13" t="n">
        <f aca="false">IF(M658=1,MONTH(C658),"")</f>
        <v>12</v>
      </c>
    </row>
    <row r="659" customFormat="false" ht="15" hidden="false" customHeight="false" outlineLevel="0" collapsed="false">
      <c r="A659" s="13" t="str">
        <f aca="false">TRIM(Raw_Data!A659)</f>
        <v>EMP0658</v>
      </c>
      <c r="B659" s="14" t="n">
        <f aca="false">Raw_Data!B659</f>
        <v>43042</v>
      </c>
      <c r="C659" s="14" t="str">
        <f aca="false">IF(Raw_Data!C659="","",Raw_Data!C659)</f>
        <v/>
      </c>
      <c r="D659" s="13" t="n">
        <f aca="false">IF(Raw_Data!D659="","",Raw_Data!D659)</f>
        <v>33</v>
      </c>
      <c r="E659" s="13" t="str">
        <f aca="false">IF(UPPER(LEFT(TRIM(Raw_Data!E659),1))="M","Male",IF(UPPER(LEFT(TRIM(Raw_Data!E659),1))="F","Female","Unknown"))</f>
        <v>Male</v>
      </c>
      <c r="F659" s="13" t="str">
        <f aca="false">PROPER(TRIM(SUBSTITUTE(Raw_Data!F659,"'","")))</f>
        <v>Masters</v>
      </c>
      <c r="G659" s="13" t="str">
        <f aca="false">PROPER(TRIM(Raw_Data!G659))</f>
        <v>Sales</v>
      </c>
      <c r="H659" s="13" t="str">
        <f aca="false">PROPER(TRIM(Raw_Data!H659))</f>
        <v>Analyst</v>
      </c>
      <c r="I659" s="13" t="n">
        <f aca="false">IF(Raw_Data!I659="",DefaultPerf,Raw_Data!I659)</f>
        <v>3</v>
      </c>
      <c r="J659" s="17" t="n">
        <f aca="false">IF(Raw_Data!J659="",DefaultSat,Raw_Data!J659)</f>
        <v>3</v>
      </c>
      <c r="K659" s="15" t="n">
        <f aca="false">Raw_Data!K659</f>
        <v>69500</v>
      </c>
      <c r="L659" s="13" t="str">
        <f aca="false">PROPER(TRIM(Raw_Data!N659))</f>
        <v>No</v>
      </c>
      <c r="M659" s="13" t="n">
        <f aca="false">IF(C659="",0,1)</f>
        <v>0</v>
      </c>
      <c r="N659" s="13" t="str">
        <f aca="false">IF(M659=0,"Active",IF(TRIM(Raw_Data!L659)="","Unknown",PROPER(TRIM(Raw_Data!L659))))</f>
        <v>Active</v>
      </c>
      <c r="O659" s="13" t="str">
        <f aca="false">IF(M659=0,"",IF(TRIM(Raw_Data!M659)="","Not Recorded",TRIM(Raw_Data!M659)))</f>
        <v/>
      </c>
      <c r="P659" s="16" t="n">
        <f aca="false">ROUND((IF(C659="",AsOfDate,C659)-B659)/365.25,2)</f>
        <v>8.16</v>
      </c>
      <c r="Q659" s="13" t="str">
        <f aca="false">IF(D659="","Unknown",IF(D659&lt;25,"Under 25",IF(D659&lt;35,"25-34",IF(D659&lt;45,"35-44",IF(D659&lt;55,"45-54","55+")))))</f>
        <v>25-34</v>
      </c>
      <c r="R659" s="13" t="str">
        <f aca="false">IF(P659&lt;1,"0-1 yrs",IF(P659&lt;3,"1-3 yrs",IF(P659&lt;5,"3-5 yrs",IF(P659&lt;10,"5-10 yrs","10+ yrs"))))</f>
        <v>5-10 yrs</v>
      </c>
      <c r="S659" s="13" t="str">
        <f aca="false">IF(I659&gt;=4,"High",IF(I659=3,"Medium","Low"))</f>
        <v>Medium</v>
      </c>
      <c r="T659" s="13" t="str">
        <f aca="false">IF(M659=1,YEAR(C659),"")</f>
        <v/>
      </c>
      <c r="U659" s="13" t="str">
        <f aca="false">IF(M659=1,YEAR(C659)&amp;"-Q"&amp;ROUNDUP(MONTH(C659)/3,0),"")</f>
        <v/>
      </c>
      <c r="V659" s="13" t="str">
        <f aca="false">IF(M659=1,MONTH(C659),"")</f>
        <v/>
      </c>
    </row>
    <row r="660" customFormat="false" ht="15" hidden="false" customHeight="false" outlineLevel="0" collapsed="false">
      <c r="A660" s="13" t="str">
        <f aca="false">TRIM(Raw_Data!A660)</f>
        <v>EMP0659</v>
      </c>
      <c r="B660" s="14" t="n">
        <f aca="false">Raw_Data!B660</f>
        <v>43044</v>
      </c>
      <c r="C660" s="14" t="n">
        <f aca="false">IF(Raw_Data!C660="","",Raw_Data!C660)</f>
        <v>44884</v>
      </c>
      <c r="D660" s="13" t="n">
        <f aca="false">IF(Raw_Data!D660="","",Raw_Data!D660)</f>
        <v>35</v>
      </c>
      <c r="E660" s="13" t="str">
        <f aca="false">IF(UPPER(LEFT(TRIM(Raw_Data!E660),1))="M","Male",IF(UPPER(LEFT(TRIM(Raw_Data!E660),1))="F","Female","Unknown"))</f>
        <v>Female</v>
      </c>
      <c r="F660" s="13" t="str">
        <f aca="false">PROPER(TRIM(SUBSTITUTE(Raw_Data!F660,"'","")))</f>
        <v>Masters</v>
      </c>
      <c r="G660" s="13" t="str">
        <f aca="false">PROPER(TRIM(Raw_Data!G660))</f>
        <v>Operations</v>
      </c>
      <c r="H660" s="13" t="str">
        <f aca="false">PROPER(TRIM(Raw_Data!H660))</f>
        <v>Senior Analyst</v>
      </c>
      <c r="I660" s="13" t="n">
        <f aca="false">IF(Raw_Data!I660="",DefaultPerf,Raw_Data!I660)</f>
        <v>4</v>
      </c>
      <c r="J660" s="13" t="n">
        <f aca="false">IF(Raw_Data!J660="",DefaultSat,Raw_Data!J660)</f>
        <v>1</v>
      </c>
      <c r="K660" s="15" t="n">
        <f aca="false">Raw_Data!K660</f>
        <v>96000</v>
      </c>
      <c r="L660" s="13" t="str">
        <f aca="false">PROPER(TRIM(Raw_Data!N660))</f>
        <v>Yes</v>
      </c>
      <c r="M660" s="13" t="n">
        <f aca="false">IF(C660="",0,1)</f>
        <v>1</v>
      </c>
      <c r="N660" s="13" t="str">
        <f aca="false">IF(M660=0,"Active",IF(TRIM(Raw_Data!L660)="","Unknown",PROPER(TRIM(Raw_Data!L660))))</f>
        <v>Voluntary</v>
      </c>
      <c r="O660" s="13" t="str">
        <f aca="false">IF(M660=0,"",IF(TRIM(Raw_Data!M660)="","Not Recorded",TRIM(Raw_Data!M660)))</f>
        <v>Work-Life Balance</v>
      </c>
      <c r="P660" s="16" t="n">
        <f aca="false">ROUND((IF(C660="",AsOfDate,C660)-B660)/365.25,2)</f>
        <v>5.04</v>
      </c>
      <c r="Q660" s="13" t="str">
        <f aca="false">IF(D660="","Unknown",IF(D660&lt;25,"Under 25",IF(D660&lt;35,"25-34",IF(D660&lt;45,"35-44",IF(D660&lt;55,"45-54","55+")))))</f>
        <v>35-44</v>
      </c>
      <c r="R660" s="13" t="str">
        <f aca="false">IF(P660&lt;1,"0-1 yrs",IF(P660&lt;3,"1-3 yrs",IF(P660&lt;5,"3-5 yrs",IF(P660&lt;10,"5-10 yrs","10+ yrs"))))</f>
        <v>5-10 yrs</v>
      </c>
      <c r="S660" s="13" t="str">
        <f aca="false">IF(I660&gt;=4,"High",IF(I660=3,"Medium","Low"))</f>
        <v>High</v>
      </c>
      <c r="T660" s="13" t="n">
        <f aca="false">IF(M660=1,YEAR(C660),"")</f>
        <v>2022</v>
      </c>
      <c r="U660" s="13" t="str">
        <f aca="false">IF(M660=1,YEAR(C660)&amp;"-Q"&amp;ROUNDUP(MONTH(C660)/3,0),"")</f>
        <v>2022-Q4</v>
      </c>
      <c r="V660" s="13" t="n">
        <f aca="false">IF(M660=1,MONTH(C660),"")</f>
        <v>11</v>
      </c>
    </row>
    <row r="661" customFormat="false" ht="15" hidden="false" customHeight="false" outlineLevel="0" collapsed="false">
      <c r="A661" s="13" t="str">
        <f aca="false">TRIM(Raw_Data!A661)</f>
        <v>EMP0660</v>
      </c>
      <c r="B661" s="14" t="n">
        <f aca="false">Raw_Data!B661</f>
        <v>43056</v>
      </c>
      <c r="C661" s="14" t="n">
        <f aca="false">IF(Raw_Data!C661="","",Raw_Data!C661)</f>
        <v>44612</v>
      </c>
      <c r="D661" s="13" t="n">
        <f aca="false">IF(Raw_Data!D661="","",Raw_Data!D661)</f>
        <v>26</v>
      </c>
      <c r="E661" s="13" t="str">
        <f aca="false">IF(UPPER(LEFT(TRIM(Raw_Data!E661),1))="M","Male",IF(UPPER(LEFT(TRIM(Raw_Data!E661),1))="F","Female","Unknown"))</f>
        <v>Female</v>
      </c>
      <c r="F661" s="13" t="str">
        <f aca="false">PROPER(TRIM(SUBSTITUTE(Raw_Data!F661,"'","")))</f>
        <v>Bachelors</v>
      </c>
      <c r="G661" s="13" t="str">
        <f aca="false">PROPER(TRIM(Raw_Data!G661))</f>
        <v>Sales</v>
      </c>
      <c r="H661" s="13" t="str">
        <f aca="false">PROPER(TRIM(Raw_Data!H661))</f>
        <v>Analyst</v>
      </c>
      <c r="I661" s="13" t="n">
        <f aca="false">IF(Raw_Data!I661="",DefaultPerf,Raw_Data!I661)</f>
        <v>4</v>
      </c>
      <c r="J661" s="13" t="n">
        <f aca="false">IF(Raw_Data!J661="",DefaultSat,Raw_Data!J661)</f>
        <v>4</v>
      </c>
      <c r="K661" s="15" t="n">
        <f aca="false">Raw_Data!K661</f>
        <v>58000</v>
      </c>
      <c r="L661" s="13" t="str">
        <f aca="false">PROPER(TRIM(Raw_Data!N661))</f>
        <v>No</v>
      </c>
      <c r="M661" s="13" t="n">
        <f aca="false">IF(C661="",0,1)</f>
        <v>1</v>
      </c>
      <c r="N661" s="13" t="str">
        <f aca="false">IF(M661=0,"Active",IF(TRIM(Raw_Data!L661)="","Unknown",PROPER(TRIM(Raw_Data!L661))))</f>
        <v>Voluntary</v>
      </c>
      <c r="O661" s="13" t="str">
        <f aca="false">IF(M661=0,"",IF(TRIM(Raw_Data!M661)="","Not Recorded",TRIM(Raw_Data!M661)))</f>
        <v>Better Compensation</v>
      </c>
      <c r="P661" s="16" t="n">
        <f aca="false">ROUND((IF(C661="",AsOfDate,C661)-B661)/365.25,2)</f>
        <v>4.26</v>
      </c>
      <c r="Q661" s="13" t="str">
        <f aca="false">IF(D661="","Unknown",IF(D661&lt;25,"Under 25",IF(D661&lt;35,"25-34",IF(D661&lt;45,"35-44",IF(D661&lt;55,"45-54","55+")))))</f>
        <v>25-34</v>
      </c>
      <c r="R661" s="13" t="str">
        <f aca="false">IF(P661&lt;1,"0-1 yrs",IF(P661&lt;3,"1-3 yrs",IF(P661&lt;5,"3-5 yrs",IF(P661&lt;10,"5-10 yrs","10+ yrs"))))</f>
        <v>3-5 yrs</v>
      </c>
      <c r="S661" s="13" t="str">
        <f aca="false">IF(I661&gt;=4,"High",IF(I661=3,"Medium","Low"))</f>
        <v>High</v>
      </c>
      <c r="T661" s="13" t="n">
        <f aca="false">IF(M661=1,YEAR(C661),"")</f>
        <v>2022</v>
      </c>
      <c r="U661" s="13" t="str">
        <f aca="false">IF(M661=1,YEAR(C661)&amp;"-Q"&amp;ROUNDUP(MONTH(C661)/3,0),"")</f>
        <v>2022-Q1</v>
      </c>
      <c r="V661" s="13" t="n">
        <f aca="false">IF(M661=1,MONTH(C661),"")</f>
        <v>2</v>
      </c>
    </row>
    <row r="662" customFormat="false" ht="15" hidden="false" customHeight="false" outlineLevel="0" collapsed="false">
      <c r="A662" s="13" t="str">
        <f aca="false">TRIM(Raw_Data!A662)</f>
        <v>EMP0661</v>
      </c>
      <c r="B662" s="14" t="n">
        <f aca="false">Raw_Data!B662</f>
        <v>43057</v>
      </c>
      <c r="C662" s="14" t="str">
        <f aca="false">IF(Raw_Data!C662="","",Raw_Data!C662)</f>
        <v/>
      </c>
      <c r="D662" s="13" t="n">
        <f aca="false">IF(Raw_Data!D662="","",Raw_Data!D662)</f>
        <v>39</v>
      </c>
      <c r="E662" s="13" t="str">
        <f aca="false">IF(UPPER(LEFT(TRIM(Raw_Data!E662),1))="M","Male",IF(UPPER(LEFT(TRIM(Raw_Data!E662),1))="F","Female","Unknown"))</f>
        <v>Female</v>
      </c>
      <c r="F662" s="13" t="str">
        <f aca="false">PROPER(TRIM(SUBSTITUTE(Raw_Data!F662,"'","")))</f>
        <v>Bachelors</v>
      </c>
      <c r="G662" s="13" t="str">
        <f aca="false">PROPER(TRIM(Raw_Data!G662))</f>
        <v>Engineering</v>
      </c>
      <c r="H662" s="13" t="str">
        <f aca="false">PROPER(TRIM(Raw_Data!H662))</f>
        <v>Specialist</v>
      </c>
      <c r="I662" s="13" t="n">
        <f aca="false">IF(Raw_Data!I662="",DefaultPerf,Raw_Data!I662)</f>
        <v>3</v>
      </c>
      <c r="J662" s="13" t="n">
        <f aca="false">IF(Raw_Data!J662="",DefaultSat,Raw_Data!J662)</f>
        <v>4</v>
      </c>
      <c r="K662" s="15" t="n">
        <f aca="false">Raw_Data!K662</f>
        <v>109000</v>
      </c>
      <c r="L662" s="13" t="str">
        <f aca="false">PROPER(TRIM(Raw_Data!N662))</f>
        <v>No</v>
      </c>
      <c r="M662" s="13" t="n">
        <f aca="false">IF(C662="",0,1)</f>
        <v>0</v>
      </c>
      <c r="N662" s="13" t="str">
        <f aca="false">IF(M662=0,"Active",IF(TRIM(Raw_Data!L662)="","Unknown",PROPER(TRIM(Raw_Data!L662))))</f>
        <v>Active</v>
      </c>
      <c r="O662" s="13" t="str">
        <f aca="false">IF(M662=0,"",IF(TRIM(Raw_Data!M662)="","Not Recorded",TRIM(Raw_Data!M662)))</f>
        <v/>
      </c>
      <c r="P662" s="16" t="n">
        <f aca="false">ROUND((IF(C662="",AsOfDate,C662)-B662)/365.25,2)</f>
        <v>8.12</v>
      </c>
      <c r="Q662" s="13" t="str">
        <f aca="false">IF(D662="","Unknown",IF(D662&lt;25,"Under 25",IF(D662&lt;35,"25-34",IF(D662&lt;45,"35-44",IF(D662&lt;55,"45-54","55+")))))</f>
        <v>35-44</v>
      </c>
      <c r="R662" s="13" t="str">
        <f aca="false">IF(P662&lt;1,"0-1 yrs",IF(P662&lt;3,"1-3 yrs",IF(P662&lt;5,"3-5 yrs",IF(P662&lt;10,"5-10 yrs","10+ yrs"))))</f>
        <v>5-10 yrs</v>
      </c>
      <c r="S662" s="13" t="str">
        <f aca="false">IF(I662&gt;=4,"High",IF(I662=3,"Medium","Low"))</f>
        <v>Medium</v>
      </c>
      <c r="T662" s="13" t="str">
        <f aca="false">IF(M662=1,YEAR(C662),"")</f>
        <v/>
      </c>
      <c r="U662" s="13" t="str">
        <f aca="false">IF(M662=1,YEAR(C662)&amp;"-Q"&amp;ROUNDUP(MONTH(C662)/3,0),"")</f>
        <v/>
      </c>
      <c r="V662" s="13" t="str">
        <f aca="false">IF(M662=1,MONTH(C662),"")</f>
        <v/>
      </c>
    </row>
    <row r="663" customFormat="false" ht="15" hidden="false" customHeight="false" outlineLevel="0" collapsed="false">
      <c r="A663" s="13" t="str">
        <f aca="false">TRIM(Raw_Data!A663)</f>
        <v>EMP0662</v>
      </c>
      <c r="B663" s="14" t="n">
        <f aca="false">Raw_Data!B663</f>
        <v>43060</v>
      </c>
      <c r="C663" s="14" t="n">
        <f aca="false">IF(Raw_Data!C663="","",Raw_Data!C663)</f>
        <v>44894</v>
      </c>
      <c r="D663" s="13" t="n">
        <f aca="false">IF(Raw_Data!D663="","",Raw_Data!D663)</f>
        <v>33</v>
      </c>
      <c r="E663" s="13" t="str">
        <f aca="false">IF(UPPER(LEFT(TRIM(Raw_Data!E663),1))="M","Male",IF(UPPER(LEFT(TRIM(Raw_Data!E663),1))="F","Female","Unknown"))</f>
        <v>Male</v>
      </c>
      <c r="F663" s="13" t="str">
        <f aca="false">PROPER(TRIM(SUBSTITUTE(Raw_Data!F663,"'","")))</f>
        <v>Masters</v>
      </c>
      <c r="G663" s="13" t="str">
        <f aca="false">PROPER(TRIM(Raw_Data!G663))</f>
        <v>Customer Support</v>
      </c>
      <c r="H663" s="13" t="str">
        <f aca="false">PROPER(TRIM(Raw_Data!H663))</f>
        <v>Associate</v>
      </c>
      <c r="I663" s="13" t="n">
        <f aca="false">IF(Raw_Data!I663="",DefaultPerf,Raw_Data!I663)</f>
        <v>1</v>
      </c>
      <c r="J663" s="13" t="n">
        <f aca="false">IF(Raw_Data!J663="",DefaultSat,Raw_Data!J663)</f>
        <v>1</v>
      </c>
      <c r="K663" s="15" t="n">
        <f aca="false">Raw_Data!K663</f>
        <v>40000</v>
      </c>
      <c r="L663" s="13" t="str">
        <f aca="false">PROPER(TRIM(Raw_Data!N663))</f>
        <v>No</v>
      </c>
      <c r="M663" s="13" t="n">
        <f aca="false">IF(C663="",0,1)</f>
        <v>1</v>
      </c>
      <c r="N663" s="13" t="str">
        <f aca="false">IF(M663=0,"Active",IF(TRIM(Raw_Data!L663)="","Unknown",PROPER(TRIM(Raw_Data!L663))))</f>
        <v>Involuntary</v>
      </c>
      <c r="O663" s="13" t="str">
        <f aca="false">IF(M663=0,"",IF(TRIM(Raw_Data!M663)="","Not Recorded",TRIM(Raw_Data!M663)))</f>
        <v>Restructuring / Layoff</v>
      </c>
      <c r="P663" s="16" t="n">
        <f aca="false">ROUND((IF(C663="",AsOfDate,C663)-B663)/365.25,2)</f>
        <v>5.02</v>
      </c>
      <c r="Q663" s="13" t="str">
        <f aca="false">IF(D663="","Unknown",IF(D663&lt;25,"Under 25",IF(D663&lt;35,"25-34",IF(D663&lt;45,"35-44",IF(D663&lt;55,"45-54","55+")))))</f>
        <v>25-34</v>
      </c>
      <c r="R663" s="13" t="str">
        <f aca="false">IF(P663&lt;1,"0-1 yrs",IF(P663&lt;3,"1-3 yrs",IF(P663&lt;5,"3-5 yrs",IF(P663&lt;10,"5-10 yrs","10+ yrs"))))</f>
        <v>5-10 yrs</v>
      </c>
      <c r="S663" s="13" t="str">
        <f aca="false">IF(I663&gt;=4,"High",IF(I663=3,"Medium","Low"))</f>
        <v>Low</v>
      </c>
      <c r="T663" s="13" t="n">
        <f aca="false">IF(M663=1,YEAR(C663),"")</f>
        <v>2022</v>
      </c>
      <c r="U663" s="13" t="str">
        <f aca="false">IF(M663=1,YEAR(C663)&amp;"-Q"&amp;ROUNDUP(MONTH(C663)/3,0),"")</f>
        <v>2022-Q4</v>
      </c>
      <c r="V663" s="13" t="n">
        <f aca="false">IF(M663=1,MONTH(C663),"")</f>
        <v>11</v>
      </c>
    </row>
    <row r="664" customFormat="false" ht="15" hidden="false" customHeight="false" outlineLevel="0" collapsed="false">
      <c r="A664" s="13" t="str">
        <f aca="false">TRIM(Raw_Data!A664)</f>
        <v>EMP0663</v>
      </c>
      <c r="B664" s="14" t="n">
        <f aca="false">Raw_Data!B664</f>
        <v>43066</v>
      </c>
      <c r="C664" s="14" t="str">
        <f aca="false">IF(Raw_Data!C664="","",Raw_Data!C664)</f>
        <v/>
      </c>
      <c r="D664" s="13" t="n">
        <f aca="false">IF(Raw_Data!D664="","",Raw_Data!D664)</f>
        <v>44</v>
      </c>
      <c r="E664" s="13" t="str">
        <f aca="false">IF(UPPER(LEFT(TRIM(Raw_Data!E664),1))="M","Male",IF(UPPER(LEFT(TRIM(Raw_Data!E664),1))="F","Female","Unknown"))</f>
        <v>Female</v>
      </c>
      <c r="F664" s="13" t="str">
        <f aca="false">PROPER(TRIM(SUBSTITUTE(Raw_Data!F664,"'","")))</f>
        <v>Bachelors</v>
      </c>
      <c r="G664" s="13" t="str">
        <f aca="false">PROPER(TRIM(Raw_Data!G664))</f>
        <v>Engineering</v>
      </c>
      <c r="H664" s="13" t="str">
        <f aca="false">PROPER(TRIM(Raw_Data!H664))</f>
        <v>Associate</v>
      </c>
      <c r="I664" s="13" t="n">
        <f aca="false">IF(Raw_Data!I664="",DefaultPerf,Raw_Data!I664)</f>
        <v>3</v>
      </c>
      <c r="J664" s="13" t="n">
        <f aca="false">IF(Raw_Data!J664="",DefaultSat,Raw_Data!J664)</f>
        <v>1</v>
      </c>
      <c r="K664" s="15" t="n">
        <f aca="false">Raw_Data!K664</f>
        <v>42000</v>
      </c>
      <c r="L664" s="13" t="str">
        <f aca="false">PROPER(TRIM(Raw_Data!N664))</f>
        <v>Yes</v>
      </c>
      <c r="M664" s="13" t="n">
        <f aca="false">IF(C664="",0,1)</f>
        <v>0</v>
      </c>
      <c r="N664" s="13" t="str">
        <f aca="false">IF(M664=0,"Active",IF(TRIM(Raw_Data!L664)="","Unknown",PROPER(TRIM(Raw_Data!L664))))</f>
        <v>Active</v>
      </c>
      <c r="O664" s="13" t="str">
        <f aca="false">IF(M664=0,"",IF(TRIM(Raw_Data!M664)="","Not Recorded",TRIM(Raw_Data!M664)))</f>
        <v/>
      </c>
      <c r="P664" s="16" t="n">
        <f aca="false">ROUND((IF(C664="",AsOfDate,C664)-B664)/365.25,2)</f>
        <v>8.09</v>
      </c>
      <c r="Q664" s="13" t="str">
        <f aca="false">IF(D664="","Unknown",IF(D664&lt;25,"Under 25",IF(D664&lt;35,"25-34",IF(D664&lt;45,"35-44",IF(D664&lt;55,"45-54","55+")))))</f>
        <v>35-44</v>
      </c>
      <c r="R664" s="13" t="str">
        <f aca="false">IF(P664&lt;1,"0-1 yrs",IF(P664&lt;3,"1-3 yrs",IF(P664&lt;5,"3-5 yrs",IF(P664&lt;10,"5-10 yrs","10+ yrs"))))</f>
        <v>5-10 yrs</v>
      </c>
      <c r="S664" s="13" t="str">
        <f aca="false">IF(I664&gt;=4,"High",IF(I664=3,"Medium","Low"))</f>
        <v>Medium</v>
      </c>
      <c r="T664" s="13" t="str">
        <f aca="false">IF(M664=1,YEAR(C664),"")</f>
        <v/>
      </c>
      <c r="U664" s="13" t="str">
        <f aca="false">IF(M664=1,YEAR(C664)&amp;"-Q"&amp;ROUNDUP(MONTH(C664)/3,0),"")</f>
        <v/>
      </c>
      <c r="V664" s="13" t="str">
        <f aca="false">IF(M664=1,MONTH(C664),"")</f>
        <v/>
      </c>
    </row>
    <row r="665" customFormat="false" ht="15" hidden="false" customHeight="false" outlineLevel="0" collapsed="false">
      <c r="A665" s="13" t="str">
        <f aca="false">TRIM(Raw_Data!A665)</f>
        <v>EMP0664</v>
      </c>
      <c r="B665" s="14" t="n">
        <f aca="false">Raw_Data!B665</f>
        <v>43068</v>
      </c>
      <c r="C665" s="14" t="str">
        <f aca="false">IF(Raw_Data!C665="","",Raw_Data!C665)</f>
        <v/>
      </c>
      <c r="D665" s="13" t="n">
        <f aca="false">IF(Raw_Data!D665="","",Raw_Data!D665)</f>
        <v>34</v>
      </c>
      <c r="E665" s="13" t="str">
        <f aca="false">IF(UPPER(LEFT(TRIM(Raw_Data!E665),1))="M","Male",IF(UPPER(LEFT(TRIM(Raw_Data!E665),1))="F","Female","Unknown"))</f>
        <v>Male</v>
      </c>
      <c r="F665" s="13" t="str">
        <f aca="false">PROPER(TRIM(SUBSTITUTE(Raw_Data!F665,"'","")))</f>
        <v>Diploma</v>
      </c>
      <c r="G665" s="13" t="str">
        <f aca="false">PROPER(TRIM(Raw_Data!G665))</f>
        <v>Engineering</v>
      </c>
      <c r="H665" s="13" t="str">
        <f aca="false">PROPER(TRIM(Raw_Data!H665))</f>
        <v>Associate</v>
      </c>
      <c r="I665" s="13" t="n">
        <f aca="false">IF(Raw_Data!I665="",DefaultPerf,Raw_Data!I665)</f>
        <v>3</v>
      </c>
      <c r="J665" s="13" t="n">
        <f aca="false">IF(Raw_Data!J665="",DefaultSat,Raw_Data!J665)</f>
        <v>2</v>
      </c>
      <c r="K665" s="15" t="n">
        <f aca="false">Raw_Data!K665</f>
        <v>47000</v>
      </c>
      <c r="L665" s="13" t="str">
        <f aca="false">PROPER(TRIM(Raw_Data!N665))</f>
        <v>No</v>
      </c>
      <c r="M665" s="13" t="n">
        <f aca="false">IF(C665="",0,1)</f>
        <v>0</v>
      </c>
      <c r="N665" s="13" t="str">
        <f aca="false">IF(M665=0,"Active",IF(TRIM(Raw_Data!L665)="","Unknown",PROPER(TRIM(Raw_Data!L665))))</f>
        <v>Active</v>
      </c>
      <c r="O665" s="13" t="str">
        <f aca="false">IF(M665=0,"",IF(TRIM(Raw_Data!M665)="","Not Recorded",TRIM(Raw_Data!M665)))</f>
        <v/>
      </c>
      <c r="P665" s="16" t="n">
        <f aca="false">ROUND((IF(C665="",AsOfDate,C665)-B665)/365.25,2)</f>
        <v>8.09</v>
      </c>
      <c r="Q665" s="13" t="str">
        <f aca="false">IF(D665="","Unknown",IF(D665&lt;25,"Under 25",IF(D665&lt;35,"25-34",IF(D665&lt;45,"35-44",IF(D665&lt;55,"45-54","55+")))))</f>
        <v>25-34</v>
      </c>
      <c r="R665" s="13" t="str">
        <f aca="false">IF(P665&lt;1,"0-1 yrs",IF(P665&lt;3,"1-3 yrs",IF(P665&lt;5,"3-5 yrs",IF(P665&lt;10,"5-10 yrs","10+ yrs"))))</f>
        <v>5-10 yrs</v>
      </c>
      <c r="S665" s="13" t="str">
        <f aca="false">IF(I665&gt;=4,"High",IF(I665=3,"Medium","Low"))</f>
        <v>Medium</v>
      </c>
      <c r="T665" s="13" t="str">
        <f aca="false">IF(M665=1,YEAR(C665),"")</f>
        <v/>
      </c>
      <c r="U665" s="13" t="str">
        <f aca="false">IF(M665=1,YEAR(C665)&amp;"-Q"&amp;ROUNDUP(MONTH(C665)/3,0),"")</f>
        <v/>
      </c>
      <c r="V665" s="13" t="str">
        <f aca="false">IF(M665=1,MONTH(C665),"")</f>
        <v/>
      </c>
    </row>
    <row r="666" customFormat="false" ht="15" hidden="false" customHeight="false" outlineLevel="0" collapsed="false">
      <c r="A666" s="13" t="str">
        <f aca="false">TRIM(Raw_Data!A666)</f>
        <v>EMP0665</v>
      </c>
      <c r="B666" s="14" t="n">
        <f aca="false">Raw_Data!B666</f>
        <v>43071</v>
      </c>
      <c r="C666" s="14" t="str">
        <f aca="false">IF(Raw_Data!C666="","",Raw_Data!C666)</f>
        <v/>
      </c>
      <c r="D666" s="13" t="n">
        <f aca="false">IF(Raw_Data!D666="","",Raw_Data!D666)</f>
        <v>34</v>
      </c>
      <c r="E666" s="13" t="str">
        <f aca="false">IF(UPPER(LEFT(TRIM(Raw_Data!E666),1))="M","Male",IF(UPPER(LEFT(TRIM(Raw_Data!E666),1))="F","Female","Unknown"))</f>
        <v>Female</v>
      </c>
      <c r="F666" s="13" t="str">
        <f aca="false">PROPER(TRIM(SUBSTITUTE(Raw_Data!F666,"'","")))</f>
        <v>Bachelors</v>
      </c>
      <c r="G666" s="13" t="str">
        <f aca="false">PROPER(TRIM(Raw_Data!G666))</f>
        <v>Finance</v>
      </c>
      <c r="H666" s="13" t="str">
        <f aca="false">PROPER(TRIM(Raw_Data!H666))</f>
        <v>Analyst</v>
      </c>
      <c r="I666" s="13" t="n">
        <f aca="false">IF(Raw_Data!I666="",DefaultPerf,Raw_Data!I666)</f>
        <v>5</v>
      </c>
      <c r="J666" s="13" t="n">
        <f aca="false">IF(Raw_Data!J666="",DefaultSat,Raw_Data!J666)</f>
        <v>3</v>
      </c>
      <c r="K666" s="15" t="n">
        <f aca="false">Raw_Data!K666</f>
        <v>58500</v>
      </c>
      <c r="L666" s="13" t="str">
        <f aca="false">PROPER(TRIM(Raw_Data!N666))</f>
        <v>No</v>
      </c>
      <c r="M666" s="13" t="n">
        <f aca="false">IF(C666="",0,1)</f>
        <v>0</v>
      </c>
      <c r="N666" s="13" t="str">
        <f aca="false">IF(M666=0,"Active",IF(TRIM(Raw_Data!L666)="","Unknown",PROPER(TRIM(Raw_Data!L666))))</f>
        <v>Active</v>
      </c>
      <c r="O666" s="13" t="str">
        <f aca="false">IF(M666=0,"",IF(TRIM(Raw_Data!M666)="","Not Recorded",TRIM(Raw_Data!M666)))</f>
        <v/>
      </c>
      <c r="P666" s="16" t="n">
        <f aca="false">ROUND((IF(C666="",AsOfDate,C666)-B666)/365.25,2)</f>
        <v>8.08</v>
      </c>
      <c r="Q666" s="13" t="str">
        <f aca="false">IF(D666="","Unknown",IF(D666&lt;25,"Under 25",IF(D666&lt;35,"25-34",IF(D666&lt;45,"35-44",IF(D666&lt;55,"45-54","55+")))))</f>
        <v>25-34</v>
      </c>
      <c r="R666" s="13" t="str">
        <f aca="false">IF(P666&lt;1,"0-1 yrs",IF(P666&lt;3,"1-3 yrs",IF(P666&lt;5,"3-5 yrs",IF(P666&lt;10,"5-10 yrs","10+ yrs"))))</f>
        <v>5-10 yrs</v>
      </c>
      <c r="S666" s="13" t="str">
        <f aca="false">IF(I666&gt;=4,"High",IF(I666=3,"Medium","Low"))</f>
        <v>High</v>
      </c>
      <c r="T666" s="13" t="str">
        <f aca="false">IF(M666=1,YEAR(C666),"")</f>
        <v/>
      </c>
      <c r="U666" s="13" t="str">
        <f aca="false">IF(M666=1,YEAR(C666)&amp;"-Q"&amp;ROUNDUP(MONTH(C666)/3,0),"")</f>
        <v/>
      </c>
      <c r="V666" s="13" t="str">
        <f aca="false">IF(M666=1,MONTH(C666),"")</f>
        <v/>
      </c>
    </row>
    <row r="667" customFormat="false" ht="15" hidden="false" customHeight="false" outlineLevel="0" collapsed="false">
      <c r="A667" s="13" t="str">
        <f aca="false">TRIM(Raw_Data!A667)</f>
        <v>EMP0666</v>
      </c>
      <c r="B667" s="14" t="n">
        <f aca="false">Raw_Data!B667</f>
        <v>43074</v>
      </c>
      <c r="C667" s="14" t="str">
        <f aca="false">IF(Raw_Data!C667="","",Raw_Data!C667)</f>
        <v/>
      </c>
      <c r="D667" s="13" t="n">
        <f aca="false">IF(Raw_Data!D667="","",Raw_Data!D667)</f>
        <v>29</v>
      </c>
      <c r="E667" s="13" t="str">
        <f aca="false">IF(UPPER(LEFT(TRIM(Raw_Data!E667),1))="M","Male",IF(UPPER(LEFT(TRIM(Raw_Data!E667),1))="F","Female","Unknown"))</f>
        <v>Female</v>
      </c>
      <c r="F667" s="13" t="str">
        <f aca="false">PROPER(TRIM(SUBSTITUTE(Raw_Data!F667,"'","")))</f>
        <v>Doctorate</v>
      </c>
      <c r="G667" s="13" t="str">
        <f aca="false">PROPER(TRIM(Raw_Data!G667))</f>
        <v>Customer Support</v>
      </c>
      <c r="H667" s="13" t="str">
        <f aca="false">PROPER(TRIM(Raw_Data!H667))</f>
        <v>Team Lead</v>
      </c>
      <c r="I667" s="13" t="n">
        <f aca="false">IF(Raw_Data!I667="",DefaultPerf,Raw_Data!I667)</f>
        <v>1</v>
      </c>
      <c r="J667" s="13" t="n">
        <f aca="false">IF(Raw_Data!J667="",DefaultSat,Raw_Data!J667)</f>
        <v>3</v>
      </c>
      <c r="K667" s="15" t="n">
        <f aca="false">Raw_Data!K667</f>
        <v>150500</v>
      </c>
      <c r="L667" s="13" t="str">
        <f aca="false">PROPER(TRIM(Raw_Data!N667))</f>
        <v>No</v>
      </c>
      <c r="M667" s="13" t="n">
        <f aca="false">IF(C667="",0,1)</f>
        <v>0</v>
      </c>
      <c r="N667" s="13" t="str">
        <f aca="false">IF(M667=0,"Active",IF(TRIM(Raw_Data!L667)="","Unknown",PROPER(TRIM(Raw_Data!L667))))</f>
        <v>Active</v>
      </c>
      <c r="O667" s="13" t="str">
        <f aca="false">IF(M667=0,"",IF(TRIM(Raw_Data!M667)="","Not Recorded",TRIM(Raw_Data!M667)))</f>
        <v/>
      </c>
      <c r="P667" s="16" t="n">
        <f aca="false">ROUND((IF(C667="",AsOfDate,C667)-B667)/365.25,2)</f>
        <v>8.07</v>
      </c>
      <c r="Q667" s="13" t="str">
        <f aca="false">IF(D667="","Unknown",IF(D667&lt;25,"Under 25",IF(D667&lt;35,"25-34",IF(D667&lt;45,"35-44",IF(D667&lt;55,"45-54","55+")))))</f>
        <v>25-34</v>
      </c>
      <c r="R667" s="13" t="str">
        <f aca="false">IF(P667&lt;1,"0-1 yrs",IF(P667&lt;3,"1-3 yrs",IF(P667&lt;5,"3-5 yrs",IF(P667&lt;10,"5-10 yrs","10+ yrs"))))</f>
        <v>5-10 yrs</v>
      </c>
      <c r="S667" s="13" t="str">
        <f aca="false">IF(I667&gt;=4,"High",IF(I667=3,"Medium","Low"))</f>
        <v>Low</v>
      </c>
      <c r="T667" s="13" t="str">
        <f aca="false">IF(M667=1,YEAR(C667),"")</f>
        <v/>
      </c>
      <c r="U667" s="13" t="str">
        <f aca="false">IF(M667=1,YEAR(C667)&amp;"-Q"&amp;ROUNDUP(MONTH(C667)/3,0),"")</f>
        <v/>
      </c>
      <c r="V667" s="13" t="str">
        <f aca="false">IF(M667=1,MONTH(C667),"")</f>
        <v/>
      </c>
    </row>
    <row r="668" customFormat="false" ht="15" hidden="false" customHeight="false" outlineLevel="0" collapsed="false">
      <c r="A668" s="13" t="str">
        <f aca="false">TRIM(Raw_Data!A668)</f>
        <v>EMP0667</v>
      </c>
      <c r="B668" s="14" t="n">
        <f aca="false">Raw_Data!B668</f>
        <v>43075</v>
      </c>
      <c r="C668" s="14" t="str">
        <f aca="false">IF(Raw_Data!C668="","",Raw_Data!C668)</f>
        <v/>
      </c>
      <c r="D668" s="13" t="n">
        <f aca="false">IF(Raw_Data!D668="","",Raw_Data!D668)</f>
        <v>41</v>
      </c>
      <c r="E668" s="13" t="str">
        <f aca="false">IF(UPPER(LEFT(TRIM(Raw_Data!E668),1))="M","Male",IF(UPPER(LEFT(TRIM(Raw_Data!E668),1))="F","Female","Unknown"))</f>
        <v>Male</v>
      </c>
      <c r="F668" s="13" t="str">
        <f aca="false">PROPER(TRIM(SUBSTITUTE(Raw_Data!F668,"'","")))</f>
        <v>Bachelors</v>
      </c>
      <c r="G668" s="13" t="str">
        <f aca="false">PROPER(TRIM(Raw_Data!G668))</f>
        <v>Finance</v>
      </c>
      <c r="H668" s="13" t="str">
        <f aca="false">PROPER(TRIM(Raw_Data!H668))</f>
        <v>Manager</v>
      </c>
      <c r="I668" s="13" t="n">
        <f aca="false">IF(Raw_Data!I668="",DefaultPerf,Raw_Data!I668)</f>
        <v>4</v>
      </c>
      <c r="J668" s="13" t="n">
        <f aca="false">IF(Raw_Data!J668="",DefaultSat,Raw_Data!J668)</f>
        <v>4</v>
      </c>
      <c r="K668" s="15" t="n">
        <f aca="false">Raw_Data!K668</f>
        <v>235000</v>
      </c>
      <c r="L668" s="13" t="str">
        <f aca="false">PROPER(TRIM(Raw_Data!N668))</f>
        <v>No</v>
      </c>
      <c r="M668" s="13" t="n">
        <f aca="false">IF(C668="",0,1)</f>
        <v>0</v>
      </c>
      <c r="N668" s="13" t="str">
        <f aca="false">IF(M668=0,"Active",IF(TRIM(Raw_Data!L668)="","Unknown",PROPER(TRIM(Raw_Data!L668))))</f>
        <v>Active</v>
      </c>
      <c r="O668" s="13" t="str">
        <f aca="false">IF(M668=0,"",IF(TRIM(Raw_Data!M668)="","Not Recorded",TRIM(Raw_Data!M668)))</f>
        <v/>
      </c>
      <c r="P668" s="16" t="n">
        <f aca="false">ROUND((IF(C668="",AsOfDate,C668)-B668)/365.25,2)</f>
        <v>8.07</v>
      </c>
      <c r="Q668" s="13" t="str">
        <f aca="false">IF(D668="","Unknown",IF(D668&lt;25,"Under 25",IF(D668&lt;35,"25-34",IF(D668&lt;45,"35-44",IF(D668&lt;55,"45-54","55+")))))</f>
        <v>35-44</v>
      </c>
      <c r="R668" s="13" t="str">
        <f aca="false">IF(P668&lt;1,"0-1 yrs",IF(P668&lt;3,"1-3 yrs",IF(P668&lt;5,"3-5 yrs",IF(P668&lt;10,"5-10 yrs","10+ yrs"))))</f>
        <v>5-10 yrs</v>
      </c>
      <c r="S668" s="13" t="str">
        <f aca="false">IF(I668&gt;=4,"High",IF(I668=3,"Medium","Low"))</f>
        <v>High</v>
      </c>
      <c r="T668" s="13" t="str">
        <f aca="false">IF(M668=1,YEAR(C668),"")</f>
        <v/>
      </c>
      <c r="U668" s="13" t="str">
        <f aca="false">IF(M668=1,YEAR(C668)&amp;"-Q"&amp;ROUNDUP(MONTH(C668)/3,0),"")</f>
        <v/>
      </c>
      <c r="V668" s="13" t="str">
        <f aca="false">IF(M668=1,MONTH(C668),"")</f>
        <v/>
      </c>
    </row>
    <row r="669" customFormat="false" ht="15" hidden="false" customHeight="false" outlineLevel="0" collapsed="false">
      <c r="A669" s="13" t="str">
        <f aca="false">TRIM(Raw_Data!A669)</f>
        <v>EMP0668</v>
      </c>
      <c r="B669" s="14" t="n">
        <f aca="false">Raw_Data!B669</f>
        <v>43077</v>
      </c>
      <c r="C669" s="14" t="n">
        <f aca="false">IF(Raw_Data!C669="","",Raw_Data!C669)</f>
        <v>44651</v>
      </c>
      <c r="D669" s="13" t="n">
        <f aca="false">IF(Raw_Data!D669="","",Raw_Data!D669)</f>
        <v>26</v>
      </c>
      <c r="E669" s="13" t="str">
        <f aca="false">IF(UPPER(LEFT(TRIM(Raw_Data!E669),1))="M","Male",IF(UPPER(LEFT(TRIM(Raw_Data!E669),1))="F","Female","Unknown"))</f>
        <v>Male</v>
      </c>
      <c r="F669" s="13" t="str">
        <f aca="false">PROPER(TRIM(SUBSTITUTE(Raw_Data!F669,"'","")))</f>
        <v>High School</v>
      </c>
      <c r="G669" s="13" t="str">
        <f aca="false">PROPER(TRIM(Raw_Data!G669))</f>
        <v>Human Resources</v>
      </c>
      <c r="H669" s="13" t="str">
        <f aca="false">PROPER(TRIM(Raw_Data!H669))</f>
        <v>Manager</v>
      </c>
      <c r="I669" s="13" t="n">
        <f aca="false">IF(Raw_Data!I669="",DefaultPerf,Raw_Data!I669)</f>
        <v>2</v>
      </c>
      <c r="J669" s="13" t="n">
        <f aca="false">IF(Raw_Data!J669="",DefaultSat,Raw_Data!J669)</f>
        <v>1</v>
      </c>
      <c r="K669" s="15" t="n">
        <f aca="false">Raw_Data!K669</f>
        <v>217000</v>
      </c>
      <c r="L669" s="13" t="str">
        <f aca="false">PROPER(TRIM(Raw_Data!N669))</f>
        <v>No</v>
      </c>
      <c r="M669" s="13" t="n">
        <f aca="false">IF(C669="",0,1)</f>
        <v>1</v>
      </c>
      <c r="N669" s="13" t="str">
        <f aca="false">IF(M669=0,"Active",IF(TRIM(Raw_Data!L669)="","Unknown",PROPER(TRIM(Raw_Data!L669))))</f>
        <v>Involuntary</v>
      </c>
      <c r="O669" s="13" t="str">
        <f aca="false">IF(M669=0,"",IF(TRIM(Raw_Data!M669)="","Not Recorded",TRIM(Raw_Data!M669)))</f>
        <v>End of Contract</v>
      </c>
      <c r="P669" s="16" t="n">
        <f aca="false">ROUND((IF(C669="",AsOfDate,C669)-B669)/365.25,2)</f>
        <v>4.31</v>
      </c>
      <c r="Q669" s="13" t="str">
        <f aca="false">IF(D669="","Unknown",IF(D669&lt;25,"Under 25",IF(D669&lt;35,"25-34",IF(D669&lt;45,"35-44",IF(D669&lt;55,"45-54","55+")))))</f>
        <v>25-34</v>
      </c>
      <c r="R669" s="13" t="str">
        <f aca="false">IF(P669&lt;1,"0-1 yrs",IF(P669&lt;3,"1-3 yrs",IF(P669&lt;5,"3-5 yrs",IF(P669&lt;10,"5-10 yrs","10+ yrs"))))</f>
        <v>3-5 yrs</v>
      </c>
      <c r="S669" s="13" t="str">
        <f aca="false">IF(I669&gt;=4,"High",IF(I669=3,"Medium","Low"))</f>
        <v>Low</v>
      </c>
      <c r="T669" s="13" t="n">
        <f aca="false">IF(M669=1,YEAR(C669),"")</f>
        <v>2022</v>
      </c>
      <c r="U669" s="13" t="str">
        <f aca="false">IF(M669=1,YEAR(C669)&amp;"-Q"&amp;ROUNDUP(MONTH(C669)/3,0),"")</f>
        <v>2022-Q1</v>
      </c>
      <c r="V669" s="13" t="n">
        <f aca="false">IF(M669=1,MONTH(C669),"")</f>
        <v>3</v>
      </c>
    </row>
    <row r="670" customFormat="false" ht="15" hidden="false" customHeight="false" outlineLevel="0" collapsed="false">
      <c r="A670" s="13" t="str">
        <f aca="false">TRIM(Raw_Data!A670)</f>
        <v>EMP0669</v>
      </c>
      <c r="B670" s="14" t="n">
        <f aca="false">Raw_Data!B670</f>
        <v>43079</v>
      </c>
      <c r="C670" s="14" t="str">
        <f aca="false">IF(Raw_Data!C670="","",Raw_Data!C670)</f>
        <v/>
      </c>
      <c r="D670" s="13" t="n">
        <f aca="false">IF(Raw_Data!D670="","",Raw_Data!D670)</f>
        <v>44</v>
      </c>
      <c r="E670" s="13" t="str">
        <f aca="false">IF(UPPER(LEFT(TRIM(Raw_Data!E670),1))="M","Male",IF(UPPER(LEFT(TRIM(Raw_Data!E670),1))="F","Female","Unknown"))</f>
        <v>Female</v>
      </c>
      <c r="F670" s="13" t="str">
        <f aca="false">PROPER(TRIM(SUBSTITUTE(Raw_Data!F670,"'","")))</f>
        <v>Diploma</v>
      </c>
      <c r="G670" s="13" t="str">
        <f aca="false">PROPER(TRIM(Raw_Data!G670))</f>
        <v>Operations</v>
      </c>
      <c r="H670" s="13" t="str">
        <f aca="false">PROPER(TRIM(Raw_Data!H670))</f>
        <v>Associate</v>
      </c>
      <c r="I670" s="13" t="n">
        <f aca="false">IF(Raw_Data!I670="",DefaultPerf,Raw_Data!I670)</f>
        <v>3</v>
      </c>
      <c r="J670" s="13" t="n">
        <f aca="false">IF(Raw_Data!J670="",DefaultSat,Raw_Data!J670)</f>
        <v>1</v>
      </c>
      <c r="K670" s="15" t="n">
        <f aca="false">Raw_Data!K670</f>
        <v>44000</v>
      </c>
      <c r="L670" s="13" t="str">
        <f aca="false">PROPER(TRIM(Raw_Data!N670))</f>
        <v>Yes</v>
      </c>
      <c r="M670" s="13" t="n">
        <f aca="false">IF(C670="",0,1)</f>
        <v>0</v>
      </c>
      <c r="N670" s="13" t="str">
        <f aca="false">IF(M670=0,"Active",IF(TRIM(Raw_Data!L670)="","Unknown",PROPER(TRIM(Raw_Data!L670))))</f>
        <v>Active</v>
      </c>
      <c r="O670" s="13" t="str">
        <f aca="false">IF(M670=0,"",IF(TRIM(Raw_Data!M670)="","Not Recorded",TRIM(Raw_Data!M670)))</f>
        <v/>
      </c>
      <c r="P670" s="16" t="n">
        <f aca="false">ROUND((IF(C670="",AsOfDate,C670)-B670)/365.25,2)</f>
        <v>8.06</v>
      </c>
      <c r="Q670" s="13" t="str">
        <f aca="false">IF(D670="","Unknown",IF(D670&lt;25,"Under 25",IF(D670&lt;35,"25-34",IF(D670&lt;45,"35-44",IF(D670&lt;55,"45-54","55+")))))</f>
        <v>35-44</v>
      </c>
      <c r="R670" s="13" t="str">
        <f aca="false">IF(P670&lt;1,"0-1 yrs",IF(P670&lt;3,"1-3 yrs",IF(P670&lt;5,"3-5 yrs",IF(P670&lt;10,"5-10 yrs","10+ yrs"))))</f>
        <v>5-10 yrs</v>
      </c>
      <c r="S670" s="13" t="str">
        <f aca="false">IF(I670&gt;=4,"High",IF(I670=3,"Medium","Low"))</f>
        <v>Medium</v>
      </c>
      <c r="T670" s="13" t="str">
        <f aca="false">IF(M670=1,YEAR(C670),"")</f>
        <v/>
      </c>
      <c r="U670" s="13" t="str">
        <f aca="false">IF(M670=1,YEAR(C670)&amp;"-Q"&amp;ROUNDUP(MONTH(C670)/3,0),"")</f>
        <v/>
      </c>
      <c r="V670" s="13" t="str">
        <f aca="false">IF(M670=1,MONTH(C670),"")</f>
        <v/>
      </c>
    </row>
    <row r="671" customFormat="false" ht="15" hidden="false" customHeight="false" outlineLevel="0" collapsed="false">
      <c r="A671" s="13" t="str">
        <f aca="false">TRIM(Raw_Data!A671)</f>
        <v>EMP0670</v>
      </c>
      <c r="B671" s="14" t="n">
        <f aca="false">Raw_Data!B671</f>
        <v>43080</v>
      </c>
      <c r="C671" s="14" t="str">
        <f aca="false">IF(Raw_Data!C671="","",Raw_Data!C671)</f>
        <v/>
      </c>
      <c r="D671" s="13" t="n">
        <f aca="false">IF(Raw_Data!D671="","",Raw_Data!D671)</f>
        <v>30</v>
      </c>
      <c r="E671" s="13" t="str">
        <f aca="false">IF(UPPER(LEFT(TRIM(Raw_Data!E671),1))="M","Male",IF(UPPER(LEFT(TRIM(Raw_Data!E671),1))="F","Female","Unknown"))</f>
        <v>Female</v>
      </c>
      <c r="F671" s="13" t="str">
        <f aca="false">PROPER(TRIM(SUBSTITUTE(Raw_Data!F671,"'","")))</f>
        <v>Bachelors</v>
      </c>
      <c r="G671" s="13" t="str">
        <f aca="false">PROPER(TRIM(Raw_Data!G671))</f>
        <v>Engineering</v>
      </c>
      <c r="H671" s="13" t="str">
        <f aca="false">PROPER(TRIM(Raw_Data!H671))</f>
        <v>Associate</v>
      </c>
      <c r="I671" s="13" t="n">
        <f aca="false">IF(Raw_Data!I671="",DefaultPerf,Raw_Data!I671)</f>
        <v>3</v>
      </c>
      <c r="J671" s="13" t="n">
        <f aca="false">IF(Raw_Data!J671="",DefaultSat,Raw_Data!J671)</f>
        <v>4</v>
      </c>
      <c r="K671" s="15" t="n">
        <f aca="false">Raw_Data!K671</f>
        <v>39500</v>
      </c>
      <c r="L671" s="13" t="str">
        <f aca="false">PROPER(TRIM(Raw_Data!N671))</f>
        <v>No</v>
      </c>
      <c r="M671" s="13" t="n">
        <f aca="false">IF(C671="",0,1)</f>
        <v>0</v>
      </c>
      <c r="N671" s="13" t="str">
        <f aca="false">IF(M671=0,"Active",IF(TRIM(Raw_Data!L671)="","Unknown",PROPER(TRIM(Raw_Data!L671))))</f>
        <v>Active</v>
      </c>
      <c r="O671" s="13" t="str">
        <f aca="false">IF(M671=0,"",IF(TRIM(Raw_Data!M671)="","Not Recorded",TRIM(Raw_Data!M671)))</f>
        <v/>
      </c>
      <c r="P671" s="16" t="n">
        <f aca="false">ROUND((IF(C671="",AsOfDate,C671)-B671)/365.25,2)</f>
        <v>8.05</v>
      </c>
      <c r="Q671" s="13" t="str">
        <f aca="false">IF(D671="","Unknown",IF(D671&lt;25,"Under 25",IF(D671&lt;35,"25-34",IF(D671&lt;45,"35-44",IF(D671&lt;55,"45-54","55+")))))</f>
        <v>25-34</v>
      </c>
      <c r="R671" s="13" t="str">
        <f aca="false">IF(P671&lt;1,"0-1 yrs",IF(P671&lt;3,"1-3 yrs",IF(P671&lt;5,"3-5 yrs",IF(P671&lt;10,"5-10 yrs","10+ yrs"))))</f>
        <v>5-10 yrs</v>
      </c>
      <c r="S671" s="13" t="str">
        <f aca="false">IF(I671&gt;=4,"High",IF(I671=3,"Medium","Low"))</f>
        <v>Medium</v>
      </c>
      <c r="T671" s="13" t="str">
        <f aca="false">IF(M671=1,YEAR(C671),"")</f>
        <v/>
      </c>
      <c r="U671" s="13" t="str">
        <f aca="false">IF(M671=1,YEAR(C671)&amp;"-Q"&amp;ROUNDUP(MONTH(C671)/3,0),"")</f>
        <v/>
      </c>
      <c r="V671" s="13" t="str">
        <f aca="false">IF(M671=1,MONTH(C671),"")</f>
        <v/>
      </c>
    </row>
    <row r="672" customFormat="false" ht="15" hidden="false" customHeight="false" outlineLevel="0" collapsed="false">
      <c r="A672" s="13" t="str">
        <f aca="false">TRIM(Raw_Data!A672)</f>
        <v>EMP0671</v>
      </c>
      <c r="B672" s="14" t="n">
        <f aca="false">Raw_Data!B672</f>
        <v>43081</v>
      </c>
      <c r="C672" s="14" t="str">
        <f aca="false">IF(Raw_Data!C672="","",Raw_Data!C672)</f>
        <v/>
      </c>
      <c r="D672" s="13" t="n">
        <f aca="false">IF(Raw_Data!D672="","",Raw_Data!D672)</f>
        <v>33</v>
      </c>
      <c r="E672" s="13" t="str">
        <f aca="false">IF(UPPER(LEFT(TRIM(Raw_Data!E672),1))="M","Male",IF(UPPER(LEFT(TRIM(Raw_Data!E672),1))="F","Female","Unknown"))</f>
        <v>Female</v>
      </c>
      <c r="F672" s="13" t="str">
        <f aca="false">PROPER(TRIM(SUBSTITUTE(Raw_Data!F672,"'","")))</f>
        <v>Doctorate</v>
      </c>
      <c r="G672" s="13" t="str">
        <f aca="false">PROPER(TRIM(Raw_Data!G672))</f>
        <v>Engineering</v>
      </c>
      <c r="H672" s="13" t="str">
        <f aca="false">PROPER(TRIM(Raw_Data!H672))</f>
        <v>Analyst</v>
      </c>
      <c r="I672" s="13" t="n">
        <f aca="false">IF(Raw_Data!I672="",DefaultPerf,Raw_Data!I672)</f>
        <v>2</v>
      </c>
      <c r="J672" s="13" t="n">
        <f aca="false">IF(Raw_Data!J672="",DefaultSat,Raw_Data!J672)</f>
        <v>3</v>
      </c>
      <c r="K672" s="15" t="n">
        <f aca="false">Raw_Data!K672</f>
        <v>64500</v>
      </c>
      <c r="L672" s="13" t="str">
        <f aca="false">PROPER(TRIM(Raw_Data!N672))</f>
        <v>No</v>
      </c>
      <c r="M672" s="13" t="n">
        <f aca="false">IF(C672="",0,1)</f>
        <v>0</v>
      </c>
      <c r="N672" s="13" t="str">
        <f aca="false">IF(M672=0,"Active",IF(TRIM(Raw_Data!L672)="","Unknown",PROPER(TRIM(Raw_Data!L672))))</f>
        <v>Active</v>
      </c>
      <c r="O672" s="13" t="str">
        <f aca="false">IF(M672=0,"",IF(TRIM(Raw_Data!M672)="","Not Recorded",TRIM(Raw_Data!M672)))</f>
        <v/>
      </c>
      <c r="P672" s="16" t="n">
        <f aca="false">ROUND((IF(C672="",AsOfDate,C672)-B672)/365.25,2)</f>
        <v>8.05</v>
      </c>
      <c r="Q672" s="13" t="str">
        <f aca="false">IF(D672="","Unknown",IF(D672&lt;25,"Under 25",IF(D672&lt;35,"25-34",IF(D672&lt;45,"35-44",IF(D672&lt;55,"45-54","55+")))))</f>
        <v>25-34</v>
      </c>
      <c r="R672" s="13" t="str">
        <f aca="false">IF(P672&lt;1,"0-1 yrs",IF(P672&lt;3,"1-3 yrs",IF(P672&lt;5,"3-5 yrs",IF(P672&lt;10,"5-10 yrs","10+ yrs"))))</f>
        <v>5-10 yrs</v>
      </c>
      <c r="S672" s="13" t="str">
        <f aca="false">IF(I672&gt;=4,"High",IF(I672=3,"Medium","Low"))</f>
        <v>Low</v>
      </c>
      <c r="T672" s="13" t="str">
        <f aca="false">IF(M672=1,YEAR(C672),"")</f>
        <v/>
      </c>
      <c r="U672" s="13" t="str">
        <f aca="false">IF(M672=1,YEAR(C672)&amp;"-Q"&amp;ROUNDUP(MONTH(C672)/3,0),"")</f>
        <v/>
      </c>
      <c r="V672" s="13" t="str">
        <f aca="false">IF(M672=1,MONTH(C672),"")</f>
        <v/>
      </c>
    </row>
    <row r="673" customFormat="false" ht="15" hidden="false" customHeight="false" outlineLevel="0" collapsed="false">
      <c r="A673" s="13" t="str">
        <f aca="false">TRIM(Raw_Data!A673)</f>
        <v>EMP0672</v>
      </c>
      <c r="B673" s="14" t="n">
        <f aca="false">Raw_Data!B673</f>
        <v>43082</v>
      </c>
      <c r="C673" s="14" t="n">
        <f aca="false">IF(Raw_Data!C673="","",Raw_Data!C673)</f>
        <v>44631</v>
      </c>
      <c r="D673" s="13" t="n">
        <f aca="false">IF(Raw_Data!D673="","",Raw_Data!D673)</f>
        <v>25</v>
      </c>
      <c r="E673" s="13" t="str">
        <f aca="false">IF(UPPER(LEFT(TRIM(Raw_Data!E673),1))="M","Male",IF(UPPER(LEFT(TRIM(Raw_Data!E673),1))="F","Female","Unknown"))</f>
        <v>Female</v>
      </c>
      <c r="F673" s="13" t="str">
        <f aca="false">PROPER(TRIM(SUBSTITUTE(Raw_Data!F673,"'","")))</f>
        <v>Diploma</v>
      </c>
      <c r="G673" s="13" t="str">
        <f aca="false">PROPER(TRIM(Raw_Data!G673))</f>
        <v>Operations</v>
      </c>
      <c r="H673" s="13" t="str">
        <f aca="false">PROPER(TRIM(Raw_Data!H673))</f>
        <v>Senior Analyst</v>
      </c>
      <c r="I673" s="13" t="n">
        <f aca="false">IF(Raw_Data!I673="",DefaultPerf,Raw_Data!I673)</f>
        <v>4</v>
      </c>
      <c r="J673" s="13" t="n">
        <f aca="false">IF(Raw_Data!J673="",DefaultSat,Raw_Data!J673)</f>
        <v>3</v>
      </c>
      <c r="K673" s="15" t="n">
        <f aca="false">Raw_Data!K673</f>
        <v>125500</v>
      </c>
      <c r="L673" s="13" t="str">
        <f aca="false">PROPER(TRIM(Raw_Data!N673))</f>
        <v>No</v>
      </c>
      <c r="M673" s="13" t="n">
        <f aca="false">IF(C673="",0,1)</f>
        <v>1</v>
      </c>
      <c r="N673" s="13" t="str">
        <f aca="false">IF(M673=0,"Active",IF(TRIM(Raw_Data!L673)="","Unknown",PROPER(TRIM(Raw_Data!L673))))</f>
        <v>Voluntary</v>
      </c>
      <c r="O673" s="13" t="str">
        <f aca="false">IF(M673=0,"",IF(TRIM(Raw_Data!M673)="","Not Recorded",TRIM(Raw_Data!M673)))</f>
        <v>Not Recorded</v>
      </c>
      <c r="P673" s="16" t="n">
        <f aca="false">ROUND((IF(C673="",AsOfDate,C673)-B673)/365.25,2)</f>
        <v>4.24</v>
      </c>
      <c r="Q673" s="13" t="str">
        <f aca="false">IF(D673="","Unknown",IF(D673&lt;25,"Under 25",IF(D673&lt;35,"25-34",IF(D673&lt;45,"35-44",IF(D673&lt;55,"45-54","55+")))))</f>
        <v>25-34</v>
      </c>
      <c r="R673" s="13" t="str">
        <f aca="false">IF(P673&lt;1,"0-1 yrs",IF(P673&lt;3,"1-3 yrs",IF(P673&lt;5,"3-5 yrs",IF(P673&lt;10,"5-10 yrs","10+ yrs"))))</f>
        <v>3-5 yrs</v>
      </c>
      <c r="S673" s="13" t="str">
        <f aca="false">IF(I673&gt;=4,"High",IF(I673=3,"Medium","Low"))</f>
        <v>High</v>
      </c>
      <c r="T673" s="13" t="n">
        <f aca="false">IF(M673=1,YEAR(C673),"")</f>
        <v>2022</v>
      </c>
      <c r="U673" s="13" t="str">
        <f aca="false">IF(M673=1,YEAR(C673)&amp;"-Q"&amp;ROUNDUP(MONTH(C673)/3,0),"")</f>
        <v>2022-Q1</v>
      </c>
      <c r="V673" s="13" t="n">
        <f aca="false">IF(M673=1,MONTH(C673),"")</f>
        <v>3</v>
      </c>
    </row>
    <row r="674" customFormat="false" ht="15" hidden="false" customHeight="false" outlineLevel="0" collapsed="false">
      <c r="A674" s="13" t="str">
        <f aca="false">TRIM(Raw_Data!A674)</f>
        <v>EMP0673</v>
      </c>
      <c r="B674" s="14" t="n">
        <f aca="false">Raw_Data!B674</f>
        <v>43088</v>
      </c>
      <c r="C674" s="14" t="n">
        <f aca="false">IF(Raw_Data!C674="","",Raw_Data!C674)</f>
        <v>45025</v>
      </c>
      <c r="D674" s="13" t="n">
        <f aca="false">IF(Raw_Data!D674="","",Raw_Data!D674)</f>
        <v>34</v>
      </c>
      <c r="E674" s="13" t="str">
        <f aca="false">IF(UPPER(LEFT(TRIM(Raw_Data!E674),1))="M","Male",IF(UPPER(LEFT(TRIM(Raw_Data!E674),1))="F","Female","Unknown"))</f>
        <v>Male</v>
      </c>
      <c r="F674" s="13" t="str">
        <f aca="false">PROPER(TRIM(SUBSTITUTE(Raw_Data!F674,"'","")))</f>
        <v>Bachelors</v>
      </c>
      <c r="G674" s="13" t="str">
        <f aca="false">PROPER(TRIM(Raw_Data!G674))</f>
        <v>Operations</v>
      </c>
      <c r="H674" s="13" t="str">
        <f aca="false">PROPER(TRIM(Raw_Data!H674))</f>
        <v>Team Lead</v>
      </c>
      <c r="I674" s="13" t="n">
        <f aca="false">IF(Raw_Data!I674="",DefaultPerf,Raw_Data!I674)</f>
        <v>4</v>
      </c>
      <c r="J674" s="13" t="n">
        <f aca="false">IF(Raw_Data!J674="",DefaultSat,Raw_Data!J674)</f>
        <v>1</v>
      </c>
      <c r="K674" s="15" t="n">
        <f aca="false">Raw_Data!K674</f>
        <v>151500</v>
      </c>
      <c r="L674" s="13" t="str">
        <f aca="false">PROPER(TRIM(Raw_Data!N674))</f>
        <v>No</v>
      </c>
      <c r="M674" s="13" t="n">
        <f aca="false">IF(C674="",0,1)</f>
        <v>1</v>
      </c>
      <c r="N674" s="13" t="str">
        <f aca="false">IF(M674=0,"Active",IF(TRIM(Raw_Data!L674)="","Unknown",PROPER(TRIM(Raw_Data!L674))))</f>
        <v>Voluntary</v>
      </c>
      <c r="O674" s="13" t="str">
        <f aca="false">IF(M674=0,"",IF(TRIM(Raw_Data!M674)="","Not Recorded",TRIM(Raw_Data!M674)))</f>
        <v>Job Dissatisfaction</v>
      </c>
      <c r="P674" s="16" t="n">
        <f aca="false">ROUND((IF(C674="",AsOfDate,C674)-B674)/365.25,2)</f>
        <v>5.3</v>
      </c>
      <c r="Q674" s="13" t="str">
        <f aca="false">IF(D674="","Unknown",IF(D674&lt;25,"Under 25",IF(D674&lt;35,"25-34",IF(D674&lt;45,"35-44",IF(D674&lt;55,"45-54","55+")))))</f>
        <v>25-34</v>
      </c>
      <c r="R674" s="13" t="str">
        <f aca="false">IF(P674&lt;1,"0-1 yrs",IF(P674&lt;3,"1-3 yrs",IF(P674&lt;5,"3-5 yrs",IF(P674&lt;10,"5-10 yrs","10+ yrs"))))</f>
        <v>5-10 yrs</v>
      </c>
      <c r="S674" s="13" t="str">
        <f aca="false">IF(I674&gt;=4,"High",IF(I674=3,"Medium","Low"))</f>
        <v>High</v>
      </c>
      <c r="T674" s="13" t="n">
        <f aca="false">IF(M674=1,YEAR(C674),"")</f>
        <v>2023</v>
      </c>
      <c r="U674" s="13" t="str">
        <f aca="false">IF(M674=1,YEAR(C674)&amp;"-Q"&amp;ROUNDUP(MONTH(C674)/3,0),"")</f>
        <v>2023-Q2</v>
      </c>
      <c r="V674" s="13" t="n">
        <f aca="false">IF(M674=1,MONTH(C674),"")</f>
        <v>4</v>
      </c>
    </row>
    <row r="675" customFormat="false" ht="15" hidden="false" customHeight="false" outlineLevel="0" collapsed="false">
      <c r="A675" s="13" t="str">
        <f aca="false">TRIM(Raw_Data!A675)</f>
        <v>EMP0674</v>
      </c>
      <c r="B675" s="14" t="n">
        <f aca="false">Raw_Data!B675</f>
        <v>43088</v>
      </c>
      <c r="C675" s="14" t="str">
        <f aca="false">IF(Raw_Data!C675="","",Raw_Data!C675)</f>
        <v/>
      </c>
      <c r="D675" s="13" t="n">
        <f aca="false">IF(Raw_Data!D675="","",Raw_Data!D675)</f>
        <v>40</v>
      </c>
      <c r="E675" s="13" t="str">
        <f aca="false">IF(UPPER(LEFT(TRIM(Raw_Data!E675),1))="M","Male",IF(UPPER(LEFT(TRIM(Raw_Data!E675),1))="F","Female","Unknown"))</f>
        <v>Male</v>
      </c>
      <c r="F675" s="13" t="str">
        <f aca="false">PROPER(TRIM(SUBSTITUTE(Raw_Data!F675,"'","")))</f>
        <v>High School</v>
      </c>
      <c r="G675" s="13" t="str">
        <f aca="false">PROPER(TRIM(Raw_Data!G675))</f>
        <v>Operations</v>
      </c>
      <c r="H675" s="13" t="str">
        <f aca="false">PROPER(TRIM(Raw_Data!H675))</f>
        <v>Analyst</v>
      </c>
      <c r="I675" s="13" t="n">
        <f aca="false">IF(Raw_Data!I675="",DefaultPerf,Raw_Data!I675)</f>
        <v>4</v>
      </c>
      <c r="J675" s="13" t="n">
        <f aca="false">IF(Raw_Data!J675="",DefaultSat,Raw_Data!J675)</f>
        <v>4</v>
      </c>
      <c r="K675" s="15" t="n">
        <f aca="false">Raw_Data!K675</f>
        <v>71000</v>
      </c>
      <c r="L675" s="13" t="str">
        <f aca="false">PROPER(TRIM(Raw_Data!N675))</f>
        <v>Yes</v>
      </c>
      <c r="M675" s="13" t="n">
        <f aca="false">IF(C675="",0,1)</f>
        <v>0</v>
      </c>
      <c r="N675" s="13" t="str">
        <f aca="false">IF(M675=0,"Active",IF(TRIM(Raw_Data!L675)="","Unknown",PROPER(TRIM(Raw_Data!L675))))</f>
        <v>Active</v>
      </c>
      <c r="O675" s="13" t="str">
        <f aca="false">IF(M675=0,"",IF(TRIM(Raw_Data!M675)="","Not Recorded",TRIM(Raw_Data!M675)))</f>
        <v/>
      </c>
      <c r="P675" s="16" t="n">
        <f aca="false">ROUND((IF(C675="",AsOfDate,C675)-B675)/365.25,2)</f>
        <v>8.03</v>
      </c>
      <c r="Q675" s="13" t="str">
        <f aca="false">IF(D675="","Unknown",IF(D675&lt;25,"Under 25",IF(D675&lt;35,"25-34",IF(D675&lt;45,"35-44",IF(D675&lt;55,"45-54","55+")))))</f>
        <v>35-44</v>
      </c>
      <c r="R675" s="13" t="str">
        <f aca="false">IF(P675&lt;1,"0-1 yrs",IF(P675&lt;3,"1-3 yrs",IF(P675&lt;5,"3-5 yrs",IF(P675&lt;10,"5-10 yrs","10+ yrs"))))</f>
        <v>5-10 yrs</v>
      </c>
      <c r="S675" s="13" t="str">
        <f aca="false">IF(I675&gt;=4,"High",IF(I675=3,"Medium","Low"))</f>
        <v>High</v>
      </c>
      <c r="T675" s="13" t="str">
        <f aca="false">IF(M675=1,YEAR(C675),"")</f>
        <v/>
      </c>
      <c r="U675" s="13" t="str">
        <f aca="false">IF(M675=1,YEAR(C675)&amp;"-Q"&amp;ROUNDUP(MONTH(C675)/3,0),"")</f>
        <v/>
      </c>
      <c r="V675" s="13" t="str">
        <f aca="false">IF(M675=1,MONTH(C675),"")</f>
        <v/>
      </c>
    </row>
    <row r="676" customFormat="false" ht="15" hidden="false" customHeight="false" outlineLevel="0" collapsed="false">
      <c r="A676" s="13" t="str">
        <f aca="false">TRIM(Raw_Data!A676)</f>
        <v>EMP0675</v>
      </c>
      <c r="B676" s="14" t="n">
        <f aca="false">Raw_Data!B676</f>
        <v>43088</v>
      </c>
      <c r="C676" s="14" t="n">
        <f aca="false">IF(Raw_Data!C676="","",Raw_Data!C676)</f>
        <v>44971</v>
      </c>
      <c r="D676" s="13" t="n">
        <f aca="false">IF(Raw_Data!D676="","",Raw_Data!D676)</f>
        <v>43</v>
      </c>
      <c r="E676" s="13" t="str">
        <f aca="false">IF(UPPER(LEFT(TRIM(Raw_Data!E676),1))="M","Male",IF(UPPER(LEFT(TRIM(Raw_Data!E676),1))="F","Female","Unknown"))</f>
        <v>Male</v>
      </c>
      <c r="F676" s="13" t="str">
        <f aca="false">PROPER(TRIM(SUBSTITUTE(Raw_Data!F676,"'","")))</f>
        <v>Bachelors</v>
      </c>
      <c r="G676" s="13" t="str">
        <f aca="false">PROPER(TRIM(Raw_Data!G676))</f>
        <v>Sales</v>
      </c>
      <c r="H676" s="13" t="str">
        <f aca="false">PROPER(TRIM(Raw_Data!H676))</f>
        <v>Associate</v>
      </c>
      <c r="I676" s="13" t="n">
        <f aca="false">IF(Raw_Data!I676="",DefaultPerf,Raw_Data!I676)</f>
        <v>2</v>
      </c>
      <c r="J676" s="13" t="n">
        <f aca="false">IF(Raw_Data!J676="",DefaultSat,Raw_Data!J676)</f>
        <v>3</v>
      </c>
      <c r="K676" s="15" t="n">
        <f aca="false">Raw_Data!K676</f>
        <v>42000</v>
      </c>
      <c r="L676" s="13" t="str">
        <f aca="false">PROPER(TRIM(Raw_Data!N676))</f>
        <v>No</v>
      </c>
      <c r="M676" s="13" t="n">
        <f aca="false">IF(C676="",0,1)</f>
        <v>1</v>
      </c>
      <c r="N676" s="13" t="str">
        <f aca="false">IF(M676=0,"Active",IF(TRIM(Raw_Data!L676)="","Unknown",PROPER(TRIM(Raw_Data!L676))))</f>
        <v>Involuntary</v>
      </c>
      <c r="O676" s="13" t="str">
        <f aca="false">IF(M676=0,"",IF(TRIM(Raw_Data!M676)="","Not Recorded",TRIM(Raw_Data!M676)))</f>
        <v>Policy Violation</v>
      </c>
      <c r="P676" s="16" t="n">
        <f aca="false">ROUND((IF(C676="",AsOfDate,C676)-B676)/365.25,2)</f>
        <v>5.16</v>
      </c>
      <c r="Q676" s="13" t="str">
        <f aca="false">IF(D676="","Unknown",IF(D676&lt;25,"Under 25",IF(D676&lt;35,"25-34",IF(D676&lt;45,"35-44",IF(D676&lt;55,"45-54","55+")))))</f>
        <v>35-44</v>
      </c>
      <c r="R676" s="13" t="str">
        <f aca="false">IF(P676&lt;1,"0-1 yrs",IF(P676&lt;3,"1-3 yrs",IF(P676&lt;5,"3-5 yrs",IF(P676&lt;10,"5-10 yrs","10+ yrs"))))</f>
        <v>5-10 yrs</v>
      </c>
      <c r="S676" s="13" t="str">
        <f aca="false">IF(I676&gt;=4,"High",IF(I676=3,"Medium","Low"))</f>
        <v>Low</v>
      </c>
      <c r="T676" s="13" t="n">
        <f aca="false">IF(M676=1,YEAR(C676),"")</f>
        <v>2023</v>
      </c>
      <c r="U676" s="13" t="str">
        <f aca="false">IF(M676=1,YEAR(C676)&amp;"-Q"&amp;ROUNDUP(MONTH(C676)/3,0),"")</f>
        <v>2023-Q1</v>
      </c>
      <c r="V676" s="13" t="n">
        <f aca="false">IF(M676=1,MONTH(C676),"")</f>
        <v>2</v>
      </c>
    </row>
    <row r="677" customFormat="false" ht="15" hidden="false" customHeight="false" outlineLevel="0" collapsed="false">
      <c r="A677" s="13" t="str">
        <f aca="false">TRIM(Raw_Data!A677)</f>
        <v>EMP0676</v>
      </c>
      <c r="B677" s="14" t="n">
        <f aca="false">Raw_Data!B677</f>
        <v>43094</v>
      </c>
      <c r="C677" s="14" t="n">
        <f aca="false">IF(Raw_Data!C677="","",Raw_Data!C677)</f>
        <v>45898</v>
      </c>
      <c r="D677" s="13" t="n">
        <f aca="false">IF(Raw_Data!D677="","",Raw_Data!D677)</f>
        <v>40</v>
      </c>
      <c r="E677" s="13" t="str">
        <f aca="false">IF(UPPER(LEFT(TRIM(Raw_Data!E677),1))="M","Male",IF(UPPER(LEFT(TRIM(Raw_Data!E677),1))="F","Female","Unknown"))</f>
        <v>Female</v>
      </c>
      <c r="F677" s="13" t="str">
        <f aca="false">PROPER(TRIM(SUBSTITUTE(Raw_Data!F677,"'","")))</f>
        <v>Masters</v>
      </c>
      <c r="G677" s="13" t="str">
        <f aca="false">PROPER(TRIM(Raw_Data!G677))</f>
        <v>Operations</v>
      </c>
      <c r="H677" s="13" t="str">
        <f aca="false">PROPER(TRIM(Raw_Data!H677))</f>
        <v>Specialist</v>
      </c>
      <c r="I677" s="13" t="n">
        <f aca="false">IF(Raw_Data!I677="",DefaultPerf,Raw_Data!I677)</f>
        <v>3</v>
      </c>
      <c r="J677" s="13" t="n">
        <f aca="false">IF(Raw_Data!J677="",DefaultSat,Raw_Data!J677)</f>
        <v>2</v>
      </c>
      <c r="K677" s="15" t="n">
        <f aca="false">Raw_Data!K677</f>
        <v>97500</v>
      </c>
      <c r="L677" s="13" t="str">
        <f aca="false">PROPER(TRIM(Raw_Data!N677))</f>
        <v>No</v>
      </c>
      <c r="M677" s="13" t="n">
        <f aca="false">IF(C677="",0,1)</f>
        <v>1</v>
      </c>
      <c r="N677" s="13" t="str">
        <f aca="false">IF(M677=0,"Active",IF(TRIM(Raw_Data!L677)="","Unknown",PROPER(TRIM(Raw_Data!L677))))</f>
        <v>Voluntary</v>
      </c>
      <c r="O677" s="13" t="str">
        <f aca="false">IF(M677=0,"",IF(TRIM(Raw_Data!M677)="","Not Recorded",TRIM(Raw_Data!M677)))</f>
        <v>Career Growth</v>
      </c>
      <c r="P677" s="16" t="n">
        <f aca="false">ROUND((IF(C677="",AsOfDate,C677)-B677)/365.25,2)</f>
        <v>7.68</v>
      </c>
      <c r="Q677" s="13" t="str">
        <f aca="false">IF(D677="","Unknown",IF(D677&lt;25,"Under 25",IF(D677&lt;35,"25-34",IF(D677&lt;45,"35-44",IF(D677&lt;55,"45-54","55+")))))</f>
        <v>35-44</v>
      </c>
      <c r="R677" s="13" t="str">
        <f aca="false">IF(P677&lt;1,"0-1 yrs",IF(P677&lt;3,"1-3 yrs",IF(P677&lt;5,"3-5 yrs",IF(P677&lt;10,"5-10 yrs","10+ yrs"))))</f>
        <v>5-10 yrs</v>
      </c>
      <c r="S677" s="13" t="str">
        <f aca="false">IF(I677&gt;=4,"High",IF(I677=3,"Medium","Low"))</f>
        <v>Medium</v>
      </c>
      <c r="T677" s="13" t="n">
        <f aca="false">IF(M677=1,YEAR(C677),"")</f>
        <v>2025</v>
      </c>
      <c r="U677" s="13" t="str">
        <f aca="false">IF(M677=1,YEAR(C677)&amp;"-Q"&amp;ROUNDUP(MONTH(C677)/3,0),"")</f>
        <v>2025-Q3</v>
      </c>
      <c r="V677" s="13" t="n">
        <f aca="false">IF(M677=1,MONTH(C677),"")</f>
        <v>8</v>
      </c>
    </row>
    <row r="678" customFormat="false" ht="15" hidden="false" customHeight="false" outlineLevel="0" collapsed="false">
      <c r="A678" s="13" t="str">
        <f aca="false">TRIM(Raw_Data!A678)</f>
        <v>EMP0677</v>
      </c>
      <c r="B678" s="14" t="n">
        <f aca="false">Raw_Data!B678</f>
        <v>43095</v>
      </c>
      <c r="C678" s="14" t="str">
        <f aca="false">IF(Raw_Data!C678="","",Raw_Data!C678)</f>
        <v/>
      </c>
      <c r="D678" s="13" t="n">
        <f aca="false">IF(Raw_Data!D678="","",Raw_Data!D678)</f>
        <v>37</v>
      </c>
      <c r="E678" s="13" t="str">
        <f aca="false">IF(UPPER(LEFT(TRIM(Raw_Data!E678),1))="M","Male",IF(UPPER(LEFT(TRIM(Raw_Data!E678),1))="F","Female","Unknown"))</f>
        <v>Male</v>
      </c>
      <c r="F678" s="13" t="str">
        <f aca="false">PROPER(TRIM(SUBSTITUTE(Raw_Data!F678,"'","")))</f>
        <v>Bachelors</v>
      </c>
      <c r="G678" s="13" t="str">
        <f aca="false">PROPER(TRIM(Raw_Data!G678))</f>
        <v>Customer Support</v>
      </c>
      <c r="H678" s="13" t="str">
        <f aca="false">PROPER(TRIM(Raw_Data!H678))</f>
        <v>Senior Analyst</v>
      </c>
      <c r="I678" s="13" t="n">
        <f aca="false">IF(Raw_Data!I678="",DefaultPerf,Raw_Data!I678)</f>
        <v>3</v>
      </c>
      <c r="J678" s="13" t="n">
        <f aca="false">IF(Raw_Data!J678="",DefaultSat,Raw_Data!J678)</f>
        <v>1</v>
      </c>
      <c r="K678" s="15" t="n">
        <f aca="false">Raw_Data!K678</f>
        <v>105500</v>
      </c>
      <c r="L678" s="13" t="str">
        <f aca="false">PROPER(TRIM(Raw_Data!N678))</f>
        <v>No</v>
      </c>
      <c r="M678" s="13" t="n">
        <f aca="false">IF(C678="",0,1)</f>
        <v>0</v>
      </c>
      <c r="N678" s="13" t="str">
        <f aca="false">IF(M678=0,"Active",IF(TRIM(Raw_Data!L678)="","Unknown",PROPER(TRIM(Raw_Data!L678))))</f>
        <v>Active</v>
      </c>
      <c r="O678" s="13" t="str">
        <f aca="false">IF(M678=0,"",IF(TRIM(Raw_Data!M678)="","Not Recorded",TRIM(Raw_Data!M678)))</f>
        <v/>
      </c>
      <c r="P678" s="16" t="n">
        <f aca="false">ROUND((IF(C678="",AsOfDate,C678)-B678)/365.25,2)</f>
        <v>8.01</v>
      </c>
      <c r="Q678" s="13" t="str">
        <f aca="false">IF(D678="","Unknown",IF(D678&lt;25,"Under 25",IF(D678&lt;35,"25-34",IF(D678&lt;45,"35-44",IF(D678&lt;55,"45-54","55+")))))</f>
        <v>35-44</v>
      </c>
      <c r="R678" s="13" t="str">
        <f aca="false">IF(P678&lt;1,"0-1 yrs",IF(P678&lt;3,"1-3 yrs",IF(P678&lt;5,"3-5 yrs",IF(P678&lt;10,"5-10 yrs","10+ yrs"))))</f>
        <v>5-10 yrs</v>
      </c>
      <c r="S678" s="13" t="str">
        <f aca="false">IF(I678&gt;=4,"High",IF(I678=3,"Medium","Low"))</f>
        <v>Medium</v>
      </c>
      <c r="T678" s="13" t="str">
        <f aca="false">IF(M678=1,YEAR(C678),"")</f>
        <v/>
      </c>
      <c r="U678" s="13" t="str">
        <f aca="false">IF(M678=1,YEAR(C678)&amp;"-Q"&amp;ROUNDUP(MONTH(C678)/3,0),"")</f>
        <v/>
      </c>
      <c r="V678" s="13" t="str">
        <f aca="false">IF(M678=1,MONTH(C678),"")</f>
        <v/>
      </c>
    </row>
    <row r="679" customFormat="false" ht="15" hidden="false" customHeight="false" outlineLevel="0" collapsed="false">
      <c r="A679" s="13" t="str">
        <f aca="false">TRIM(Raw_Data!A679)</f>
        <v>EMP0678</v>
      </c>
      <c r="B679" s="14" t="n">
        <f aca="false">Raw_Data!B679</f>
        <v>43096</v>
      </c>
      <c r="C679" s="14" t="str">
        <f aca="false">IF(Raw_Data!C679="","",Raw_Data!C679)</f>
        <v/>
      </c>
      <c r="D679" s="13" t="n">
        <f aca="false">IF(Raw_Data!D679="","",Raw_Data!D679)</f>
        <v>34</v>
      </c>
      <c r="E679" s="13" t="str">
        <f aca="false">IF(UPPER(LEFT(TRIM(Raw_Data!E679),1))="M","Male",IF(UPPER(LEFT(TRIM(Raw_Data!E679),1))="F","Female","Unknown"))</f>
        <v>Male</v>
      </c>
      <c r="F679" s="13" t="str">
        <f aca="false">PROPER(TRIM(SUBSTITUTE(Raw_Data!F679,"'","")))</f>
        <v>Masters</v>
      </c>
      <c r="G679" s="13" t="str">
        <f aca="false">PROPER(TRIM(Raw_Data!G679))</f>
        <v>Customer Support</v>
      </c>
      <c r="H679" s="13" t="str">
        <f aca="false">PROPER(TRIM(Raw_Data!H679))</f>
        <v>Analyst</v>
      </c>
      <c r="I679" s="13" t="n">
        <f aca="false">IF(Raw_Data!I679="",DefaultPerf,Raw_Data!I679)</f>
        <v>3</v>
      </c>
      <c r="J679" s="13" t="n">
        <f aca="false">IF(Raw_Data!J679="",DefaultSat,Raw_Data!J679)</f>
        <v>3</v>
      </c>
      <c r="K679" s="15" t="n">
        <f aca="false">Raw_Data!K679</f>
        <v>69000</v>
      </c>
      <c r="L679" s="13" t="str">
        <f aca="false">PROPER(TRIM(Raw_Data!N679))</f>
        <v>No</v>
      </c>
      <c r="M679" s="13" t="n">
        <f aca="false">IF(C679="",0,1)</f>
        <v>0</v>
      </c>
      <c r="N679" s="13" t="str">
        <f aca="false">IF(M679=0,"Active",IF(TRIM(Raw_Data!L679)="","Unknown",PROPER(TRIM(Raw_Data!L679))))</f>
        <v>Active</v>
      </c>
      <c r="O679" s="13" t="str">
        <f aca="false">IF(M679=0,"",IF(TRIM(Raw_Data!M679)="","Not Recorded",TRIM(Raw_Data!M679)))</f>
        <v/>
      </c>
      <c r="P679" s="16" t="n">
        <f aca="false">ROUND((IF(C679="",AsOfDate,C679)-B679)/365.25,2)</f>
        <v>8.01</v>
      </c>
      <c r="Q679" s="13" t="str">
        <f aca="false">IF(D679="","Unknown",IF(D679&lt;25,"Under 25",IF(D679&lt;35,"25-34",IF(D679&lt;45,"35-44",IF(D679&lt;55,"45-54","55+")))))</f>
        <v>25-34</v>
      </c>
      <c r="R679" s="13" t="str">
        <f aca="false">IF(P679&lt;1,"0-1 yrs",IF(P679&lt;3,"1-3 yrs",IF(P679&lt;5,"3-5 yrs",IF(P679&lt;10,"5-10 yrs","10+ yrs"))))</f>
        <v>5-10 yrs</v>
      </c>
      <c r="S679" s="13" t="str">
        <f aca="false">IF(I679&gt;=4,"High",IF(I679=3,"Medium","Low"))</f>
        <v>Medium</v>
      </c>
      <c r="T679" s="13" t="str">
        <f aca="false">IF(M679=1,YEAR(C679),"")</f>
        <v/>
      </c>
      <c r="U679" s="13" t="str">
        <f aca="false">IF(M679=1,YEAR(C679)&amp;"-Q"&amp;ROUNDUP(MONTH(C679)/3,0),"")</f>
        <v/>
      </c>
      <c r="V679" s="13" t="str">
        <f aca="false">IF(M679=1,MONTH(C679),"")</f>
        <v/>
      </c>
    </row>
    <row r="680" customFormat="false" ht="15" hidden="false" customHeight="false" outlineLevel="0" collapsed="false">
      <c r="A680" s="13" t="str">
        <f aca="false">TRIM(Raw_Data!A680)</f>
        <v>EMP0679</v>
      </c>
      <c r="B680" s="14" t="n">
        <f aca="false">Raw_Data!B680</f>
        <v>43096</v>
      </c>
      <c r="C680" s="14" t="str">
        <f aca="false">IF(Raw_Data!C680="","",Raw_Data!C680)</f>
        <v/>
      </c>
      <c r="D680" s="13" t="n">
        <f aca="false">IF(Raw_Data!D680="","",Raw_Data!D680)</f>
        <v>36</v>
      </c>
      <c r="E680" s="13" t="str">
        <f aca="false">IF(UPPER(LEFT(TRIM(Raw_Data!E680),1))="M","Male",IF(UPPER(LEFT(TRIM(Raw_Data!E680),1))="F","Female","Unknown"))</f>
        <v>Female</v>
      </c>
      <c r="F680" s="13" t="str">
        <f aca="false">PROPER(TRIM(SUBSTITUTE(Raw_Data!F680,"'","")))</f>
        <v>Doctorate</v>
      </c>
      <c r="G680" s="13" t="str">
        <f aca="false">PROPER(TRIM(Raw_Data!G680))</f>
        <v>Sales</v>
      </c>
      <c r="H680" s="13" t="str">
        <f aca="false">PROPER(TRIM(Raw_Data!H680))</f>
        <v>Senior Analyst</v>
      </c>
      <c r="I680" s="13" t="n">
        <f aca="false">IF(Raw_Data!I680="",DefaultPerf,Raw_Data!I680)</f>
        <v>3</v>
      </c>
      <c r="J680" s="13" t="n">
        <f aca="false">IF(Raw_Data!J680="",DefaultSat,Raw_Data!J680)</f>
        <v>4</v>
      </c>
      <c r="K680" s="15" t="n">
        <f aca="false">Raw_Data!K680</f>
        <v>99500</v>
      </c>
      <c r="L680" s="13" t="str">
        <f aca="false">PROPER(TRIM(Raw_Data!N680))</f>
        <v>Yes</v>
      </c>
      <c r="M680" s="13" t="n">
        <f aca="false">IF(C680="",0,1)</f>
        <v>0</v>
      </c>
      <c r="N680" s="13" t="str">
        <f aca="false">IF(M680=0,"Active",IF(TRIM(Raw_Data!L680)="","Unknown",PROPER(TRIM(Raw_Data!L680))))</f>
        <v>Active</v>
      </c>
      <c r="O680" s="13" t="str">
        <f aca="false">IF(M680=0,"",IF(TRIM(Raw_Data!M680)="","Not Recorded",TRIM(Raw_Data!M680)))</f>
        <v/>
      </c>
      <c r="P680" s="16" t="n">
        <f aca="false">ROUND((IF(C680="",AsOfDate,C680)-B680)/365.25,2)</f>
        <v>8.01</v>
      </c>
      <c r="Q680" s="13" t="str">
        <f aca="false">IF(D680="","Unknown",IF(D680&lt;25,"Under 25",IF(D680&lt;35,"25-34",IF(D680&lt;45,"35-44",IF(D680&lt;55,"45-54","55+")))))</f>
        <v>35-44</v>
      </c>
      <c r="R680" s="13" t="str">
        <f aca="false">IF(P680&lt;1,"0-1 yrs",IF(P680&lt;3,"1-3 yrs",IF(P680&lt;5,"3-5 yrs",IF(P680&lt;10,"5-10 yrs","10+ yrs"))))</f>
        <v>5-10 yrs</v>
      </c>
      <c r="S680" s="13" t="str">
        <f aca="false">IF(I680&gt;=4,"High",IF(I680=3,"Medium","Low"))</f>
        <v>Medium</v>
      </c>
      <c r="T680" s="13" t="str">
        <f aca="false">IF(M680=1,YEAR(C680),"")</f>
        <v/>
      </c>
      <c r="U680" s="13" t="str">
        <f aca="false">IF(M680=1,YEAR(C680)&amp;"-Q"&amp;ROUNDUP(MONTH(C680)/3,0),"")</f>
        <v/>
      </c>
      <c r="V680" s="13" t="str">
        <f aca="false">IF(M680=1,MONTH(C680),"")</f>
        <v/>
      </c>
    </row>
    <row r="681" customFormat="false" ht="15" hidden="false" customHeight="false" outlineLevel="0" collapsed="false">
      <c r="A681" s="13" t="str">
        <f aca="false">TRIM(Raw_Data!A681)</f>
        <v>EMP0680</v>
      </c>
      <c r="B681" s="14" t="n">
        <f aca="false">Raw_Data!B681</f>
        <v>43097</v>
      </c>
      <c r="C681" s="14" t="n">
        <f aca="false">IF(Raw_Data!C681="","",Raw_Data!C681)</f>
        <v>44637</v>
      </c>
      <c r="D681" s="13" t="n">
        <f aca="false">IF(Raw_Data!D681="","",Raw_Data!D681)</f>
        <v>44</v>
      </c>
      <c r="E681" s="13" t="str">
        <f aca="false">IF(UPPER(LEFT(TRIM(Raw_Data!E681),1))="M","Male",IF(UPPER(LEFT(TRIM(Raw_Data!E681),1))="F","Female","Unknown"))</f>
        <v>Male</v>
      </c>
      <c r="F681" s="13" t="str">
        <f aca="false">PROPER(TRIM(SUBSTITUTE(Raw_Data!F681,"'","")))</f>
        <v>Diploma</v>
      </c>
      <c r="G681" s="13" t="str">
        <f aca="false">PROPER(TRIM(Raw_Data!G681))</f>
        <v>Sales</v>
      </c>
      <c r="H681" s="13" t="str">
        <f aca="false">PROPER(TRIM(Raw_Data!H681))</f>
        <v>Associate</v>
      </c>
      <c r="I681" s="13" t="n">
        <f aca="false">IF(Raw_Data!I681="",DefaultPerf,Raw_Data!I681)</f>
        <v>2</v>
      </c>
      <c r="J681" s="13" t="n">
        <f aca="false">IF(Raw_Data!J681="",DefaultSat,Raw_Data!J681)</f>
        <v>1</v>
      </c>
      <c r="K681" s="15" t="n">
        <f aca="false">Raw_Data!K681</f>
        <v>50000</v>
      </c>
      <c r="L681" s="13" t="str">
        <f aca="false">PROPER(TRIM(Raw_Data!N681))</f>
        <v>No</v>
      </c>
      <c r="M681" s="13" t="n">
        <f aca="false">IF(C681="",0,1)</f>
        <v>1</v>
      </c>
      <c r="N681" s="13" t="str">
        <f aca="false">IF(M681=0,"Active",IF(TRIM(Raw_Data!L681)="","Unknown",PROPER(TRIM(Raw_Data!L681))))</f>
        <v>Voluntary</v>
      </c>
      <c r="O681" s="13" t="str">
        <f aca="false">IF(M681=0,"",IF(TRIM(Raw_Data!M681)="","Not Recorded",TRIM(Raw_Data!M681)))</f>
        <v>Job Dissatisfaction</v>
      </c>
      <c r="P681" s="16" t="n">
        <f aca="false">ROUND((IF(C681="",AsOfDate,C681)-B681)/365.25,2)</f>
        <v>4.22</v>
      </c>
      <c r="Q681" s="13" t="str">
        <f aca="false">IF(D681="","Unknown",IF(D681&lt;25,"Under 25",IF(D681&lt;35,"25-34",IF(D681&lt;45,"35-44",IF(D681&lt;55,"45-54","55+")))))</f>
        <v>35-44</v>
      </c>
      <c r="R681" s="13" t="str">
        <f aca="false">IF(P681&lt;1,"0-1 yrs",IF(P681&lt;3,"1-3 yrs",IF(P681&lt;5,"3-5 yrs",IF(P681&lt;10,"5-10 yrs","10+ yrs"))))</f>
        <v>3-5 yrs</v>
      </c>
      <c r="S681" s="13" t="str">
        <f aca="false">IF(I681&gt;=4,"High",IF(I681=3,"Medium","Low"))</f>
        <v>Low</v>
      </c>
      <c r="T681" s="13" t="n">
        <f aca="false">IF(M681=1,YEAR(C681),"")</f>
        <v>2022</v>
      </c>
      <c r="U681" s="13" t="str">
        <f aca="false">IF(M681=1,YEAR(C681)&amp;"-Q"&amp;ROUNDUP(MONTH(C681)/3,0),"")</f>
        <v>2022-Q1</v>
      </c>
      <c r="V681" s="13" t="n">
        <f aca="false">IF(M681=1,MONTH(C681),"")</f>
        <v>3</v>
      </c>
    </row>
    <row r="682" customFormat="false" ht="15" hidden="false" customHeight="false" outlineLevel="0" collapsed="false">
      <c r="A682" s="13" t="str">
        <f aca="false">TRIM(Raw_Data!A682)</f>
        <v>EMP0681</v>
      </c>
      <c r="B682" s="14" t="n">
        <f aca="false">Raw_Data!B682</f>
        <v>43098</v>
      </c>
      <c r="C682" s="14" t="n">
        <f aca="false">IF(Raw_Data!C682="","",Raw_Data!C682)</f>
        <v>45494</v>
      </c>
      <c r="D682" s="13" t="n">
        <f aca="false">IF(Raw_Data!D682="","",Raw_Data!D682)</f>
        <v>45</v>
      </c>
      <c r="E682" s="13" t="str">
        <f aca="false">IF(UPPER(LEFT(TRIM(Raw_Data!E682),1))="M","Male",IF(UPPER(LEFT(TRIM(Raw_Data!E682),1))="F","Female","Unknown"))</f>
        <v>Male</v>
      </c>
      <c r="F682" s="13" t="str">
        <f aca="false">PROPER(TRIM(SUBSTITUTE(Raw_Data!F682,"'","")))</f>
        <v>Bachelors</v>
      </c>
      <c r="G682" s="13" t="str">
        <f aca="false">PROPER(TRIM(Raw_Data!G682))</f>
        <v>Operations</v>
      </c>
      <c r="H682" s="13" t="str">
        <f aca="false">PROPER(TRIM(Raw_Data!H682))</f>
        <v>Analyst</v>
      </c>
      <c r="I682" s="13" t="n">
        <f aca="false">IF(Raw_Data!I682="",DefaultPerf,Raw_Data!I682)</f>
        <v>3</v>
      </c>
      <c r="J682" s="13" t="n">
        <f aca="false">IF(Raw_Data!J682="",DefaultSat,Raw_Data!J682)</f>
        <v>4</v>
      </c>
      <c r="K682" s="15" t="n">
        <f aca="false">Raw_Data!K682</f>
        <v>73500</v>
      </c>
      <c r="L682" s="13" t="str">
        <f aca="false">PROPER(TRIM(Raw_Data!N682))</f>
        <v>Yes</v>
      </c>
      <c r="M682" s="13" t="n">
        <f aca="false">IF(C682="",0,1)</f>
        <v>1</v>
      </c>
      <c r="N682" s="13" t="str">
        <f aca="false">IF(M682=0,"Active",IF(TRIM(Raw_Data!L682)="","Unknown",PROPER(TRIM(Raw_Data!L682))))</f>
        <v>Involuntary</v>
      </c>
      <c r="O682" s="13" t="str">
        <f aca="false">IF(M682=0,"",IF(TRIM(Raw_Data!M682)="","Not Recorded",TRIM(Raw_Data!M682)))</f>
        <v>Poor Performance</v>
      </c>
      <c r="P682" s="16" t="n">
        <f aca="false">ROUND((IF(C682="",AsOfDate,C682)-B682)/365.25,2)</f>
        <v>6.56</v>
      </c>
      <c r="Q682" s="13" t="str">
        <f aca="false">IF(D682="","Unknown",IF(D682&lt;25,"Under 25",IF(D682&lt;35,"25-34",IF(D682&lt;45,"35-44",IF(D682&lt;55,"45-54","55+")))))</f>
        <v>45-54</v>
      </c>
      <c r="R682" s="13" t="str">
        <f aca="false">IF(P682&lt;1,"0-1 yrs",IF(P682&lt;3,"1-3 yrs",IF(P682&lt;5,"3-5 yrs",IF(P682&lt;10,"5-10 yrs","10+ yrs"))))</f>
        <v>5-10 yrs</v>
      </c>
      <c r="S682" s="13" t="str">
        <f aca="false">IF(I682&gt;=4,"High",IF(I682=3,"Medium","Low"))</f>
        <v>Medium</v>
      </c>
      <c r="T682" s="13" t="n">
        <f aca="false">IF(M682=1,YEAR(C682),"")</f>
        <v>2024</v>
      </c>
      <c r="U682" s="13" t="str">
        <f aca="false">IF(M682=1,YEAR(C682)&amp;"-Q"&amp;ROUNDUP(MONTH(C682)/3,0),"")</f>
        <v>2024-Q3</v>
      </c>
      <c r="V682" s="13" t="n">
        <f aca="false">IF(M682=1,MONTH(C682),"")</f>
        <v>7</v>
      </c>
    </row>
    <row r="683" customFormat="false" ht="15" hidden="false" customHeight="false" outlineLevel="0" collapsed="false">
      <c r="A683" s="13" t="str">
        <f aca="false">TRIM(Raw_Data!A683)</f>
        <v>EMP0682</v>
      </c>
      <c r="B683" s="14" t="n">
        <f aca="false">Raw_Data!B683</f>
        <v>43100</v>
      </c>
      <c r="C683" s="14" t="str">
        <f aca="false">IF(Raw_Data!C683="","",Raw_Data!C683)</f>
        <v/>
      </c>
      <c r="D683" s="13" t="n">
        <f aca="false">IF(Raw_Data!D683="","",Raw_Data!D683)</f>
        <v>41</v>
      </c>
      <c r="E683" s="13" t="str">
        <f aca="false">IF(UPPER(LEFT(TRIM(Raw_Data!E683),1))="M","Male",IF(UPPER(LEFT(TRIM(Raw_Data!E683),1))="F","Female","Unknown"))</f>
        <v>Male</v>
      </c>
      <c r="F683" s="13" t="str">
        <f aca="false">PROPER(TRIM(SUBSTITUTE(Raw_Data!F683,"'","")))</f>
        <v>Bachelors</v>
      </c>
      <c r="G683" s="13" t="str">
        <f aca="false">PROPER(TRIM(Raw_Data!G683))</f>
        <v>Engineering</v>
      </c>
      <c r="H683" s="13" t="str">
        <f aca="false">PROPER(TRIM(Raw_Data!H683))</f>
        <v>Senior Analyst</v>
      </c>
      <c r="I683" s="13" t="n">
        <f aca="false">IF(Raw_Data!I683="",DefaultPerf,Raw_Data!I683)</f>
        <v>4</v>
      </c>
      <c r="J683" s="13" t="n">
        <f aca="false">IF(Raw_Data!J683="",DefaultSat,Raw_Data!J683)</f>
        <v>3</v>
      </c>
      <c r="K683" s="15" t="n">
        <f aca="false">Raw_Data!K683</f>
        <v>91000</v>
      </c>
      <c r="L683" s="13" t="str">
        <f aca="false">PROPER(TRIM(Raw_Data!N683))</f>
        <v>No</v>
      </c>
      <c r="M683" s="13" t="n">
        <f aca="false">IF(C683="",0,1)</f>
        <v>0</v>
      </c>
      <c r="N683" s="13" t="str">
        <f aca="false">IF(M683=0,"Active",IF(TRIM(Raw_Data!L683)="","Unknown",PROPER(TRIM(Raw_Data!L683))))</f>
        <v>Active</v>
      </c>
      <c r="O683" s="13" t="str">
        <f aca="false">IF(M683=0,"",IF(TRIM(Raw_Data!M683)="","Not Recorded",TRIM(Raw_Data!M683)))</f>
        <v/>
      </c>
      <c r="P683" s="16" t="n">
        <f aca="false">ROUND((IF(C683="",AsOfDate,C683)-B683)/365.25,2)</f>
        <v>8</v>
      </c>
      <c r="Q683" s="13" t="str">
        <f aca="false">IF(D683="","Unknown",IF(D683&lt;25,"Under 25",IF(D683&lt;35,"25-34",IF(D683&lt;45,"35-44",IF(D683&lt;55,"45-54","55+")))))</f>
        <v>35-44</v>
      </c>
      <c r="R683" s="13" t="str">
        <f aca="false">IF(P683&lt;1,"0-1 yrs",IF(P683&lt;3,"1-3 yrs",IF(P683&lt;5,"3-5 yrs",IF(P683&lt;10,"5-10 yrs","10+ yrs"))))</f>
        <v>5-10 yrs</v>
      </c>
      <c r="S683" s="13" t="str">
        <f aca="false">IF(I683&gt;=4,"High",IF(I683=3,"Medium","Low"))</f>
        <v>High</v>
      </c>
      <c r="T683" s="13" t="str">
        <f aca="false">IF(M683=1,YEAR(C683),"")</f>
        <v/>
      </c>
      <c r="U683" s="13" t="str">
        <f aca="false">IF(M683=1,YEAR(C683)&amp;"-Q"&amp;ROUNDUP(MONTH(C683)/3,0),"")</f>
        <v/>
      </c>
      <c r="V683" s="13" t="str">
        <f aca="false">IF(M683=1,MONTH(C683),"")</f>
        <v/>
      </c>
    </row>
    <row r="684" customFormat="false" ht="15" hidden="false" customHeight="false" outlineLevel="0" collapsed="false">
      <c r="A684" s="13" t="str">
        <f aca="false">TRIM(Raw_Data!A684)</f>
        <v>EMP0683</v>
      </c>
      <c r="B684" s="14" t="n">
        <f aca="false">Raw_Data!B684</f>
        <v>43106</v>
      </c>
      <c r="C684" s="14" t="n">
        <f aca="false">IF(Raw_Data!C684="","",Raw_Data!C684)</f>
        <v>45476</v>
      </c>
      <c r="D684" s="13" t="n">
        <f aca="false">IF(Raw_Data!D684="","",Raw_Data!D684)</f>
        <v>29</v>
      </c>
      <c r="E684" s="13" t="str">
        <f aca="false">IF(UPPER(LEFT(TRIM(Raw_Data!E684),1))="M","Male",IF(UPPER(LEFT(TRIM(Raw_Data!E684),1))="F","Female","Unknown"))</f>
        <v>Male</v>
      </c>
      <c r="F684" s="13" t="str">
        <f aca="false">PROPER(TRIM(SUBSTITUTE(Raw_Data!F684,"'","")))</f>
        <v>High School</v>
      </c>
      <c r="G684" s="13" t="str">
        <f aca="false">PROPER(TRIM(Raw_Data!G684))</f>
        <v>Engineering</v>
      </c>
      <c r="H684" s="13" t="str">
        <f aca="false">PROPER(TRIM(Raw_Data!H684))</f>
        <v>Analyst</v>
      </c>
      <c r="I684" s="13" t="n">
        <f aca="false">IF(Raw_Data!I684="",DefaultPerf,Raw_Data!I684)</f>
        <v>3</v>
      </c>
      <c r="J684" s="13" t="n">
        <f aca="false">IF(Raw_Data!J684="",DefaultSat,Raw_Data!J684)</f>
        <v>2</v>
      </c>
      <c r="K684" s="15" t="n">
        <f aca="false">Raw_Data!K684</f>
        <v>66500</v>
      </c>
      <c r="L684" s="13" t="str">
        <f aca="false">PROPER(TRIM(Raw_Data!N684))</f>
        <v>Yes</v>
      </c>
      <c r="M684" s="13" t="n">
        <f aca="false">IF(C684="",0,1)</f>
        <v>1</v>
      </c>
      <c r="N684" s="13" t="str">
        <f aca="false">IF(M684=0,"Active",IF(TRIM(Raw_Data!L684)="","Unknown",PROPER(TRIM(Raw_Data!L684))))</f>
        <v>Voluntary</v>
      </c>
      <c r="O684" s="13" t="str">
        <f aca="false">IF(M684=0,"",IF(TRIM(Raw_Data!M684)="","Not Recorded",TRIM(Raw_Data!M684)))</f>
        <v>Work-Life Balance</v>
      </c>
      <c r="P684" s="16" t="n">
        <f aca="false">ROUND((IF(C684="",AsOfDate,C684)-B684)/365.25,2)</f>
        <v>6.49</v>
      </c>
      <c r="Q684" s="13" t="str">
        <f aca="false">IF(D684="","Unknown",IF(D684&lt;25,"Under 25",IF(D684&lt;35,"25-34",IF(D684&lt;45,"35-44",IF(D684&lt;55,"45-54","55+")))))</f>
        <v>25-34</v>
      </c>
      <c r="R684" s="13" t="str">
        <f aca="false">IF(P684&lt;1,"0-1 yrs",IF(P684&lt;3,"1-3 yrs",IF(P684&lt;5,"3-5 yrs",IF(P684&lt;10,"5-10 yrs","10+ yrs"))))</f>
        <v>5-10 yrs</v>
      </c>
      <c r="S684" s="13" t="str">
        <f aca="false">IF(I684&gt;=4,"High",IF(I684=3,"Medium","Low"))</f>
        <v>Medium</v>
      </c>
      <c r="T684" s="13" t="n">
        <f aca="false">IF(M684=1,YEAR(C684),"")</f>
        <v>2024</v>
      </c>
      <c r="U684" s="13" t="str">
        <f aca="false">IF(M684=1,YEAR(C684)&amp;"-Q"&amp;ROUNDUP(MONTH(C684)/3,0),"")</f>
        <v>2024-Q3</v>
      </c>
      <c r="V684" s="13" t="n">
        <f aca="false">IF(M684=1,MONTH(C684),"")</f>
        <v>7</v>
      </c>
    </row>
    <row r="685" customFormat="false" ht="15" hidden="false" customHeight="false" outlineLevel="0" collapsed="false">
      <c r="A685" s="13" t="str">
        <f aca="false">TRIM(Raw_Data!A685)</f>
        <v>EMP0684</v>
      </c>
      <c r="B685" s="14" t="n">
        <f aca="false">Raw_Data!B685</f>
        <v>43108</v>
      </c>
      <c r="C685" s="14" t="n">
        <f aca="false">IF(Raw_Data!C685="","",Raw_Data!C685)</f>
        <v>45183</v>
      </c>
      <c r="D685" s="13" t="n">
        <f aca="false">IF(Raw_Data!D685="","",Raw_Data!D685)</f>
        <v>36</v>
      </c>
      <c r="E685" s="13" t="str">
        <f aca="false">IF(UPPER(LEFT(TRIM(Raw_Data!E685),1))="M","Male",IF(UPPER(LEFT(TRIM(Raw_Data!E685),1))="F","Female","Unknown"))</f>
        <v>Female</v>
      </c>
      <c r="F685" s="13" t="str">
        <f aca="false">PROPER(TRIM(SUBSTITUTE(Raw_Data!F685,"'","")))</f>
        <v>High School</v>
      </c>
      <c r="G685" s="13" t="str">
        <f aca="false">PROPER(TRIM(Raw_Data!G685))</f>
        <v>Engineering</v>
      </c>
      <c r="H685" s="13" t="str">
        <f aca="false">PROPER(TRIM(Raw_Data!H685))</f>
        <v>Analyst</v>
      </c>
      <c r="I685" s="13" t="n">
        <f aca="false">IF(Raw_Data!I685="",DefaultPerf,Raw_Data!I685)</f>
        <v>3</v>
      </c>
      <c r="J685" s="13" t="n">
        <f aca="false">IF(Raw_Data!J685="",DefaultSat,Raw_Data!J685)</f>
        <v>3</v>
      </c>
      <c r="K685" s="15" t="n">
        <f aca="false">Raw_Data!K685</f>
        <v>61000</v>
      </c>
      <c r="L685" s="13" t="str">
        <f aca="false">PROPER(TRIM(Raw_Data!N685))</f>
        <v>No</v>
      </c>
      <c r="M685" s="13" t="n">
        <f aca="false">IF(C685="",0,1)</f>
        <v>1</v>
      </c>
      <c r="N685" s="13" t="str">
        <f aca="false">IF(M685=0,"Active",IF(TRIM(Raw_Data!L685)="","Unknown",PROPER(TRIM(Raw_Data!L685))))</f>
        <v>Voluntary</v>
      </c>
      <c r="O685" s="13" t="str">
        <f aca="false">IF(M685=0,"",IF(TRIM(Raw_Data!M685)="","Not Recorded",TRIM(Raw_Data!M685)))</f>
        <v>Career Growth</v>
      </c>
      <c r="P685" s="16" t="n">
        <f aca="false">ROUND((IF(C685="",AsOfDate,C685)-B685)/365.25,2)</f>
        <v>5.68</v>
      </c>
      <c r="Q685" s="13" t="str">
        <f aca="false">IF(D685="","Unknown",IF(D685&lt;25,"Under 25",IF(D685&lt;35,"25-34",IF(D685&lt;45,"35-44",IF(D685&lt;55,"45-54","55+")))))</f>
        <v>35-44</v>
      </c>
      <c r="R685" s="13" t="str">
        <f aca="false">IF(P685&lt;1,"0-1 yrs",IF(P685&lt;3,"1-3 yrs",IF(P685&lt;5,"3-5 yrs",IF(P685&lt;10,"5-10 yrs","10+ yrs"))))</f>
        <v>5-10 yrs</v>
      </c>
      <c r="S685" s="13" t="str">
        <f aca="false">IF(I685&gt;=4,"High",IF(I685=3,"Medium","Low"))</f>
        <v>Medium</v>
      </c>
      <c r="T685" s="13" t="n">
        <f aca="false">IF(M685=1,YEAR(C685),"")</f>
        <v>2023</v>
      </c>
      <c r="U685" s="13" t="str">
        <f aca="false">IF(M685=1,YEAR(C685)&amp;"-Q"&amp;ROUNDUP(MONTH(C685)/3,0),"")</f>
        <v>2023-Q3</v>
      </c>
      <c r="V685" s="13" t="n">
        <f aca="false">IF(M685=1,MONTH(C685),"")</f>
        <v>9</v>
      </c>
    </row>
    <row r="686" customFormat="false" ht="15" hidden="false" customHeight="false" outlineLevel="0" collapsed="false">
      <c r="A686" s="13" t="str">
        <f aca="false">TRIM(Raw_Data!A686)</f>
        <v>EMP0685</v>
      </c>
      <c r="B686" s="14" t="n">
        <f aca="false">Raw_Data!B686</f>
        <v>43108</v>
      </c>
      <c r="C686" s="14" t="str">
        <f aca="false">IF(Raw_Data!C686="","",Raw_Data!C686)</f>
        <v/>
      </c>
      <c r="D686" s="13" t="n">
        <f aca="false">IF(Raw_Data!D686="","",Raw_Data!D686)</f>
        <v>41</v>
      </c>
      <c r="E686" s="13" t="str">
        <f aca="false">IF(UPPER(LEFT(TRIM(Raw_Data!E686),1))="M","Male",IF(UPPER(LEFT(TRIM(Raw_Data!E686),1))="F","Female","Unknown"))</f>
        <v>Female</v>
      </c>
      <c r="F686" s="13" t="str">
        <f aca="false">PROPER(TRIM(SUBSTITUTE(Raw_Data!F686,"'","")))</f>
        <v>Masters</v>
      </c>
      <c r="G686" s="13" t="str">
        <f aca="false">PROPER(TRIM(Raw_Data!G686))</f>
        <v>Engineering</v>
      </c>
      <c r="H686" s="13" t="str">
        <f aca="false">PROPER(TRIM(Raw_Data!H686))</f>
        <v>Associate</v>
      </c>
      <c r="I686" s="13" t="n">
        <f aca="false">IF(Raw_Data!I686="",DefaultPerf,Raw_Data!I686)</f>
        <v>5</v>
      </c>
      <c r="J686" s="13" t="n">
        <f aca="false">IF(Raw_Data!J686="",DefaultSat,Raw_Data!J686)</f>
        <v>3</v>
      </c>
      <c r="K686" s="15" t="n">
        <f aca="false">Raw_Data!K686</f>
        <v>42500</v>
      </c>
      <c r="L686" s="13" t="str">
        <f aca="false">PROPER(TRIM(Raw_Data!N686))</f>
        <v>Yes</v>
      </c>
      <c r="M686" s="13" t="n">
        <f aca="false">IF(C686="",0,1)</f>
        <v>0</v>
      </c>
      <c r="N686" s="13" t="str">
        <f aca="false">IF(M686=0,"Active",IF(TRIM(Raw_Data!L686)="","Unknown",PROPER(TRIM(Raw_Data!L686))))</f>
        <v>Active</v>
      </c>
      <c r="O686" s="13" t="str">
        <f aca="false">IF(M686=0,"",IF(TRIM(Raw_Data!M686)="","Not Recorded",TRIM(Raw_Data!M686)))</f>
        <v/>
      </c>
      <c r="P686" s="16" t="n">
        <f aca="false">ROUND((IF(C686="",AsOfDate,C686)-B686)/365.25,2)</f>
        <v>7.98</v>
      </c>
      <c r="Q686" s="13" t="str">
        <f aca="false">IF(D686="","Unknown",IF(D686&lt;25,"Under 25",IF(D686&lt;35,"25-34",IF(D686&lt;45,"35-44",IF(D686&lt;55,"45-54","55+")))))</f>
        <v>35-44</v>
      </c>
      <c r="R686" s="13" t="str">
        <f aca="false">IF(P686&lt;1,"0-1 yrs",IF(P686&lt;3,"1-3 yrs",IF(P686&lt;5,"3-5 yrs",IF(P686&lt;10,"5-10 yrs","10+ yrs"))))</f>
        <v>5-10 yrs</v>
      </c>
      <c r="S686" s="13" t="str">
        <f aca="false">IF(I686&gt;=4,"High",IF(I686=3,"Medium","Low"))</f>
        <v>High</v>
      </c>
      <c r="T686" s="13" t="str">
        <f aca="false">IF(M686=1,YEAR(C686),"")</f>
        <v/>
      </c>
      <c r="U686" s="13" t="str">
        <f aca="false">IF(M686=1,YEAR(C686)&amp;"-Q"&amp;ROUNDUP(MONTH(C686)/3,0),"")</f>
        <v/>
      </c>
      <c r="V686" s="13" t="str">
        <f aca="false">IF(M686=1,MONTH(C686),"")</f>
        <v/>
      </c>
    </row>
    <row r="687" customFormat="false" ht="15" hidden="false" customHeight="false" outlineLevel="0" collapsed="false">
      <c r="A687" s="13" t="str">
        <f aca="false">TRIM(Raw_Data!A687)</f>
        <v>EMP0686</v>
      </c>
      <c r="B687" s="14" t="n">
        <f aca="false">Raw_Data!B687</f>
        <v>43113</v>
      </c>
      <c r="C687" s="14" t="str">
        <f aca="false">IF(Raw_Data!C687="","",Raw_Data!C687)</f>
        <v/>
      </c>
      <c r="D687" s="13" t="n">
        <f aca="false">IF(Raw_Data!D687="","",Raw_Data!D687)</f>
        <v>32</v>
      </c>
      <c r="E687" s="13" t="str">
        <f aca="false">IF(UPPER(LEFT(TRIM(Raw_Data!E687),1))="M","Male",IF(UPPER(LEFT(TRIM(Raw_Data!E687),1))="F","Female","Unknown"))</f>
        <v>Male</v>
      </c>
      <c r="F687" s="13" t="str">
        <f aca="false">PROPER(TRIM(SUBSTITUTE(Raw_Data!F687,"'","")))</f>
        <v>Doctorate</v>
      </c>
      <c r="G687" s="13" t="str">
        <f aca="false">PROPER(TRIM(Raw_Data!G687))</f>
        <v>Engineering</v>
      </c>
      <c r="H687" s="13" t="str">
        <f aca="false">PROPER(TRIM(Raw_Data!H687))</f>
        <v>Team Lead</v>
      </c>
      <c r="I687" s="13" t="n">
        <f aca="false">IF(Raw_Data!I687="",DefaultPerf,Raw_Data!I687)</f>
        <v>3</v>
      </c>
      <c r="J687" s="13" t="n">
        <f aca="false">IF(Raw_Data!J687="",DefaultSat,Raw_Data!J687)</f>
        <v>3</v>
      </c>
      <c r="K687" s="15" t="n">
        <f aca="false">Raw_Data!K687</f>
        <v>112500</v>
      </c>
      <c r="L687" s="13" t="str">
        <f aca="false">PROPER(TRIM(Raw_Data!N687))</f>
        <v>No</v>
      </c>
      <c r="M687" s="13" t="n">
        <f aca="false">IF(C687="",0,1)</f>
        <v>0</v>
      </c>
      <c r="N687" s="13" t="str">
        <f aca="false">IF(M687=0,"Active",IF(TRIM(Raw_Data!L687)="","Unknown",PROPER(TRIM(Raw_Data!L687))))</f>
        <v>Active</v>
      </c>
      <c r="O687" s="13" t="str">
        <f aca="false">IF(M687=0,"",IF(TRIM(Raw_Data!M687)="","Not Recorded",TRIM(Raw_Data!M687)))</f>
        <v/>
      </c>
      <c r="P687" s="16" t="n">
        <f aca="false">ROUND((IF(C687="",AsOfDate,C687)-B687)/365.25,2)</f>
        <v>7.96</v>
      </c>
      <c r="Q687" s="13" t="str">
        <f aca="false">IF(D687="","Unknown",IF(D687&lt;25,"Under 25",IF(D687&lt;35,"25-34",IF(D687&lt;45,"35-44",IF(D687&lt;55,"45-54","55+")))))</f>
        <v>25-34</v>
      </c>
      <c r="R687" s="13" t="str">
        <f aca="false">IF(P687&lt;1,"0-1 yrs",IF(P687&lt;3,"1-3 yrs",IF(P687&lt;5,"3-5 yrs",IF(P687&lt;10,"5-10 yrs","10+ yrs"))))</f>
        <v>5-10 yrs</v>
      </c>
      <c r="S687" s="13" t="str">
        <f aca="false">IF(I687&gt;=4,"High",IF(I687=3,"Medium","Low"))</f>
        <v>Medium</v>
      </c>
      <c r="T687" s="13" t="str">
        <f aca="false">IF(M687=1,YEAR(C687),"")</f>
        <v/>
      </c>
      <c r="U687" s="13" t="str">
        <f aca="false">IF(M687=1,YEAR(C687)&amp;"-Q"&amp;ROUNDUP(MONTH(C687)/3,0),"")</f>
        <v/>
      </c>
      <c r="V687" s="13" t="str">
        <f aca="false">IF(M687=1,MONTH(C687),"")</f>
        <v/>
      </c>
    </row>
    <row r="688" customFormat="false" ht="15" hidden="false" customHeight="false" outlineLevel="0" collapsed="false">
      <c r="A688" s="13" t="str">
        <f aca="false">TRIM(Raw_Data!A688)</f>
        <v>EMP0687</v>
      </c>
      <c r="B688" s="14" t="n">
        <f aca="false">Raw_Data!B688</f>
        <v>43117</v>
      </c>
      <c r="C688" s="14" t="str">
        <f aca="false">IF(Raw_Data!C688="","",Raw_Data!C688)</f>
        <v/>
      </c>
      <c r="D688" s="13" t="n">
        <f aca="false">IF(Raw_Data!D688="","",Raw_Data!D688)</f>
        <v>40</v>
      </c>
      <c r="E688" s="13" t="str">
        <f aca="false">IF(UPPER(LEFT(TRIM(Raw_Data!E688),1))="M","Male",IF(UPPER(LEFT(TRIM(Raw_Data!E688),1))="F","Female","Unknown"))</f>
        <v>Female</v>
      </c>
      <c r="F688" s="13" t="str">
        <f aca="false">PROPER(TRIM(SUBSTITUTE(Raw_Data!F688,"'","")))</f>
        <v>Bachelors</v>
      </c>
      <c r="G688" s="13" t="str">
        <f aca="false">PROPER(TRIM(Raw_Data!G688))</f>
        <v>Engineering</v>
      </c>
      <c r="H688" s="13" t="str">
        <f aca="false">PROPER(TRIM(Raw_Data!H688))</f>
        <v>Analyst</v>
      </c>
      <c r="I688" s="13" t="n">
        <f aca="false">IF(Raw_Data!I688="",DefaultPerf,Raw_Data!I688)</f>
        <v>4</v>
      </c>
      <c r="J688" s="13" t="n">
        <f aca="false">IF(Raw_Data!J688="",DefaultSat,Raw_Data!J688)</f>
        <v>1</v>
      </c>
      <c r="K688" s="15" t="n">
        <f aca="false">Raw_Data!K688</f>
        <v>69500</v>
      </c>
      <c r="L688" s="13" t="str">
        <f aca="false">PROPER(TRIM(Raw_Data!N688))</f>
        <v>No</v>
      </c>
      <c r="M688" s="13" t="n">
        <f aca="false">IF(C688="",0,1)</f>
        <v>0</v>
      </c>
      <c r="N688" s="13" t="str">
        <f aca="false">IF(M688=0,"Active",IF(TRIM(Raw_Data!L688)="","Unknown",PROPER(TRIM(Raw_Data!L688))))</f>
        <v>Active</v>
      </c>
      <c r="O688" s="13" t="str">
        <f aca="false">IF(M688=0,"",IF(TRIM(Raw_Data!M688)="","Not Recorded",TRIM(Raw_Data!M688)))</f>
        <v/>
      </c>
      <c r="P688" s="16" t="n">
        <f aca="false">ROUND((IF(C688="",AsOfDate,C688)-B688)/365.25,2)</f>
        <v>7.95</v>
      </c>
      <c r="Q688" s="13" t="str">
        <f aca="false">IF(D688="","Unknown",IF(D688&lt;25,"Under 25",IF(D688&lt;35,"25-34",IF(D688&lt;45,"35-44",IF(D688&lt;55,"45-54","55+")))))</f>
        <v>35-44</v>
      </c>
      <c r="R688" s="13" t="str">
        <f aca="false">IF(P688&lt;1,"0-1 yrs",IF(P688&lt;3,"1-3 yrs",IF(P688&lt;5,"3-5 yrs",IF(P688&lt;10,"5-10 yrs","10+ yrs"))))</f>
        <v>5-10 yrs</v>
      </c>
      <c r="S688" s="13" t="str">
        <f aca="false">IF(I688&gt;=4,"High",IF(I688=3,"Medium","Low"))</f>
        <v>High</v>
      </c>
      <c r="T688" s="13" t="str">
        <f aca="false">IF(M688=1,YEAR(C688),"")</f>
        <v/>
      </c>
      <c r="U688" s="13" t="str">
        <f aca="false">IF(M688=1,YEAR(C688)&amp;"-Q"&amp;ROUNDUP(MONTH(C688)/3,0),"")</f>
        <v/>
      </c>
      <c r="V688" s="13" t="str">
        <f aca="false">IF(M688=1,MONTH(C688),"")</f>
        <v/>
      </c>
    </row>
    <row r="689" customFormat="false" ht="15" hidden="false" customHeight="false" outlineLevel="0" collapsed="false">
      <c r="A689" s="13" t="str">
        <f aca="false">TRIM(Raw_Data!A689)</f>
        <v>EMP0688</v>
      </c>
      <c r="B689" s="14" t="n">
        <f aca="false">Raw_Data!B689</f>
        <v>43121</v>
      </c>
      <c r="C689" s="14" t="str">
        <f aca="false">IF(Raw_Data!C689="","",Raw_Data!C689)</f>
        <v/>
      </c>
      <c r="D689" s="13" t="n">
        <f aca="false">IF(Raw_Data!D689="","",Raw_Data!D689)</f>
        <v>40</v>
      </c>
      <c r="E689" s="13" t="str">
        <f aca="false">IF(UPPER(LEFT(TRIM(Raw_Data!E689),1))="M","Male",IF(UPPER(LEFT(TRIM(Raw_Data!E689),1))="F","Female","Unknown"))</f>
        <v>Male</v>
      </c>
      <c r="F689" s="13" t="str">
        <f aca="false">PROPER(TRIM(SUBSTITUTE(Raw_Data!F689,"'","")))</f>
        <v>Masters</v>
      </c>
      <c r="G689" s="13" t="str">
        <f aca="false">PROPER(TRIM(Raw_Data!G689))</f>
        <v>Operations</v>
      </c>
      <c r="H689" s="13" t="str">
        <f aca="false">PROPER(TRIM(Raw_Data!H689))</f>
        <v>Team Lead</v>
      </c>
      <c r="I689" s="13" t="n">
        <f aca="false">IF(Raw_Data!I689="",DefaultPerf,Raw_Data!I689)</f>
        <v>2</v>
      </c>
      <c r="J689" s="13" t="n">
        <f aca="false">IF(Raw_Data!J689="",DefaultSat,Raw_Data!J689)</f>
        <v>2</v>
      </c>
      <c r="K689" s="15" t="n">
        <f aca="false">Raw_Data!K689</f>
        <v>151000</v>
      </c>
      <c r="L689" s="13" t="str">
        <f aca="false">PROPER(TRIM(Raw_Data!N689))</f>
        <v>No</v>
      </c>
      <c r="M689" s="13" t="n">
        <f aca="false">IF(C689="",0,1)</f>
        <v>0</v>
      </c>
      <c r="N689" s="13" t="str">
        <f aca="false">IF(M689=0,"Active",IF(TRIM(Raw_Data!L689)="","Unknown",PROPER(TRIM(Raw_Data!L689))))</f>
        <v>Active</v>
      </c>
      <c r="O689" s="13" t="str">
        <f aca="false">IF(M689=0,"",IF(TRIM(Raw_Data!M689)="","Not Recorded",TRIM(Raw_Data!M689)))</f>
        <v/>
      </c>
      <c r="P689" s="16" t="n">
        <f aca="false">ROUND((IF(C689="",AsOfDate,C689)-B689)/365.25,2)</f>
        <v>7.94</v>
      </c>
      <c r="Q689" s="13" t="str">
        <f aca="false">IF(D689="","Unknown",IF(D689&lt;25,"Under 25",IF(D689&lt;35,"25-34",IF(D689&lt;45,"35-44",IF(D689&lt;55,"45-54","55+")))))</f>
        <v>35-44</v>
      </c>
      <c r="R689" s="13" t="str">
        <f aca="false">IF(P689&lt;1,"0-1 yrs",IF(P689&lt;3,"1-3 yrs",IF(P689&lt;5,"3-5 yrs",IF(P689&lt;10,"5-10 yrs","10+ yrs"))))</f>
        <v>5-10 yrs</v>
      </c>
      <c r="S689" s="13" t="str">
        <f aca="false">IF(I689&gt;=4,"High",IF(I689=3,"Medium","Low"))</f>
        <v>Low</v>
      </c>
      <c r="T689" s="13" t="str">
        <f aca="false">IF(M689=1,YEAR(C689),"")</f>
        <v/>
      </c>
      <c r="U689" s="13" t="str">
        <f aca="false">IF(M689=1,YEAR(C689)&amp;"-Q"&amp;ROUNDUP(MONTH(C689)/3,0),"")</f>
        <v/>
      </c>
      <c r="V689" s="13" t="str">
        <f aca="false">IF(M689=1,MONTH(C689),"")</f>
        <v/>
      </c>
    </row>
    <row r="690" customFormat="false" ht="15" hidden="false" customHeight="false" outlineLevel="0" collapsed="false">
      <c r="A690" s="13" t="str">
        <f aca="false">TRIM(Raw_Data!A690)</f>
        <v>EMP0689</v>
      </c>
      <c r="B690" s="14" t="n">
        <f aca="false">Raw_Data!B690</f>
        <v>43122</v>
      </c>
      <c r="C690" s="14" t="n">
        <f aca="false">IF(Raw_Data!C690="","",Raw_Data!C690)</f>
        <v>45265</v>
      </c>
      <c r="D690" s="13" t="n">
        <f aca="false">IF(Raw_Data!D690="","",Raw_Data!D690)</f>
        <v>35</v>
      </c>
      <c r="E690" s="13" t="str">
        <f aca="false">IF(UPPER(LEFT(TRIM(Raw_Data!E690),1))="M","Male",IF(UPPER(LEFT(TRIM(Raw_Data!E690),1))="F","Female","Unknown"))</f>
        <v>Female</v>
      </c>
      <c r="F690" s="13" t="str">
        <f aca="false">PROPER(TRIM(SUBSTITUTE(Raw_Data!F690,"'","")))</f>
        <v>Diploma</v>
      </c>
      <c r="G690" s="13" t="str">
        <f aca="false">PROPER(TRIM(Raw_Data!G690))</f>
        <v>Customer Support</v>
      </c>
      <c r="H690" s="13" t="str">
        <f aca="false">PROPER(TRIM(Raw_Data!H690))</f>
        <v>Senior Analyst</v>
      </c>
      <c r="I690" s="13" t="n">
        <f aca="false">IF(Raw_Data!I690="",DefaultPerf,Raw_Data!I690)</f>
        <v>3</v>
      </c>
      <c r="J690" s="13" t="n">
        <f aca="false">IF(Raw_Data!J690="",DefaultSat,Raw_Data!J690)</f>
        <v>3</v>
      </c>
      <c r="K690" s="15" t="n">
        <f aca="false">Raw_Data!K690</f>
        <v>95000</v>
      </c>
      <c r="L690" s="13" t="str">
        <f aca="false">PROPER(TRIM(Raw_Data!N690))</f>
        <v>Yes</v>
      </c>
      <c r="M690" s="13" t="n">
        <f aca="false">IF(C690="",0,1)</f>
        <v>1</v>
      </c>
      <c r="N690" s="13" t="str">
        <f aca="false">IF(M690=0,"Active",IF(TRIM(Raw_Data!L690)="","Unknown",PROPER(TRIM(Raw_Data!L690))))</f>
        <v>Voluntary</v>
      </c>
      <c r="O690" s="13" t="str">
        <f aca="false">IF(M690=0,"",IF(TRIM(Raw_Data!M690)="","Not Recorded",TRIM(Raw_Data!M690)))</f>
        <v>Career Growth</v>
      </c>
      <c r="P690" s="16" t="n">
        <f aca="false">ROUND((IF(C690="",AsOfDate,C690)-B690)/365.25,2)</f>
        <v>5.87</v>
      </c>
      <c r="Q690" s="13" t="str">
        <f aca="false">IF(D690="","Unknown",IF(D690&lt;25,"Under 25",IF(D690&lt;35,"25-34",IF(D690&lt;45,"35-44",IF(D690&lt;55,"45-54","55+")))))</f>
        <v>35-44</v>
      </c>
      <c r="R690" s="13" t="str">
        <f aca="false">IF(P690&lt;1,"0-1 yrs",IF(P690&lt;3,"1-3 yrs",IF(P690&lt;5,"3-5 yrs",IF(P690&lt;10,"5-10 yrs","10+ yrs"))))</f>
        <v>5-10 yrs</v>
      </c>
      <c r="S690" s="13" t="str">
        <f aca="false">IF(I690&gt;=4,"High",IF(I690=3,"Medium","Low"))</f>
        <v>Medium</v>
      </c>
      <c r="T690" s="13" t="n">
        <f aca="false">IF(M690=1,YEAR(C690),"")</f>
        <v>2023</v>
      </c>
      <c r="U690" s="13" t="str">
        <f aca="false">IF(M690=1,YEAR(C690)&amp;"-Q"&amp;ROUNDUP(MONTH(C690)/3,0),"")</f>
        <v>2023-Q4</v>
      </c>
      <c r="V690" s="13" t="n">
        <f aca="false">IF(M690=1,MONTH(C690),"")</f>
        <v>12</v>
      </c>
    </row>
    <row r="691" customFormat="false" ht="15" hidden="false" customHeight="false" outlineLevel="0" collapsed="false">
      <c r="A691" s="13" t="str">
        <f aca="false">TRIM(Raw_Data!A691)</f>
        <v>EMP0690</v>
      </c>
      <c r="B691" s="14" t="n">
        <f aca="false">Raw_Data!B691</f>
        <v>43125</v>
      </c>
      <c r="C691" s="14" t="n">
        <f aca="false">IF(Raw_Data!C691="","",Raw_Data!C691)</f>
        <v>44908</v>
      </c>
      <c r="D691" s="13" t="n">
        <f aca="false">IF(Raw_Data!D691="","",Raw_Data!D691)</f>
        <v>30</v>
      </c>
      <c r="E691" s="13" t="str">
        <f aca="false">IF(UPPER(LEFT(TRIM(Raw_Data!E691),1))="M","Male",IF(UPPER(LEFT(TRIM(Raw_Data!E691),1))="F","Female","Unknown"))</f>
        <v>Male</v>
      </c>
      <c r="F691" s="13" t="str">
        <f aca="false">PROPER(TRIM(SUBSTITUTE(Raw_Data!F691,"'","")))</f>
        <v>Bachelors</v>
      </c>
      <c r="G691" s="13" t="str">
        <f aca="false">PROPER(TRIM(Raw_Data!G691))</f>
        <v>Engineering</v>
      </c>
      <c r="H691" s="13" t="str">
        <f aca="false">PROPER(TRIM(Raw_Data!H691))</f>
        <v>Associate</v>
      </c>
      <c r="I691" s="13" t="n">
        <f aca="false">IF(Raw_Data!I691="",DefaultPerf,Raw_Data!I691)</f>
        <v>3</v>
      </c>
      <c r="J691" s="13" t="n">
        <f aca="false">IF(Raw_Data!J691="",DefaultSat,Raw_Data!J691)</f>
        <v>3</v>
      </c>
      <c r="K691" s="15" t="n">
        <f aca="false">Raw_Data!K691</f>
        <v>50500</v>
      </c>
      <c r="L691" s="13" t="str">
        <f aca="false">PROPER(TRIM(Raw_Data!N691))</f>
        <v>No</v>
      </c>
      <c r="M691" s="13" t="n">
        <f aca="false">IF(C691="",0,1)</f>
        <v>1</v>
      </c>
      <c r="N691" s="13" t="str">
        <f aca="false">IF(M691=0,"Active",IF(TRIM(Raw_Data!L691)="","Unknown",PROPER(TRIM(Raw_Data!L691))))</f>
        <v>Voluntary</v>
      </c>
      <c r="O691" s="13" t="str">
        <f aca="false">IF(M691=0,"",IF(TRIM(Raw_Data!M691)="","Not Recorded",TRIM(Raw_Data!M691)))</f>
        <v>Job Dissatisfaction</v>
      </c>
      <c r="P691" s="16" t="n">
        <f aca="false">ROUND((IF(C691="",AsOfDate,C691)-B691)/365.25,2)</f>
        <v>4.88</v>
      </c>
      <c r="Q691" s="13" t="str">
        <f aca="false">IF(D691="","Unknown",IF(D691&lt;25,"Under 25",IF(D691&lt;35,"25-34",IF(D691&lt;45,"35-44",IF(D691&lt;55,"45-54","55+")))))</f>
        <v>25-34</v>
      </c>
      <c r="R691" s="13" t="str">
        <f aca="false">IF(P691&lt;1,"0-1 yrs",IF(P691&lt;3,"1-3 yrs",IF(P691&lt;5,"3-5 yrs",IF(P691&lt;10,"5-10 yrs","10+ yrs"))))</f>
        <v>3-5 yrs</v>
      </c>
      <c r="S691" s="13" t="str">
        <f aca="false">IF(I691&gt;=4,"High",IF(I691=3,"Medium","Low"))</f>
        <v>Medium</v>
      </c>
      <c r="T691" s="13" t="n">
        <f aca="false">IF(M691=1,YEAR(C691),"")</f>
        <v>2022</v>
      </c>
      <c r="U691" s="13" t="str">
        <f aca="false">IF(M691=1,YEAR(C691)&amp;"-Q"&amp;ROUNDUP(MONTH(C691)/3,0),"")</f>
        <v>2022-Q4</v>
      </c>
      <c r="V691" s="13" t="n">
        <f aca="false">IF(M691=1,MONTH(C691),"")</f>
        <v>12</v>
      </c>
    </row>
    <row r="692" customFormat="false" ht="15" hidden="false" customHeight="false" outlineLevel="0" collapsed="false">
      <c r="A692" s="13" t="str">
        <f aca="false">TRIM(Raw_Data!A692)</f>
        <v>EMP0691</v>
      </c>
      <c r="B692" s="14" t="n">
        <f aca="false">Raw_Data!B692</f>
        <v>43125</v>
      </c>
      <c r="C692" s="14" t="str">
        <f aca="false">IF(Raw_Data!C692="","",Raw_Data!C692)</f>
        <v/>
      </c>
      <c r="D692" s="13" t="n">
        <f aca="false">IF(Raw_Data!D692="","",Raw_Data!D692)</f>
        <v>44</v>
      </c>
      <c r="E692" s="13" t="str">
        <f aca="false">IF(UPPER(LEFT(TRIM(Raw_Data!E692),1))="M","Male",IF(UPPER(LEFT(TRIM(Raw_Data!E692),1))="F","Female","Unknown"))</f>
        <v>Male</v>
      </c>
      <c r="F692" s="13" t="str">
        <f aca="false">PROPER(TRIM(SUBSTITUTE(Raw_Data!F692,"'","")))</f>
        <v>Masters</v>
      </c>
      <c r="G692" s="13" t="str">
        <f aca="false">PROPER(TRIM(Raw_Data!G692))</f>
        <v>Sales</v>
      </c>
      <c r="H692" s="13" t="str">
        <f aca="false">PROPER(TRIM(Raw_Data!H692))</f>
        <v>Associate</v>
      </c>
      <c r="I692" s="13" t="n">
        <f aca="false">IF(Raw_Data!I692="",DefaultPerf,Raw_Data!I692)</f>
        <v>3</v>
      </c>
      <c r="J692" s="13" t="n">
        <f aca="false">IF(Raw_Data!J692="",DefaultSat,Raw_Data!J692)</f>
        <v>3</v>
      </c>
      <c r="K692" s="15" t="n">
        <f aca="false">Raw_Data!K692</f>
        <v>45500</v>
      </c>
      <c r="L692" s="13" t="str">
        <f aca="false">PROPER(TRIM(Raw_Data!N692))</f>
        <v>No</v>
      </c>
      <c r="M692" s="13" t="n">
        <f aca="false">IF(C692="",0,1)</f>
        <v>0</v>
      </c>
      <c r="N692" s="13" t="str">
        <f aca="false">IF(M692=0,"Active",IF(TRIM(Raw_Data!L692)="","Unknown",PROPER(TRIM(Raw_Data!L692))))</f>
        <v>Active</v>
      </c>
      <c r="O692" s="13" t="str">
        <f aca="false">IF(M692=0,"",IF(TRIM(Raw_Data!M692)="","Not Recorded",TRIM(Raw_Data!M692)))</f>
        <v/>
      </c>
      <c r="P692" s="16" t="n">
        <f aca="false">ROUND((IF(C692="",AsOfDate,C692)-B692)/365.25,2)</f>
        <v>7.93</v>
      </c>
      <c r="Q692" s="13" t="str">
        <f aca="false">IF(D692="","Unknown",IF(D692&lt;25,"Under 25",IF(D692&lt;35,"25-34",IF(D692&lt;45,"35-44",IF(D692&lt;55,"45-54","55+")))))</f>
        <v>35-44</v>
      </c>
      <c r="R692" s="13" t="str">
        <f aca="false">IF(P692&lt;1,"0-1 yrs",IF(P692&lt;3,"1-3 yrs",IF(P692&lt;5,"3-5 yrs",IF(P692&lt;10,"5-10 yrs","10+ yrs"))))</f>
        <v>5-10 yrs</v>
      </c>
      <c r="S692" s="13" t="str">
        <f aca="false">IF(I692&gt;=4,"High",IF(I692=3,"Medium","Low"))</f>
        <v>Medium</v>
      </c>
      <c r="T692" s="13" t="str">
        <f aca="false">IF(M692=1,YEAR(C692),"")</f>
        <v/>
      </c>
      <c r="U692" s="13" t="str">
        <f aca="false">IF(M692=1,YEAR(C692)&amp;"-Q"&amp;ROUNDUP(MONTH(C692)/3,0),"")</f>
        <v/>
      </c>
      <c r="V692" s="13" t="str">
        <f aca="false">IF(M692=1,MONTH(C692),"")</f>
        <v/>
      </c>
    </row>
    <row r="693" customFormat="false" ht="15" hidden="false" customHeight="false" outlineLevel="0" collapsed="false">
      <c r="A693" s="13" t="str">
        <f aca="false">TRIM(Raw_Data!A693)</f>
        <v>EMP0692</v>
      </c>
      <c r="B693" s="14" t="n">
        <f aca="false">Raw_Data!B693</f>
        <v>43128</v>
      </c>
      <c r="C693" s="14" t="n">
        <f aca="false">IF(Raw_Data!C693="","",Raw_Data!C693)</f>
        <v>45211</v>
      </c>
      <c r="D693" s="13" t="n">
        <f aca="false">IF(Raw_Data!D693="","",Raw_Data!D693)</f>
        <v>32</v>
      </c>
      <c r="E693" s="13" t="str">
        <f aca="false">IF(UPPER(LEFT(TRIM(Raw_Data!E693),1))="M","Male",IF(UPPER(LEFT(TRIM(Raw_Data!E693),1))="F","Female","Unknown"))</f>
        <v>Male</v>
      </c>
      <c r="F693" s="13" t="str">
        <f aca="false">PROPER(TRIM(SUBSTITUTE(Raw_Data!F693,"'","")))</f>
        <v>Bachelors</v>
      </c>
      <c r="G693" s="13" t="str">
        <f aca="false">PROPER(TRIM(Raw_Data!G693))</f>
        <v>Human Resources</v>
      </c>
      <c r="H693" s="13" t="str">
        <f aca="false">PROPER(TRIM(Raw_Data!H693))</f>
        <v>Associate</v>
      </c>
      <c r="I693" s="13" t="n">
        <f aca="false">IF(Raw_Data!I693="",DefaultPerf,Raw_Data!I693)</f>
        <v>3</v>
      </c>
      <c r="J693" s="13" t="n">
        <f aca="false">IF(Raw_Data!J693="",DefaultSat,Raw_Data!J693)</f>
        <v>2</v>
      </c>
      <c r="K693" s="15" t="n">
        <f aca="false">Raw_Data!K693</f>
        <v>43500</v>
      </c>
      <c r="L693" s="13" t="str">
        <f aca="false">PROPER(TRIM(Raw_Data!N693))</f>
        <v>Yes</v>
      </c>
      <c r="M693" s="13" t="n">
        <f aca="false">IF(C693="",0,1)</f>
        <v>1</v>
      </c>
      <c r="N693" s="13" t="str">
        <f aca="false">IF(M693=0,"Active",IF(TRIM(Raw_Data!L693)="","Unknown",PROPER(TRIM(Raw_Data!L693))))</f>
        <v>Voluntary</v>
      </c>
      <c r="O693" s="13" t="str">
        <f aca="false">IF(M693=0,"",IF(TRIM(Raw_Data!M693)="","Not Recorded",TRIM(Raw_Data!M693)))</f>
        <v>Job Dissatisfaction</v>
      </c>
      <c r="P693" s="16" t="n">
        <f aca="false">ROUND((IF(C693="",AsOfDate,C693)-B693)/365.25,2)</f>
        <v>5.7</v>
      </c>
      <c r="Q693" s="13" t="str">
        <f aca="false">IF(D693="","Unknown",IF(D693&lt;25,"Under 25",IF(D693&lt;35,"25-34",IF(D693&lt;45,"35-44",IF(D693&lt;55,"45-54","55+")))))</f>
        <v>25-34</v>
      </c>
      <c r="R693" s="13" t="str">
        <f aca="false">IF(P693&lt;1,"0-1 yrs",IF(P693&lt;3,"1-3 yrs",IF(P693&lt;5,"3-5 yrs",IF(P693&lt;10,"5-10 yrs","10+ yrs"))))</f>
        <v>5-10 yrs</v>
      </c>
      <c r="S693" s="13" t="str">
        <f aca="false">IF(I693&gt;=4,"High",IF(I693=3,"Medium","Low"))</f>
        <v>Medium</v>
      </c>
      <c r="T693" s="13" t="n">
        <f aca="false">IF(M693=1,YEAR(C693),"")</f>
        <v>2023</v>
      </c>
      <c r="U693" s="13" t="str">
        <f aca="false">IF(M693=1,YEAR(C693)&amp;"-Q"&amp;ROUNDUP(MONTH(C693)/3,0),"")</f>
        <v>2023-Q4</v>
      </c>
      <c r="V693" s="13" t="n">
        <f aca="false">IF(M693=1,MONTH(C693),"")</f>
        <v>10</v>
      </c>
    </row>
    <row r="694" customFormat="false" ht="15" hidden="false" customHeight="false" outlineLevel="0" collapsed="false">
      <c r="A694" s="13" t="str">
        <f aca="false">TRIM(Raw_Data!A694)</f>
        <v>EMP0693</v>
      </c>
      <c r="B694" s="14" t="n">
        <f aca="false">Raw_Data!B694</f>
        <v>43128</v>
      </c>
      <c r="C694" s="14" t="str">
        <f aca="false">IF(Raw_Data!C694="","",Raw_Data!C694)</f>
        <v/>
      </c>
      <c r="D694" s="13" t="n">
        <f aca="false">IF(Raw_Data!D694="","",Raw_Data!D694)</f>
        <v>40</v>
      </c>
      <c r="E694" s="13" t="str">
        <f aca="false">IF(UPPER(LEFT(TRIM(Raw_Data!E694),1))="M","Male",IF(UPPER(LEFT(TRIM(Raw_Data!E694),1))="F","Female","Unknown"))</f>
        <v>Male</v>
      </c>
      <c r="F694" s="13" t="str">
        <f aca="false">PROPER(TRIM(SUBSTITUTE(Raw_Data!F694,"'","")))</f>
        <v>Bachelors</v>
      </c>
      <c r="G694" s="13" t="str">
        <f aca="false">PROPER(TRIM(Raw_Data!G694))</f>
        <v>Human Resources</v>
      </c>
      <c r="H694" s="13" t="str">
        <f aca="false">PROPER(TRIM(Raw_Data!H694))</f>
        <v>Analyst</v>
      </c>
      <c r="I694" s="13" t="n">
        <f aca="false">IF(Raw_Data!I694="",DefaultPerf,Raw_Data!I694)</f>
        <v>4</v>
      </c>
      <c r="J694" s="13" t="n">
        <f aca="false">IF(Raw_Data!J694="",DefaultSat,Raw_Data!J694)</f>
        <v>2</v>
      </c>
      <c r="K694" s="15" t="n">
        <f aca="false">Raw_Data!K694</f>
        <v>69500</v>
      </c>
      <c r="L694" s="13" t="str">
        <f aca="false">PROPER(TRIM(Raw_Data!N694))</f>
        <v>Yes</v>
      </c>
      <c r="M694" s="13" t="n">
        <f aca="false">IF(C694="",0,1)</f>
        <v>0</v>
      </c>
      <c r="N694" s="13" t="str">
        <f aca="false">IF(M694=0,"Active",IF(TRIM(Raw_Data!L694)="","Unknown",PROPER(TRIM(Raw_Data!L694))))</f>
        <v>Active</v>
      </c>
      <c r="O694" s="13" t="str">
        <f aca="false">IF(M694=0,"",IF(TRIM(Raw_Data!M694)="","Not Recorded",TRIM(Raw_Data!M694)))</f>
        <v/>
      </c>
      <c r="P694" s="16" t="n">
        <f aca="false">ROUND((IF(C694="",AsOfDate,C694)-B694)/365.25,2)</f>
        <v>7.92</v>
      </c>
      <c r="Q694" s="13" t="str">
        <f aca="false">IF(D694="","Unknown",IF(D694&lt;25,"Under 25",IF(D694&lt;35,"25-34",IF(D694&lt;45,"35-44",IF(D694&lt;55,"45-54","55+")))))</f>
        <v>35-44</v>
      </c>
      <c r="R694" s="13" t="str">
        <f aca="false">IF(P694&lt;1,"0-1 yrs",IF(P694&lt;3,"1-3 yrs",IF(P694&lt;5,"3-5 yrs",IF(P694&lt;10,"5-10 yrs","10+ yrs"))))</f>
        <v>5-10 yrs</v>
      </c>
      <c r="S694" s="13" t="str">
        <f aca="false">IF(I694&gt;=4,"High",IF(I694=3,"Medium","Low"))</f>
        <v>High</v>
      </c>
      <c r="T694" s="13" t="str">
        <f aca="false">IF(M694=1,YEAR(C694),"")</f>
        <v/>
      </c>
      <c r="U694" s="13" t="str">
        <f aca="false">IF(M694=1,YEAR(C694)&amp;"-Q"&amp;ROUNDUP(MONTH(C694)/3,0),"")</f>
        <v/>
      </c>
      <c r="V694" s="13" t="str">
        <f aca="false">IF(M694=1,MONTH(C694),"")</f>
        <v/>
      </c>
    </row>
    <row r="695" customFormat="false" ht="15" hidden="false" customHeight="false" outlineLevel="0" collapsed="false">
      <c r="A695" s="13" t="str">
        <f aca="false">TRIM(Raw_Data!A695)</f>
        <v>EMP0694</v>
      </c>
      <c r="B695" s="14" t="n">
        <f aca="false">Raw_Data!B695</f>
        <v>43128</v>
      </c>
      <c r="C695" s="14" t="n">
        <f aca="false">IF(Raw_Data!C695="","",Raw_Data!C695)</f>
        <v>44660</v>
      </c>
      <c r="D695" s="13" t="n">
        <f aca="false">IF(Raw_Data!D695="","",Raw_Data!D695)</f>
        <v>38</v>
      </c>
      <c r="E695" s="13" t="str">
        <f aca="false">IF(UPPER(LEFT(TRIM(Raw_Data!E695),1))="M","Male",IF(UPPER(LEFT(TRIM(Raw_Data!E695),1))="F","Female","Unknown"))</f>
        <v>Male</v>
      </c>
      <c r="F695" s="13" t="str">
        <f aca="false">PROPER(TRIM(SUBSTITUTE(Raw_Data!F695,"'","")))</f>
        <v>Bachelors</v>
      </c>
      <c r="G695" s="13" t="str">
        <f aca="false">PROPER(TRIM(Raw_Data!G695))</f>
        <v>Operations</v>
      </c>
      <c r="H695" s="13" t="str">
        <f aca="false">PROPER(TRIM(Raw_Data!H695))</f>
        <v>Associate</v>
      </c>
      <c r="I695" s="13" t="n">
        <f aca="false">IF(Raw_Data!I695="",DefaultPerf,Raw_Data!I695)</f>
        <v>4</v>
      </c>
      <c r="J695" s="13" t="n">
        <f aca="false">IF(Raw_Data!J695="",DefaultSat,Raw_Data!J695)</f>
        <v>3</v>
      </c>
      <c r="K695" s="15" t="n">
        <f aca="false">Raw_Data!K695</f>
        <v>42500</v>
      </c>
      <c r="L695" s="13" t="str">
        <f aca="false">PROPER(TRIM(Raw_Data!N695))</f>
        <v>No</v>
      </c>
      <c r="M695" s="13" t="n">
        <f aca="false">IF(C695="",0,1)</f>
        <v>1</v>
      </c>
      <c r="N695" s="13" t="str">
        <f aca="false">IF(M695=0,"Active",IF(TRIM(Raw_Data!L695)="","Unknown",PROPER(TRIM(Raw_Data!L695))))</f>
        <v>Voluntary</v>
      </c>
      <c r="O695" s="13" t="str">
        <f aca="false">IF(M695=0,"",IF(TRIM(Raw_Data!M695)="","Not Recorded",TRIM(Raw_Data!M695)))</f>
        <v>Further Studies</v>
      </c>
      <c r="P695" s="16" t="n">
        <f aca="false">ROUND((IF(C695="",AsOfDate,C695)-B695)/365.25,2)</f>
        <v>4.19</v>
      </c>
      <c r="Q695" s="13" t="str">
        <f aca="false">IF(D695="","Unknown",IF(D695&lt;25,"Under 25",IF(D695&lt;35,"25-34",IF(D695&lt;45,"35-44",IF(D695&lt;55,"45-54","55+")))))</f>
        <v>35-44</v>
      </c>
      <c r="R695" s="13" t="str">
        <f aca="false">IF(P695&lt;1,"0-1 yrs",IF(P695&lt;3,"1-3 yrs",IF(P695&lt;5,"3-5 yrs",IF(P695&lt;10,"5-10 yrs","10+ yrs"))))</f>
        <v>3-5 yrs</v>
      </c>
      <c r="S695" s="13" t="str">
        <f aca="false">IF(I695&gt;=4,"High",IF(I695=3,"Medium","Low"))</f>
        <v>High</v>
      </c>
      <c r="T695" s="13" t="n">
        <f aca="false">IF(M695=1,YEAR(C695),"")</f>
        <v>2022</v>
      </c>
      <c r="U695" s="13" t="str">
        <f aca="false">IF(M695=1,YEAR(C695)&amp;"-Q"&amp;ROUNDUP(MONTH(C695)/3,0),"")</f>
        <v>2022-Q2</v>
      </c>
      <c r="V695" s="13" t="n">
        <f aca="false">IF(M695=1,MONTH(C695),"")</f>
        <v>4</v>
      </c>
    </row>
    <row r="696" customFormat="false" ht="15" hidden="false" customHeight="false" outlineLevel="0" collapsed="false">
      <c r="A696" s="13" t="str">
        <f aca="false">TRIM(Raw_Data!A696)</f>
        <v>EMP0695</v>
      </c>
      <c r="B696" s="14" t="n">
        <f aca="false">Raw_Data!B696</f>
        <v>43129</v>
      </c>
      <c r="C696" s="14" t="n">
        <f aca="false">IF(Raw_Data!C696="","",Raw_Data!C696)</f>
        <v>44852</v>
      </c>
      <c r="D696" s="13" t="n">
        <f aca="false">IF(Raw_Data!D696="","",Raw_Data!D696)</f>
        <v>30</v>
      </c>
      <c r="E696" s="13" t="str">
        <f aca="false">IF(UPPER(LEFT(TRIM(Raw_Data!E696),1))="M","Male",IF(UPPER(LEFT(TRIM(Raw_Data!E696),1))="F","Female","Unknown"))</f>
        <v>Male</v>
      </c>
      <c r="F696" s="13" t="str">
        <f aca="false">PROPER(TRIM(SUBSTITUTE(Raw_Data!F696,"'","")))</f>
        <v>Doctorate</v>
      </c>
      <c r="G696" s="13" t="str">
        <f aca="false">PROPER(TRIM(Raw_Data!G696))</f>
        <v>Customer Support</v>
      </c>
      <c r="H696" s="13" t="str">
        <f aca="false">PROPER(TRIM(Raw_Data!H696))</f>
        <v>Analyst</v>
      </c>
      <c r="I696" s="13" t="n">
        <f aca="false">IF(Raw_Data!I696="",DefaultPerf,Raw_Data!I696)</f>
        <v>3</v>
      </c>
      <c r="J696" s="13" t="n">
        <f aca="false">IF(Raw_Data!J696="",DefaultSat,Raw_Data!J696)</f>
        <v>4</v>
      </c>
      <c r="K696" s="15" t="n">
        <f aca="false">Raw_Data!K696</f>
        <v>64000</v>
      </c>
      <c r="L696" s="13" t="str">
        <f aca="false">PROPER(TRIM(Raw_Data!N696))</f>
        <v>No</v>
      </c>
      <c r="M696" s="13" t="n">
        <f aca="false">IF(C696="",0,1)</f>
        <v>1</v>
      </c>
      <c r="N696" s="13" t="str">
        <f aca="false">IF(M696=0,"Active",IF(TRIM(Raw_Data!L696)="","Unknown",PROPER(TRIM(Raw_Data!L696))))</f>
        <v>Voluntary</v>
      </c>
      <c r="O696" s="13" t="str">
        <f aca="false">IF(M696=0,"",IF(TRIM(Raw_Data!M696)="","Not Recorded",TRIM(Raw_Data!M696)))</f>
        <v>Better Compensation</v>
      </c>
      <c r="P696" s="16" t="n">
        <f aca="false">ROUND((IF(C696="",AsOfDate,C696)-B696)/365.25,2)</f>
        <v>4.72</v>
      </c>
      <c r="Q696" s="13" t="str">
        <f aca="false">IF(D696="","Unknown",IF(D696&lt;25,"Under 25",IF(D696&lt;35,"25-34",IF(D696&lt;45,"35-44",IF(D696&lt;55,"45-54","55+")))))</f>
        <v>25-34</v>
      </c>
      <c r="R696" s="13" t="str">
        <f aca="false">IF(P696&lt;1,"0-1 yrs",IF(P696&lt;3,"1-3 yrs",IF(P696&lt;5,"3-5 yrs",IF(P696&lt;10,"5-10 yrs","10+ yrs"))))</f>
        <v>3-5 yrs</v>
      </c>
      <c r="S696" s="13" t="str">
        <f aca="false">IF(I696&gt;=4,"High",IF(I696=3,"Medium","Low"))</f>
        <v>Medium</v>
      </c>
      <c r="T696" s="13" t="n">
        <f aca="false">IF(M696=1,YEAR(C696),"")</f>
        <v>2022</v>
      </c>
      <c r="U696" s="13" t="str">
        <f aca="false">IF(M696=1,YEAR(C696)&amp;"-Q"&amp;ROUNDUP(MONTH(C696)/3,0),"")</f>
        <v>2022-Q4</v>
      </c>
      <c r="V696" s="13" t="n">
        <f aca="false">IF(M696=1,MONTH(C696),"")</f>
        <v>10</v>
      </c>
    </row>
    <row r="697" customFormat="false" ht="15" hidden="false" customHeight="false" outlineLevel="0" collapsed="false">
      <c r="A697" s="13" t="str">
        <f aca="false">TRIM(Raw_Data!A697)</f>
        <v>EMP0696</v>
      </c>
      <c r="B697" s="14" t="n">
        <f aca="false">Raw_Data!B697</f>
        <v>43131</v>
      </c>
      <c r="C697" s="14" t="n">
        <f aca="false">IF(Raw_Data!C697="","",Raw_Data!C697)</f>
        <v>45098</v>
      </c>
      <c r="D697" s="13" t="n">
        <f aca="false">IF(Raw_Data!D697="","",Raw_Data!D697)</f>
        <v>37</v>
      </c>
      <c r="E697" s="13" t="str">
        <f aca="false">IF(UPPER(LEFT(TRIM(Raw_Data!E697),1))="M","Male",IF(UPPER(LEFT(TRIM(Raw_Data!E697),1))="F","Female","Unknown"))</f>
        <v>Female</v>
      </c>
      <c r="F697" s="13" t="str">
        <f aca="false">PROPER(TRIM(SUBSTITUTE(Raw_Data!F697,"'","")))</f>
        <v>Masters</v>
      </c>
      <c r="G697" s="13" t="str">
        <f aca="false">PROPER(TRIM(Raw_Data!G697))</f>
        <v>Engineering</v>
      </c>
      <c r="H697" s="13" t="str">
        <f aca="false">PROPER(TRIM(Raw_Data!H697))</f>
        <v>Team Lead</v>
      </c>
      <c r="I697" s="13" t="n">
        <f aca="false">IF(Raw_Data!I697="",DefaultPerf,Raw_Data!I697)</f>
        <v>2</v>
      </c>
      <c r="J697" s="13" t="n">
        <f aca="false">IF(Raw_Data!J697="",DefaultSat,Raw_Data!J697)</f>
        <v>1</v>
      </c>
      <c r="K697" s="15" t="n">
        <f aca="false">Raw_Data!K697</f>
        <v>142500</v>
      </c>
      <c r="L697" s="13" t="str">
        <f aca="false">PROPER(TRIM(Raw_Data!N697))</f>
        <v>No</v>
      </c>
      <c r="M697" s="13" t="n">
        <f aca="false">IF(C697="",0,1)</f>
        <v>1</v>
      </c>
      <c r="N697" s="13" t="str">
        <f aca="false">IF(M697=0,"Active",IF(TRIM(Raw_Data!L697)="","Unknown",PROPER(TRIM(Raw_Data!L697))))</f>
        <v>Voluntary</v>
      </c>
      <c r="O697" s="13" t="str">
        <f aca="false">IF(M697=0,"",IF(TRIM(Raw_Data!M697)="","Not Recorded",TRIM(Raw_Data!M697)))</f>
        <v>Personal Reasons</v>
      </c>
      <c r="P697" s="16" t="n">
        <f aca="false">ROUND((IF(C697="",AsOfDate,C697)-B697)/365.25,2)</f>
        <v>5.39</v>
      </c>
      <c r="Q697" s="13" t="str">
        <f aca="false">IF(D697="","Unknown",IF(D697&lt;25,"Under 25",IF(D697&lt;35,"25-34",IF(D697&lt;45,"35-44",IF(D697&lt;55,"45-54","55+")))))</f>
        <v>35-44</v>
      </c>
      <c r="R697" s="13" t="str">
        <f aca="false">IF(P697&lt;1,"0-1 yrs",IF(P697&lt;3,"1-3 yrs",IF(P697&lt;5,"3-5 yrs",IF(P697&lt;10,"5-10 yrs","10+ yrs"))))</f>
        <v>5-10 yrs</v>
      </c>
      <c r="S697" s="13" t="str">
        <f aca="false">IF(I697&gt;=4,"High",IF(I697=3,"Medium","Low"))</f>
        <v>Low</v>
      </c>
      <c r="T697" s="13" t="n">
        <f aca="false">IF(M697=1,YEAR(C697),"")</f>
        <v>2023</v>
      </c>
      <c r="U697" s="13" t="str">
        <f aca="false">IF(M697=1,YEAR(C697)&amp;"-Q"&amp;ROUNDUP(MONTH(C697)/3,0),"")</f>
        <v>2023-Q2</v>
      </c>
      <c r="V697" s="13" t="n">
        <f aca="false">IF(M697=1,MONTH(C697),"")</f>
        <v>6</v>
      </c>
    </row>
    <row r="698" customFormat="false" ht="15" hidden="false" customHeight="false" outlineLevel="0" collapsed="false">
      <c r="A698" s="13" t="str">
        <f aca="false">TRIM(Raw_Data!A698)</f>
        <v>EMP0697</v>
      </c>
      <c r="B698" s="14" t="n">
        <f aca="false">Raw_Data!B698</f>
        <v>43138</v>
      </c>
      <c r="C698" s="14" t="str">
        <f aca="false">IF(Raw_Data!C698="","",Raw_Data!C698)</f>
        <v/>
      </c>
      <c r="D698" s="13" t="n">
        <f aca="false">IF(Raw_Data!D698="","",Raw_Data!D698)</f>
        <v>44</v>
      </c>
      <c r="E698" s="13" t="str">
        <f aca="false">IF(UPPER(LEFT(TRIM(Raw_Data!E698),1))="M","Male",IF(UPPER(LEFT(TRIM(Raw_Data!E698),1))="F","Female","Unknown"))</f>
        <v>Male</v>
      </c>
      <c r="F698" s="13" t="str">
        <f aca="false">PROPER(TRIM(SUBSTITUTE(Raw_Data!F698,"'","")))</f>
        <v>Bachelors</v>
      </c>
      <c r="G698" s="13" t="str">
        <f aca="false">PROPER(TRIM(Raw_Data!G698))</f>
        <v>Sales</v>
      </c>
      <c r="H698" s="13" t="str">
        <f aca="false">PROPER(TRIM(Raw_Data!H698))</f>
        <v>Associate</v>
      </c>
      <c r="I698" s="13" t="n">
        <f aca="false">IF(Raw_Data!I698="",DefaultPerf,Raw_Data!I698)</f>
        <v>3</v>
      </c>
      <c r="J698" s="13" t="n">
        <f aca="false">IF(Raw_Data!J698="",DefaultSat,Raw_Data!J698)</f>
        <v>4</v>
      </c>
      <c r="K698" s="15" t="n">
        <f aca="false">Raw_Data!K698</f>
        <v>46000</v>
      </c>
      <c r="L698" s="13" t="str">
        <f aca="false">PROPER(TRIM(Raw_Data!N698))</f>
        <v>Yes</v>
      </c>
      <c r="M698" s="13" t="n">
        <f aca="false">IF(C698="",0,1)</f>
        <v>0</v>
      </c>
      <c r="N698" s="13" t="str">
        <f aca="false">IF(M698=0,"Active",IF(TRIM(Raw_Data!L698)="","Unknown",PROPER(TRIM(Raw_Data!L698))))</f>
        <v>Active</v>
      </c>
      <c r="O698" s="13" t="str">
        <f aca="false">IF(M698=0,"",IF(TRIM(Raw_Data!M698)="","Not Recorded",TRIM(Raw_Data!M698)))</f>
        <v/>
      </c>
      <c r="P698" s="16" t="n">
        <f aca="false">ROUND((IF(C698="",AsOfDate,C698)-B698)/365.25,2)</f>
        <v>7.9</v>
      </c>
      <c r="Q698" s="13" t="str">
        <f aca="false">IF(D698="","Unknown",IF(D698&lt;25,"Under 25",IF(D698&lt;35,"25-34",IF(D698&lt;45,"35-44",IF(D698&lt;55,"45-54","55+")))))</f>
        <v>35-44</v>
      </c>
      <c r="R698" s="13" t="str">
        <f aca="false">IF(P698&lt;1,"0-1 yrs",IF(P698&lt;3,"1-3 yrs",IF(P698&lt;5,"3-5 yrs",IF(P698&lt;10,"5-10 yrs","10+ yrs"))))</f>
        <v>5-10 yrs</v>
      </c>
      <c r="S698" s="13" t="str">
        <f aca="false">IF(I698&gt;=4,"High",IF(I698=3,"Medium","Low"))</f>
        <v>Medium</v>
      </c>
      <c r="T698" s="13" t="str">
        <f aca="false">IF(M698=1,YEAR(C698),"")</f>
        <v/>
      </c>
      <c r="U698" s="13" t="str">
        <f aca="false">IF(M698=1,YEAR(C698)&amp;"-Q"&amp;ROUNDUP(MONTH(C698)/3,0),"")</f>
        <v/>
      </c>
      <c r="V698" s="13" t="str">
        <f aca="false">IF(M698=1,MONTH(C698),"")</f>
        <v/>
      </c>
    </row>
    <row r="699" customFormat="false" ht="15" hidden="false" customHeight="false" outlineLevel="0" collapsed="false">
      <c r="A699" s="13" t="str">
        <f aca="false">TRIM(Raw_Data!A699)</f>
        <v>EMP0698</v>
      </c>
      <c r="B699" s="14" t="n">
        <f aca="false">Raw_Data!B699</f>
        <v>43140</v>
      </c>
      <c r="C699" s="14" t="n">
        <f aca="false">IF(Raw_Data!C699="","",Raw_Data!C699)</f>
        <v>44708</v>
      </c>
      <c r="D699" s="13" t="n">
        <f aca="false">IF(Raw_Data!D699="","",Raw_Data!D699)</f>
        <v>37</v>
      </c>
      <c r="E699" s="13" t="str">
        <f aca="false">IF(UPPER(LEFT(TRIM(Raw_Data!E699),1))="M","Male",IF(UPPER(LEFT(TRIM(Raw_Data!E699),1))="F","Female","Unknown"))</f>
        <v>Female</v>
      </c>
      <c r="F699" s="13" t="str">
        <f aca="false">PROPER(TRIM(SUBSTITUTE(Raw_Data!F699,"'","")))</f>
        <v>Bachelors</v>
      </c>
      <c r="G699" s="13" t="str">
        <f aca="false">PROPER(TRIM(Raw_Data!G699))</f>
        <v>Engineering</v>
      </c>
      <c r="H699" s="13" t="str">
        <f aca="false">PROPER(TRIM(Raw_Data!H699))</f>
        <v>Associate</v>
      </c>
      <c r="I699" s="13" t="n">
        <f aca="false">IF(Raw_Data!I699="",DefaultPerf,Raw_Data!I699)</f>
        <v>4</v>
      </c>
      <c r="J699" s="13" t="n">
        <f aca="false">IF(Raw_Data!J699="",DefaultSat,Raw_Data!J699)</f>
        <v>2</v>
      </c>
      <c r="K699" s="15" t="n">
        <f aca="false">Raw_Data!K699</f>
        <v>39000</v>
      </c>
      <c r="L699" s="13" t="str">
        <f aca="false">PROPER(TRIM(Raw_Data!N699))</f>
        <v>No</v>
      </c>
      <c r="M699" s="13" t="n">
        <f aca="false">IF(C699="",0,1)</f>
        <v>1</v>
      </c>
      <c r="N699" s="13" t="str">
        <f aca="false">IF(M699=0,"Active",IF(TRIM(Raw_Data!L699)="","Unknown",PROPER(TRIM(Raw_Data!L699))))</f>
        <v>Voluntary</v>
      </c>
      <c r="O699" s="13" t="str">
        <f aca="false">IF(M699=0,"",IF(TRIM(Raw_Data!M699)="","Not Recorded",TRIM(Raw_Data!M699)))</f>
        <v>Better Compensation</v>
      </c>
      <c r="P699" s="16" t="n">
        <f aca="false">ROUND((IF(C699="",AsOfDate,C699)-B699)/365.25,2)</f>
        <v>4.29</v>
      </c>
      <c r="Q699" s="13" t="str">
        <f aca="false">IF(D699="","Unknown",IF(D699&lt;25,"Under 25",IF(D699&lt;35,"25-34",IF(D699&lt;45,"35-44",IF(D699&lt;55,"45-54","55+")))))</f>
        <v>35-44</v>
      </c>
      <c r="R699" s="13" t="str">
        <f aca="false">IF(P699&lt;1,"0-1 yrs",IF(P699&lt;3,"1-3 yrs",IF(P699&lt;5,"3-5 yrs",IF(P699&lt;10,"5-10 yrs","10+ yrs"))))</f>
        <v>3-5 yrs</v>
      </c>
      <c r="S699" s="13" t="str">
        <f aca="false">IF(I699&gt;=4,"High",IF(I699=3,"Medium","Low"))</f>
        <v>High</v>
      </c>
      <c r="T699" s="13" t="n">
        <f aca="false">IF(M699=1,YEAR(C699),"")</f>
        <v>2022</v>
      </c>
      <c r="U699" s="13" t="str">
        <f aca="false">IF(M699=1,YEAR(C699)&amp;"-Q"&amp;ROUNDUP(MONTH(C699)/3,0),"")</f>
        <v>2022-Q2</v>
      </c>
      <c r="V699" s="13" t="n">
        <f aca="false">IF(M699=1,MONTH(C699),"")</f>
        <v>5</v>
      </c>
    </row>
    <row r="700" customFormat="false" ht="15" hidden="false" customHeight="false" outlineLevel="0" collapsed="false">
      <c r="A700" s="13" t="str">
        <f aca="false">TRIM(Raw_Data!A700)</f>
        <v>EMP0699</v>
      </c>
      <c r="B700" s="14" t="n">
        <f aca="false">Raw_Data!B700</f>
        <v>43141</v>
      </c>
      <c r="C700" s="14" t="str">
        <f aca="false">IF(Raw_Data!C700="","",Raw_Data!C700)</f>
        <v/>
      </c>
      <c r="D700" s="13" t="n">
        <f aca="false">IF(Raw_Data!D700="","",Raw_Data!D700)</f>
        <v>36</v>
      </c>
      <c r="E700" s="13" t="str">
        <f aca="false">IF(UPPER(LEFT(TRIM(Raw_Data!E700),1))="M","Male",IF(UPPER(LEFT(TRIM(Raw_Data!E700),1))="F","Female","Unknown"))</f>
        <v>Male</v>
      </c>
      <c r="F700" s="13" t="str">
        <f aca="false">PROPER(TRIM(SUBSTITUTE(Raw_Data!F700,"'","")))</f>
        <v>Bachelors</v>
      </c>
      <c r="G700" s="13" t="str">
        <f aca="false">PROPER(TRIM(Raw_Data!G700))</f>
        <v>Sales</v>
      </c>
      <c r="H700" s="13" t="str">
        <f aca="false">PROPER(TRIM(Raw_Data!H700))</f>
        <v>Specialist</v>
      </c>
      <c r="I700" s="13" t="n">
        <f aca="false">IF(Raw_Data!I700="",DefaultPerf,Raw_Data!I700)</f>
        <v>3</v>
      </c>
      <c r="J700" s="13" t="n">
        <f aca="false">IF(Raw_Data!J700="",DefaultSat,Raw_Data!J700)</f>
        <v>1</v>
      </c>
      <c r="K700" s="15" t="n">
        <f aca="false">Raw_Data!K700</f>
        <v>105000</v>
      </c>
      <c r="L700" s="13" t="str">
        <f aca="false">PROPER(TRIM(Raw_Data!N700))</f>
        <v>No</v>
      </c>
      <c r="M700" s="13" t="n">
        <f aca="false">IF(C700="",0,1)</f>
        <v>0</v>
      </c>
      <c r="N700" s="13" t="str">
        <f aca="false">IF(M700=0,"Active",IF(TRIM(Raw_Data!L700)="","Unknown",PROPER(TRIM(Raw_Data!L700))))</f>
        <v>Active</v>
      </c>
      <c r="O700" s="13" t="str">
        <f aca="false">IF(M700=0,"",IF(TRIM(Raw_Data!M700)="","Not Recorded",TRIM(Raw_Data!M700)))</f>
        <v/>
      </c>
      <c r="P700" s="16" t="n">
        <f aca="false">ROUND((IF(C700="",AsOfDate,C700)-B700)/365.25,2)</f>
        <v>7.89</v>
      </c>
      <c r="Q700" s="13" t="str">
        <f aca="false">IF(D700="","Unknown",IF(D700&lt;25,"Under 25",IF(D700&lt;35,"25-34",IF(D700&lt;45,"35-44",IF(D700&lt;55,"45-54","55+")))))</f>
        <v>35-44</v>
      </c>
      <c r="R700" s="13" t="str">
        <f aca="false">IF(P700&lt;1,"0-1 yrs",IF(P700&lt;3,"1-3 yrs",IF(P700&lt;5,"3-5 yrs",IF(P700&lt;10,"5-10 yrs","10+ yrs"))))</f>
        <v>5-10 yrs</v>
      </c>
      <c r="S700" s="13" t="str">
        <f aca="false">IF(I700&gt;=4,"High",IF(I700=3,"Medium","Low"))</f>
        <v>Medium</v>
      </c>
      <c r="T700" s="13" t="str">
        <f aca="false">IF(M700=1,YEAR(C700),"")</f>
        <v/>
      </c>
      <c r="U700" s="13" t="str">
        <f aca="false">IF(M700=1,YEAR(C700)&amp;"-Q"&amp;ROUNDUP(MONTH(C700)/3,0),"")</f>
        <v/>
      </c>
      <c r="V700" s="13" t="str">
        <f aca="false">IF(M700=1,MONTH(C700),"")</f>
        <v/>
      </c>
    </row>
    <row r="701" customFormat="false" ht="15" hidden="false" customHeight="false" outlineLevel="0" collapsed="false">
      <c r="A701" s="13" t="str">
        <f aca="false">TRIM(Raw_Data!A701)</f>
        <v>EMP0700</v>
      </c>
      <c r="B701" s="14" t="n">
        <f aca="false">Raw_Data!B701</f>
        <v>43146</v>
      </c>
      <c r="C701" s="14" t="n">
        <f aca="false">IF(Raw_Data!C701="","",Raw_Data!C701)</f>
        <v>44659</v>
      </c>
      <c r="D701" s="13" t="n">
        <f aca="false">IF(Raw_Data!D701="","",Raw_Data!D701)</f>
        <v>35</v>
      </c>
      <c r="E701" s="13" t="str">
        <f aca="false">IF(UPPER(LEFT(TRIM(Raw_Data!E701),1))="M","Male",IF(UPPER(LEFT(TRIM(Raw_Data!E701),1))="F","Female","Unknown"))</f>
        <v>Male</v>
      </c>
      <c r="F701" s="13" t="str">
        <f aca="false">PROPER(TRIM(SUBSTITUTE(Raw_Data!F701,"'","")))</f>
        <v>Bachelors</v>
      </c>
      <c r="G701" s="13" t="str">
        <f aca="false">PROPER(TRIM(Raw_Data!G701))</f>
        <v>Engineering</v>
      </c>
      <c r="H701" s="13" t="str">
        <f aca="false">PROPER(TRIM(Raw_Data!H701))</f>
        <v>Specialist</v>
      </c>
      <c r="I701" s="13" t="n">
        <f aca="false">IF(Raw_Data!I701="",DefaultPerf,Raw_Data!I701)</f>
        <v>4</v>
      </c>
      <c r="J701" s="13" t="n">
        <f aca="false">IF(Raw_Data!J701="",DefaultSat,Raw_Data!J701)</f>
        <v>3</v>
      </c>
      <c r="K701" s="15" t="n">
        <f aca="false">Raw_Data!K701</f>
        <v>131000</v>
      </c>
      <c r="L701" s="13" t="str">
        <f aca="false">PROPER(TRIM(Raw_Data!N701))</f>
        <v>Yes</v>
      </c>
      <c r="M701" s="13" t="n">
        <f aca="false">IF(C701="",0,1)</f>
        <v>1</v>
      </c>
      <c r="N701" s="13" t="str">
        <f aca="false">IF(M701=0,"Active",IF(TRIM(Raw_Data!L701)="","Unknown",PROPER(TRIM(Raw_Data!L701))))</f>
        <v>Unknown</v>
      </c>
      <c r="O701" s="13" t="str">
        <f aca="false">IF(M701=0,"",IF(TRIM(Raw_Data!M701)="","Not Recorded",TRIM(Raw_Data!M701)))</f>
        <v>Restructuring / Layoff</v>
      </c>
      <c r="P701" s="16" t="n">
        <f aca="false">ROUND((IF(C701="",AsOfDate,C701)-B701)/365.25,2)</f>
        <v>4.14</v>
      </c>
      <c r="Q701" s="13" t="str">
        <f aca="false">IF(D701="","Unknown",IF(D701&lt;25,"Under 25",IF(D701&lt;35,"25-34",IF(D701&lt;45,"35-44",IF(D701&lt;55,"45-54","55+")))))</f>
        <v>35-44</v>
      </c>
      <c r="R701" s="13" t="str">
        <f aca="false">IF(P701&lt;1,"0-1 yrs",IF(P701&lt;3,"1-3 yrs",IF(P701&lt;5,"3-5 yrs",IF(P701&lt;10,"5-10 yrs","10+ yrs"))))</f>
        <v>3-5 yrs</v>
      </c>
      <c r="S701" s="13" t="str">
        <f aca="false">IF(I701&gt;=4,"High",IF(I701=3,"Medium","Low"))</f>
        <v>High</v>
      </c>
      <c r="T701" s="13" t="n">
        <f aca="false">IF(M701=1,YEAR(C701),"")</f>
        <v>2022</v>
      </c>
      <c r="U701" s="13" t="str">
        <f aca="false">IF(M701=1,YEAR(C701)&amp;"-Q"&amp;ROUNDUP(MONTH(C701)/3,0),"")</f>
        <v>2022-Q2</v>
      </c>
      <c r="V701" s="13" t="n">
        <f aca="false">IF(M701=1,MONTH(C701),"")</f>
        <v>4</v>
      </c>
    </row>
    <row r="702" customFormat="false" ht="15" hidden="false" customHeight="false" outlineLevel="0" collapsed="false">
      <c r="A702" s="13" t="str">
        <f aca="false">TRIM(Raw_Data!A702)</f>
        <v>EMP0701</v>
      </c>
      <c r="B702" s="14" t="n">
        <f aca="false">Raw_Data!B702</f>
        <v>43146</v>
      </c>
      <c r="C702" s="14" t="n">
        <f aca="false">IF(Raw_Data!C702="","",Raw_Data!C702)</f>
        <v>45017</v>
      </c>
      <c r="D702" s="13" t="n">
        <f aca="false">IF(Raw_Data!D702="","",Raw_Data!D702)</f>
        <v>33</v>
      </c>
      <c r="E702" s="13" t="str">
        <f aca="false">IF(UPPER(LEFT(TRIM(Raw_Data!E702),1))="M","Male",IF(UPPER(LEFT(TRIM(Raw_Data!E702),1))="F","Female","Unknown"))</f>
        <v>Male</v>
      </c>
      <c r="F702" s="13" t="str">
        <f aca="false">PROPER(TRIM(SUBSTITUTE(Raw_Data!F702,"'","")))</f>
        <v>Bachelors</v>
      </c>
      <c r="G702" s="13" t="str">
        <f aca="false">PROPER(TRIM(Raw_Data!G702))</f>
        <v>Engineering</v>
      </c>
      <c r="H702" s="13" t="str">
        <f aca="false">PROPER(TRIM(Raw_Data!H702))</f>
        <v>Associate</v>
      </c>
      <c r="I702" s="13" t="n">
        <f aca="false">IF(Raw_Data!I702="",DefaultPerf,Raw_Data!I702)</f>
        <v>3</v>
      </c>
      <c r="J702" s="13" t="n">
        <f aca="false">IF(Raw_Data!J702="",DefaultSat,Raw_Data!J702)</f>
        <v>1</v>
      </c>
      <c r="K702" s="15" t="n">
        <f aca="false">Raw_Data!K702</f>
        <v>40500</v>
      </c>
      <c r="L702" s="13" t="str">
        <f aca="false">PROPER(TRIM(Raw_Data!N702))</f>
        <v>Yes</v>
      </c>
      <c r="M702" s="13" t="n">
        <f aca="false">IF(C702="",0,1)</f>
        <v>1</v>
      </c>
      <c r="N702" s="13" t="str">
        <f aca="false">IF(M702=0,"Active",IF(TRIM(Raw_Data!L702)="","Unknown",PROPER(TRIM(Raw_Data!L702))))</f>
        <v>Voluntary</v>
      </c>
      <c r="O702" s="13" t="str">
        <f aca="false">IF(M702=0,"",IF(TRIM(Raw_Data!M702)="","Not Recorded",TRIM(Raw_Data!M702)))</f>
        <v>Better Compensation</v>
      </c>
      <c r="P702" s="16" t="n">
        <f aca="false">ROUND((IF(C702="",AsOfDate,C702)-B702)/365.25,2)</f>
        <v>5.12</v>
      </c>
      <c r="Q702" s="13" t="str">
        <f aca="false">IF(D702="","Unknown",IF(D702&lt;25,"Under 25",IF(D702&lt;35,"25-34",IF(D702&lt;45,"35-44",IF(D702&lt;55,"45-54","55+")))))</f>
        <v>25-34</v>
      </c>
      <c r="R702" s="13" t="str">
        <f aca="false">IF(P702&lt;1,"0-1 yrs",IF(P702&lt;3,"1-3 yrs",IF(P702&lt;5,"3-5 yrs",IF(P702&lt;10,"5-10 yrs","10+ yrs"))))</f>
        <v>5-10 yrs</v>
      </c>
      <c r="S702" s="13" t="str">
        <f aca="false">IF(I702&gt;=4,"High",IF(I702=3,"Medium","Low"))</f>
        <v>Medium</v>
      </c>
      <c r="T702" s="13" t="n">
        <f aca="false">IF(M702=1,YEAR(C702),"")</f>
        <v>2023</v>
      </c>
      <c r="U702" s="13" t="str">
        <f aca="false">IF(M702=1,YEAR(C702)&amp;"-Q"&amp;ROUNDUP(MONTH(C702)/3,0),"")</f>
        <v>2023-Q2</v>
      </c>
      <c r="V702" s="13" t="n">
        <f aca="false">IF(M702=1,MONTH(C702),"")</f>
        <v>4</v>
      </c>
    </row>
    <row r="703" customFormat="false" ht="15" hidden="false" customHeight="false" outlineLevel="0" collapsed="false">
      <c r="A703" s="13" t="str">
        <f aca="false">TRIM(Raw_Data!A703)</f>
        <v>EMP0702</v>
      </c>
      <c r="B703" s="14" t="n">
        <f aca="false">Raw_Data!B703</f>
        <v>43147</v>
      </c>
      <c r="C703" s="14" t="str">
        <f aca="false">IF(Raw_Data!C703="","",Raw_Data!C703)</f>
        <v/>
      </c>
      <c r="D703" s="13" t="n">
        <f aca="false">IF(Raw_Data!D703="","",Raw_Data!D703)</f>
        <v>34</v>
      </c>
      <c r="E703" s="13" t="str">
        <f aca="false">IF(UPPER(LEFT(TRIM(Raw_Data!E703),1))="M","Male",IF(UPPER(LEFT(TRIM(Raw_Data!E703),1))="F","Female","Unknown"))</f>
        <v>Male</v>
      </c>
      <c r="F703" s="13" t="str">
        <f aca="false">PROPER(TRIM(SUBSTITUTE(Raw_Data!F703,"'","")))</f>
        <v>Bachelors</v>
      </c>
      <c r="G703" s="13" t="str">
        <f aca="false">PROPER(TRIM(Raw_Data!G703))</f>
        <v>Sales</v>
      </c>
      <c r="H703" s="13" t="str">
        <f aca="false">PROPER(TRIM(Raw_Data!H703))</f>
        <v>Associate</v>
      </c>
      <c r="I703" s="13" t="n">
        <f aca="false">IF(Raw_Data!I703="",DefaultPerf,Raw_Data!I703)</f>
        <v>4</v>
      </c>
      <c r="J703" s="13" t="n">
        <f aca="false">IF(Raw_Data!J703="",DefaultSat,Raw_Data!J703)</f>
        <v>3</v>
      </c>
      <c r="K703" s="15" t="n">
        <f aca="false">Raw_Data!K703</f>
        <v>44000</v>
      </c>
      <c r="L703" s="13" t="str">
        <f aca="false">PROPER(TRIM(Raw_Data!N703))</f>
        <v>No</v>
      </c>
      <c r="M703" s="13" t="n">
        <f aca="false">IF(C703="",0,1)</f>
        <v>0</v>
      </c>
      <c r="N703" s="13" t="str">
        <f aca="false">IF(M703=0,"Active",IF(TRIM(Raw_Data!L703)="","Unknown",PROPER(TRIM(Raw_Data!L703))))</f>
        <v>Active</v>
      </c>
      <c r="O703" s="13" t="str">
        <f aca="false">IF(M703=0,"",IF(TRIM(Raw_Data!M703)="","Not Recorded",TRIM(Raw_Data!M703)))</f>
        <v/>
      </c>
      <c r="P703" s="16" t="n">
        <f aca="false">ROUND((IF(C703="",AsOfDate,C703)-B703)/365.25,2)</f>
        <v>7.87</v>
      </c>
      <c r="Q703" s="13" t="str">
        <f aca="false">IF(D703="","Unknown",IF(D703&lt;25,"Under 25",IF(D703&lt;35,"25-34",IF(D703&lt;45,"35-44",IF(D703&lt;55,"45-54","55+")))))</f>
        <v>25-34</v>
      </c>
      <c r="R703" s="13" t="str">
        <f aca="false">IF(P703&lt;1,"0-1 yrs",IF(P703&lt;3,"1-3 yrs",IF(P703&lt;5,"3-5 yrs",IF(P703&lt;10,"5-10 yrs","10+ yrs"))))</f>
        <v>5-10 yrs</v>
      </c>
      <c r="S703" s="13" t="str">
        <f aca="false">IF(I703&gt;=4,"High",IF(I703=3,"Medium","Low"))</f>
        <v>High</v>
      </c>
      <c r="T703" s="13" t="str">
        <f aca="false">IF(M703=1,YEAR(C703),"")</f>
        <v/>
      </c>
      <c r="U703" s="13" t="str">
        <f aca="false">IF(M703=1,YEAR(C703)&amp;"-Q"&amp;ROUNDUP(MONTH(C703)/3,0),"")</f>
        <v/>
      </c>
      <c r="V703" s="13" t="str">
        <f aca="false">IF(M703=1,MONTH(C703),"")</f>
        <v/>
      </c>
    </row>
    <row r="704" customFormat="false" ht="15" hidden="false" customHeight="false" outlineLevel="0" collapsed="false">
      <c r="A704" s="13" t="str">
        <f aca="false">TRIM(Raw_Data!A704)</f>
        <v>EMP0703</v>
      </c>
      <c r="B704" s="14" t="n">
        <f aca="false">Raw_Data!B704</f>
        <v>43148</v>
      </c>
      <c r="C704" s="14" t="str">
        <f aca="false">IF(Raw_Data!C704="","",Raw_Data!C704)</f>
        <v/>
      </c>
      <c r="D704" s="13" t="n">
        <f aca="false">IF(Raw_Data!D704="","",Raw_Data!D704)</f>
        <v>37</v>
      </c>
      <c r="E704" s="13" t="str">
        <f aca="false">IF(UPPER(LEFT(TRIM(Raw_Data!E704),1))="M","Male",IF(UPPER(LEFT(TRIM(Raw_Data!E704),1))="F","Female","Unknown"))</f>
        <v>Male</v>
      </c>
      <c r="F704" s="13" t="str">
        <f aca="false">PROPER(TRIM(SUBSTITUTE(Raw_Data!F704,"'","")))</f>
        <v>High School</v>
      </c>
      <c r="G704" s="13" t="str">
        <f aca="false">PROPER(TRIM(Raw_Data!G704))</f>
        <v>Sales</v>
      </c>
      <c r="H704" s="13" t="str">
        <f aca="false">PROPER(TRIM(Raw_Data!H704))</f>
        <v>Analyst</v>
      </c>
      <c r="I704" s="13" t="n">
        <f aca="false">IF(Raw_Data!I704="",DefaultPerf,Raw_Data!I704)</f>
        <v>3</v>
      </c>
      <c r="J704" s="13" t="n">
        <f aca="false">IF(Raw_Data!J704="",DefaultSat,Raw_Data!J704)</f>
        <v>4</v>
      </c>
      <c r="K704" s="15" t="n">
        <f aca="false">Raw_Data!K704</f>
        <v>61500</v>
      </c>
      <c r="L704" s="13" t="str">
        <f aca="false">PROPER(TRIM(Raw_Data!N704))</f>
        <v>No</v>
      </c>
      <c r="M704" s="13" t="n">
        <f aca="false">IF(C704="",0,1)</f>
        <v>0</v>
      </c>
      <c r="N704" s="13" t="str">
        <f aca="false">IF(M704=0,"Active",IF(TRIM(Raw_Data!L704)="","Unknown",PROPER(TRIM(Raw_Data!L704))))</f>
        <v>Active</v>
      </c>
      <c r="O704" s="13" t="str">
        <f aca="false">IF(M704=0,"",IF(TRIM(Raw_Data!M704)="","Not Recorded",TRIM(Raw_Data!M704)))</f>
        <v/>
      </c>
      <c r="P704" s="16" t="n">
        <f aca="false">ROUND((IF(C704="",AsOfDate,C704)-B704)/365.25,2)</f>
        <v>7.87</v>
      </c>
      <c r="Q704" s="13" t="str">
        <f aca="false">IF(D704="","Unknown",IF(D704&lt;25,"Under 25",IF(D704&lt;35,"25-34",IF(D704&lt;45,"35-44",IF(D704&lt;55,"45-54","55+")))))</f>
        <v>35-44</v>
      </c>
      <c r="R704" s="13" t="str">
        <f aca="false">IF(P704&lt;1,"0-1 yrs",IF(P704&lt;3,"1-3 yrs",IF(P704&lt;5,"3-5 yrs",IF(P704&lt;10,"5-10 yrs","10+ yrs"))))</f>
        <v>5-10 yrs</v>
      </c>
      <c r="S704" s="13" t="str">
        <f aca="false">IF(I704&gt;=4,"High",IF(I704=3,"Medium","Low"))</f>
        <v>Medium</v>
      </c>
      <c r="T704" s="13" t="str">
        <f aca="false">IF(M704=1,YEAR(C704),"")</f>
        <v/>
      </c>
      <c r="U704" s="13" t="str">
        <f aca="false">IF(M704=1,YEAR(C704)&amp;"-Q"&amp;ROUNDUP(MONTH(C704)/3,0),"")</f>
        <v/>
      </c>
      <c r="V704" s="13" t="str">
        <f aca="false">IF(M704=1,MONTH(C704),"")</f>
        <v/>
      </c>
    </row>
    <row r="705" customFormat="false" ht="15" hidden="false" customHeight="false" outlineLevel="0" collapsed="false">
      <c r="A705" s="13" t="str">
        <f aca="false">TRIM(Raw_Data!A705)</f>
        <v>EMP0704</v>
      </c>
      <c r="B705" s="14" t="n">
        <f aca="false">Raw_Data!B705</f>
        <v>43149</v>
      </c>
      <c r="C705" s="14" t="str">
        <f aca="false">IF(Raw_Data!C705="","",Raw_Data!C705)</f>
        <v/>
      </c>
      <c r="D705" s="13" t="n">
        <f aca="false">IF(Raw_Data!D705="","",Raw_Data!D705)</f>
        <v>36</v>
      </c>
      <c r="E705" s="13" t="str">
        <f aca="false">IF(UPPER(LEFT(TRIM(Raw_Data!E705),1))="M","Male",IF(UPPER(LEFT(TRIM(Raw_Data!E705),1))="F","Female","Unknown"))</f>
        <v>Male</v>
      </c>
      <c r="F705" s="13" t="str">
        <f aca="false">PROPER(TRIM(SUBSTITUTE(Raw_Data!F705,"'","")))</f>
        <v>Diploma</v>
      </c>
      <c r="G705" s="13" t="str">
        <f aca="false">PROPER(TRIM(Raw_Data!G705))</f>
        <v>Sales</v>
      </c>
      <c r="H705" s="13" t="str">
        <f aca="false">PROPER(TRIM(Raw_Data!H705))</f>
        <v>Specialist</v>
      </c>
      <c r="I705" s="13" t="n">
        <f aca="false">IF(Raw_Data!I705="",DefaultPerf,Raw_Data!I705)</f>
        <v>4</v>
      </c>
      <c r="J705" s="13" t="n">
        <f aca="false">IF(Raw_Data!J705="",DefaultSat,Raw_Data!J705)</f>
        <v>1</v>
      </c>
      <c r="K705" s="15" t="n">
        <f aca="false">Raw_Data!K705</f>
        <v>116000</v>
      </c>
      <c r="L705" s="13" t="str">
        <f aca="false">PROPER(TRIM(Raw_Data!N705))</f>
        <v>Yes</v>
      </c>
      <c r="M705" s="13" t="n">
        <f aca="false">IF(C705="",0,1)</f>
        <v>0</v>
      </c>
      <c r="N705" s="13" t="str">
        <f aca="false">IF(M705=0,"Active",IF(TRIM(Raw_Data!L705)="","Unknown",PROPER(TRIM(Raw_Data!L705))))</f>
        <v>Active</v>
      </c>
      <c r="O705" s="13" t="str">
        <f aca="false">IF(M705=0,"",IF(TRIM(Raw_Data!M705)="","Not Recorded",TRIM(Raw_Data!M705)))</f>
        <v/>
      </c>
      <c r="P705" s="16" t="n">
        <f aca="false">ROUND((IF(C705="",AsOfDate,C705)-B705)/365.25,2)</f>
        <v>7.87</v>
      </c>
      <c r="Q705" s="13" t="str">
        <f aca="false">IF(D705="","Unknown",IF(D705&lt;25,"Under 25",IF(D705&lt;35,"25-34",IF(D705&lt;45,"35-44",IF(D705&lt;55,"45-54","55+")))))</f>
        <v>35-44</v>
      </c>
      <c r="R705" s="13" t="str">
        <f aca="false">IF(P705&lt;1,"0-1 yrs",IF(P705&lt;3,"1-3 yrs",IF(P705&lt;5,"3-5 yrs",IF(P705&lt;10,"5-10 yrs","10+ yrs"))))</f>
        <v>5-10 yrs</v>
      </c>
      <c r="S705" s="13" t="str">
        <f aca="false">IF(I705&gt;=4,"High",IF(I705=3,"Medium","Low"))</f>
        <v>High</v>
      </c>
      <c r="T705" s="13" t="str">
        <f aca="false">IF(M705=1,YEAR(C705),"")</f>
        <v/>
      </c>
      <c r="U705" s="13" t="str">
        <f aca="false">IF(M705=1,YEAR(C705)&amp;"-Q"&amp;ROUNDUP(MONTH(C705)/3,0),"")</f>
        <v/>
      </c>
      <c r="V705" s="13" t="str">
        <f aca="false">IF(M705=1,MONTH(C705),"")</f>
        <v/>
      </c>
    </row>
    <row r="706" customFormat="false" ht="15" hidden="false" customHeight="false" outlineLevel="0" collapsed="false">
      <c r="A706" s="13" t="str">
        <f aca="false">TRIM(Raw_Data!A706)</f>
        <v>EMP0705</v>
      </c>
      <c r="B706" s="14" t="n">
        <f aca="false">Raw_Data!B706</f>
        <v>43156</v>
      </c>
      <c r="C706" s="14" t="str">
        <f aca="false">IF(Raw_Data!C706="","",Raw_Data!C706)</f>
        <v/>
      </c>
      <c r="D706" s="13" t="n">
        <f aca="false">IF(Raw_Data!D706="","",Raw_Data!D706)</f>
        <v>34</v>
      </c>
      <c r="E706" s="13" t="str">
        <f aca="false">IF(UPPER(LEFT(TRIM(Raw_Data!E706),1))="M","Male",IF(UPPER(LEFT(TRIM(Raw_Data!E706),1))="F","Female","Unknown"))</f>
        <v>Male</v>
      </c>
      <c r="F706" s="13" t="str">
        <f aca="false">PROPER(TRIM(SUBSTITUTE(Raw_Data!F706,"'","")))</f>
        <v>Bachelors</v>
      </c>
      <c r="G706" s="13" t="str">
        <f aca="false">PROPER(TRIM(Raw_Data!G706))</f>
        <v>Engineering</v>
      </c>
      <c r="H706" s="13" t="str">
        <f aca="false">PROPER(TRIM(Raw_Data!H706))</f>
        <v>Associate</v>
      </c>
      <c r="I706" s="13" t="n">
        <f aca="false">IF(Raw_Data!I706="",DefaultPerf,Raw_Data!I706)</f>
        <v>2</v>
      </c>
      <c r="J706" s="13" t="n">
        <f aca="false">IF(Raw_Data!J706="",DefaultSat,Raw_Data!J706)</f>
        <v>3</v>
      </c>
      <c r="K706" s="15" t="n">
        <f aca="false">Raw_Data!K706</f>
        <v>40500</v>
      </c>
      <c r="L706" s="13" t="str">
        <f aca="false">PROPER(TRIM(Raw_Data!N706))</f>
        <v>No</v>
      </c>
      <c r="M706" s="13" t="n">
        <f aca="false">IF(C706="",0,1)</f>
        <v>0</v>
      </c>
      <c r="N706" s="13" t="str">
        <f aca="false">IF(M706=0,"Active",IF(TRIM(Raw_Data!L706)="","Unknown",PROPER(TRIM(Raw_Data!L706))))</f>
        <v>Active</v>
      </c>
      <c r="O706" s="13" t="str">
        <f aca="false">IF(M706=0,"",IF(TRIM(Raw_Data!M706)="","Not Recorded",TRIM(Raw_Data!M706)))</f>
        <v/>
      </c>
      <c r="P706" s="16" t="n">
        <f aca="false">ROUND((IF(C706="",AsOfDate,C706)-B706)/365.25,2)</f>
        <v>7.85</v>
      </c>
      <c r="Q706" s="13" t="str">
        <f aca="false">IF(D706="","Unknown",IF(D706&lt;25,"Under 25",IF(D706&lt;35,"25-34",IF(D706&lt;45,"35-44",IF(D706&lt;55,"45-54","55+")))))</f>
        <v>25-34</v>
      </c>
      <c r="R706" s="13" t="str">
        <f aca="false">IF(P706&lt;1,"0-1 yrs",IF(P706&lt;3,"1-3 yrs",IF(P706&lt;5,"3-5 yrs",IF(P706&lt;10,"5-10 yrs","10+ yrs"))))</f>
        <v>5-10 yrs</v>
      </c>
      <c r="S706" s="13" t="str">
        <f aca="false">IF(I706&gt;=4,"High",IF(I706=3,"Medium","Low"))</f>
        <v>Low</v>
      </c>
      <c r="T706" s="13" t="str">
        <f aca="false">IF(M706=1,YEAR(C706),"")</f>
        <v/>
      </c>
      <c r="U706" s="13" t="str">
        <f aca="false">IF(M706=1,YEAR(C706)&amp;"-Q"&amp;ROUNDUP(MONTH(C706)/3,0),"")</f>
        <v/>
      </c>
      <c r="V706" s="13" t="str">
        <f aca="false">IF(M706=1,MONTH(C706),"")</f>
        <v/>
      </c>
    </row>
    <row r="707" customFormat="false" ht="15" hidden="false" customHeight="false" outlineLevel="0" collapsed="false">
      <c r="A707" s="13" t="str">
        <f aca="false">TRIM(Raw_Data!A707)</f>
        <v>EMP0706</v>
      </c>
      <c r="B707" s="14" t="n">
        <f aca="false">Raw_Data!B707</f>
        <v>43157</v>
      </c>
      <c r="C707" s="14" t="n">
        <f aca="false">IF(Raw_Data!C707="","",Raw_Data!C707)</f>
        <v>44644</v>
      </c>
      <c r="D707" s="13" t="n">
        <f aca="false">IF(Raw_Data!D707="","",Raw_Data!D707)</f>
        <v>29</v>
      </c>
      <c r="E707" s="13" t="str">
        <f aca="false">IF(UPPER(LEFT(TRIM(Raw_Data!E707),1))="M","Male",IF(UPPER(LEFT(TRIM(Raw_Data!E707),1))="F","Female","Unknown"))</f>
        <v>Female</v>
      </c>
      <c r="F707" s="13" t="str">
        <f aca="false">PROPER(TRIM(SUBSTITUTE(Raw_Data!F707,"'","")))</f>
        <v>Doctorate</v>
      </c>
      <c r="G707" s="13" t="str">
        <f aca="false">PROPER(TRIM(Raw_Data!G707))</f>
        <v>Operations</v>
      </c>
      <c r="H707" s="13" t="str">
        <f aca="false">PROPER(TRIM(Raw_Data!H707))</f>
        <v>Analyst</v>
      </c>
      <c r="I707" s="13" t="n">
        <f aca="false">IF(Raw_Data!I707="",DefaultPerf,Raw_Data!I707)</f>
        <v>4</v>
      </c>
      <c r="J707" s="13" t="n">
        <f aca="false">IF(Raw_Data!J707="",DefaultSat,Raw_Data!J707)</f>
        <v>1</v>
      </c>
      <c r="K707" s="15" t="n">
        <f aca="false">Raw_Data!K707</f>
        <v>63500</v>
      </c>
      <c r="L707" s="13" t="str">
        <f aca="false">PROPER(TRIM(Raw_Data!N707))</f>
        <v>Yes</v>
      </c>
      <c r="M707" s="13" t="n">
        <f aca="false">IF(C707="",0,1)</f>
        <v>1</v>
      </c>
      <c r="N707" s="13" t="str">
        <f aca="false">IF(M707=0,"Active",IF(TRIM(Raw_Data!L707)="","Unknown",PROPER(TRIM(Raw_Data!L707))))</f>
        <v>Voluntary</v>
      </c>
      <c r="O707" s="13" t="str">
        <f aca="false">IF(M707=0,"",IF(TRIM(Raw_Data!M707)="","Not Recorded",TRIM(Raw_Data!M707)))</f>
        <v>Not Recorded</v>
      </c>
      <c r="P707" s="16" t="n">
        <f aca="false">ROUND((IF(C707="",AsOfDate,C707)-B707)/365.25,2)</f>
        <v>4.07</v>
      </c>
      <c r="Q707" s="13" t="str">
        <f aca="false">IF(D707="","Unknown",IF(D707&lt;25,"Under 25",IF(D707&lt;35,"25-34",IF(D707&lt;45,"35-44",IF(D707&lt;55,"45-54","55+")))))</f>
        <v>25-34</v>
      </c>
      <c r="R707" s="13" t="str">
        <f aca="false">IF(P707&lt;1,"0-1 yrs",IF(P707&lt;3,"1-3 yrs",IF(P707&lt;5,"3-5 yrs",IF(P707&lt;10,"5-10 yrs","10+ yrs"))))</f>
        <v>3-5 yrs</v>
      </c>
      <c r="S707" s="13" t="str">
        <f aca="false">IF(I707&gt;=4,"High",IF(I707=3,"Medium","Low"))</f>
        <v>High</v>
      </c>
      <c r="T707" s="13" t="n">
        <f aca="false">IF(M707=1,YEAR(C707),"")</f>
        <v>2022</v>
      </c>
      <c r="U707" s="13" t="str">
        <f aca="false">IF(M707=1,YEAR(C707)&amp;"-Q"&amp;ROUNDUP(MONTH(C707)/3,0),"")</f>
        <v>2022-Q1</v>
      </c>
      <c r="V707" s="13" t="n">
        <f aca="false">IF(M707=1,MONTH(C707),"")</f>
        <v>3</v>
      </c>
    </row>
    <row r="708" customFormat="false" ht="15" hidden="false" customHeight="false" outlineLevel="0" collapsed="false">
      <c r="A708" s="13" t="str">
        <f aca="false">TRIM(Raw_Data!A708)</f>
        <v>EMP0707</v>
      </c>
      <c r="B708" s="14" t="n">
        <f aca="false">Raw_Data!B708</f>
        <v>43160</v>
      </c>
      <c r="C708" s="14" t="str">
        <f aca="false">IF(Raw_Data!C708="","",Raw_Data!C708)</f>
        <v/>
      </c>
      <c r="D708" s="13" t="n">
        <f aca="false">IF(Raw_Data!D708="","",Raw_Data!D708)</f>
        <v>30</v>
      </c>
      <c r="E708" s="13" t="str">
        <f aca="false">IF(UPPER(LEFT(TRIM(Raw_Data!E708),1))="M","Male",IF(UPPER(LEFT(TRIM(Raw_Data!E708),1))="F","Female","Unknown"))</f>
        <v>Male</v>
      </c>
      <c r="F708" s="13" t="str">
        <f aca="false">PROPER(TRIM(SUBSTITUTE(Raw_Data!F708,"'","")))</f>
        <v>Masters</v>
      </c>
      <c r="G708" s="13" t="str">
        <f aca="false">PROPER(TRIM(Raw_Data!G708))</f>
        <v>Operations</v>
      </c>
      <c r="H708" s="13" t="str">
        <f aca="false">PROPER(TRIM(Raw_Data!H708))</f>
        <v>Analyst</v>
      </c>
      <c r="I708" s="13" t="n">
        <f aca="false">IF(Raw_Data!I708="",DefaultPerf,Raw_Data!I708)</f>
        <v>3</v>
      </c>
      <c r="J708" s="13" t="n">
        <f aca="false">IF(Raw_Data!J708="",DefaultSat,Raw_Data!J708)</f>
        <v>3</v>
      </c>
      <c r="K708" s="15" t="n">
        <f aca="false">Raw_Data!K708</f>
        <v>67500</v>
      </c>
      <c r="L708" s="13" t="str">
        <f aca="false">PROPER(TRIM(Raw_Data!N708))</f>
        <v>Yes</v>
      </c>
      <c r="M708" s="13" t="n">
        <f aca="false">IF(C708="",0,1)</f>
        <v>0</v>
      </c>
      <c r="N708" s="13" t="str">
        <f aca="false">IF(M708=0,"Active",IF(TRIM(Raw_Data!L708)="","Unknown",PROPER(TRIM(Raw_Data!L708))))</f>
        <v>Active</v>
      </c>
      <c r="O708" s="13" t="str">
        <f aca="false">IF(M708=0,"",IF(TRIM(Raw_Data!M708)="","Not Recorded",TRIM(Raw_Data!M708)))</f>
        <v/>
      </c>
      <c r="P708" s="16" t="n">
        <f aca="false">ROUND((IF(C708="",AsOfDate,C708)-B708)/365.25,2)</f>
        <v>7.84</v>
      </c>
      <c r="Q708" s="13" t="str">
        <f aca="false">IF(D708="","Unknown",IF(D708&lt;25,"Under 25",IF(D708&lt;35,"25-34",IF(D708&lt;45,"35-44",IF(D708&lt;55,"45-54","55+")))))</f>
        <v>25-34</v>
      </c>
      <c r="R708" s="13" t="str">
        <f aca="false">IF(P708&lt;1,"0-1 yrs",IF(P708&lt;3,"1-3 yrs",IF(P708&lt;5,"3-5 yrs",IF(P708&lt;10,"5-10 yrs","10+ yrs"))))</f>
        <v>5-10 yrs</v>
      </c>
      <c r="S708" s="13" t="str">
        <f aca="false">IF(I708&gt;=4,"High",IF(I708=3,"Medium","Low"))</f>
        <v>Medium</v>
      </c>
      <c r="T708" s="13" t="str">
        <f aca="false">IF(M708=1,YEAR(C708),"")</f>
        <v/>
      </c>
      <c r="U708" s="13" t="str">
        <f aca="false">IF(M708=1,YEAR(C708)&amp;"-Q"&amp;ROUNDUP(MONTH(C708)/3,0),"")</f>
        <v/>
      </c>
      <c r="V708" s="13" t="str">
        <f aca="false">IF(M708=1,MONTH(C708),"")</f>
        <v/>
      </c>
    </row>
    <row r="709" customFormat="false" ht="15" hidden="false" customHeight="false" outlineLevel="0" collapsed="false">
      <c r="A709" s="13" t="str">
        <f aca="false">TRIM(Raw_Data!A709)</f>
        <v>EMP0708</v>
      </c>
      <c r="B709" s="14" t="n">
        <f aca="false">Raw_Data!B709</f>
        <v>43161</v>
      </c>
      <c r="C709" s="14" t="n">
        <f aca="false">IF(Raw_Data!C709="","",Raw_Data!C709)</f>
        <v>45395</v>
      </c>
      <c r="D709" s="13" t="n">
        <f aca="false">IF(Raw_Data!D709="","",Raw_Data!D709)</f>
        <v>37</v>
      </c>
      <c r="E709" s="13" t="str">
        <f aca="false">IF(UPPER(LEFT(TRIM(Raw_Data!E709),1))="M","Male",IF(UPPER(LEFT(TRIM(Raw_Data!E709),1))="F","Female","Unknown"))</f>
        <v>Male</v>
      </c>
      <c r="F709" s="13" t="str">
        <f aca="false">PROPER(TRIM(SUBSTITUTE(Raw_Data!F709,"'","")))</f>
        <v>Bachelors</v>
      </c>
      <c r="G709" s="13" t="str">
        <f aca="false">PROPER(TRIM(Raw_Data!G709))</f>
        <v>Sales</v>
      </c>
      <c r="H709" s="13" t="str">
        <f aca="false">PROPER(TRIM(Raw_Data!H709))</f>
        <v>Team Lead</v>
      </c>
      <c r="I709" s="13" t="n">
        <f aca="false">IF(Raw_Data!I709="",DefaultPerf,Raw_Data!I709)</f>
        <v>2</v>
      </c>
      <c r="J709" s="13" t="n">
        <f aca="false">IF(Raw_Data!J709="",DefaultSat,Raw_Data!J709)</f>
        <v>2</v>
      </c>
      <c r="K709" s="15" t="n">
        <f aca="false">Raw_Data!K709</f>
        <v>152500</v>
      </c>
      <c r="L709" s="13" t="str">
        <f aca="false">PROPER(TRIM(Raw_Data!N709))</f>
        <v>Yes</v>
      </c>
      <c r="M709" s="13" t="n">
        <f aca="false">IF(C709="",0,1)</f>
        <v>1</v>
      </c>
      <c r="N709" s="13" t="str">
        <f aca="false">IF(M709=0,"Active",IF(TRIM(Raw_Data!L709)="","Unknown",PROPER(TRIM(Raw_Data!L709))))</f>
        <v>Voluntary</v>
      </c>
      <c r="O709" s="13" t="str">
        <f aca="false">IF(M709=0,"",IF(TRIM(Raw_Data!M709)="","Not Recorded",TRIM(Raw_Data!M709)))</f>
        <v>Work-Life Balance</v>
      </c>
      <c r="P709" s="16" t="n">
        <f aca="false">ROUND((IF(C709="",AsOfDate,C709)-B709)/365.25,2)</f>
        <v>6.12</v>
      </c>
      <c r="Q709" s="13" t="str">
        <f aca="false">IF(D709="","Unknown",IF(D709&lt;25,"Under 25",IF(D709&lt;35,"25-34",IF(D709&lt;45,"35-44",IF(D709&lt;55,"45-54","55+")))))</f>
        <v>35-44</v>
      </c>
      <c r="R709" s="13" t="str">
        <f aca="false">IF(P709&lt;1,"0-1 yrs",IF(P709&lt;3,"1-3 yrs",IF(P709&lt;5,"3-5 yrs",IF(P709&lt;10,"5-10 yrs","10+ yrs"))))</f>
        <v>5-10 yrs</v>
      </c>
      <c r="S709" s="13" t="str">
        <f aca="false">IF(I709&gt;=4,"High",IF(I709=3,"Medium","Low"))</f>
        <v>Low</v>
      </c>
      <c r="T709" s="13" t="n">
        <f aca="false">IF(M709=1,YEAR(C709),"")</f>
        <v>2024</v>
      </c>
      <c r="U709" s="13" t="str">
        <f aca="false">IF(M709=1,YEAR(C709)&amp;"-Q"&amp;ROUNDUP(MONTH(C709)/3,0),"")</f>
        <v>2024-Q2</v>
      </c>
      <c r="V709" s="13" t="n">
        <f aca="false">IF(M709=1,MONTH(C709),"")</f>
        <v>4</v>
      </c>
    </row>
    <row r="710" customFormat="false" ht="15" hidden="false" customHeight="false" outlineLevel="0" collapsed="false">
      <c r="A710" s="13" t="str">
        <f aca="false">TRIM(Raw_Data!A710)</f>
        <v>EMP0709</v>
      </c>
      <c r="B710" s="14" t="n">
        <f aca="false">Raw_Data!B710</f>
        <v>43163</v>
      </c>
      <c r="C710" s="14" t="str">
        <f aca="false">IF(Raw_Data!C710="","",Raw_Data!C710)</f>
        <v/>
      </c>
      <c r="D710" s="13" t="n">
        <f aca="false">IF(Raw_Data!D710="","",Raw_Data!D710)</f>
        <v>34</v>
      </c>
      <c r="E710" s="13" t="str">
        <f aca="false">IF(UPPER(LEFT(TRIM(Raw_Data!E710),1))="M","Male",IF(UPPER(LEFT(TRIM(Raw_Data!E710),1))="F","Female","Unknown"))</f>
        <v>Female</v>
      </c>
      <c r="F710" s="13" t="str">
        <f aca="false">PROPER(TRIM(SUBSTITUTE(Raw_Data!F710,"'","")))</f>
        <v>Masters</v>
      </c>
      <c r="G710" s="13" t="str">
        <f aca="false">PROPER(TRIM(Raw_Data!G710))</f>
        <v>Customer Support</v>
      </c>
      <c r="H710" s="13" t="str">
        <f aca="false">PROPER(TRIM(Raw_Data!H710))</f>
        <v>Senior Analyst</v>
      </c>
      <c r="I710" s="13" t="n">
        <f aca="false">IF(Raw_Data!I710="",DefaultPerf,Raw_Data!I710)</f>
        <v>4</v>
      </c>
      <c r="J710" s="13" t="n">
        <f aca="false">IF(Raw_Data!J710="",DefaultSat,Raw_Data!J710)</f>
        <v>3</v>
      </c>
      <c r="K710" s="15" t="n">
        <f aca="false">Raw_Data!K710</f>
        <v>102500</v>
      </c>
      <c r="L710" s="13" t="str">
        <f aca="false">PROPER(TRIM(Raw_Data!N710))</f>
        <v>No</v>
      </c>
      <c r="M710" s="13" t="n">
        <f aca="false">IF(C710="",0,1)</f>
        <v>0</v>
      </c>
      <c r="N710" s="13" t="str">
        <f aca="false">IF(M710=0,"Active",IF(TRIM(Raw_Data!L710)="","Unknown",PROPER(TRIM(Raw_Data!L710))))</f>
        <v>Active</v>
      </c>
      <c r="O710" s="13" t="str">
        <f aca="false">IF(M710=0,"",IF(TRIM(Raw_Data!M710)="","Not Recorded",TRIM(Raw_Data!M710)))</f>
        <v/>
      </c>
      <c r="P710" s="16" t="n">
        <f aca="false">ROUND((IF(C710="",AsOfDate,C710)-B710)/365.25,2)</f>
        <v>7.83</v>
      </c>
      <c r="Q710" s="13" t="str">
        <f aca="false">IF(D710="","Unknown",IF(D710&lt;25,"Under 25",IF(D710&lt;35,"25-34",IF(D710&lt;45,"35-44",IF(D710&lt;55,"45-54","55+")))))</f>
        <v>25-34</v>
      </c>
      <c r="R710" s="13" t="str">
        <f aca="false">IF(P710&lt;1,"0-1 yrs",IF(P710&lt;3,"1-3 yrs",IF(P710&lt;5,"3-5 yrs",IF(P710&lt;10,"5-10 yrs","10+ yrs"))))</f>
        <v>5-10 yrs</v>
      </c>
      <c r="S710" s="13" t="str">
        <f aca="false">IF(I710&gt;=4,"High",IF(I710=3,"Medium","Low"))</f>
        <v>High</v>
      </c>
      <c r="T710" s="13" t="str">
        <f aca="false">IF(M710=1,YEAR(C710),"")</f>
        <v/>
      </c>
      <c r="U710" s="13" t="str">
        <f aca="false">IF(M710=1,YEAR(C710)&amp;"-Q"&amp;ROUNDUP(MONTH(C710)/3,0),"")</f>
        <v/>
      </c>
      <c r="V710" s="13" t="str">
        <f aca="false">IF(M710=1,MONTH(C710),"")</f>
        <v/>
      </c>
    </row>
    <row r="711" customFormat="false" ht="15" hidden="false" customHeight="false" outlineLevel="0" collapsed="false">
      <c r="A711" s="13" t="str">
        <f aca="false">TRIM(Raw_Data!A711)</f>
        <v>EMP0710</v>
      </c>
      <c r="B711" s="14" t="n">
        <f aca="false">Raw_Data!B711</f>
        <v>43166</v>
      </c>
      <c r="C711" s="14" t="n">
        <f aca="false">IF(Raw_Data!C711="","",Raw_Data!C711)</f>
        <v>45410</v>
      </c>
      <c r="D711" s="13" t="n">
        <f aca="false">IF(Raw_Data!D711="","",Raw_Data!D711)</f>
        <v>40</v>
      </c>
      <c r="E711" s="13" t="str">
        <f aca="false">IF(UPPER(LEFT(TRIM(Raw_Data!E711),1))="M","Male",IF(UPPER(LEFT(TRIM(Raw_Data!E711),1))="F","Female","Unknown"))</f>
        <v>Female</v>
      </c>
      <c r="F711" s="13" t="str">
        <f aca="false">PROPER(TRIM(SUBSTITUTE(Raw_Data!F711,"'","")))</f>
        <v>Masters</v>
      </c>
      <c r="G711" s="13" t="str">
        <f aca="false">PROPER(TRIM(Raw_Data!G711))</f>
        <v>Sales</v>
      </c>
      <c r="H711" s="13" t="str">
        <f aca="false">PROPER(TRIM(Raw_Data!H711))</f>
        <v>Analyst</v>
      </c>
      <c r="I711" s="13" t="n">
        <f aca="false">IF(Raw_Data!I711="",DefaultPerf,Raw_Data!I711)</f>
        <v>3</v>
      </c>
      <c r="J711" s="13" t="n">
        <f aca="false">IF(Raw_Data!J711="",DefaultSat,Raw_Data!J711)</f>
        <v>4</v>
      </c>
      <c r="K711" s="15" t="n">
        <f aca="false">Raw_Data!K711</f>
        <v>78000</v>
      </c>
      <c r="L711" s="13" t="str">
        <f aca="false">PROPER(TRIM(Raw_Data!N711))</f>
        <v>No</v>
      </c>
      <c r="M711" s="13" t="n">
        <f aca="false">IF(C711="",0,1)</f>
        <v>1</v>
      </c>
      <c r="N711" s="13" t="str">
        <f aca="false">IF(M711=0,"Active",IF(TRIM(Raw_Data!L711)="","Unknown",PROPER(TRIM(Raw_Data!L711))))</f>
        <v>Unknown</v>
      </c>
      <c r="O711" s="13" t="str">
        <f aca="false">IF(M711=0,"",IF(TRIM(Raw_Data!M711)="","Not Recorded",TRIM(Raw_Data!M711)))</f>
        <v>Manager Issues</v>
      </c>
      <c r="P711" s="16" t="n">
        <f aca="false">ROUND((IF(C711="",AsOfDate,C711)-B711)/365.25,2)</f>
        <v>6.14</v>
      </c>
      <c r="Q711" s="13" t="str">
        <f aca="false">IF(D711="","Unknown",IF(D711&lt;25,"Under 25",IF(D711&lt;35,"25-34",IF(D711&lt;45,"35-44",IF(D711&lt;55,"45-54","55+")))))</f>
        <v>35-44</v>
      </c>
      <c r="R711" s="13" t="str">
        <f aca="false">IF(P711&lt;1,"0-1 yrs",IF(P711&lt;3,"1-3 yrs",IF(P711&lt;5,"3-5 yrs",IF(P711&lt;10,"5-10 yrs","10+ yrs"))))</f>
        <v>5-10 yrs</v>
      </c>
      <c r="S711" s="13" t="str">
        <f aca="false">IF(I711&gt;=4,"High",IF(I711=3,"Medium","Low"))</f>
        <v>Medium</v>
      </c>
      <c r="T711" s="13" t="n">
        <f aca="false">IF(M711=1,YEAR(C711),"")</f>
        <v>2024</v>
      </c>
      <c r="U711" s="13" t="str">
        <f aca="false">IF(M711=1,YEAR(C711)&amp;"-Q"&amp;ROUNDUP(MONTH(C711)/3,0),"")</f>
        <v>2024-Q2</v>
      </c>
      <c r="V711" s="13" t="n">
        <f aca="false">IF(M711=1,MONTH(C711),"")</f>
        <v>4</v>
      </c>
    </row>
    <row r="712" customFormat="false" ht="15" hidden="false" customHeight="false" outlineLevel="0" collapsed="false">
      <c r="A712" s="13" t="str">
        <f aca="false">TRIM(Raw_Data!A712)</f>
        <v>EMP0711</v>
      </c>
      <c r="B712" s="14" t="n">
        <f aca="false">Raw_Data!B712</f>
        <v>43168</v>
      </c>
      <c r="C712" s="14" t="n">
        <f aca="false">IF(Raw_Data!C712="","",Raw_Data!C712)</f>
        <v>45013</v>
      </c>
      <c r="D712" s="13" t="n">
        <f aca="false">IF(Raw_Data!D712="","",Raw_Data!D712)</f>
        <v>34</v>
      </c>
      <c r="E712" s="13" t="str">
        <f aca="false">IF(UPPER(LEFT(TRIM(Raw_Data!E712),1))="M","Male",IF(UPPER(LEFT(TRIM(Raw_Data!E712),1))="F","Female","Unknown"))</f>
        <v>Female</v>
      </c>
      <c r="F712" s="13" t="str">
        <f aca="false">PROPER(TRIM(SUBSTITUTE(Raw_Data!F712,"'","")))</f>
        <v>Bachelors</v>
      </c>
      <c r="G712" s="13" t="str">
        <f aca="false">PROPER(TRIM(Raw_Data!G712))</f>
        <v>Customer Support</v>
      </c>
      <c r="H712" s="13" t="str">
        <f aca="false">PROPER(TRIM(Raw_Data!H712))</f>
        <v>Analyst</v>
      </c>
      <c r="I712" s="13" t="n">
        <f aca="false">IF(Raw_Data!I712="",DefaultPerf,Raw_Data!I712)</f>
        <v>4</v>
      </c>
      <c r="J712" s="13" t="n">
        <f aca="false">IF(Raw_Data!J712="",DefaultSat,Raw_Data!J712)</f>
        <v>3</v>
      </c>
      <c r="K712" s="15" t="n">
        <f aca="false">Raw_Data!K712</f>
        <v>70000</v>
      </c>
      <c r="L712" s="13" t="str">
        <f aca="false">PROPER(TRIM(Raw_Data!N712))</f>
        <v>No</v>
      </c>
      <c r="M712" s="13" t="n">
        <f aca="false">IF(C712="",0,1)</f>
        <v>1</v>
      </c>
      <c r="N712" s="13" t="str">
        <f aca="false">IF(M712=0,"Active",IF(TRIM(Raw_Data!L712)="","Unknown",PROPER(TRIM(Raw_Data!L712))))</f>
        <v>Voluntary</v>
      </c>
      <c r="O712" s="13" t="str">
        <f aca="false">IF(M712=0,"",IF(TRIM(Raw_Data!M712)="","Not Recorded",TRIM(Raw_Data!M712)))</f>
        <v>Manager Issues</v>
      </c>
      <c r="P712" s="16" t="n">
        <f aca="false">ROUND((IF(C712="",AsOfDate,C712)-B712)/365.25,2)</f>
        <v>5.05</v>
      </c>
      <c r="Q712" s="13" t="str">
        <f aca="false">IF(D712="","Unknown",IF(D712&lt;25,"Under 25",IF(D712&lt;35,"25-34",IF(D712&lt;45,"35-44",IF(D712&lt;55,"45-54","55+")))))</f>
        <v>25-34</v>
      </c>
      <c r="R712" s="13" t="str">
        <f aca="false">IF(P712&lt;1,"0-1 yrs",IF(P712&lt;3,"1-3 yrs",IF(P712&lt;5,"3-5 yrs",IF(P712&lt;10,"5-10 yrs","10+ yrs"))))</f>
        <v>5-10 yrs</v>
      </c>
      <c r="S712" s="13" t="str">
        <f aca="false">IF(I712&gt;=4,"High",IF(I712=3,"Medium","Low"))</f>
        <v>High</v>
      </c>
      <c r="T712" s="13" t="n">
        <f aca="false">IF(M712=1,YEAR(C712),"")</f>
        <v>2023</v>
      </c>
      <c r="U712" s="13" t="str">
        <f aca="false">IF(M712=1,YEAR(C712)&amp;"-Q"&amp;ROUNDUP(MONTH(C712)/3,0),"")</f>
        <v>2023-Q1</v>
      </c>
      <c r="V712" s="13" t="n">
        <f aca="false">IF(M712=1,MONTH(C712),"")</f>
        <v>3</v>
      </c>
    </row>
    <row r="713" customFormat="false" ht="15" hidden="false" customHeight="false" outlineLevel="0" collapsed="false">
      <c r="A713" s="13" t="str">
        <f aca="false">TRIM(Raw_Data!A713)</f>
        <v>EMP0712</v>
      </c>
      <c r="B713" s="14" t="n">
        <f aca="false">Raw_Data!B713</f>
        <v>43173</v>
      </c>
      <c r="C713" s="14" t="n">
        <f aca="false">IF(Raw_Data!C713="","",Raw_Data!C713)</f>
        <v>44665</v>
      </c>
      <c r="D713" s="13" t="n">
        <f aca="false">IF(Raw_Data!D713="","",Raw_Data!D713)</f>
        <v>34</v>
      </c>
      <c r="E713" s="13" t="str">
        <f aca="false">IF(UPPER(LEFT(TRIM(Raw_Data!E713),1))="M","Male",IF(UPPER(LEFT(TRIM(Raw_Data!E713),1))="F","Female","Unknown"))</f>
        <v>Male</v>
      </c>
      <c r="F713" s="13" t="str">
        <f aca="false">PROPER(TRIM(SUBSTITUTE(Raw_Data!F713,"'","")))</f>
        <v>Bachelors</v>
      </c>
      <c r="G713" s="13" t="str">
        <f aca="false">PROPER(TRIM(Raw_Data!G713))</f>
        <v>Customer Support</v>
      </c>
      <c r="H713" s="13" t="str">
        <f aca="false">PROPER(TRIM(Raw_Data!H713))</f>
        <v>Associate</v>
      </c>
      <c r="I713" s="13" t="n">
        <f aca="false">IF(Raw_Data!I713="",DefaultPerf,Raw_Data!I713)</f>
        <v>3</v>
      </c>
      <c r="J713" s="13" t="n">
        <f aca="false">IF(Raw_Data!J713="",DefaultSat,Raw_Data!J713)</f>
        <v>3</v>
      </c>
      <c r="K713" s="15" t="n">
        <f aca="false">Raw_Data!K713</f>
        <v>41500</v>
      </c>
      <c r="L713" s="13" t="str">
        <f aca="false">PROPER(TRIM(Raw_Data!N713))</f>
        <v>No</v>
      </c>
      <c r="M713" s="13" t="n">
        <f aca="false">IF(C713="",0,1)</f>
        <v>1</v>
      </c>
      <c r="N713" s="13" t="str">
        <f aca="false">IF(M713=0,"Active",IF(TRIM(Raw_Data!L713)="","Unknown",PROPER(TRIM(Raw_Data!L713))))</f>
        <v>Voluntary</v>
      </c>
      <c r="O713" s="13" t="str">
        <f aca="false">IF(M713=0,"",IF(TRIM(Raw_Data!M713)="","Not Recorded",TRIM(Raw_Data!M713)))</f>
        <v>Work-Life Balance</v>
      </c>
      <c r="P713" s="16" t="n">
        <f aca="false">ROUND((IF(C713="",AsOfDate,C713)-B713)/365.25,2)</f>
        <v>4.08</v>
      </c>
      <c r="Q713" s="13" t="str">
        <f aca="false">IF(D713="","Unknown",IF(D713&lt;25,"Under 25",IF(D713&lt;35,"25-34",IF(D713&lt;45,"35-44",IF(D713&lt;55,"45-54","55+")))))</f>
        <v>25-34</v>
      </c>
      <c r="R713" s="13" t="str">
        <f aca="false">IF(P713&lt;1,"0-1 yrs",IF(P713&lt;3,"1-3 yrs",IF(P713&lt;5,"3-5 yrs",IF(P713&lt;10,"5-10 yrs","10+ yrs"))))</f>
        <v>3-5 yrs</v>
      </c>
      <c r="S713" s="13" t="str">
        <f aca="false">IF(I713&gt;=4,"High",IF(I713=3,"Medium","Low"))</f>
        <v>Medium</v>
      </c>
      <c r="T713" s="13" t="n">
        <f aca="false">IF(M713=1,YEAR(C713),"")</f>
        <v>2022</v>
      </c>
      <c r="U713" s="13" t="str">
        <f aca="false">IF(M713=1,YEAR(C713)&amp;"-Q"&amp;ROUNDUP(MONTH(C713)/3,0),"")</f>
        <v>2022-Q2</v>
      </c>
      <c r="V713" s="13" t="n">
        <f aca="false">IF(M713=1,MONTH(C713),"")</f>
        <v>4</v>
      </c>
    </row>
    <row r="714" customFormat="false" ht="15" hidden="false" customHeight="false" outlineLevel="0" collapsed="false">
      <c r="A714" s="13" t="str">
        <f aca="false">TRIM(Raw_Data!A714)</f>
        <v>EMP0713</v>
      </c>
      <c r="B714" s="14" t="n">
        <f aca="false">Raw_Data!B714</f>
        <v>43182</v>
      </c>
      <c r="C714" s="14" t="str">
        <f aca="false">IF(Raw_Data!C714="","",Raw_Data!C714)</f>
        <v/>
      </c>
      <c r="D714" s="13" t="n">
        <f aca="false">IF(Raw_Data!D714="","",Raw_Data!D714)</f>
        <v>35</v>
      </c>
      <c r="E714" s="13" t="str">
        <f aca="false">IF(UPPER(LEFT(TRIM(Raw_Data!E714),1))="M","Male",IF(UPPER(LEFT(TRIM(Raw_Data!E714),1))="F","Female","Unknown"))</f>
        <v>Male</v>
      </c>
      <c r="F714" s="13" t="str">
        <f aca="false">PROPER(TRIM(SUBSTITUTE(Raw_Data!F714,"'","")))</f>
        <v>Diploma</v>
      </c>
      <c r="G714" s="13" t="str">
        <f aca="false">PROPER(TRIM(Raw_Data!G714))</f>
        <v>Customer Support</v>
      </c>
      <c r="H714" s="13" t="str">
        <f aca="false">PROPER(TRIM(Raw_Data!H714))</f>
        <v>Specialist</v>
      </c>
      <c r="I714" s="13" t="n">
        <f aca="false">IF(Raw_Data!I714="",DefaultPerf,Raw_Data!I714)</f>
        <v>4</v>
      </c>
      <c r="J714" s="13" t="n">
        <f aca="false">IF(Raw_Data!J714="",DefaultSat,Raw_Data!J714)</f>
        <v>3</v>
      </c>
      <c r="K714" s="15" t="n">
        <f aca="false">Raw_Data!K714</f>
        <v>118500</v>
      </c>
      <c r="L714" s="13" t="str">
        <f aca="false">PROPER(TRIM(Raw_Data!N714))</f>
        <v>No</v>
      </c>
      <c r="M714" s="13" t="n">
        <f aca="false">IF(C714="",0,1)</f>
        <v>0</v>
      </c>
      <c r="N714" s="13" t="str">
        <f aca="false">IF(M714=0,"Active",IF(TRIM(Raw_Data!L714)="","Unknown",PROPER(TRIM(Raw_Data!L714))))</f>
        <v>Active</v>
      </c>
      <c r="O714" s="13" t="str">
        <f aca="false">IF(M714=0,"",IF(TRIM(Raw_Data!M714)="","Not Recorded",TRIM(Raw_Data!M714)))</f>
        <v/>
      </c>
      <c r="P714" s="16" t="n">
        <f aca="false">ROUND((IF(C714="",AsOfDate,C714)-B714)/365.25,2)</f>
        <v>7.78</v>
      </c>
      <c r="Q714" s="13" t="str">
        <f aca="false">IF(D714="","Unknown",IF(D714&lt;25,"Under 25",IF(D714&lt;35,"25-34",IF(D714&lt;45,"35-44",IF(D714&lt;55,"45-54","55+")))))</f>
        <v>35-44</v>
      </c>
      <c r="R714" s="13" t="str">
        <f aca="false">IF(P714&lt;1,"0-1 yrs",IF(P714&lt;3,"1-3 yrs",IF(P714&lt;5,"3-5 yrs",IF(P714&lt;10,"5-10 yrs","10+ yrs"))))</f>
        <v>5-10 yrs</v>
      </c>
      <c r="S714" s="13" t="str">
        <f aca="false">IF(I714&gt;=4,"High",IF(I714=3,"Medium","Low"))</f>
        <v>High</v>
      </c>
      <c r="T714" s="13" t="str">
        <f aca="false">IF(M714=1,YEAR(C714),"")</f>
        <v/>
      </c>
      <c r="U714" s="13" t="str">
        <f aca="false">IF(M714=1,YEAR(C714)&amp;"-Q"&amp;ROUNDUP(MONTH(C714)/3,0),"")</f>
        <v/>
      </c>
      <c r="V714" s="13" t="str">
        <f aca="false">IF(M714=1,MONTH(C714),"")</f>
        <v/>
      </c>
    </row>
    <row r="715" customFormat="false" ht="15" hidden="false" customHeight="false" outlineLevel="0" collapsed="false">
      <c r="A715" s="13" t="str">
        <f aca="false">TRIM(Raw_Data!A715)</f>
        <v>EMP0714</v>
      </c>
      <c r="B715" s="14" t="n">
        <f aca="false">Raw_Data!B715</f>
        <v>43187</v>
      </c>
      <c r="C715" s="14" t="str">
        <f aca="false">IF(Raw_Data!C715="","",Raw_Data!C715)</f>
        <v/>
      </c>
      <c r="D715" s="13" t="n">
        <f aca="false">IF(Raw_Data!D715="","",Raw_Data!D715)</f>
        <v>42</v>
      </c>
      <c r="E715" s="13" t="str">
        <f aca="false">IF(UPPER(LEFT(TRIM(Raw_Data!E715),1))="M","Male",IF(UPPER(LEFT(TRIM(Raw_Data!E715),1))="F","Female","Unknown"))</f>
        <v>Male</v>
      </c>
      <c r="F715" s="13" t="str">
        <f aca="false">PROPER(TRIM(SUBSTITUTE(Raw_Data!F715,"'","")))</f>
        <v>High School</v>
      </c>
      <c r="G715" s="13" t="str">
        <f aca="false">PROPER(TRIM(Raw_Data!G715))</f>
        <v>Engineering</v>
      </c>
      <c r="H715" s="13" t="str">
        <f aca="false">PROPER(TRIM(Raw_Data!H715))</f>
        <v>Associate</v>
      </c>
      <c r="I715" s="13" t="n">
        <f aca="false">IF(Raw_Data!I715="",DefaultPerf,Raw_Data!I715)</f>
        <v>4</v>
      </c>
      <c r="J715" s="13" t="n">
        <f aca="false">IF(Raw_Data!J715="",DefaultSat,Raw_Data!J715)</f>
        <v>4</v>
      </c>
      <c r="K715" s="15" t="n">
        <f aca="false">Raw_Data!K715</f>
        <v>44500</v>
      </c>
      <c r="L715" s="13" t="str">
        <f aca="false">PROPER(TRIM(Raw_Data!N715))</f>
        <v>No</v>
      </c>
      <c r="M715" s="13" t="n">
        <f aca="false">IF(C715="",0,1)</f>
        <v>0</v>
      </c>
      <c r="N715" s="13" t="str">
        <f aca="false">IF(M715=0,"Active",IF(TRIM(Raw_Data!L715)="","Unknown",PROPER(TRIM(Raw_Data!L715))))</f>
        <v>Active</v>
      </c>
      <c r="O715" s="13" t="str">
        <f aca="false">IF(M715=0,"",IF(TRIM(Raw_Data!M715)="","Not Recorded",TRIM(Raw_Data!M715)))</f>
        <v/>
      </c>
      <c r="P715" s="16" t="n">
        <f aca="false">ROUND((IF(C715="",AsOfDate,C715)-B715)/365.25,2)</f>
        <v>7.76</v>
      </c>
      <c r="Q715" s="13" t="str">
        <f aca="false">IF(D715="","Unknown",IF(D715&lt;25,"Under 25",IF(D715&lt;35,"25-34",IF(D715&lt;45,"35-44",IF(D715&lt;55,"45-54","55+")))))</f>
        <v>35-44</v>
      </c>
      <c r="R715" s="13" t="str">
        <f aca="false">IF(P715&lt;1,"0-1 yrs",IF(P715&lt;3,"1-3 yrs",IF(P715&lt;5,"3-5 yrs",IF(P715&lt;10,"5-10 yrs","10+ yrs"))))</f>
        <v>5-10 yrs</v>
      </c>
      <c r="S715" s="13" t="str">
        <f aca="false">IF(I715&gt;=4,"High",IF(I715=3,"Medium","Low"))</f>
        <v>High</v>
      </c>
      <c r="T715" s="13" t="str">
        <f aca="false">IF(M715=1,YEAR(C715),"")</f>
        <v/>
      </c>
      <c r="U715" s="13" t="str">
        <f aca="false">IF(M715=1,YEAR(C715)&amp;"-Q"&amp;ROUNDUP(MONTH(C715)/3,0),"")</f>
        <v/>
      </c>
      <c r="V715" s="13" t="str">
        <f aca="false">IF(M715=1,MONTH(C715),"")</f>
        <v/>
      </c>
    </row>
    <row r="716" customFormat="false" ht="15" hidden="false" customHeight="false" outlineLevel="0" collapsed="false">
      <c r="A716" s="13" t="str">
        <f aca="false">TRIM(Raw_Data!A716)</f>
        <v>EMP0715</v>
      </c>
      <c r="B716" s="14" t="n">
        <f aca="false">Raw_Data!B716</f>
        <v>43188</v>
      </c>
      <c r="C716" s="14" t="n">
        <f aca="false">IF(Raw_Data!C716="","",Raw_Data!C716)</f>
        <v>44609</v>
      </c>
      <c r="D716" s="13" t="n">
        <f aca="false">IF(Raw_Data!D716="","",Raw_Data!D716)</f>
        <v>26</v>
      </c>
      <c r="E716" s="13" t="str">
        <f aca="false">IF(UPPER(LEFT(TRIM(Raw_Data!E716),1))="M","Male",IF(UPPER(LEFT(TRIM(Raw_Data!E716),1))="F","Female","Unknown"))</f>
        <v>Male</v>
      </c>
      <c r="F716" s="13" t="str">
        <f aca="false">PROPER(TRIM(SUBSTITUTE(Raw_Data!F716,"'","")))</f>
        <v>Masters</v>
      </c>
      <c r="G716" s="13" t="str">
        <f aca="false">PROPER(TRIM(Raw_Data!G716))</f>
        <v>Engineering</v>
      </c>
      <c r="H716" s="13" t="str">
        <f aca="false">PROPER(TRIM(Raw_Data!H716))</f>
        <v>Associate</v>
      </c>
      <c r="I716" s="13" t="n">
        <f aca="false">IF(Raw_Data!I716="",DefaultPerf,Raw_Data!I716)</f>
        <v>3</v>
      </c>
      <c r="J716" s="13" t="n">
        <f aca="false">IF(Raw_Data!J716="",DefaultSat,Raw_Data!J716)</f>
        <v>1</v>
      </c>
      <c r="K716" s="15" t="n">
        <f aca="false">Raw_Data!K716</f>
        <v>46500</v>
      </c>
      <c r="L716" s="13" t="str">
        <f aca="false">PROPER(TRIM(Raw_Data!N716))</f>
        <v>No</v>
      </c>
      <c r="M716" s="13" t="n">
        <f aca="false">IF(C716="",0,1)</f>
        <v>1</v>
      </c>
      <c r="N716" s="13" t="str">
        <f aca="false">IF(M716=0,"Active",IF(TRIM(Raw_Data!L716)="","Unknown",PROPER(TRIM(Raw_Data!L716))))</f>
        <v>Voluntary</v>
      </c>
      <c r="O716" s="13" t="str">
        <f aca="false">IF(M716=0,"",IF(TRIM(Raw_Data!M716)="","Not Recorded",TRIM(Raw_Data!M716)))</f>
        <v>Manager Issues</v>
      </c>
      <c r="P716" s="16" t="n">
        <f aca="false">ROUND((IF(C716="",AsOfDate,C716)-B716)/365.25,2)</f>
        <v>3.89</v>
      </c>
      <c r="Q716" s="13" t="str">
        <f aca="false">IF(D716="","Unknown",IF(D716&lt;25,"Under 25",IF(D716&lt;35,"25-34",IF(D716&lt;45,"35-44",IF(D716&lt;55,"45-54","55+")))))</f>
        <v>25-34</v>
      </c>
      <c r="R716" s="13" t="str">
        <f aca="false">IF(P716&lt;1,"0-1 yrs",IF(P716&lt;3,"1-3 yrs",IF(P716&lt;5,"3-5 yrs",IF(P716&lt;10,"5-10 yrs","10+ yrs"))))</f>
        <v>3-5 yrs</v>
      </c>
      <c r="S716" s="13" t="str">
        <f aca="false">IF(I716&gt;=4,"High",IF(I716=3,"Medium","Low"))</f>
        <v>Medium</v>
      </c>
      <c r="T716" s="13" t="n">
        <f aca="false">IF(M716=1,YEAR(C716),"")</f>
        <v>2022</v>
      </c>
      <c r="U716" s="13" t="str">
        <f aca="false">IF(M716=1,YEAR(C716)&amp;"-Q"&amp;ROUNDUP(MONTH(C716)/3,0),"")</f>
        <v>2022-Q1</v>
      </c>
      <c r="V716" s="13" t="n">
        <f aca="false">IF(M716=1,MONTH(C716),"")</f>
        <v>2</v>
      </c>
    </row>
    <row r="717" customFormat="false" ht="15" hidden="false" customHeight="false" outlineLevel="0" collapsed="false">
      <c r="A717" s="13" t="str">
        <f aca="false">TRIM(Raw_Data!A717)</f>
        <v>EMP0716</v>
      </c>
      <c r="B717" s="14" t="n">
        <f aca="false">Raw_Data!B717</f>
        <v>43190</v>
      </c>
      <c r="C717" s="14" t="str">
        <f aca="false">IF(Raw_Data!C717="","",Raw_Data!C717)</f>
        <v/>
      </c>
      <c r="D717" s="13" t="n">
        <f aca="false">IF(Raw_Data!D717="","",Raw_Data!D717)</f>
        <v>37</v>
      </c>
      <c r="E717" s="13" t="str">
        <f aca="false">IF(UPPER(LEFT(TRIM(Raw_Data!E717),1))="M","Male",IF(UPPER(LEFT(TRIM(Raw_Data!E717),1))="F","Female","Unknown"))</f>
        <v>Female</v>
      </c>
      <c r="F717" s="13" t="str">
        <f aca="false">PROPER(TRIM(SUBSTITUTE(Raw_Data!F717,"'","")))</f>
        <v>Bachelors</v>
      </c>
      <c r="G717" s="13" t="str">
        <f aca="false">PROPER(TRIM(Raw_Data!G717))</f>
        <v>Sales</v>
      </c>
      <c r="H717" s="13" t="str">
        <f aca="false">PROPER(TRIM(Raw_Data!H717))</f>
        <v>Analyst</v>
      </c>
      <c r="I717" s="13" t="n">
        <f aca="false">IF(Raw_Data!I717="",DefaultPerf,Raw_Data!I717)</f>
        <v>3</v>
      </c>
      <c r="J717" s="13" t="n">
        <f aca="false">IF(Raw_Data!J717="",DefaultSat,Raw_Data!J717)</f>
        <v>4</v>
      </c>
      <c r="K717" s="15" t="n">
        <f aca="false">Raw_Data!K717</f>
        <v>63500</v>
      </c>
      <c r="L717" s="13" t="str">
        <f aca="false">PROPER(TRIM(Raw_Data!N717))</f>
        <v>Yes</v>
      </c>
      <c r="M717" s="13" t="n">
        <f aca="false">IF(C717="",0,1)</f>
        <v>0</v>
      </c>
      <c r="N717" s="13" t="str">
        <f aca="false">IF(M717=0,"Active",IF(TRIM(Raw_Data!L717)="","Unknown",PROPER(TRIM(Raw_Data!L717))))</f>
        <v>Active</v>
      </c>
      <c r="O717" s="13" t="str">
        <f aca="false">IF(M717=0,"",IF(TRIM(Raw_Data!M717)="","Not Recorded",TRIM(Raw_Data!M717)))</f>
        <v/>
      </c>
      <c r="P717" s="16" t="n">
        <f aca="false">ROUND((IF(C717="",AsOfDate,C717)-B717)/365.25,2)</f>
        <v>7.75</v>
      </c>
      <c r="Q717" s="13" t="str">
        <f aca="false">IF(D717="","Unknown",IF(D717&lt;25,"Under 25",IF(D717&lt;35,"25-34",IF(D717&lt;45,"35-44",IF(D717&lt;55,"45-54","55+")))))</f>
        <v>35-44</v>
      </c>
      <c r="R717" s="13" t="str">
        <f aca="false">IF(P717&lt;1,"0-1 yrs",IF(P717&lt;3,"1-3 yrs",IF(P717&lt;5,"3-5 yrs",IF(P717&lt;10,"5-10 yrs","10+ yrs"))))</f>
        <v>5-10 yrs</v>
      </c>
      <c r="S717" s="13" t="str">
        <f aca="false">IF(I717&gt;=4,"High",IF(I717=3,"Medium","Low"))</f>
        <v>Medium</v>
      </c>
      <c r="T717" s="13" t="str">
        <f aca="false">IF(M717=1,YEAR(C717),"")</f>
        <v/>
      </c>
      <c r="U717" s="13" t="str">
        <f aca="false">IF(M717=1,YEAR(C717)&amp;"-Q"&amp;ROUNDUP(MONTH(C717)/3,0),"")</f>
        <v/>
      </c>
      <c r="V717" s="13" t="str">
        <f aca="false">IF(M717=1,MONTH(C717),"")</f>
        <v/>
      </c>
    </row>
    <row r="718" customFormat="false" ht="15" hidden="false" customHeight="false" outlineLevel="0" collapsed="false">
      <c r="A718" s="13" t="str">
        <f aca="false">TRIM(Raw_Data!A718)</f>
        <v>EMP0717</v>
      </c>
      <c r="B718" s="14" t="n">
        <f aca="false">Raw_Data!B718</f>
        <v>43201</v>
      </c>
      <c r="C718" s="14" t="str">
        <f aca="false">IF(Raw_Data!C718="","",Raw_Data!C718)</f>
        <v/>
      </c>
      <c r="D718" s="13" t="n">
        <f aca="false">IF(Raw_Data!D718="","",Raw_Data!D718)</f>
        <v>39</v>
      </c>
      <c r="E718" s="13" t="str">
        <f aca="false">IF(UPPER(LEFT(TRIM(Raw_Data!E718),1))="M","Male",IF(UPPER(LEFT(TRIM(Raw_Data!E718),1))="F","Female","Unknown"))</f>
        <v>Male</v>
      </c>
      <c r="F718" s="13" t="str">
        <f aca="false">PROPER(TRIM(SUBSTITUTE(Raw_Data!F718,"'","")))</f>
        <v>Doctorate</v>
      </c>
      <c r="G718" s="13" t="str">
        <f aca="false">PROPER(TRIM(Raw_Data!G718))</f>
        <v>Customer Support</v>
      </c>
      <c r="H718" s="13" t="str">
        <f aca="false">PROPER(TRIM(Raw_Data!H718))</f>
        <v>Senior Analyst</v>
      </c>
      <c r="I718" s="13" t="n">
        <f aca="false">IF(Raw_Data!I718="",DefaultPerf,Raw_Data!I718)</f>
        <v>4</v>
      </c>
      <c r="J718" s="17" t="n">
        <f aca="false">IF(Raw_Data!J718="",DefaultSat,Raw_Data!J718)</f>
        <v>3</v>
      </c>
      <c r="K718" s="15" t="n">
        <f aca="false">Raw_Data!K718</f>
        <v>88500</v>
      </c>
      <c r="L718" s="13" t="str">
        <f aca="false">PROPER(TRIM(Raw_Data!N718))</f>
        <v>Yes</v>
      </c>
      <c r="M718" s="13" t="n">
        <f aca="false">IF(C718="",0,1)</f>
        <v>0</v>
      </c>
      <c r="N718" s="13" t="str">
        <f aca="false">IF(M718=0,"Active",IF(TRIM(Raw_Data!L718)="","Unknown",PROPER(TRIM(Raw_Data!L718))))</f>
        <v>Active</v>
      </c>
      <c r="O718" s="13" t="str">
        <f aca="false">IF(M718=0,"",IF(TRIM(Raw_Data!M718)="","Not Recorded",TRIM(Raw_Data!M718)))</f>
        <v/>
      </c>
      <c r="P718" s="16" t="n">
        <f aca="false">ROUND((IF(C718="",AsOfDate,C718)-B718)/365.25,2)</f>
        <v>7.72</v>
      </c>
      <c r="Q718" s="13" t="str">
        <f aca="false">IF(D718="","Unknown",IF(D718&lt;25,"Under 25",IF(D718&lt;35,"25-34",IF(D718&lt;45,"35-44",IF(D718&lt;55,"45-54","55+")))))</f>
        <v>35-44</v>
      </c>
      <c r="R718" s="13" t="str">
        <f aca="false">IF(P718&lt;1,"0-1 yrs",IF(P718&lt;3,"1-3 yrs",IF(P718&lt;5,"3-5 yrs",IF(P718&lt;10,"5-10 yrs","10+ yrs"))))</f>
        <v>5-10 yrs</v>
      </c>
      <c r="S718" s="13" t="str">
        <f aca="false">IF(I718&gt;=4,"High",IF(I718=3,"Medium","Low"))</f>
        <v>High</v>
      </c>
      <c r="T718" s="13" t="str">
        <f aca="false">IF(M718=1,YEAR(C718),"")</f>
        <v/>
      </c>
      <c r="U718" s="13" t="str">
        <f aca="false">IF(M718=1,YEAR(C718)&amp;"-Q"&amp;ROUNDUP(MONTH(C718)/3,0),"")</f>
        <v/>
      </c>
      <c r="V718" s="13" t="str">
        <f aca="false">IF(M718=1,MONTH(C718),"")</f>
        <v/>
      </c>
    </row>
    <row r="719" customFormat="false" ht="15" hidden="false" customHeight="false" outlineLevel="0" collapsed="false">
      <c r="A719" s="13" t="str">
        <f aca="false">TRIM(Raw_Data!A719)</f>
        <v>EMP0718</v>
      </c>
      <c r="B719" s="14" t="n">
        <f aca="false">Raw_Data!B719</f>
        <v>43202</v>
      </c>
      <c r="C719" s="14" t="str">
        <f aca="false">IF(Raw_Data!C719="","",Raw_Data!C719)</f>
        <v/>
      </c>
      <c r="D719" s="13" t="n">
        <f aca="false">IF(Raw_Data!D719="","",Raw_Data!D719)</f>
        <v>32</v>
      </c>
      <c r="E719" s="13" t="str">
        <f aca="false">IF(UPPER(LEFT(TRIM(Raw_Data!E719),1))="M","Male",IF(UPPER(LEFT(TRIM(Raw_Data!E719),1))="F","Female","Unknown"))</f>
        <v>Male</v>
      </c>
      <c r="F719" s="13" t="str">
        <f aca="false">PROPER(TRIM(SUBSTITUTE(Raw_Data!F719,"'","")))</f>
        <v>High School</v>
      </c>
      <c r="G719" s="13" t="str">
        <f aca="false">PROPER(TRIM(Raw_Data!G719))</f>
        <v>Human Resources</v>
      </c>
      <c r="H719" s="13" t="str">
        <f aca="false">PROPER(TRIM(Raw_Data!H719))</f>
        <v>Senior Analyst</v>
      </c>
      <c r="I719" s="13" t="n">
        <f aca="false">IF(Raw_Data!I719="",DefaultPerf,Raw_Data!I719)</f>
        <v>3</v>
      </c>
      <c r="J719" s="13" t="n">
        <f aca="false">IF(Raw_Data!J719="",DefaultSat,Raw_Data!J719)</f>
        <v>3</v>
      </c>
      <c r="K719" s="15" t="n">
        <f aca="false">Raw_Data!K719</f>
        <v>89000</v>
      </c>
      <c r="L719" s="13" t="str">
        <f aca="false">PROPER(TRIM(Raw_Data!N719))</f>
        <v>Yes</v>
      </c>
      <c r="M719" s="13" t="n">
        <f aca="false">IF(C719="",0,1)</f>
        <v>0</v>
      </c>
      <c r="N719" s="13" t="str">
        <f aca="false">IF(M719=0,"Active",IF(TRIM(Raw_Data!L719)="","Unknown",PROPER(TRIM(Raw_Data!L719))))</f>
        <v>Active</v>
      </c>
      <c r="O719" s="13" t="str">
        <f aca="false">IF(M719=0,"",IF(TRIM(Raw_Data!M719)="","Not Recorded",TRIM(Raw_Data!M719)))</f>
        <v/>
      </c>
      <c r="P719" s="16" t="n">
        <f aca="false">ROUND((IF(C719="",AsOfDate,C719)-B719)/365.25,2)</f>
        <v>7.72</v>
      </c>
      <c r="Q719" s="13" t="str">
        <f aca="false">IF(D719="","Unknown",IF(D719&lt;25,"Under 25",IF(D719&lt;35,"25-34",IF(D719&lt;45,"35-44",IF(D719&lt;55,"45-54","55+")))))</f>
        <v>25-34</v>
      </c>
      <c r="R719" s="13" t="str">
        <f aca="false">IF(P719&lt;1,"0-1 yrs",IF(P719&lt;3,"1-3 yrs",IF(P719&lt;5,"3-5 yrs",IF(P719&lt;10,"5-10 yrs","10+ yrs"))))</f>
        <v>5-10 yrs</v>
      </c>
      <c r="S719" s="13" t="str">
        <f aca="false">IF(I719&gt;=4,"High",IF(I719=3,"Medium","Low"))</f>
        <v>Medium</v>
      </c>
      <c r="T719" s="13" t="str">
        <f aca="false">IF(M719=1,YEAR(C719),"")</f>
        <v/>
      </c>
      <c r="U719" s="13" t="str">
        <f aca="false">IF(M719=1,YEAR(C719)&amp;"-Q"&amp;ROUNDUP(MONTH(C719)/3,0),"")</f>
        <v/>
      </c>
      <c r="V719" s="13" t="str">
        <f aca="false">IF(M719=1,MONTH(C719),"")</f>
        <v/>
      </c>
    </row>
    <row r="720" customFormat="false" ht="15" hidden="false" customHeight="false" outlineLevel="0" collapsed="false">
      <c r="A720" s="13" t="str">
        <f aca="false">TRIM(Raw_Data!A720)</f>
        <v>EMP0719</v>
      </c>
      <c r="B720" s="14" t="n">
        <f aca="false">Raw_Data!B720</f>
        <v>43204</v>
      </c>
      <c r="C720" s="14" t="str">
        <f aca="false">IF(Raw_Data!C720="","",Raw_Data!C720)</f>
        <v/>
      </c>
      <c r="D720" s="13" t="n">
        <f aca="false">IF(Raw_Data!D720="","",Raw_Data!D720)</f>
        <v>35</v>
      </c>
      <c r="E720" s="13" t="str">
        <f aca="false">IF(UPPER(LEFT(TRIM(Raw_Data!E720),1))="M","Male",IF(UPPER(LEFT(TRIM(Raw_Data!E720),1))="F","Female","Unknown"))</f>
        <v>Male</v>
      </c>
      <c r="F720" s="13" t="str">
        <f aca="false">PROPER(TRIM(SUBSTITUTE(Raw_Data!F720,"'","")))</f>
        <v>Bachelors</v>
      </c>
      <c r="G720" s="13" t="str">
        <f aca="false">PROPER(TRIM(Raw_Data!G720))</f>
        <v>Sales</v>
      </c>
      <c r="H720" s="13" t="str">
        <f aca="false">PROPER(TRIM(Raw_Data!H720))</f>
        <v>Associate</v>
      </c>
      <c r="I720" s="17" t="n">
        <f aca="false">IF(Raw_Data!I720="",DefaultPerf,Raw_Data!I720)</f>
        <v>3</v>
      </c>
      <c r="J720" s="13" t="n">
        <f aca="false">IF(Raw_Data!J720="",DefaultSat,Raw_Data!J720)</f>
        <v>4</v>
      </c>
      <c r="K720" s="15" t="n">
        <f aca="false">Raw_Data!K720</f>
        <v>35500</v>
      </c>
      <c r="L720" s="13" t="str">
        <f aca="false">PROPER(TRIM(Raw_Data!N720))</f>
        <v>No</v>
      </c>
      <c r="M720" s="13" t="n">
        <f aca="false">IF(C720="",0,1)</f>
        <v>0</v>
      </c>
      <c r="N720" s="13" t="str">
        <f aca="false">IF(M720=0,"Active",IF(TRIM(Raw_Data!L720)="","Unknown",PROPER(TRIM(Raw_Data!L720))))</f>
        <v>Active</v>
      </c>
      <c r="O720" s="13" t="str">
        <f aca="false">IF(M720=0,"",IF(TRIM(Raw_Data!M720)="","Not Recorded",TRIM(Raw_Data!M720)))</f>
        <v/>
      </c>
      <c r="P720" s="16" t="n">
        <f aca="false">ROUND((IF(C720="",AsOfDate,C720)-B720)/365.25,2)</f>
        <v>7.72</v>
      </c>
      <c r="Q720" s="13" t="str">
        <f aca="false">IF(D720="","Unknown",IF(D720&lt;25,"Under 25",IF(D720&lt;35,"25-34",IF(D720&lt;45,"35-44",IF(D720&lt;55,"45-54","55+")))))</f>
        <v>35-44</v>
      </c>
      <c r="R720" s="13" t="str">
        <f aca="false">IF(P720&lt;1,"0-1 yrs",IF(P720&lt;3,"1-3 yrs",IF(P720&lt;5,"3-5 yrs",IF(P720&lt;10,"5-10 yrs","10+ yrs"))))</f>
        <v>5-10 yrs</v>
      </c>
      <c r="S720" s="13" t="str">
        <f aca="false">IF(I720&gt;=4,"High",IF(I720=3,"Medium","Low"))</f>
        <v>Medium</v>
      </c>
      <c r="T720" s="13" t="str">
        <f aca="false">IF(M720=1,YEAR(C720),"")</f>
        <v/>
      </c>
      <c r="U720" s="13" t="str">
        <f aca="false">IF(M720=1,YEAR(C720)&amp;"-Q"&amp;ROUNDUP(MONTH(C720)/3,0),"")</f>
        <v/>
      </c>
      <c r="V720" s="13" t="str">
        <f aca="false">IF(M720=1,MONTH(C720),"")</f>
        <v/>
      </c>
    </row>
    <row r="721" customFormat="false" ht="15" hidden="false" customHeight="false" outlineLevel="0" collapsed="false">
      <c r="A721" s="13" t="str">
        <f aca="false">TRIM(Raw_Data!A721)</f>
        <v>EMP0720</v>
      </c>
      <c r="B721" s="14" t="n">
        <f aca="false">Raw_Data!B721</f>
        <v>43208</v>
      </c>
      <c r="C721" s="14" t="str">
        <f aca="false">IF(Raw_Data!C721="","",Raw_Data!C721)</f>
        <v/>
      </c>
      <c r="D721" s="13" t="n">
        <f aca="false">IF(Raw_Data!D721="","",Raw_Data!D721)</f>
        <v>35</v>
      </c>
      <c r="E721" s="13" t="str">
        <f aca="false">IF(UPPER(LEFT(TRIM(Raw_Data!E721),1))="M","Male",IF(UPPER(LEFT(TRIM(Raw_Data!E721),1))="F","Female","Unknown"))</f>
        <v>Male</v>
      </c>
      <c r="F721" s="13" t="str">
        <f aca="false">PROPER(TRIM(SUBSTITUTE(Raw_Data!F721,"'","")))</f>
        <v>Masters</v>
      </c>
      <c r="G721" s="13" t="str">
        <f aca="false">PROPER(TRIM(Raw_Data!G721))</f>
        <v>Operations</v>
      </c>
      <c r="H721" s="13" t="str">
        <f aca="false">PROPER(TRIM(Raw_Data!H721))</f>
        <v>Senior Analyst</v>
      </c>
      <c r="I721" s="13" t="n">
        <f aca="false">IF(Raw_Data!I721="",DefaultPerf,Raw_Data!I721)</f>
        <v>4</v>
      </c>
      <c r="J721" s="13" t="n">
        <f aca="false">IF(Raw_Data!J721="",DefaultSat,Raw_Data!J721)</f>
        <v>4</v>
      </c>
      <c r="K721" s="15" t="n">
        <f aca="false">Raw_Data!K721</f>
        <v>116000</v>
      </c>
      <c r="L721" s="13" t="str">
        <f aca="false">PROPER(TRIM(Raw_Data!N721))</f>
        <v>No</v>
      </c>
      <c r="M721" s="13" t="n">
        <f aca="false">IF(C721="",0,1)</f>
        <v>0</v>
      </c>
      <c r="N721" s="13" t="str">
        <f aca="false">IF(M721=0,"Active",IF(TRIM(Raw_Data!L721)="","Unknown",PROPER(TRIM(Raw_Data!L721))))</f>
        <v>Active</v>
      </c>
      <c r="O721" s="13" t="str">
        <f aca="false">IF(M721=0,"",IF(TRIM(Raw_Data!M721)="","Not Recorded",TRIM(Raw_Data!M721)))</f>
        <v/>
      </c>
      <c r="P721" s="16" t="n">
        <f aca="false">ROUND((IF(C721="",AsOfDate,C721)-B721)/365.25,2)</f>
        <v>7.7</v>
      </c>
      <c r="Q721" s="13" t="str">
        <f aca="false">IF(D721="","Unknown",IF(D721&lt;25,"Under 25",IF(D721&lt;35,"25-34",IF(D721&lt;45,"35-44",IF(D721&lt;55,"45-54","55+")))))</f>
        <v>35-44</v>
      </c>
      <c r="R721" s="13" t="str">
        <f aca="false">IF(P721&lt;1,"0-1 yrs",IF(P721&lt;3,"1-3 yrs",IF(P721&lt;5,"3-5 yrs",IF(P721&lt;10,"5-10 yrs","10+ yrs"))))</f>
        <v>5-10 yrs</v>
      </c>
      <c r="S721" s="13" t="str">
        <f aca="false">IF(I721&gt;=4,"High",IF(I721=3,"Medium","Low"))</f>
        <v>High</v>
      </c>
      <c r="T721" s="13" t="str">
        <f aca="false">IF(M721=1,YEAR(C721),"")</f>
        <v/>
      </c>
      <c r="U721" s="13" t="str">
        <f aca="false">IF(M721=1,YEAR(C721)&amp;"-Q"&amp;ROUNDUP(MONTH(C721)/3,0),"")</f>
        <v/>
      </c>
      <c r="V721" s="13" t="str">
        <f aca="false">IF(M721=1,MONTH(C721),"")</f>
        <v/>
      </c>
    </row>
    <row r="722" customFormat="false" ht="15" hidden="false" customHeight="false" outlineLevel="0" collapsed="false">
      <c r="A722" s="13" t="str">
        <f aca="false">TRIM(Raw_Data!A722)</f>
        <v>EMP0721</v>
      </c>
      <c r="B722" s="14" t="n">
        <f aca="false">Raw_Data!B722</f>
        <v>43211</v>
      </c>
      <c r="C722" s="14" t="n">
        <f aca="false">IF(Raw_Data!C722="","",Raw_Data!C722)</f>
        <v>45577</v>
      </c>
      <c r="D722" s="13" t="n">
        <f aca="false">IF(Raw_Data!D722="","",Raw_Data!D722)</f>
        <v>48</v>
      </c>
      <c r="E722" s="13" t="str">
        <f aca="false">IF(UPPER(LEFT(TRIM(Raw_Data!E722),1))="M","Male",IF(UPPER(LEFT(TRIM(Raw_Data!E722),1))="F","Female","Unknown"))</f>
        <v>Female</v>
      </c>
      <c r="F722" s="13" t="str">
        <f aca="false">PROPER(TRIM(SUBSTITUTE(Raw_Data!F722,"'","")))</f>
        <v>High School</v>
      </c>
      <c r="G722" s="13" t="str">
        <f aca="false">PROPER(TRIM(Raw_Data!G722))</f>
        <v>Sales</v>
      </c>
      <c r="H722" s="13" t="str">
        <f aca="false">PROPER(TRIM(Raw_Data!H722))</f>
        <v>Specialist</v>
      </c>
      <c r="I722" s="13" t="n">
        <f aca="false">IF(Raw_Data!I722="",DefaultPerf,Raw_Data!I722)</f>
        <v>2</v>
      </c>
      <c r="J722" s="13" t="n">
        <f aca="false">IF(Raw_Data!J722="",DefaultSat,Raw_Data!J722)</f>
        <v>3</v>
      </c>
      <c r="K722" s="15" t="n">
        <f aca="false">Raw_Data!K722</f>
        <v>96500</v>
      </c>
      <c r="L722" s="13" t="str">
        <f aca="false">PROPER(TRIM(Raw_Data!N722))</f>
        <v>No</v>
      </c>
      <c r="M722" s="13" t="n">
        <f aca="false">IF(C722="",0,1)</f>
        <v>1</v>
      </c>
      <c r="N722" s="13" t="str">
        <f aca="false">IF(M722=0,"Active",IF(TRIM(Raw_Data!L722)="","Unknown",PROPER(TRIM(Raw_Data!L722))))</f>
        <v>Voluntary</v>
      </c>
      <c r="O722" s="13" t="str">
        <f aca="false">IF(M722=0,"",IF(TRIM(Raw_Data!M722)="","Not Recorded",TRIM(Raw_Data!M722)))</f>
        <v>Relocation</v>
      </c>
      <c r="P722" s="16" t="n">
        <f aca="false">ROUND((IF(C722="",AsOfDate,C722)-B722)/365.25,2)</f>
        <v>6.48</v>
      </c>
      <c r="Q722" s="13" t="str">
        <f aca="false">IF(D722="","Unknown",IF(D722&lt;25,"Under 25",IF(D722&lt;35,"25-34",IF(D722&lt;45,"35-44",IF(D722&lt;55,"45-54","55+")))))</f>
        <v>45-54</v>
      </c>
      <c r="R722" s="13" t="str">
        <f aca="false">IF(P722&lt;1,"0-1 yrs",IF(P722&lt;3,"1-3 yrs",IF(P722&lt;5,"3-5 yrs",IF(P722&lt;10,"5-10 yrs","10+ yrs"))))</f>
        <v>5-10 yrs</v>
      </c>
      <c r="S722" s="13" t="str">
        <f aca="false">IF(I722&gt;=4,"High",IF(I722=3,"Medium","Low"))</f>
        <v>Low</v>
      </c>
      <c r="T722" s="13" t="n">
        <f aca="false">IF(M722=1,YEAR(C722),"")</f>
        <v>2024</v>
      </c>
      <c r="U722" s="13" t="str">
        <f aca="false">IF(M722=1,YEAR(C722)&amp;"-Q"&amp;ROUNDUP(MONTH(C722)/3,0),"")</f>
        <v>2024-Q4</v>
      </c>
      <c r="V722" s="13" t="n">
        <f aca="false">IF(M722=1,MONTH(C722),"")</f>
        <v>10</v>
      </c>
    </row>
    <row r="723" customFormat="false" ht="15" hidden="false" customHeight="false" outlineLevel="0" collapsed="false">
      <c r="A723" s="13" t="str">
        <f aca="false">TRIM(Raw_Data!A723)</f>
        <v>EMP0722</v>
      </c>
      <c r="B723" s="14" t="n">
        <f aca="false">Raw_Data!B723</f>
        <v>43214</v>
      </c>
      <c r="C723" s="14" t="str">
        <f aca="false">IF(Raw_Data!C723="","",Raw_Data!C723)</f>
        <v/>
      </c>
      <c r="D723" s="13" t="n">
        <f aca="false">IF(Raw_Data!D723="","",Raw_Data!D723)</f>
        <v>44</v>
      </c>
      <c r="E723" s="13" t="str">
        <f aca="false">IF(UPPER(LEFT(TRIM(Raw_Data!E723),1))="M","Male",IF(UPPER(LEFT(TRIM(Raw_Data!E723),1))="F","Female","Unknown"))</f>
        <v>Male</v>
      </c>
      <c r="F723" s="13" t="str">
        <f aca="false">PROPER(TRIM(SUBSTITUTE(Raw_Data!F723,"'","")))</f>
        <v>Doctorate</v>
      </c>
      <c r="G723" s="13" t="str">
        <f aca="false">PROPER(TRIM(Raw_Data!G723))</f>
        <v>Operations</v>
      </c>
      <c r="H723" s="13" t="str">
        <f aca="false">PROPER(TRIM(Raw_Data!H723))</f>
        <v>Specialist</v>
      </c>
      <c r="I723" s="13" t="n">
        <f aca="false">IF(Raw_Data!I723="",DefaultPerf,Raw_Data!I723)</f>
        <v>3</v>
      </c>
      <c r="J723" s="13" t="n">
        <f aca="false">IF(Raw_Data!J723="",DefaultSat,Raw_Data!J723)</f>
        <v>4</v>
      </c>
      <c r="K723" s="15" t="n">
        <f aca="false">Raw_Data!K723</f>
        <v>132500</v>
      </c>
      <c r="L723" s="13" t="str">
        <f aca="false">PROPER(TRIM(Raw_Data!N723))</f>
        <v>No</v>
      </c>
      <c r="M723" s="13" t="n">
        <f aca="false">IF(C723="",0,1)</f>
        <v>0</v>
      </c>
      <c r="N723" s="13" t="str">
        <f aca="false">IF(M723=0,"Active",IF(TRIM(Raw_Data!L723)="","Unknown",PROPER(TRIM(Raw_Data!L723))))</f>
        <v>Active</v>
      </c>
      <c r="O723" s="13" t="str">
        <f aca="false">IF(M723=0,"",IF(TRIM(Raw_Data!M723)="","Not Recorded",TRIM(Raw_Data!M723)))</f>
        <v/>
      </c>
      <c r="P723" s="16" t="n">
        <f aca="false">ROUND((IF(C723="",AsOfDate,C723)-B723)/365.25,2)</f>
        <v>7.69</v>
      </c>
      <c r="Q723" s="13" t="str">
        <f aca="false">IF(D723="","Unknown",IF(D723&lt;25,"Under 25",IF(D723&lt;35,"25-34",IF(D723&lt;45,"35-44",IF(D723&lt;55,"45-54","55+")))))</f>
        <v>35-44</v>
      </c>
      <c r="R723" s="13" t="str">
        <f aca="false">IF(P723&lt;1,"0-1 yrs",IF(P723&lt;3,"1-3 yrs",IF(P723&lt;5,"3-5 yrs",IF(P723&lt;10,"5-10 yrs","10+ yrs"))))</f>
        <v>5-10 yrs</v>
      </c>
      <c r="S723" s="13" t="str">
        <f aca="false">IF(I723&gt;=4,"High",IF(I723=3,"Medium","Low"))</f>
        <v>Medium</v>
      </c>
      <c r="T723" s="13" t="str">
        <f aca="false">IF(M723=1,YEAR(C723),"")</f>
        <v/>
      </c>
      <c r="U723" s="13" t="str">
        <f aca="false">IF(M723=1,YEAR(C723)&amp;"-Q"&amp;ROUNDUP(MONTH(C723)/3,0),"")</f>
        <v/>
      </c>
      <c r="V723" s="13" t="str">
        <f aca="false">IF(M723=1,MONTH(C723),"")</f>
        <v/>
      </c>
    </row>
    <row r="724" customFormat="false" ht="15" hidden="false" customHeight="false" outlineLevel="0" collapsed="false">
      <c r="A724" s="13" t="str">
        <f aca="false">TRIM(Raw_Data!A724)</f>
        <v>EMP0723</v>
      </c>
      <c r="B724" s="14" t="n">
        <f aca="false">Raw_Data!B724</f>
        <v>43214</v>
      </c>
      <c r="C724" s="14" t="n">
        <f aca="false">IF(Raw_Data!C724="","",Raw_Data!C724)</f>
        <v>45672</v>
      </c>
      <c r="D724" s="13" t="n">
        <f aca="false">IF(Raw_Data!D724="","",Raw_Data!D724)</f>
        <v>40</v>
      </c>
      <c r="E724" s="13" t="str">
        <f aca="false">IF(UPPER(LEFT(TRIM(Raw_Data!E724),1))="M","Male",IF(UPPER(LEFT(TRIM(Raw_Data!E724),1))="F","Female","Unknown"))</f>
        <v>Female</v>
      </c>
      <c r="F724" s="13" t="str">
        <f aca="false">PROPER(TRIM(SUBSTITUTE(Raw_Data!F724,"'","")))</f>
        <v>Masters</v>
      </c>
      <c r="G724" s="13" t="str">
        <f aca="false">PROPER(TRIM(Raw_Data!G724))</f>
        <v>Operations</v>
      </c>
      <c r="H724" s="13" t="str">
        <f aca="false">PROPER(TRIM(Raw_Data!H724))</f>
        <v>Associate</v>
      </c>
      <c r="I724" s="13" t="n">
        <f aca="false">IF(Raw_Data!I724="",DefaultPerf,Raw_Data!I724)</f>
        <v>3</v>
      </c>
      <c r="J724" s="13" t="n">
        <f aca="false">IF(Raw_Data!J724="",DefaultSat,Raw_Data!J724)</f>
        <v>3</v>
      </c>
      <c r="K724" s="15" t="n">
        <f aca="false">Raw_Data!K724</f>
        <v>43500</v>
      </c>
      <c r="L724" s="13" t="str">
        <f aca="false">PROPER(TRIM(Raw_Data!N724))</f>
        <v>No</v>
      </c>
      <c r="M724" s="13" t="n">
        <f aca="false">IF(C724="",0,1)</f>
        <v>1</v>
      </c>
      <c r="N724" s="13" t="str">
        <f aca="false">IF(M724=0,"Active",IF(TRIM(Raw_Data!L724)="","Unknown",PROPER(TRIM(Raw_Data!L724))))</f>
        <v>Voluntary</v>
      </c>
      <c r="O724" s="13" t="str">
        <f aca="false">IF(M724=0,"",IF(TRIM(Raw_Data!M724)="","Not Recorded",TRIM(Raw_Data!M724)))</f>
        <v>Job Dissatisfaction</v>
      </c>
      <c r="P724" s="16" t="n">
        <f aca="false">ROUND((IF(C724="",AsOfDate,C724)-B724)/365.25,2)</f>
        <v>6.73</v>
      </c>
      <c r="Q724" s="13" t="str">
        <f aca="false">IF(D724="","Unknown",IF(D724&lt;25,"Under 25",IF(D724&lt;35,"25-34",IF(D724&lt;45,"35-44",IF(D724&lt;55,"45-54","55+")))))</f>
        <v>35-44</v>
      </c>
      <c r="R724" s="13" t="str">
        <f aca="false">IF(P724&lt;1,"0-1 yrs",IF(P724&lt;3,"1-3 yrs",IF(P724&lt;5,"3-5 yrs",IF(P724&lt;10,"5-10 yrs","10+ yrs"))))</f>
        <v>5-10 yrs</v>
      </c>
      <c r="S724" s="13" t="str">
        <f aca="false">IF(I724&gt;=4,"High",IF(I724=3,"Medium","Low"))</f>
        <v>Medium</v>
      </c>
      <c r="T724" s="13" t="n">
        <f aca="false">IF(M724=1,YEAR(C724),"")</f>
        <v>2025</v>
      </c>
      <c r="U724" s="13" t="str">
        <f aca="false">IF(M724=1,YEAR(C724)&amp;"-Q"&amp;ROUNDUP(MONTH(C724)/3,0),"")</f>
        <v>2025-Q1</v>
      </c>
      <c r="V724" s="13" t="n">
        <f aca="false">IF(M724=1,MONTH(C724),"")</f>
        <v>1</v>
      </c>
    </row>
    <row r="725" customFormat="false" ht="15" hidden="false" customHeight="false" outlineLevel="0" collapsed="false">
      <c r="A725" s="13" t="str">
        <f aca="false">TRIM(Raw_Data!A725)</f>
        <v>EMP0724</v>
      </c>
      <c r="B725" s="14" t="n">
        <f aca="false">Raw_Data!B725</f>
        <v>43215</v>
      </c>
      <c r="C725" s="14" t="str">
        <f aca="false">IF(Raw_Data!C725="","",Raw_Data!C725)</f>
        <v/>
      </c>
      <c r="D725" s="13" t="n">
        <f aca="false">IF(Raw_Data!D725="","",Raw_Data!D725)</f>
        <v>48</v>
      </c>
      <c r="E725" s="13" t="str">
        <f aca="false">IF(UPPER(LEFT(TRIM(Raw_Data!E725),1))="M","Male",IF(UPPER(LEFT(TRIM(Raw_Data!E725),1))="F","Female","Unknown"))</f>
        <v>Male</v>
      </c>
      <c r="F725" s="13" t="str">
        <f aca="false">PROPER(TRIM(SUBSTITUTE(Raw_Data!F725,"'","")))</f>
        <v>Bachelors</v>
      </c>
      <c r="G725" s="13" t="str">
        <f aca="false">PROPER(TRIM(Raw_Data!G725))</f>
        <v>Engineering</v>
      </c>
      <c r="H725" s="13" t="str">
        <f aca="false">PROPER(TRIM(Raw_Data!H725))</f>
        <v>Associate</v>
      </c>
      <c r="I725" s="13" t="n">
        <f aca="false">IF(Raw_Data!I725="",DefaultPerf,Raw_Data!I725)</f>
        <v>3</v>
      </c>
      <c r="J725" s="13" t="n">
        <f aca="false">IF(Raw_Data!J725="",DefaultSat,Raw_Data!J725)</f>
        <v>1</v>
      </c>
      <c r="K725" s="15" t="n">
        <f aca="false">Raw_Data!K725</f>
        <v>46000</v>
      </c>
      <c r="L725" s="13" t="str">
        <f aca="false">PROPER(TRIM(Raw_Data!N725))</f>
        <v>No</v>
      </c>
      <c r="M725" s="13" t="n">
        <f aca="false">IF(C725="",0,1)</f>
        <v>0</v>
      </c>
      <c r="N725" s="13" t="str">
        <f aca="false">IF(M725=0,"Active",IF(TRIM(Raw_Data!L725)="","Unknown",PROPER(TRIM(Raw_Data!L725))))</f>
        <v>Active</v>
      </c>
      <c r="O725" s="13" t="str">
        <f aca="false">IF(M725=0,"",IF(TRIM(Raw_Data!M725)="","Not Recorded",TRIM(Raw_Data!M725)))</f>
        <v/>
      </c>
      <c r="P725" s="16" t="n">
        <f aca="false">ROUND((IF(C725="",AsOfDate,C725)-B725)/365.25,2)</f>
        <v>7.69</v>
      </c>
      <c r="Q725" s="13" t="str">
        <f aca="false">IF(D725="","Unknown",IF(D725&lt;25,"Under 25",IF(D725&lt;35,"25-34",IF(D725&lt;45,"35-44",IF(D725&lt;55,"45-54","55+")))))</f>
        <v>45-54</v>
      </c>
      <c r="R725" s="13" t="str">
        <f aca="false">IF(P725&lt;1,"0-1 yrs",IF(P725&lt;3,"1-3 yrs",IF(P725&lt;5,"3-5 yrs",IF(P725&lt;10,"5-10 yrs","10+ yrs"))))</f>
        <v>5-10 yrs</v>
      </c>
      <c r="S725" s="13" t="str">
        <f aca="false">IF(I725&gt;=4,"High",IF(I725=3,"Medium","Low"))</f>
        <v>Medium</v>
      </c>
      <c r="T725" s="13" t="str">
        <f aca="false">IF(M725=1,YEAR(C725),"")</f>
        <v/>
      </c>
      <c r="U725" s="13" t="str">
        <f aca="false">IF(M725=1,YEAR(C725)&amp;"-Q"&amp;ROUNDUP(MONTH(C725)/3,0),"")</f>
        <v/>
      </c>
      <c r="V725" s="13" t="str">
        <f aca="false">IF(M725=1,MONTH(C725),"")</f>
        <v/>
      </c>
    </row>
    <row r="726" customFormat="false" ht="15" hidden="false" customHeight="false" outlineLevel="0" collapsed="false">
      <c r="A726" s="13" t="str">
        <f aca="false">TRIM(Raw_Data!A726)</f>
        <v>EMP0725</v>
      </c>
      <c r="B726" s="14" t="n">
        <f aca="false">Raw_Data!B726</f>
        <v>43216</v>
      </c>
      <c r="C726" s="14" t="n">
        <f aca="false">IF(Raw_Data!C726="","",Raw_Data!C726)</f>
        <v>45423</v>
      </c>
      <c r="D726" s="13" t="n">
        <f aca="false">IF(Raw_Data!D726="","",Raw_Data!D726)</f>
        <v>45</v>
      </c>
      <c r="E726" s="13" t="str">
        <f aca="false">IF(UPPER(LEFT(TRIM(Raw_Data!E726),1))="M","Male",IF(UPPER(LEFT(TRIM(Raw_Data!E726),1))="F","Female","Unknown"))</f>
        <v>Female</v>
      </c>
      <c r="F726" s="13" t="str">
        <f aca="false">PROPER(TRIM(SUBSTITUTE(Raw_Data!F726,"'","")))</f>
        <v>Doctorate</v>
      </c>
      <c r="G726" s="13" t="str">
        <f aca="false">PROPER(TRIM(Raw_Data!G726))</f>
        <v>Operations</v>
      </c>
      <c r="H726" s="13" t="str">
        <f aca="false">PROPER(TRIM(Raw_Data!H726))</f>
        <v>Analyst</v>
      </c>
      <c r="I726" s="13" t="n">
        <f aca="false">IF(Raw_Data!I726="",DefaultPerf,Raw_Data!I726)</f>
        <v>4</v>
      </c>
      <c r="J726" s="13" t="n">
        <f aca="false">IF(Raw_Data!J726="",DefaultSat,Raw_Data!J726)</f>
        <v>2</v>
      </c>
      <c r="K726" s="15" t="n">
        <f aca="false">Raw_Data!K726</f>
        <v>57500</v>
      </c>
      <c r="L726" s="13" t="str">
        <f aca="false">PROPER(TRIM(Raw_Data!N726))</f>
        <v>No</v>
      </c>
      <c r="M726" s="13" t="n">
        <f aca="false">IF(C726="",0,1)</f>
        <v>1</v>
      </c>
      <c r="N726" s="13" t="str">
        <f aca="false">IF(M726=0,"Active",IF(TRIM(Raw_Data!L726)="","Unknown",PROPER(TRIM(Raw_Data!L726))))</f>
        <v>Voluntary</v>
      </c>
      <c r="O726" s="13" t="str">
        <f aca="false">IF(M726=0,"",IF(TRIM(Raw_Data!M726)="","Not Recorded",TRIM(Raw_Data!M726)))</f>
        <v>Better Compensation</v>
      </c>
      <c r="P726" s="16" t="n">
        <f aca="false">ROUND((IF(C726="",AsOfDate,C726)-B726)/365.25,2)</f>
        <v>6.04</v>
      </c>
      <c r="Q726" s="13" t="str">
        <f aca="false">IF(D726="","Unknown",IF(D726&lt;25,"Under 25",IF(D726&lt;35,"25-34",IF(D726&lt;45,"35-44",IF(D726&lt;55,"45-54","55+")))))</f>
        <v>45-54</v>
      </c>
      <c r="R726" s="13" t="str">
        <f aca="false">IF(P726&lt;1,"0-1 yrs",IF(P726&lt;3,"1-3 yrs",IF(P726&lt;5,"3-5 yrs",IF(P726&lt;10,"5-10 yrs","10+ yrs"))))</f>
        <v>5-10 yrs</v>
      </c>
      <c r="S726" s="13" t="str">
        <f aca="false">IF(I726&gt;=4,"High",IF(I726=3,"Medium","Low"))</f>
        <v>High</v>
      </c>
      <c r="T726" s="13" t="n">
        <f aca="false">IF(M726=1,YEAR(C726),"")</f>
        <v>2024</v>
      </c>
      <c r="U726" s="13" t="str">
        <f aca="false">IF(M726=1,YEAR(C726)&amp;"-Q"&amp;ROUNDUP(MONTH(C726)/3,0),"")</f>
        <v>2024-Q2</v>
      </c>
      <c r="V726" s="13" t="n">
        <f aca="false">IF(M726=1,MONTH(C726),"")</f>
        <v>5</v>
      </c>
    </row>
    <row r="727" customFormat="false" ht="15" hidden="false" customHeight="false" outlineLevel="0" collapsed="false">
      <c r="A727" s="13" t="str">
        <f aca="false">TRIM(Raw_Data!A727)</f>
        <v>EMP0726</v>
      </c>
      <c r="B727" s="14" t="n">
        <f aca="false">Raw_Data!B727</f>
        <v>43219</v>
      </c>
      <c r="C727" s="14" t="str">
        <f aca="false">IF(Raw_Data!C727="","",Raw_Data!C727)</f>
        <v/>
      </c>
      <c r="D727" s="13" t="n">
        <f aca="false">IF(Raw_Data!D727="","",Raw_Data!D727)</f>
        <v>41</v>
      </c>
      <c r="E727" s="13" t="str">
        <f aca="false">IF(UPPER(LEFT(TRIM(Raw_Data!E727),1))="M","Male",IF(UPPER(LEFT(TRIM(Raw_Data!E727),1))="F","Female","Unknown"))</f>
        <v>Male</v>
      </c>
      <c r="F727" s="13" t="str">
        <f aca="false">PROPER(TRIM(SUBSTITUTE(Raw_Data!F727,"'","")))</f>
        <v>Masters</v>
      </c>
      <c r="G727" s="13" t="str">
        <f aca="false">PROPER(TRIM(Raw_Data!G727))</f>
        <v>Customer Support</v>
      </c>
      <c r="H727" s="13" t="str">
        <f aca="false">PROPER(TRIM(Raw_Data!H727))</f>
        <v>Associate</v>
      </c>
      <c r="I727" s="13" t="n">
        <f aca="false">IF(Raw_Data!I727="",DefaultPerf,Raw_Data!I727)</f>
        <v>2</v>
      </c>
      <c r="J727" s="13" t="n">
        <f aca="false">IF(Raw_Data!J727="",DefaultSat,Raw_Data!J727)</f>
        <v>3</v>
      </c>
      <c r="K727" s="15" t="n">
        <f aca="false">Raw_Data!K727</f>
        <v>41000</v>
      </c>
      <c r="L727" s="13" t="str">
        <f aca="false">PROPER(TRIM(Raw_Data!N727))</f>
        <v>Yes</v>
      </c>
      <c r="M727" s="13" t="n">
        <f aca="false">IF(C727="",0,1)</f>
        <v>0</v>
      </c>
      <c r="N727" s="13" t="str">
        <f aca="false">IF(M727=0,"Active",IF(TRIM(Raw_Data!L727)="","Unknown",PROPER(TRIM(Raw_Data!L727))))</f>
        <v>Active</v>
      </c>
      <c r="O727" s="13" t="str">
        <f aca="false">IF(M727=0,"",IF(TRIM(Raw_Data!M727)="","Not Recorded",TRIM(Raw_Data!M727)))</f>
        <v/>
      </c>
      <c r="P727" s="16" t="n">
        <f aca="false">ROUND((IF(C727="",AsOfDate,C727)-B727)/365.25,2)</f>
        <v>7.67</v>
      </c>
      <c r="Q727" s="13" t="str">
        <f aca="false">IF(D727="","Unknown",IF(D727&lt;25,"Under 25",IF(D727&lt;35,"25-34",IF(D727&lt;45,"35-44",IF(D727&lt;55,"45-54","55+")))))</f>
        <v>35-44</v>
      </c>
      <c r="R727" s="13" t="str">
        <f aca="false">IF(P727&lt;1,"0-1 yrs",IF(P727&lt;3,"1-3 yrs",IF(P727&lt;5,"3-5 yrs",IF(P727&lt;10,"5-10 yrs","10+ yrs"))))</f>
        <v>5-10 yrs</v>
      </c>
      <c r="S727" s="13" t="str">
        <f aca="false">IF(I727&gt;=4,"High",IF(I727=3,"Medium","Low"))</f>
        <v>Low</v>
      </c>
      <c r="T727" s="13" t="str">
        <f aca="false">IF(M727=1,YEAR(C727),"")</f>
        <v/>
      </c>
      <c r="U727" s="13" t="str">
        <f aca="false">IF(M727=1,YEAR(C727)&amp;"-Q"&amp;ROUNDUP(MONTH(C727)/3,0),"")</f>
        <v/>
      </c>
      <c r="V727" s="13" t="str">
        <f aca="false">IF(M727=1,MONTH(C727),"")</f>
        <v/>
      </c>
    </row>
    <row r="728" customFormat="false" ht="15" hidden="false" customHeight="false" outlineLevel="0" collapsed="false">
      <c r="A728" s="13" t="str">
        <f aca="false">TRIM(Raw_Data!A728)</f>
        <v>EMP0727</v>
      </c>
      <c r="B728" s="14" t="n">
        <f aca="false">Raw_Data!B728</f>
        <v>43220</v>
      </c>
      <c r="C728" s="14" t="n">
        <f aca="false">IF(Raw_Data!C728="","",Raw_Data!C728)</f>
        <v>44656</v>
      </c>
      <c r="D728" s="13" t="n">
        <f aca="false">IF(Raw_Data!D728="","",Raw_Data!D728)</f>
        <v>34</v>
      </c>
      <c r="E728" s="13" t="str">
        <f aca="false">IF(UPPER(LEFT(TRIM(Raw_Data!E728),1))="M","Male",IF(UPPER(LEFT(TRIM(Raw_Data!E728),1))="F","Female","Unknown"))</f>
        <v>Male</v>
      </c>
      <c r="F728" s="13" t="str">
        <f aca="false">PROPER(TRIM(SUBSTITUTE(Raw_Data!F728,"'","")))</f>
        <v>Bachelors</v>
      </c>
      <c r="G728" s="13" t="str">
        <f aca="false">PROPER(TRIM(Raw_Data!G728))</f>
        <v>Engineering</v>
      </c>
      <c r="H728" s="13" t="str">
        <f aca="false">PROPER(TRIM(Raw_Data!H728))</f>
        <v>Manager</v>
      </c>
      <c r="I728" s="13" t="n">
        <f aca="false">IF(Raw_Data!I728="",DefaultPerf,Raw_Data!I728)</f>
        <v>3</v>
      </c>
      <c r="J728" s="13" t="n">
        <f aca="false">IF(Raw_Data!J728="",DefaultSat,Raw_Data!J728)</f>
        <v>2</v>
      </c>
      <c r="K728" s="15" t="n">
        <f aca="false">Raw_Data!K728</f>
        <v>230500</v>
      </c>
      <c r="L728" s="13" t="str">
        <f aca="false">PROPER(TRIM(Raw_Data!N728))</f>
        <v>Yes</v>
      </c>
      <c r="M728" s="13" t="n">
        <f aca="false">IF(C728="",0,1)</f>
        <v>1</v>
      </c>
      <c r="N728" s="13" t="str">
        <f aca="false">IF(M728=0,"Active",IF(TRIM(Raw_Data!L728)="","Unknown",PROPER(TRIM(Raw_Data!L728))))</f>
        <v>Voluntary</v>
      </c>
      <c r="O728" s="13" t="str">
        <f aca="false">IF(M728=0,"",IF(TRIM(Raw_Data!M728)="","Not Recorded",TRIM(Raw_Data!M728)))</f>
        <v>Manager Issues</v>
      </c>
      <c r="P728" s="16" t="n">
        <f aca="false">ROUND((IF(C728="",AsOfDate,C728)-B728)/365.25,2)</f>
        <v>3.93</v>
      </c>
      <c r="Q728" s="13" t="str">
        <f aca="false">IF(D728="","Unknown",IF(D728&lt;25,"Under 25",IF(D728&lt;35,"25-34",IF(D728&lt;45,"35-44",IF(D728&lt;55,"45-54","55+")))))</f>
        <v>25-34</v>
      </c>
      <c r="R728" s="13" t="str">
        <f aca="false">IF(P728&lt;1,"0-1 yrs",IF(P728&lt;3,"1-3 yrs",IF(P728&lt;5,"3-5 yrs",IF(P728&lt;10,"5-10 yrs","10+ yrs"))))</f>
        <v>3-5 yrs</v>
      </c>
      <c r="S728" s="13" t="str">
        <f aca="false">IF(I728&gt;=4,"High",IF(I728=3,"Medium","Low"))</f>
        <v>Medium</v>
      </c>
      <c r="T728" s="13" t="n">
        <f aca="false">IF(M728=1,YEAR(C728),"")</f>
        <v>2022</v>
      </c>
      <c r="U728" s="13" t="str">
        <f aca="false">IF(M728=1,YEAR(C728)&amp;"-Q"&amp;ROUNDUP(MONTH(C728)/3,0),"")</f>
        <v>2022-Q2</v>
      </c>
      <c r="V728" s="13" t="n">
        <f aca="false">IF(M728=1,MONTH(C728),"")</f>
        <v>4</v>
      </c>
    </row>
    <row r="729" customFormat="false" ht="15" hidden="false" customHeight="false" outlineLevel="0" collapsed="false">
      <c r="A729" s="13" t="str">
        <f aca="false">TRIM(Raw_Data!A729)</f>
        <v>EMP0728</v>
      </c>
      <c r="B729" s="14" t="n">
        <f aca="false">Raw_Data!B729</f>
        <v>43227</v>
      </c>
      <c r="C729" s="14" t="str">
        <f aca="false">IF(Raw_Data!C729="","",Raw_Data!C729)</f>
        <v/>
      </c>
      <c r="D729" s="13" t="n">
        <f aca="false">IF(Raw_Data!D729="","",Raw_Data!D729)</f>
        <v>30</v>
      </c>
      <c r="E729" s="13" t="str">
        <f aca="false">IF(UPPER(LEFT(TRIM(Raw_Data!E729),1))="M","Male",IF(UPPER(LEFT(TRIM(Raw_Data!E729),1))="F","Female","Unknown"))</f>
        <v>Male</v>
      </c>
      <c r="F729" s="13" t="str">
        <f aca="false">PROPER(TRIM(SUBSTITUTE(Raw_Data!F729,"'","")))</f>
        <v>Masters</v>
      </c>
      <c r="G729" s="13" t="str">
        <f aca="false">PROPER(TRIM(Raw_Data!G729))</f>
        <v>Finance</v>
      </c>
      <c r="H729" s="13" t="str">
        <f aca="false">PROPER(TRIM(Raw_Data!H729))</f>
        <v>Specialist</v>
      </c>
      <c r="I729" s="13" t="n">
        <f aca="false">IF(Raw_Data!I729="",DefaultPerf,Raw_Data!I729)</f>
        <v>4</v>
      </c>
      <c r="J729" s="13" t="n">
        <f aca="false">IF(Raw_Data!J729="",DefaultSat,Raw_Data!J729)</f>
        <v>3</v>
      </c>
      <c r="K729" s="15" t="n">
        <f aca="false">Raw_Data!K729</f>
        <v>107500</v>
      </c>
      <c r="L729" s="13" t="str">
        <f aca="false">PROPER(TRIM(Raw_Data!N729))</f>
        <v>Yes</v>
      </c>
      <c r="M729" s="13" t="n">
        <f aca="false">IF(C729="",0,1)</f>
        <v>0</v>
      </c>
      <c r="N729" s="13" t="str">
        <f aca="false">IF(M729=0,"Active",IF(TRIM(Raw_Data!L729)="","Unknown",PROPER(TRIM(Raw_Data!L729))))</f>
        <v>Active</v>
      </c>
      <c r="O729" s="13" t="str">
        <f aca="false">IF(M729=0,"",IF(TRIM(Raw_Data!M729)="","Not Recorded",TRIM(Raw_Data!M729)))</f>
        <v/>
      </c>
      <c r="P729" s="16" t="n">
        <f aca="false">ROUND((IF(C729="",AsOfDate,C729)-B729)/365.25,2)</f>
        <v>7.65</v>
      </c>
      <c r="Q729" s="13" t="str">
        <f aca="false">IF(D729="","Unknown",IF(D729&lt;25,"Under 25",IF(D729&lt;35,"25-34",IF(D729&lt;45,"35-44",IF(D729&lt;55,"45-54","55+")))))</f>
        <v>25-34</v>
      </c>
      <c r="R729" s="13" t="str">
        <f aca="false">IF(P729&lt;1,"0-1 yrs",IF(P729&lt;3,"1-3 yrs",IF(P729&lt;5,"3-5 yrs",IF(P729&lt;10,"5-10 yrs","10+ yrs"))))</f>
        <v>5-10 yrs</v>
      </c>
      <c r="S729" s="13" t="str">
        <f aca="false">IF(I729&gt;=4,"High",IF(I729=3,"Medium","Low"))</f>
        <v>High</v>
      </c>
      <c r="T729" s="13" t="str">
        <f aca="false">IF(M729=1,YEAR(C729),"")</f>
        <v/>
      </c>
      <c r="U729" s="13" t="str">
        <f aca="false">IF(M729=1,YEAR(C729)&amp;"-Q"&amp;ROUNDUP(MONTH(C729)/3,0),"")</f>
        <v/>
      </c>
      <c r="V729" s="13" t="str">
        <f aca="false">IF(M729=1,MONTH(C729),"")</f>
        <v/>
      </c>
    </row>
    <row r="730" customFormat="false" ht="15" hidden="false" customHeight="false" outlineLevel="0" collapsed="false">
      <c r="A730" s="13" t="str">
        <f aca="false">TRIM(Raw_Data!A730)</f>
        <v>EMP0729</v>
      </c>
      <c r="B730" s="14" t="n">
        <f aca="false">Raw_Data!B730</f>
        <v>43230</v>
      </c>
      <c r="C730" s="14" t="n">
        <f aca="false">IF(Raw_Data!C730="","",Raw_Data!C730)</f>
        <v>44829</v>
      </c>
      <c r="D730" s="13" t="n">
        <f aca="false">IF(Raw_Data!D730="","",Raw_Data!D730)</f>
        <v>28</v>
      </c>
      <c r="E730" s="13" t="str">
        <f aca="false">IF(UPPER(LEFT(TRIM(Raw_Data!E730),1))="M","Male",IF(UPPER(LEFT(TRIM(Raw_Data!E730),1))="F","Female","Unknown"))</f>
        <v>Male</v>
      </c>
      <c r="F730" s="13" t="str">
        <f aca="false">PROPER(TRIM(SUBSTITUTE(Raw_Data!F730,"'","")))</f>
        <v>Bachelors</v>
      </c>
      <c r="G730" s="13" t="str">
        <f aca="false">PROPER(TRIM(Raw_Data!G730))</f>
        <v>Engineering</v>
      </c>
      <c r="H730" s="13" t="str">
        <f aca="false">PROPER(TRIM(Raw_Data!H730))</f>
        <v>Analyst</v>
      </c>
      <c r="I730" s="13" t="n">
        <f aca="false">IF(Raw_Data!I730="",DefaultPerf,Raw_Data!I730)</f>
        <v>4</v>
      </c>
      <c r="J730" s="13" t="n">
        <f aca="false">IF(Raw_Data!J730="",DefaultSat,Raw_Data!J730)</f>
        <v>2</v>
      </c>
      <c r="K730" s="15" t="n">
        <f aca="false">Raw_Data!K730</f>
        <v>78000</v>
      </c>
      <c r="L730" s="13" t="str">
        <f aca="false">PROPER(TRIM(Raw_Data!N730))</f>
        <v>No</v>
      </c>
      <c r="M730" s="13" t="n">
        <f aca="false">IF(C730="",0,1)</f>
        <v>1</v>
      </c>
      <c r="N730" s="13" t="str">
        <f aca="false">IF(M730=0,"Active",IF(TRIM(Raw_Data!L730)="","Unknown",PROPER(TRIM(Raw_Data!L730))))</f>
        <v>Voluntary</v>
      </c>
      <c r="O730" s="13" t="str">
        <f aca="false">IF(M730=0,"",IF(TRIM(Raw_Data!M730)="","Not Recorded",TRIM(Raw_Data!M730)))</f>
        <v>Relocation</v>
      </c>
      <c r="P730" s="16" t="n">
        <f aca="false">ROUND((IF(C730="",AsOfDate,C730)-B730)/365.25,2)</f>
        <v>4.38</v>
      </c>
      <c r="Q730" s="13" t="str">
        <f aca="false">IF(D730="","Unknown",IF(D730&lt;25,"Under 25",IF(D730&lt;35,"25-34",IF(D730&lt;45,"35-44",IF(D730&lt;55,"45-54","55+")))))</f>
        <v>25-34</v>
      </c>
      <c r="R730" s="13" t="str">
        <f aca="false">IF(P730&lt;1,"0-1 yrs",IF(P730&lt;3,"1-3 yrs",IF(P730&lt;5,"3-5 yrs",IF(P730&lt;10,"5-10 yrs","10+ yrs"))))</f>
        <v>3-5 yrs</v>
      </c>
      <c r="S730" s="13" t="str">
        <f aca="false">IF(I730&gt;=4,"High",IF(I730=3,"Medium","Low"))</f>
        <v>High</v>
      </c>
      <c r="T730" s="13" t="n">
        <f aca="false">IF(M730=1,YEAR(C730),"")</f>
        <v>2022</v>
      </c>
      <c r="U730" s="13" t="str">
        <f aca="false">IF(M730=1,YEAR(C730)&amp;"-Q"&amp;ROUNDUP(MONTH(C730)/3,0),"")</f>
        <v>2022-Q3</v>
      </c>
      <c r="V730" s="13" t="n">
        <f aca="false">IF(M730=1,MONTH(C730),"")</f>
        <v>9</v>
      </c>
    </row>
    <row r="731" customFormat="false" ht="15" hidden="false" customHeight="false" outlineLevel="0" collapsed="false">
      <c r="A731" s="13" t="str">
        <f aca="false">TRIM(Raw_Data!A731)</f>
        <v>EMP0730</v>
      </c>
      <c r="B731" s="14" t="n">
        <f aca="false">Raw_Data!B731</f>
        <v>43237</v>
      </c>
      <c r="C731" s="14" t="n">
        <f aca="false">IF(Raw_Data!C731="","",Raw_Data!C731)</f>
        <v>44677</v>
      </c>
      <c r="D731" s="13" t="n">
        <f aca="false">IF(Raw_Data!D731="","",Raw_Data!D731)</f>
        <v>31</v>
      </c>
      <c r="E731" s="13" t="str">
        <f aca="false">IF(UPPER(LEFT(TRIM(Raw_Data!E731),1))="M","Male",IF(UPPER(LEFT(TRIM(Raw_Data!E731),1))="F","Female","Unknown"))</f>
        <v>Male</v>
      </c>
      <c r="F731" s="13" t="str">
        <f aca="false">PROPER(TRIM(SUBSTITUTE(Raw_Data!F731,"'","")))</f>
        <v>Masters</v>
      </c>
      <c r="G731" s="13" t="str">
        <f aca="false">PROPER(TRIM(Raw_Data!G731))</f>
        <v>Sales</v>
      </c>
      <c r="H731" s="13" t="str">
        <f aca="false">PROPER(TRIM(Raw_Data!H731))</f>
        <v>Team Lead</v>
      </c>
      <c r="I731" s="13" t="n">
        <f aca="false">IF(Raw_Data!I731="",DefaultPerf,Raw_Data!I731)</f>
        <v>4</v>
      </c>
      <c r="J731" s="13" t="n">
        <f aca="false">IF(Raw_Data!J731="",DefaultSat,Raw_Data!J731)</f>
        <v>3</v>
      </c>
      <c r="K731" s="15" t="n">
        <f aca="false">Raw_Data!K731</f>
        <v>154500</v>
      </c>
      <c r="L731" s="13" t="str">
        <f aca="false">PROPER(TRIM(Raw_Data!N731))</f>
        <v>Yes</v>
      </c>
      <c r="M731" s="13" t="n">
        <f aca="false">IF(C731="",0,1)</f>
        <v>1</v>
      </c>
      <c r="N731" s="13" t="str">
        <f aca="false">IF(M731=0,"Active",IF(TRIM(Raw_Data!L731)="","Unknown",PROPER(TRIM(Raw_Data!L731))))</f>
        <v>Voluntary</v>
      </c>
      <c r="O731" s="13" t="str">
        <f aca="false">IF(M731=0,"",IF(TRIM(Raw_Data!M731)="","Not Recorded",TRIM(Raw_Data!M731)))</f>
        <v>Better Compensation</v>
      </c>
      <c r="P731" s="16" t="n">
        <f aca="false">ROUND((IF(C731="",AsOfDate,C731)-B731)/365.25,2)</f>
        <v>3.94</v>
      </c>
      <c r="Q731" s="13" t="str">
        <f aca="false">IF(D731="","Unknown",IF(D731&lt;25,"Under 25",IF(D731&lt;35,"25-34",IF(D731&lt;45,"35-44",IF(D731&lt;55,"45-54","55+")))))</f>
        <v>25-34</v>
      </c>
      <c r="R731" s="13" t="str">
        <f aca="false">IF(P731&lt;1,"0-1 yrs",IF(P731&lt;3,"1-3 yrs",IF(P731&lt;5,"3-5 yrs",IF(P731&lt;10,"5-10 yrs","10+ yrs"))))</f>
        <v>3-5 yrs</v>
      </c>
      <c r="S731" s="13" t="str">
        <f aca="false">IF(I731&gt;=4,"High",IF(I731=3,"Medium","Low"))</f>
        <v>High</v>
      </c>
      <c r="T731" s="13" t="n">
        <f aca="false">IF(M731=1,YEAR(C731),"")</f>
        <v>2022</v>
      </c>
      <c r="U731" s="13" t="str">
        <f aca="false">IF(M731=1,YEAR(C731)&amp;"-Q"&amp;ROUNDUP(MONTH(C731)/3,0),"")</f>
        <v>2022-Q2</v>
      </c>
      <c r="V731" s="13" t="n">
        <f aca="false">IF(M731=1,MONTH(C731),"")</f>
        <v>4</v>
      </c>
    </row>
    <row r="732" customFormat="false" ht="15" hidden="false" customHeight="false" outlineLevel="0" collapsed="false">
      <c r="A732" s="13" t="str">
        <f aca="false">TRIM(Raw_Data!A732)</f>
        <v>EMP0731</v>
      </c>
      <c r="B732" s="14" t="n">
        <f aca="false">Raw_Data!B732</f>
        <v>43241</v>
      </c>
      <c r="C732" s="14" t="n">
        <f aca="false">IF(Raw_Data!C732="","",Raw_Data!C732)</f>
        <v>45633</v>
      </c>
      <c r="D732" s="13" t="n">
        <f aca="false">IF(Raw_Data!D732="","",Raw_Data!D732)</f>
        <v>34</v>
      </c>
      <c r="E732" s="13" t="str">
        <f aca="false">IF(UPPER(LEFT(TRIM(Raw_Data!E732),1))="M","Male",IF(UPPER(LEFT(TRIM(Raw_Data!E732),1))="F","Female","Unknown"))</f>
        <v>Male</v>
      </c>
      <c r="F732" s="13" t="str">
        <f aca="false">PROPER(TRIM(SUBSTITUTE(Raw_Data!F732,"'","")))</f>
        <v>Masters</v>
      </c>
      <c r="G732" s="13" t="str">
        <f aca="false">PROPER(TRIM(Raw_Data!G732))</f>
        <v>Human Resources</v>
      </c>
      <c r="H732" s="13" t="str">
        <f aca="false">PROPER(TRIM(Raw_Data!H732))</f>
        <v>Senior Analyst</v>
      </c>
      <c r="I732" s="13" t="n">
        <f aca="false">IF(Raw_Data!I732="",DefaultPerf,Raw_Data!I732)</f>
        <v>3</v>
      </c>
      <c r="J732" s="13" t="n">
        <f aca="false">IF(Raw_Data!J732="",DefaultSat,Raw_Data!J732)</f>
        <v>1</v>
      </c>
      <c r="K732" s="15" t="n">
        <f aca="false">Raw_Data!K732</f>
        <v>103500</v>
      </c>
      <c r="L732" s="13" t="str">
        <f aca="false">PROPER(TRIM(Raw_Data!N732))</f>
        <v>Yes</v>
      </c>
      <c r="M732" s="13" t="n">
        <f aca="false">IF(C732="",0,1)</f>
        <v>1</v>
      </c>
      <c r="N732" s="13" t="str">
        <f aca="false">IF(M732=0,"Active",IF(TRIM(Raw_Data!L732)="","Unknown",PROPER(TRIM(Raw_Data!L732))))</f>
        <v>Voluntary</v>
      </c>
      <c r="O732" s="13" t="str">
        <f aca="false">IF(M732=0,"",IF(TRIM(Raw_Data!M732)="","Not Recorded",TRIM(Raw_Data!M732)))</f>
        <v>Further Studies</v>
      </c>
      <c r="P732" s="16" t="n">
        <f aca="false">ROUND((IF(C732="",AsOfDate,C732)-B732)/365.25,2)</f>
        <v>6.55</v>
      </c>
      <c r="Q732" s="13" t="str">
        <f aca="false">IF(D732="","Unknown",IF(D732&lt;25,"Under 25",IF(D732&lt;35,"25-34",IF(D732&lt;45,"35-44",IF(D732&lt;55,"45-54","55+")))))</f>
        <v>25-34</v>
      </c>
      <c r="R732" s="13" t="str">
        <f aca="false">IF(P732&lt;1,"0-1 yrs",IF(P732&lt;3,"1-3 yrs",IF(P732&lt;5,"3-5 yrs",IF(P732&lt;10,"5-10 yrs","10+ yrs"))))</f>
        <v>5-10 yrs</v>
      </c>
      <c r="S732" s="13" t="str">
        <f aca="false">IF(I732&gt;=4,"High",IF(I732=3,"Medium","Low"))</f>
        <v>Medium</v>
      </c>
      <c r="T732" s="13" t="n">
        <f aca="false">IF(M732=1,YEAR(C732),"")</f>
        <v>2024</v>
      </c>
      <c r="U732" s="13" t="str">
        <f aca="false">IF(M732=1,YEAR(C732)&amp;"-Q"&amp;ROUNDUP(MONTH(C732)/3,0),"")</f>
        <v>2024-Q4</v>
      </c>
      <c r="V732" s="13" t="n">
        <f aca="false">IF(M732=1,MONTH(C732),"")</f>
        <v>12</v>
      </c>
    </row>
    <row r="733" customFormat="false" ht="15" hidden="false" customHeight="false" outlineLevel="0" collapsed="false">
      <c r="A733" s="13" t="str">
        <f aca="false">TRIM(Raw_Data!A733)</f>
        <v>EMP0732</v>
      </c>
      <c r="B733" s="14" t="n">
        <f aca="false">Raw_Data!B733</f>
        <v>43248</v>
      </c>
      <c r="C733" s="14" t="n">
        <f aca="false">IF(Raw_Data!C733="","",Raw_Data!C733)</f>
        <v>44615</v>
      </c>
      <c r="D733" s="13" t="n">
        <f aca="false">IF(Raw_Data!D733="","",Raw_Data!D733)</f>
        <v>36</v>
      </c>
      <c r="E733" s="13" t="str">
        <f aca="false">IF(UPPER(LEFT(TRIM(Raw_Data!E733),1))="M","Male",IF(UPPER(LEFT(TRIM(Raw_Data!E733),1))="F","Female","Unknown"))</f>
        <v>Male</v>
      </c>
      <c r="F733" s="13" t="str">
        <f aca="false">PROPER(TRIM(SUBSTITUTE(Raw_Data!F733,"'","")))</f>
        <v>Masters</v>
      </c>
      <c r="G733" s="13" t="str">
        <f aca="false">PROPER(TRIM(Raw_Data!G733))</f>
        <v>Sales</v>
      </c>
      <c r="H733" s="13" t="str">
        <f aca="false">PROPER(TRIM(Raw_Data!H733))</f>
        <v>Associate</v>
      </c>
      <c r="I733" s="13" t="n">
        <f aca="false">IF(Raw_Data!I733="",DefaultPerf,Raw_Data!I733)</f>
        <v>1</v>
      </c>
      <c r="J733" s="13" t="n">
        <f aca="false">IF(Raw_Data!J733="",DefaultSat,Raw_Data!J733)</f>
        <v>2</v>
      </c>
      <c r="K733" s="15" t="n">
        <f aca="false">Raw_Data!K733</f>
        <v>48500</v>
      </c>
      <c r="L733" s="13" t="str">
        <f aca="false">PROPER(TRIM(Raw_Data!N733))</f>
        <v>Yes</v>
      </c>
      <c r="M733" s="13" t="n">
        <f aca="false">IF(C733="",0,1)</f>
        <v>1</v>
      </c>
      <c r="N733" s="13" t="str">
        <f aca="false">IF(M733=0,"Active",IF(TRIM(Raw_Data!L733)="","Unknown",PROPER(TRIM(Raw_Data!L733))))</f>
        <v>Involuntary</v>
      </c>
      <c r="O733" s="13" t="str">
        <f aca="false">IF(M733=0,"",IF(TRIM(Raw_Data!M733)="","Not Recorded",TRIM(Raw_Data!M733)))</f>
        <v>End of Contract</v>
      </c>
      <c r="P733" s="16" t="n">
        <f aca="false">ROUND((IF(C733="",AsOfDate,C733)-B733)/365.25,2)</f>
        <v>3.74</v>
      </c>
      <c r="Q733" s="13" t="str">
        <f aca="false">IF(D733="","Unknown",IF(D733&lt;25,"Under 25",IF(D733&lt;35,"25-34",IF(D733&lt;45,"35-44",IF(D733&lt;55,"45-54","55+")))))</f>
        <v>35-44</v>
      </c>
      <c r="R733" s="13" t="str">
        <f aca="false">IF(P733&lt;1,"0-1 yrs",IF(P733&lt;3,"1-3 yrs",IF(P733&lt;5,"3-5 yrs",IF(P733&lt;10,"5-10 yrs","10+ yrs"))))</f>
        <v>3-5 yrs</v>
      </c>
      <c r="S733" s="13" t="str">
        <f aca="false">IF(I733&gt;=4,"High",IF(I733=3,"Medium","Low"))</f>
        <v>Low</v>
      </c>
      <c r="T733" s="13" t="n">
        <f aca="false">IF(M733=1,YEAR(C733),"")</f>
        <v>2022</v>
      </c>
      <c r="U733" s="13" t="str">
        <f aca="false">IF(M733=1,YEAR(C733)&amp;"-Q"&amp;ROUNDUP(MONTH(C733)/3,0),"")</f>
        <v>2022-Q1</v>
      </c>
      <c r="V733" s="13" t="n">
        <f aca="false">IF(M733=1,MONTH(C733),"")</f>
        <v>2</v>
      </c>
    </row>
    <row r="734" customFormat="false" ht="15" hidden="false" customHeight="false" outlineLevel="0" collapsed="false">
      <c r="A734" s="13" t="str">
        <f aca="false">TRIM(Raw_Data!A734)</f>
        <v>EMP0733</v>
      </c>
      <c r="B734" s="14" t="n">
        <f aca="false">Raw_Data!B734</f>
        <v>43248</v>
      </c>
      <c r="C734" s="14" t="str">
        <f aca="false">IF(Raw_Data!C734="","",Raw_Data!C734)</f>
        <v/>
      </c>
      <c r="D734" s="13" t="n">
        <f aca="false">IF(Raw_Data!D734="","",Raw_Data!D734)</f>
        <v>32</v>
      </c>
      <c r="E734" s="13" t="str">
        <f aca="false">IF(UPPER(LEFT(TRIM(Raw_Data!E734),1))="M","Male",IF(UPPER(LEFT(TRIM(Raw_Data!E734),1))="F","Female","Unknown"))</f>
        <v>Male</v>
      </c>
      <c r="F734" s="13" t="str">
        <f aca="false">PROPER(TRIM(SUBSTITUTE(Raw_Data!F734,"'","")))</f>
        <v>Bachelors</v>
      </c>
      <c r="G734" s="13" t="str">
        <f aca="false">PROPER(TRIM(Raw_Data!G734))</f>
        <v>Operations</v>
      </c>
      <c r="H734" s="13" t="str">
        <f aca="false">PROPER(TRIM(Raw_Data!H734))</f>
        <v>Associate</v>
      </c>
      <c r="I734" s="13" t="n">
        <f aca="false">IF(Raw_Data!I734="",DefaultPerf,Raw_Data!I734)</f>
        <v>4</v>
      </c>
      <c r="J734" s="13" t="n">
        <f aca="false">IF(Raw_Data!J734="",DefaultSat,Raw_Data!J734)</f>
        <v>2</v>
      </c>
      <c r="K734" s="15" t="n">
        <f aca="false">Raw_Data!K734</f>
        <v>42500</v>
      </c>
      <c r="L734" s="13" t="str">
        <f aca="false">PROPER(TRIM(Raw_Data!N734))</f>
        <v>No</v>
      </c>
      <c r="M734" s="13" t="n">
        <f aca="false">IF(C734="",0,1)</f>
        <v>0</v>
      </c>
      <c r="N734" s="13" t="str">
        <f aca="false">IF(M734=0,"Active",IF(TRIM(Raw_Data!L734)="","Unknown",PROPER(TRIM(Raw_Data!L734))))</f>
        <v>Active</v>
      </c>
      <c r="O734" s="13" t="str">
        <f aca="false">IF(M734=0,"",IF(TRIM(Raw_Data!M734)="","Not Recorded",TRIM(Raw_Data!M734)))</f>
        <v/>
      </c>
      <c r="P734" s="16" t="n">
        <f aca="false">ROUND((IF(C734="",AsOfDate,C734)-B734)/365.25,2)</f>
        <v>7.59</v>
      </c>
      <c r="Q734" s="13" t="str">
        <f aca="false">IF(D734="","Unknown",IF(D734&lt;25,"Under 25",IF(D734&lt;35,"25-34",IF(D734&lt;45,"35-44",IF(D734&lt;55,"45-54","55+")))))</f>
        <v>25-34</v>
      </c>
      <c r="R734" s="13" t="str">
        <f aca="false">IF(P734&lt;1,"0-1 yrs",IF(P734&lt;3,"1-3 yrs",IF(P734&lt;5,"3-5 yrs",IF(P734&lt;10,"5-10 yrs","10+ yrs"))))</f>
        <v>5-10 yrs</v>
      </c>
      <c r="S734" s="13" t="str">
        <f aca="false">IF(I734&gt;=4,"High",IF(I734=3,"Medium","Low"))</f>
        <v>High</v>
      </c>
      <c r="T734" s="13" t="str">
        <f aca="false">IF(M734=1,YEAR(C734),"")</f>
        <v/>
      </c>
      <c r="U734" s="13" t="str">
        <f aca="false">IF(M734=1,YEAR(C734)&amp;"-Q"&amp;ROUNDUP(MONTH(C734)/3,0),"")</f>
        <v/>
      </c>
      <c r="V734" s="13" t="str">
        <f aca="false">IF(M734=1,MONTH(C734),"")</f>
        <v/>
      </c>
    </row>
    <row r="735" customFormat="false" ht="15" hidden="false" customHeight="false" outlineLevel="0" collapsed="false">
      <c r="A735" s="13" t="str">
        <f aca="false">TRIM(Raw_Data!A735)</f>
        <v>EMP0734</v>
      </c>
      <c r="B735" s="14" t="n">
        <f aca="false">Raw_Data!B735</f>
        <v>43249</v>
      </c>
      <c r="C735" s="14" t="str">
        <f aca="false">IF(Raw_Data!C735="","",Raw_Data!C735)</f>
        <v/>
      </c>
      <c r="D735" s="13" t="n">
        <f aca="false">IF(Raw_Data!D735="","",Raw_Data!D735)</f>
        <v>41</v>
      </c>
      <c r="E735" s="13" t="str">
        <f aca="false">IF(UPPER(LEFT(TRIM(Raw_Data!E735),1))="M","Male",IF(UPPER(LEFT(TRIM(Raw_Data!E735),1))="F","Female","Unknown"))</f>
        <v>Female</v>
      </c>
      <c r="F735" s="13" t="str">
        <f aca="false">PROPER(TRIM(SUBSTITUTE(Raw_Data!F735,"'","")))</f>
        <v>Bachelors</v>
      </c>
      <c r="G735" s="13" t="str">
        <f aca="false">PROPER(TRIM(Raw_Data!G735))</f>
        <v>Sales</v>
      </c>
      <c r="H735" s="13" t="str">
        <f aca="false">PROPER(TRIM(Raw_Data!H735))</f>
        <v>Associate</v>
      </c>
      <c r="I735" s="13" t="n">
        <f aca="false">IF(Raw_Data!I735="",DefaultPerf,Raw_Data!I735)</f>
        <v>5</v>
      </c>
      <c r="J735" s="13" t="n">
        <f aca="false">IF(Raw_Data!J735="",DefaultSat,Raw_Data!J735)</f>
        <v>4</v>
      </c>
      <c r="K735" s="15" t="n">
        <f aca="false">Raw_Data!K735</f>
        <v>44000</v>
      </c>
      <c r="L735" s="13" t="str">
        <f aca="false">PROPER(TRIM(Raw_Data!N735))</f>
        <v>No</v>
      </c>
      <c r="M735" s="13" t="n">
        <f aca="false">IF(C735="",0,1)</f>
        <v>0</v>
      </c>
      <c r="N735" s="13" t="str">
        <f aca="false">IF(M735=0,"Active",IF(TRIM(Raw_Data!L735)="","Unknown",PROPER(TRIM(Raw_Data!L735))))</f>
        <v>Active</v>
      </c>
      <c r="O735" s="13" t="str">
        <f aca="false">IF(M735=0,"",IF(TRIM(Raw_Data!M735)="","Not Recorded",TRIM(Raw_Data!M735)))</f>
        <v/>
      </c>
      <c r="P735" s="16" t="n">
        <f aca="false">ROUND((IF(C735="",AsOfDate,C735)-B735)/365.25,2)</f>
        <v>7.59</v>
      </c>
      <c r="Q735" s="13" t="str">
        <f aca="false">IF(D735="","Unknown",IF(D735&lt;25,"Under 25",IF(D735&lt;35,"25-34",IF(D735&lt;45,"35-44",IF(D735&lt;55,"45-54","55+")))))</f>
        <v>35-44</v>
      </c>
      <c r="R735" s="13" t="str">
        <f aca="false">IF(P735&lt;1,"0-1 yrs",IF(P735&lt;3,"1-3 yrs",IF(P735&lt;5,"3-5 yrs",IF(P735&lt;10,"5-10 yrs","10+ yrs"))))</f>
        <v>5-10 yrs</v>
      </c>
      <c r="S735" s="13" t="str">
        <f aca="false">IF(I735&gt;=4,"High",IF(I735=3,"Medium","Low"))</f>
        <v>High</v>
      </c>
      <c r="T735" s="13" t="str">
        <f aca="false">IF(M735=1,YEAR(C735),"")</f>
        <v/>
      </c>
      <c r="U735" s="13" t="str">
        <f aca="false">IF(M735=1,YEAR(C735)&amp;"-Q"&amp;ROUNDUP(MONTH(C735)/3,0),"")</f>
        <v/>
      </c>
      <c r="V735" s="13" t="str">
        <f aca="false">IF(M735=1,MONTH(C735),"")</f>
        <v/>
      </c>
    </row>
    <row r="736" customFormat="false" ht="15" hidden="false" customHeight="false" outlineLevel="0" collapsed="false">
      <c r="A736" s="13" t="str">
        <f aca="false">TRIM(Raw_Data!A736)</f>
        <v>EMP0735</v>
      </c>
      <c r="B736" s="14" t="n">
        <f aca="false">Raw_Data!B736</f>
        <v>43250</v>
      </c>
      <c r="C736" s="14" t="str">
        <f aca="false">IF(Raw_Data!C736="","",Raw_Data!C736)</f>
        <v/>
      </c>
      <c r="D736" s="13" t="n">
        <f aca="false">IF(Raw_Data!D736="","",Raw_Data!D736)</f>
        <v>33</v>
      </c>
      <c r="E736" s="13" t="str">
        <f aca="false">IF(UPPER(LEFT(TRIM(Raw_Data!E736),1))="M","Male",IF(UPPER(LEFT(TRIM(Raw_Data!E736),1))="F","Female","Unknown"))</f>
        <v>Male</v>
      </c>
      <c r="F736" s="13" t="str">
        <f aca="false">PROPER(TRIM(SUBSTITUTE(Raw_Data!F736,"'","")))</f>
        <v>Diploma</v>
      </c>
      <c r="G736" s="13" t="str">
        <f aca="false">PROPER(TRIM(Raw_Data!G736))</f>
        <v>Engineering</v>
      </c>
      <c r="H736" s="13" t="str">
        <f aca="false">PROPER(TRIM(Raw_Data!H736))</f>
        <v>Team Lead</v>
      </c>
      <c r="I736" s="13" t="n">
        <f aca="false">IF(Raw_Data!I736="",DefaultPerf,Raw_Data!I736)</f>
        <v>2</v>
      </c>
      <c r="J736" s="13" t="n">
        <f aca="false">IF(Raw_Data!J736="",DefaultSat,Raw_Data!J736)</f>
        <v>4</v>
      </c>
      <c r="K736" s="15" t="n">
        <f aca="false">Raw_Data!K736</f>
        <v>153000</v>
      </c>
      <c r="L736" s="13" t="str">
        <f aca="false">PROPER(TRIM(Raw_Data!N736))</f>
        <v>No</v>
      </c>
      <c r="M736" s="13" t="n">
        <f aca="false">IF(C736="",0,1)</f>
        <v>0</v>
      </c>
      <c r="N736" s="13" t="str">
        <f aca="false">IF(M736=0,"Active",IF(TRIM(Raw_Data!L736)="","Unknown",PROPER(TRIM(Raw_Data!L736))))</f>
        <v>Active</v>
      </c>
      <c r="O736" s="13" t="str">
        <f aca="false">IF(M736=0,"",IF(TRIM(Raw_Data!M736)="","Not Recorded",TRIM(Raw_Data!M736)))</f>
        <v/>
      </c>
      <c r="P736" s="16" t="n">
        <f aca="false">ROUND((IF(C736="",AsOfDate,C736)-B736)/365.25,2)</f>
        <v>7.59</v>
      </c>
      <c r="Q736" s="13" t="str">
        <f aca="false">IF(D736="","Unknown",IF(D736&lt;25,"Under 25",IF(D736&lt;35,"25-34",IF(D736&lt;45,"35-44",IF(D736&lt;55,"45-54","55+")))))</f>
        <v>25-34</v>
      </c>
      <c r="R736" s="13" t="str">
        <f aca="false">IF(P736&lt;1,"0-1 yrs",IF(P736&lt;3,"1-3 yrs",IF(P736&lt;5,"3-5 yrs",IF(P736&lt;10,"5-10 yrs","10+ yrs"))))</f>
        <v>5-10 yrs</v>
      </c>
      <c r="S736" s="13" t="str">
        <f aca="false">IF(I736&gt;=4,"High",IF(I736=3,"Medium","Low"))</f>
        <v>Low</v>
      </c>
      <c r="T736" s="13" t="str">
        <f aca="false">IF(M736=1,YEAR(C736),"")</f>
        <v/>
      </c>
      <c r="U736" s="13" t="str">
        <f aca="false">IF(M736=1,YEAR(C736)&amp;"-Q"&amp;ROUNDUP(MONTH(C736)/3,0),"")</f>
        <v/>
      </c>
      <c r="V736" s="13" t="str">
        <f aca="false">IF(M736=1,MONTH(C736),"")</f>
        <v/>
      </c>
    </row>
    <row r="737" customFormat="false" ht="15" hidden="false" customHeight="false" outlineLevel="0" collapsed="false">
      <c r="A737" s="13" t="str">
        <f aca="false">TRIM(Raw_Data!A737)</f>
        <v>EMP0736</v>
      </c>
      <c r="B737" s="14" t="n">
        <f aca="false">Raw_Data!B737</f>
        <v>43252</v>
      </c>
      <c r="C737" s="14" t="n">
        <f aca="false">IF(Raw_Data!C737="","",Raw_Data!C737)</f>
        <v>44824</v>
      </c>
      <c r="D737" s="13" t="n">
        <f aca="false">IF(Raw_Data!D737="","",Raw_Data!D737)</f>
        <v>33</v>
      </c>
      <c r="E737" s="13" t="str">
        <f aca="false">IF(UPPER(LEFT(TRIM(Raw_Data!E737),1))="M","Male",IF(UPPER(LEFT(TRIM(Raw_Data!E737),1))="F","Female","Unknown"))</f>
        <v>Female</v>
      </c>
      <c r="F737" s="13" t="str">
        <f aca="false">PROPER(TRIM(SUBSTITUTE(Raw_Data!F737,"'","")))</f>
        <v>Bachelors</v>
      </c>
      <c r="G737" s="13" t="str">
        <f aca="false">PROPER(TRIM(Raw_Data!G737))</f>
        <v>Human Resources</v>
      </c>
      <c r="H737" s="13" t="str">
        <f aca="false">PROPER(TRIM(Raw_Data!H737))</f>
        <v>Senior Analyst</v>
      </c>
      <c r="I737" s="13" t="n">
        <f aca="false">IF(Raw_Data!I737="",DefaultPerf,Raw_Data!I737)</f>
        <v>3</v>
      </c>
      <c r="J737" s="13" t="n">
        <f aca="false">IF(Raw_Data!J737="",DefaultSat,Raw_Data!J737)</f>
        <v>3</v>
      </c>
      <c r="K737" s="15" t="n">
        <f aca="false">Raw_Data!K737</f>
        <v>91500</v>
      </c>
      <c r="L737" s="13" t="str">
        <f aca="false">PROPER(TRIM(Raw_Data!N737))</f>
        <v>No</v>
      </c>
      <c r="M737" s="13" t="n">
        <f aca="false">IF(C737="",0,1)</f>
        <v>1</v>
      </c>
      <c r="N737" s="13" t="str">
        <f aca="false">IF(M737=0,"Active",IF(TRIM(Raw_Data!L737)="","Unknown",PROPER(TRIM(Raw_Data!L737))))</f>
        <v>Voluntary</v>
      </c>
      <c r="O737" s="13" t="str">
        <f aca="false">IF(M737=0,"",IF(TRIM(Raw_Data!M737)="","Not Recorded",TRIM(Raw_Data!M737)))</f>
        <v>Better Compensation</v>
      </c>
      <c r="P737" s="16" t="n">
        <f aca="false">ROUND((IF(C737="",AsOfDate,C737)-B737)/365.25,2)</f>
        <v>4.3</v>
      </c>
      <c r="Q737" s="13" t="str">
        <f aca="false">IF(D737="","Unknown",IF(D737&lt;25,"Under 25",IF(D737&lt;35,"25-34",IF(D737&lt;45,"35-44",IF(D737&lt;55,"45-54","55+")))))</f>
        <v>25-34</v>
      </c>
      <c r="R737" s="13" t="str">
        <f aca="false">IF(P737&lt;1,"0-1 yrs",IF(P737&lt;3,"1-3 yrs",IF(P737&lt;5,"3-5 yrs",IF(P737&lt;10,"5-10 yrs","10+ yrs"))))</f>
        <v>3-5 yrs</v>
      </c>
      <c r="S737" s="13" t="str">
        <f aca="false">IF(I737&gt;=4,"High",IF(I737=3,"Medium","Low"))</f>
        <v>Medium</v>
      </c>
      <c r="T737" s="13" t="n">
        <f aca="false">IF(M737=1,YEAR(C737),"")</f>
        <v>2022</v>
      </c>
      <c r="U737" s="13" t="str">
        <f aca="false">IF(M737=1,YEAR(C737)&amp;"-Q"&amp;ROUNDUP(MONTH(C737)/3,0),"")</f>
        <v>2022-Q3</v>
      </c>
      <c r="V737" s="13" t="n">
        <f aca="false">IF(M737=1,MONTH(C737),"")</f>
        <v>9</v>
      </c>
    </row>
    <row r="738" customFormat="false" ht="15" hidden="false" customHeight="false" outlineLevel="0" collapsed="false">
      <c r="A738" s="13" t="str">
        <f aca="false">TRIM(Raw_Data!A738)</f>
        <v>EMP0737</v>
      </c>
      <c r="B738" s="14" t="n">
        <f aca="false">Raw_Data!B738</f>
        <v>43257</v>
      </c>
      <c r="C738" s="14" t="n">
        <f aca="false">IF(Raw_Data!C738="","",Raw_Data!C738)</f>
        <v>44700</v>
      </c>
      <c r="D738" s="13" t="n">
        <f aca="false">IF(Raw_Data!D738="","",Raw_Data!D738)</f>
        <v>27</v>
      </c>
      <c r="E738" s="13" t="str">
        <f aca="false">IF(UPPER(LEFT(TRIM(Raw_Data!E738),1))="M","Male",IF(UPPER(LEFT(TRIM(Raw_Data!E738),1))="F","Female","Unknown"))</f>
        <v>Male</v>
      </c>
      <c r="F738" s="13" t="str">
        <f aca="false">PROPER(TRIM(SUBSTITUTE(Raw_Data!F738,"'","")))</f>
        <v>Diploma</v>
      </c>
      <c r="G738" s="13" t="str">
        <f aca="false">PROPER(TRIM(Raw_Data!G738))</f>
        <v>Operations</v>
      </c>
      <c r="H738" s="13" t="str">
        <f aca="false">PROPER(TRIM(Raw_Data!H738))</f>
        <v>Associate</v>
      </c>
      <c r="I738" s="13" t="n">
        <f aca="false">IF(Raw_Data!I738="",DefaultPerf,Raw_Data!I738)</f>
        <v>5</v>
      </c>
      <c r="J738" s="13" t="n">
        <f aca="false">IF(Raw_Data!J738="",DefaultSat,Raw_Data!J738)</f>
        <v>1</v>
      </c>
      <c r="K738" s="15" t="n">
        <f aca="false">Raw_Data!K738</f>
        <v>44000</v>
      </c>
      <c r="L738" s="13" t="str">
        <f aca="false">PROPER(TRIM(Raw_Data!N738))</f>
        <v>No</v>
      </c>
      <c r="M738" s="13" t="n">
        <f aca="false">IF(C738="",0,1)</f>
        <v>1</v>
      </c>
      <c r="N738" s="13" t="str">
        <f aca="false">IF(M738=0,"Active",IF(TRIM(Raw_Data!L738)="","Unknown",PROPER(TRIM(Raw_Data!L738))))</f>
        <v>Involuntary</v>
      </c>
      <c r="O738" s="13" t="str">
        <f aca="false">IF(M738=0,"",IF(TRIM(Raw_Data!M738)="","Not Recorded",TRIM(Raw_Data!M738)))</f>
        <v>Not Recorded</v>
      </c>
      <c r="P738" s="16" t="n">
        <f aca="false">ROUND((IF(C738="",AsOfDate,C738)-B738)/365.25,2)</f>
        <v>3.95</v>
      </c>
      <c r="Q738" s="13" t="str">
        <f aca="false">IF(D738="","Unknown",IF(D738&lt;25,"Under 25",IF(D738&lt;35,"25-34",IF(D738&lt;45,"35-44",IF(D738&lt;55,"45-54","55+")))))</f>
        <v>25-34</v>
      </c>
      <c r="R738" s="13" t="str">
        <f aca="false">IF(P738&lt;1,"0-1 yrs",IF(P738&lt;3,"1-3 yrs",IF(P738&lt;5,"3-5 yrs",IF(P738&lt;10,"5-10 yrs","10+ yrs"))))</f>
        <v>3-5 yrs</v>
      </c>
      <c r="S738" s="13" t="str">
        <f aca="false">IF(I738&gt;=4,"High",IF(I738=3,"Medium","Low"))</f>
        <v>High</v>
      </c>
      <c r="T738" s="13" t="n">
        <f aca="false">IF(M738=1,YEAR(C738),"")</f>
        <v>2022</v>
      </c>
      <c r="U738" s="13" t="str">
        <f aca="false">IF(M738=1,YEAR(C738)&amp;"-Q"&amp;ROUNDUP(MONTH(C738)/3,0),"")</f>
        <v>2022-Q2</v>
      </c>
      <c r="V738" s="13" t="n">
        <f aca="false">IF(M738=1,MONTH(C738),"")</f>
        <v>5</v>
      </c>
    </row>
    <row r="739" customFormat="false" ht="15" hidden="false" customHeight="false" outlineLevel="0" collapsed="false">
      <c r="A739" s="13" t="str">
        <f aca="false">TRIM(Raw_Data!A739)</f>
        <v>EMP0738</v>
      </c>
      <c r="B739" s="14" t="n">
        <f aca="false">Raw_Data!B739</f>
        <v>43262</v>
      </c>
      <c r="C739" s="14" t="str">
        <f aca="false">IF(Raw_Data!C739="","",Raw_Data!C739)</f>
        <v/>
      </c>
      <c r="D739" s="13" t="n">
        <f aca="false">IF(Raw_Data!D739="","",Raw_Data!D739)</f>
        <v>37</v>
      </c>
      <c r="E739" s="13" t="str">
        <f aca="false">IF(UPPER(LEFT(TRIM(Raw_Data!E739),1))="M","Male",IF(UPPER(LEFT(TRIM(Raw_Data!E739),1))="F","Female","Unknown"))</f>
        <v>Female</v>
      </c>
      <c r="F739" s="13" t="str">
        <f aca="false">PROPER(TRIM(SUBSTITUTE(Raw_Data!F739,"'","")))</f>
        <v>Bachelors</v>
      </c>
      <c r="G739" s="13" t="str">
        <f aca="false">PROPER(TRIM(Raw_Data!G739))</f>
        <v>Engineering</v>
      </c>
      <c r="H739" s="13" t="str">
        <f aca="false">PROPER(TRIM(Raw_Data!H739))</f>
        <v>Team Lead</v>
      </c>
      <c r="I739" s="13" t="n">
        <f aca="false">IF(Raw_Data!I739="",DefaultPerf,Raw_Data!I739)</f>
        <v>3</v>
      </c>
      <c r="J739" s="13" t="n">
        <f aca="false">IF(Raw_Data!J739="",DefaultSat,Raw_Data!J739)</f>
        <v>2</v>
      </c>
      <c r="K739" s="15" t="n">
        <f aca="false">Raw_Data!K739</f>
        <v>163000</v>
      </c>
      <c r="L739" s="13" t="str">
        <f aca="false">PROPER(TRIM(Raw_Data!N739))</f>
        <v>Yes</v>
      </c>
      <c r="M739" s="13" t="n">
        <f aca="false">IF(C739="",0,1)</f>
        <v>0</v>
      </c>
      <c r="N739" s="13" t="str">
        <f aca="false">IF(M739=0,"Active",IF(TRIM(Raw_Data!L739)="","Unknown",PROPER(TRIM(Raw_Data!L739))))</f>
        <v>Active</v>
      </c>
      <c r="O739" s="13" t="str">
        <f aca="false">IF(M739=0,"",IF(TRIM(Raw_Data!M739)="","Not Recorded",TRIM(Raw_Data!M739)))</f>
        <v/>
      </c>
      <c r="P739" s="16" t="n">
        <f aca="false">ROUND((IF(C739="",AsOfDate,C739)-B739)/365.25,2)</f>
        <v>7.56</v>
      </c>
      <c r="Q739" s="13" t="str">
        <f aca="false">IF(D739="","Unknown",IF(D739&lt;25,"Under 25",IF(D739&lt;35,"25-34",IF(D739&lt;45,"35-44",IF(D739&lt;55,"45-54","55+")))))</f>
        <v>35-44</v>
      </c>
      <c r="R739" s="13" t="str">
        <f aca="false">IF(P739&lt;1,"0-1 yrs",IF(P739&lt;3,"1-3 yrs",IF(P739&lt;5,"3-5 yrs",IF(P739&lt;10,"5-10 yrs","10+ yrs"))))</f>
        <v>5-10 yrs</v>
      </c>
      <c r="S739" s="13" t="str">
        <f aca="false">IF(I739&gt;=4,"High",IF(I739=3,"Medium","Low"))</f>
        <v>Medium</v>
      </c>
      <c r="T739" s="13" t="str">
        <f aca="false">IF(M739=1,YEAR(C739),"")</f>
        <v/>
      </c>
      <c r="U739" s="13" t="str">
        <f aca="false">IF(M739=1,YEAR(C739)&amp;"-Q"&amp;ROUNDUP(MONTH(C739)/3,0),"")</f>
        <v/>
      </c>
      <c r="V739" s="13" t="str">
        <f aca="false">IF(M739=1,MONTH(C739),"")</f>
        <v/>
      </c>
    </row>
    <row r="740" customFormat="false" ht="15" hidden="false" customHeight="false" outlineLevel="0" collapsed="false">
      <c r="A740" s="13" t="str">
        <f aca="false">TRIM(Raw_Data!A740)</f>
        <v>EMP0739</v>
      </c>
      <c r="B740" s="14" t="n">
        <f aca="false">Raw_Data!B740</f>
        <v>43267</v>
      </c>
      <c r="C740" s="14" t="str">
        <f aca="false">IF(Raw_Data!C740="","",Raw_Data!C740)</f>
        <v/>
      </c>
      <c r="D740" s="13" t="n">
        <f aca="false">IF(Raw_Data!D740="","",Raw_Data!D740)</f>
        <v>29</v>
      </c>
      <c r="E740" s="13" t="str">
        <f aca="false">IF(UPPER(LEFT(TRIM(Raw_Data!E740),1))="M","Male",IF(UPPER(LEFT(TRIM(Raw_Data!E740),1))="F","Female","Unknown"))</f>
        <v>Female</v>
      </c>
      <c r="F740" s="13" t="str">
        <f aca="false">PROPER(TRIM(SUBSTITUTE(Raw_Data!F740,"'","")))</f>
        <v>Bachelors</v>
      </c>
      <c r="G740" s="13" t="str">
        <f aca="false">PROPER(TRIM(Raw_Data!G740))</f>
        <v>Customer Support</v>
      </c>
      <c r="H740" s="13" t="str">
        <f aca="false">PROPER(TRIM(Raw_Data!H740))</f>
        <v>Analyst</v>
      </c>
      <c r="I740" s="13" t="n">
        <f aca="false">IF(Raw_Data!I740="",DefaultPerf,Raw_Data!I740)</f>
        <v>3</v>
      </c>
      <c r="J740" s="13" t="n">
        <f aca="false">IF(Raw_Data!J740="",DefaultSat,Raw_Data!J740)</f>
        <v>4</v>
      </c>
      <c r="K740" s="15" t="n">
        <f aca="false">Raw_Data!K740</f>
        <v>74000</v>
      </c>
      <c r="L740" s="13" t="str">
        <f aca="false">PROPER(TRIM(Raw_Data!N740))</f>
        <v>No</v>
      </c>
      <c r="M740" s="13" t="n">
        <f aca="false">IF(C740="",0,1)</f>
        <v>0</v>
      </c>
      <c r="N740" s="13" t="str">
        <f aca="false">IF(M740=0,"Active",IF(TRIM(Raw_Data!L740)="","Unknown",PROPER(TRIM(Raw_Data!L740))))</f>
        <v>Active</v>
      </c>
      <c r="O740" s="13" t="str">
        <f aca="false">IF(M740=0,"",IF(TRIM(Raw_Data!M740)="","Not Recorded",TRIM(Raw_Data!M740)))</f>
        <v/>
      </c>
      <c r="P740" s="16" t="n">
        <f aca="false">ROUND((IF(C740="",AsOfDate,C740)-B740)/365.25,2)</f>
        <v>7.54</v>
      </c>
      <c r="Q740" s="13" t="str">
        <f aca="false">IF(D740="","Unknown",IF(D740&lt;25,"Under 25",IF(D740&lt;35,"25-34",IF(D740&lt;45,"35-44",IF(D740&lt;55,"45-54","55+")))))</f>
        <v>25-34</v>
      </c>
      <c r="R740" s="13" t="str">
        <f aca="false">IF(P740&lt;1,"0-1 yrs",IF(P740&lt;3,"1-3 yrs",IF(P740&lt;5,"3-5 yrs",IF(P740&lt;10,"5-10 yrs","10+ yrs"))))</f>
        <v>5-10 yrs</v>
      </c>
      <c r="S740" s="13" t="str">
        <f aca="false">IF(I740&gt;=4,"High",IF(I740=3,"Medium","Low"))</f>
        <v>Medium</v>
      </c>
      <c r="T740" s="13" t="str">
        <f aca="false">IF(M740=1,YEAR(C740),"")</f>
        <v/>
      </c>
      <c r="U740" s="13" t="str">
        <f aca="false">IF(M740=1,YEAR(C740)&amp;"-Q"&amp;ROUNDUP(MONTH(C740)/3,0),"")</f>
        <v/>
      </c>
      <c r="V740" s="13" t="str">
        <f aca="false">IF(M740=1,MONTH(C740),"")</f>
        <v/>
      </c>
    </row>
    <row r="741" customFormat="false" ht="15" hidden="false" customHeight="false" outlineLevel="0" collapsed="false">
      <c r="A741" s="13" t="str">
        <f aca="false">TRIM(Raw_Data!A741)</f>
        <v>EMP0740</v>
      </c>
      <c r="B741" s="14" t="n">
        <f aca="false">Raw_Data!B741</f>
        <v>43267</v>
      </c>
      <c r="C741" s="14" t="str">
        <f aca="false">IF(Raw_Data!C741="","",Raw_Data!C741)</f>
        <v/>
      </c>
      <c r="D741" s="13" t="n">
        <f aca="false">IF(Raw_Data!D741="","",Raw_Data!D741)</f>
        <v>36</v>
      </c>
      <c r="E741" s="13" t="str">
        <f aca="false">IF(UPPER(LEFT(TRIM(Raw_Data!E741),1))="M","Male",IF(UPPER(LEFT(TRIM(Raw_Data!E741),1))="F","Female","Unknown"))</f>
        <v>Male</v>
      </c>
      <c r="F741" s="13" t="str">
        <f aca="false">PROPER(TRIM(SUBSTITUTE(Raw_Data!F741,"'","")))</f>
        <v>Masters</v>
      </c>
      <c r="G741" s="13" t="str">
        <f aca="false">PROPER(TRIM(Raw_Data!G741))</f>
        <v>Operations</v>
      </c>
      <c r="H741" s="13" t="str">
        <f aca="false">PROPER(TRIM(Raw_Data!H741))</f>
        <v>Manager</v>
      </c>
      <c r="I741" s="13" t="n">
        <f aca="false">IF(Raw_Data!I741="",DefaultPerf,Raw_Data!I741)</f>
        <v>3</v>
      </c>
      <c r="J741" s="17" t="n">
        <f aca="false">IF(Raw_Data!J741="",DefaultSat,Raw_Data!J741)</f>
        <v>3</v>
      </c>
      <c r="K741" s="15" t="n">
        <f aca="false">Raw_Data!K741</f>
        <v>241500</v>
      </c>
      <c r="L741" s="13" t="str">
        <f aca="false">PROPER(TRIM(Raw_Data!N741))</f>
        <v>Yes</v>
      </c>
      <c r="M741" s="13" t="n">
        <f aca="false">IF(C741="",0,1)</f>
        <v>0</v>
      </c>
      <c r="N741" s="13" t="str">
        <f aca="false">IF(M741=0,"Active",IF(TRIM(Raw_Data!L741)="","Unknown",PROPER(TRIM(Raw_Data!L741))))</f>
        <v>Active</v>
      </c>
      <c r="O741" s="13" t="str">
        <f aca="false">IF(M741=0,"",IF(TRIM(Raw_Data!M741)="","Not Recorded",TRIM(Raw_Data!M741)))</f>
        <v/>
      </c>
      <c r="P741" s="16" t="n">
        <f aca="false">ROUND((IF(C741="",AsOfDate,C741)-B741)/365.25,2)</f>
        <v>7.54</v>
      </c>
      <c r="Q741" s="13" t="str">
        <f aca="false">IF(D741="","Unknown",IF(D741&lt;25,"Under 25",IF(D741&lt;35,"25-34",IF(D741&lt;45,"35-44",IF(D741&lt;55,"45-54","55+")))))</f>
        <v>35-44</v>
      </c>
      <c r="R741" s="13" t="str">
        <f aca="false">IF(P741&lt;1,"0-1 yrs",IF(P741&lt;3,"1-3 yrs",IF(P741&lt;5,"3-5 yrs",IF(P741&lt;10,"5-10 yrs","10+ yrs"))))</f>
        <v>5-10 yrs</v>
      </c>
      <c r="S741" s="13" t="str">
        <f aca="false">IF(I741&gt;=4,"High",IF(I741=3,"Medium","Low"))</f>
        <v>Medium</v>
      </c>
      <c r="T741" s="13" t="str">
        <f aca="false">IF(M741=1,YEAR(C741),"")</f>
        <v/>
      </c>
      <c r="U741" s="13" t="str">
        <f aca="false">IF(M741=1,YEAR(C741)&amp;"-Q"&amp;ROUNDUP(MONTH(C741)/3,0),"")</f>
        <v/>
      </c>
      <c r="V741" s="13" t="str">
        <f aca="false">IF(M741=1,MONTH(C741),"")</f>
        <v/>
      </c>
    </row>
    <row r="742" customFormat="false" ht="15" hidden="false" customHeight="false" outlineLevel="0" collapsed="false">
      <c r="A742" s="13" t="str">
        <f aca="false">TRIM(Raw_Data!A742)</f>
        <v>EMP0741</v>
      </c>
      <c r="B742" s="14" t="n">
        <f aca="false">Raw_Data!B742</f>
        <v>43269</v>
      </c>
      <c r="C742" s="14" t="str">
        <f aca="false">IF(Raw_Data!C742="","",Raw_Data!C742)</f>
        <v/>
      </c>
      <c r="D742" s="13" t="n">
        <f aca="false">IF(Raw_Data!D742="","",Raw_Data!D742)</f>
        <v>40</v>
      </c>
      <c r="E742" s="13" t="str">
        <f aca="false">IF(UPPER(LEFT(TRIM(Raw_Data!E742),1))="M","Male",IF(UPPER(LEFT(TRIM(Raw_Data!E742),1))="F","Female","Unknown"))</f>
        <v>Male</v>
      </c>
      <c r="F742" s="13" t="str">
        <f aca="false">PROPER(TRIM(SUBSTITUTE(Raw_Data!F742,"'","")))</f>
        <v>Bachelors</v>
      </c>
      <c r="G742" s="13" t="str">
        <f aca="false">PROPER(TRIM(Raw_Data!G742))</f>
        <v>Engineering</v>
      </c>
      <c r="H742" s="13" t="str">
        <f aca="false">PROPER(TRIM(Raw_Data!H742))</f>
        <v>Senior Analyst</v>
      </c>
      <c r="I742" s="13" t="n">
        <f aca="false">IF(Raw_Data!I742="",DefaultPerf,Raw_Data!I742)</f>
        <v>3</v>
      </c>
      <c r="J742" s="13" t="n">
        <f aca="false">IF(Raw_Data!J742="",DefaultSat,Raw_Data!J742)</f>
        <v>4</v>
      </c>
      <c r="K742" s="15" t="n">
        <f aca="false">Raw_Data!K742</f>
        <v>107500</v>
      </c>
      <c r="L742" s="13" t="str">
        <f aca="false">PROPER(TRIM(Raw_Data!N742))</f>
        <v>Yes</v>
      </c>
      <c r="M742" s="13" t="n">
        <f aca="false">IF(C742="",0,1)</f>
        <v>0</v>
      </c>
      <c r="N742" s="13" t="str">
        <f aca="false">IF(M742=0,"Active",IF(TRIM(Raw_Data!L742)="","Unknown",PROPER(TRIM(Raw_Data!L742))))</f>
        <v>Active</v>
      </c>
      <c r="O742" s="13" t="str">
        <f aca="false">IF(M742=0,"",IF(TRIM(Raw_Data!M742)="","Not Recorded",TRIM(Raw_Data!M742)))</f>
        <v/>
      </c>
      <c r="P742" s="16" t="n">
        <f aca="false">ROUND((IF(C742="",AsOfDate,C742)-B742)/365.25,2)</f>
        <v>7.54</v>
      </c>
      <c r="Q742" s="13" t="str">
        <f aca="false">IF(D742="","Unknown",IF(D742&lt;25,"Under 25",IF(D742&lt;35,"25-34",IF(D742&lt;45,"35-44",IF(D742&lt;55,"45-54","55+")))))</f>
        <v>35-44</v>
      </c>
      <c r="R742" s="13" t="str">
        <f aca="false">IF(P742&lt;1,"0-1 yrs",IF(P742&lt;3,"1-3 yrs",IF(P742&lt;5,"3-5 yrs",IF(P742&lt;10,"5-10 yrs","10+ yrs"))))</f>
        <v>5-10 yrs</v>
      </c>
      <c r="S742" s="13" t="str">
        <f aca="false">IF(I742&gt;=4,"High",IF(I742=3,"Medium","Low"))</f>
        <v>Medium</v>
      </c>
      <c r="T742" s="13" t="str">
        <f aca="false">IF(M742=1,YEAR(C742),"")</f>
        <v/>
      </c>
      <c r="U742" s="13" t="str">
        <f aca="false">IF(M742=1,YEAR(C742)&amp;"-Q"&amp;ROUNDUP(MONTH(C742)/3,0),"")</f>
        <v/>
      </c>
      <c r="V742" s="13" t="str">
        <f aca="false">IF(M742=1,MONTH(C742),"")</f>
        <v/>
      </c>
    </row>
    <row r="743" customFormat="false" ht="15" hidden="false" customHeight="false" outlineLevel="0" collapsed="false">
      <c r="A743" s="13" t="str">
        <f aca="false">TRIM(Raw_Data!A743)</f>
        <v>EMP0742</v>
      </c>
      <c r="B743" s="14" t="n">
        <f aca="false">Raw_Data!B743</f>
        <v>43270</v>
      </c>
      <c r="C743" s="14" t="n">
        <f aca="false">IF(Raw_Data!C743="","",Raw_Data!C743)</f>
        <v>44620</v>
      </c>
      <c r="D743" s="13" t="n">
        <f aca="false">IF(Raw_Data!D743="","",Raw_Data!D743)</f>
        <v>25</v>
      </c>
      <c r="E743" s="13" t="str">
        <f aca="false">IF(UPPER(LEFT(TRIM(Raw_Data!E743),1))="M","Male",IF(UPPER(LEFT(TRIM(Raw_Data!E743),1))="F","Female","Unknown"))</f>
        <v>Male</v>
      </c>
      <c r="F743" s="13" t="str">
        <f aca="false">PROPER(TRIM(SUBSTITUTE(Raw_Data!F743,"'","")))</f>
        <v>Bachelors</v>
      </c>
      <c r="G743" s="13" t="str">
        <f aca="false">PROPER(TRIM(Raw_Data!G743))</f>
        <v>Engineering</v>
      </c>
      <c r="H743" s="13" t="str">
        <f aca="false">PROPER(TRIM(Raw_Data!H743))</f>
        <v>Associate</v>
      </c>
      <c r="I743" s="13" t="n">
        <f aca="false">IF(Raw_Data!I743="",DefaultPerf,Raw_Data!I743)</f>
        <v>4</v>
      </c>
      <c r="J743" s="13" t="n">
        <f aca="false">IF(Raw_Data!J743="",DefaultSat,Raw_Data!J743)</f>
        <v>4</v>
      </c>
      <c r="K743" s="15" t="n">
        <f aca="false">Raw_Data!K743</f>
        <v>39500</v>
      </c>
      <c r="L743" s="13" t="str">
        <f aca="false">PROPER(TRIM(Raw_Data!N743))</f>
        <v>Yes</v>
      </c>
      <c r="M743" s="13" t="n">
        <f aca="false">IF(C743="",0,1)</f>
        <v>1</v>
      </c>
      <c r="N743" s="13" t="str">
        <f aca="false">IF(M743=0,"Active",IF(TRIM(Raw_Data!L743)="","Unknown",PROPER(TRIM(Raw_Data!L743))))</f>
        <v>Voluntary</v>
      </c>
      <c r="O743" s="13" t="str">
        <f aca="false">IF(M743=0,"",IF(TRIM(Raw_Data!M743)="","Not Recorded",TRIM(Raw_Data!M743)))</f>
        <v>Better Compensation</v>
      </c>
      <c r="P743" s="16" t="n">
        <f aca="false">ROUND((IF(C743="",AsOfDate,C743)-B743)/365.25,2)</f>
        <v>3.7</v>
      </c>
      <c r="Q743" s="13" t="str">
        <f aca="false">IF(D743="","Unknown",IF(D743&lt;25,"Under 25",IF(D743&lt;35,"25-34",IF(D743&lt;45,"35-44",IF(D743&lt;55,"45-54","55+")))))</f>
        <v>25-34</v>
      </c>
      <c r="R743" s="13" t="str">
        <f aca="false">IF(P743&lt;1,"0-1 yrs",IF(P743&lt;3,"1-3 yrs",IF(P743&lt;5,"3-5 yrs",IF(P743&lt;10,"5-10 yrs","10+ yrs"))))</f>
        <v>3-5 yrs</v>
      </c>
      <c r="S743" s="13" t="str">
        <f aca="false">IF(I743&gt;=4,"High",IF(I743=3,"Medium","Low"))</f>
        <v>High</v>
      </c>
      <c r="T743" s="13" t="n">
        <f aca="false">IF(M743=1,YEAR(C743),"")</f>
        <v>2022</v>
      </c>
      <c r="U743" s="13" t="str">
        <f aca="false">IF(M743=1,YEAR(C743)&amp;"-Q"&amp;ROUNDUP(MONTH(C743)/3,0),"")</f>
        <v>2022-Q1</v>
      </c>
      <c r="V743" s="13" t="n">
        <f aca="false">IF(M743=1,MONTH(C743),"")</f>
        <v>2</v>
      </c>
    </row>
    <row r="744" customFormat="false" ht="15" hidden="false" customHeight="false" outlineLevel="0" collapsed="false">
      <c r="A744" s="13" t="str">
        <f aca="false">TRIM(Raw_Data!A744)</f>
        <v>EMP0743</v>
      </c>
      <c r="B744" s="14" t="n">
        <f aca="false">Raw_Data!B744</f>
        <v>43270</v>
      </c>
      <c r="C744" s="14" t="str">
        <f aca="false">IF(Raw_Data!C744="","",Raw_Data!C744)</f>
        <v/>
      </c>
      <c r="D744" s="13" t="n">
        <f aca="false">IF(Raw_Data!D744="","",Raw_Data!D744)</f>
        <v>35</v>
      </c>
      <c r="E744" s="13" t="str">
        <f aca="false">IF(UPPER(LEFT(TRIM(Raw_Data!E744),1))="M","Male",IF(UPPER(LEFT(TRIM(Raw_Data!E744),1))="F","Female","Unknown"))</f>
        <v>Female</v>
      </c>
      <c r="F744" s="13" t="str">
        <f aca="false">PROPER(TRIM(SUBSTITUTE(Raw_Data!F744,"'","")))</f>
        <v>Masters</v>
      </c>
      <c r="G744" s="13" t="str">
        <f aca="false">PROPER(TRIM(Raw_Data!G744))</f>
        <v>Sales</v>
      </c>
      <c r="H744" s="13" t="str">
        <f aca="false">PROPER(TRIM(Raw_Data!H744))</f>
        <v>Analyst</v>
      </c>
      <c r="I744" s="13" t="n">
        <f aca="false">IF(Raw_Data!I744="",DefaultPerf,Raw_Data!I744)</f>
        <v>3</v>
      </c>
      <c r="J744" s="13" t="n">
        <f aca="false">IF(Raw_Data!J744="",DefaultSat,Raw_Data!J744)</f>
        <v>3</v>
      </c>
      <c r="K744" s="15" t="n">
        <f aca="false">Raw_Data!K744</f>
        <v>80000</v>
      </c>
      <c r="L744" s="13" t="str">
        <f aca="false">PROPER(TRIM(Raw_Data!N744))</f>
        <v>Yes</v>
      </c>
      <c r="M744" s="13" t="n">
        <f aca="false">IF(C744="",0,1)</f>
        <v>0</v>
      </c>
      <c r="N744" s="13" t="str">
        <f aca="false">IF(M744=0,"Active",IF(TRIM(Raw_Data!L744)="","Unknown",PROPER(TRIM(Raw_Data!L744))))</f>
        <v>Active</v>
      </c>
      <c r="O744" s="13" t="str">
        <f aca="false">IF(M744=0,"",IF(TRIM(Raw_Data!M744)="","Not Recorded",TRIM(Raw_Data!M744)))</f>
        <v/>
      </c>
      <c r="P744" s="16" t="n">
        <f aca="false">ROUND((IF(C744="",AsOfDate,C744)-B744)/365.25,2)</f>
        <v>7.53</v>
      </c>
      <c r="Q744" s="13" t="str">
        <f aca="false">IF(D744="","Unknown",IF(D744&lt;25,"Under 25",IF(D744&lt;35,"25-34",IF(D744&lt;45,"35-44",IF(D744&lt;55,"45-54","55+")))))</f>
        <v>35-44</v>
      </c>
      <c r="R744" s="13" t="str">
        <f aca="false">IF(P744&lt;1,"0-1 yrs",IF(P744&lt;3,"1-3 yrs",IF(P744&lt;5,"3-5 yrs",IF(P744&lt;10,"5-10 yrs","10+ yrs"))))</f>
        <v>5-10 yrs</v>
      </c>
      <c r="S744" s="13" t="str">
        <f aca="false">IF(I744&gt;=4,"High",IF(I744=3,"Medium","Low"))</f>
        <v>Medium</v>
      </c>
      <c r="T744" s="13" t="str">
        <f aca="false">IF(M744=1,YEAR(C744),"")</f>
        <v/>
      </c>
      <c r="U744" s="13" t="str">
        <f aca="false">IF(M744=1,YEAR(C744)&amp;"-Q"&amp;ROUNDUP(MONTH(C744)/3,0),"")</f>
        <v/>
      </c>
      <c r="V744" s="13" t="str">
        <f aca="false">IF(M744=1,MONTH(C744),"")</f>
        <v/>
      </c>
    </row>
    <row r="745" customFormat="false" ht="15" hidden="false" customHeight="false" outlineLevel="0" collapsed="false">
      <c r="A745" s="13" t="str">
        <f aca="false">TRIM(Raw_Data!A745)</f>
        <v>EMP0744</v>
      </c>
      <c r="B745" s="14" t="n">
        <f aca="false">Raw_Data!B745</f>
        <v>43271</v>
      </c>
      <c r="C745" s="14" t="n">
        <f aca="false">IF(Raw_Data!C745="","",Raw_Data!C745)</f>
        <v>44583</v>
      </c>
      <c r="D745" s="13" t="n">
        <f aca="false">IF(Raw_Data!D745="","",Raw_Data!D745)</f>
        <v>27</v>
      </c>
      <c r="E745" s="13" t="str">
        <f aca="false">IF(UPPER(LEFT(TRIM(Raw_Data!E745),1))="M","Male",IF(UPPER(LEFT(TRIM(Raw_Data!E745),1))="F","Female","Unknown"))</f>
        <v>Male</v>
      </c>
      <c r="F745" s="13" t="str">
        <f aca="false">PROPER(TRIM(SUBSTITUTE(Raw_Data!F745,"'","")))</f>
        <v>Bachelors</v>
      </c>
      <c r="G745" s="13" t="str">
        <f aca="false">PROPER(TRIM(Raw_Data!G745))</f>
        <v>Finance</v>
      </c>
      <c r="H745" s="13" t="str">
        <f aca="false">PROPER(TRIM(Raw_Data!H745))</f>
        <v>Senior Analyst</v>
      </c>
      <c r="I745" s="13" t="n">
        <f aca="false">IF(Raw_Data!I745="",DefaultPerf,Raw_Data!I745)</f>
        <v>3</v>
      </c>
      <c r="J745" s="13" t="n">
        <f aca="false">IF(Raw_Data!J745="",DefaultSat,Raw_Data!J745)</f>
        <v>3</v>
      </c>
      <c r="K745" s="15" t="n">
        <f aca="false">Raw_Data!K745</f>
        <v>88000</v>
      </c>
      <c r="L745" s="13" t="str">
        <f aca="false">PROPER(TRIM(Raw_Data!N745))</f>
        <v>Yes</v>
      </c>
      <c r="M745" s="13" t="n">
        <f aca="false">IF(C745="",0,1)</f>
        <v>1</v>
      </c>
      <c r="N745" s="13" t="str">
        <f aca="false">IF(M745=0,"Active",IF(TRIM(Raw_Data!L745)="","Unknown",PROPER(TRIM(Raw_Data!L745))))</f>
        <v>Voluntary</v>
      </c>
      <c r="O745" s="13" t="str">
        <f aca="false">IF(M745=0,"",IF(TRIM(Raw_Data!M745)="","Not Recorded",TRIM(Raw_Data!M745)))</f>
        <v>Better Compensation</v>
      </c>
      <c r="P745" s="16" t="n">
        <f aca="false">ROUND((IF(C745="",AsOfDate,C745)-B745)/365.25,2)</f>
        <v>3.59</v>
      </c>
      <c r="Q745" s="13" t="str">
        <f aca="false">IF(D745="","Unknown",IF(D745&lt;25,"Under 25",IF(D745&lt;35,"25-34",IF(D745&lt;45,"35-44",IF(D745&lt;55,"45-54","55+")))))</f>
        <v>25-34</v>
      </c>
      <c r="R745" s="13" t="str">
        <f aca="false">IF(P745&lt;1,"0-1 yrs",IF(P745&lt;3,"1-3 yrs",IF(P745&lt;5,"3-5 yrs",IF(P745&lt;10,"5-10 yrs","10+ yrs"))))</f>
        <v>3-5 yrs</v>
      </c>
      <c r="S745" s="13" t="str">
        <f aca="false">IF(I745&gt;=4,"High",IF(I745=3,"Medium","Low"))</f>
        <v>Medium</v>
      </c>
      <c r="T745" s="13" t="n">
        <f aca="false">IF(M745=1,YEAR(C745),"")</f>
        <v>2022</v>
      </c>
      <c r="U745" s="13" t="str">
        <f aca="false">IF(M745=1,YEAR(C745)&amp;"-Q"&amp;ROUNDUP(MONTH(C745)/3,0),"")</f>
        <v>2022-Q1</v>
      </c>
      <c r="V745" s="13" t="n">
        <f aca="false">IF(M745=1,MONTH(C745),"")</f>
        <v>1</v>
      </c>
    </row>
    <row r="746" customFormat="false" ht="15" hidden="false" customHeight="false" outlineLevel="0" collapsed="false">
      <c r="A746" s="13" t="str">
        <f aca="false">TRIM(Raw_Data!A746)</f>
        <v>EMP0745</v>
      </c>
      <c r="B746" s="14" t="n">
        <f aca="false">Raw_Data!B746</f>
        <v>43274</v>
      </c>
      <c r="C746" s="14" t="str">
        <f aca="false">IF(Raw_Data!C746="","",Raw_Data!C746)</f>
        <v/>
      </c>
      <c r="D746" s="13" t="n">
        <f aca="false">IF(Raw_Data!D746="","",Raw_Data!D746)</f>
        <v>34</v>
      </c>
      <c r="E746" s="13" t="str">
        <f aca="false">IF(UPPER(LEFT(TRIM(Raw_Data!E746),1))="M","Male",IF(UPPER(LEFT(TRIM(Raw_Data!E746),1))="F","Female","Unknown"))</f>
        <v>Male</v>
      </c>
      <c r="F746" s="13" t="str">
        <f aca="false">PROPER(TRIM(SUBSTITUTE(Raw_Data!F746,"'","")))</f>
        <v>High School</v>
      </c>
      <c r="G746" s="13" t="str">
        <f aca="false">PROPER(TRIM(Raw_Data!G746))</f>
        <v>Finance</v>
      </c>
      <c r="H746" s="13" t="str">
        <f aca="false">PROPER(TRIM(Raw_Data!H746))</f>
        <v>Analyst</v>
      </c>
      <c r="I746" s="13" t="n">
        <f aca="false">IF(Raw_Data!I746="",DefaultPerf,Raw_Data!I746)</f>
        <v>3</v>
      </c>
      <c r="J746" s="13" t="n">
        <f aca="false">IF(Raw_Data!J746="",DefaultSat,Raw_Data!J746)</f>
        <v>2</v>
      </c>
      <c r="K746" s="15" t="n">
        <f aca="false">Raw_Data!K746</f>
        <v>71500</v>
      </c>
      <c r="L746" s="13" t="str">
        <f aca="false">PROPER(TRIM(Raw_Data!N746))</f>
        <v>No</v>
      </c>
      <c r="M746" s="13" t="n">
        <f aca="false">IF(C746="",0,1)</f>
        <v>0</v>
      </c>
      <c r="N746" s="13" t="str">
        <f aca="false">IF(M746=0,"Active",IF(TRIM(Raw_Data!L746)="","Unknown",PROPER(TRIM(Raw_Data!L746))))</f>
        <v>Active</v>
      </c>
      <c r="O746" s="13" t="str">
        <f aca="false">IF(M746=0,"",IF(TRIM(Raw_Data!M746)="","Not Recorded",TRIM(Raw_Data!M746)))</f>
        <v/>
      </c>
      <c r="P746" s="16" t="n">
        <f aca="false">ROUND((IF(C746="",AsOfDate,C746)-B746)/365.25,2)</f>
        <v>7.52</v>
      </c>
      <c r="Q746" s="13" t="str">
        <f aca="false">IF(D746="","Unknown",IF(D746&lt;25,"Under 25",IF(D746&lt;35,"25-34",IF(D746&lt;45,"35-44",IF(D746&lt;55,"45-54","55+")))))</f>
        <v>25-34</v>
      </c>
      <c r="R746" s="13" t="str">
        <f aca="false">IF(P746&lt;1,"0-1 yrs",IF(P746&lt;3,"1-3 yrs",IF(P746&lt;5,"3-5 yrs",IF(P746&lt;10,"5-10 yrs","10+ yrs"))))</f>
        <v>5-10 yrs</v>
      </c>
      <c r="S746" s="13" t="str">
        <f aca="false">IF(I746&gt;=4,"High",IF(I746=3,"Medium","Low"))</f>
        <v>Medium</v>
      </c>
      <c r="T746" s="13" t="str">
        <f aca="false">IF(M746=1,YEAR(C746),"")</f>
        <v/>
      </c>
      <c r="U746" s="13" t="str">
        <f aca="false">IF(M746=1,YEAR(C746)&amp;"-Q"&amp;ROUNDUP(MONTH(C746)/3,0),"")</f>
        <v/>
      </c>
      <c r="V746" s="13" t="str">
        <f aca="false">IF(M746=1,MONTH(C746),"")</f>
        <v/>
      </c>
    </row>
    <row r="747" customFormat="false" ht="15" hidden="false" customHeight="false" outlineLevel="0" collapsed="false">
      <c r="A747" s="13" t="str">
        <f aca="false">TRIM(Raw_Data!A747)</f>
        <v>EMP0746</v>
      </c>
      <c r="B747" s="14" t="n">
        <f aca="false">Raw_Data!B747</f>
        <v>43275</v>
      </c>
      <c r="C747" s="14" t="n">
        <f aca="false">IF(Raw_Data!C747="","",Raw_Data!C747)</f>
        <v>44695</v>
      </c>
      <c r="D747" s="13" t="n">
        <f aca="false">IF(Raw_Data!D747="","",Raw_Data!D747)</f>
        <v>29</v>
      </c>
      <c r="E747" s="13" t="str">
        <f aca="false">IF(UPPER(LEFT(TRIM(Raw_Data!E747),1))="M","Male",IF(UPPER(LEFT(TRIM(Raw_Data!E747),1))="F","Female","Unknown"))</f>
        <v>Male</v>
      </c>
      <c r="F747" s="13" t="str">
        <f aca="false">PROPER(TRIM(SUBSTITUTE(Raw_Data!F747,"'","")))</f>
        <v>Masters</v>
      </c>
      <c r="G747" s="13" t="str">
        <f aca="false">PROPER(TRIM(Raw_Data!G747))</f>
        <v>Sales</v>
      </c>
      <c r="H747" s="13" t="str">
        <f aca="false">PROPER(TRIM(Raw_Data!H747))</f>
        <v>Senior Analyst</v>
      </c>
      <c r="I747" s="13" t="n">
        <f aca="false">IF(Raw_Data!I747="",DefaultPerf,Raw_Data!I747)</f>
        <v>4</v>
      </c>
      <c r="J747" s="13" t="n">
        <f aca="false">IF(Raw_Data!J747="",DefaultSat,Raw_Data!J747)</f>
        <v>2</v>
      </c>
      <c r="K747" s="15" t="n">
        <f aca="false">Raw_Data!K747</f>
        <v>83000</v>
      </c>
      <c r="L747" s="13" t="str">
        <f aca="false">PROPER(TRIM(Raw_Data!N747))</f>
        <v>No</v>
      </c>
      <c r="M747" s="13" t="n">
        <f aca="false">IF(C747="",0,1)</f>
        <v>1</v>
      </c>
      <c r="N747" s="13" t="str">
        <f aca="false">IF(M747=0,"Active",IF(TRIM(Raw_Data!L747)="","Unknown",PROPER(TRIM(Raw_Data!L747))))</f>
        <v>Voluntary</v>
      </c>
      <c r="O747" s="13" t="str">
        <f aca="false">IF(M747=0,"",IF(TRIM(Raw_Data!M747)="","Not Recorded",TRIM(Raw_Data!M747)))</f>
        <v>Further Studies</v>
      </c>
      <c r="P747" s="16" t="n">
        <f aca="false">ROUND((IF(C747="",AsOfDate,C747)-B747)/365.25,2)</f>
        <v>3.89</v>
      </c>
      <c r="Q747" s="13" t="str">
        <f aca="false">IF(D747="","Unknown",IF(D747&lt;25,"Under 25",IF(D747&lt;35,"25-34",IF(D747&lt;45,"35-44",IF(D747&lt;55,"45-54","55+")))))</f>
        <v>25-34</v>
      </c>
      <c r="R747" s="13" t="str">
        <f aca="false">IF(P747&lt;1,"0-1 yrs",IF(P747&lt;3,"1-3 yrs",IF(P747&lt;5,"3-5 yrs",IF(P747&lt;10,"5-10 yrs","10+ yrs"))))</f>
        <v>3-5 yrs</v>
      </c>
      <c r="S747" s="13" t="str">
        <f aca="false">IF(I747&gt;=4,"High",IF(I747=3,"Medium","Low"))</f>
        <v>High</v>
      </c>
      <c r="T747" s="13" t="n">
        <f aca="false">IF(M747=1,YEAR(C747),"")</f>
        <v>2022</v>
      </c>
      <c r="U747" s="13" t="str">
        <f aca="false">IF(M747=1,YEAR(C747)&amp;"-Q"&amp;ROUNDUP(MONTH(C747)/3,0),"")</f>
        <v>2022-Q2</v>
      </c>
      <c r="V747" s="13" t="n">
        <f aca="false">IF(M747=1,MONTH(C747),"")</f>
        <v>5</v>
      </c>
    </row>
    <row r="748" customFormat="false" ht="15" hidden="false" customHeight="false" outlineLevel="0" collapsed="false">
      <c r="A748" s="13" t="str">
        <f aca="false">TRIM(Raw_Data!A748)</f>
        <v>EMP0747</v>
      </c>
      <c r="B748" s="14" t="n">
        <f aca="false">Raw_Data!B748</f>
        <v>43283</v>
      </c>
      <c r="C748" s="14" t="n">
        <f aca="false">IF(Raw_Data!C748="","",Raw_Data!C748)</f>
        <v>45218</v>
      </c>
      <c r="D748" s="13" t="n">
        <f aca="false">IF(Raw_Data!D748="","",Raw_Data!D748)</f>
        <v>38</v>
      </c>
      <c r="E748" s="13" t="str">
        <f aca="false">IF(UPPER(LEFT(TRIM(Raw_Data!E748),1))="M","Male",IF(UPPER(LEFT(TRIM(Raw_Data!E748),1))="F","Female","Unknown"))</f>
        <v>Female</v>
      </c>
      <c r="F748" s="13" t="str">
        <f aca="false">PROPER(TRIM(SUBSTITUTE(Raw_Data!F748,"'","")))</f>
        <v>Diploma</v>
      </c>
      <c r="G748" s="13" t="str">
        <f aca="false">PROPER(TRIM(Raw_Data!G748))</f>
        <v>Finance</v>
      </c>
      <c r="H748" s="13" t="str">
        <f aca="false">PROPER(TRIM(Raw_Data!H748))</f>
        <v>Associate</v>
      </c>
      <c r="I748" s="13" t="n">
        <f aca="false">IF(Raw_Data!I748="",DefaultPerf,Raw_Data!I748)</f>
        <v>3</v>
      </c>
      <c r="J748" s="13" t="n">
        <f aca="false">IF(Raw_Data!J748="",DefaultSat,Raw_Data!J748)</f>
        <v>1</v>
      </c>
      <c r="K748" s="15" t="n">
        <f aca="false">Raw_Data!K748</f>
        <v>42000</v>
      </c>
      <c r="L748" s="13" t="str">
        <f aca="false">PROPER(TRIM(Raw_Data!N748))</f>
        <v>Yes</v>
      </c>
      <c r="M748" s="13" t="n">
        <f aca="false">IF(C748="",0,1)</f>
        <v>1</v>
      </c>
      <c r="N748" s="13" t="str">
        <f aca="false">IF(M748=0,"Active",IF(TRIM(Raw_Data!L748)="","Unknown",PROPER(TRIM(Raw_Data!L748))))</f>
        <v>Voluntary</v>
      </c>
      <c r="O748" s="13" t="str">
        <f aca="false">IF(M748=0,"",IF(TRIM(Raw_Data!M748)="","Not Recorded",TRIM(Raw_Data!M748)))</f>
        <v>Career Growth</v>
      </c>
      <c r="P748" s="16" t="n">
        <f aca="false">ROUND((IF(C748="",AsOfDate,C748)-B748)/365.25,2)</f>
        <v>5.3</v>
      </c>
      <c r="Q748" s="13" t="str">
        <f aca="false">IF(D748="","Unknown",IF(D748&lt;25,"Under 25",IF(D748&lt;35,"25-34",IF(D748&lt;45,"35-44",IF(D748&lt;55,"45-54","55+")))))</f>
        <v>35-44</v>
      </c>
      <c r="R748" s="13" t="str">
        <f aca="false">IF(P748&lt;1,"0-1 yrs",IF(P748&lt;3,"1-3 yrs",IF(P748&lt;5,"3-5 yrs",IF(P748&lt;10,"5-10 yrs","10+ yrs"))))</f>
        <v>5-10 yrs</v>
      </c>
      <c r="S748" s="13" t="str">
        <f aca="false">IF(I748&gt;=4,"High",IF(I748=3,"Medium","Low"))</f>
        <v>Medium</v>
      </c>
      <c r="T748" s="13" t="n">
        <f aca="false">IF(M748=1,YEAR(C748),"")</f>
        <v>2023</v>
      </c>
      <c r="U748" s="13" t="str">
        <f aca="false">IF(M748=1,YEAR(C748)&amp;"-Q"&amp;ROUNDUP(MONTH(C748)/3,0),"")</f>
        <v>2023-Q4</v>
      </c>
      <c r="V748" s="13" t="n">
        <f aca="false">IF(M748=1,MONTH(C748),"")</f>
        <v>10</v>
      </c>
    </row>
    <row r="749" customFormat="false" ht="15" hidden="false" customHeight="false" outlineLevel="0" collapsed="false">
      <c r="A749" s="13" t="str">
        <f aca="false">TRIM(Raw_Data!A749)</f>
        <v>EMP0748</v>
      </c>
      <c r="B749" s="14" t="n">
        <f aca="false">Raw_Data!B749</f>
        <v>43289</v>
      </c>
      <c r="C749" s="14" t="str">
        <f aca="false">IF(Raw_Data!C749="","",Raw_Data!C749)</f>
        <v/>
      </c>
      <c r="D749" s="13" t="n">
        <f aca="false">IF(Raw_Data!D749="","",Raw_Data!D749)</f>
        <v>46</v>
      </c>
      <c r="E749" s="13" t="str">
        <f aca="false">IF(UPPER(LEFT(TRIM(Raw_Data!E749),1))="M","Male",IF(UPPER(LEFT(TRIM(Raw_Data!E749),1))="F","Female","Unknown"))</f>
        <v>Male</v>
      </c>
      <c r="F749" s="13" t="str">
        <f aca="false">PROPER(TRIM(SUBSTITUTE(Raw_Data!F749,"'","")))</f>
        <v>High School</v>
      </c>
      <c r="G749" s="13" t="str">
        <f aca="false">PROPER(TRIM(Raw_Data!G749))</f>
        <v>Engineering</v>
      </c>
      <c r="H749" s="13" t="str">
        <f aca="false">PROPER(TRIM(Raw_Data!H749))</f>
        <v>Associate</v>
      </c>
      <c r="I749" s="13" t="n">
        <f aca="false">IF(Raw_Data!I749="",DefaultPerf,Raw_Data!I749)</f>
        <v>3</v>
      </c>
      <c r="J749" s="13" t="n">
        <f aca="false">IF(Raw_Data!J749="",DefaultSat,Raw_Data!J749)</f>
        <v>3</v>
      </c>
      <c r="K749" s="15" t="n">
        <f aca="false">Raw_Data!K749</f>
        <v>53000</v>
      </c>
      <c r="L749" s="13" t="str">
        <f aca="false">PROPER(TRIM(Raw_Data!N749))</f>
        <v>No</v>
      </c>
      <c r="M749" s="13" t="n">
        <f aca="false">IF(C749="",0,1)</f>
        <v>0</v>
      </c>
      <c r="N749" s="13" t="str">
        <f aca="false">IF(M749=0,"Active",IF(TRIM(Raw_Data!L749)="","Unknown",PROPER(TRIM(Raw_Data!L749))))</f>
        <v>Active</v>
      </c>
      <c r="O749" s="13" t="str">
        <f aca="false">IF(M749=0,"",IF(TRIM(Raw_Data!M749)="","Not Recorded",TRIM(Raw_Data!M749)))</f>
        <v/>
      </c>
      <c r="P749" s="16" t="n">
        <f aca="false">ROUND((IF(C749="",AsOfDate,C749)-B749)/365.25,2)</f>
        <v>7.48</v>
      </c>
      <c r="Q749" s="13" t="str">
        <f aca="false">IF(D749="","Unknown",IF(D749&lt;25,"Under 25",IF(D749&lt;35,"25-34",IF(D749&lt;45,"35-44",IF(D749&lt;55,"45-54","55+")))))</f>
        <v>45-54</v>
      </c>
      <c r="R749" s="13" t="str">
        <f aca="false">IF(P749&lt;1,"0-1 yrs",IF(P749&lt;3,"1-3 yrs",IF(P749&lt;5,"3-5 yrs",IF(P749&lt;10,"5-10 yrs","10+ yrs"))))</f>
        <v>5-10 yrs</v>
      </c>
      <c r="S749" s="13" t="str">
        <f aca="false">IF(I749&gt;=4,"High",IF(I749=3,"Medium","Low"))</f>
        <v>Medium</v>
      </c>
      <c r="T749" s="13" t="str">
        <f aca="false">IF(M749=1,YEAR(C749),"")</f>
        <v/>
      </c>
      <c r="U749" s="13" t="str">
        <f aca="false">IF(M749=1,YEAR(C749)&amp;"-Q"&amp;ROUNDUP(MONTH(C749)/3,0),"")</f>
        <v/>
      </c>
      <c r="V749" s="13" t="str">
        <f aca="false">IF(M749=1,MONTH(C749),"")</f>
        <v/>
      </c>
    </row>
    <row r="750" customFormat="false" ht="15" hidden="false" customHeight="false" outlineLevel="0" collapsed="false">
      <c r="A750" s="13" t="str">
        <f aca="false">TRIM(Raw_Data!A750)</f>
        <v>EMP0749</v>
      </c>
      <c r="B750" s="14" t="n">
        <f aca="false">Raw_Data!B750</f>
        <v>43293</v>
      </c>
      <c r="C750" s="14" t="n">
        <f aca="false">IF(Raw_Data!C750="","",Raw_Data!C750)</f>
        <v>44706</v>
      </c>
      <c r="D750" s="13" t="n">
        <f aca="false">IF(Raw_Data!D750="","",Raw_Data!D750)</f>
        <v>35</v>
      </c>
      <c r="E750" s="13" t="str">
        <f aca="false">IF(UPPER(LEFT(TRIM(Raw_Data!E750),1))="M","Male",IF(UPPER(LEFT(TRIM(Raw_Data!E750),1))="F","Female","Unknown"))</f>
        <v>Male</v>
      </c>
      <c r="F750" s="13" t="str">
        <f aca="false">PROPER(TRIM(SUBSTITUTE(Raw_Data!F750,"'","")))</f>
        <v>Bachelors</v>
      </c>
      <c r="G750" s="13" t="str">
        <f aca="false">PROPER(TRIM(Raw_Data!G750))</f>
        <v>Customer Support</v>
      </c>
      <c r="H750" s="13" t="str">
        <f aca="false">PROPER(TRIM(Raw_Data!H750))</f>
        <v>Associate</v>
      </c>
      <c r="I750" s="13" t="n">
        <f aca="false">IF(Raw_Data!I750="",DefaultPerf,Raw_Data!I750)</f>
        <v>3</v>
      </c>
      <c r="J750" s="13" t="n">
        <f aca="false">IF(Raw_Data!J750="",DefaultSat,Raw_Data!J750)</f>
        <v>1</v>
      </c>
      <c r="K750" s="15" t="n">
        <f aca="false">Raw_Data!K750</f>
        <v>36500</v>
      </c>
      <c r="L750" s="13" t="str">
        <f aca="false">PROPER(TRIM(Raw_Data!N750))</f>
        <v>Yes</v>
      </c>
      <c r="M750" s="13" t="n">
        <f aca="false">IF(C750="",0,1)</f>
        <v>1</v>
      </c>
      <c r="N750" s="13" t="str">
        <f aca="false">IF(M750=0,"Active",IF(TRIM(Raw_Data!L750)="","Unknown",PROPER(TRIM(Raw_Data!L750))))</f>
        <v>Voluntary</v>
      </c>
      <c r="O750" s="13" t="str">
        <f aca="false">IF(M750=0,"",IF(TRIM(Raw_Data!M750)="","Not Recorded",TRIM(Raw_Data!M750)))</f>
        <v>Job Dissatisfaction</v>
      </c>
      <c r="P750" s="16" t="n">
        <f aca="false">ROUND((IF(C750="",AsOfDate,C750)-B750)/365.25,2)</f>
        <v>3.87</v>
      </c>
      <c r="Q750" s="13" t="str">
        <f aca="false">IF(D750="","Unknown",IF(D750&lt;25,"Under 25",IF(D750&lt;35,"25-34",IF(D750&lt;45,"35-44",IF(D750&lt;55,"45-54","55+")))))</f>
        <v>35-44</v>
      </c>
      <c r="R750" s="13" t="str">
        <f aca="false">IF(P750&lt;1,"0-1 yrs",IF(P750&lt;3,"1-3 yrs",IF(P750&lt;5,"3-5 yrs",IF(P750&lt;10,"5-10 yrs","10+ yrs"))))</f>
        <v>3-5 yrs</v>
      </c>
      <c r="S750" s="13" t="str">
        <f aca="false">IF(I750&gt;=4,"High",IF(I750=3,"Medium","Low"))</f>
        <v>Medium</v>
      </c>
      <c r="T750" s="13" t="n">
        <f aca="false">IF(M750=1,YEAR(C750),"")</f>
        <v>2022</v>
      </c>
      <c r="U750" s="13" t="str">
        <f aca="false">IF(M750=1,YEAR(C750)&amp;"-Q"&amp;ROUNDUP(MONTH(C750)/3,0),"")</f>
        <v>2022-Q2</v>
      </c>
      <c r="V750" s="13" t="n">
        <f aca="false">IF(M750=1,MONTH(C750),"")</f>
        <v>5</v>
      </c>
    </row>
    <row r="751" customFormat="false" ht="15" hidden="false" customHeight="false" outlineLevel="0" collapsed="false">
      <c r="A751" s="13" t="str">
        <f aca="false">TRIM(Raw_Data!A751)</f>
        <v>EMP0750</v>
      </c>
      <c r="B751" s="14" t="n">
        <f aca="false">Raw_Data!B751</f>
        <v>43294</v>
      </c>
      <c r="C751" s="14" t="str">
        <f aca="false">IF(Raw_Data!C751="","",Raw_Data!C751)</f>
        <v/>
      </c>
      <c r="D751" s="13" t="n">
        <f aca="false">IF(Raw_Data!D751="","",Raw_Data!D751)</f>
        <v>36</v>
      </c>
      <c r="E751" s="13" t="str">
        <f aca="false">IF(UPPER(LEFT(TRIM(Raw_Data!E751),1))="M","Male",IF(UPPER(LEFT(TRIM(Raw_Data!E751),1))="F","Female","Unknown"))</f>
        <v>Female</v>
      </c>
      <c r="F751" s="13" t="str">
        <f aca="false">PROPER(TRIM(SUBSTITUTE(Raw_Data!F751,"'","")))</f>
        <v>Masters</v>
      </c>
      <c r="G751" s="13" t="str">
        <f aca="false">PROPER(TRIM(Raw_Data!G751))</f>
        <v>Customer Support</v>
      </c>
      <c r="H751" s="13" t="str">
        <f aca="false">PROPER(TRIM(Raw_Data!H751))</f>
        <v>Senior Analyst</v>
      </c>
      <c r="I751" s="13" t="n">
        <f aca="false">IF(Raw_Data!I751="",DefaultPerf,Raw_Data!I751)</f>
        <v>4</v>
      </c>
      <c r="J751" s="13" t="n">
        <f aca="false">IF(Raw_Data!J751="",DefaultSat,Raw_Data!J751)</f>
        <v>1</v>
      </c>
      <c r="K751" s="15" t="n">
        <f aca="false">Raw_Data!K751</f>
        <v>123000</v>
      </c>
      <c r="L751" s="13" t="str">
        <f aca="false">PROPER(TRIM(Raw_Data!N751))</f>
        <v>Yes</v>
      </c>
      <c r="M751" s="13" t="n">
        <f aca="false">IF(C751="",0,1)</f>
        <v>0</v>
      </c>
      <c r="N751" s="13" t="str">
        <f aca="false">IF(M751=0,"Active",IF(TRIM(Raw_Data!L751)="","Unknown",PROPER(TRIM(Raw_Data!L751))))</f>
        <v>Active</v>
      </c>
      <c r="O751" s="13" t="str">
        <f aca="false">IF(M751=0,"",IF(TRIM(Raw_Data!M751)="","Not Recorded",TRIM(Raw_Data!M751)))</f>
        <v/>
      </c>
      <c r="P751" s="16" t="n">
        <f aca="false">ROUND((IF(C751="",AsOfDate,C751)-B751)/365.25,2)</f>
        <v>7.47</v>
      </c>
      <c r="Q751" s="13" t="str">
        <f aca="false">IF(D751="","Unknown",IF(D751&lt;25,"Under 25",IF(D751&lt;35,"25-34",IF(D751&lt;45,"35-44",IF(D751&lt;55,"45-54","55+")))))</f>
        <v>35-44</v>
      </c>
      <c r="R751" s="13" t="str">
        <f aca="false">IF(P751&lt;1,"0-1 yrs",IF(P751&lt;3,"1-3 yrs",IF(P751&lt;5,"3-5 yrs",IF(P751&lt;10,"5-10 yrs","10+ yrs"))))</f>
        <v>5-10 yrs</v>
      </c>
      <c r="S751" s="13" t="str">
        <f aca="false">IF(I751&gt;=4,"High",IF(I751=3,"Medium","Low"))</f>
        <v>High</v>
      </c>
      <c r="T751" s="13" t="str">
        <f aca="false">IF(M751=1,YEAR(C751),"")</f>
        <v/>
      </c>
      <c r="U751" s="13" t="str">
        <f aca="false">IF(M751=1,YEAR(C751)&amp;"-Q"&amp;ROUNDUP(MONTH(C751)/3,0),"")</f>
        <v/>
      </c>
      <c r="V751" s="13" t="str">
        <f aca="false">IF(M751=1,MONTH(C751),"")</f>
        <v/>
      </c>
    </row>
    <row r="752" customFormat="false" ht="15" hidden="false" customHeight="false" outlineLevel="0" collapsed="false">
      <c r="A752" s="13" t="str">
        <f aca="false">TRIM(Raw_Data!A752)</f>
        <v>EMP0751</v>
      </c>
      <c r="B752" s="14" t="n">
        <f aca="false">Raw_Data!B752</f>
        <v>43295</v>
      </c>
      <c r="C752" s="14" t="n">
        <f aca="false">IF(Raw_Data!C752="","",Raw_Data!C752)</f>
        <v>45114</v>
      </c>
      <c r="D752" s="13" t="n">
        <f aca="false">IF(Raw_Data!D752="","",Raw_Data!D752)</f>
        <v>26</v>
      </c>
      <c r="E752" s="13" t="str">
        <f aca="false">IF(UPPER(LEFT(TRIM(Raw_Data!E752),1))="M","Male",IF(UPPER(LEFT(TRIM(Raw_Data!E752),1))="F","Female","Unknown"))</f>
        <v>Female</v>
      </c>
      <c r="F752" s="13" t="str">
        <f aca="false">PROPER(TRIM(SUBSTITUTE(Raw_Data!F752,"'","")))</f>
        <v>Masters</v>
      </c>
      <c r="G752" s="13" t="str">
        <f aca="false">PROPER(TRIM(Raw_Data!G752))</f>
        <v>Customer Support</v>
      </c>
      <c r="H752" s="13" t="str">
        <f aca="false">PROPER(TRIM(Raw_Data!H752))</f>
        <v>Associate</v>
      </c>
      <c r="I752" s="13" t="n">
        <f aca="false">IF(Raw_Data!I752="",DefaultPerf,Raw_Data!I752)</f>
        <v>3</v>
      </c>
      <c r="J752" s="13" t="n">
        <f aca="false">IF(Raw_Data!J752="",DefaultSat,Raw_Data!J752)</f>
        <v>1</v>
      </c>
      <c r="K752" s="15" t="n">
        <f aca="false">Raw_Data!K752</f>
        <v>41500</v>
      </c>
      <c r="L752" s="13" t="str">
        <f aca="false">PROPER(TRIM(Raw_Data!N752))</f>
        <v>Yes</v>
      </c>
      <c r="M752" s="13" t="n">
        <f aca="false">IF(C752="",0,1)</f>
        <v>1</v>
      </c>
      <c r="N752" s="13" t="str">
        <f aca="false">IF(M752=0,"Active",IF(TRIM(Raw_Data!L752)="","Unknown",PROPER(TRIM(Raw_Data!L752))))</f>
        <v>Involuntary</v>
      </c>
      <c r="O752" s="13" t="str">
        <f aca="false">IF(M752=0,"",IF(TRIM(Raw_Data!M752)="","Not Recorded",TRIM(Raw_Data!M752)))</f>
        <v>Poor Performance</v>
      </c>
      <c r="P752" s="16" t="n">
        <f aca="false">ROUND((IF(C752="",AsOfDate,C752)-B752)/365.25,2)</f>
        <v>4.98</v>
      </c>
      <c r="Q752" s="13" t="str">
        <f aca="false">IF(D752="","Unknown",IF(D752&lt;25,"Under 25",IF(D752&lt;35,"25-34",IF(D752&lt;45,"35-44",IF(D752&lt;55,"45-54","55+")))))</f>
        <v>25-34</v>
      </c>
      <c r="R752" s="13" t="str">
        <f aca="false">IF(P752&lt;1,"0-1 yrs",IF(P752&lt;3,"1-3 yrs",IF(P752&lt;5,"3-5 yrs",IF(P752&lt;10,"5-10 yrs","10+ yrs"))))</f>
        <v>3-5 yrs</v>
      </c>
      <c r="S752" s="13" t="str">
        <f aca="false">IF(I752&gt;=4,"High",IF(I752=3,"Medium","Low"))</f>
        <v>Medium</v>
      </c>
      <c r="T752" s="13" t="n">
        <f aca="false">IF(M752=1,YEAR(C752),"")</f>
        <v>2023</v>
      </c>
      <c r="U752" s="13" t="str">
        <f aca="false">IF(M752=1,YEAR(C752)&amp;"-Q"&amp;ROUNDUP(MONTH(C752)/3,0),"")</f>
        <v>2023-Q3</v>
      </c>
      <c r="V752" s="13" t="n">
        <f aca="false">IF(M752=1,MONTH(C752),"")</f>
        <v>7</v>
      </c>
    </row>
    <row r="753" customFormat="false" ht="15" hidden="false" customHeight="false" outlineLevel="0" collapsed="false">
      <c r="A753" s="13" t="str">
        <f aca="false">TRIM(Raw_Data!A753)</f>
        <v>EMP0752</v>
      </c>
      <c r="B753" s="14" t="n">
        <f aca="false">Raw_Data!B753</f>
        <v>43301</v>
      </c>
      <c r="C753" s="14" t="n">
        <f aca="false">IF(Raw_Data!C753="","",Raw_Data!C753)</f>
        <v>45154</v>
      </c>
      <c r="D753" s="13" t="n">
        <f aca="false">IF(Raw_Data!D753="","",Raw_Data!D753)</f>
        <v>29</v>
      </c>
      <c r="E753" s="13" t="str">
        <f aca="false">IF(UPPER(LEFT(TRIM(Raw_Data!E753),1))="M","Male",IF(UPPER(LEFT(TRIM(Raw_Data!E753),1))="F","Female","Unknown"))</f>
        <v>Female</v>
      </c>
      <c r="F753" s="13" t="str">
        <f aca="false">PROPER(TRIM(SUBSTITUTE(Raw_Data!F753,"'","")))</f>
        <v>Diploma</v>
      </c>
      <c r="G753" s="13" t="str">
        <f aca="false">PROPER(TRIM(Raw_Data!G753))</f>
        <v>Customer Support</v>
      </c>
      <c r="H753" s="13" t="str">
        <f aca="false">PROPER(TRIM(Raw_Data!H753))</f>
        <v>Specialist</v>
      </c>
      <c r="I753" s="13" t="n">
        <f aca="false">IF(Raw_Data!I753="",DefaultPerf,Raw_Data!I753)</f>
        <v>4</v>
      </c>
      <c r="J753" s="17" t="n">
        <f aca="false">IF(Raw_Data!J753="",DefaultSat,Raw_Data!J753)</f>
        <v>3</v>
      </c>
      <c r="K753" s="15" t="n">
        <f aca="false">Raw_Data!K753</f>
        <v>108000</v>
      </c>
      <c r="L753" s="13" t="str">
        <f aca="false">PROPER(TRIM(Raw_Data!N753))</f>
        <v>No</v>
      </c>
      <c r="M753" s="13" t="n">
        <f aca="false">IF(C753="",0,1)</f>
        <v>1</v>
      </c>
      <c r="N753" s="13" t="str">
        <f aca="false">IF(M753=0,"Active",IF(TRIM(Raw_Data!L753)="","Unknown",PROPER(TRIM(Raw_Data!L753))))</f>
        <v>Unknown</v>
      </c>
      <c r="O753" s="13" t="str">
        <f aca="false">IF(M753=0,"",IF(TRIM(Raw_Data!M753)="","Not Recorded",TRIM(Raw_Data!M753)))</f>
        <v>Relocation</v>
      </c>
      <c r="P753" s="16" t="n">
        <f aca="false">ROUND((IF(C753="",AsOfDate,C753)-B753)/365.25,2)</f>
        <v>5.07</v>
      </c>
      <c r="Q753" s="13" t="str">
        <f aca="false">IF(D753="","Unknown",IF(D753&lt;25,"Under 25",IF(D753&lt;35,"25-34",IF(D753&lt;45,"35-44",IF(D753&lt;55,"45-54","55+")))))</f>
        <v>25-34</v>
      </c>
      <c r="R753" s="13" t="str">
        <f aca="false">IF(P753&lt;1,"0-1 yrs",IF(P753&lt;3,"1-3 yrs",IF(P753&lt;5,"3-5 yrs",IF(P753&lt;10,"5-10 yrs","10+ yrs"))))</f>
        <v>5-10 yrs</v>
      </c>
      <c r="S753" s="13" t="str">
        <f aca="false">IF(I753&gt;=4,"High",IF(I753=3,"Medium","Low"))</f>
        <v>High</v>
      </c>
      <c r="T753" s="13" t="n">
        <f aca="false">IF(M753=1,YEAR(C753),"")</f>
        <v>2023</v>
      </c>
      <c r="U753" s="13" t="str">
        <f aca="false">IF(M753=1,YEAR(C753)&amp;"-Q"&amp;ROUNDUP(MONTH(C753)/3,0),"")</f>
        <v>2023-Q3</v>
      </c>
      <c r="V753" s="13" t="n">
        <f aca="false">IF(M753=1,MONTH(C753),"")</f>
        <v>8</v>
      </c>
    </row>
    <row r="754" customFormat="false" ht="15" hidden="false" customHeight="false" outlineLevel="0" collapsed="false">
      <c r="A754" s="13" t="str">
        <f aca="false">TRIM(Raw_Data!A754)</f>
        <v>EMP0753</v>
      </c>
      <c r="B754" s="14" t="n">
        <f aca="false">Raw_Data!B754</f>
        <v>43308</v>
      </c>
      <c r="C754" s="14" t="str">
        <f aca="false">IF(Raw_Data!C754="","",Raw_Data!C754)</f>
        <v/>
      </c>
      <c r="D754" s="13" t="n">
        <f aca="false">IF(Raw_Data!D754="","",Raw_Data!D754)</f>
        <v>38</v>
      </c>
      <c r="E754" s="13" t="str">
        <f aca="false">IF(UPPER(LEFT(TRIM(Raw_Data!E754),1))="M","Male",IF(UPPER(LEFT(TRIM(Raw_Data!E754),1))="F","Female","Unknown"))</f>
        <v>Female</v>
      </c>
      <c r="F754" s="13" t="str">
        <f aca="false">PROPER(TRIM(SUBSTITUTE(Raw_Data!F754,"'","")))</f>
        <v>Bachelors</v>
      </c>
      <c r="G754" s="13" t="str">
        <f aca="false">PROPER(TRIM(Raw_Data!G754))</f>
        <v>Engineering</v>
      </c>
      <c r="H754" s="13" t="str">
        <f aca="false">PROPER(TRIM(Raw_Data!H754))</f>
        <v>Specialist</v>
      </c>
      <c r="I754" s="13" t="n">
        <f aca="false">IF(Raw_Data!I754="",DefaultPerf,Raw_Data!I754)</f>
        <v>3</v>
      </c>
      <c r="J754" s="13" t="n">
        <f aca="false">IF(Raw_Data!J754="",DefaultSat,Raw_Data!J754)</f>
        <v>2</v>
      </c>
      <c r="K754" s="15" t="n">
        <f aca="false">Raw_Data!K754</f>
        <v>114000</v>
      </c>
      <c r="L754" s="13" t="str">
        <f aca="false">PROPER(TRIM(Raw_Data!N754))</f>
        <v>No</v>
      </c>
      <c r="M754" s="13" t="n">
        <f aca="false">IF(C754="",0,1)</f>
        <v>0</v>
      </c>
      <c r="N754" s="13" t="str">
        <f aca="false">IF(M754=0,"Active",IF(TRIM(Raw_Data!L754)="","Unknown",PROPER(TRIM(Raw_Data!L754))))</f>
        <v>Active</v>
      </c>
      <c r="O754" s="13" t="str">
        <f aca="false">IF(M754=0,"",IF(TRIM(Raw_Data!M754)="","Not Recorded",TRIM(Raw_Data!M754)))</f>
        <v/>
      </c>
      <c r="P754" s="16" t="n">
        <f aca="false">ROUND((IF(C754="",AsOfDate,C754)-B754)/365.25,2)</f>
        <v>7.43</v>
      </c>
      <c r="Q754" s="13" t="str">
        <f aca="false">IF(D754="","Unknown",IF(D754&lt;25,"Under 25",IF(D754&lt;35,"25-34",IF(D754&lt;45,"35-44",IF(D754&lt;55,"45-54","55+")))))</f>
        <v>35-44</v>
      </c>
      <c r="R754" s="13" t="str">
        <f aca="false">IF(P754&lt;1,"0-1 yrs",IF(P754&lt;3,"1-3 yrs",IF(P754&lt;5,"3-5 yrs",IF(P754&lt;10,"5-10 yrs","10+ yrs"))))</f>
        <v>5-10 yrs</v>
      </c>
      <c r="S754" s="13" t="str">
        <f aca="false">IF(I754&gt;=4,"High",IF(I754=3,"Medium","Low"))</f>
        <v>Medium</v>
      </c>
      <c r="T754" s="13" t="str">
        <f aca="false">IF(M754=1,YEAR(C754),"")</f>
        <v/>
      </c>
      <c r="U754" s="13" t="str">
        <f aca="false">IF(M754=1,YEAR(C754)&amp;"-Q"&amp;ROUNDUP(MONTH(C754)/3,0),"")</f>
        <v/>
      </c>
      <c r="V754" s="13" t="str">
        <f aca="false">IF(M754=1,MONTH(C754),"")</f>
        <v/>
      </c>
    </row>
    <row r="755" customFormat="false" ht="15" hidden="false" customHeight="false" outlineLevel="0" collapsed="false">
      <c r="A755" s="13" t="str">
        <f aca="false">TRIM(Raw_Data!A755)</f>
        <v>EMP0754</v>
      </c>
      <c r="B755" s="14" t="n">
        <f aca="false">Raw_Data!B755</f>
        <v>43309</v>
      </c>
      <c r="C755" s="14" t="str">
        <f aca="false">IF(Raw_Data!C755="","",Raw_Data!C755)</f>
        <v/>
      </c>
      <c r="D755" s="13" t="n">
        <f aca="false">IF(Raw_Data!D755="","",Raw_Data!D755)</f>
        <v>32</v>
      </c>
      <c r="E755" s="13" t="str">
        <f aca="false">IF(UPPER(LEFT(TRIM(Raw_Data!E755),1))="M","Male",IF(UPPER(LEFT(TRIM(Raw_Data!E755),1))="F","Female","Unknown"))</f>
        <v>Female</v>
      </c>
      <c r="F755" s="13" t="str">
        <f aca="false">PROPER(TRIM(SUBSTITUTE(Raw_Data!F755,"'","")))</f>
        <v>Masters</v>
      </c>
      <c r="G755" s="13" t="str">
        <f aca="false">PROPER(TRIM(Raw_Data!G755))</f>
        <v>Finance</v>
      </c>
      <c r="H755" s="13" t="str">
        <f aca="false">PROPER(TRIM(Raw_Data!H755))</f>
        <v>Associate</v>
      </c>
      <c r="I755" s="13" t="n">
        <f aca="false">IF(Raw_Data!I755="",DefaultPerf,Raw_Data!I755)</f>
        <v>3</v>
      </c>
      <c r="J755" s="13" t="n">
        <f aca="false">IF(Raw_Data!J755="",DefaultSat,Raw_Data!J755)</f>
        <v>3</v>
      </c>
      <c r="K755" s="15" t="n">
        <f aca="false">Raw_Data!K755</f>
        <v>42000</v>
      </c>
      <c r="L755" s="13" t="str">
        <f aca="false">PROPER(TRIM(Raw_Data!N755))</f>
        <v>No</v>
      </c>
      <c r="M755" s="13" t="n">
        <f aca="false">IF(C755="",0,1)</f>
        <v>0</v>
      </c>
      <c r="N755" s="13" t="str">
        <f aca="false">IF(M755=0,"Active",IF(TRIM(Raw_Data!L755)="","Unknown",PROPER(TRIM(Raw_Data!L755))))</f>
        <v>Active</v>
      </c>
      <c r="O755" s="13" t="str">
        <f aca="false">IF(M755=0,"",IF(TRIM(Raw_Data!M755)="","Not Recorded",TRIM(Raw_Data!M755)))</f>
        <v/>
      </c>
      <c r="P755" s="16" t="n">
        <f aca="false">ROUND((IF(C755="",AsOfDate,C755)-B755)/365.25,2)</f>
        <v>7.43</v>
      </c>
      <c r="Q755" s="13" t="str">
        <f aca="false">IF(D755="","Unknown",IF(D755&lt;25,"Under 25",IF(D755&lt;35,"25-34",IF(D755&lt;45,"35-44",IF(D755&lt;55,"45-54","55+")))))</f>
        <v>25-34</v>
      </c>
      <c r="R755" s="13" t="str">
        <f aca="false">IF(P755&lt;1,"0-1 yrs",IF(P755&lt;3,"1-3 yrs",IF(P755&lt;5,"3-5 yrs",IF(P755&lt;10,"5-10 yrs","10+ yrs"))))</f>
        <v>5-10 yrs</v>
      </c>
      <c r="S755" s="13" t="str">
        <f aca="false">IF(I755&gt;=4,"High",IF(I755=3,"Medium","Low"))</f>
        <v>Medium</v>
      </c>
      <c r="T755" s="13" t="str">
        <f aca="false">IF(M755=1,YEAR(C755),"")</f>
        <v/>
      </c>
      <c r="U755" s="13" t="str">
        <f aca="false">IF(M755=1,YEAR(C755)&amp;"-Q"&amp;ROUNDUP(MONTH(C755)/3,0),"")</f>
        <v/>
      </c>
      <c r="V755" s="13" t="str">
        <f aca="false">IF(M755=1,MONTH(C755),"")</f>
        <v/>
      </c>
    </row>
    <row r="756" customFormat="false" ht="15" hidden="false" customHeight="false" outlineLevel="0" collapsed="false">
      <c r="A756" s="13" t="str">
        <f aca="false">TRIM(Raw_Data!A756)</f>
        <v>EMP0755</v>
      </c>
      <c r="B756" s="14" t="n">
        <f aca="false">Raw_Data!B756</f>
        <v>43314</v>
      </c>
      <c r="C756" s="14" t="n">
        <f aca="false">IF(Raw_Data!C756="","",Raw_Data!C756)</f>
        <v>45026</v>
      </c>
      <c r="D756" s="13" t="n">
        <f aca="false">IF(Raw_Data!D756="","",Raw_Data!D756)</f>
        <v>37</v>
      </c>
      <c r="E756" s="13" t="str">
        <f aca="false">IF(UPPER(LEFT(TRIM(Raw_Data!E756),1))="M","Male",IF(UPPER(LEFT(TRIM(Raw_Data!E756),1))="F","Female","Unknown"))</f>
        <v>Male</v>
      </c>
      <c r="F756" s="13" t="str">
        <f aca="false">PROPER(TRIM(SUBSTITUTE(Raw_Data!F756,"'","")))</f>
        <v>Masters</v>
      </c>
      <c r="G756" s="13" t="str">
        <f aca="false">PROPER(TRIM(Raw_Data!G756))</f>
        <v>Sales</v>
      </c>
      <c r="H756" s="13" t="str">
        <f aca="false">PROPER(TRIM(Raw_Data!H756))</f>
        <v>Associate</v>
      </c>
      <c r="I756" s="13" t="n">
        <f aca="false">IF(Raw_Data!I756="",DefaultPerf,Raw_Data!I756)</f>
        <v>4</v>
      </c>
      <c r="J756" s="13" t="n">
        <f aca="false">IF(Raw_Data!J756="",DefaultSat,Raw_Data!J756)</f>
        <v>2</v>
      </c>
      <c r="K756" s="15" t="n">
        <f aca="false">Raw_Data!K756</f>
        <v>45000</v>
      </c>
      <c r="L756" s="13" t="str">
        <f aca="false">PROPER(TRIM(Raw_Data!N756))</f>
        <v>No</v>
      </c>
      <c r="M756" s="13" t="n">
        <f aca="false">IF(C756="",0,1)</f>
        <v>1</v>
      </c>
      <c r="N756" s="13" t="str">
        <f aca="false">IF(M756=0,"Active",IF(TRIM(Raw_Data!L756)="","Unknown",PROPER(TRIM(Raw_Data!L756))))</f>
        <v>Voluntary</v>
      </c>
      <c r="O756" s="13" t="str">
        <f aca="false">IF(M756=0,"",IF(TRIM(Raw_Data!M756)="","Not Recorded",TRIM(Raw_Data!M756)))</f>
        <v>Job Dissatisfaction</v>
      </c>
      <c r="P756" s="16" t="n">
        <f aca="false">ROUND((IF(C756="",AsOfDate,C756)-B756)/365.25,2)</f>
        <v>4.69</v>
      </c>
      <c r="Q756" s="13" t="str">
        <f aca="false">IF(D756="","Unknown",IF(D756&lt;25,"Under 25",IF(D756&lt;35,"25-34",IF(D756&lt;45,"35-44",IF(D756&lt;55,"45-54","55+")))))</f>
        <v>35-44</v>
      </c>
      <c r="R756" s="13" t="str">
        <f aca="false">IF(P756&lt;1,"0-1 yrs",IF(P756&lt;3,"1-3 yrs",IF(P756&lt;5,"3-5 yrs",IF(P756&lt;10,"5-10 yrs","10+ yrs"))))</f>
        <v>3-5 yrs</v>
      </c>
      <c r="S756" s="13" t="str">
        <f aca="false">IF(I756&gt;=4,"High",IF(I756=3,"Medium","Low"))</f>
        <v>High</v>
      </c>
      <c r="T756" s="13" t="n">
        <f aca="false">IF(M756=1,YEAR(C756),"")</f>
        <v>2023</v>
      </c>
      <c r="U756" s="13" t="str">
        <f aca="false">IF(M756=1,YEAR(C756)&amp;"-Q"&amp;ROUNDUP(MONTH(C756)/3,0),"")</f>
        <v>2023-Q2</v>
      </c>
      <c r="V756" s="13" t="n">
        <f aca="false">IF(M756=1,MONTH(C756),"")</f>
        <v>4</v>
      </c>
    </row>
    <row r="757" customFormat="false" ht="15" hidden="false" customHeight="false" outlineLevel="0" collapsed="false">
      <c r="A757" s="13" t="str">
        <f aca="false">TRIM(Raw_Data!A757)</f>
        <v>EMP0756</v>
      </c>
      <c r="B757" s="14" t="n">
        <f aca="false">Raw_Data!B757</f>
        <v>43316</v>
      </c>
      <c r="C757" s="14" t="str">
        <f aca="false">IF(Raw_Data!C757="","",Raw_Data!C757)</f>
        <v/>
      </c>
      <c r="D757" s="13" t="n">
        <f aca="false">IF(Raw_Data!D757="","",Raw_Data!D757)</f>
        <v>38</v>
      </c>
      <c r="E757" s="13" t="str">
        <f aca="false">IF(UPPER(LEFT(TRIM(Raw_Data!E757),1))="M","Male",IF(UPPER(LEFT(TRIM(Raw_Data!E757),1))="F","Female","Unknown"))</f>
        <v>Female</v>
      </c>
      <c r="F757" s="13" t="str">
        <f aca="false">PROPER(TRIM(SUBSTITUTE(Raw_Data!F757,"'","")))</f>
        <v>Bachelors</v>
      </c>
      <c r="G757" s="13" t="str">
        <f aca="false">PROPER(TRIM(Raw_Data!G757))</f>
        <v>Operations</v>
      </c>
      <c r="H757" s="13" t="str">
        <f aca="false">PROPER(TRIM(Raw_Data!H757))</f>
        <v>Senior Analyst</v>
      </c>
      <c r="I757" s="13" t="n">
        <f aca="false">IF(Raw_Data!I757="",DefaultPerf,Raw_Data!I757)</f>
        <v>3</v>
      </c>
      <c r="J757" s="13" t="n">
        <f aca="false">IF(Raw_Data!J757="",DefaultSat,Raw_Data!J757)</f>
        <v>3</v>
      </c>
      <c r="K757" s="15" t="n">
        <f aca="false">Raw_Data!K757</f>
        <v>111000</v>
      </c>
      <c r="L757" s="13" t="str">
        <f aca="false">PROPER(TRIM(Raw_Data!N757))</f>
        <v>Yes</v>
      </c>
      <c r="M757" s="13" t="n">
        <f aca="false">IF(C757="",0,1)</f>
        <v>0</v>
      </c>
      <c r="N757" s="13" t="str">
        <f aca="false">IF(M757=0,"Active",IF(TRIM(Raw_Data!L757)="","Unknown",PROPER(TRIM(Raw_Data!L757))))</f>
        <v>Active</v>
      </c>
      <c r="O757" s="13" t="str">
        <f aca="false">IF(M757=0,"",IF(TRIM(Raw_Data!M757)="","Not Recorded",TRIM(Raw_Data!M757)))</f>
        <v/>
      </c>
      <c r="P757" s="16" t="n">
        <f aca="false">ROUND((IF(C757="",AsOfDate,C757)-B757)/365.25,2)</f>
        <v>7.41</v>
      </c>
      <c r="Q757" s="13" t="str">
        <f aca="false">IF(D757="","Unknown",IF(D757&lt;25,"Under 25",IF(D757&lt;35,"25-34",IF(D757&lt;45,"35-44",IF(D757&lt;55,"45-54","55+")))))</f>
        <v>35-44</v>
      </c>
      <c r="R757" s="13" t="str">
        <f aca="false">IF(P757&lt;1,"0-1 yrs",IF(P757&lt;3,"1-3 yrs",IF(P757&lt;5,"3-5 yrs",IF(P757&lt;10,"5-10 yrs","10+ yrs"))))</f>
        <v>5-10 yrs</v>
      </c>
      <c r="S757" s="13" t="str">
        <f aca="false">IF(I757&gt;=4,"High",IF(I757=3,"Medium","Low"))</f>
        <v>Medium</v>
      </c>
      <c r="T757" s="13" t="str">
        <f aca="false">IF(M757=1,YEAR(C757),"")</f>
        <v/>
      </c>
      <c r="U757" s="13" t="str">
        <f aca="false">IF(M757=1,YEAR(C757)&amp;"-Q"&amp;ROUNDUP(MONTH(C757)/3,0),"")</f>
        <v/>
      </c>
      <c r="V757" s="13" t="str">
        <f aca="false">IF(M757=1,MONTH(C757),"")</f>
        <v/>
      </c>
    </row>
    <row r="758" customFormat="false" ht="15" hidden="false" customHeight="false" outlineLevel="0" collapsed="false">
      <c r="A758" s="13" t="str">
        <f aca="false">TRIM(Raw_Data!A758)</f>
        <v>EMP0757</v>
      </c>
      <c r="B758" s="14" t="n">
        <f aca="false">Raw_Data!B758</f>
        <v>43318</v>
      </c>
      <c r="C758" s="14" t="n">
        <f aca="false">IF(Raw_Data!C758="","",Raw_Data!C758)</f>
        <v>44683</v>
      </c>
      <c r="D758" s="13" t="n">
        <f aca="false">IF(Raw_Data!D758="","",Raw_Data!D758)</f>
        <v>33</v>
      </c>
      <c r="E758" s="13" t="str">
        <f aca="false">IF(UPPER(LEFT(TRIM(Raw_Data!E758),1))="M","Male",IF(UPPER(LEFT(TRIM(Raw_Data!E758),1))="F","Female","Unknown"))</f>
        <v>Female</v>
      </c>
      <c r="F758" s="13" t="str">
        <f aca="false">PROPER(TRIM(SUBSTITUTE(Raw_Data!F758,"'","")))</f>
        <v>Masters</v>
      </c>
      <c r="G758" s="13" t="str">
        <f aca="false">PROPER(TRIM(Raw_Data!G758))</f>
        <v>Engineering</v>
      </c>
      <c r="H758" s="13" t="str">
        <f aca="false">PROPER(TRIM(Raw_Data!H758))</f>
        <v>Specialist</v>
      </c>
      <c r="I758" s="13" t="n">
        <f aca="false">IF(Raw_Data!I758="",DefaultPerf,Raw_Data!I758)</f>
        <v>2</v>
      </c>
      <c r="J758" s="13" t="n">
        <f aca="false">IF(Raw_Data!J758="",DefaultSat,Raw_Data!J758)</f>
        <v>3</v>
      </c>
      <c r="K758" s="15" t="n">
        <f aca="false">Raw_Data!K758</f>
        <v>122500</v>
      </c>
      <c r="L758" s="13" t="str">
        <f aca="false">PROPER(TRIM(Raw_Data!N758))</f>
        <v>No</v>
      </c>
      <c r="M758" s="13" t="n">
        <f aca="false">IF(C758="",0,1)</f>
        <v>1</v>
      </c>
      <c r="N758" s="13" t="str">
        <f aca="false">IF(M758=0,"Active",IF(TRIM(Raw_Data!L758)="","Unknown",PROPER(TRIM(Raw_Data!L758))))</f>
        <v>Involuntary</v>
      </c>
      <c r="O758" s="13" t="str">
        <f aca="false">IF(M758=0,"",IF(TRIM(Raw_Data!M758)="","Not Recorded",TRIM(Raw_Data!M758)))</f>
        <v>End of Contract</v>
      </c>
      <c r="P758" s="16" t="n">
        <f aca="false">ROUND((IF(C758="",AsOfDate,C758)-B758)/365.25,2)</f>
        <v>3.74</v>
      </c>
      <c r="Q758" s="13" t="str">
        <f aca="false">IF(D758="","Unknown",IF(D758&lt;25,"Under 25",IF(D758&lt;35,"25-34",IF(D758&lt;45,"35-44",IF(D758&lt;55,"45-54","55+")))))</f>
        <v>25-34</v>
      </c>
      <c r="R758" s="13" t="str">
        <f aca="false">IF(P758&lt;1,"0-1 yrs",IF(P758&lt;3,"1-3 yrs",IF(P758&lt;5,"3-5 yrs",IF(P758&lt;10,"5-10 yrs","10+ yrs"))))</f>
        <v>3-5 yrs</v>
      </c>
      <c r="S758" s="13" t="str">
        <f aca="false">IF(I758&gt;=4,"High",IF(I758=3,"Medium","Low"))</f>
        <v>Low</v>
      </c>
      <c r="T758" s="13" t="n">
        <f aca="false">IF(M758=1,YEAR(C758),"")</f>
        <v>2022</v>
      </c>
      <c r="U758" s="13" t="str">
        <f aca="false">IF(M758=1,YEAR(C758)&amp;"-Q"&amp;ROUNDUP(MONTH(C758)/3,0),"")</f>
        <v>2022-Q2</v>
      </c>
      <c r="V758" s="13" t="n">
        <f aca="false">IF(M758=1,MONTH(C758),"")</f>
        <v>5</v>
      </c>
    </row>
    <row r="759" customFormat="false" ht="15" hidden="false" customHeight="false" outlineLevel="0" collapsed="false">
      <c r="A759" s="13" t="str">
        <f aca="false">TRIM(Raw_Data!A759)</f>
        <v>EMP0758</v>
      </c>
      <c r="B759" s="14" t="n">
        <f aca="false">Raw_Data!B759</f>
        <v>43320</v>
      </c>
      <c r="C759" s="14" t="str">
        <f aca="false">IF(Raw_Data!C759="","",Raw_Data!C759)</f>
        <v/>
      </c>
      <c r="D759" s="13" t="n">
        <f aca="false">IF(Raw_Data!D759="","",Raw_Data!D759)</f>
        <v>36</v>
      </c>
      <c r="E759" s="13" t="str">
        <f aca="false">IF(UPPER(LEFT(TRIM(Raw_Data!E759),1))="M","Male",IF(UPPER(LEFT(TRIM(Raw_Data!E759),1))="F","Female","Unknown"))</f>
        <v>Female</v>
      </c>
      <c r="F759" s="13" t="str">
        <f aca="false">PROPER(TRIM(SUBSTITUTE(Raw_Data!F759,"'","")))</f>
        <v>Bachelors</v>
      </c>
      <c r="G759" s="13" t="str">
        <f aca="false">PROPER(TRIM(Raw_Data!G759))</f>
        <v>Human Resources</v>
      </c>
      <c r="H759" s="13" t="str">
        <f aca="false">PROPER(TRIM(Raw_Data!H759))</f>
        <v>Team Lead</v>
      </c>
      <c r="I759" s="13" t="n">
        <f aca="false">IF(Raw_Data!I759="",DefaultPerf,Raw_Data!I759)</f>
        <v>3</v>
      </c>
      <c r="J759" s="13" t="n">
        <f aca="false">IF(Raw_Data!J759="",DefaultSat,Raw_Data!J759)</f>
        <v>3</v>
      </c>
      <c r="K759" s="15" t="n">
        <f aca="false">Raw_Data!K759</f>
        <v>151000</v>
      </c>
      <c r="L759" s="13" t="str">
        <f aca="false">PROPER(TRIM(Raw_Data!N759))</f>
        <v>No</v>
      </c>
      <c r="M759" s="13" t="n">
        <f aca="false">IF(C759="",0,1)</f>
        <v>0</v>
      </c>
      <c r="N759" s="13" t="str">
        <f aca="false">IF(M759=0,"Active",IF(TRIM(Raw_Data!L759)="","Unknown",PROPER(TRIM(Raw_Data!L759))))</f>
        <v>Active</v>
      </c>
      <c r="O759" s="13" t="str">
        <f aca="false">IF(M759=0,"",IF(TRIM(Raw_Data!M759)="","Not Recorded",TRIM(Raw_Data!M759)))</f>
        <v/>
      </c>
      <c r="P759" s="16" t="n">
        <f aca="false">ROUND((IF(C759="",AsOfDate,C759)-B759)/365.25,2)</f>
        <v>7.4</v>
      </c>
      <c r="Q759" s="13" t="str">
        <f aca="false">IF(D759="","Unknown",IF(D759&lt;25,"Under 25",IF(D759&lt;35,"25-34",IF(D759&lt;45,"35-44",IF(D759&lt;55,"45-54","55+")))))</f>
        <v>35-44</v>
      </c>
      <c r="R759" s="13" t="str">
        <f aca="false">IF(P759&lt;1,"0-1 yrs",IF(P759&lt;3,"1-3 yrs",IF(P759&lt;5,"3-5 yrs",IF(P759&lt;10,"5-10 yrs","10+ yrs"))))</f>
        <v>5-10 yrs</v>
      </c>
      <c r="S759" s="13" t="str">
        <f aca="false">IF(I759&gt;=4,"High",IF(I759=3,"Medium","Low"))</f>
        <v>Medium</v>
      </c>
      <c r="T759" s="13" t="str">
        <f aca="false">IF(M759=1,YEAR(C759),"")</f>
        <v/>
      </c>
      <c r="U759" s="13" t="str">
        <f aca="false">IF(M759=1,YEAR(C759)&amp;"-Q"&amp;ROUNDUP(MONTH(C759)/3,0),"")</f>
        <v/>
      </c>
      <c r="V759" s="13" t="str">
        <f aca="false">IF(M759=1,MONTH(C759),"")</f>
        <v/>
      </c>
    </row>
    <row r="760" customFormat="false" ht="15" hidden="false" customHeight="false" outlineLevel="0" collapsed="false">
      <c r="A760" s="13" t="str">
        <f aca="false">TRIM(Raw_Data!A760)</f>
        <v>EMP0759</v>
      </c>
      <c r="B760" s="14" t="n">
        <f aca="false">Raw_Data!B760</f>
        <v>43320</v>
      </c>
      <c r="C760" s="14" t="str">
        <f aca="false">IF(Raw_Data!C760="","",Raw_Data!C760)</f>
        <v/>
      </c>
      <c r="D760" s="13" t="n">
        <f aca="false">IF(Raw_Data!D760="","",Raw_Data!D760)</f>
        <v>39</v>
      </c>
      <c r="E760" s="13" t="str">
        <f aca="false">IF(UPPER(LEFT(TRIM(Raw_Data!E760),1))="M","Male",IF(UPPER(LEFT(TRIM(Raw_Data!E760),1))="F","Female","Unknown"))</f>
        <v>Female</v>
      </c>
      <c r="F760" s="13" t="str">
        <f aca="false">PROPER(TRIM(SUBSTITUTE(Raw_Data!F760,"'","")))</f>
        <v>High School</v>
      </c>
      <c r="G760" s="13" t="str">
        <f aca="false">PROPER(TRIM(Raw_Data!G760))</f>
        <v>Customer Support</v>
      </c>
      <c r="H760" s="13" t="str">
        <f aca="false">PROPER(TRIM(Raw_Data!H760))</f>
        <v>Analyst</v>
      </c>
      <c r="I760" s="13" t="n">
        <f aca="false">IF(Raw_Data!I760="",DefaultPerf,Raw_Data!I760)</f>
        <v>3</v>
      </c>
      <c r="J760" s="13" t="n">
        <f aca="false">IF(Raw_Data!J760="",DefaultSat,Raw_Data!J760)</f>
        <v>4</v>
      </c>
      <c r="K760" s="15" t="n">
        <f aca="false">Raw_Data!K760</f>
        <v>66000</v>
      </c>
      <c r="L760" s="13" t="str">
        <f aca="false">PROPER(TRIM(Raw_Data!N760))</f>
        <v>No</v>
      </c>
      <c r="M760" s="13" t="n">
        <f aca="false">IF(C760="",0,1)</f>
        <v>0</v>
      </c>
      <c r="N760" s="13" t="str">
        <f aca="false">IF(M760=0,"Active",IF(TRIM(Raw_Data!L760)="","Unknown",PROPER(TRIM(Raw_Data!L760))))</f>
        <v>Active</v>
      </c>
      <c r="O760" s="13" t="str">
        <f aca="false">IF(M760=0,"",IF(TRIM(Raw_Data!M760)="","Not Recorded",TRIM(Raw_Data!M760)))</f>
        <v/>
      </c>
      <c r="P760" s="16" t="n">
        <f aca="false">ROUND((IF(C760="",AsOfDate,C760)-B760)/365.25,2)</f>
        <v>7.4</v>
      </c>
      <c r="Q760" s="13" t="str">
        <f aca="false">IF(D760="","Unknown",IF(D760&lt;25,"Under 25",IF(D760&lt;35,"25-34",IF(D760&lt;45,"35-44",IF(D760&lt;55,"45-54","55+")))))</f>
        <v>35-44</v>
      </c>
      <c r="R760" s="13" t="str">
        <f aca="false">IF(P760&lt;1,"0-1 yrs",IF(P760&lt;3,"1-3 yrs",IF(P760&lt;5,"3-5 yrs",IF(P760&lt;10,"5-10 yrs","10+ yrs"))))</f>
        <v>5-10 yrs</v>
      </c>
      <c r="S760" s="13" t="str">
        <f aca="false">IF(I760&gt;=4,"High",IF(I760=3,"Medium","Low"))</f>
        <v>Medium</v>
      </c>
      <c r="T760" s="13" t="str">
        <f aca="false">IF(M760=1,YEAR(C760),"")</f>
        <v/>
      </c>
      <c r="U760" s="13" t="str">
        <f aca="false">IF(M760=1,YEAR(C760)&amp;"-Q"&amp;ROUNDUP(MONTH(C760)/3,0),"")</f>
        <v/>
      </c>
      <c r="V760" s="13" t="str">
        <f aca="false">IF(M760=1,MONTH(C760),"")</f>
        <v/>
      </c>
    </row>
    <row r="761" customFormat="false" ht="15" hidden="false" customHeight="false" outlineLevel="0" collapsed="false">
      <c r="A761" s="13" t="str">
        <f aca="false">TRIM(Raw_Data!A761)</f>
        <v>EMP0760</v>
      </c>
      <c r="B761" s="14" t="n">
        <f aca="false">Raw_Data!B761</f>
        <v>43322</v>
      </c>
      <c r="C761" s="14" t="str">
        <f aca="false">IF(Raw_Data!C761="","",Raw_Data!C761)</f>
        <v/>
      </c>
      <c r="D761" s="13" t="n">
        <f aca="false">IF(Raw_Data!D761="","",Raw_Data!D761)</f>
        <v>40</v>
      </c>
      <c r="E761" s="13" t="str">
        <f aca="false">IF(UPPER(LEFT(TRIM(Raw_Data!E761),1))="M","Male",IF(UPPER(LEFT(TRIM(Raw_Data!E761),1))="F","Female","Unknown"))</f>
        <v>Female</v>
      </c>
      <c r="F761" s="13" t="str">
        <f aca="false">PROPER(TRIM(SUBSTITUTE(Raw_Data!F761,"'","")))</f>
        <v>Diploma</v>
      </c>
      <c r="G761" s="13" t="str">
        <f aca="false">PROPER(TRIM(Raw_Data!G761))</f>
        <v>Engineering</v>
      </c>
      <c r="H761" s="13" t="str">
        <f aca="false">PROPER(TRIM(Raw_Data!H761))</f>
        <v>Associate</v>
      </c>
      <c r="I761" s="13" t="n">
        <f aca="false">IF(Raw_Data!I761="",DefaultPerf,Raw_Data!I761)</f>
        <v>4</v>
      </c>
      <c r="J761" s="13" t="n">
        <f aca="false">IF(Raw_Data!J761="",DefaultSat,Raw_Data!J761)</f>
        <v>3</v>
      </c>
      <c r="K761" s="15" t="n">
        <f aca="false">Raw_Data!K761</f>
        <v>51000</v>
      </c>
      <c r="L761" s="13" t="str">
        <f aca="false">PROPER(TRIM(Raw_Data!N761))</f>
        <v>No</v>
      </c>
      <c r="M761" s="13" t="n">
        <f aca="false">IF(C761="",0,1)</f>
        <v>0</v>
      </c>
      <c r="N761" s="13" t="str">
        <f aca="false">IF(M761=0,"Active",IF(TRIM(Raw_Data!L761)="","Unknown",PROPER(TRIM(Raw_Data!L761))))</f>
        <v>Active</v>
      </c>
      <c r="O761" s="13" t="str">
        <f aca="false">IF(M761=0,"",IF(TRIM(Raw_Data!M761)="","Not Recorded",TRIM(Raw_Data!M761)))</f>
        <v/>
      </c>
      <c r="P761" s="16" t="n">
        <f aca="false">ROUND((IF(C761="",AsOfDate,C761)-B761)/365.25,2)</f>
        <v>7.39</v>
      </c>
      <c r="Q761" s="13" t="str">
        <f aca="false">IF(D761="","Unknown",IF(D761&lt;25,"Under 25",IF(D761&lt;35,"25-34",IF(D761&lt;45,"35-44",IF(D761&lt;55,"45-54","55+")))))</f>
        <v>35-44</v>
      </c>
      <c r="R761" s="13" t="str">
        <f aca="false">IF(P761&lt;1,"0-1 yrs",IF(P761&lt;3,"1-3 yrs",IF(P761&lt;5,"3-5 yrs",IF(P761&lt;10,"5-10 yrs","10+ yrs"))))</f>
        <v>5-10 yrs</v>
      </c>
      <c r="S761" s="13" t="str">
        <f aca="false">IF(I761&gt;=4,"High",IF(I761=3,"Medium","Low"))</f>
        <v>High</v>
      </c>
      <c r="T761" s="13" t="str">
        <f aca="false">IF(M761=1,YEAR(C761),"")</f>
        <v/>
      </c>
      <c r="U761" s="13" t="str">
        <f aca="false">IF(M761=1,YEAR(C761)&amp;"-Q"&amp;ROUNDUP(MONTH(C761)/3,0),"")</f>
        <v/>
      </c>
      <c r="V761" s="13" t="str">
        <f aca="false">IF(M761=1,MONTH(C761),"")</f>
        <v/>
      </c>
    </row>
    <row r="762" customFormat="false" ht="15" hidden="false" customHeight="false" outlineLevel="0" collapsed="false">
      <c r="A762" s="13" t="str">
        <f aca="false">TRIM(Raw_Data!A762)</f>
        <v>EMP0761</v>
      </c>
      <c r="B762" s="14" t="n">
        <f aca="false">Raw_Data!B762</f>
        <v>43322</v>
      </c>
      <c r="C762" s="14" t="n">
        <f aca="false">IF(Raw_Data!C762="","",Raw_Data!C762)</f>
        <v>45879</v>
      </c>
      <c r="D762" s="13" t="n">
        <f aca="false">IF(Raw_Data!D762="","",Raw_Data!D762)</f>
        <v>33</v>
      </c>
      <c r="E762" s="13" t="str">
        <f aca="false">IF(UPPER(LEFT(TRIM(Raw_Data!E762),1))="M","Male",IF(UPPER(LEFT(TRIM(Raw_Data!E762),1))="F","Female","Unknown"))</f>
        <v>Male</v>
      </c>
      <c r="F762" s="13" t="str">
        <f aca="false">PROPER(TRIM(SUBSTITUTE(Raw_Data!F762,"'","")))</f>
        <v>Bachelors</v>
      </c>
      <c r="G762" s="13" t="str">
        <f aca="false">PROPER(TRIM(Raw_Data!G762))</f>
        <v>Engineering</v>
      </c>
      <c r="H762" s="13" t="str">
        <f aca="false">PROPER(TRIM(Raw_Data!H762))</f>
        <v>Specialist</v>
      </c>
      <c r="I762" s="13" t="n">
        <f aca="false">IF(Raw_Data!I762="",DefaultPerf,Raw_Data!I762)</f>
        <v>3</v>
      </c>
      <c r="J762" s="13" t="n">
        <f aca="false">IF(Raw_Data!J762="",DefaultSat,Raw_Data!J762)</f>
        <v>1</v>
      </c>
      <c r="K762" s="15" t="n">
        <f aca="false">Raw_Data!K762</f>
        <v>129500</v>
      </c>
      <c r="L762" s="13" t="str">
        <f aca="false">PROPER(TRIM(Raw_Data!N762))</f>
        <v>No</v>
      </c>
      <c r="M762" s="13" t="n">
        <f aca="false">IF(C762="",0,1)</f>
        <v>1</v>
      </c>
      <c r="N762" s="13" t="str">
        <f aca="false">IF(M762=0,"Active",IF(TRIM(Raw_Data!L762)="","Unknown",PROPER(TRIM(Raw_Data!L762))))</f>
        <v>Unknown</v>
      </c>
      <c r="O762" s="13" t="str">
        <f aca="false">IF(M762=0,"",IF(TRIM(Raw_Data!M762)="","Not Recorded",TRIM(Raw_Data!M762)))</f>
        <v>Restructuring / Layoff</v>
      </c>
      <c r="P762" s="16" t="n">
        <f aca="false">ROUND((IF(C762="",AsOfDate,C762)-B762)/365.25,2)</f>
        <v>7</v>
      </c>
      <c r="Q762" s="13" t="str">
        <f aca="false">IF(D762="","Unknown",IF(D762&lt;25,"Under 25",IF(D762&lt;35,"25-34",IF(D762&lt;45,"35-44",IF(D762&lt;55,"45-54","55+")))))</f>
        <v>25-34</v>
      </c>
      <c r="R762" s="13" t="str">
        <f aca="false">IF(P762&lt;1,"0-1 yrs",IF(P762&lt;3,"1-3 yrs",IF(P762&lt;5,"3-5 yrs",IF(P762&lt;10,"5-10 yrs","10+ yrs"))))</f>
        <v>5-10 yrs</v>
      </c>
      <c r="S762" s="13" t="str">
        <f aca="false">IF(I762&gt;=4,"High",IF(I762=3,"Medium","Low"))</f>
        <v>Medium</v>
      </c>
      <c r="T762" s="13" t="n">
        <f aca="false">IF(M762=1,YEAR(C762),"")</f>
        <v>2025</v>
      </c>
      <c r="U762" s="13" t="str">
        <f aca="false">IF(M762=1,YEAR(C762)&amp;"-Q"&amp;ROUNDUP(MONTH(C762)/3,0),"")</f>
        <v>2025-Q3</v>
      </c>
      <c r="V762" s="13" t="n">
        <f aca="false">IF(M762=1,MONTH(C762),"")</f>
        <v>8</v>
      </c>
    </row>
    <row r="763" customFormat="false" ht="15" hidden="false" customHeight="false" outlineLevel="0" collapsed="false">
      <c r="A763" s="13" t="str">
        <f aca="false">TRIM(Raw_Data!A763)</f>
        <v>EMP0762</v>
      </c>
      <c r="B763" s="14" t="n">
        <f aca="false">Raw_Data!B763</f>
        <v>43322</v>
      </c>
      <c r="C763" s="14" t="n">
        <f aca="false">IF(Raw_Data!C763="","",Raw_Data!C763)</f>
        <v>45501</v>
      </c>
      <c r="D763" s="13" t="n">
        <f aca="false">IF(Raw_Data!D763="","",Raw_Data!D763)</f>
        <v>36</v>
      </c>
      <c r="E763" s="13" t="str">
        <f aca="false">IF(UPPER(LEFT(TRIM(Raw_Data!E763),1))="M","Male",IF(UPPER(LEFT(TRIM(Raw_Data!E763),1))="F","Female","Unknown"))</f>
        <v>Male</v>
      </c>
      <c r="F763" s="13" t="str">
        <f aca="false">PROPER(TRIM(SUBSTITUTE(Raw_Data!F763,"'","")))</f>
        <v>High School</v>
      </c>
      <c r="G763" s="13" t="str">
        <f aca="false">PROPER(TRIM(Raw_Data!G763))</f>
        <v>Customer Support</v>
      </c>
      <c r="H763" s="13" t="str">
        <f aca="false">PROPER(TRIM(Raw_Data!H763))</f>
        <v>Senior Analyst</v>
      </c>
      <c r="I763" s="13" t="n">
        <f aca="false">IF(Raw_Data!I763="",DefaultPerf,Raw_Data!I763)</f>
        <v>4</v>
      </c>
      <c r="J763" s="13" t="n">
        <f aca="false">IF(Raw_Data!J763="",DefaultSat,Raw_Data!J763)</f>
        <v>1</v>
      </c>
      <c r="K763" s="15" t="n">
        <f aca="false">Raw_Data!K763</f>
        <v>103000</v>
      </c>
      <c r="L763" s="13" t="str">
        <f aca="false">PROPER(TRIM(Raw_Data!N763))</f>
        <v>No</v>
      </c>
      <c r="M763" s="13" t="n">
        <f aca="false">IF(C763="",0,1)</f>
        <v>1</v>
      </c>
      <c r="N763" s="13" t="str">
        <f aca="false">IF(M763=0,"Active",IF(TRIM(Raw_Data!L763)="","Unknown",PROPER(TRIM(Raw_Data!L763))))</f>
        <v>Voluntary</v>
      </c>
      <c r="O763" s="13" t="str">
        <f aca="false">IF(M763=0,"",IF(TRIM(Raw_Data!M763)="","Not Recorded",TRIM(Raw_Data!M763)))</f>
        <v>Job Dissatisfaction</v>
      </c>
      <c r="P763" s="16" t="n">
        <f aca="false">ROUND((IF(C763="",AsOfDate,C763)-B763)/365.25,2)</f>
        <v>5.97</v>
      </c>
      <c r="Q763" s="13" t="str">
        <f aca="false">IF(D763="","Unknown",IF(D763&lt;25,"Under 25",IF(D763&lt;35,"25-34",IF(D763&lt;45,"35-44",IF(D763&lt;55,"45-54","55+")))))</f>
        <v>35-44</v>
      </c>
      <c r="R763" s="13" t="str">
        <f aca="false">IF(P763&lt;1,"0-1 yrs",IF(P763&lt;3,"1-3 yrs",IF(P763&lt;5,"3-5 yrs",IF(P763&lt;10,"5-10 yrs","10+ yrs"))))</f>
        <v>5-10 yrs</v>
      </c>
      <c r="S763" s="13" t="str">
        <f aca="false">IF(I763&gt;=4,"High",IF(I763=3,"Medium","Low"))</f>
        <v>High</v>
      </c>
      <c r="T763" s="13" t="n">
        <f aca="false">IF(M763=1,YEAR(C763),"")</f>
        <v>2024</v>
      </c>
      <c r="U763" s="13" t="str">
        <f aca="false">IF(M763=1,YEAR(C763)&amp;"-Q"&amp;ROUNDUP(MONTH(C763)/3,0),"")</f>
        <v>2024-Q3</v>
      </c>
      <c r="V763" s="13" t="n">
        <f aca="false">IF(M763=1,MONTH(C763),"")</f>
        <v>7</v>
      </c>
    </row>
    <row r="764" customFormat="false" ht="15" hidden="false" customHeight="false" outlineLevel="0" collapsed="false">
      <c r="A764" s="13" t="str">
        <f aca="false">TRIM(Raw_Data!A764)</f>
        <v>EMP0763</v>
      </c>
      <c r="B764" s="14" t="n">
        <f aca="false">Raw_Data!B764</f>
        <v>43331</v>
      </c>
      <c r="C764" s="14" t="str">
        <f aca="false">IF(Raw_Data!C764="","",Raw_Data!C764)</f>
        <v/>
      </c>
      <c r="D764" s="13" t="n">
        <f aca="false">IF(Raw_Data!D764="","",Raw_Data!D764)</f>
        <v>28</v>
      </c>
      <c r="E764" s="13" t="str">
        <f aca="false">IF(UPPER(LEFT(TRIM(Raw_Data!E764),1))="M","Male",IF(UPPER(LEFT(TRIM(Raw_Data!E764),1))="F","Female","Unknown"))</f>
        <v>Male</v>
      </c>
      <c r="F764" s="13" t="str">
        <f aca="false">PROPER(TRIM(SUBSTITUTE(Raw_Data!F764,"'","")))</f>
        <v>Doctorate</v>
      </c>
      <c r="G764" s="13" t="str">
        <f aca="false">PROPER(TRIM(Raw_Data!G764))</f>
        <v>Engineering</v>
      </c>
      <c r="H764" s="13" t="str">
        <f aca="false">PROPER(TRIM(Raw_Data!H764))</f>
        <v>Manager</v>
      </c>
      <c r="I764" s="13" t="n">
        <f aca="false">IF(Raw_Data!I764="",DefaultPerf,Raw_Data!I764)</f>
        <v>3</v>
      </c>
      <c r="J764" s="13" t="n">
        <f aca="false">IF(Raw_Data!J764="",DefaultSat,Raw_Data!J764)</f>
        <v>4</v>
      </c>
      <c r="K764" s="15" t="n">
        <f aca="false">Raw_Data!K764</f>
        <v>213000</v>
      </c>
      <c r="L764" s="13" t="str">
        <f aca="false">PROPER(TRIM(Raw_Data!N764))</f>
        <v>No</v>
      </c>
      <c r="M764" s="13" t="n">
        <f aca="false">IF(C764="",0,1)</f>
        <v>0</v>
      </c>
      <c r="N764" s="13" t="str">
        <f aca="false">IF(M764=0,"Active",IF(TRIM(Raw_Data!L764)="","Unknown",PROPER(TRIM(Raw_Data!L764))))</f>
        <v>Active</v>
      </c>
      <c r="O764" s="13" t="str">
        <f aca="false">IF(M764=0,"",IF(TRIM(Raw_Data!M764)="","Not Recorded",TRIM(Raw_Data!M764)))</f>
        <v/>
      </c>
      <c r="P764" s="16" t="n">
        <f aca="false">ROUND((IF(C764="",AsOfDate,C764)-B764)/365.25,2)</f>
        <v>7.37</v>
      </c>
      <c r="Q764" s="13" t="str">
        <f aca="false">IF(D764="","Unknown",IF(D764&lt;25,"Under 25",IF(D764&lt;35,"25-34",IF(D764&lt;45,"35-44",IF(D764&lt;55,"45-54","55+")))))</f>
        <v>25-34</v>
      </c>
      <c r="R764" s="13" t="str">
        <f aca="false">IF(P764&lt;1,"0-1 yrs",IF(P764&lt;3,"1-3 yrs",IF(P764&lt;5,"3-5 yrs",IF(P764&lt;10,"5-10 yrs","10+ yrs"))))</f>
        <v>5-10 yrs</v>
      </c>
      <c r="S764" s="13" t="str">
        <f aca="false">IF(I764&gt;=4,"High",IF(I764=3,"Medium","Low"))</f>
        <v>Medium</v>
      </c>
      <c r="T764" s="13" t="str">
        <f aca="false">IF(M764=1,YEAR(C764),"")</f>
        <v/>
      </c>
      <c r="U764" s="13" t="str">
        <f aca="false">IF(M764=1,YEAR(C764)&amp;"-Q"&amp;ROUNDUP(MONTH(C764)/3,0),"")</f>
        <v/>
      </c>
      <c r="V764" s="13" t="str">
        <f aca="false">IF(M764=1,MONTH(C764),"")</f>
        <v/>
      </c>
    </row>
    <row r="765" customFormat="false" ht="15" hidden="false" customHeight="false" outlineLevel="0" collapsed="false">
      <c r="A765" s="13" t="str">
        <f aca="false">TRIM(Raw_Data!A765)</f>
        <v>EMP0764</v>
      </c>
      <c r="B765" s="14" t="n">
        <f aca="false">Raw_Data!B765</f>
        <v>43332</v>
      </c>
      <c r="C765" s="14" t="str">
        <f aca="false">IF(Raw_Data!C765="","",Raw_Data!C765)</f>
        <v/>
      </c>
      <c r="D765" s="13" t="n">
        <f aca="false">IF(Raw_Data!D765="","",Raw_Data!D765)</f>
        <v>39</v>
      </c>
      <c r="E765" s="13" t="str">
        <f aca="false">IF(UPPER(LEFT(TRIM(Raw_Data!E765),1))="M","Male",IF(UPPER(LEFT(TRIM(Raw_Data!E765),1))="F","Female","Unknown"))</f>
        <v>Male</v>
      </c>
      <c r="F765" s="13" t="str">
        <f aca="false">PROPER(TRIM(SUBSTITUTE(Raw_Data!F765,"'","")))</f>
        <v>Doctorate</v>
      </c>
      <c r="G765" s="13" t="str">
        <f aca="false">PROPER(TRIM(Raw_Data!G765))</f>
        <v>Customer Support</v>
      </c>
      <c r="H765" s="13" t="str">
        <f aca="false">PROPER(TRIM(Raw_Data!H765))</f>
        <v>Analyst</v>
      </c>
      <c r="I765" s="13" t="n">
        <f aca="false">IF(Raw_Data!I765="",DefaultPerf,Raw_Data!I765)</f>
        <v>3</v>
      </c>
      <c r="J765" s="13" t="n">
        <f aca="false">IF(Raw_Data!J765="",DefaultSat,Raw_Data!J765)</f>
        <v>3</v>
      </c>
      <c r="K765" s="15" t="n">
        <f aca="false">Raw_Data!K765</f>
        <v>70000</v>
      </c>
      <c r="L765" s="13" t="str">
        <f aca="false">PROPER(TRIM(Raw_Data!N765))</f>
        <v>No</v>
      </c>
      <c r="M765" s="13" t="n">
        <f aca="false">IF(C765="",0,1)</f>
        <v>0</v>
      </c>
      <c r="N765" s="13" t="str">
        <f aca="false">IF(M765=0,"Active",IF(TRIM(Raw_Data!L765)="","Unknown",PROPER(TRIM(Raw_Data!L765))))</f>
        <v>Active</v>
      </c>
      <c r="O765" s="13" t="str">
        <f aca="false">IF(M765=0,"",IF(TRIM(Raw_Data!M765)="","Not Recorded",TRIM(Raw_Data!M765)))</f>
        <v/>
      </c>
      <c r="P765" s="16" t="n">
        <f aca="false">ROUND((IF(C765="",AsOfDate,C765)-B765)/365.25,2)</f>
        <v>7.36</v>
      </c>
      <c r="Q765" s="13" t="str">
        <f aca="false">IF(D765="","Unknown",IF(D765&lt;25,"Under 25",IF(D765&lt;35,"25-34",IF(D765&lt;45,"35-44",IF(D765&lt;55,"45-54","55+")))))</f>
        <v>35-44</v>
      </c>
      <c r="R765" s="13" t="str">
        <f aca="false">IF(P765&lt;1,"0-1 yrs",IF(P765&lt;3,"1-3 yrs",IF(P765&lt;5,"3-5 yrs",IF(P765&lt;10,"5-10 yrs","10+ yrs"))))</f>
        <v>5-10 yrs</v>
      </c>
      <c r="S765" s="13" t="str">
        <f aca="false">IF(I765&gt;=4,"High",IF(I765=3,"Medium","Low"))</f>
        <v>Medium</v>
      </c>
      <c r="T765" s="13" t="str">
        <f aca="false">IF(M765=1,YEAR(C765),"")</f>
        <v/>
      </c>
      <c r="U765" s="13" t="str">
        <f aca="false">IF(M765=1,YEAR(C765)&amp;"-Q"&amp;ROUNDUP(MONTH(C765)/3,0),"")</f>
        <v/>
      </c>
      <c r="V765" s="13" t="str">
        <f aca="false">IF(M765=1,MONTH(C765),"")</f>
        <v/>
      </c>
    </row>
    <row r="766" customFormat="false" ht="15" hidden="false" customHeight="false" outlineLevel="0" collapsed="false">
      <c r="A766" s="13" t="str">
        <f aca="false">TRIM(Raw_Data!A766)</f>
        <v>EMP0765</v>
      </c>
      <c r="B766" s="14" t="n">
        <f aca="false">Raw_Data!B766</f>
        <v>43334</v>
      </c>
      <c r="C766" s="14" t="str">
        <f aca="false">IF(Raw_Data!C766="","",Raw_Data!C766)</f>
        <v/>
      </c>
      <c r="D766" s="13" t="n">
        <f aca="false">IF(Raw_Data!D766="","",Raw_Data!D766)</f>
        <v>43</v>
      </c>
      <c r="E766" s="13" t="str">
        <f aca="false">IF(UPPER(LEFT(TRIM(Raw_Data!E766),1))="M","Male",IF(UPPER(LEFT(TRIM(Raw_Data!E766),1))="F","Female","Unknown"))</f>
        <v>Male</v>
      </c>
      <c r="F766" s="13" t="str">
        <f aca="false">PROPER(TRIM(SUBSTITUTE(Raw_Data!F766,"'","")))</f>
        <v>Masters</v>
      </c>
      <c r="G766" s="13" t="str">
        <f aca="false">PROPER(TRIM(Raw_Data!G766))</f>
        <v>Engineering</v>
      </c>
      <c r="H766" s="13" t="str">
        <f aca="false">PROPER(TRIM(Raw_Data!H766))</f>
        <v>Associate</v>
      </c>
      <c r="I766" s="13" t="n">
        <f aca="false">IF(Raw_Data!I766="",DefaultPerf,Raw_Data!I766)</f>
        <v>4</v>
      </c>
      <c r="J766" s="13" t="n">
        <f aca="false">IF(Raw_Data!J766="",DefaultSat,Raw_Data!J766)</f>
        <v>1</v>
      </c>
      <c r="K766" s="15" t="n">
        <f aca="false">Raw_Data!K766</f>
        <v>50500</v>
      </c>
      <c r="L766" s="13" t="str">
        <f aca="false">PROPER(TRIM(Raw_Data!N766))</f>
        <v>No</v>
      </c>
      <c r="M766" s="13" t="n">
        <f aca="false">IF(C766="",0,1)</f>
        <v>0</v>
      </c>
      <c r="N766" s="13" t="str">
        <f aca="false">IF(M766=0,"Active",IF(TRIM(Raw_Data!L766)="","Unknown",PROPER(TRIM(Raw_Data!L766))))</f>
        <v>Active</v>
      </c>
      <c r="O766" s="13" t="str">
        <f aca="false">IF(M766=0,"",IF(TRIM(Raw_Data!M766)="","Not Recorded",TRIM(Raw_Data!M766)))</f>
        <v/>
      </c>
      <c r="P766" s="16" t="n">
        <f aca="false">ROUND((IF(C766="",AsOfDate,C766)-B766)/365.25,2)</f>
        <v>7.36</v>
      </c>
      <c r="Q766" s="13" t="str">
        <f aca="false">IF(D766="","Unknown",IF(D766&lt;25,"Under 25",IF(D766&lt;35,"25-34",IF(D766&lt;45,"35-44",IF(D766&lt;55,"45-54","55+")))))</f>
        <v>35-44</v>
      </c>
      <c r="R766" s="13" t="str">
        <f aca="false">IF(P766&lt;1,"0-1 yrs",IF(P766&lt;3,"1-3 yrs",IF(P766&lt;5,"3-5 yrs",IF(P766&lt;10,"5-10 yrs","10+ yrs"))))</f>
        <v>5-10 yrs</v>
      </c>
      <c r="S766" s="13" t="str">
        <f aca="false">IF(I766&gt;=4,"High",IF(I766=3,"Medium","Low"))</f>
        <v>High</v>
      </c>
      <c r="T766" s="13" t="str">
        <f aca="false">IF(M766=1,YEAR(C766),"")</f>
        <v/>
      </c>
      <c r="U766" s="13" t="str">
        <f aca="false">IF(M766=1,YEAR(C766)&amp;"-Q"&amp;ROUNDUP(MONTH(C766)/3,0),"")</f>
        <v/>
      </c>
      <c r="V766" s="13" t="str">
        <f aca="false">IF(M766=1,MONTH(C766),"")</f>
        <v/>
      </c>
    </row>
    <row r="767" customFormat="false" ht="15" hidden="false" customHeight="false" outlineLevel="0" collapsed="false">
      <c r="A767" s="13" t="str">
        <f aca="false">TRIM(Raw_Data!A767)</f>
        <v>EMP0766</v>
      </c>
      <c r="B767" s="14" t="n">
        <f aca="false">Raw_Data!B767</f>
        <v>43334</v>
      </c>
      <c r="C767" s="14" t="n">
        <f aca="false">IF(Raw_Data!C767="","",Raw_Data!C767)</f>
        <v>44628</v>
      </c>
      <c r="D767" s="13" t="n">
        <f aca="false">IF(Raw_Data!D767="","",Raw_Data!D767)</f>
        <v>36</v>
      </c>
      <c r="E767" s="13" t="str">
        <f aca="false">IF(UPPER(LEFT(TRIM(Raw_Data!E767),1))="M","Male",IF(UPPER(LEFT(TRIM(Raw_Data!E767),1))="F","Female","Unknown"))</f>
        <v>Male</v>
      </c>
      <c r="F767" s="13" t="str">
        <f aca="false">PROPER(TRIM(SUBSTITUTE(Raw_Data!F767,"'","")))</f>
        <v>Bachelors</v>
      </c>
      <c r="G767" s="13" t="str">
        <f aca="false">PROPER(TRIM(Raw_Data!G767))</f>
        <v>Operations</v>
      </c>
      <c r="H767" s="13" t="str">
        <f aca="false">PROPER(TRIM(Raw_Data!H767))</f>
        <v>Associate</v>
      </c>
      <c r="I767" s="13" t="n">
        <f aca="false">IF(Raw_Data!I767="",DefaultPerf,Raw_Data!I767)</f>
        <v>3</v>
      </c>
      <c r="J767" s="13" t="n">
        <f aca="false">IF(Raw_Data!J767="",DefaultSat,Raw_Data!J767)</f>
        <v>3</v>
      </c>
      <c r="K767" s="15" t="n">
        <f aca="false">Raw_Data!K767</f>
        <v>43500</v>
      </c>
      <c r="L767" s="13" t="str">
        <f aca="false">PROPER(TRIM(Raw_Data!N767))</f>
        <v>No</v>
      </c>
      <c r="M767" s="13" t="n">
        <f aca="false">IF(C767="",0,1)</f>
        <v>1</v>
      </c>
      <c r="N767" s="13" t="str">
        <f aca="false">IF(M767=0,"Active",IF(TRIM(Raw_Data!L767)="","Unknown",PROPER(TRIM(Raw_Data!L767))))</f>
        <v>Voluntary</v>
      </c>
      <c r="O767" s="13" t="str">
        <f aca="false">IF(M767=0,"",IF(TRIM(Raw_Data!M767)="","Not Recorded",TRIM(Raw_Data!M767)))</f>
        <v>Job Dissatisfaction</v>
      </c>
      <c r="P767" s="16" t="n">
        <f aca="false">ROUND((IF(C767="",AsOfDate,C767)-B767)/365.25,2)</f>
        <v>3.54</v>
      </c>
      <c r="Q767" s="13" t="str">
        <f aca="false">IF(D767="","Unknown",IF(D767&lt;25,"Under 25",IF(D767&lt;35,"25-34",IF(D767&lt;45,"35-44",IF(D767&lt;55,"45-54","55+")))))</f>
        <v>35-44</v>
      </c>
      <c r="R767" s="13" t="str">
        <f aca="false">IF(P767&lt;1,"0-1 yrs",IF(P767&lt;3,"1-3 yrs",IF(P767&lt;5,"3-5 yrs",IF(P767&lt;10,"5-10 yrs","10+ yrs"))))</f>
        <v>3-5 yrs</v>
      </c>
      <c r="S767" s="13" t="str">
        <f aca="false">IF(I767&gt;=4,"High",IF(I767=3,"Medium","Low"))</f>
        <v>Medium</v>
      </c>
      <c r="T767" s="13" t="n">
        <f aca="false">IF(M767=1,YEAR(C767),"")</f>
        <v>2022</v>
      </c>
      <c r="U767" s="13" t="str">
        <f aca="false">IF(M767=1,YEAR(C767)&amp;"-Q"&amp;ROUNDUP(MONTH(C767)/3,0),"")</f>
        <v>2022-Q1</v>
      </c>
      <c r="V767" s="13" t="n">
        <f aca="false">IF(M767=1,MONTH(C767),"")</f>
        <v>3</v>
      </c>
    </row>
    <row r="768" customFormat="false" ht="15" hidden="false" customHeight="false" outlineLevel="0" collapsed="false">
      <c r="A768" s="13" t="str">
        <f aca="false">TRIM(Raw_Data!A768)</f>
        <v>EMP0767</v>
      </c>
      <c r="B768" s="14" t="n">
        <f aca="false">Raw_Data!B768</f>
        <v>43338</v>
      </c>
      <c r="C768" s="14" t="n">
        <f aca="false">IF(Raw_Data!C768="","",Raw_Data!C768)</f>
        <v>45901</v>
      </c>
      <c r="D768" s="13" t="n">
        <f aca="false">IF(Raw_Data!D768="","",Raw_Data!D768)</f>
        <v>36</v>
      </c>
      <c r="E768" s="13" t="str">
        <f aca="false">IF(UPPER(LEFT(TRIM(Raw_Data!E768),1))="M","Male",IF(UPPER(LEFT(TRIM(Raw_Data!E768),1))="F","Female","Unknown"))</f>
        <v>Female</v>
      </c>
      <c r="F768" s="13" t="str">
        <f aca="false">PROPER(TRIM(SUBSTITUTE(Raw_Data!F768,"'","")))</f>
        <v>Bachelors</v>
      </c>
      <c r="G768" s="13" t="str">
        <f aca="false">PROPER(TRIM(Raw_Data!G768))</f>
        <v>Engineering</v>
      </c>
      <c r="H768" s="13" t="str">
        <f aca="false">PROPER(TRIM(Raw_Data!H768))</f>
        <v>Team Lead</v>
      </c>
      <c r="I768" s="13" t="n">
        <f aca="false">IF(Raw_Data!I768="",DefaultPerf,Raw_Data!I768)</f>
        <v>3</v>
      </c>
      <c r="J768" s="13" t="n">
        <f aca="false">IF(Raw_Data!J768="",DefaultSat,Raw_Data!J768)</f>
        <v>3</v>
      </c>
      <c r="K768" s="15" t="n">
        <f aca="false">Raw_Data!K768</f>
        <v>149500</v>
      </c>
      <c r="L768" s="13" t="str">
        <f aca="false">PROPER(TRIM(Raw_Data!N768))</f>
        <v>Yes</v>
      </c>
      <c r="M768" s="13" t="n">
        <f aca="false">IF(C768="",0,1)</f>
        <v>1</v>
      </c>
      <c r="N768" s="13" t="str">
        <f aca="false">IF(M768=0,"Active",IF(TRIM(Raw_Data!L768)="","Unknown",PROPER(TRIM(Raw_Data!L768))))</f>
        <v>Voluntary</v>
      </c>
      <c r="O768" s="13" t="str">
        <f aca="false">IF(M768=0,"",IF(TRIM(Raw_Data!M768)="","Not Recorded",TRIM(Raw_Data!M768)))</f>
        <v>Work-Life Balance</v>
      </c>
      <c r="P768" s="16" t="n">
        <f aca="false">ROUND((IF(C768="",AsOfDate,C768)-B768)/365.25,2)</f>
        <v>7.02</v>
      </c>
      <c r="Q768" s="13" t="str">
        <f aca="false">IF(D768="","Unknown",IF(D768&lt;25,"Under 25",IF(D768&lt;35,"25-34",IF(D768&lt;45,"35-44",IF(D768&lt;55,"45-54","55+")))))</f>
        <v>35-44</v>
      </c>
      <c r="R768" s="13" t="str">
        <f aca="false">IF(P768&lt;1,"0-1 yrs",IF(P768&lt;3,"1-3 yrs",IF(P768&lt;5,"3-5 yrs",IF(P768&lt;10,"5-10 yrs","10+ yrs"))))</f>
        <v>5-10 yrs</v>
      </c>
      <c r="S768" s="13" t="str">
        <f aca="false">IF(I768&gt;=4,"High",IF(I768=3,"Medium","Low"))</f>
        <v>Medium</v>
      </c>
      <c r="T768" s="13" t="n">
        <f aca="false">IF(M768=1,YEAR(C768),"")</f>
        <v>2025</v>
      </c>
      <c r="U768" s="13" t="str">
        <f aca="false">IF(M768=1,YEAR(C768)&amp;"-Q"&amp;ROUNDUP(MONTH(C768)/3,0),"")</f>
        <v>2025-Q3</v>
      </c>
      <c r="V768" s="13" t="n">
        <f aca="false">IF(M768=1,MONTH(C768),"")</f>
        <v>9</v>
      </c>
    </row>
    <row r="769" customFormat="false" ht="15" hidden="false" customHeight="false" outlineLevel="0" collapsed="false">
      <c r="A769" s="13" t="str">
        <f aca="false">TRIM(Raw_Data!A769)</f>
        <v>EMP0768</v>
      </c>
      <c r="B769" s="14" t="n">
        <f aca="false">Raw_Data!B769</f>
        <v>43338</v>
      </c>
      <c r="C769" s="14" t="str">
        <f aca="false">IF(Raw_Data!C769="","",Raw_Data!C769)</f>
        <v/>
      </c>
      <c r="D769" s="13" t="n">
        <f aca="false">IF(Raw_Data!D769="","",Raw_Data!D769)</f>
        <v>38</v>
      </c>
      <c r="E769" s="13" t="str">
        <f aca="false">IF(UPPER(LEFT(TRIM(Raw_Data!E769),1))="M","Male",IF(UPPER(LEFT(TRIM(Raw_Data!E769),1))="F","Female","Unknown"))</f>
        <v>Female</v>
      </c>
      <c r="F769" s="13" t="str">
        <f aca="false">PROPER(TRIM(SUBSTITUTE(Raw_Data!F769,"'","")))</f>
        <v>Bachelors</v>
      </c>
      <c r="G769" s="13" t="str">
        <f aca="false">PROPER(TRIM(Raw_Data!G769))</f>
        <v>Finance</v>
      </c>
      <c r="H769" s="13" t="str">
        <f aca="false">PROPER(TRIM(Raw_Data!H769))</f>
        <v>Analyst</v>
      </c>
      <c r="I769" s="13" t="n">
        <f aca="false">IF(Raw_Data!I769="",DefaultPerf,Raw_Data!I769)</f>
        <v>3</v>
      </c>
      <c r="J769" s="13" t="n">
        <f aca="false">IF(Raw_Data!J769="",DefaultSat,Raw_Data!J769)</f>
        <v>1</v>
      </c>
      <c r="K769" s="15" t="n">
        <f aca="false">Raw_Data!K769</f>
        <v>71500</v>
      </c>
      <c r="L769" s="13" t="str">
        <f aca="false">PROPER(TRIM(Raw_Data!N769))</f>
        <v>No</v>
      </c>
      <c r="M769" s="13" t="n">
        <f aca="false">IF(C769="",0,1)</f>
        <v>0</v>
      </c>
      <c r="N769" s="13" t="str">
        <f aca="false">IF(M769=0,"Active",IF(TRIM(Raw_Data!L769)="","Unknown",PROPER(TRIM(Raw_Data!L769))))</f>
        <v>Active</v>
      </c>
      <c r="O769" s="13" t="str">
        <f aca="false">IF(M769=0,"",IF(TRIM(Raw_Data!M769)="","Not Recorded",TRIM(Raw_Data!M769)))</f>
        <v/>
      </c>
      <c r="P769" s="16" t="n">
        <f aca="false">ROUND((IF(C769="",AsOfDate,C769)-B769)/365.25,2)</f>
        <v>7.35</v>
      </c>
      <c r="Q769" s="13" t="str">
        <f aca="false">IF(D769="","Unknown",IF(D769&lt;25,"Under 25",IF(D769&lt;35,"25-34",IF(D769&lt;45,"35-44",IF(D769&lt;55,"45-54","55+")))))</f>
        <v>35-44</v>
      </c>
      <c r="R769" s="13" t="str">
        <f aca="false">IF(P769&lt;1,"0-1 yrs",IF(P769&lt;3,"1-3 yrs",IF(P769&lt;5,"3-5 yrs",IF(P769&lt;10,"5-10 yrs","10+ yrs"))))</f>
        <v>5-10 yrs</v>
      </c>
      <c r="S769" s="13" t="str">
        <f aca="false">IF(I769&gt;=4,"High",IF(I769=3,"Medium","Low"))</f>
        <v>Medium</v>
      </c>
      <c r="T769" s="13" t="str">
        <f aca="false">IF(M769=1,YEAR(C769),"")</f>
        <v/>
      </c>
      <c r="U769" s="13" t="str">
        <f aca="false">IF(M769=1,YEAR(C769)&amp;"-Q"&amp;ROUNDUP(MONTH(C769)/3,0),"")</f>
        <v/>
      </c>
      <c r="V769" s="13" t="str">
        <f aca="false">IF(M769=1,MONTH(C769),"")</f>
        <v/>
      </c>
    </row>
    <row r="770" customFormat="false" ht="15" hidden="false" customHeight="false" outlineLevel="0" collapsed="false">
      <c r="A770" s="13" t="str">
        <f aca="false">TRIM(Raw_Data!A770)</f>
        <v>EMP0769</v>
      </c>
      <c r="B770" s="14" t="n">
        <f aca="false">Raw_Data!B770</f>
        <v>43344</v>
      </c>
      <c r="C770" s="14" t="n">
        <f aca="false">IF(Raw_Data!C770="","",Raw_Data!C770)</f>
        <v>44795</v>
      </c>
      <c r="D770" s="13" t="n">
        <f aca="false">IF(Raw_Data!D770="","",Raw_Data!D770)</f>
        <v>36</v>
      </c>
      <c r="E770" s="13" t="str">
        <f aca="false">IF(UPPER(LEFT(TRIM(Raw_Data!E770),1))="M","Male",IF(UPPER(LEFT(TRIM(Raw_Data!E770),1))="F","Female","Unknown"))</f>
        <v>Female</v>
      </c>
      <c r="F770" s="13" t="str">
        <f aca="false">PROPER(TRIM(SUBSTITUTE(Raw_Data!F770,"'","")))</f>
        <v>Bachelors</v>
      </c>
      <c r="G770" s="13" t="str">
        <f aca="false">PROPER(TRIM(Raw_Data!G770))</f>
        <v>Engineering</v>
      </c>
      <c r="H770" s="13" t="str">
        <f aca="false">PROPER(TRIM(Raw_Data!H770))</f>
        <v>Associate</v>
      </c>
      <c r="I770" s="13" t="n">
        <f aca="false">IF(Raw_Data!I770="",DefaultPerf,Raw_Data!I770)</f>
        <v>3</v>
      </c>
      <c r="J770" s="13" t="n">
        <f aca="false">IF(Raw_Data!J770="",DefaultSat,Raw_Data!J770)</f>
        <v>3</v>
      </c>
      <c r="K770" s="15" t="n">
        <f aca="false">Raw_Data!K770</f>
        <v>44500</v>
      </c>
      <c r="L770" s="13" t="str">
        <f aca="false">PROPER(TRIM(Raw_Data!N770))</f>
        <v>Yes</v>
      </c>
      <c r="M770" s="13" t="n">
        <f aca="false">IF(C770="",0,1)</f>
        <v>1</v>
      </c>
      <c r="N770" s="13" t="str">
        <f aca="false">IF(M770=0,"Active",IF(TRIM(Raw_Data!L770)="","Unknown",PROPER(TRIM(Raw_Data!L770))))</f>
        <v>Voluntary</v>
      </c>
      <c r="O770" s="13" t="str">
        <f aca="false">IF(M770=0,"",IF(TRIM(Raw_Data!M770)="","Not Recorded",TRIM(Raw_Data!M770)))</f>
        <v>Work-Life Balance</v>
      </c>
      <c r="P770" s="16" t="n">
        <f aca="false">ROUND((IF(C770="",AsOfDate,C770)-B770)/365.25,2)</f>
        <v>3.97</v>
      </c>
      <c r="Q770" s="13" t="str">
        <f aca="false">IF(D770="","Unknown",IF(D770&lt;25,"Under 25",IF(D770&lt;35,"25-34",IF(D770&lt;45,"35-44",IF(D770&lt;55,"45-54","55+")))))</f>
        <v>35-44</v>
      </c>
      <c r="R770" s="13" t="str">
        <f aca="false">IF(P770&lt;1,"0-1 yrs",IF(P770&lt;3,"1-3 yrs",IF(P770&lt;5,"3-5 yrs",IF(P770&lt;10,"5-10 yrs","10+ yrs"))))</f>
        <v>3-5 yrs</v>
      </c>
      <c r="S770" s="13" t="str">
        <f aca="false">IF(I770&gt;=4,"High",IF(I770=3,"Medium","Low"))</f>
        <v>Medium</v>
      </c>
      <c r="T770" s="13" t="n">
        <f aca="false">IF(M770=1,YEAR(C770),"")</f>
        <v>2022</v>
      </c>
      <c r="U770" s="13" t="str">
        <f aca="false">IF(M770=1,YEAR(C770)&amp;"-Q"&amp;ROUNDUP(MONTH(C770)/3,0),"")</f>
        <v>2022-Q3</v>
      </c>
      <c r="V770" s="13" t="n">
        <f aca="false">IF(M770=1,MONTH(C770),"")</f>
        <v>8</v>
      </c>
    </row>
    <row r="771" customFormat="false" ht="15" hidden="false" customHeight="false" outlineLevel="0" collapsed="false">
      <c r="A771" s="13" t="str">
        <f aca="false">TRIM(Raw_Data!A771)</f>
        <v>EMP0770</v>
      </c>
      <c r="B771" s="14" t="n">
        <f aca="false">Raw_Data!B771</f>
        <v>43345</v>
      </c>
      <c r="C771" s="14" t="str">
        <f aca="false">IF(Raw_Data!C771="","",Raw_Data!C771)</f>
        <v/>
      </c>
      <c r="D771" s="13" t="n">
        <f aca="false">IF(Raw_Data!D771="","",Raw_Data!D771)</f>
        <v>35</v>
      </c>
      <c r="E771" s="13" t="str">
        <f aca="false">IF(UPPER(LEFT(TRIM(Raw_Data!E771),1))="M","Male",IF(UPPER(LEFT(TRIM(Raw_Data!E771),1))="F","Female","Unknown"))</f>
        <v>Female</v>
      </c>
      <c r="F771" s="13" t="str">
        <f aca="false">PROPER(TRIM(SUBSTITUTE(Raw_Data!F771,"'","")))</f>
        <v>Diploma</v>
      </c>
      <c r="G771" s="13" t="str">
        <f aca="false">PROPER(TRIM(Raw_Data!G771))</f>
        <v>Operations</v>
      </c>
      <c r="H771" s="13" t="str">
        <f aca="false">PROPER(TRIM(Raw_Data!H771))</f>
        <v>Associate</v>
      </c>
      <c r="I771" s="13" t="n">
        <f aca="false">IF(Raw_Data!I771="",DefaultPerf,Raw_Data!I771)</f>
        <v>3</v>
      </c>
      <c r="J771" s="13" t="n">
        <f aca="false">IF(Raw_Data!J771="",DefaultSat,Raw_Data!J771)</f>
        <v>1</v>
      </c>
      <c r="K771" s="15" t="n">
        <f aca="false">Raw_Data!K771</f>
        <v>39500</v>
      </c>
      <c r="L771" s="13" t="str">
        <f aca="false">PROPER(TRIM(Raw_Data!N771))</f>
        <v>No</v>
      </c>
      <c r="M771" s="13" t="n">
        <f aca="false">IF(C771="",0,1)</f>
        <v>0</v>
      </c>
      <c r="N771" s="13" t="str">
        <f aca="false">IF(M771=0,"Active",IF(TRIM(Raw_Data!L771)="","Unknown",PROPER(TRIM(Raw_Data!L771))))</f>
        <v>Active</v>
      </c>
      <c r="O771" s="13" t="str">
        <f aca="false">IF(M771=0,"",IF(TRIM(Raw_Data!M771)="","Not Recorded",TRIM(Raw_Data!M771)))</f>
        <v/>
      </c>
      <c r="P771" s="16" t="n">
        <f aca="false">ROUND((IF(C771="",AsOfDate,C771)-B771)/365.25,2)</f>
        <v>7.33</v>
      </c>
      <c r="Q771" s="13" t="str">
        <f aca="false">IF(D771="","Unknown",IF(D771&lt;25,"Under 25",IF(D771&lt;35,"25-34",IF(D771&lt;45,"35-44",IF(D771&lt;55,"45-54","55+")))))</f>
        <v>35-44</v>
      </c>
      <c r="R771" s="13" t="str">
        <f aca="false">IF(P771&lt;1,"0-1 yrs",IF(P771&lt;3,"1-3 yrs",IF(P771&lt;5,"3-5 yrs",IF(P771&lt;10,"5-10 yrs","10+ yrs"))))</f>
        <v>5-10 yrs</v>
      </c>
      <c r="S771" s="13" t="str">
        <f aca="false">IF(I771&gt;=4,"High",IF(I771=3,"Medium","Low"))</f>
        <v>Medium</v>
      </c>
      <c r="T771" s="13" t="str">
        <f aca="false">IF(M771=1,YEAR(C771),"")</f>
        <v/>
      </c>
      <c r="U771" s="13" t="str">
        <f aca="false">IF(M771=1,YEAR(C771)&amp;"-Q"&amp;ROUNDUP(MONTH(C771)/3,0),"")</f>
        <v/>
      </c>
      <c r="V771" s="13" t="str">
        <f aca="false">IF(M771=1,MONTH(C771),"")</f>
        <v/>
      </c>
    </row>
    <row r="772" customFormat="false" ht="15" hidden="false" customHeight="false" outlineLevel="0" collapsed="false">
      <c r="A772" s="13" t="str">
        <f aca="false">TRIM(Raw_Data!A772)</f>
        <v>EMP0771</v>
      </c>
      <c r="B772" s="14" t="n">
        <f aca="false">Raw_Data!B772</f>
        <v>43347</v>
      </c>
      <c r="C772" s="14" t="str">
        <f aca="false">IF(Raw_Data!C772="","",Raw_Data!C772)</f>
        <v/>
      </c>
      <c r="D772" s="13" t="n">
        <f aca="false">IF(Raw_Data!D772="","",Raw_Data!D772)</f>
        <v>49</v>
      </c>
      <c r="E772" s="13" t="str">
        <f aca="false">IF(UPPER(LEFT(TRIM(Raw_Data!E772),1))="M","Male",IF(UPPER(LEFT(TRIM(Raw_Data!E772),1))="F","Female","Unknown"))</f>
        <v>Male</v>
      </c>
      <c r="F772" s="13" t="str">
        <f aca="false">PROPER(TRIM(SUBSTITUTE(Raw_Data!F772,"'","")))</f>
        <v>Masters</v>
      </c>
      <c r="G772" s="13" t="str">
        <f aca="false">PROPER(TRIM(Raw_Data!G772))</f>
        <v>Operations</v>
      </c>
      <c r="H772" s="13" t="str">
        <f aca="false">PROPER(TRIM(Raw_Data!H772))</f>
        <v>Senior Analyst</v>
      </c>
      <c r="I772" s="13" t="n">
        <f aca="false">IF(Raw_Data!I772="",DefaultPerf,Raw_Data!I772)</f>
        <v>1</v>
      </c>
      <c r="J772" s="13" t="n">
        <f aca="false">IF(Raw_Data!J772="",DefaultSat,Raw_Data!J772)</f>
        <v>3</v>
      </c>
      <c r="K772" s="15" t="n">
        <f aca="false">Raw_Data!K772</f>
        <v>92500</v>
      </c>
      <c r="L772" s="13" t="str">
        <f aca="false">PROPER(TRIM(Raw_Data!N772))</f>
        <v>No</v>
      </c>
      <c r="M772" s="13" t="n">
        <f aca="false">IF(C772="",0,1)</f>
        <v>0</v>
      </c>
      <c r="N772" s="13" t="str">
        <f aca="false">IF(M772=0,"Active",IF(TRIM(Raw_Data!L772)="","Unknown",PROPER(TRIM(Raw_Data!L772))))</f>
        <v>Active</v>
      </c>
      <c r="O772" s="13" t="str">
        <f aca="false">IF(M772=0,"",IF(TRIM(Raw_Data!M772)="","Not Recorded",TRIM(Raw_Data!M772)))</f>
        <v/>
      </c>
      <c r="P772" s="16" t="n">
        <f aca="false">ROUND((IF(C772="",AsOfDate,C772)-B772)/365.25,2)</f>
        <v>7.32</v>
      </c>
      <c r="Q772" s="13" t="str">
        <f aca="false">IF(D772="","Unknown",IF(D772&lt;25,"Under 25",IF(D772&lt;35,"25-34",IF(D772&lt;45,"35-44",IF(D772&lt;55,"45-54","55+")))))</f>
        <v>45-54</v>
      </c>
      <c r="R772" s="13" t="str">
        <f aca="false">IF(P772&lt;1,"0-1 yrs",IF(P772&lt;3,"1-3 yrs",IF(P772&lt;5,"3-5 yrs",IF(P772&lt;10,"5-10 yrs","10+ yrs"))))</f>
        <v>5-10 yrs</v>
      </c>
      <c r="S772" s="13" t="str">
        <f aca="false">IF(I772&gt;=4,"High",IF(I772=3,"Medium","Low"))</f>
        <v>Low</v>
      </c>
      <c r="T772" s="13" t="str">
        <f aca="false">IF(M772=1,YEAR(C772),"")</f>
        <v/>
      </c>
      <c r="U772" s="13" t="str">
        <f aca="false">IF(M772=1,YEAR(C772)&amp;"-Q"&amp;ROUNDUP(MONTH(C772)/3,0),"")</f>
        <v/>
      </c>
      <c r="V772" s="13" t="str">
        <f aca="false">IF(M772=1,MONTH(C772),"")</f>
        <v/>
      </c>
    </row>
    <row r="773" customFormat="false" ht="15" hidden="false" customHeight="false" outlineLevel="0" collapsed="false">
      <c r="A773" s="13" t="str">
        <f aca="false">TRIM(Raw_Data!A773)</f>
        <v>EMP0772</v>
      </c>
      <c r="B773" s="14" t="n">
        <f aca="false">Raw_Data!B773</f>
        <v>43351</v>
      </c>
      <c r="C773" s="14" t="str">
        <f aca="false">IF(Raw_Data!C773="","",Raw_Data!C773)</f>
        <v/>
      </c>
      <c r="D773" s="13" t="n">
        <f aca="false">IF(Raw_Data!D773="","",Raw_Data!D773)</f>
        <v>38</v>
      </c>
      <c r="E773" s="13" t="str">
        <f aca="false">IF(UPPER(LEFT(TRIM(Raw_Data!E773),1))="M","Male",IF(UPPER(LEFT(TRIM(Raw_Data!E773),1))="F","Female","Unknown"))</f>
        <v>Male</v>
      </c>
      <c r="F773" s="13" t="str">
        <f aca="false">PROPER(TRIM(SUBSTITUTE(Raw_Data!F773,"'","")))</f>
        <v>Bachelors</v>
      </c>
      <c r="G773" s="13" t="str">
        <f aca="false">PROPER(TRIM(Raw_Data!G773))</f>
        <v>Sales</v>
      </c>
      <c r="H773" s="13" t="str">
        <f aca="false">PROPER(TRIM(Raw_Data!H773))</f>
        <v>Analyst</v>
      </c>
      <c r="I773" s="13" t="n">
        <f aca="false">IF(Raw_Data!I773="",DefaultPerf,Raw_Data!I773)</f>
        <v>3</v>
      </c>
      <c r="J773" s="13" t="n">
        <f aca="false">IF(Raw_Data!J773="",DefaultSat,Raw_Data!J773)</f>
        <v>2</v>
      </c>
      <c r="K773" s="15" t="n">
        <f aca="false">Raw_Data!K773</f>
        <v>72500</v>
      </c>
      <c r="L773" s="13" t="str">
        <f aca="false">PROPER(TRIM(Raw_Data!N773))</f>
        <v>No</v>
      </c>
      <c r="M773" s="13" t="n">
        <f aca="false">IF(C773="",0,1)</f>
        <v>0</v>
      </c>
      <c r="N773" s="13" t="str">
        <f aca="false">IF(M773=0,"Active",IF(TRIM(Raw_Data!L773)="","Unknown",PROPER(TRIM(Raw_Data!L773))))</f>
        <v>Active</v>
      </c>
      <c r="O773" s="13" t="str">
        <f aca="false">IF(M773=0,"",IF(TRIM(Raw_Data!M773)="","Not Recorded",TRIM(Raw_Data!M773)))</f>
        <v/>
      </c>
      <c r="P773" s="16" t="n">
        <f aca="false">ROUND((IF(C773="",AsOfDate,C773)-B773)/365.25,2)</f>
        <v>7.31</v>
      </c>
      <c r="Q773" s="13" t="str">
        <f aca="false">IF(D773="","Unknown",IF(D773&lt;25,"Under 25",IF(D773&lt;35,"25-34",IF(D773&lt;45,"35-44",IF(D773&lt;55,"45-54","55+")))))</f>
        <v>35-44</v>
      </c>
      <c r="R773" s="13" t="str">
        <f aca="false">IF(P773&lt;1,"0-1 yrs",IF(P773&lt;3,"1-3 yrs",IF(P773&lt;5,"3-5 yrs",IF(P773&lt;10,"5-10 yrs","10+ yrs"))))</f>
        <v>5-10 yrs</v>
      </c>
      <c r="S773" s="13" t="str">
        <f aca="false">IF(I773&gt;=4,"High",IF(I773=3,"Medium","Low"))</f>
        <v>Medium</v>
      </c>
      <c r="T773" s="13" t="str">
        <f aca="false">IF(M773=1,YEAR(C773),"")</f>
        <v/>
      </c>
      <c r="U773" s="13" t="str">
        <f aca="false">IF(M773=1,YEAR(C773)&amp;"-Q"&amp;ROUNDUP(MONTH(C773)/3,0),"")</f>
        <v/>
      </c>
      <c r="V773" s="13" t="str">
        <f aca="false">IF(M773=1,MONTH(C773),"")</f>
        <v/>
      </c>
    </row>
    <row r="774" customFormat="false" ht="15" hidden="false" customHeight="false" outlineLevel="0" collapsed="false">
      <c r="A774" s="13" t="str">
        <f aca="false">TRIM(Raw_Data!A774)</f>
        <v>EMP0773</v>
      </c>
      <c r="B774" s="14" t="n">
        <f aca="false">Raw_Data!B774</f>
        <v>43352</v>
      </c>
      <c r="C774" s="14" t="str">
        <f aca="false">IF(Raw_Data!C774="","",Raw_Data!C774)</f>
        <v/>
      </c>
      <c r="D774" s="13" t="str">
        <f aca="false">IF(Raw_Data!D774="","",Raw_Data!D774)</f>
        <v/>
      </c>
      <c r="E774" s="13" t="str">
        <f aca="false">IF(UPPER(LEFT(TRIM(Raw_Data!E774),1))="M","Male",IF(UPPER(LEFT(TRIM(Raw_Data!E774),1))="F","Female","Unknown"))</f>
        <v>Female</v>
      </c>
      <c r="F774" s="13" t="str">
        <f aca="false">PROPER(TRIM(SUBSTITUTE(Raw_Data!F774,"'","")))</f>
        <v>Masters</v>
      </c>
      <c r="G774" s="13" t="str">
        <f aca="false">PROPER(TRIM(Raw_Data!G774))</f>
        <v>Operations</v>
      </c>
      <c r="H774" s="13" t="str">
        <f aca="false">PROPER(TRIM(Raw_Data!H774))</f>
        <v>Specialist</v>
      </c>
      <c r="I774" s="13" t="n">
        <f aca="false">IF(Raw_Data!I774="",DefaultPerf,Raw_Data!I774)</f>
        <v>4</v>
      </c>
      <c r="J774" s="13" t="n">
        <f aca="false">IF(Raw_Data!J774="",DefaultSat,Raw_Data!J774)</f>
        <v>3</v>
      </c>
      <c r="K774" s="15" t="n">
        <f aca="false">Raw_Data!K774</f>
        <v>120500</v>
      </c>
      <c r="L774" s="13" t="str">
        <f aca="false">PROPER(TRIM(Raw_Data!N774))</f>
        <v>Yes</v>
      </c>
      <c r="M774" s="13" t="n">
        <f aca="false">IF(C774="",0,1)</f>
        <v>0</v>
      </c>
      <c r="N774" s="13" t="str">
        <f aca="false">IF(M774=0,"Active",IF(TRIM(Raw_Data!L774)="","Unknown",PROPER(TRIM(Raw_Data!L774))))</f>
        <v>Active</v>
      </c>
      <c r="O774" s="13" t="str">
        <f aca="false">IF(M774=0,"",IF(TRIM(Raw_Data!M774)="","Not Recorded",TRIM(Raw_Data!M774)))</f>
        <v/>
      </c>
      <c r="P774" s="16" t="n">
        <f aca="false">ROUND((IF(C774="",AsOfDate,C774)-B774)/365.25,2)</f>
        <v>7.31</v>
      </c>
      <c r="Q774" s="13" t="str">
        <f aca="false">IF(D774="","Unknown",IF(D774&lt;25,"Under 25",IF(D774&lt;35,"25-34",IF(D774&lt;45,"35-44",IF(D774&lt;55,"45-54","55+")))))</f>
        <v>Unknown</v>
      </c>
      <c r="R774" s="13" t="str">
        <f aca="false">IF(P774&lt;1,"0-1 yrs",IF(P774&lt;3,"1-3 yrs",IF(P774&lt;5,"3-5 yrs",IF(P774&lt;10,"5-10 yrs","10+ yrs"))))</f>
        <v>5-10 yrs</v>
      </c>
      <c r="S774" s="13" t="str">
        <f aca="false">IF(I774&gt;=4,"High",IF(I774=3,"Medium","Low"))</f>
        <v>High</v>
      </c>
      <c r="T774" s="13" t="str">
        <f aca="false">IF(M774=1,YEAR(C774),"")</f>
        <v/>
      </c>
      <c r="U774" s="13" t="str">
        <f aca="false">IF(M774=1,YEAR(C774)&amp;"-Q"&amp;ROUNDUP(MONTH(C774)/3,0),"")</f>
        <v/>
      </c>
      <c r="V774" s="13" t="str">
        <f aca="false">IF(M774=1,MONTH(C774),"")</f>
        <v/>
      </c>
    </row>
    <row r="775" customFormat="false" ht="15" hidden="false" customHeight="false" outlineLevel="0" collapsed="false">
      <c r="A775" s="13" t="str">
        <f aca="false">TRIM(Raw_Data!A775)</f>
        <v>EMP0774</v>
      </c>
      <c r="B775" s="14" t="n">
        <f aca="false">Raw_Data!B775</f>
        <v>43354</v>
      </c>
      <c r="C775" s="14" t="str">
        <f aca="false">IF(Raw_Data!C775="","",Raw_Data!C775)</f>
        <v/>
      </c>
      <c r="D775" s="13" t="n">
        <f aca="false">IF(Raw_Data!D775="","",Raw_Data!D775)</f>
        <v>34</v>
      </c>
      <c r="E775" s="13" t="str">
        <f aca="false">IF(UPPER(LEFT(TRIM(Raw_Data!E775),1))="M","Male",IF(UPPER(LEFT(TRIM(Raw_Data!E775),1))="F","Female","Unknown"))</f>
        <v>Female</v>
      </c>
      <c r="F775" s="13" t="str">
        <f aca="false">PROPER(TRIM(SUBSTITUTE(Raw_Data!F775,"'","")))</f>
        <v>Diploma</v>
      </c>
      <c r="G775" s="13" t="str">
        <f aca="false">PROPER(TRIM(Raw_Data!G775))</f>
        <v>Operations</v>
      </c>
      <c r="H775" s="13" t="str">
        <f aca="false">PROPER(TRIM(Raw_Data!H775))</f>
        <v>Senior Analyst</v>
      </c>
      <c r="I775" s="13" t="n">
        <f aca="false">IF(Raw_Data!I775="",DefaultPerf,Raw_Data!I775)</f>
        <v>4</v>
      </c>
      <c r="J775" s="13" t="n">
        <f aca="false">IF(Raw_Data!J775="",DefaultSat,Raw_Data!J775)</f>
        <v>2</v>
      </c>
      <c r="K775" s="15" t="n">
        <f aca="false">Raw_Data!K775</f>
        <v>106000</v>
      </c>
      <c r="L775" s="13" t="str">
        <f aca="false">PROPER(TRIM(Raw_Data!N775))</f>
        <v>No</v>
      </c>
      <c r="M775" s="13" t="n">
        <f aca="false">IF(C775="",0,1)</f>
        <v>0</v>
      </c>
      <c r="N775" s="13" t="str">
        <f aca="false">IF(M775=0,"Active",IF(TRIM(Raw_Data!L775)="","Unknown",PROPER(TRIM(Raw_Data!L775))))</f>
        <v>Active</v>
      </c>
      <c r="O775" s="13" t="str">
        <f aca="false">IF(M775=0,"",IF(TRIM(Raw_Data!M775)="","Not Recorded",TRIM(Raw_Data!M775)))</f>
        <v/>
      </c>
      <c r="P775" s="16" t="n">
        <f aca="false">ROUND((IF(C775="",AsOfDate,C775)-B775)/365.25,2)</f>
        <v>7.3</v>
      </c>
      <c r="Q775" s="13" t="str">
        <f aca="false">IF(D775="","Unknown",IF(D775&lt;25,"Under 25",IF(D775&lt;35,"25-34",IF(D775&lt;45,"35-44",IF(D775&lt;55,"45-54","55+")))))</f>
        <v>25-34</v>
      </c>
      <c r="R775" s="13" t="str">
        <f aca="false">IF(P775&lt;1,"0-1 yrs",IF(P775&lt;3,"1-3 yrs",IF(P775&lt;5,"3-5 yrs",IF(P775&lt;10,"5-10 yrs","10+ yrs"))))</f>
        <v>5-10 yrs</v>
      </c>
      <c r="S775" s="13" t="str">
        <f aca="false">IF(I775&gt;=4,"High",IF(I775=3,"Medium","Low"))</f>
        <v>High</v>
      </c>
      <c r="T775" s="13" t="str">
        <f aca="false">IF(M775=1,YEAR(C775),"")</f>
        <v/>
      </c>
      <c r="U775" s="13" t="str">
        <f aca="false">IF(M775=1,YEAR(C775)&amp;"-Q"&amp;ROUNDUP(MONTH(C775)/3,0),"")</f>
        <v/>
      </c>
      <c r="V775" s="13" t="str">
        <f aca="false">IF(M775=1,MONTH(C775),"")</f>
        <v/>
      </c>
    </row>
    <row r="776" customFormat="false" ht="15" hidden="false" customHeight="false" outlineLevel="0" collapsed="false">
      <c r="A776" s="13" t="str">
        <f aca="false">TRIM(Raw_Data!A776)</f>
        <v>EMP0775</v>
      </c>
      <c r="B776" s="14" t="n">
        <f aca="false">Raw_Data!B776</f>
        <v>43354</v>
      </c>
      <c r="C776" s="14" t="str">
        <f aca="false">IF(Raw_Data!C776="","",Raw_Data!C776)</f>
        <v/>
      </c>
      <c r="D776" s="13" t="n">
        <f aca="false">IF(Raw_Data!D776="","",Raw_Data!D776)</f>
        <v>40</v>
      </c>
      <c r="E776" s="13" t="str">
        <f aca="false">IF(UPPER(LEFT(TRIM(Raw_Data!E776),1))="M","Male",IF(UPPER(LEFT(TRIM(Raw_Data!E776),1))="F","Female","Unknown"))</f>
        <v>Male</v>
      </c>
      <c r="F776" s="13" t="str">
        <f aca="false">PROPER(TRIM(SUBSTITUTE(Raw_Data!F776,"'","")))</f>
        <v>Bachelors</v>
      </c>
      <c r="G776" s="13" t="str">
        <f aca="false">PROPER(TRIM(Raw_Data!G776))</f>
        <v>Customer Support</v>
      </c>
      <c r="H776" s="13" t="str">
        <f aca="false">PROPER(TRIM(Raw_Data!H776))</f>
        <v>Associate</v>
      </c>
      <c r="I776" s="13" t="n">
        <f aca="false">IF(Raw_Data!I776="",DefaultPerf,Raw_Data!I776)</f>
        <v>3</v>
      </c>
      <c r="J776" s="13" t="n">
        <f aca="false">IF(Raw_Data!J776="",DefaultSat,Raw_Data!J776)</f>
        <v>1</v>
      </c>
      <c r="K776" s="15" t="n">
        <f aca="false">Raw_Data!K776</f>
        <v>42000</v>
      </c>
      <c r="L776" s="13" t="str">
        <f aca="false">PROPER(TRIM(Raw_Data!N776))</f>
        <v>No</v>
      </c>
      <c r="M776" s="13" t="n">
        <f aca="false">IF(C776="",0,1)</f>
        <v>0</v>
      </c>
      <c r="N776" s="13" t="str">
        <f aca="false">IF(M776=0,"Active",IF(TRIM(Raw_Data!L776)="","Unknown",PROPER(TRIM(Raw_Data!L776))))</f>
        <v>Active</v>
      </c>
      <c r="O776" s="13" t="str">
        <f aca="false">IF(M776=0,"",IF(TRIM(Raw_Data!M776)="","Not Recorded",TRIM(Raw_Data!M776)))</f>
        <v/>
      </c>
      <c r="P776" s="16" t="n">
        <f aca="false">ROUND((IF(C776="",AsOfDate,C776)-B776)/365.25,2)</f>
        <v>7.3</v>
      </c>
      <c r="Q776" s="13" t="str">
        <f aca="false">IF(D776="","Unknown",IF(D776&lt;25,"Under 25",IF(D776&lt;35,"25-34",IF(D776&lt;45,"35-44",IF(D776&lt;55,"45-54","55+")))))</f>
        <v>35-44</v>
      </c>
      <c r="R776" s="13" t="str">
        <f aca="false">IF(P776&lt;1,"0-1 yrs",IF(P776&lt;3,"1-3 yrs",IF(P776&lt;5,"3-5 yrs",IF(P776&lt;10,"5-10 yrs","10+ yrs"))))</f>
        <v>5-10 yrs</v>
      </c>
      <c r="S776" s="13" t="str">
        <f aca="false">IF(I776&gt;=4,"High",IF(I776=3,"Medium","Low"))</f>
        <v>Medium</v>
      </c>
      <c r="T776" s="13" t="str">
        <f aca="false">IF(M776=1,YEAR(C776),"")</f>
        <v/>
      </c>
      <c r="U776" s="13" t="str">
        <f aca="false">IF(M776=1,YEAR(C776)&amp;"-Q"&amp;ROUNDUP(MONTH(C776)/3,0),"")</f>
        <v/>
      </c>
      <c r="V776" s="13" t="str">
        <f aca="false">IF(M776=1,MONTH(C776),"")</f>
        <v/>
      </c>
    </row>
    <row r="777" customFormat="false" ht="15" hidden="false" customHeight="false" outlineLevel="0" collapsed="false">
      <c r="A777" s="13" t="str">
        <f aca="false">TRIM(Raw_Data!A777)</f>
        <v>EMP0776</v>
      </c>
      <c r="B777" s="14" t="n">
        <f aca="false">Raw_Data!B777</f>
        <v>43357</v>
      </c>
      <c r="C777" s="14" t="str">
        <f aca="false">IF(Raw_Data!C777="","",Raw_Data!C777)</f>
        <v/>
      </c>
      <c r="D777" s="13" t="n">
        <f aca="false">IF(Raw_Data!D777="","",Raw_Data!D777)</f>
        <v>36</v>
      </c>
      <c r="E777" s="13" t="str">
        <f aca="false">IF(UPPER(LEFT(TRIM(Raw_Data!E777),1))="M","Male",IF(UPPER(LEFT(TRIM(Raw_Data!E777),1))="F","Female","Unknown"))</f>
        <v>Female</v>
      </c>
      <c r="F777" s="13" t="str">
        <f aca="false">PROPER(TRIM(SUBSTITUTE(Raw_Data!F777,"'","")))</f>
        <v>Masters</v>
      </c>
      <c r="G777" s="13" t="str">
        <f aca="false">PROPER(TRIM(Raw_Data!G777))</f>
        <v>Sales</v>
      </c>
      <c r="H777" s="13" t="str">
        <f aca="false">PROPER(TRIM(Raw_Data!H777))</f>
        <v>Senior Analyst</v>
      </c>
      <c r="I777" s="13" t="n">
        <f aca="false">IF(Raw_Data!I777="",DefaultPerf,Raw_Data!I777)</f>
        <v>3</v>
      </c>
      <c r="J777" s="13" t="n">
        <f aca="false">IF(Raw_Data!J777="",DefaultSat,Raw_Data!J777)</f>
        <v>4</v>
      </c>
      <c r="K777" s="15" t="n">
        <f aca="false">Raw_Data!K777</f>
        <v>96500</v>
      </c>
      <c r="L777" s="13" t="str">
        <f aca="false">PROPER(TRIM(Raw_Data!N777))</f>
        <v>No</v>
      </c>
      <c r="M777" s="13" t="n">
        <f aca="false">IF(C777="",0,1)</f>
        <v>0</v>
      </c>
      <c r="N777" s="13" t="str">
        <f aca="false">IF(M777=0,"Active",IF(TRIM(Raw_Data!L777)="","Unknown",PROPER(TRIM(Raw_Data!L777))))</f>
        <v>Active</v>
      </c>
      <c r="O777" s="13" t="str">
        <f aca="false">IF(M777=0,"",IF(TRIM(Raw_Data!M777)="","Not Recorded",TRIM(Raw_Data!M777)))</f>
        <v/>
      </c>
      <c r="P777" s="16" t="n">
        <f aca="false">ROUND((IF(C777="",AsOfDate,C777)-B777)/365.25,2)</f>
        <v>7.3</v>
      </c>
      <c r="Q777" s="13" t="str">
        <f aca="false">IF(D777="","Unknown",IF(D777&lt;25,"Under 25",IF(D777&lt;35,"25-34",IF(D777&lt;45,"35-44",IF(D777&lt;55,"45-54","55+")))))</f>
        <v>35-44</v>
      </c>
      <c r="R777" s="13" t="str">
        <f aca="false">IF(P777&lt;1,"0-1 yrs",IF(P777&lt;3,"1-3 yrs",IF(P777&lt;5,"3-5 yrs",IF(P777&lt;10,"5-10 yrs","10+ yrs"))))</f>
        <v>5-10 yrs</v>
      </c>
      <c r="S777" s="13" t="str">
        <f aca="false">IF(I777&gt;=4,"High",IF(I777=3,"Medium","Low"))</f>
        <v>Medium</v>
      </c>
      <c r="T777" s="13" t="str">
        <f aca="false">IF(M777=1,YEAR(C777),"")</f>
        <v/>
      </c>
      <c r="U777" s="13" t="str">
        <f aca="false">IF(M777=1,YEAR(C777)&amp;"-Q"&amp;ROUNDUP(MONTH(C777)/3,0),"")</f>
        <v/>
      </c>
      <c r="V777" s="13" t="str">
        <f aca="false">IF(M777=1,MONTH(C777),"")</f>
        <v/>
      </c>
    </row>
    <row r="778" customFormat="false" ht="15" hidden="false" customHeight="false" outlineLevel="0" collapsed="false">
      <c r="A778" s="13" t="str">
        <f aca="false">TRIM(Raw_Data!A778)</f>
        <v>EMP0777</v>
      </c>
      <c r="B778" s="14" t="n">
        <f aca="false">Raw_Data!B778</f>
        <v>43358</v>
      </c>
      <c r="C778" s="14" t="str">
        <f aca="false">IF(Raw_Data!C778="","",Raw_Data!C778)</f>
        <v/>
      </c>
      <c r="D778" s="13" t="n">
        <f aca="false">IF(Raw_Data!D778="","",Raw_Data!D778)</f>
        <v>41</v>
      </c>
      <c r="E778" s="13" t="str">
        <f aca="false">IF(UPPER(LEFT(TRIM(Raw_Data!E778),1))="M","Male",IF(UPPER(LEFT(TRIM(Raw_Data!E778),1))="F","Female","Unknown"))</f>
        <v>Male</v>
      </c>
      <c r="F778" s="13" t="str">
        <f aca="false">PROPER(TRIM(SUBSTITUTE(Raw_Data!F778,"'","")))</f>
        <v>Masters</v>
      </c>
      <c r="G778" s="13" t="str">
        <f aca="false">PROPER(TRIM(Raw_Data!G778))</f>
        <v>Operations</v>
      </c>
      <c r="H778" s="13" t="str">
        <f aca="false">PROPER(TRIM(Raw_Data!H778))</f>
        <v>Analyst</v>
      </c>
      <c r="I778" s="13" t="n">
        <f aca="false">IF(Raw_Data!I778="",DefaultPerf,Raw_Data!I778)</f>
        <v>4</v>
      </c>
      <c r="J778" s="13" t="n">
        <f aca="false">IF(Raw_Data!J778="",DefaultSat,Raw_Data!J778)</f>
        <v>4</v>
      </c>
      <c r="K778" s="15" t="n">
        <f aca="false">Raw_Data!K778</f>
        <v>65500</v>
      </c>
      <c r="L778" s="13" t="str">
        <f aca="false">PROPER(TRIM(Raw_Data!N778))</f>
        <v>No</v>
      </c>
      <c r="M778" s="13" t="n">
        <f aca="false">IF(C778="",0,1)</f>
        <v>0</v>
      </c>
      <c r="N778" s="13" t="str">
        <f aca="false">IF(M778=0,"Active",IF(TRIM(Raw_Data!L778)="","Unknown",PROPER(TRIM(Raw_Data!L778))))</f>
        <v>Active</v>
      </c>
      <c r="O778" s="13" t="str">
        <f aca="false">IF(M778=0,"",IF(TRIM(Raw_Data!M778)="","Not Recorded",TRIM(Raw_Data!M778)))</f>
        <v/>
      </c>
      <c r="P778" s="16" t="n">
        <f aca="false">ROUND((IF(C778="",AsOfDate,C778)-B778)/365.25,2)</f>
        <v>7.29</v>
      </c>
      <c r="Q778" s="13" t="str">
        <f aca="false">IF(D778="","Unknown",IF(D778&lt;25,"Under 25",IF(D778&lt;35,"25-34",IF(D778&lt;45,"35-44",IF(D778&lt;55,"45-54","55+")))))</f>
        <v>35-44</v>
      </c>
      <c r="R778" s="13" t="str">
        <f aca="false">IF(P778&lt;1,"0-1 yrs",IF(P778&lt;3,"1-3 yrs",IF(P778&lt;5,"3-5 yrs",IF(P778&lt;10,"5-10 yrs","10+ yrs"))))</f>
        <v>5-10 yrs</v>
      </c>
      <c r="S778" s="13" t="str">
        <f aca="false">IF(I778&gt;=4,"High",IF(I778=3,"Medium","Low"))</f>
        <v>High</v>
      </c>
      <c r="T778" s="13" t="str">
        <f aca="false">IF(M778=1,YEAR(C778),"")</f>
        <v/>
      </c>
      <c r="U778" s="13" t="str">
        <f aca="false">IF(M778=1,YEAR(C778)&amp;"-Q"&amp;ROUNDUP(MONTH(C778)/3,0),"")</f>
        <v/>
      </c>
      <c r="V778" s="13" t="str">
        <f aca="false">IF(M778=1,MONTH(C778),"")</f>
        <v/>
      </c>
    </row>
    <row r="779" customFormat="false" ht="15" hidden="false" customHeight="false" outlineLevel="0" collapsed="false">
      <c r="A779" s="13" t="str">
        <f aca="false">TRIM(Raw_Data!A779)</f>
        <v>EMP0778</v>
      </c>
      <c r="B779" s="14" t="n">
        <f aca="false">Raw_Data!B779</f>
        <v>43358</v>
      </c>
      <c r="C779" s="14" t="str">
        <f aca="false">IF(Raw_Data!C779="","",Raw_Data!C779)</f>
        <v/>
      </c>
      <c r="D779" s="13" t="n">
        <f aca="false">IF(Raw_Data!D779="","",Raw_Data!D779)</f>
        <v>39</v>
      </c>
      <c r="E779" s="13" t="str">
        <f aca="false">IF(UPPER(LEFT(TRIM(Raw_Data!E779),1))="M","Male",IF(UPPER(LEFT(TRIM(Raw_Data!E779),1))="F","Female","Unknown"))</f>
        <v>Female</v>
      </c>
      <c r="F779" s="13" t="str">
        <f aca="false">PROPER(TRIM(SUBSTITUTE(Raw_Data!F779,"'","")))</f>
        <v>Bachelors</v>
      </c>
      <c r="G779" s="13" t="str">
        <f aca="false">PROPER(TRIM(Raw_Data!G779))</f>
        <v>Customer Support</v>
      </c>
      <c r="H779" s="13" t="str">
        <f aca="false">PROPER(TRIM(Raw_Data!H779))</f>
        <v>Senior Analyst</v>
      </c>
      <c r="I779" s="13" t="n">
        <f aca="false">IF(Raw_Data!I779="",DefaultPerf,Raw_Data!I779)</f>
        <v>4</v>
      </c>
      <c r="J779" s="13" t="n">
        <f aca="false">IF(Raw_Data!J779="",DefaultSat,Raw_Data!J779)</f>
        <v>4</v>
      </c>
      <c r="K779" s="15" t="n">
        <f aca="false">Raw_Data!K779</f>
        <v>95000</v>
      </c>
      <c r="L779" s="13" t="str">
        <f aca="false">PROPER(TRIM(Raw_Data!N779))</f>
        <v>Yes</v>
      </c>
      <c r="M779" s="13" t="n">
        <f aca="false">IF(C779="",0,1)</f>
        <v>0</v>
      </c>
      <c r="N779" s="13" t="str">
        <f aca="false">IF(M779=0,"Active",IF(TRIM(Raw_Data!L779)="","Unknown",PROPER(TRIM(Raw_Data!L779))))</f>
        <v>Active</v>
      </c>
      <c r="O779" s="13" t="str">
        <f aca="false">IF(M779=0,"",IF(TRIM(Raw_Data!M779)="","Not Recorded",TRIM(Raw_Data!M779)))</f>
        <v/>
      </c>
      <c r="P779" s="16" t="n">
        <f aca="false">ROUND((IF(C779="",AsOfDate,C779)-B779)/365.25,2)</f>
        <v>7.29</v>
      </c>
      <c r="Q779" s="13" t="str">
        <f aca="false">IF(D779="","Unknown",IF(D779&lt;25,"Under 25",IF(D779&lt;35,"25-34",IF(D779&lt;45,"35-44",IF(D779&lt;55,"45-54","55+")))))</f>
        <v>35-44</v>
      </c>
      <c r="R779" s="13" t="str">
        <f aca="false">IF(P779&lt;1,"0-1 yrs",IF(P779&lt;3,"1-3 yrs",IF(P779&lt;5,"3-5 yrs",IF(P779&lt;10,"5-10 yrs","10+ yrs"))))</f>
        <v>5-10 yrs</v>
      </c>
      <c r="S779" s="13" t="str">
        <f aca="false">IF(I779&gt;=4,"High",IF(I779=3,"Medium","Low"))</f>
        <v>High</v>
      </c>
      <c r="T779" s="13" t="str">
        <f aca="false">IF(M779=1,YEAR(C779),"")</f>
        <v/>
      </c>
      <c r="U779" s="13" t="str">
        <f aca="false">IF(M779=1,YEAR(C779)&amp;"-Q"&amp;ROUNDUP(MONTH(C779)/3,0),"")</f>
        <v/>
      </c>
      <c r="V779" s="13" t="str">
        <f aca="false">IF(M779=1,MONTH(C779),"")</f>
        <v/>
      </c>
    </row>
    <row r="780" customFormat="false" ht="15" hidden="false" customHeight="false" outlineLevel="0" collapsed="false">
      <c r="A780" s="13" t="str">
        <f aca="false">TRIM(Raw_Data!A780)</f>
        <v>EMP0779</v>
      </c>
      <c r="B780" s="14" t="n">
        <f aca="false">Raw_Data!B780</f>
        <v>43360</v>
      </c>
      <c r="C780" s="14" t="n">
        <f aca="false">IF(Raw_Data!C780="","",Raw_Data!C780)</f>
        <v>45271</v>
      </c>
      <c r="D780" s="13" t="n">
        <f aca="false">IF(Raw_Data!D780="","",Raw_Data!D780)</f>
        <v>27</v>
      </c>
      <c r="E780" s="13" t="str">
        <f aca="false">IF(UPPER(LEFT(TRIM(Raw_Data!E780),1))="M","Male",IF(UPPER(LEFT(TRIM(Raw_Data!E780),1))="F","Female","Unknown"))</f>
        <v>Male</v>
      </c>
      <c r="F780" s="13" t="str">
        <f aca="false">PROPER(TRIM(SUBSTITUTE(Raw_Data!F780,"'","")))</f>
        <v>Bachelors</v>
      </c>
      <c r="G780" s="13" t="str">
        <f aca="false">PROPER(TRIM(Raw_Data!G780))</f>
        <v>Sales</v>
      </c>
      <c r="H780" s="13" t="str">
        <f aca="false">PROPER(TRIM(Raw_Data!H780))</f>
        <v>Associate</v>
      </c>
      <c r="I780" s="13" t="n">
        <f aca="false">IF(Raw_Data!I780="",DefaultPerf,Raw_Data!I780)</f>
        <v>4</v>
      </c>
      <c r="J780" s="13" t="n">
        <f aca="false">IF(Raw_Data!J780="",DefaultSat,Raw_Data!J780)</f>
        <v>3</v>
      </c>
      <c r="K780" s="15" t="n">
        <f aca="false">Raw_Data!K780</f>
        <v>39000</v>
      </c>
      <c r="L780" s="13" t="str">
        <f aca="false">PROPER(TRIM(Raw_Data!N780))</f>
        <v>Yes</v>
      </c>
      <c r="M780" s="13" t="n">
        <f aca="false">IF(C780="",0,1)</f>
        <v>1</v>
      </c>
      <c r="N780" s="13" t="str">
        <f aca="false">IF(M780=0,"Active",IF(TRIM(Raw_Data!L780)="","Unknown",PROPER(TRIM(Raw_Data!L780))))</f>
        <v>Voluntary</v>
      </c>
      <c r="O780" s="13" t="str">
        <f aca="false">IF(M780=0,"",IF(TRIM(Raw_Data!M780)="","Not Recorded",TRIM(Raw_Data!M780)))</f>
        <v>Career Growth</v>
      </c>
      <c r="P780" s="16" t="n">
        <f aca="false">ROUND((IF(C780="",AsOfDate,C780)-B780)/365.25,2)</f>
        <v>5.23</v>
      </c>
      <c r="Q780" s="13" t="str">
        <f aca="false">IF(D780="","Unknown",IF(D780&lt;25,"Under 25",IF(D780&lt;35,"25-34",IF(D780&lt;45,"35-44",IF(D780&lt;55,"45-54","55+")))))</f>
        <v>25-34</v>
      </c>
      <c r="R780" s="13" t="str">
        <f aca="false">IF(P780&lt;1,"0-1 yrs",IF(P780&lt;3,"1-3 yrs",IF(P780&lt;5,"3-5 yrs",IF(P780&lt;10,"5-10 yrs","10+ yrs"))))</f>
        <v>5-10 yrs</v>
      </c>
      <c r="S780" s="13" t="str">
        <f aca="false">IF(I780&gt;=4,"High",IF(I780=3,"Medium","Low"))</f>
        <v>High</v>
      </c>
      <c r="T780" s="13" t="n">
        <f aca="false">IF(M780=1,YEAR(C780),"")</f>
        <v>2023</v>
      </c>
      <c r="U780" s="13" t="str">
        <f aca="false">IF(M780=1,YEAR(C780)&amp;"-Q"&amp;ROUNDUP(MONTH(C780)/3,0),"")</f>
        <v>2023-Q4</v>
      </c>
      <c r="V780" s="13" t="n">
        <f aca="false">IF(M780=1,MONTH(C780),"")</f>
        <v>12</v>
      </c>
    </row>
    <row r="781" customFormat="false" ht="15" hidden="false" customHeight="false" outlineLevel="0" collapsed="false">
      <c r="A781" s="13" t="str">
        <f aca="false">TRIM(Raw_Data!A781)</f>
        <v>EMP0780</v>
      </c>
      <c r="B781" s="14" t="n">
        <f aca="false">Raw_Data!B781</f>
        <v>43363</v>
      </c>
      <c r="C781" s="14" t="n">
        <f aca="false">IF(Raw_Data!C781="","",Raw_Data!C781)</f>
        <v>45340</v>
      </c>
      <c r="D781" s="13" t="n">
        <f aca="false">IF(Raw_Data!D781="","",Raw_Data!D781)</f>
        <v>35</v>
      </c>
      <c r="E781" s="13" t="str">
        <f aca="false">IF(UPPER(LEFT(TRIM(Raw_Data!E781),1))="M","Male",IF(UPPER(LEFT(TRIM(Raw_Data!E781),1))="F","Female","Unknown"))</f>
        <v>Male</v>
      </c>
      <c r="F781" s="13" t="str">
        <f aca="false">PROPER(TRIM(SUBSTITUTE(Raw_Data!F781,"'","")))</f>
        <v>Doctorate</v>
      </c>
      <c r="G781" s="13" t="str">
        <f aca="false">PROPER(TRIM(Raw_Data!G781))</f>
        <v>Customer Support</v>
      </c>
      <c r="H781" s="13" t="str">
        <f aca="false">PROPER(TRIM(Raw_Data!H781))</f>
        <v>Analyst</v>
      </c>
      <c r="I781" s="13" t="n">
        <f aca="false">IF(Raw_Data!I781="",DefaultPerf,Raw_Data!I781)</f>
        <v>4</v>
      </c>
      <c r="J781" s="13" t="n">
        <f aca="false">IF(Raw_Data!J781="",DefaultSat,Raw_Data!J781)</f>
        <v>2</v>
      </c>
      <c r="K781" s="15" t="n">
        <f aca="false">Raw_Data!K781</f>
        <v>64500</v>
      </c>
      <c r="L781" s="13" t="str">
        <f aca="false">PROPER(TRIM(Raw_Data!N781))</f>
        <v>Yes</v>
      </c>
      <c r="M781" s="13" t="n">
        <f aca="false">IF(C781="",0,1)</f>
        <v>1</v>
      </c>
      <c r="N781" s="13" t="str">
        <f aca="false">IF(M781=0,"Active",IF(TRIM(Raw_Data!L781)="","Unknown",PROPER(TRIM(Raw_Data!L781))))</f>
        <v>Voluntary</v>
      </c>
      <c r="O781" s="13" t="str">
        <f aca="false">IF(M781=0,"",IF(TRIM(Raw_Data!M781)="","Not Recorded",TRIM(Raw_Data!M781)))</f>
        <v>Better Compensation</v>
      </c>
      <c r="P781" s="16" t="n">
        <f aca="false">ROUND((IF(C781="",AsOfDate,C781)-B781)/365.25,2)</f>
        <v>5.41</v>
      </c>
      <c r="Q781" s="13" t="str">
        <f aca="false">IF(D781="","Unknown",IF(D781&lt;25,"Under 25",IF(D781&lt;35,"25-34",IF(D781&lt;45,"35-44",IF(D781&lt;55,"45-54","55+")))))</f>
        <v>35-44</v>
      </c>
      <c r="R781" s="13" t="str">
        <f aca="false">IF(P781&lt;1,"0-1 yrs",IF(P781&lt;3,"1-3 yrs",IF(P781&lt;5,"3-5 yrs",IF(P781&lt;10,"5-10 yrs","10+ yrs"))))</f>
        <v>5-10 yrs</v>
      </c>
      <c r="S781" s="13" t="str">
        <f aca="false">IF(I781&gt;=4,"High",IF(I781=3,"Medium","Low"))</f>
        <v>High</v>
      </c>
      <c r="T781" s="13" t="n">
        <f aca="false">IF(M781=1,YEAR(C781),"")</f>
        <v>2024</v>
      </c>
      <c r="U781" s="13" t="str">
        <f aca="false">IF(M781=1,YEAR(C781)&amp;"-Q"&amp;ROUNDUP(MONTH(C781)/3,0),"")</f>
        <v>2024-Q1</v>
      </c>
      <c r="V781" s="13" t="n">
        <f aca="false">IF(M781=1,MONTH(C781),"")</f>
        <v>2</v>
      </c>
    </row>
    <row r="782" customFormat="false" ht="15" hidden="false" customHeight="false" outlineLevel="0" collapsed="false">
      <c r="A782" s="13" t="str">
        <f aca="false">TRIM(Raw_Data!A782)</f>
        <v>EMP0781</v>
      </c>
      <c r="B782" s="14" t="n">
        <f aca="false">Raw_Data!B782</f>
        <v>43363</v>
      </c>
      <c r="C782" s="14" t="n">
        <f aca="false">IF(Raw_Data!C782="","",Raw_Data!C782)</f>
        <v>45056</v>
      </c>
      <c r="D782" s="13" t="n">
        <f aca="false">IF(Raw_Data!D782="","",Raw_Data!D782)</f>
        <v>38</v>
      </c>
      <c r="E782" s="13" t="str">
        <f aca="false">IF(UPPER(LEFT(TRIM(Raw_Data!E782),1))="M","Male",IF(UPPER(LEFT(TRIM(Raw_Data!E782),1))="F","Female","Unknown"))</f>
        <v>Female</v>
      </c>
      <c r="F782" s="13" t="str">
        <f aca="false">PROPER(TRIM(SUBSTITUTE(Raw_Data!F782,"'","")))</f>
        <v>Bachelors</v>
      </c>
      <c r="G782" s="13" t="str">
        <f aca="false">PROPER(TRIM(Raw_Data!G782))</f>
        <v>Sales</v>
      </c>
      <c r="H782" s="13" t="str">
        <f aca="false">PROPER(TRIM(Raw_Data!H782))</f>
        <v>Associate</v>
      </c>
      <c r="I782" s="13" t="n">
        <f aca="false">IF(Raw_Data!I782="",DefaultPerf,Raw_Data!I782)</f>
        <v>3</v>
      </c>
      <c r="J782" s="13" t="n">
        <f aca="false">IF(Raw_Data!J782="",DefaultSat,Raw_Data!J782)</f>
        <v>1</v>
      </c>
      <c r="K782" s="15" t="n">
        <f aca="false">Raw_Data!K782</f>
        <v>45000</v>
      </c>
      <c r="L782" s="13" t="str">
        <f aca="false">PROPER(TRIM(Raw_Data!N782))</f>
        <v>No</v>
      </c>
      <c r="M782" s="13" t="n">
        <f aca="false">IF(C782="",0,1)</f>
        <v>1</v>
      </c>
      <c r="N782" s="13" t="str">
        <f aca="false">IF(M782=0,"Active",IF(TRIM(Raw_Data!L782)="","Unknown",PROPER(TRIM(Raw_Data!L782))))</f>
        <v>Voluntary</v>
      </c>
      <c r="O782" s="13" t="str">
        <f aca="false">IF(M782=0,"",IF(TRIM(Raw_Data!M782)="","Not Recorded",TRIM(Raw_Data!M782)))</f>
        <v>Job Dissatisfaction</v>
      </c>
      <c r="P782" s="16" t="n">
        <f aca="false">ROUND((IF(C782="",AsOfDate,C782)-B782)/365.25,2)</f>
        <v>4.64</v>
      </c>
      <c r="Q782" s="13" t="str">
        <f aca="false">IF(D782="","Unknown",IF(D782&lt;25,"Under 25",IF(D782&lt;35,"25-34",IF(D782&lt;45,"35-44",IF(D782&lt;55,"45-54","55+")))))</f>
        <v>35-44</v>
      </c>
      <c r="R782" s="13" t="str">
        <f aca="false">IF(P782&lt;1,"0-1 yrs",IF(P782&lt;3,"1-3 yrs",IF(P782&lt;5,"3-5 yrs",IF(P782&lt;10,"5-10 yrs","10+ yrs"))))</f>
        <v>3-5 yrs</v>
      </c>
      <c r="S782" s="13" t="str">
        <f aca="false">IF(I782&gt;=4,"High",IF(I782=3,"Medium","Low"))</f>
        <v>Medium</v>
      </c>
      <c r="T782" s="13" t="n">
        <f aca="false">IF(M782=1,YEAR(C782),"")</f>
        <v>2023</v>
      </c>
      <c r="U782" s="13" t="str">
        <f aca="false">IF(M782=1,YEAR(C782)&amp;"-Q"&amp;ROUNDUP(MONTH(C782)/3,0),"")</f>
        <v>2023-Q2</v>
      </c>
      <c r="V782" s="13" t="n">
        <f aca="false">IF(M782=1,MONTH(C782),"")</f>
        <v>5</v>
      </c>
    </row>
    <row r="783" customFormat="false" ht="15" hidden="false" customHeight="false" outlineLevel="0" collapsed="false">
      <c r="A783" s="13" t="str">
        <f aca="false">TRIM(Raw_Data!A783)</f>
        <v>EMP0782</v>
      </c>
      <c r="B783" s="14" t="n">
        <f aca="false">Raw_Data!B783</f>
        <v>43364</v>
      </c>
      <c r="C783" s="14" t="str">
        <f aca="false">IF(Raw_Data!C783="","",Raw_Data!C783)</f>
        <v/>
      </c>
      <c r="D783" s="13" t="n">
        <f aca="false">IF(Raw_Data!D783="","",Raw_Data!D783)</f>
        <v>41</v>
      </c>
      <c r="E783" s="13" t="str">
        <f aca="false">IF(UPPER(LEFT(TRIM(Raw_Data!E783),1))="M","Male",IF(UPPER(LEFT(TRIM(Raw_Data!E783),1))="F","Female","Unknown"))</f>
        <v>Male</v>
      </c>
      <c r="F783" s="13" t="str">
        <f aca="false">PROPER(TRIM(SUBSTITUTE(Raw_Data!F783,"'","")))</f>
        <v>Bachelors</v>
      </c>
      <c r="G783" s="13" t="str">
        <f aca="false">PROPER(TRIM(Raw_Data!G783))</f>
        <v>Finance</v>
      </c>
      <c r="H783" s="13" t="str">
        <f aca="false">PROPER(TRIM(Raw_Data!H783))</f>
        <v>Associate</v>
      </c>
      <c r="I783" s="13" t="n">
        <f aca="false">IF(Raw_Data!I783="",DefaultPerf,Raw_Data!I783)</f>
        <v>1</v>
      </c>
      <c r="J783" s="13" t="n">
        <f aca="false">IF(Raw_Data!J783="",DefaultSat,Raw_Data!J783)</f>
        <v>2</v>
      </c>
      <c r="K783" s="15" t="n">
        <f aca="false">Raw_Data!K783</f>
        <v>40000</v>
      </c>
      <c r="L783" s="13" t="str">
        <f aca="false">PROPER(TRIM(Raw_Data!N783))</f>
        <v>No</v>
      </c>
      <c r="M783" s="13" t="n">
        <f aca="false">IF(C783="",0,1)</f>
        <v>0</v>
      </c>
      <c r="N783" s="13" t="str">
        <f aca="false">IF(M783=0,"Active",IF(TRIM(Raw_Data!L783)="","Unknown",PROPER(TRIM(Raw_Data!L783))))</f>
        <v>Active</v>
      </c>
      <c r="O783" s="13" t="str">
        <f aca="false">IF(M783=0,"",IF(TRIM(Raw_Data!M783)="","Not Recorded",TRIM(Raw_Data!M783)))</f>
        <v/>
      </c>
      <c r="P783" s="16" t="n">
        <f aca="false">ROUND((IF(C783="",AsOfDate,C783)-B783)/365.25,2)</f>
        <v>7.28</v>
      </c>
      <c r="Q783" s="13" t="str">
        <f aca="false">IF(D783="","Unknown",IF(D783&lt;25,"Under 25",IF(D783&lt;35,"25-34",IF(D783&lt;45,"35-44",IF(D783&lt;55,"45-54","55+")))))</f>
        <v>35-44</v>
      </c>
      <c r="R783" s="13" t="str">
        <f aca="false">IF(P783&lt;1,"0-1 yrs",IF(P783&lt;3,"1-3 yrs",IF(P783&lt;5,"3-5 yrs",IF(P783&lt;10,"5-10 yrs","10+ yrs"))))</f>
        <v>5-10 yrs</v>
      </c>
      <c r="S783" s="13" t="str">
        <f aca="false">IF(I783&gt;=4,"High",IF(I783=3,"Medium","Low"))</f>
        <v>Low</v>
      </c>
      <c r="T783" s="13" t="str">
        <f aca="false">IF(M783=1,YEAR(C783),"")</f>
        <v/>
      </c>
      <c r="U783" s="13" t="str">
        <f aca="false">IF(M783=1,YEAR(C783)&amp;"-Q"&amp;ROUNDUP(MONTH(C783)/3,0),"")</f>
        <v/>
      </c>
      <c r="V783" s="13" t="str">
        <f aca="false">IF(M783=1,MONTH(C783),"")</f>
        <v/>
      </c>
    </row>
    <row r="784" customFormat="false" ht="15" hidden="false" customHeight="false" outlineLevel="0" collapsed="false">
      <c r="A784" s="13" t="str">
        <f aca="false">TRIM(Raw_Data!A784)</f>
        <v>EMP0783</v>
      </c>
      <c r="B784" s="14" t="n">
        <f aca="false">Raw_Data!B784</f>
        <v>43367</v>
      </c>
      <c r="C784" s="14" t="str">
        <f aca="false">IF(Raw_Data!C784="","",Raw_Data!C784)</f>
        <v/>
      </c>
      <c r="D784" s="13" t="n">
        <f aca="false">IF(Raw_Data!D784="","",Raw_Data!D784)</f>
        <v>37</v>
      </c>
      <c r="E784" s="13" t="str">
        <f aca="false">IF(UPPER(LEFT(TRIM(Raw_Data!E784),1))="M","Male",IF(UPPER(LEFT(TRIM(Raw_Data!E784),1))="F","Female","Unknown"))</f>
        <v>Male</v>
      </c>
      <c r="F784" s="13" t="str">
        <f aca="false">PROPER(TRIM(SUBSTITUTE(Raw_Data!F784,"'","")))</f>
        <v>Diploma</v>
      </c>
      <c r="G784" s="13" t="str">
        <f aca="false">PROPER(TRIM(Raw_Data!G784))</f>
        <v>Sales</v>
      </c>
      <c r="H784" s="13" t="str">
        <f aca="false">PROPER(TRIM(Raw_Data!H784))</f>
        <v>Analyst</v>
      </c>
      <c r="I784" s="13" t="n">
        <f aca="false">IF(Raw_Data!I784="",DefaultPerf,Raw_Data!I784)</f>
        <v>5</v>
      </c>
      <c r="J784" s="13" t="n">
        <f aca="false">IF(Raw_Data!J784="",DefaultSat,Raw_Data!J784)</f>
        <v>2</v>
      </c>
      <c r="K784" s="15" t="n">
        <f aca="false">Raw_Data!K784</f>
        <v>71000</v>
      </c>
      <c r="L784" s="13" t="str">
        <f aca="false">PROPER(TRIM(Raw_Data!N784))</f>
        <v>No</v>
      </c>
      <c r="M784" s="13" t="n">
        <f aca="false">IF(C784="",0,1)</f>
        <v>0</v>
      </c>
      <c r="N784" s="13" t="str">
        <f aca="false">IF(M784=0,"Active",IF(TRIM(Raw_Data!L784)="","Unknown",PROPER(TRIM(Raw_Data!L784))))</f>
        <v>Active</v>
      </c>
      <c r="O784" s="13" t="str">
        <f aca="false">IF(M784=0,"",IF(TRIM(Raw_Data!M784)="","Not Recorded",TRIM(Raw_Data!M784)))</f>
        <v/>
      </c>
      <c r="P784" s="16" t="n">
        <f aca="false">ROUND((IF(C784="",AsOfDate,C784)-B784)/365.25,2)</f>
        <v>7.27</v>
      </c>
      <c r="Q784" s="13" t="str">
        <f aca="false">IF(D784="","Unknown",IF(D784&lt;25,"Under 25",IF(D784&lt;35,"25-34",IF(D784&lt;45,"35-44",IF(D784&lt;55,"45-54","55+")))))</f>
        <v>35-44</v>
      </c>
      <c r="R784" s="13" t="str">
        <f aca="false">IF(P784&lt;1,"0-1 yrs",IF(P784&lt;3,"1-3 yrs",IF(P784&lt;5,"3-5 yrs",IF(P784&lt;10,"5-10 yrs","10+ yrs"))))</f>
        <v>5-10 yrs</v>
      </c>
      <c r="S784" s="13" t="str">
        <f aca="false">IF(I784&gt;=4,"High",IF(I784=3,"Medium","Low"))</f>
        <v>High</v>
      </c>
      <c r="T784" s="13" t="str">
        <f aca="false">IF(M784=1,YEAR(C784),"")</f>
        <v/>
      </c>
      <c r="U784" s="13" t="str">
        <f aca="false">IF(M784=1,YEAR(C784)&amp;"-Q"&amp;ROUNDUP(MONTH(C784)/3,0),"")</f>
        <v/>
      </c>
      <c r="V784" s="13" t="str">
        <f aca="false">IF(M784=1,MONTH(C784),"")</f>
        <v/>
      </c>
    </row>
    <row r="785" customFormat="false" ht="15" hidden="false" customHeight="false" outlineLevel="0" collapsed="false">
      <c r="A785" s="13" t="str">
        <f aca="false">TRIM(Raw_Data!A785)</f>
        <v>EMP0784</v>
      </c>
      <c r="B785" s="14" t="n">
        <f aca="false">Raw_Data!B785</f>
        <v>43367</v>
      </c>
      <c r="C785" s="14" t="str">
        <f aca="false">IF(Raw_Data!C785="","",Raw_Data!C785)</f>
        <v/>
      </c>
      <c r="D785" s="13" t="n">
        <f aca="false">IF(Raw_Data!D785="","",Raw_Data!D785)</f>
        <v>28</v>
      </c>
      <c r="E785" s="13" t="str">
        <f aca="false">IF(UPPER(LEFT(TRIM(Raw_Data!E785),1))="M","Male",IF(UPPER(LEFT(TRIM(Raw_Data!E785),1))="F","Female","Unknown"))</f>
        <v>Female</v>
      </c>
      <c r="F785" s="13" t="str">
        <f aca="false">PROPER(TRIM(SUBSTITUTE(Raw_Data!F785,"'","")))</f>
        <v>Bachelors</v>
      </c>
      <c r="G785" s="13" t="str">
        <f aca="false">PROPER(TRIM(Raw_Data!G785))</f>
        <v>Engineering</v>
      </c>
      <c r="H785" s="13" t="str">
        <f aca="false">PROPER(TRIM(Raw_Data!H785))</f>
        <v>Senior Analyst</v>
      </c>
      <c r="I785" s="13" t="n">
        <f aca="false">IF(Raw_Data!I785="",DefaultPerf,Raw_Data!I785)</f>
        <v>3</v>
      </c>
      <c r="J785" s="13" t="n">
        <f aca="false">IF(Raw_Data!J785="",DefaultSat,Raw_Data!J785)</f>
        <v>1</v>
      </c>
      <c r="K785" s="15" t="n">
        <f aca="false">Raw_Data!K785</f>
        <v>113000</v>
      </c>
      <c r="L785" s="13" t="str">
        <f aca="false">PROPER(TRIM(Raw_Data!N785))</f>
        <v>No</v>
      </c>
      <c r="M785" s="13" t="n">
        <f aca="false">IF(C785="",0,1)</f>
        <v>0</v>
      </c>
      <c r="N785" s="13" t="str">
        <f aca="false">IF(M785=0,"Active",IF(TRIM(Raw_Data!L785)="","Unknown",PROPER(TRIM(Raw_Data!L785))))</f>
        <v>Active</v>
      </c>
      <c r="O785" s="13" t="str">
        <f aca="false">IF(M785=0,"",IF(TRIM(Raw_Data!M785)="","Not Recorded",TRIM(Raw_Data!M785)))</f>
        <v/>
      </c>
      <c r="P785" s="16" t="n">
        <f aca="false">ROUND((IF(C785="",AsOfDate,C785)-B785)/365.25,2)</f>
        <v>7.27</v>
      </c>
      <c r="Q785" s="13" t="str">
        <f aca="false">IF(D785="","Unknown",IF(D785&lt;25,"Under 25",IF(D785&lt;35,"25-34",IF(D785&lt;45,"35-44",IF(D785&lt;55,"45-54","55+")))))</f>
        <v>25-34</v>
      </c>
      <c r="R785" s="13" t="str">
        <f aca="false">IF(P785&lt;1,"0-1 yrs",IF(P785&lt;3,"1-3 yrs",IF(P785&lt;5,"3-5 yrs",IF(P785&lt;10,"5-10 yrs","10+ yrs"))))</f>
        <v>5-10 yrs</v>
      </c>
      <c r="S785" s="13" t="str">
        <f aca="false">IF(I785&gt;=4,"High",IF(I785=3,"Medium","Low"))</f>
        <v>Medium</v>
      </c>
      <c r="T785" s="13" t="str">
        <f aca="false">IF(M785=1,YEAR(C785),"")</f>
        <v/>
      </c>
      <c r="U785" s="13" t="str">
        <f aca="false">IF(M785=1,YEAR(C785)&amp;"-Q"&amp;ROUNDUP(MONTH(C785)/3,0),"")</f>
        <v/>
      </c>
      <c r="V785" s="13" t="str">
        <f aca="false">IF(M785=1,MONTH(C785),"")</f>
        <v/>
      </c>
    </row>
    <row r="786" customFormat="false" ht="15" hidden="false" customHeight="false" outlineLevel="0" collapsed="false">
      <c r="A786" s="13" t="str">
        <f aca="false">TRIM(Raw_Data!A786)</f>
        <v>EMP0785</v>
      </c>
      <c r="B786" s="14" t="n">
        <f aca="false">Raw_Data!B786</f>
        <v>43369</v>
      </c>
      <c r="C786" s="14" t="n">
        <f aca="false">IF(Raw_Data!C786="","",Raw_Data!C786)</f>
        <v>45475</v>
      </c>
      <c r="D786" s="13" t="n">
        <f aca="false">IF(Raw_Data!D786="","",Raw_Data!D786)</f>
        <v>30</v>
      </c>
      <c r="E786" s="13" t="str">
        <f aca="false">IF(UPPER(LEFT(TRIM(Raw_Data!E786),1))="M","Male",IF(UPPER(LEFT(TRIM(Raw_Data!E786),1))="F","Female","Unknown"))</f>
        <v>Male</v>
      </c>
      <c r="F786" s="13" t="str">
        <f aca="false">PROPER(TRIM(SUBSTITUTE(Raw_Data!F786,"'","")))</f>
        <v>Masters</v>
      </c>
      <c r="G786" s="13" t="str">
        <f aca="false">PROPER(TRIM(Raw_Data!G786))</f>
        <v>Sales</v>
      </c>
      <c r="H786" s="13" t="str">
        <f aca="false">PROPER(TRIM(Raw_Data!H786))</f>
        <v>Senior Analyst</v>
      </c>
      <c r="I786" s="13" t="n">
        <f aca="false">IF(Raw_Data!I786="",DefaultPerf,Raw_Data!I786)</f>
        <v>3</v>
      </c>
      <c r="J786" s="17" t="n">
        <f aca="false">IF(Raw_Data!J786="",DefaultSat,Raw_Data!J786)</f>
        <v>3</v>
      </c>
      <c r="K786" s="15" t="n">
        <f aca="false">Raw_Data!K786</f>
        <v>104500</v>
      </c>
      <c r="L786" s="13" t="str">
        <f aca="false">PROPER(TRIM(Raw_Data!N786))</f>
        <v>Yes</v>
      </c>
      <c r="M786" s="13" t="n">
        <f aca="false">IF(C786="",0,1)</f>
        <v>1</v>
      </c>
      <c r="N786" s="13" t="str">
        <f aca="false">IF(M786=0,"Active",IF(TRIM(Raw_Data!L786)="","Unknown",PROPER(TRIM(Raw_Data!L786))))</f>
        <v>Voluntary</v>
      </c>
      <c r="O786" s="13" t="str">
        <f aca="false">IF(M786=0,"",IF(TRIM(Raw_Data!M786)="","Not Recorded",TRIM(Raw_Data!M786)))</f>
        <v>Career Growth</v>
      </c>
      <c r="P786" s="16" t="n">
        <f aca="false">ROUND((IF(C786="",AsOfDate,C786)-B786)/365.25,2)</f>
        <v>5.77</v>
      </c>
      <c r="Q786" s="13" t="str">
        <f aca="false">IF(D786="","Unknown",IF(D786&lt;25,"Under 25",IF(D786&lt;35,"25-34",IF(D786&lt;45,"35-44",IF(D786&lt;55,"45-54","55+")))))</f>
        <v>25-34</v>
      </c>
      <c r="R786" s="13" t="str">
        <f aca="false">IF(P786&lt;1,"0-1 yrs",IF(P786&lt;3,"1-3 yrs",IF(P786&lt;5,"3-5 yrs",IF(P786&lt;10,"5-10 yrs","10+ yrs"))))</f>
        <v>5-10 yrs</v>
      </c>
      <c r="S786" s="13" t="str">
        <f aca="false">IF(I786&gt;=4,"High",IF(I786=3,"Medium","Low"))</f>
        <v>Medium</v>
      </c>
      <c r="T786" s="13" t="n">
        <f aca="false">IF(M786=1,YEAR(C786),"")</f>
        <v>2024</v>
      </c>
      <c r="U786" s="13" t="str">
        <f aca="false">IF(M786=1,YEAR(C786)&amp;"-Q"&amp;ROUNDUP(MONTH(C786)/3,0),"")</f>
        <v>2024-Q3</v>
      </c>
      <c r="V786" s="13" t="n">
        <f aca="false">IF(M786=1,MONTH(C786),"")</f>
        <v>7</v>
      </c>
    </row>
    <row r="787" customFormat="false" ht="15" hidden="false" customHeight="false" outlineLevel="0" collapsed="false">
      <c r="A787" s="13" t="str">
        <f aca="false">TRIM(Raw_Data!A787)</f>
        <v>EMP0786</v>
      </c>
      <c r="B787" s="14" t="n">
        <f aca="false">Raw_Data!B787</f>
        <v>43372</v>
      </c>
      <c r="C787" s="14" t="str">
        <f aca="false">IF(Raw_Data!C787="","",Raw_Data!C787)</f>
        <v/>
      </c>
      <c r="D787" s="13" t="n">
        <f aca="false">IF(Raw_Data!D787="","",Raw_Data!D787)</f>
        <v>46</v>
      </c>
      <c r="E787" s="13" t="str">
        <f aca="false">IF(UPPER(LEFT(TRIM(Raw_Data!E787),1))="M","Male",IF(UPPER(LEFT(TRIM(Raw_Data!E787),1))="F","Female","Unknown"))</f>
        <v>Male</v>
      </c>
      <c r="F787" s="13" t="str">
        <f aca="false">PROPER(TRIM(SUBSTITUTE(Raw_Data!F787,"'","")))</f>
        <v>Diploma</v>
      </c>
      <c r="G787" s="13" t="str">
        <f aca="false">PROPER(TRIM(Raw_Data!G787))</f>
        <v>Engineering</v>
      </c>
      <c r="H787" s="13" t="str">
        <f aca="false">PROPER(TRIM(Raw_Data!H787))</f>
        <v>Associate</v>
      </c>
      <c r="I787" s="13" t="n">
        <f aca="false">IF(Raw_Data!I787="",DefaultPerf,Raw_Data!I787)</f>
        <v>4</v>
      </c>
      <c r="J787" s="13" t="n">
        <f aca="false">IF(Raw_Data!J787="",DefaultSat,Raw_Data!J787)</f>
        <v>3</v>
      </c>
      <c r="K787" s="15" t="n">
        <f aca="false">Raw_Data!K787</f>
        <v>40500</v>
      </c>
      <c r="L787" s="13" t="str">
        <f aca="false">PROPER(TRIM(Raw_Data!N787))</f>
        <v>No</v>
      </c>
      <c r="M787" s="13" t="n">
        <f aca="false">IF(C787="",0,1)</f>
        <v>0</v>
      </c>
      <c r="N787" s="13" t="str">
        <f aca="false">IF(M787=0,"Active",IF(TRIM(Raw_Data!L787)="","Unknown",PROPER(TRIM(Raw_Data!L787))))</f>
        <v>Active</v>
      </c>
      <c r="O787" s="13" t="str">
        <f aca="false">IF(M787=0,"",IF(TRIM(Raw_Data!M787)="","Not Recorded",TRIM(Raw_Data!M787)))</f>
        <v/>
      </c>
      <c r="P787" s="16" t="n">
        <f aca="false">ROUND((IF(C787="",AsOfDate,C787)-B787)/365.25,2)</f>
        <v>7.26</v>
      </c>
      <c r="Q787" s="13" t="str">
        <f aca="false">IF(D787="","Unknown",IF(D787&lt;25,"Under 25",IF(D787&lt;35,"25-34",IF(D787&lt;45,"35-44",IF(D787&lt;55,"45-54","55+")))))</f>
        <v>45-54</v>
      </c>
      <c r="R787" s="13" t="str">
        <f aca="false">IF(P787&lt;1,"0-1 yrs",IF(P787&lt;3,"1-3 yrs",IF(P787&lt;5,"3-5 yrs",IF(P787&lt;10,"5-10 yrs","10+ yrs"))))</f>
        <v>5-10 yrs</v>
      </c>
      <c r="S787" s="13" t="str">
        <f aca="false">IF(I787&gt;=4,"High",IF(I787=3,"Medium","Low"))</f>
        <v>High</v>
      </c>
      <c r="T787" s="13" t="str">
        <f aca="false">IF(M787=1,YEAR(C787),"")</f>
        <v/>
      </c>
      <c r="U787" s="13" t="str">
        <f aca="false">IF(M787=1,YEAR(C787)&amp;"-Q"&amp;ROUNDUP(MONTH(C787)/3,0),"")</f>
        <v/>
      </c>
      <c r="V787" s="13" t="str">
        <f aca="false">IF(M787=1,MONTH(C787),"")</f>
        <v/>
      </c>
    </row>
    <row r="788" customFormat="false" ht="15" hidden="false" customHeight="false" outlineLevel="0" collapsed="false">
      <c r="A788" s="13" t="str">
        <f aca="false">TRIM(Raw_Data!A788)</f>
        <v>EMP0787</v>
      </c>
      <c r="B788" s="14" t="n">
        <f aca="false">Raw_Data!B788</f>
        <v>43375</v>
      </c>
      <c r="C788" s="14" t="n">
        <f aca="false">IF(Raw_Data!C788="","",Raw_Data!C788)</f>
        <v>45758</v>
      </c>
      <c r="D788" s="13" t="n">
        <f aca="false">IF(Raw_Data!D788="","",Raw_Data!D788)</f>
        <v>39</v>
      </c>
      <c r="E788" s="13" t="str">
        <f aca="false">IF(UPPER(LEFT(TRIM(Raw_Data!E788),1))="M","Male",IF(UPPER(LEFT(TRIM(Raw_Data!E788),1))="F","Female","Unknown"))</f>
        <v>Female</v>
      </c>
      <c r="F788" s="13" t="str">
        <f aca="false">PROPER(TRIM(SUBSTITUTE(Raw_Data!F788,"'","")))</f>
        <v>Masters</v>
      </c>
      <c r="G788" s="13" t="str">
        <f aca="false">PROPER(TRIM(Raw_Data!G788))</f>
        <v>Customer Support</v>
      </c>
      <c r="H788" s="13" t="str">
        <f aca="false">PROPER(TRIM(Raw_Data!H788))</f>
        <v>Analyst</v>
      </c>
      <c r="I788" s="13" t="n">
        <f aca="false">IF(Raw_Data!I788="",DefaultPerf,Raw_Data!I788)</f>
        <v>3</v>
      </c>
      <c r="J788" s="13" t="n">
        <f aca="false">IF(Raw_Data!J788="",DefaultSat,Raw_Data!J788)</f>
        <v>2</v>
      </c>
      <c r="K788" s="15" t="n">
        <f aca="false">Raw_Data!K788</f>
        <v>71000</v>
      </c>
      <c r="L788" s="13" t="str">
        <f aca="false">PROPER(TRIM(Raw_Data!N788))</f>
        <v>No</v>
      </c>
      <c r="M788" s="13" t="n">
        <f aca="false">IF(C788="",0,1)</f>
        <v>1</v>
      </c>
      <c r="N788" s="13" t="str">
        <f aca="false">IF(M788=0,"Active",IF(TRIM(Raw_Data!L788)="","Unknown",PROPER(TRIM(Raw_Data!L788))))</f>
        <v>Voluntary</v>
      </c>
      <c r="O788" s="13" t="str">
        <f aca="false">IF(M788=0,"",IF(TRIM(Raw_Data!M788)="","Not Recorded",TRIM(Raw_Data!M788)))</f>
        <v>Better Compensation</v>
      </c>
      <c r="P788" s="16" t="n">
        <f aca="false">ROUND((IF(C788="",AsOfDate,C788)-B788)/365.25,2)</f>
        <v>6.52</v>
      </c>
      <c r="Q788" s="13" t="str">
        <f aca="false">IF(D788="","Unknown",IF(D788&lt;25,"Under 25",IF(D788&lt;35,"25-34",IF(D788&lt;45,"35-44",IF(D788&lt;55,"45-54","55+")))))</f>
        <v>35-44</v>
      </c>
      <c r="R788" s="13" t="str">
        <f aca="false">IF(P788&lt;1,"0-1 yrs",IF(P788&lt;3,"1-3 yrs",IF(P788&lt;5,"3-5 yrs",IF(P788&lt;10,"5-10 yrs","10+ yrs"))))</f>
        <v>5-10 yrs</v>
      </c>
      <c r="S788" s="13" t="str">
        <f aca="false">IF(I788&gt;=4,"High",IF(I788=3,"Medium","Low"))</f>
        <v>Medium</v>
      </c>
      <c r="T788" s="13" t="n">
        <f aca="false">IF(M788=1,YEAR(C788),"")</f>
        <v>2025</v>
      </c>
      <c r="U788" s="13" t="str">
        <f aca="false">IF(M788=1,YEAR(C788)&amp;"-Q"&amp;ROUNDUP(MONTH(C788)/3,0),"")</f>
        <v>2025-Q2</v>
      </c>
      <c r="V788" s="13" t="n">
        <f aca="false">IF(M788=1,MONTH(C788),"")</f>
        <v>4</v>
      </c>
    </row>
    <row r="789" customFormat="false" ht="15" hidden="false" customHeight="false" outlineLevel="0" collapsed="false">
      <c r="A789" s="13" t="str">
        <f aca="false">TRIM(Raw_Data!A789)</f>
        <v>EMP0788</v>
      </c>
      <c r="B789" s="14" t="n">
        <f aca="false">Raw_Data!B789</f>
        <v>43377</v>
      </c>
      <c r="C789" s="14" t="n">
        <f aca="false">IF(Raw_Data!C789="","",Raw_Data!C789)</f>
        <v>45160</v>
      </c>
      <c r="D789" s="13" t="n">
        <f aca="false">IF(Raw_Data!D789="","",Raw_Data!D789)</f>
        <v>40</v>
      </c>
      <c r="E789" s="13" t="str">
        <f aca="false">IF(UPPER(LEFT(TRIM(Raw_Data!E789),1))="M","Male",IF(UPPER(LEFT(TRIM(Raw_Data!E789),1))="F","Female","Unknown"))</f>
        <v>Male</v>
      </c>
      <c r="F789" s="13" t="str">
        <f aca="false">PROPER(TRIM(SUBSTITUTE(Raw_Data!F789,"'","")))</f>
        <v>Masters</v>
      </c>
      <c r="G789" s="13" t="str">
        <f aca="false">PROPER(TRIM(Raw_Data!G789))</f>
        <v>Customer Support</v>
      </c>
      <c r="H789" s="13" t="str">
        <f aca="false">PROPER(TRIM(Raw_Data!H789))</f>
        <v>Analyst</v>
      </c>
      <c r="I789" s="13" t="n">
        <f aca="false">IF(Raw_Data!I789="",DefaultPerf,Raw_Data!I789)</f>
        <v>4</v>
      </c>
      <c r="J789" s="13" t="n">
        <f aca="false">IF(Raw_Data!J789="",DefaultSat,Raw_Data!J789)</f>
        <v>2</v>
      </c>
      <c r="K789" s="15" t="n">
        <f aca="false">Raw_Data!K789</f>
        <v>71000</v>
      </c>
      <c r="L789" s="13" t="str">
        <f aca="false">PROPER(TRIM(Raw_Data!N789))</f>
        <v>No</v>
      </c>
      <c r="M789" s="13" t="n">
        <f aca="false">IF(C789="",0,1)</f>
        <v>1</v>
      </c>
      <c r="N789" s="13" t="str">
        <f aca="false">IF(M789=0,"Active",IF(TRIM(Raw_Data!L789)="","Unknown",PROPER(TRIM(Raw_Data!L789))))</f>
        <v>Voluntary</v>
      </c>
      <c r="O789" s="13" t="str">
        <f aca="false">IF(M789=0,"",IF(TRIM(Raw_Data!M789)="","Not Recorded",TRIM(Raw_Data!M789)))</f>
        <v>Work-Life Balance</v>
      </c>
      <c r="P789" s="16" t="n">
        <f aca="false">ROUND((IF(C789="",AsOfDate,C789)-B789)/365.25,2)</f>
        <v>4.88</v>
      </c>
      <c r="Q789" s="13" t="str">
        <f aca="false">IF(D789="","Unknown",IF(D789&lt;25,"Under 25",IF(D789&lt;35,"25-34",IF(D789&lt;45,"35-44",IF(D789&lt;55,"45-54","55+")))))</f>
        <v>35-44</v>
      </c>
      <c r="R789" s="13" t="str">
        <f aca="false">IF(P789&lt;1,"0-1 yrs",IF(P789&lt;3,"1-3 yrs",IF(P789&lt;5,"3-5 yrs",IF(P789&lt;10,"5-10 yrs","10+ yrs"))))</f>
        <v>3-5 yrs</v>
      </c>
      <c r="S789" s="13" t="str">
        <f aca="false">IF(I789&gt;=4,"High",IF(I789=3,"Medium","Low"))</f>
        <v>High</v>
      </c>
      <c r="T789" s="13" t="n">
        <f aca="false">IF(M789=1,YEAR(C789),"")</f>
        <v>2023</v>
      </c>
      <c r="U789" s="13" t="str">
        <f aca="false">IF(M789=1,YEAR(C789)&amp;"-Q"&amp;ROUNDUP(MONTH(C789)/3,0),"")</f>
        <v>2023-Q3</v>
      </c>
      <c r="V789" s="13" t="n">
        <f aca="false">IF(M789=1,MONTH(C789),"")</f>
        <v>8</v>
      </c>
    </row>
    <row r="790" customFormat="false" ht="15" hidden="false" customHeight="false" outlineLevel="0" collapsed="false">
      <c r="A790" s="13" t="str">
        <f aca="false">TRIM(Raw_Data!A790)</f>
        <v>EMP0789</v>
      </c>
      <c r="B790" s="14" t="n">
        <f aca="false">Raw_Data!B790</f>
        <v>43378</v>
      </c>
      <c r="C790" s="14" t="str">
        <f aca="false">IF(Raw_Data!C790="","",Raw_Data!C790)</f>
        <v/>
      </c>
      <c r="D790" s="13" t="n">
        <f aca="false">IF(Raw_Data!D790="","",Raw_Data!D790)</f>
        <v>28</v>
      </c>
      <c r="E790" s="13" t="str">
        <f aca="false">IF(UPPER(LEFT(TRIM(Raw_Data!E790),1))="M","Male",IF(UPPER(LEFT(TRIM(Raw_Data!E790),1))="F","Female","Unknown"))</f>
        <v>Male</v>
      </c>
      <c r="F790" s="13" t="str">
        <f aca="false">PROPER(TRIM(SUBSTITUTE(Raw_Data!F790,"'","")))</f>
        <v>Diploma</v>
      </c>
      <c r="G790" s="13" t="str">
        <f aca="false">PROPER(TRIM(Raw_Data!G790))</f>
        <v>Engineering</v>
      </c>
      <c r="H790" s="13" t="str">
        <f aca="false">PROPER(TRIM(Raw_Data!H790))</f>
        <v>Associate</v>
      </c>
      <c r="I790" s="13" t="n">
        <f aca="false">IF(Raw_Data!I790="",DefaultPerf,Raw_Data!I790)</f>
        <v>4</v>
      </c>
      <c r="J790" s="13" t="n">
        <f aca="false">IF(Raw_Data!J790="",DefaultSat,Raw_Data!J790)</f>
        <v>3</v>
      </c>
      <c r="K790" s="15" t="n">
        <f aca="false">Raw_Data!K790</f>
        <v>52000</v>
      </c>
      <c r="L790" s="13" t="str">
        <f aca="false">PROPER(TRIM(Raw_Data!N790))</f>
        <v>No</v>
      </c>
      <c r="M790" s="13" t="n">
        <f aca="false">IF(C790="",0,1)</f>
        <v>0</v>
      </c>
      <c r="N790" s="13" t="str">
        <f aca="false">IF(M790=0,"Active",IF(TRIM(Raw_Data!L790)="","Unknown",PROPER(TRIM(Raw_Data!L790))))</f>
        <v>Active</v>
      </c>
      <c r="O790" s="13" t="str">
        <f aca="false">IF(M790=0,"",IF(TRIM(Raw_Data!M790)="","Not Recorded",TRIM(Raw_Data!M790)))</f>
        <v/>
      </c>
      <c r="P790" s="16" t="n">
        <f aca="false">ROUND((IF(C790="",AsOfDate,C790)-B790)/365.25,2)</f>
        <v>7.24</v>
      </c>
      <c r="Q790" s="13" t="str">
        <f aca="false">IF(D790="","Unknown",IF(D790&lt;25,"Under 25",IF(D790&lt;35,"25-34",IF(D790&lt;45,"35-44",IF(D790&lt;55,"45-54","55+")))))</f>
        <v>25-34</v>
      </c>
      <c r="R790" s="13" t="str">
        <f aca="false">IF(P790&lt;1,"0-1 yrs",IF(P790&lt;3,"1-3 yrs",IF(P790&lt;5,"3-5 yrs",IF(P790&lt;10,"5-10 yrs","10+ yrs"))))</f>
        <v>5-10 yrs</v>
      </c>
      <c r="S790" s="13" t="str">
        <f aca="false">IF(I790&gt;=4,"High",IF(I790=3,"Medium","Low"))</f>
        <v>High</v>
      </c>
      <c r="T790" s="13" t="str">
        <f aca="false">IF(M790=1,YEAR(C790),"")</f>
        <v/>
      </c>
      <c r="U790" s="13" t="str">
        <f aca="false">IF(M790=1,YEAR(C790)&amp;"-Q"&amp;ROUNDUP(MONTH(C790)/3,0),"")</f>
        <v/>
      </c>
      <c r="V790" s="13" t="str">
        <f aca="false">IF(M790=1,MONTH(C790),"")</f>
        <v/>
      </c>
    </row>
    <row r="791" customFormat="false" ht="15" hidden="false" customHeight="false" outlineLevel="0" collapsed="false">
      <c r="A791" s="13" t="str">
        <f aca="false">TRIM(Raw_Data!A791)</f>
        <v>EMP0790</v>
      </c>
      <c r="B791" s="14" t="n">
        <f aca="false">Raw_Data!B791</f>
        <v>43378</v>
      </c>
      <c r="C791" s="14" t="str">
        <f aca="false">IF(Raw_Data!C791="","",Raw_Data!C791)</f>
        <v/>
      </c>
      <c r="D791" s="13" t="n">
        <f aca="false">IF(Raw_Data!D791="","",Raw_Data!D791)</f>
        <v>37</v>
      </c>
      <c r="E791" s="13" t="str">
        <f aca="false">IF(UPPER(LEFT(TRIM(Raw_Data!E791),1))="M","Male",IF(UPPER(LEFT(TRIM(Raw_Data!E791),1))="F","Female","Unknown"))</f>
        <v>Male</v>
      </c>
      <c r="F791" s="13" t="str">
        <f aca="false">PROPER(TRIM(SUBSTITUTE(Raw_Data!F791,"'","")))</f>
        <v>High School</v>
      </c>
      <c r="G791" s="13" t="str">
        <f aca="false">PROPER(TRIM(Raw_Data!G791))</f>
        <v>Engineering</v>
      </c>
      <c r="H791" s="13" t="str">
        <f aca="false">PROPER(TRIM(Raw_Data!H791))</f>
        <v>Senior Analyst</v>
      </c>
      <c r="I791" s="13" t="n">
        <f aca="false">IF(Raw_Data!I791="",DefaultPerf,Raw_Data!I791)</f>
        <v>4</v>
      </c>
      <c r="J791" s="13" t="n">
        <f aca="false">IF(Raw_Data!J791="",DefaultSat,Raw_Data!J791)</f>
        <v>3</v>
      </c>
      <c r="K791" s="15" t="n">
        <f aca="false">Raw_Data!K791</f>
        <v>103500</v>
      </c>
      <c r="L791" s="13" t="str">
        <f aca="false">PROPER(TRIM(Raw_Data!N791))</f>
        <v>No</v>
      </c>
      <c r="M791" s="13" t="n">
        <f aca="false">IF(C791="",0,1)</f>
        <v>0</v>
      </c>
      <c r="N791" s="13" t="str">
        <f aca="false">IF(M791=0,"Active",IF(TRIM(Raw_Data!L791)="","Unknown",PROPER(TRIM(Raw_Data!L791))))</f>
        <v>Active</v>
      </c>
      <c r="O791" s="13" t="str">
        <f aca="false">IF(M791=0,"",IF(TRIM(Raw_Data!M791)="","Not Recorded",TRIM(Raw_Data!M791)))</f>
        <v/>
      </c>
      <c r="P791" s="16" t="n">
        <f aca="false">ROUND((IF(C791="",AsOfDate,C791)-B791)/365.25,2)</f>
        <v>7.24</v>
      </c>
      <c r="Q791" s="13" t="str">
        <f aca="false">IF(D791="","Unknown",IF(D791&lt;25,"Under 25",IF(D791&lt;35,"25-34",IF(D791&lt;45,"35-44",IF(D791&lt;55,"45-54","55+")))))</f>
        <v>35-44</v>
      </c>
      <c r="R791" s="13" t="str">
        <f aca="false">IF(P791&lt;1,"0-1 yrs",IF(P791&lt;3,"1-3 yrs",IF(P791&lt;5,"3-5 yrs",IF(P791&lt;10,"5-10 yrs","10+ yrs"))))</f>
        <v>5-10 yrs</v>
      </c>
      <c r="S791" s="13" t="str">
        <f aca="false">IF(I791&gt;=4,"High",IF(I791=3,"Medium","Low"))</f>
        <v>High</v>
      </c>
      <c r="T791" s="13" t="str">
        <f aca="false">IF(M791=1,YEAR(C791),"")</f>
        <v/>
      </c>
      <c r="U791" s="13" t="str">
        <f aca="false">IF(M791=1,YEAR(C791)&amp;"-Q"&amp;ROUNDUP(MONTH(C791)/3,0),"")</f>
        <v/>
      </c>
      <c r="V791" s="13" t="str">
        <f aca="false">IF(M791=1,MONTH(C791),"")</f>
        <v/>
      </c>
    </row>
    <row r="792" customFormat="false" ht="15" hidden="false" customHeight="false" outlineLevel="0" collapsed="false">
      <c r="A792" s="13" t="str">
        <f aca="false">TRIM(Raw_Data!A792)</f>
        <v>EMP0791</v>
      </c>
      <c r="B792" s="14" t="n">
        <f aca="false">Raw_Data!B792</f>
        <v>43378</v>
      </c>
      <c r="C792" s="14" t="n">
        <f aca="false">IF(Raw_Data!C792="","",Raw_Data!C792)</f>
        <v>45579</v>
      </c>
      <c r="D792" s="13" t="n">
        <f aca="false">IF(Raw_Data!D792="","",Raw_Data!D792)</f>
        <v>37</v>
      </c>
      <c r="E792" s="13" t="str">
        <f aca="false">IF(UPPER(LEFT(TRIM(Raw_Data!E792),1))="M","Male",IF(UPPER(LEFT(TRIM(Raw_Data!E792),1))="F","Female","Unknown"))</f>
        <v>Female</v>
      </c>
      <c r="F792" s="13" t="str">
        <f aca="false">PROPER(TRIM(SUBSTITUTE(Raw_Data!F792,"'","")))</f>
        <v>High School</v>
      </c>
      <c r="G792" s="13" t="str">
        <f aca="false">PROPER(TRIM(Raw_Data!G792))</f>
        <v>Sales</v>
      </c>
      <c r="H792" s="13" t="str">
        <f aca="false">PROPER(TRIM(Raw_Data!H792))</f>
        <v>Analyst</v>
      </c>
      <c r="I792" s="13" t="n">
        <f aca="false">IF(Raw_Data!I792="",DefaultPerf,Raw_Data!I792)</f>
        <v>4</v>
      </c>
      <c r="J792" s="13" t="n">
        <f aca="false">IF(Raw_Data!J792="",DefaultSat,Raw_Data!J792)</f>
        <v>2</v>
      </c>
      <c r="K792" s="15" t="n">
        <f aca="false">Raw_Data!K792</f>
        <v>73500</v>
      </c>
      <c r="L792" s="13" t="str">
        <f aca="false">PROPER(TRIM(Raw_Data!N792))</f>
        <v>Yes</v>
      </c>
      <c r="M792" s="13" t="n">
        <f aca="false">IF(C792="",0,1)</f>
        <v>1</v>
      </c>
      <c r="N792" s="13" t="str">
        <f aca="false">IF(M792=0,"Active",IF(TRIM(Raw_Data!L792)="","Unknown",PROPER(TRIM(Raw_Data!L792))))</f>
        <v>Voluntary</v>
      </c>
      <c r="O792" s="13" t="str">
        <f aca="false">IF(M792=0,"",IF(TRIM(Raw_Data!M792)="","Not Recorded",TRIM(Raw_Data!M792)))</f>
        <v>Work-Life Balance</v>
      </c>
      <c r="P792" s="16" t="n">
        <f aca="false">ROUND((IF(C792="",AsOfDate,C792)-B792)/365.25,2)</f>
        <v>6.03</v>
      </c>
      <c r="Q792" s="13" t="str">
        <f aca="false">IF(D792="","Unknown",IF(D792&lt;25,"Under 25",IF(D792&lt;35,"25-34",IF(D792&lt;45,"35-44",IF(D792&lt;55,"45-54","55+")))))</f>
        <v>35-44</v>
      </c>
      <c r="R792" s="13" t="str">
        <f aca="false">IF(P792&lt;1,"0-1 yrs",IF(P792&lt;3,"1-3 yrs",IF(P792&lt;5,"3-5 yrs",IF(P792&lt;10,"5-10 yrs","10+ yrs"))))</f>
        <v>5-10 yrs</v>
      </c>
      <c r="S792" s="13" t="str">
        <f aca="false">IF(I792&gt;=4,"High",IF(I792=3,"Medium","Low"))</f>
        <v>High</v>
      </c>
      <c r="T792" s="13" t="n">
        <f aca="false">IF(M792=1,YEAR(C792),"")</f>
        <v>2024</v>
      </c>
      <c r="U792" s="13" t="str">
        <f aca="false">IF(M792=1,YEAR(C792)&amp;"-Q"&amp;ROUNDUP(MONTH(C792)/3,0),"")</f>
        <v>2024-Q4</v>
      </c>
      <c r="V792" s="13" t="n">
        <f aca="false">IF(M792=1,MONTH(C792),"")</f>
        <v>10</v>
      </c>
    </row>
    <row r="793" customFormat="false" ht="15" hidden="false" customHeight="false" outlineLevel="0" collapsed="false">
      <c r="A793" s="13" t="str">
        <f aca="false">TRIM(Raw_Data!A793)</f>
        <v>EMP0792</v>
      </c>
      <c r="B793" s="14" t="n">
        <f aca="false">Raw_Data!B793</f>
        <v>43379</v>
      </c>
      <c r="C793" s="14" t="str">
        <f aca="false">IF(Raw_Data!C793="","",Raw_Data!C793)</f>
        <v/>
      </c>
      <c r="D793" s="13" t="n">
        <f aca="false">IF(Raw_Data!D793="","",Raw_Data!D793)</f>
        <v>37</v>
      </c>
      <c r="E793" s="13" t="str">
        <f aca="false">IF(UPPER(LEFT(TRIM(Raw_Data!E793),1))="M","Male",IF(UPPER(LEFT(TRIM(Raw_Data!E793),1))="F","Female","Unknown"))</f>
        <v>Female</v>
      </c>
      <c r="F793" s="13" t="str">
        <f aca="false">PROPER(TRIM(SUBSTITUTE(Raw_Data!F793,"'","")))</f>
        <v>Bachelors</v>
      </c>
      <c r="G793" s="13" t="str">
        <f aca="false">PROPER(TRIM(Raw_Data!G793))</f>
        <v>Engineering</v>
      </c>
      <c r="H793" s="13" t="str">
        <f aca="false">PROPER(TRIM(Raw_Data!H793))</f>
        <v>Associate</v>
      </c>
      <c r="I793" s="13" t="n">
        <f aca="false">IF(Raw_Data!I793="",DefaultPerf,Raw_Data!I793)</f>
        <v>3</v>
      </c>
      <c r="J793" s="13" t="n">
        <f aca="false">IF(Raw_Data!J793="",DefaultSat,Raw_Data!J793)</f>
        <v>2</v>
      </c>
      <c r="K793" s="15" t="n">
        <f aca="false">Raw_Data!K793</f>
        <v>48000</v>
      </c>
      <c r="L793" s="13" t="str">
        <f aca="false">PROPER(TRIM(Raw_Data!N793))</f>
        <v>Yes</v>
      </c>
      <c r="M793" s="13" t="n">
        <f aca="false">IF(C793="",0,1)</f>
        <v>0</v>
      </c>
      <c r="N793" s="13" t="str">
        <f aca="false">IF(M793=0,"Active",IF(TRIM(Raw_Data!L793)="","Unknown",PROPER(TRIM(Raw_Data!L793))))</f>
        <v>Active</v>
      </c>
      <c r="O793" s="13" t="str">
        <f aca="false">IF(M793=0,"",IF(TRIM(Raw_Data!M793)="","Not Recorded",TRIM(Raw_Data!M793)))</f>
        <v/>
      </c>
      <c r="P793" s="16" t="n">
        <f aca="false">ROUND((IF(C793="",AsOfDate,C793)-B793)/365.25,2)</f>
        <v>7.24</v>
      </c>
      <c r="Q793" s="13" t="str">
        <f aca="false">IF(D793="","Unknown",IF(D793&lt;25,"Under 25",IF(D793&lt;35,"25-34",IF(D793&lt;45,"35-44",IF(D793&lt;55,"45-54","55+")))))</f>
        <v>35-44</v>
      </c>
      <c r="R793" s="13" t="str">
        <f aca="false">IF(P793&lt;1,"0-1 yrs",IF(P793&lt;3,"1-3 yrs",IF(P793&lt;5,"3-5 yrs",IF(P793&lt;10,"5-10 yrs","10+ yrs"))))</f>
        <v>5-10 yrs</v>
      </c>
      <c r="S793" s="13" t="str">
        <f aca="false">IF(I793&gt;=4,"High",IF(I793=3,"Medium","Low"))</f>
        <v>Medium</v>
      </c>
      <c r="T793" s="13" t="str">
        <f aca="false">IF(M793=1,YEAR(C793),"")</f>
        <v/>
      </c>
      <c r="U793" s="13" t="str">
        <f aca="false">IF(M793=1,YEAR(C793)&amp;"-Q"&amp;ROUNDUP(MONTH(C793)/3,0),"")</f>
        <v/>
      </c>
      <c r="V793" s="13" t="str">
        <f aca="false">IF(M793=1,MONTH(C793),"")</f>
        <v/>
      </c>
    </row>
    <row r="794" customFormat="false" ht="15" hidden="false" customHeight="false" outlineLevel="0" collapsed="false">
      <c r="A794" s="13" t="str">
        <f aca="false">TRIM(Raw_Data!A794)</f>
        <v>EMP0793</v>
      </c>
      <c r="B794" s="14" t="n">
        <f aca="false">Raw_Data!B794</f>
        <v>43381</v>
      </c>
      <c r="C794" s="14" t="str">
        <f aca="false">IF(Raw_Data!C794="","",Raw_Data!C794)</f>
        <v/>
      </c>
      <c r="D794" s="13" t="n">
        <f aca="false">IF(Raw_Data!D794="","",Raw_Data!D794)</f>
        <v>40</v>
      </c>
      <c r="E794" s="13" t="str">
        <f aca="false">IF(UPPER(LEFT(TRIM(Raw_Data!E794),1))="M","Male",IF(UPPER(LEFT(TRIM(Raw_Data!E794),1))="F","Female","Unknown"))</f>
        <v>Female</v>
      </c>
      <c r="F794" s="13" t="str">
        <f aca="false">PROPER(TRIM(SUBSTITUTE(Raw_Data!F794,"'","")))</f>
        <v>Bachelors</v>
      </c>
      <c r="G794" s="13" t="str">
        <f aca="false">PROPER(TRIM(Raw_Data!G794))</f>
        <v>Human Resources</v>
      </c>
      <c r="H794" s="13" t="str">
        <f aca="false">PROPER(TRIM(Raw_Data!H794))</f>
        <v>Specialist</v>
      </c>
      <c r="I794" s="13" t="n">
        <f aca="false">IF(Raw_Data!I794="",DefaultPerf,Raw_Data!I794)</f>
        <v>3</v>
      </c>
      <c r="J794" s="13" t="n">
        <f aca="false">IF(Raw_Data!J794="",DefaultSat,Raw_Data!J794)</f>
        <v>4</v>
      </c>
      <c r="K794" s="15" t="n">
        <f aca="false">Raw_Data!K794</f>
        <v>136000</v>
      </c>
      <c r="L794" s="13" t="str">
        <f aca="false">PROPER(TRIM(Raw_Data!N794))</f>
        <v>No</v>
      </c>
      <c r="M794" s="13" t="n">
        <f aca="false">IF(C794="",0,1)</f>
        <v>0</v>
      </c>
      <c r="N794" s="13" t="str">
        <f aca="false">IF(M794=0,"Active",IF(TRIM(Raw_Data!L794)="","Unknown",PROPER(TRIM(Raw_Data!L794))))</f>
        <v>Active</v>
      </c>
      <c r="O794" s="13" t="str">
        <f aca="false">IF(M794=0,"",IF(TRIM(Raw_Data!M794)="","Not Recorded",TRIM(Raw_Data!M794)))</f>
        <v/>
      </c>
      <c r="P794" s="16" t="n">
        <f aca="false">ROUND((IF(C794="",AsOfDate,C794)-B794)/365.25,2)</f>
        <v>7.23</v>
      </c>
      <c r="Q794" s="13" t="str">
        <f aca="false">IF(D794="","Unknown",IF(D794&lt;25,"Under 25",IF(D794&lt;35,"25-34",IF(D794&lt;45,"35-44",IF(D794&lt;55,"45-54","55+")))))</f>
        <v>35-44</v>
      </c>
      <c r="R794" s="13" t="str">
        <f aca="false">IF(P794&lt;1,"0-1 yrs",IF(P794&lt;3,"1-3 yrs",IF(P794&lt;5,"3-5 yrs",IF(P794&lt;10,"5-10 yrs","10+ yrs"))))</f>
        <v>5-10 yrs</v>
      </c>
      <c r="S794" s="13" t="str">
        <f aca="false">IF(I794&gt;=4,"High",IF(I794=3,"Medium","Low"))</f>
        <v>Medium</v>
      </c>
      <c r="T794" s="13" t="str">
        <f aca="false">IF(M794=1,YEAR(C794),"")</f>
        <v/>
      </c>
      <c r="U794" s="13" t="str">
        <f aca="false">IF(M794=1,YEAR(C794)&amp;"-Q"&amp;ROUNDUP(MONTH(C794)/3,0),"")</f>
        <v/>
      </c>
      <c r="V794" s="13" t="str">
        <f aca="false">IF(M794=1,MONTH(C794),"")</f>
        <v/>
      </c>
    </row>
    <row r="795" customFormat="false" ht="15" hidden="false" customHeight="false" outlineLevel="0" collapsed="false">
      <c r="A795" s="13" t="str">
        <f aca="false">TRIM(Raw_Data!A795)</f>
        <v>EMP0794</v>
      </c>
      <c r="B795" s="14" t="n">
        <f aca="false">Raw_Data!B795</f>
        <v>43390</v>
      </c>
      <c r="C795" s="14" t="str">
        <f aca="false">IF(Raw_Data!C795="","",Raw_Data!C795)</f>
        <v/>
      </c>
      <c r="D795" s="13" t="n">
        <f aca="false">IF(Raw_Data!D795="","",Raw_Data!D795)</f>
        <v>42</v>
      </c>
      <c r="E795" s="13" t="str">
        <f aca="false">IF(UPPER(LEFT(TRIM(Raw_Data!E795),1))="M","Male",IF(UPPER(LEFT(TRIM(Raw_Data!E795),1))="F","Female","Unknown"))</f>
        <v>Female</v>
      </c>
      <c r="F795" s="13" t="str">
        <f aca="false">PROPER(TRIM(SUBSTITUTE(Raw_Data!F795,"'","")))</f>
        <v>Masters</v>
      </c>
      <c r="G795" s="13" t="str">
        <f aca="false">PROPER(TRIM(Raw_Data!G795))</f>
        <v>Operations</v>
      </c>
      <c r="H795" s="13" t="str">
        <f aca="false">PROPER(TRIM(Raw_Data!H795))</f>
        <v>Associate</v>
      </c>
      <c r="I795" s="13" t="n">
        <f aca="false">IF(Raw_Data!I795="",DefaultPerf,Raw_Data!I795)</f>
        <v>5</v>
      </c>
      <c r="J795" s="13" t="n">
        <f aca="false">IF(Raw_Data!J795="",DefaultSat,Raw_Data!J795)</f>
        <v>3</v>
      </c>
      <c r="K795" s="15" t="n">
        <f aca="false">Raw_Data!K795</f>
        <v>36000</v>
      </c>
      <c r="L795" s="13" t="str">
        <f aca="false">PROPER(TRIM(Raw_Data!N795))</f>
        <v>No</v>
      </c>
      <c r="M795" s="13" t="n">
        <f aca="false">IF(C795="",0,1)</f>
        <v>0</v>
      </c>
      <c r="N795" s="13" t="str">
        <f aca="false">IF(M795=0,"Active",IF(TRIM(Raw_Data!L795)="","Unknown",PROPER(TRIM(Raw_Data!L795))))</f>
        <v>Active</v>
      </c>
      <c r="O795" s="13" t="str">
        <f aca="false">IF(M795=0,"",IF(TRIM(Raw_Data!M795)="","Not Recorded",TRIM(Raw_Data!M795)))</f>
        <v/>
      </c>
      <c r="P795" s="16" t="n">
        <f aca="false">ROUND((IF(C795="",AsOfDate,C795)-B795)/365.25,2)</f>
        <v>7.21</v>
      </c>
      <c r="Q795" s="13" t="str">
        <f aca="false">IF(D795="","Unknown",IF(D795&lt;25,"Under 25",IF(D795&lt;35,"25-34",IF(D795&lt;45,"35-44",IF(D795&lt;55,"45-54","55+")))))</f>
        <v>35-44</v>
      </c>
      <c r="R795" s="13" t="str">
        <f aca="false">IF(P795&lt;1,"0-1 yrs",IF(P795&lt;3,"1-3 yrs",IF(P795&lt;5,"3-5 yrs",IF(P795&lt;10,"5-10 yrs","10+ yrs"))))</f>
        <v>5-10 yrs</v>
      </c>
      <c r="S795" s="13" t="str">
        <f aca="false">IF(I795&gt;=4,"High",IF(I795=3,"Medium","Low"))</f>
        <v>High</v>
      </c>
      <c r="T795" s="13" t="str">
        <f aca="false">IF(M795=1,YEAR(C795),"")</f>
        <v/>
      </c>
      <c r="U795" s="13" t="str">
        <f aca="false">IF(M795=1,YEAR(C795)&amp;"-Q"&amp;ROUNDUP(MONTH(C795)/3,0),"")</f>
        <v/>
      </c>
      <c r="V795" s="13" t="str">
        <f aca="false">IF(M795=1,MONTH(C795),"")</f>
        <v/>
      </c>
    </row>
    <row r="796" customFormat="false" ht="15" hidden="false" customHeight="false" outlineLevel="0" collapsed="false">
      <c r="A796" s="13" t="str">
        <f aca="false">TRIM(Raw_Data!A796)</f>
        <v>EMP0795</v>
      </c>
      <c r="B796" s="14" t="n">
        <f aca="false">Raw_Data!B796</f>
        <v>43391</v>
      </c>
      <c r="C796" s="14" t="str">
        <f aca="false">IF(Raw_Data!C796="","",Raw_Data!C796)</f>
        <v/>
      </c>
      <c r="D796" s="13" t="n">
        <f aca="false">IF(Raw_Data!D796="","",Raw_Data!D796)</f>
        <v>40</v>
      </c>
      <c r="E796" s="13" t="str">
        <f aca="false">IF(UPPER(LEFT(TRIM(Raw_Data!E796),1))="M","Male",IF(UPPER(LEFT(TRIM(Raw_Data!E796),1))="F","Female","Unknown"))</f>
        <v>Male</v>
      </c>
      <c r="F796" s="13" t="str">
        <f aca="false">PROPER(TRIM(SUBSTITUTE(Raw_Data!F796,"'","")))</f>
        <v>Bachelors</v>
      </c>
      <c r="G796" s="13" t="str">
        <f aca="false">PROPER(TRIM(Raw_Data!G796))</f>
        <v>Operations</v>
      </c>
      <c r="H796" s="13" t="str">
        <f aca="false">PROPER(TRIM(Raw_Data!H796))</f>
        <v>Analyst</v>
      </c>
      <c r="I796" s="13" t="n">
        <f aca="false">IF(Raw_Data!I796="",DefaultPerf,Raw_Data!I796)</f>
        <v>3</v>
      </c>
      <c r="J796" s="13" t="n">
        <f aca="false">IF(Raw_Data!J796="",DefaultSat,Raw_Data!J796)</f>
        <v>2</v>
      </c>
      <c r="K796" s="15" t="n">
        <f aca="false">Raw_Data!K796</f>
        <v>70000</v>
      </c>
      <c r="L796" s="13" t="str">
        <f aca="false">PROPER(TRIM(Raw_Data!N796))</f>
        <v>No</v>
      </c>
      <c r="M796" s="13" t="n">
        <f aca="false">IF(C796="",0,1)</f>
        <v>0</v>
      </c>
      <c r="N796" s="13" t="str">
        <f aca="false">IF(M796=0,"Active",IF(TRIM(Raw_Data!L796)="","Unknown",PROPER(TRIM(Raw_Data!L796))))</f>
        <v>Active</v>
      </c>
      <c r="O796" s="13" t="str">
        <f aca="false">IF(M796=0,"",IF(TRIM(Raw_Data!M796)="","Not Recorded",TRIM(Raw_Data!M796)))</f>
        <v/>
      </c>
      <c r="P796" s="16" t="n">
        <f aca="false">ROUND((IF(C796="",AsOfDate,C796)-B796)/365.25,2)</f>
        <v>7.2</v>
      </c>
      <c r="Q796" s="13" t="str">
        <f aca="false">IF(D796="","Unknown",IF(D796&lt;25,"Under 25",IF(D796&lt;35,"25-34",IF(D796&lt;45,"35-44",IF(D796&lt;55,"45-54","55+")))))</f>
        <v>35-44</v>
      </c>
      <c r="R796" s="13" t="str">
        <f aca="false">IF(P796&lt;1,"0-1 yrs",IF(P796&lt;3,"1-3 yrs",IF(P796&lt;5,"3-5 yrs",IF(P796&lt;10,"5-10 yrs","10+ yrs"))))</f>
        <v>5-10 yrs</v>
      </c>
      <c r="S796" s="13" t="str">
        <f aca="false">IF(I796&gt;=4,"High",IF(I796=3,"Medium","Low"))</f>
        <v>Medium</v>
      </c>
      <c r="T796" s="13" t="str">
        <f aca="false">IF(M796=1,YEAR(C796),"")</f>
        <v/>
      </c>
      <c r="U796" s="13" t="str">
        <f aca="false">IF(M796=1,YEAR(C796)&amp;"-Q"&amp;ROUNDUP(MONTH(C796)/3,0),"")</f>
        <v/>
      </c>
      <c r="V796" s="13" t="str">
        <f aca="false">IF(M796=1,MONTH(C796),"")</f>
        <v/>
      </c>
    </row>
    <row r="797" customFormat="false" ht="15" hidden="false" customHeight="false" outlineLevel="0" collapsed="false">
      <c r="A797" s="13" t="str">
        <f aca="false">TRIM(Raw_Data!A797)</f>
        <v>EMP0796</v>
      </c>
      <c r="B797" s="14" t="n">
        <f aca="false">Raw_Data!B797</f>
        <v>43395</v>
      </c>
      <c r="C797" s="14" t="str">
        <f aca="false">IF(Raw_Data!C797="","",Raw_Data!C797)</f>
        <v/>
      </c>
      <c r="D797" s="13" t="n">
        <f aca="false">IF(Raw_Data!D797="","",Raw_Data!D797)</f>
        <v>31</v>
      </c>
      <c r="E797" s="13" t="str">
        <f aca="false">IF(UPPER(LEFT(TRIM(Raw_Data!E797),1))="M","Male",IF(UPPER(LEFT(TRIM(Raw_Data!E797),1))="F","Female","Unknown"))</f>
        <v>Female</v>
      </c>
      <c r="F797" s="13" t="str">
        <f aca="false">PROPER(TRIM(SUBSTITUTE(Raw_Data!F797,"'","")))</f>
        <v>Bachelors</v>
      </c>
      <c r="G797" s="13" t="str">
        <f aca="false">PROPER(TRIM(Raw_Data!G797))</f>
        <v>Sales</v>
      </c>
      <c r="H797" s="13" t="str">
        <f aca="false">PROPER(TRIM(Raw_Data!H797))</f>
        <v>Specialist</v>
      </c>
      <c r="I797" s="13" t="n">
        <f aca="false">IF(Raw_Data!I797="",DefaultPerf,Raw_Data!I797)</f>
        <v>3</v>
      </c>
      <c r="J797" s="13" t="n">
        <f aca="false">IF(Raw_Data!J797="",DefaultSat,Raw_Data!J797)</f>
        <v>4</v>
      </c>
      <c r="K797" s="15" t="n">
        <f aca="false">Raw_Data!K797</f>
        <v>113500</v>
      </c>
      <c r="L797" s="13" t="str">
        <f aca="false">PROPER(TRIM(Raw_Data!N797))</f>
        <v>Yes</v>
      </c>
      <c r="M797" s="13" t="n">
        <f aca="false">IF(C797="",0,1)</f>
        <v>0</v>
      </c>
      <c r="N797" s="13" t="str">
        <f aca="false">IF(M797=0,"Active",IF(TRIM(Raw_Data!L797)="","Unknown",PROPER(TRIM(Raw_Data!L797))))</f>
        <v>Active</v>
      </c>
      <c r="O797" s="13" t="str">
        <f aca="false">IF(M797=0,"",IF(TRIM(Raw_Data!M797)="","Not Recorded",TRIM(Raw_Data!M797)))</f>
        <v/>
      </c>
      <c r="P797" s="16" t="n">
        <f aca="false">ROUND((IF(C797="",AsOfDate,C797)-B797)/365.25,2)</f>
        <v>7.19</v>
      </c>
      <c r="Q797" s="13" t="str">
        <f aca="false">IF(D797="","Unknown",IF(D797&lt;25,"Under 25",IF(D797&lt;35,"25-34",IF(D797&lt;45,"35-44",IF(D797&lt;55,"45-54","55+")))))</f>
        <v>25-34</v>
      </c>
      <c r="R797" s="13" t="str">
        <f aca="false">IF(P797&lt;1,"0-1 yrs",IF(P797&lt;3,"1-3 yrs",IF(P797&lt;5,"3-5 yrs",IF(P797&lt;10,"5-10 yrs","10+ yrs"))))</f>
        <v>5-10 yrs</v>
      </c>
      <c r="S797" s="13" t="str">
        <f aca="false">IF(I797&gt;=4,"High",IF(I797=3,"Medium","Low"))</f>
        <v>Medium</v>
      </c>
      <c r="T797" s="13" t="str">
        <f aca="false">IF(M797=1,YEAR(C797),"")</f>
        <v/>
      </c>
      <c r="U797" s="13" t="str">
        <f aca="false">IF(M797=1,YEAR(C797)&amp;"-Q"&amp;ROUNDUP(MONTH(C797)/3,0),"")</f>
        <v/>
      </c>
      <c r="V797" s="13" t="str">
        <f aca="false">IF(M797=1,MONTH(C797),"")</f>
        <v/>
      </c>
    </row>
    <row r="798" customFormat="false" ht="15" hidden="false" customHeight="false" outlineLevel="0" collapsed="false">
      <c r="A798" s="13" t="str">
        <f aca="false">TRIM(Raw_Data!A798)</f>
        <v>EMP0797</v>
      </c>
      <c r="B798" s="14" t="n">
        <f aca="false">Raw_Data!B798</f>
        <v>43397</v>
      </c>
      <c r="C798" s="14" t="str">
        <f aca="false">IF(Raw_Data!C798="","",Raw_Data!C798)</f>
        <v/>
      </c>
      <c r="D798" s="13" t="n">
        <f aca="false">IF(Raw_Data!D798="","",Raw_Data!D798)</f>
        <v>28</v>
      </c>
      <c r="E798" s="13" t="str">
        <f aca="false">IF(UPPER(LEFT(TRIM(Raw_Data!E798),1))="M","Male",IF(UPPER(LEFT(TRIM(Raw_Data!E798),1))="F","Female","Unknown"))</f>
        <v>Female</v>
      </c>
      <c r="F798" s="13" t="str">
        <f aca="false">PROPER(TRIM(SUBSTITUTE(Raw_Data!F798,"'","")))</f>
        <v>Bachelors</v>
      </c>
      <c r="G798" s="13" t="str">
        <f aca="false">PROPER(TRIM(Raw_Data!G798))</f>
        <v>Sales</v>
      </c>
      <c r="H798" s="13" t="str">
        <f aca="false">PROPER(TRIM(Raw_Data!H798))</f>
        <v>Associate</v>
      </c>
      <c r="I798" s="13" t="n">
        <f aca="false">IF(Raw_Data!I798="",DefaultPerf,Raw_Data!I798)</f>
        <v>5</v>
      </c>
      <c r="J798" s="13" t="n">
        <f aca="false">IF(Raw_Data!J798="",DefaultSat,Raw_Data!J798)</f>
        <v>4</v>
      </c>
      <c r="K798" s="15" t="n">
        <f aca="false">Raw_Data!K798</f>
        <v>40500</v>
      </c>
      <c r="L798" s="13" t="str">
        <f aca="false">PROPER(TRIM(Raw_Data!N798))</f>
        <v>No</v>
      </c>
      <c r="M798" s="13" t="n">
        <f aca="false">IF(C798="",0,1)</f>
        <v>0</v>
      </c>
      <c r="N798" s="13" t="str">
        <f aca="false">IF(M798=0,"Active",IF(TRIM(Raw_Data!L798)="","Unknown",PROPER(TRIM(Raw_Data!L798))))</f>
        <v>Active</v>
      </c>
      <c r="O798" s="13" t="str">
        <f aca="false">IF(M798=0,"",IF(TRIM(Raw_Data!M798)="","Not Recorded",TRIM(Raw_Data!M798)))</f>
        <v/>
      </c>
      <c r="P798" s="16" t="n">
        <f aca="false">ROUND((IF(C798="",AsOfDate,C798)-B798)/365.25,2)</f>
        <v>7.19</v>
      </c>
      <c r="Q798" s="13" t="str">
        <f aca="false">IF(D798="","Unknown",IF(D798&lt;25,"Under 25",IF(D798&lt;35,"25-34",IF(D798&lt;45,"35-44",IF(D798&lt;55,"45-54","55+")))))</f>
        <v>25-34</v>
      </c>
      <c r="R798" s="13" t="str">
        <f aca="false">IF(P798&lt;1,"0-1 yrs",IF(P798&lt;3,"1-3 yrs",IF(P798&lt;5,"3-5 yrs",IF(P798&lt;10,"5-10 yrs","10+ yrs"))))</f>
        <v>5-10 yrs</v>
      </c>
      <c r="S798" s="13" t="str">
        <f aca="false">IF(I798&gt;=4,"High",IF(I798=3,"Medium","Low"))</f>
        <v>High</v>
      </c>
      <c r="T798" s="13" t="str">
        <f aca="false">IF(M798=1,YEAR(C798),"")</f>
        <v/>
      </c>
      <c r="U798" s="13" t="str">
        <f aca="false">IF(M798=1,YEAR(C798)&amp;"-Q"&amp;ROUNDUP(MONTH(C798)/3,0),"")</f>
        <v/>
      </c>
      <c r="V798" s="13" t="str">
        <f aca="false">IF(M798=1,MONTH(C798),"")</f>
        <v/>
      </c>
    </row>
    <row r="799" customFormat="false" ht="15" hidden="false" customHeight="false" outlineLevel="0" collapsed="false">
      <c r="A799" s="13" t="str">
        <f aca="false">TRIM(Raw_Data!A799)</f>
        <v>EMP0798</v>
      </c>
      <c r="B799" s="14" t="n">
        <f aca="false">Raw_Data!B799</f>
        <v>43398</v>
      </c>
      <c r="C799" s="14" t="n">
        <f aca="false">IF(Raw_Data!C799="","",Raw_Data!C799)</f>
        <v>45814</v>
      </c>
      <c r="D799" s="13" t="n">
        <f aca="false">IF(Raw_Data!D799="","",Raw_Data!D799)</f>
        <v>35</v>
      </c>
      <c r="E799" s="13" t="str">
        <f aca="false">IF(UPPER(LEFT(TRIM(Raw_Data!E799),1))="M","Male",IF(UPPER(LEFT(TRIM(Raw_Data!E799),1))="F","Female","Unknown"))</f>
        <v>Male</v>
      </c>
      <c r="F799" s="13" t="str">
        <f aca="false">PROPER(TRIM(SUBSTITUTE(Raw_Data!F799,"'","")))</f>
        <v>Masters</v>
      </c>
      <c r="G799" s="13" t="str">
        <f aca="false">PROPER(TRIM(Raw_Data!G799))</f>
        <v>Engineering</v>
      </c>
      <c r="H799" s="13" t="str">
        <f aca="false">PROPER(TRIM(Raw_Data!H799))</f>
        <v>Senior Analyst</v>
      </c>
      <c r="I799" s="13" t="n">
        <f aca="false">IF(Raw_Data!I799="",DefaultPerf,Raw_Data!I799)</f>
        <v>3</v>
      </c>
      <c r="J799" s="13" t="n">
        <f aca="false">IF(Raw_Data!J799="",DefaultSat,Raw_Data!J799)</f>
        <v>2</v>
      </c>
      <c r="K799" s="15" t="n">
        <f aca="false">Raw_Data!K799</f>
        <v>81500</v>
      </c>
      <c r="L799" s="13" t="str">
        <f aca="false">PROPER(TRIM(Raw_Data!N799))</f>
        <v>No</v>
      </c>
      <c r="M799" s="13" t="n">
        <f aca="false">IF(C799="",0,1)</f>
        <v>1</v>
      </c>
      <c r="N799" s="13" t="str">
        <f aca="false">IF(M799=0,"Active",IF(TRIM(Raw_Data!L799)="","Unknown",PROPER(TRIM(Raw_Data!L799))))</f>
        <v>Voluntary</v>
      </c>
      <c r="O799" s="13" t="str">
        <f aca="false">IF(M799=0,"",IF(TRIM(Raw_Data!M799)="","Not Recorded",TRIM(Raw_Data!M799)))</f>
        <v>Relocation</v>
      </c>
      <c r="P799" s="16" t="n">
        <f aca="false">ROUND((IF(C799="",AsOfDate,C799)-B799)/365.25,2)</f>
        <v>6.61</v>
      </c>
      <c r="Q799" s="13" t="str">
        <f aca="false">IF(D799="","Unknown",IF(D799&lt;25,"Under 25",IF(D799&lt;35,"25-34",IF(D799&lt;45,"35-44",IF(D799&lt;55,"45-54","55+")))))</f>
        <v>35-44</v>
      </c>
      <c r="R799" s="13" t="str">
        <f aca="false">IF(P799&lt;1,"0-1 yrs",IF(P799&lt;3,"1-3 yrs",IF(P799&lt;5,"3-5 yrs",IF(P799&lt;10,"5-10 yrs","10+ yrs"))))</f>
        <v>5-10 yrs</v>
      </c>
      <c r="S799" s="13" t="str">
        <f aca="false">IF(I799&gt;=4,"High",IF(I799=3,"Medium","Low"))</f>
        <v>Medium</v>
      </c>
      <c r="T799" s="13" t="n">
        <f aca="false">IF(M799=1,YEAR(C799),"")</f>
        <v>2025</v>
      </c>
      <c r="U799" s="13" t="str">
        <f aca="false">IF(M799=1,YEAR(C799)&amp;"-Q"&amp;ROUNDUP(MONTH(C799)/3,0),"")</f>
        <v>2025-Q2</v>
      </c>
      <c r="V799" s="13" t="n">
        <f aca="false">IF(M799=1,MONTH(C799),"")</f>
        <v>6</v>
      </c>
    </row>
    <row r="800" customFormat="false" ht="15" hidden="false" customHeight="false" outlineLevel="0" collapsed="false">
      <c r="A800" s="13" t="str">
        <f aca="false">TRIM(Raw_Data!A800)</f>
        <v>EMP0799</v>
      </c>
      <c r="B800" s="14" t="n">
        <f aca="false">Raw_Data!B800</f>
        <v>43398</v>
      </c>
      <c r="C800" s="14" t="n">
        <f aca="false">IF(Raw_Data!C800="","",Raw_Data!C800)</f>
        <v>44817</v>
      </c>
      <c r="D800" s="13" t="n">
        <f aca="false">IF(Raw_Data!D800="","",Raw_Data!D800)</f>
        <v>25</v>
      </c>
      <c r="E800" s="13" t="str">
        <f aca="false">IF(UPPER(LEFT(TRIM(Raw_Data!E800),1))="M","Male",IF(UPPER(LEFT(TRIM(Raw_Data!E800),1))="F","Female","Unknown"))</f>
        <v>Male</v>
      </c>
      <c r="F800" s="13" t="str">
        <f aca="false">PROPER(TRIM(SUBSTITUTE(Raw_Data!F800,"'","")))</f>
        <v>Masters</v>
      </c>
      <c r="G800" s="13" t="str">
        <f aca="false">PROPER(TRIM(Raw_Data!G800))</f>
        <v>Customer Support</v>
      </c>
      <c r="H800" s="13" t="str">
        <f aca="false">PROPER(TRIM(Raw_Data!H800))</f>
        <v>Senior Analyst</v>
      </c>
      <c r="I800" s="13" t="n">
        <f aca="false">IF(Raw_Data!I800="",DefaultPerf,Raw_Data!I800)</f>
        <v>2</v>
      </c>
      <c r="J800" s="13" t="n">
        <f aca="false">IF(Raw_Data!J800="",DefaultSat,Raw_Data!J800)</f>
        <v>3</v>
      </c>
      <c r="K800" s="15" t="n">
        <f aca="false">Raw_Data!K800</f>
        <v>95000</v>
      </c>
      <c r="L800" s="13" t="str">
        <f aca="false">PROPER(TRIM(Raw_Data!N800))</f>
        <v>No</v>
      </c>
      <c r="M800" s="13" t="n">
        <f aca="false">IF(C800="",0,1)</f>
        <v>1</v>
      </c>
      <c r="N800" s="13" t="str">
        <f aca="false">IF(M800=0,"Active",IF(TRIM(Raw_Data!L800)="","Unknown",PROPER(TRIM(Raw_Data!L800))))</f>
        <v>Involuntary</v>
      </c>
      <c r="O800" s="13" t="str">
        <f aca="false">IF(M800=0,"",IF(TRIM(Raw_Data!M800)="","Not Recorded",TRIM(Raw_Data!M800)))</f>
        <v>Poor Performance</v>
      </c>
      <c r="P800" s="16" t="n">
        <f aca="false">ROUND((IF(C800="",AsOfDate,C800)-B800)/365.25,2)</f>
        <v>3.89</v>
      </c>
      <c r="Q800" s="13" t="str">
        <f aca="false">IF(D800="","Unknown",IF(D800&lt;25,"Under 25",IF(D800&lt;35,"25-34",IF(D800&lt;45,"35-44",IF(D800&lt;55,"45-54","55+")))))</f>
        <v>25-34</v>
      </c>
      <c r="R800" s="13" t="str">
        <f aca="false">IF(P800&lt;1,"0-1 yrs",IF(P800&lt;3,"1-3 yrs",IF(P800&lt;5,"3-5 yrs",IF(P800&lt;10,"5-10 yrs","10+ yrs"))))</f>
        <v>3-5 yrs</v>
      </c>
      <c r="S800" s="13" t="str">
        <f aca="false">IF(I800&gt;=4,"High",IF(I800=3,"Medium","Low"))</f>
        <v>Low</v>
      </c>
      <c r="T800" s="13" t="n">
        <f aca="false">IF(M800=1,YEAR(C800),"")</f>
        <v>2022</v>
      </c>
      <c r="U800" s="13" t="str">
        <f aca="false">IF(M800=1,YEAR(C800)&amp;"-Q"&amp;ROUNDUP(MONTH(C800)/3,0),"")</f>
        <v>2022-Q3</v>
      </c>
      <c r="V800" s="13" t="n">
        <f aca="false">IF(M800=1,MONTH(C800),"")</f>
        <v>9</v>
      </c>
    </row>
    <row r="801" customFormat="false" ht="15" hidden="false" customHeight="false" outlineLevel="0" collapsed="false">
      <c r="A801" s="13" t="str">
        <f aca="false">TRIM(Raw_Data!A801)</f>
        <v>EMP0800</v>
      </c>
      <c r="B801" s="14" t="n">
        <f aca="false">Raw_Data!B801</f>
        <v>43400</v>
      </c>
      <c r="C801" s="14" t="n">
        <f aca="false">IF(Raw_Data!C801="","",Raw_Data!C801)</f>
        <v>45160</v>
      </c>
      <c r="D801" s="13" t="n">
        <f aca="false">IF(Raw_Data!D801="","",Raw_Data!D801)</f>
        <v>34</v>
      </c>
      <c r="E801" s="13" t="str">
        <f aca="false">IF(UPPER(LEFT(TRIM(Raw_Data!E801),1))="M","Male",IF(UPPER(LEFT(TRIM(Raw_Data!E801),1))="F","Female","Unknown"))</f>
        <v>Female</v>
      </c>
      <c r="F801" s="13" t="str">
        <f aca="false">PROPER(TRIM(SUBSTITUTE(Raw_Data!F801,"'","")))</f>
        <v>Diploma</v>
      </c>
      <c r="G801" s="13" t="str">
        <f aca="false">PROPER(TRIM(Raw_Data!G801))</f>
        <v>Sales</v>
      </c>
      <c r="H801" s="13" t="str">
        <f aca="false">PROPER(TRIM(Raw_Data!H801))</f>
        <v>Associate</v>
      </c>
      <c r="I801" s="13" t="n">
        <f aca="false">IF(Raw_Data!I801="",DefaultPerf,Raw_Data!I801)</f>
        <v>4</v>
      </c>
      <c r="J801" s="17" t="n">
        <f aca="false">IF(Raw_Data!J801="",DefaultSat,Raw_Data!J801)</f>
        <v>3</v>
      </c>
      <c r="K801" s="15" t="n">
        <f aca="false">Raw_Data!K801</f>
        <v>41000</v>
      </c>
      <c r="L801" s="13" t="str">
        <f aca="false">PROPER(TRIM(Raw_Data!N801))</f>
        <v>No</v>
      </c>
      <c r="M801" s="13" t="n">
        <f aca="false">IF(C801="",0,1)</f>
        <v>1</v>
      </c>
      <c r="N801" s="13" t="str">
        <f aca="false">IF(M801=0,"Active",IF(TRIM(Raw_Data!L801)="","Unknown",PROPER(TRIM(Raw_Data!L801))))</f>
        <v>Involuntary</v>
      </c>
      <c r="O801" s="13" t="str">
        <f aca="false">IF(M801=0,"",IF(TRIM(Raw_Data!M801)="","Not Recorded",TRIM(Raw_Data!M801)))</f>
        <v>Restructuring / Layoff</v>
      </c>
      <c r="P801" s="16" t="n">
        <f aca="false">ROUND((IF(C801="",AsOfDate,C801)-B801)/365.25,2)</f>
        <v>4.82</v>
      </c>
      <c r="Q801" s="13" t="str">
        <f aca="false">IF(D801="","Unknown",IF(D801&lt;25,"Under 25",IF(D801&lt;35,"25-34",IF(D801&lt;45,"35-44",IF(D801&lt;55,"45-54","55+")))))</f>
        <v>25-34</v>
      </c>
      <c r="R801" s="13" t="str">
        <f aca="false">IF(P801&lt;1,"0-1 yrs",IF(P801&lt;3,"1-3 yrs",IF(P801&lt;5,"3-5 yrs",IF(P801&lt;10,"5-10 yrs","10+ yrs"))))</f>
        <v>3-5 yrs</v>
      </c>
      <c r="S801" s="13" t="str">
        <f aca="false">IF(I801&gt;=4,"High",IF(I801=3,"Medium","Low"))</f>
        <v>High</v>
      </c>
      <c r="T801" s="13" t="n">
        <f aca="false">IF(M801=1,YEAR(C801),"")</f>
        <v>2023</v>
      </c>
      <c r="U801" s="13" t="str">
        <f aca="false">IF(M801=1,YEAR(C801)&amp;"-Q"&amp;ROUNDUP(MONTH(C801)/3,0),"")</f>
        <v>2023-Q3</v>
      </c>
      <c r="V801" s="13" t="n">
        <f aca="false">IF(M801=1,MONTH(C801),"")</f>
        <v>8</v>
      </c>
    </row>
    <row r="802" customFormat="false" ht="15" hidden="false" customHeight="false" outlineLevel="0" collapsed="false">
      <c r="A802" s="13" t="str">
        <f aca="false">TRIM(Raw_Data!A802)</f>
        <v>EMP0801</v>
      </c>
      <c r="B802" s="14" t="n">
        <f aca="false">Raw_Data!B802</f>
        <v>43403</v>
      </c>
      <c r="C802" s="14" t="str">
        <f aca="false">IF(Raw_Data!C802="","",Raw_Data!C802)</f>
        <v/>
      </c>
      <c r="D802" s="13" t="n">
        <f aca="false">IF(Raw_Data!D802="","",Raw_Data!D802)</f>
        <v>44</v>
      </c>
      <c r="E802" s="13" t="str">
        <f aca="false">IF(UPPER(LEFT(TRIM(Raw_Data!E802),1))="M","Male",IF(UPPER(LEFT(TRIM(Raw_Data!E802),1))="F","Female","Unknown"))</f>
        <v>Male</v>
      </c>
      <c r="F802" s="13" t="str">
        <f aca="false">PROPER(TRIM(SUBSTITUTE(Raw_Data!F802,"'","")))</f>
        <v>Bachelors</v>
      </c>
      <c r="G802" s="13" t="str">
        <f aca="false">PROPER(TRIM(Raw_Data!G802))</f>
        <v>Sales</v>
      </c>
      <c r="H802" s="13" t="str">
        <f aca="false">PROPER(TRIM(Raw_Data!H802))</f>
        <v>Associate</v>
      </c>
      <c r="I802" s="13" t="n">
        <f aca="false">IF(Raw_Data!I802="",DefaultPerf,Raw_Data!I802)</f>
        <v>1</v>
      </c>
      <c r="J802" s="13" t="n">
        <f aca="false">IF(Raw_Data!J802="",DefaultSat,Raw_Data!J802)</f>
        <v>3</v>
      </c>
      <c r="K802" s="15" t="n">
        <f aca="false">Raw_Data!K802</f>
        <v>45500</v>
      </c>
      <c r="L802" s="13" t="str">
        <f aca="false">PROPER(TRIM(Raw_Data!N802))</f>
        <v>No</v>
      </c>
      <c r="M802" s="13" t="n">
        <f aca="false">IF(C802="",0,1)</f>
        <v>0</v>
      </c>
      <c r="N802" s="13" t="str">
        <f aca="false">IF(M802=0,"Active",IF(TRIM(Raw_Data!L802)="","Unknown",PROPER(TRIM(Raw_Data!L802))))</f>
        <v>Active</v>
      </c>
      <c r="O802" s="13" t="str">
        <f aca="false">IF(M802=0,"",IF(TRIM(Raw_Data!M802)="","Not Recorded",TRIM(Raw_Data!M802)))</f>
        <v/>
      </c>
      <c r="P802" s="16" t="n">
        <f aca="false">ROUND((IF(C802="",AsOfDate,C802)-B802)/365.25,2)</f>
        <v>7.17</v>
      </c>
      <c r="Q802" s="13" t="str">
        <f aca="false">IF(D802="","Unknown",IF(D802&lt;25,"Under 25",IF(D802&lt;35,"25-34",IF(D802&lt;45,"35-44",IF(D802&lt;55,"45-54","55+")))))</f>
        <v>35-44</v>
      </c>
      <c r="R802" s="13" t="str">
        <f aca="false">IF(P802&lt;1,"0-1 yrs",IF(P802&lt;3,"1-3 yrs",IF(P802&lt;5,"3-5 yrs",IF(P802&lt;10,"5-10 yrs","10+ yrs"))))</f>
        <v>5-10 yrs</v>
      </c>
      <c r="S802" s="13" t="str">
        <f aca="false">IF(I802&gt;=4,"High",IF(I802=3,"Medium","Low"))</f>
        <v>Low</v>
      </c>
      <c r="T802" s="13" t="str">
        <f aca="false">IF(M802=1,YEAR(C802),"")</f>
        <v/>
      </c>
      <c r="U802" s="13" t="str">
        <f aca="false">IF(M802=1,YEAR(C802)&amp;"-Q"&amp;ROUNDUP(MONTH(C802)/3,0),"")</f>
        <v/>
      </c>
      <c r="V802" s="13" t="str">
        <f aca="false">IF(M802=1,MONTH(C802),"")</f>
        <v/>
      </c>
    </row>
    <row r="803" customFormat="false" ht="15" hidden="false" customHeight="false" outlineLevel="0" collapsed="false">
      <c r="A803" s="13" t="str">
        <f aca="false">TRIM(Raw_Data!A803)</f>
        <v>EMP0802</v>
      </c>
      <c r="B803" s="14" t="n">
        <f aca="false">Raw_Data!B803</f>
        <v>43403</v>
      </c>
      <c r="C803" s="14" t="n">
        <f aca="false">IF(Raw_Data!C803="","",Raw_Data!C803)</f>
        <v>44564</v>
      </c>
      <c r="D803" s="13" t="n">
        <f aca="false">IF(Raw_Data!D803="","",Raw_Data!D803)</f>
        <v>28</v>
      </c>
      <c r="E803" s="13" t="str">
        <f aca="false">IF(UPPER(LEFT(TRIM(Raw_Data!E803),1))="M","Male",IF(UPPER(LEFT(TRIM(Raw_Data!E803),1))="F","Female","Unknown"))</f>
        <v>Female</v>
      </c>
      <c r="F803" s="13" t="str">
        <f aca="false">PROPER(TRIM(SUBSTITUTE(Raw_Data!F803,"'","")))</f>
        <v>Diploma</v>
      </c>
      <c r="G803" s="13" t="str">
        <f aca="false">PROPER(TRIM(Raw_Data!G803))</f>
        <v>Operations</v>
      </c>
      <c r="H803" s="13" t="str">
        <f aca="false">PROPER(TRIM(Raw_Data!H803))</f>
        <v>Analyst</v>
      </c>
      <c r="I803" s="13" t="n">
        <f aca="false">IF(Raw_Data!I803="",DefaultPerf,Raw_Data!I803)</f>
        <v>2</v>
      </c>
      <c r="J803" s="13" t="n">
        <f aca="false">IF(Raw_Data!J803="",DefaultSat,Raw_Data!J803)</f>
        <v>1</v>
      </c>
      <c r="K803" s="15" t="n">
        <f aca="false">Raw_Data!K803</f>
        <v>61000</v>
      </c>
      <c r="L803" s="13" t="str">
        <f aca="false">PROPER(TRIM(Raw_Data!N803))</f>
        <v>No</v>
      </c>
      <c r="M803" s="13" t="n">
        <f aca="false">IF(C803="",0,1)</f>
        <v>1</v>
      </c>
      <c r="N803" s="13" t="str">
        <f aca="false">IF(M803=0,"Active",IF(TRIM(Raw_Data!L803)="","Unknown",PROPER(TRIM(Raw_Data!L803))))</f>
        <v>Voluntary</v>
      </c>
      <c r="O803" s="13" t="str">
        <f aca="false">IF(M803=0,"",IF(TRIM(Raw_Data!M803)="","Not Recorded",TRIM(Raw_Data!M803)))</f>
        <v>Job Dissatisfaction</v>
      </c>
      <c r="P803" s="16" t="n">
        <f aca="false">ROUND((IF(C803="",AsOfDate,C803)-B803)/365.25,2)</f>
        <v>3.18</v>
      </c>
      <c r="Q803" s="13" t="str">
        <f aca="false">IF(D803="","Unknown",IF(D803&lt;25,"Under 25",IF(D803&lt;35,"25-34",IF(D803&lt;45,"35-44",IF(D803&lt;55,"45-54","55+")))))</f>
        <v>25-34</v>
      </c>
      <c r="R803" s="13" t="str">
        <f aca="false">IF(P803&lt;1,"0-1 yrs",IF(P803&lt;3,"1-3 yrs",IF(P803&lt;5,"3-5 yrs",IF(P803&lt;10,"5-10 yrs","10+ yrs"))))</f>
        <v>3-5 yrs</v>
      </c>
      <c r="S803" s="13" t="str">
        <f aca="false">IF(I803&gt;=4,"High",IF(I803=3,"Medium","Low"))</f>
        <v>Low</v>
      </c>
      <c r="T803" s="13" t="n">
        <f aca="false">IF(M803=1,YEAR(C803),"")</f>
        <v>2022</v>
      </c>
      <c r="U803" s="13" t="str">
        <f aca="false">IF(M803=1,YEAR(C803)&amp;"-Q"&amp;ROUNDUP(MONTH(C803)/3,0),"")</f>
        <v>2022-Q1</v>
      </c>
      <c r="V803" s="13" t="n">
        <f aca="false">IF(M803=1,MONTH(C803),"")</f>
        <v>1</v>
      </c>
    </row>
    <row r="804" customFormat="false" ht="15" hidden="false" customHeight="false" outlineLevel="0" collapsed="false">
      <c r="A804" s="13" t="str">
        <f aca="false">TRIM(Raw_Data!A804)</f>
        <v>EMP0803</v>
      </c>
      <c r="B804" s="14" t="n">
        <f aca="false">Raw_Data!B804</f>
        <v>43404</v>
      </c>
      <c r="C804" s="14" t="n">
        <f aca="false">IF(Raw_Data!C804="","",Raw_Data!C804)</f>
        <v>44884</v>
      </c>
      <c r="D804" s="13" t="n">
        <f aca="false">IF(Raw_Data!D804="","",Raw_Data!D804)</f>
        <v>37</v>
      </c>
      <c r="E804" s="13" t="str">
        <f aca="false">IF(UPPER(LEFT(TRIM(Raw_Data!E804),1))="M","Male",IF(UPPER(LEFT(TRIM(Raw_Data!E804),1))="F","Female","Unknown"))</f>
        <v>Female</v>
      </c>
      <c r="F804" s="13" t="str">
        <f aca="false">PROPER(TRIM(SUBSTITUTE(Raw_Data!F804,"'","")))</f>
        <v>Bachelors</v>
      </c>
      <c r="G804" s="13" t="str">
        <f aca="false">PROPER(TRIM(Raw_Data!G804))</f>
        <v>Operations</v>
      </c>
      <c r="H804" s="13" t="str">
        <f aca="false">PROPER(TRIM(Raw_Data!H804))</f>
        <v>Associate</v>
      </c>
      <c r="I804" s="13" t="n">
        <f aca="false">IF(Raw_Data!I804="",DefaultPerf,Raw_Data!I804)</f>
        <v>3</v>
      </c>
      <c r="J804" s="13" t="n">
        <f aca="false">IF(Raw_Data!J804="",DefaultSat,Raw_Data!J804)</f>
        <v>1</v>
      </c>
      <c r="K804" s="15" t="n">
        <f aca="false">Raw_Data!K804</f>
        <v>44500</v>
      </c>
      <c r="L804" s="13" t="str">
        <f aca="false">PROPER(TRIM(Raw_Data!N804))</f>
        <v>Yes</v>
      </c>
      <c r="M804" s="13" t="n">
        <f aca="false">IF(C804="",0,1)</f>
        <v>1</v>
      </c>
      <c r="N804" s="13" t="str">
        <f aca="false">IF(M804=0,"Active",IF(TRIM(Raw_Data!L804)="","Unknown",PROPER(TRIM(Raw_Data!L804))))</f>
        <v>Voluntary</v>
      </c>
      <c r="O804" s="13" t="str">
        <f aca="false">IF(M804=0,"",IF(TRIM(Raw_Data!M804)="","Not Recorded",TRIM(Raw_Data!M804)))</f>
        <v>Work-Life Balance</v>
      </c>
      <c r="P804" s="16" t="n">
        <f aca="false">ROUND((IF(C804="",AsOfDate,C804)-B804)/365.25,2)</f>
        <v>4.05</v>
      </c>
      <c r="Q804" s="13" t="str">
        <f aca="false">IF(D804="","Unknown",IF(D804&lt;25,"Under 25",IF(D804&lt;35,"25-34",IF(D804&lt;45,"35-44",IF(D804&lt;55,"45-54","55+")))))</f>
        <v>35-44</v>
      </c>
      <c r="R804" s="13" t="str">
        <f aca="false">IF(P804&lt;1,"0-1 yrs",IF(P804&lt;3,"1-3 yrs",IF(P804&lt;5,"3-5 yrs",IF(P804&lt;10,"5-10 yrs","10+ yrs"))))</f>
        <v>3-5 yrs</v>
      </c>
      <c r="S804" s="13" t="str">
        <f aca="false">IF(I804&gt;=4,"High",IF(I804=3,"Medium","Low"))</f>
        <v>Medium</v>
      </c>
      <c r="T804" s="13" t="n">
        <f aca="false">IF(M804=1,YEAR(C804),"")</f>
        <v>2022</v>
      </c>
      <c r="U804" s="13" t="str">
        <f aca="false">IF(M804=1,YEAR(C804)&amp;"-Q"&amp;ROUNDUP(MONTH(C804)/3,0),"")</f>
        <v>2022-Q4</v>
      </c>
      <c r="V804" s="13" t="n">
        <f aca="false">IF(M804=1,MONTH(C804),"")</f>
        <v>11</v>
      </c>
    </row>
    <row r="805" customFormat="false" ht="15" hidden="false" customHeight="false" outlineLevel="0" collapsed="false">
      <c r="A805" s="13" t="str">
        <f aca="false">TRIM(Raw_Data!A805)</f>
        <v>EMP0804</v>
      </c>
      <c r="B805" s="14" t="n">
        <f aca="false">Raw_Data!B805</f>
        <v>43404</v>
      </c>
      <c r="C805" s="14" t="str">
        <f aca="false">IF(Raw_Data!C805="","",Raw_Data!C805)</f>
        <v/>
      </c>
      <c r="D805" s="13" t="n">
        <f aca="false">IF(Raw_Data!D805="","",Raw_Data!D805)</f>
        <v>39</v>
      </c>
      <c r="E805" s="13" t="str">
        <f aca="false">IF(UPPER(LEFT(TRIM(Raw_Data!E805),1))="M","Male",IF(UPPER(LEFT(TRIM(Raw_Data!E805),1))="F","Female","Unknown"))</f>
        <v>Male</v>
      </c>
      <c r="F805" s="13" t="str">
        <f aca="false">PROPER(TRIM(SUBSTITUTE(Raw_Data!F805,"'","")))</f>
        <v>Doctorate</v>
      </c>
      <c r="G805" s="13" t="str">
        <f aca="false">PROPER(TRIM(Raw_Data!G805))</f>
        <v>Engineering</v>
      </c>
      <c r="H805" s="13" t="str">
        <f aca="false">PROPER(TRIM(Raw_Data!H805))</f>
        <v>Analyst</v>
      </c>
      <c r="I805" s="13" t="n">
        <f aca="false">IF(Raw_Data!I805="",DefaultPerf,Raw_Data!I805)</f>
        <v>3</v>
      </c>
      <c r="J805" s="13" t="n">
        <f aca="false">IF(Raw_Data!J805="",DefaultSat,Raw_Data!J805)</f>
        <v>3</v>
      </c>
      <c r="K805" s="15" t="n">
        <f aca="false">Raw_Data!K805</f>
        <v>59000</v>
      </c>
      <c r="L805" s="13" t="str">
        <f aca="false">PROPER(TRIM(Raw_Data!N805))</f>
        <v>Yes</v>
      </c>
      <c r="M805" s="13" t="n">
        <f aca="false">IF(C805="",0,1)</f>
        <v>0</v>
      </c>
      <c r="N805" s="13" t="str">
        <f aca="false">IF(M805=0,"Active",IF(TRIM(Raw_Data!L805)="","Unknown",PROPER(TRIM(Raw_Data!L805))))</f>
        <v>Active</v>
      </c>
      <c r="O805" s="13" t="str">
        <f aca="false">IF(M805=0,"",IF(TRIM(Raw_Data!M805)="","Not Recorded",TRIM(Raw_Data!M805)))</f>
        <v/>
      </c>
      <c r="P805" s="16" t="n">
        <f aca="false">ROUND((IF(C805="",AsOfDate,C805)-B805)/365.25,2)</f>
        <v>7.17</v>
      </c>
      <c r="Q805" s="13" t="str">
        <f aca="false">IF(D805="","Unknown",IF(D805&lt;25,"Under 25",IF(D805&lt;35,"25-34",IF(D805&lt;45,"35-44",IF(D805&lt;55,"45-54","55+")))))</f>
        <v>35-44</v>
      </c>
      <c r="R805" s="13" t="str">
        <f aca="false">IF(P805&lt;1,"0-1 yrs",IF(P805&lt;3,"1-3 yrs",IF(P805&lt;5,"3-5 yrs",IF(P805&lt;10,"5-10 yrs","10+ yrs"))))</f>
        <v>5-10 yrs</v>
      </c>
      <c r="S805" s="13" t="str">
        <f aca="false">IF(I805&gt;=4,"High",IF(I805=3,"Medium","Low"))</f>
        <v>Medium</v>
      </c>
      <c r="T805" s="13" t="str">
        <f aca="false">IF(M805=1,YEAR(C805),"")</f>
        <v/>
      </c>
      <c r="U805" s="13" t="str">
        <f aca="false">IF(M805=1,YEAR(C805)&amp;"-Q"&amp;ROUNDUP(MONTH(C805)/3,0),"")</f>
        <v/>
      </c>
      <c r="V805" s="13" t="str">
        <f aca="false">IF(M805=1,MONTH(C805),"")</f>
        <v/>
      </c>
    </row>
    <row r="806" customFormat="false" ht="15" hidden="false" customHeight="false" outlineLevel="0" collapsed="false">
      <c r="A806" s="13" t="str">
        <f aca="false">TRIM(Raw_Data!A806)</f>
        <v>EMP0805</v>
      </c>
      <c r="B806" s="14" t="n">
        <f aca="false">Raw_Data!B806</f>
        <v>43406</v>
      </c>
      <c r="C806" s="14" t="n">
        <f aca="false">IF(Raw_Data!C806="","",Raw_Data!C806)</f>
        <v>45911</v>
      </c>
      <c r="D806" s="13" t="n">
        <f aca="false">IF(Raw_Data!D806="","",Raw_Data!D806)</f>
        <v>34</v>
      </c>
      <c r="E806" s="13" t="str">
        <f aca="false">IF(UPPER(LEFT(TRIM(Raw_Data!E806),1))="M","Male",IF(UPPER(LEFT(TRIM(Raw_Data!E806),1))="F","Female","Unknown"))</f>
        <v>Male</v>
      </c>
      <c r="F806" s="13" t="str">
        <f aca="false">PROPER(TRIM(SUBSTITUTE(Raw_Data!F806,"'","")))</f>
        <v>Bachelors</v>
      </c>
      <c r="G806" s="13" t="str">
        <f aca="false">PROPER(TRIM(Raw_Data!G806))</f>
        <v>Human Resources</v>
      </c>
      <c r="H806" s="13" t="str">
        <f aca="false">PROPER(TRIM(Raw_Data!H806))</f>
        <v>Associate</v>
      </c>
      <c r="I806" s="13" t="n">
        <f aca="false">IF(Raw_Data!I806="",DefaultPerf,Raw_Data!I806)</f>
        <v>4</v>
      </c>
      <c r="J806" s="13" t="n">
        <f aca="false">IF(Raw_Data!J806="",DefaultSat,Raw_Data!J806)</f>
        <v>1</v>
      </c>
      <c r="K806" s="15" t="n">
        <f aca="false">Raw_Data!K806</f>
        <v>42000</v>
      </c>
      <c r="L806" s="13" t="str">
        <f aca="false">PROPER(TRIM(Raw_Data!N806))</f>
        <v>No</v>
      </c>
      <c r="M806" s="13" t="n">
        <f aca="false">IF(C806="",0,1)</f>
        <v>1</v>
      </c>
      <c r="N806" s="13" t="str">
        <f aca="false">IF(M806=0,"Active",IF(TRIM(Raw_Data!L806)="","Unknown",PROPER(TRIM(Raw_Data!L806))))</f>
        <v>Voluntary</v>
      </c>
      <c r="O806" s="13" t="str">
        <f aca="false">IF(M806=0,"",IF(TRIM(Raw_Data!M806)="","Not Recorded",TRIM(Raw_Data!M806)))</f>
        <v>Manager Issues</v>
      </c>
      <c r="P806" s="16" t="n">
        <f aca="false">ROUND((IF(C806="",AsOfDate,C806)-B806)/365.25,2)</f>
        <v>6.86</v>
      </c>
      <c r="Q806" s="13" t="str">
        <f aca="false">IF(D806="","Unknown",IF(D806&lt;25,"Under 25",IF(D806&lt;35,"25-34",IF(D806&lt;45,"35-44",IF(D806&lt;55,"45-54","55+")))))</f>
        <v>25-34</v>
      </c>
      <c r="R806" s="13" t="str">
        <f aca="false">IF(P806&lt;1,"0-1 yrs",IF(P806&lt;3,"1-3 yrs",IF(P806&lt;5,"3-5 yrs",IF(P806&lt;10,"5-10 yrs","10+ yrs"))))</f>
        <v>5-10 yrs</v>
      </c>
      <c r="S806" s="13" t="str">
        <f aca="false">IF(I806&gt;=4,"High",IF(I806=3,"Medium","Low"))</f>
        <v>High</v>
      </c>
      <c r="T806" s="13" t="n">
        <f aca="false">IF(M806=1,YEAR(C806),"")</f>
        <v>2025</v>
      </c>
      <c r="U806" s="13" t="str">
        <f aca="false">IF(M806=1,YEAR(C806)&amp;"-Q"&amp;ROUNDUP(MONTH(C806)/3,0),"")</f>
        <v>2025-Q3</v>
      </c>
      <c r="V806" s="13" t="n">
        <f aca="false">IF(M806=1,MONTH(C806),"")</f>
        <v>9</v>
      </c>
    </row>
    <row r="807" customFormat="false" ht="15" hidden="false" customHeight="false" outlineLevel="0" collapsed="false">
      <c r="A807" s="13" t="str">
        <f aca="false">TRIM(Raw_Data!A807)</f>
        <v>EMP0806</v>
      </c>
      <c r="B807" s="14" t="n">
        <f aca="false">Raw_Data!B807</f>
        <v>43406</v>
      </c>
      <c r="C807" s="14" t="str">
        <f aca="false">IF(Raw_Data!C807="","",Raw_Data!C807)</f>
        <v/>
      </c>
      <c r="D807" s="13" t="n">
        <f aca="false">IF(Raw_Data!D807="","",Raw_Data!D807)</f>
        <v>36</v>
      </c>
      <c r="E807" s="13" t="str">
        <f aca="false">IF(UPPER(LEFT(TRIM(Raw_Data!E807),1))="M","Male",IF(UPPER(LEFT(TRIM(Raw_Data!E807),1))="F","Female","Unknown"))</f>
        <v>Male</v>
      </c>
      <c r="F807" s="13" t="str">
        <f aca="false">PROPER(TRIM(SUBSTITUTE(Raw_Data!F807,"'","")))</f>
        <v>High School</v>
      </c>
      <c r="G807" s="13" t="str">
        <f aca="false">PROPER(TRIM(Raw_Data!G807))</f>
        <v>Finance</v>
      </c>
      <c r="H807" s="13" t="str">
        <f aca="false">PROPER(TRIM(Raw_Data!H807))</f>
        <v>Analyst</v>
      </c>
      <c r="I807" s="13" t="n">
        <f aca="false">IF(Raw_Data!I807="",DefaultPerf,Raw_Data!I807)</f>
        <v>5</v>
      </c>
      <c r="J807" s="13" t="n">
        <f aca="false">IF(Raw_Data!J807="",DefaultSat,Raw_Data!J807)</f>
        <v>4</v>
      </c>
      <c r="K807" s="15" t="n">
        <f aca="false">Raw_Data!K807</f>
        <v>69500</v>
      </c>
      <c r="L807" s="13" t="str">
        <f aca="false">PROPER(TRIM(Raw_Data!N807))</f>
        <v>No</v>
      </c>
      <c r="M807" s="13" t="n">
        <f aca="false">IF(C807="",0,1)</f>
        <v>0</v>
      </c>
      <c r="N807" s="13" t="str">
        <f aca="false">IF(M807=0,"Active",IF(TRIM(Raw_Data!L807)="","Unknown",PROPER(TRIM(Raw_Data!L807))))</f>
        <v>Active</v>
      </c>
      <c r="O807" s="13" t="str">
        <f aca="false">IF(M807=0,"",IF(TRIM(Raw_Data!M807)="","Not Recorded",TRIM(Raw_Data!M807)))</f>
        <v/>
      </c>
      <c r="P807" s="16" t="n">
        <f aca="false">ROUND((IF(C807="",AsOfDate,C807)-B807)/365.25,2)</f>
        <v>7.16</v>
      </c>
      <c r="Q807" s="13" t="str">
        <f aca="false">IF(D807="","Unknown",IF(D807&lt;25,"Under 25",IF(D807&lt;35,"25-34",IF(D807&lt;45,"35-44",IF(D807&lt;55,"45-54","55+")))))</f>
        <v>35-44</v>
      </c>
      <c r="R807" s="13" t="str">
        <f aca="false">IF(P807&lt;1,"0-1 yrs",IF(P807&lt;3,"1-3 yrs",IF(P807&lt;5,"3-5 yrs",IF(P807&lt;10,"5-10 yrs","10+ yrs"))))</f>
        <v>5-10 yrs</v>
      </c>
      <c r="S807" s="13" t="str">
        <f aca="false">IF(I807&gt;=4,"High",IF(I807=3,"Medium","Low"))</f>
        <v>High</v>
      </c>
      <c r="T807" s="13" t="str">
        <f aca="false">IF(M807=1,YEAR(C807),"")</f>
        <v/>
      </c>
      <c r="U807" s="13" t="str">
        <f aca="false">IF(M807=1,YEAR(C807)&amp;"-Q"&amp;ROUNDUP(MONTH(C807)/3,0),"")</f>
        <v/>
      </c>
      <c r="V807" s="13" t="str">
        <f aca="false">IF(M807=1,MONTH(C807),"")</f>
        <v/>
      </c>
    </row>
    <row r="808" customFormat="false" ht="15" hidden="false" customHeight="false" outlineLevel="0" collapsed="false">
      <c r="A808" s="13" t="str">
        <f aca="false">TRIM(Raw_Data!A808)</f>
        <v>EMP0807</v>
      </c>
      <c r="B808" s="14" t="n">
        <f aca="false">Raw_Data!B808</f>
        <v>43408</v>
      </c>
      <c r="C808" s="14" t="n">
        <f aca="false">IF(Raw_Data!C808="","",Raw_Data!C808)</f>
        <v>45164</v>
      </c>
      <c r="D808" s="13" t="n">
        <f aca="false">IF(Raw_Data!D808="","",Raw_Data!D808)</f>
        <v>29</v>
      </c>
      <c r="E808" s="13" t="str">
        <f aca="false">IF(UPPER(LEFT(TRIM(Raw_Data!E808),1))="M","Male",IF(UPPER(LEFT(TRIM(Raw_Data!E808),1))="F","Female","Unknown"))</f>
        <v>Male</v>
      </c>
      <c r="F808" s="13" t="str">
        <f aca="false">PROPER(TRIM(SUBSTITUTE(Raw_Data!F808,"'","")))</f>
        <v>Bachelors</v>
      </c>
      <c r="G808" s="13" t="str">
        <f aca="false">PROPER(TRIM(Raw_Data!G808))</f>
        <v>Human Resources</v>
      </c>
      <c r="H808" s="13" t="str">
        <f aca="false">PROPER(TRIM(Raw_Data!H808))</f>
        <v>Manager</v>
      </c>
      <c r="I808" s="13" t="n">
        <f aca="false">IF(Raw_Data!I808="",DefaultPerf,Raw_Data!I808)</f>
        <v>4</v>
      </c>
      <c r="J808" s="13" t="n">
        <f aca="false">IF(Raw_Data!J808="",DefaultSat,Raw_Data!J808)</f>
        <v>1</v>
      </c>
      <c r="K808" s="15" t="n">
        <f aca="false">Raw_Data!K808</f>
        <v>192000</v>
      </c>
      <c r="L808" s="13" t="str">
        <f aca="false">PROPER(TRIM(Raw_Data!N808))</f>
        <v>Yes</v>
      </c>
      <c r="M808" s="13" t="n">
        <f aca="false">IF(C808="",0,1)</f>
        <v>1</v>
      </c>
      <c r="N808" s="13" t="str">
        <f aca="false">IF(M808=0,"Active",IF(TRIM(Raw_Data!L808)="","Unknown",PROPER(TRIM(Raw_Data!L808))))</f>
        <v>Voluntary</v>
      </c>
      <c r="O808" s="13" t="str">
        <f aca="false">IF(M808=0,"",IF(TRIM(Raw_Data!M808)="","Not Recorded",TRIM(Raw_Data!M808)))</f>
        <v>Manager Issues</v>
      </c>
      <c r="P808" s="16" t="n">
        <f aca="false">ROUND((IF(C808="",AsOfDate,C808)-B808)/365.25,2)</f>
        <v>4.81</v>
      </c>
      <c r="Q808" s="13" t="str">
        <f aca="false">IF(D808="","Unknown",IF(D808&lt;25,"Under 25",IF(D808&lt;35,"25-34",IF(D808&lt;45,"35-44",IF(D808&lt;55,"45-54","55+")))))</f>
        <v>25-34</v>
      </c>
      <c r="R808" s="13" t="str">
        <f aca="false">IF(P808&lt;1,"0-1 yrs",IF(P808&lt;3,"1-3 yrs",IF(P808&lt;5,"3-5 yrs",IF(P808&lt;10,"5-10 yrs","10+ yrs"))))</f>
        <v>3-5 yrs</v>
      </c>
      <c r="S808" s="13" t="str">
        <f aca="false">IF(I808&gt;=4,"High",IF(I808=3,"Medium","Low"))</f>
        <v>High</v>
      </c>
      <c r="T808" s="13" t="n">
        <f aca="false">IF(M808=1,YEAR(C808),"")</f>
        <v>2023</v>
      </c>
      <c r="U808" s="13" t="str">
        <f aca="false">IF(M808=1,YEAR(C808)&amp;"-Q"&amp;ROUNDUP(MONTH(C808)/3,0),"")</f>
        <v>2023-Q3</v>
      </c>
      <c r="V808" s="13" t="n">
        <f aca="false">IF(M808=1,MONTH(C808),"")</f>
        <v>8</v>
      </c>
    </row>
    <row r="809" customFormat="false" ht="15" hidden="false" customHeight="false" outlineLevel="0" collapsed="false">
      <c r="A809" s="13" t="str">
        <f aca="false">TRIM(Raw_Data!A809)</f>
        <v>EMP0808</v>
      </c>
      <c r="B809" s="14" t="n">
        <f aca="false">Raw_Data!B809</f>
        <v>43413</v>
      </c>
      <c r="C809" s="14" t="str">
        <f aca="false">IF(Raw_Data!C809="","",Raw_Data!C809)</f>
        <v/>
      </c>
      <c r="D809" s="13" t="n">
        <f aca="false">IF(Raw_Data!D809="","",Raw_Data!D809)</f>
        <v>36</v>
      </c>
      <c r="E809" s="13" t="str">
        <f aca="false">IF(UPPER(LEFT(TRIM(Raw_Data!E809),1))="M","Male",IF(UPPER(LEFT(TRIM(Raw_Data!E809),1))="F","Female","Unknown"))</f>
        <v>Male</v>
      </c>
      <c r="F809" s="13" t="str">
        <f aca="false">PROPER(TRIM(SUBSTITUTE(Raw_Data!F809,"'","")))</f>
        <v>Bachelors</v>
      </c>
      <c r="G809" s="13" t="str">
        <f aca="false">PROPER(TRIM(Raw_Data!G809))</f>
        <v>Engineering</v>
      </c>
      <c r="H809" s="13" t="str">
        <f aca="false">PROPER(TRIM(Raw_Data!H809))</f>
        <v>Associate</v>
      </c>
      <c r="I809" s="13" t="n">
        <f aca="false">IF(Raw_Data!I809="",DefaultPerf,Raw_Data!I809)</f>
        <v>4</v>
      </c>
      <c r="J809" s="13" t="n">
        <f aca="false">IF(Raw_Data!J809="",DefaultSat,Raw_Data!J809)</f>
        <v>4</v>
      </c>
      <c r="K809" s="15" t="n">
        <f aca="false">Raw_Data!K809</f>
        <v>40000</v>
      </c>
      <c r="L809" s="13" t="str">
        <f aca="false">PROPER(TRIM(Raw_Data!N809))</f>
        <v>No</v>
      </c>
      <c r="M809" s="13" t="n">
        <f aca="false">IF(C809="",0,1)</f>
        <v>0</v>
      </c>
      <c r="N809" s="13" t="str">
        <f aca="false">IF(M809=0,"Active",IF(TRIM(Raw_Data!L809)="","Unknown",PROPER(TRIM(Raw_Data!L809))))</f>
        <v>Active</v>
      </c>
      <c r="O809" s="13" t="str">
        <f aca="false">IF(M809=0,"",IF(TRIM(Raw_Data!M809)="","Not Recorded",TRIM(Raw_Data!M809)))</f>
        <v/>
      </c>
      <c r="P809" s="16" t="n">
        <f aca="false">ROUND((IF(C809="",AsOfDate,C809)-B809)/365.25,2)</f>
        <v>7.14</v>
      </c>
      <c r="Q809" s="13" t="str">
        <f aca="false">IF(D809="","Unknown",IF(D809&lt;25,"Under 25",IF(D809&lt;35,"25-34",IF(D809&lt;45,"35-44",IF(D809&lt;55,"45-54","55+")))))</f>
        <v>35-44</v>
      </c>
      <c r="R809" s="13" t="str">
        <f aca="false">IF(P809&lt;1,"0-1 yrs",IF(P809&lt;3,"1-3 yrs",IF(P809&lt;5,"3-5 yrs",IF(P809&lt;10,"5-10 yrs","10+ yrs"))))</f>
        <v>5-10 yrs</v>
      </c>
      <c r="S809" s="13" t="str">
        <f aca="false">IF(I809&gt;=4,"High",IF(I809=3,"Medium","Low"))</f>
        <v>High</v>
      </c>
      <c r="T809" s="13" t="str">
        <f aca="false">IF(M809=1,YEAR(C809),"")</f>
        <v/>
      </c>
      <c r="U809" s="13" t="str">
        <f aca="false">IF(M809=1,YEAR(C809)&amp;"-Q"&amp;ROUNDUP(MONTH(C809)/3,0),"")</f>
        <v/>
      </c>
      <c r="V809" s="13" t="str">
        <f aca="false">IF(M809=1,MONTH(C809),"")</f>
        <v/>
      </c>
    </row>
    <row r="810" customFormat="false" ht="15" hidden="false" customHeight="false" outlineLevel="0" collapsed="false">
      <c r="A810" s="13" t="str">
        <f aca="false">TRIM(Raw_Data!A810)</f>
        <v>EMP0809</v>
      </c>
      <c r="B810" s="14" t="n">
        <f aca="false">Raw_Data!B810</f>
        <v>43414</v>
      </c>
      <c r="C810" s="14" t="str">
        <f aca="false">IF(Raw_Data!C810="","",Raw_Data!C810)</f>
        <v/>
      </c>
      <c r="D810" s="13" t="n">
        <f aca="false">IF(Raw_Data!D810="","",Raw_Data!D810)</f>
        <v>39</v>
      </c>
      <c r="E810" s="13" t="str">
        <f aca="false">IF(UPPER(LEFT(TRIM(Raw_Data!E810),1))="M","Male",IF(UPPER(LEFT(TRIM(Raw_Data!E810),1))="F","Female","Unknown"))</f>
        <v>Male</v>
      </c>
      <c r="F810" s="13" t="str">
        <f aca="false">PROPER(TRIM(SUBSTITUTE(Raw_Data!F810,"'","")))</f>
        <v>Bachelors</v>
      </c>
      <c r="G810" s="13" t="str">
        <f aca="false">PROPER(TRIM(Raw_Data!G810))</f>
        <v>Operations</v>
      </c>
      <c r="H810" s="13" t="str">
        <f aca="false">PROPER(TRIM(Raw_Data!H810))</f>
        <v>Senior Analyst</v>
      </c>
      <c r="I810" s="13" t="n">
        <f aca="false">IF(Raw_Data!I810="",DefaultPerf,Raw_Data!I810)</f>
        <v>3</v>
      </c>
      <c r="J810" s="13" t="n">
        <f aca="false">IF(Raw_Data!J810="",DefaultSat,Raw_Data!J810)</f>
        <v>2</v>
      </c>
      <c r="K810" s="15" t="n">
        <f aca="false">Raw_Data!K810</f>
        <v>104500</v>
      </c>
      <c r="L810" s="13" t="str">
        <f aca="false">PROPER(TRIM(Raw_Data!N810))</f>
        <v>No</v>
      </c>
      <c r="M810" s="13" t="n">
        <f aca="false">IF(C810="",0,1)</f>
        <v>0</v>
      </c>
      <c r="N810" s="13" t="str">
        <f aca="false">IF(M810=0,"Active",IF(TRIM(Raw_Data!L810)="","Unknown",PROPER(TRIM(Raw_Data!L810))))</f>
        <v>Active</v>
      </c>
      <c r="O810" s="13" t="str">
        <f aca="false">IF(M810=0,"",IF(TRIM(Raw_Data!M810)="","Not Recorded",TRIM(Raw_Data!M810)))</f>
        <v/>
      </c>
      <c r="P810" s="16" t="n">
        <f aca="false">ROUND((IF(C810="",AsOfDate,C810)-B810)/365.25,2)</f>
        <v>7.14</v>
      </c>
      <c r="Q810" s="13" t="str">
        <f aca="false">IF(D810="","Unknown",IF(D810&lt;25,"Under 25",IF(D810&lt;35,"25-34",IF(D810&lt;45,"35-44",IF(D810&lt;55,"45-54","55+")))))</f>
        <v>35-44</v>
      </c>
      <c r="R810" s="13" t="str">
        <f aca="false">IF(P810&lt;1,"0-1 yrs",IF(P810&lt;3,"1-3 yrs",IF(P810&lt;5,"3-5 yrs",IF(P810&lt;10,"5-10 yrs","10+ yrs"))))</f>
        <v>5-10 yrs</v>
      </c>
      <c r="S810" s="13" t="str">
        <f aca="false">IF(I810&gt;=4,"High",IF(I810=3,"Medium","Low"))</f>
        <v>Medium</v>
      </c>
      <c r="T810" s="13" t="str">
        <f aca="false">IF(M810=1,YEAR(C810),"")</f>
        <v/>
      </c>
      <c r="U810" s="13" t="str">
        <f aca="false">IF(M810=1,YEAR(C810)&amp;"-Q"&amp;ROUNDUP(MONTH(C810)/3,0),"")</f>
        <v/>
      </c>
      <c r="V810" s="13" t="str">
        <f aca="false">IF(M810=1,MONTH(C810),"")</f>
        <v/>
      </c>
    </row>
    <row r="811" customFormat="false" ht="15" hidden="false" customHeight="false" outlineLevel="0" collapsed="false">
      <c r="A811" s="13" t="str">
        <f aca="false">TRIM(Raw_Data!A811)</f>
        <v>EMP0810</v>
      </c>
      <c r="B811" s="14" t="n">
        <f aca="false">Raw_Data!B811</f>
        <v>43415</v>
      </c>
      <c r="C811" s="14" t="n">
        <f aca="false">IF(Raw_Data!C811="","",Raw_Data!C811)</f>
        <v>45200</v>
      </c>
      <c r="D811" s="13" t="n">
        <f aca="false">IF(Raw_Data!D811="","",Raw_Data!D811)</f>
        <v>30</v>
      </c>
      <c r="E811" s="13" t="str">
        <f aca="false">IF(UPPER(LEFT(TRIM(Raw_Data!E811),1))="M","Male",IF(UPPER(LEFT(TRIM(Raw_Data!E811),1))="F","Female","Unknown"))</f>
        <v>Female</v>
      </c>
      <c r="F811" s="13" t="str">
        <f aca="false">PROPER(TRIM(SUBSTITUTE(Raw_Data!F811,"'","")))</f>
        <v>Doctorate</v>
      </c>
      <c r="G811" s="13" t="str">
        <f aca="false">PROPER(TRIM(Raw_Data!G811))</f>
        <v>Sales</v>
      </c>
      <c r="H811" s="13" t="str">
        <f aca="false">PROPER(TRIM(Raw_Data!H811))</f>
        <v>Analyst</v>
      </c>
      <c r="I811" s="13" t="n">
        <f aca="false">IF(Raw_Data!I811="",DefaultPerf,Raw_Data!I811)</f>
        <v>3</v>
      </c>
      <c r="J811" s="13" t="n">
        <f aca="false">IF(Raw_Data!J811="",DefaultSat,Raw_Data!J811)</f>
        <v>2</v>
      </c>
      <c r="K811" s="15" t="n">
        <f aca="false">Raw_Data!K811</f>
        <v>79000</v>
      </c>
      <c r="L811" s="13" t="str">
        <f aca="false">PROPER(TRIM(Raw_Data!N811))</f>
        <v>Yes</v>
      </c>
      <c r="M811" s="13" t="n">
        <f aca="false">IF(C811="",0,1)</f>
        <v>1</v>
      </c>
      <c r="N811" s="13" t="str">
        <f aca="false">IF(M811=0,"Active",IF(TRIM(Raw_Data!L811)="","Unknown",PROPER(TRIM(Raw_Data!L811))))</f>
        <v>Voluntary</v>
      </c>
      <c r="O811" s="13" t="str">
        <f aca="false">IF(M811=0,"",IF(TRIM(Raw_Data!M811)="","Not Recorded",TRIM(Raw_Data!M811)))</f>
        <v>Work-Life Balance</v>
      </c>
      <c r="P811" s="16" t="n">
        <f aca="false">ROUND((IF(C811="",AsOfDate,C811)-B811)/365.25,2)</f>
        <v>4.89</v>
      </c>
      <c r="Q811" s="13" t="str">
        <f aca="false">IF(D811="","Unknown",IF(D811&lt;25,"Under 25",IF(D811&lt;35,"25-34",IF(D811&lt;45,"35-44",IF(D811&lt;55,"45-54","55+")))))</f>
        <v>25-34</v>
      </c>
      <c r="R811" s="13" t="str">
        <f aca="false">IF(P811&lt;1,"0-1 yrs",IF(P811&lt;3,"1-3 yrs",IF(P811&lt;5,"3-5 yrs",IF(P811&lt;10,"5-10 yrs","10+ yrs"))))</f>
        <v>3-5 yrs</v>
      </c>
      <c r="S811" s="13" t="str">
        <f aca="false">IF(I811&gt;=4,"High",IF(I811=3,"Medium","Low"))</f>
        <v>Medium</v>
      </c>
      <c r="T811" s="13" t="n">
        <f aca="false">IF(M811=1,YEAR(C811),"")</f>
        <v>2023</v>
      </c>
      <c r="U811" s="13" t="str">
        <f aca="false">IF(M811=1,YEAR(C811)&amp;"-Q"&amp;ROUNDUP(MONTH(C811)/3,0),"")</f>
        <v>2023-Q4</v>
      </c>
      <c r="V811" s="13" t="n">
        <f aca="false">IF(M811=1,MONTH(C811),"")</f>
        <v>10</v>
      </c>
    </row>
    <row r="812" customFormat="false" ht="15" hidden="false" customHeight="false" outlineLevel="0" collapsed="false">
      <c r="A812" s="13" t="str">
        <f aca="false">TRIM(Raw_Data!A812)</f>
        <v>EMP0811</v>
      </c>
      <c r="B812" s="14" t="n">
        <f aca="false">Raw_Data!B812</f>
        <v>43416</v>
      </c>
      <c r="C812" s="14" t="str">
        <f aca="false">IF(Raw_Data!C812="","",Raw_Data!C812)</f>
        <v/>
      </c>
      <c r="D812" s="13" t="n">
        <f aca="false">IF(Raw_Data!D812="","",Raw_Data!D812)</f>
        <v>36</v>
      </c>
      <c r="E812" s="13" t="str">
        <f aca="false">IF(UPPER(LEFT(TRIM(Raw_Data!E812),1))="M","Male",IF(UPPER(LEFT(TRIM(Raw_Data!E812),1))="F","Female","Unknown"))</f>
        <v>Female</v>
      </c>
      <c r="F812" s="13" t="str">
        <f aca="false">PROPER(TRIM(SUBSTITUTE(Raw_Data!F812,"'","")))</f>
        <v>Doctorate</v>
      </c>
      <c r="G812" s="13" t="str">
        <f aca="false">PROPER(TRIM(Raw_Data!G812))</f>
        <v>Engineering</v>
      </c>
      <c r="H812" s="13" t="str">
        <f aca="false">PROPER(TRIM(Raw_Data!H812))</f>
        <v>Team Lead</v>
      </c>
      <c r="I812" s="13" t="n">
        <f aca="false">IF(Raw_Data!I812="",DefaultPerf,Raw_Data!I812)</f>
        <v>3</v>
      </c>
      <c r="J812" s="13" t="n">
        <f aca="false">IF(Raw_Data!J812="",DefaultSat,Raw_Data!J812)</f>
        <v>4</v>
      </c>
      <c r="K812" s="15" t="n">
        <f aca="false">Raw_Data!K812</f>
        <v>146000</v>
      </c>
      <c r="L812" s="13" t="str">
        <f aca="false">PROPER(TRIM(Raw_Data!N812))</f>
        <v>No</v>
      </c>
      <c r="M812" s="13" t="n">
        <f aca="false">IF(C812="",0,1)</f>
        <v>0</v>
      </c>
      <c r="N812" s="13" t="str">
        <f aca="false">IF(M812=0,"Active",IF(TRIM(Raw_Data!L812)="","Unknown",PROPER(TRIM(Raw_Data!L812))))</f>
        <v>Active</v>
      </c>
      <c r="O812" s="13" t="str">
        <f aca="false">IF(M812=0,"",IF(TRIM(Raw_Data!M812)="","Not Recorded",TRIM(Raw_Data!M812)))</f>
        <v/>
      </c>
      <c r="P812" s="16" t="n">
        <f aca="false">ROUND((IF(C812="",AsOfDate,C812)-B812)/365.25,2)</f>
        <v>7.13</v>
      </c>
      <c r="Q812" s="13" t="str">
        <f aca="false">IF(D812="","Unknown",IF(D812&lt;25,"Under 25",IF(D812&lt;35,"25-34",IF(D812&lt;45,"35-44",IF(D812&lt;55,"45-54","55+")))))</f>
        <v>35-44</v>
      </c>
      <c r="R812" s="13" t="str">
        <f aca="false">IF(P812&lt;1,"0-1 yrs",IF(P812&lt;3,"1-3 yrs",IF(P812&lt;5,"3-5 yrs",IF(P812&lt;10,"5-10 yrs","10+ yrs"))))</f>
        <v>5-10 yrs</v>
      </c>
      <c r="S812" s="13" t="str">
        <f aca="false">IF(I812&gt;=4,"High",IF(I812=3,"Medium","Low"))</f>
        <v>Medium</v>
      </c>
      <c r="T812" s="13" t="str">
        <f aca="false">IF(M812=1,YEAR(C812),"")</f>
        <v/>
      </c>
      <c r="U812" s="13" t="str">
        <f aca="false">IF(M812=1,YEAR(C812)&amp;"-Q"&amp;ROUNDUP(MONTH(C812)/3,0),"")</f>
        <v/>
      </c>
      <c r="V812" s="13" t="str">
        <f aca="false">IF(M812=1,MONTH(C812),"")</f>
        <v/>
      </c>
    </row>
    <row r="813" customFormat="false" ht="15" hidden="false" customHeight="false" outlineLevel="0" collapsed="false">
      <c r="A813" s="13" t="str">
        <f aca="false">TRIM(Raw_Data!A813)</f>
        <v>EMP0812</v>
      </c>
      <c r="B813" s="14" t="n">
        <f aca="false">Raw_Data!B813</f>
        <v>43419</v>
      </c>
      <c r="C813" s="14" t="n">
        <f aca="false">IF(Raw_Data!C813="","",Raw_Data!C813)</f>
        <v>44708</v>
      </c>
      <c r="D813" s="13" t="n">
        <f aca="false">IF(Raw_Data!D813="","",Raw_Data!D813)</f>
        <v>31</v>
      </c>
      <c r="E813" s="13" t="str">
        <f aca="false">IF(UPPER(LEFT(TRIM(Raw_Data!E813),1))="M","Male",IF(UPPER(LEFT(TRIM(Raw_Data!E813),1))="F","Female","Unknown"))</f>
        <v>Female</v>
      </c>
      <c r="F813" s="13" t="str">
        <f aca="false">PROPER(TRIM(SUBSTITUTE(Raw_Data!F813,"'","")))</f>
        <v>Bachelors</v>
      </c>
      <c r="G813" s="13" t="str">
        <f aca="false">PROPER(TRIM(Raw_Data!G813))</f>
        <v>Customer Support</v>
      </c>
      <c r="H813" s="13" t="str">
        <f aca="false">PROPER(TRIM(Raw_Data!H813))</f>
        <v>Specialist</v>
      </c>
      <c r="I813" s="13" t="n">
        <f aca="false">IF(Raw_Data!I813="",DefaultPerf,Raw_Data!I813)</f>
        <v>2</v>
      </c>
      <c r="J813" s="13" t="n">
        <f aca="false">IF(Raw_Data!J813="",DefaultSat,Raw_Data!J813)</f>
        <v>3</v>
      </c>
      <c r="K813" s="15" t="n">
        <f aca="false">Raw_Data!K813</f>
        <v>102000</v>
      </c>
      <c r="L813" s="13" t="str">
        <f aca="false">PROPER(TRIM(Raw_Data!N813))</f>
        <v>No</v>
      </c>
      <c r="M813" s="13" t="n">
        <f aca="false">IF(C813="",0,1)</f>
        <v>1</v>
      </c>
      <c r="N813" s="13" t="str">
        <f aca="false">IF(M813=0,"Active",IF(TRIM(Raw_Data!L813)="","Unknown",PROPER(TRIM(Raw_Data!L813))))</f>
        <v>Involuntary</v>
      </c>
      <c r="O813" s="13" t="str">
        <f aca="false">IF(M813=0,"",IF(TRIM(Raw_Data!M813)="","Not Recorded",TRIM(Raw_Data!M813)))</f>
        <v>End of Contract</v>
      </c>
      <c r="P813" s="16" t="n">
        <f aca="false">ROUND((IF(C813="",AsOfDate,C813)-B813)/365.25,2)</f>
        <v>3.53</v>
      </c>
      <c r="Q813" s="13" t="str">
        <f aca="false">IF(D813="","Unknown",IF(D813&lt;25,"Under 25",IF(D813&lt;35,"25-34",IF(D813&lt;45,"35-44",IF(D813&lt;55,"45-54","55+")))))</f>
        <v>25-34</v>
      </c>
      <c r="R813" s="13" t="str">
        <f aca="false">IF(P813&lt;1,"0-1 yrs",IF(P813&lt;3,"1-3 yrs",IF(P813&lt;5,"3-5 yrs",IF(P813&lt;10,"5-10 yrs","10+ yrs"))))</f>
        <v>3-5 yrs</v>
      </c>
      <c r="S813" s="13" t="str">
        <f aca="false">IF(I813&gt;=4,"High",IF(I813=3,"Medium","Low"))</f>
        <v>Low</v>
      </c>
      <c r="T813" s="13" t="n">
        <f aca="false">IF(M813=1,YEAR(C813),"")</f>
        <v>2022</v>
      </c>
      <c r="U813" s="13" t="str">
        <f aca="false">IF(M813=1,YEAR(C813)&amp;"-Q"&amp;ROUNDUP(MONTH(C813)/3,0),"")</f>
        <v>2022-Q2</v>
      </c>
      <c r="V813" s="13" t="n">
        <f aca="false">IF(M813=1,MONTH(C813),"")</f>
        <v>5</v>
      </c>
    </row>
    <row r="814" customFormat="false" ht="15" hidden="false" customHeight="false" outlineLevel="0" collapsed="false">
      <c r="A814" s="13" t="str">
        <f aca="false">TRIM(Raw_Data!A814)</f>
        <v>EMP0813</v>
      </c>
      <c r="B814" s="14" t="n">
        <f aca="false">Raw_Data!B814</f>
        <v>43420</v>
      </c>
      <c r="C814" s="14" t="str">
        <f aca="false">IF(Raw_Data!C814="","",Raw_Data!C814)</f>
        <v/>
      </c>
      <c r="D814" s="13" t="n">
        <f aca="false">IF(Raw_Data!D814="","",Raw_Data!D814)</f>
        <v>41</v>
      </c>
      <c r="E814" s="13" t="str">
        <f aca="false">IF(UPPER(LEFT(TRIM(Raw_Data!E814),1))="M","Male",IF(UPPER(LEFT(TRIM(Raw_Data!E814),1))="F","Female","Unknown"))</f>
        <v>Male</v>
      </c>
      <c r="F814" s="13" t="str">
        <f aca="false">PROPER(TRIM(SUBSTITUTE(Raw_Data!F814,"'","")))</f>
        <v>Masters</v>
      </c>
      <c r="G814" s="13" t="str">
        <f aca="false">PROPER(TRIM(Raw_Data!G814))</f>
        <v>Engineering</v>
      </c>
      <c r="H814" s="13" t="str">
        <f aca="false">PROPER(TRIM(Raw_Data!H814))</f>
        <v>Analyst</v>
      </c>
      <c r="I814" s="13" t="n">
        <f aca="false">IF(Raw_Data!I814="",DefaultPerf,Raw_Data!I814)</f>
        <v>3</v>
      </c>
      <c r="J814" s="13" t="n">
        <f aca="false">IF(Raw_Data!J814="",DefaultSat,Raw_Data!J814)</f>
        <v>3</v>
      </c>
      <c r="K814" s="15" t="n">
        <f aca="false">Raw_Data!K814</f>
        <v>67000</v>
      </c>
      <c r="L814" s="13" t="str">
        <f aca="false">PROPER(TRIM(Raw_Data!N814))</f>
        <v>No</v>
      </c>
      <c r="M814" s="13" t="n">
        <f aca="false">IF(C814="",0,1)</f>
        <v>0</v>
      </c>
      <c r="N814" s="13" t="str">
        <f aca="false">IF(M814=0,"Active",IF(TRIM(Raw_Data!L814)="","Unknown",PROPER(TRIM(Raw_Data!L814))))</f>
        <v>Active</v>
      </c>
      <c r="O814" s="13" t="str">
        <f aca="false">IF(M814=0,"",IF(TRIM(Raw_Data!M814)="","Not Recorded",TRIM(Raw_Data!M814)))</f>
        <v/>
      </c>
      <c r="P814" s="16" t="n">
        <f aca="false">ROUND((IF(C814="",AsOfDate,C814)-B814)/365.25,2)</f>
        <v>7.12</v>
      </c>
      <c r="Q814" s="13" t="str">
        <f aca="false">IF(D814="","Unknown",IF(D814&lt;25,"Under 25",IF(D814&lt;35,"25-34",IF(D814&lt;45,"35-44",IF(D814&lt;55,"45-54","55+")))))</f>
        <v>35-44</v>
      </c>
      <c r="R814" s="13" t="str">
        <f aca="false">IF(P814&lt;1,"0-1 yrs",IF(P814&lt;3,"1-3 yrs",IF(P814&lt;5,"3-5 yrs",IF(P814&lt;10,"5-10 yrs","10+ yrs"))))</f>
        <v>5-10 yrs</v>
      </c>
      <c r="S814" s="13" t="str">
        <f aca="false">IF(I814&gt;=4,"High",IF(I814=3,"Medium","Low"))</f>
        <v>Medium</v>
      </c>
      <c r="T814" s="13" t="str">
        <f aca="false">IF(M814=1,YEAR(C814),"")</f>
        <v/>
      </c>
      <c r="U814" s="13" t="str">
        <f aca="false">IF(M814=1,YEAR(C814)&amp;"-Q"&amp;ROUNDUP(MONTH(C814)/3,0),"")</f>
        <v/>
      </c>
      <c r="V814" s="13" t="str">
        <f aca="false">IF(M814=1,MONTH(C814),"")</f>
        <v/>
      </c>
    </row>
    <row r="815" customFormat="false" ht="15" hidden="false" customHeight="false" outlineLevel="0" collapsed="false">
      <c r="A815" s="13" t="str">
        <f aca="false">TRIM(Raw_Data!A815)</f>
        <v>EMP0814</v>
      </c>
      <c r="B815" s="14" t="n">
        <f aca="false">Raw_Data!B815</f>
        <v>43425</v>
      </c>
      <c r="C815" s="14" t="str">
        <f aca="false">IF(Raw_Data!C815="","",Raw_Data!C815)</f>
        <v/>
      </c>
      <c r="D815" s="13" t="n">
        <f aca="false">IF(Raw_Data!D815="","",Raw_Data!D815)</f>
        <v>43</v>
      </c>
      <c r="E815" s="13" t="str">
        <f aca="false">IF(UPPER(LEFT(TRIM(Raw_Data!E815),1))="M","Male",IF(UPPER(LEFT(TRIM(Raw_Data!E815),1))="F","Female","Unknown"))</f>
        <v>Female</v>
      </c>
      <c r="F815" s="13" t="str">
        <f aca="false">PROPER(TRIM(SUBSTITUTE(Raw_Data!F815,"'","")))</f>
        <v>High School</v>
      </c>
      <c r="G815" s="13" t="str">
        <f aca="false">PROPER(TRIM(Raw_Data!G815))</f>
        <v>Operations</v>
      </c>
      <c r="H815" s="13" t="str">
        <f aca="false">PROPER(TRIM(Raw_Data!H815))</f>
        <v>Associate</v>
      </c>
      <c r="I815" s="13" t="n">
        <f aca="false">IF(Raw_Data!I815="",DefaultPerf,Raw_Data!I815)</f>
        <v>3</v>
      </c>
      <c r="J815" s="13" t="n">
        <f aca="false">IF(Raw_Data!J815="",DefaultSat,Raw_Data!J815)</f>
        <v>1</v>
      </c>
      <c r="K815" s="15" t="n">
        <f aca="false">Raw_Data!K815</f>
        <v>46500</v>
      </c>
      <c r="L815" s="13" t="str">
        <f aca="false">PROPER(TRIM(Raw_Data!N815))</f>
        <v>No</v>
      </c>
      <c r="M815" s="13" t="n">
        <f aca="false">IF(C815="",0,1)</f>
        <v>0</v>
      </c>
      <c r="N815" s="13" t="str">
        <f aca="false">IF(M815=0,"Active",IF(TRIM(Raw_Data!L815)="","Unknown",PROPER(TRIM(Raw_Data!L815))))</f>
        <v>Active</v>
      </c>
      <c r="O815" s="13" t="str">
        <f aca="false">IF(M815=0,"",IF(TRIM(Raw_Data!M815)="","Not Recorded",TRIM(Raw_Data!M815)))</f>
        <v/>
      </c>
      <c r="P815" s="16" t="n">
        <f aca="false">ROUND((IF(C815="",AsOfDate,C815)-B815)/365.25,2)</f>
        <v>7.11</v>
      </c>
      <c r="Q815" s="13" t="str">
        <f aca="false">IF(D815="","Unknown",IF(D815&lt;25,"Under 25",IF(D815&lt;35,"25-34",IF(D815&lt;45,"35-44",IF(D815&lt;55,"45-54","55+")))))</f>
        <v>35-44</v>
      </c>
      <c r="R815" s="13" t="str">
        <f aca="false">IF(P815&lt;1,"0-1 yrs",IF(P815&lt;3,"1-3 yrs",IF(P815&lt;5,"3-5 yrs",IF(P815&lt;10,"5-10 yrs","10+ yrs"))))</f>
        <v>5-10 yrs</v>
      </c>
      <c r="S815" s="13" t="str">
        <f aca="false">IF(I815&gt;=4,"High",IF(I815=3,"Medium","Low"))</f>
        <v>Medium</v>
      </c>
      <c r="T815" s="13" t="str">
        <f aca="false">IF(M815=1,YEAR(C815),"")</f>
        <v/>
      </c>
      <c r="U815" s="13" t="str">
        <f aca="false">IF(M815=1,YEAR(C815)&amp;"-Q"&amp;ROUNDUP(MONTH(C815)/3,0),"")</f>
        <v/>
      </c>
      <c r="V815" s="13" t="str">
        <f aca="false">IF(M815=1,MONTH(C815),"")</f>
        <v/>
      </c>
    </row>
    <row r="816" customFormat="false" ht="15" hidden="false" customHeight="false" outlineLevel="0" collapsed="false">
      <c r="A816" s="13" t="str">
        <f aca="false">TRIM(Raw_Data!A816)</f>
        <v>EMP0815</v>
      </c>
      <c r="B816" s="14" t="n">
        <f aca="false">Raw_Data!B816</f>
        <v>43432</v>
      </c>
      <c r="C816" s="14" t="n">
        <f aca="false">IF(Raw_Data!C816="","",Raw_Data!C816)</f>
        <v>45359</v>
      </c>
      <c r="D816" s="13" t="n">
        <f aca="false">IF(Raw_Data!D816="","",Raw_Data!D816)</f>
        <v>31</v>
      </c>
      <c r="E816" s="13" t="str">
        <f aca="false">IF(UPPER(LEFT(TRIM(Raw_Data!E816),1))="M","Male",IF(UPPER(LEFT(TRIM(Raw_Data!E816),1))="F","Female","Unknown"))</f>
        <v>Male</v>
      </c>
      <c r="F816" s="13" t="str">
        <f aca="false">PROPER(TRIM(SUBSTITUTE(Raw_Data!F816,"'","")))</f>
        <v>Bachelors</v>
      </c>
      <c r="G816" s="13" t="str">
        <f aca="false">PROPER(TRIM(Raw_Data!G816))</f>
        <v>Operations</v>
      </c>
      <c r="H816" s="13" t="str">
        <f aca="false">PROPER(TRIM(Raw_Data!H816))</f>
        <v>Manager</v>
      </c>
      <c r="I816" s="13" t="n">
        <f aca="false">IF(Raw_Data!I816="",DefaultPerf,Raw_Data!I816)</f>
        <v>4</v>
      </c>
      <c r="J816" s="13" t="n">
        <f aca="false">IF(Raw_Data!J816="",DefaultSat,Raw_Data!J816)</f>
        <v>2</v>
      </c>
      <c r="K816" s="15" t="n">
        <f aca="false">Raw_Data!K816</f>
        <v>241000</v>
      </c>
      <c r="L816" s="13" t="str">
        <f aca="false">PROPER(TRIM(Raw_Data!N816))</f>
        <v>No</v>
      </c>
      <c r="M816" s="13" t="n">
        <f aca="false">IF(C816="",0,1)</f>
        <v>1</v>
      </c>
      <c r="N816" s="13" t="str">
        <f aca="false">IF(M816=0,"Active",IF(TRIM(Raw_Data!L816)="","Unknown",PROPER(TRIM(Raw_Data!L816))))</f>
        <v>Voluntary</v>
      </c>
      <c r="O816" s="13" t="str">
        <f aca="false">IF(M816=0,"",IF(TRIM(Raw_Data!M816)="","Not Recorded",TRIM(Raw_Data!M816)))</f>
        <v>Better Compensation</v>
      </c>
      <c r="P816" s="16" t="n">
        <f aca="false">ROUND((IF(C816="",AsOfDate,C816)-B816)/365.25,2)</f>
        <v>5.28</v>
      </c>
      <c r="Q816" s="13" t="str">
        <f aca="false">IF(D816="","Unknown",IF(D816&lt;25,"Under 25",IF(D816&lt;35,"25-34",IF(D816&lt;45,"35-44",IF(D816&lt;55,"45-54","55+")))))</f>
        <v>25-34</v>
      </c>
      <c r="R816" s="13" t="str">
        <f aca="false">IF(P816&lt;1,"0-1 yrs",IF(P816&lt;3,"1-3 yrs",IF(P816&lt;5,"3-5 yrs",IF(P816&lt;10,"5-10 yrs","10+ yrs"))))</f>
        <v>5-10 yrs</v>
      </c>
      <c r="S816" s="13" t="str">
        <f aca="false">IF(I816&gt;=4,"High",IF(I816=3,"Medium","Low"))</f>
        <v>High</v>
      </c>
      <c r="T816" s="13" t="n">
        <f aca="false">IF(M816=1,YEAR(C816),"")</f>
        <v>2024</v>
      </c>
      <c r="U816" s="13" t="str">
        <f aca="false">IF(M816=1,YEAR(C816)&amp;"-Q"&amp;ROUNDUP(MONTH(C816)/3,0),"")</f>
        <v>2024-Q1</v>
      </c>
      <c r="V816" s="13" t="n">
        <f aca="false">IF(M816=1,MONTH(C816),"")</f>
        <v>3</v>
      </c>
    </row>
    <row r="817" customFormat="false" ht="15" hidden="false" customHeight="false" outlineLevel="0" collapsed="false">
      <c r="A817" s="13" t="str">
        <f aca="false">TRIM(Raw_Data!A817)</f>
        <v>EMP0816</v>
      </c>
      <c r="B817" s="14" t="n">
        <f aca="false">Raw_Data!B817</f>
        <v>43432</v>
      </c>
      <c r="C817" s="14" t="str">
        <f aca="false">IF(Raw_Data!C817="","",Raw_Data!C817)</f>
        <v/>
      </c>
      <c r="D817" s="13" t="n">
        <f aca="false">IF(Raw_Data!D817="","",Raw_Data!D817)</f>
        <v>31</v>
      </c>
      <c r="E817" s="13" t="str">
        <f aca="false">IF(UPPER(LEFT(TRIM(Raw_Data!E817),1))="M","Male",IF(UPPER(LEFT(TRIM(Raw_Data!E817),1))="F","Female","Unknown"))</f>
        <v>Male</v>
      </c>
      <c r="F817" s="13" t="str">
        <f aca="false">PROPER(TRIM(SUBSTITUTE(Raw_Data!F817,"'","")))</f>
        <v>Bachelors</v>
      </c>
      <c r="G817" s="13" t="str">
        <f aca="false">PROPER(TRIM(Raw_Data!G817))</f>
        <v>Human Resources</v>
      </c>
      <c r="H817" s="13" t="str">
        <f aca="false">PROPER(TRIM(Raw_Data!H817))</f>
        <v>Team Lead</v>
      </c>
      <c r="I817" s="13" t="n">
        <f aca="false">IF(Raw_Data!I817="",DefaultPerf,Raw_Data!I817)</f>
        <v>4</v>
      </c>
      <c r="J817" s="13" t="n">
        <f aca="false">IF(Raw_Data!J817="",DefaultSat,Raw_Data!J817)</f>
        <v>4</v>
      </c>
      <c r="K817" s="15" t="n">
        <f aca="false">Raw_Data!K817</f>
        <v>151000</v>
      </c>
      <c r="L817" s="13" t="str">
        <f aca="false">PROPER(TRIM(Raw_Data!N817))</f>
        <v>No</v>
      </c>
      <c r="M817" s="13" t="n">
        <f aca="false">IF(C817="",0,1)</f>
        <v>0</v>
      </c>
      <c r="N817" s="13" t="str">
        <f aca="false">IF(M817=0,"Active",IF(TRIM(Raw_Data!L817)="","Unknown",PROPER(TRIM(Raw_Data!L817))))</f>
        <v>Active</v>
      </c>
      <c r="O817" s="13" t="str">
        <f aca="false">IF(M817=0,"",IF(TRIM(Raw_Data!M817)="","Not Recorded",TRIM(Raw_Data!M817)))</f>
        <v/>
      </c>
      <c r="P817" s="16" t="n">
        <f aca="false">ROUND((IF(C817="",AsOfDate,C817)-B817)/365.25,2)</f>
        <v>7.09</v>
      </c>
      <c r="Q817" s="13" t="str">
        <f aca="false">IF(D817="","Unknown",IF(D817&lt;25,"Under 25",IF(D817&lt;35,"25-34",IF(D817&lt;45,"35-44",IF(D817&lt;55,"45-54","55+")))))</f>
        <v>25-34</v>
      </c>
      <c r="R817" s="13" t="str">
        <f aca="false">IF(P817&lt;1,"0-1 yrs",IF(P817&lt;3,"1-3 yrs",IF(P817&lt;5,"3-5 yrs",IF(P817&lt;10,"5-10 yrs","10+ yrs"))))</f>
        <v>5-10 yrs</v>
      </c>
      <c r="S817" s="13" t="str">
        <f aca="false">IF(I817&gt;=4,"High",IF(I817=3,"Medium","Low"))</f>
        <v>High</v>
      </c>
      <c r="T817" s="13" t="str">
        <f aca="false">IF(M817=1,YEAR(C817),"")</f>
        <v/>
      </c>
      <c r="U817" s="13" t="str">
        <f aca="false">IF(M817=1,YEAR(C817)&amp;"-Q"&amp;ROUNDUP(MONTH(C817)/3,0),"")</f>
        <v/>
      </c>
      <c r="V817" s="13" t="str">
        <f aca="false">IF(M817=1,MONTH(C817),"")</f>
        <v/>
      </c>
    </row>
    <row r="818" customFormat="false" ht="15" hidden="false" customHeight="false" outlineLevel="0" collapsed="false">
      <c r="A818" s="13" t="str">
        <f aca="false">TRIM(Raw_Data!A818)</f>
        <v>EMP0817</v>
      </c>
      <c r="B818" s="14" t="n">
        <f aca="false">Raw_Data!B818</f>
        <v>43436</v>
      </c>
      <c r="C818" s="14" t="str">
        <f aca="false">IF(Raw_Data!C818="","",Raw_Data!C818)</f>
        <v/>
      </c>
      <c r="D818" s="13" t="n">
        <f aca="false">IF(Raw_Data!D818="","",Raw_Data!D818)</f>
        <v>38</v>
      </c>
      <c r="E818" s="13" t="str">
        <f aca="false">IF(UPPER(LEFT(TRIM(Raw_Data!E818),1))="M","Male",IF(UPPER(LEFT(TRIM(Raw_Data!E818),1))="F","Female","Unknown"))</f>
        <v>Female</v>
      </c>
      <c r="F818" s="13" t="str">
        <f aca="false">PROPER(TRIM(SUBSTITUTE(Raw_Data!F818,"'","")))</f>
        <v>Masters</v>
      </c>
      <c r="G818" s="13" t="str">
        <f aca="false">PROPER(TRIM(Raw_Data!G818))</f>
        <v>Operations</v>
      </c>
      <c r="H818" s="13" t="str">
        <f aca="false">PROPER(TRIM(Raw_Data!H818))</f>
        <v>Team Lead</v>
      </c>
      <c r="I818" s="13" t="n">
        <f aca="false">IF(Raw_Data!I818="",DefaultPerf,Raw_Data!I818)</f>
        <v>2</v>
      </c>
      <c r="J818" s="13" t="n">
        <f aca="false">IF(Raw_Data!J818="",DefaultSat,Raw_Data!J818)</f>
        <v>4</v>
      </c>
      <c r="K818" s="15" t="n">
        <f aca="false">Raw_Data!K818</f>
        <v>150500</v>
      </c>
      <c r="L818" s="13" t="str">
        <f aca="false">PROPER(TRIM(Raw_Data!N818))</f>
        <v>Yes</v>
      </c>
      <c r="M818" s="13" t="n">
        <f aca="false">IF(C818="",0,1)</f>
        <v>0</v>
      </c>
      <c r="N818" s="13" t="str">
        <f aca="false">IF(M818=0,"Active",IF(TRIM(Raw_Data!L818)="","Unknown",PROPER(TRIM(Raw_Data!L818))))</f>
        <v>Active</v>
      </c>
      <c r="O818" s="13" t="str">
        <f aca="false">IF(M818=0,"",IF(TRIM(Raw_Data!M818)="","Not Recorded",TRIM(Raw_Data!M818)))</f>
        <v/>
      </c>
      <c r="P818" s="16" t="n">
        <f aca="false">ROUND((IF(C818="",AsOfDate,C818)-B818)/365.25,2)</f>
        <v>7.08</v>
      </c>
      <c r="Q818" s="13" t="str">
        <f aca="false">IF(D818="","Unknown",IF(D818&lt;25,"Under 25",IF(D818&lt;35,"25-34",IF(D818&lt;45,"35-44",IF(D818&lt;55,"45-54","55+")))))</f>
        <v>35-44</v>
      </c>
      <c r="R818" s="13" t="str">
        <f aca="false">IF(P818&lt;1,"0-1 yrs",IF(P818&lt;3,"1-3 yrs",IF(P818&lt;5,"3-5 yrs",IF(P818&lt;10,"5-10 yrs","10+ yrs"))))</f>
        <v>5-10 yrs</v>
      </c>
      <c r="S818" s="13" t="str">
        <f aca="false">IF(I818&gt;=4,"High",IF(I818=3,"Medium","Low"))</f>
        <v>Low</v>
      </c>
      <c r="T818" s="13" t="str">
        <f aca="false">IF(M818=1,YEAR(C818),"")</f>
        <v/>
      </c>
      <c r="U818" s="13" t="str">
        <f aca="false">IF(M818=1,YEAR(C818)&amp;"-Q"&amp;ROUNDUP(MONTH(C818)/3,0),"")</f>
        <v/>
      </c>
      <c r="V818" s="13" t="str">
        <f aca="false">IF(M818=1,MONTH(C818),"")</f>
        <v/>
      </c>
    </row>
    <row r="819" customFormat="false" ht="15" hidden="false" customHeight="false" outlineLevel="0" collapsed="false">
      <c r="A819" s="13" t="str">
        <f aca="false">TRIM(Raw_Data!A819)</f>
        <v>EMP0818</v>
      </c>
      <c r="B819" s="14" t="n">
        <f aca="false">Raw_Data!B819</f>
        <v>43438</v>
      </c>
      <c r="C819" s="14" t="str">
        <f aca="false">IF(Raw_Data!C819="","",Raw_Data!C819)</f>
        <v/>
      </c>
      <c r="D819" s="13" t="n">
        <f aca="false">IF(Raw_Data!D819="","",Raw_Data!D819)</f>
        <v>35</v>
      </c>
      <c r="E819" s="13" t="str">
        <f aca="false">IF(UPPER(LEFT(TRIM(Raw_Data!E819),1))="M","Male",IF(UPPER(LEFT(TRIM(Raw_Data!E819),1))="F","Female","Unknown"))</f>
        <v>Male</v>
      </c>
      <c r="F819" s="13" t="str">
        <f aca="false">PROPER(TRIM(SUBSTITUTE(Raw_Data!F819,"'","")))</f>
        <v>Bachelors</v>
      </c>
      <c r="G819" s="13" t="str">
        <f aca="false">PROPER(TRIM(Raw_Data!G819))</f>
        <v>Customer Support</v>
      </c>
      <c r="H819" s="13" t="str">
        <f aca="false">PROPER(TRIM(Raw_Data!H819))</f>
        <v>Associate</v>
      </c>
      <c r="I819" s="13" t="n">
        <f aca="false">IF(Raw_Data!I819="",DefaultPerf,Raw_Data!I819)</f>
        <v>3</v>
      </c>
      <c r="J819" s="13" t="n">
        <f aca="false">IF(Raw_Data!J819="",DefaultSat,Raw_Data!J819)</f>
        <v>4</v>
      </c>
      <c r="K819" s="15" t="n">
        <f aca="false">Raw_Data!K819</f>
        <v>43500</v>
      </c>
      <c r="L819" s="13" t="str">
        <f aca="false">PROPER(TRIM(Raw_Data!N819))</f>
        <v>Yes</v>
      </c>
      <c r="M819" s="13" t="n">
        <f aca="false">IF(C819="",0,1)</f>
        <v>0</v>
      </c>
      <c r="N819" s="13" t="str">
        <f aca="false">IF(M819=0,"Active",IF(TRIM(Raw_Data!L819)="","Unknown",PROPER(TRIM(Raw_Data!L819))))</f>
        <v>Active</v>
      </c>
      <c r="O819" s="13" t="str">
        <f aca="false">IF(M819=0,"",IF(TRIM(Raw_Data!M819)="","Not Recorded",TRIM(Raw_Data!M819)))</f>
        <v/>
      </c>
      <c r="P819" s="16" t="n">
        <f aca="false">ROUND((IF(C819="",AsOfDate,C819)-B819)/365.25,2)</f>
        <v>7.07</v>
      </c>
      <c r="Q819" s="13" t="str">
        <f aca="false">IF(D819="","Unknown",IF(D819&lt;25,"Under 25",IF(D819&lt;35,"25-34",IF(D819&lt;45,"35-44",IF(D819&lt;55,"45-54","55+")))))</f>
        <v>35-44</v>
      </c>
      <c r="R819" s="13" t="str">
        <f aca="false">IF(P819&lt;1,"0-1 yrs",IF(P819&lt;3,"1-3 yrs",IF(P819&lt;5,"3-5 yrs",IF(P819&lt;10,"5-10 yrs","10+ yrs"))))</f>
        <v>5-10 yrs</v>
      </c>
      <c r="S819" s="13" t="str">
        <f aca="false">IF(I819&gt;=4,"High",IF(I819=3,"Medium","Low"))</f>
        <v>Medium</v>
      </c>
      <c r="T819" s="13" t="str">
        <f aca="false">IF(M819=1,YEAR(C819),"")</f>
        <v/>
      </c>
      <c r="U819" s="13" t="str">
        <f aca="false">IF(M819=1,YEAR(C819)&amp;"-Q"&amp;ROUNDUP(MONTH(C819)/3,0),"")</f>
        <v/>
      </c>
      <c r="V819" s="13" t="str">
        <f aca="false">IF(M819=1,MONTH(C819),"")</f>
        <v/>
      </c>
    </row>
    <row r="820" customFormat="false" ht="15" hidden="false" customHeight="false" outlineLevel="0" collapsed="false">
      <c r="A820" s="13" t="str">
        <f aca="false">TRIM(Raw_Data!A820)</f>
        <v>EMP0819</v>
      </c>
      <c r="B820" s="14" t="n">
        <f aca="false">Raw_Data!B820</f>
        <v>43441</v>
      </c>
      <c r="C820" s="14" t="str">
        <f aca="false">IF(Raw_Data!C820="","",Raw_Data!C820)</f>
        <v/>
      </c>
      <c r="D820" s="13" t="n">
        <f aca="false">IF(Raw_Data!D820="","",Raw_Data!D820)</f>
        <v>37</v>
      </c>
      <c r="E820" s="13" t="str">
        <f aca="false">IF(UPPER(LEFT(TRIM(Raw_Data!E820),1))="M","Male",IF(UPPER(LEFT(TRIM(Raw_Data!E820),1))="F","Female","Unknown"))</f>
        <v>Female</v>
      </c>
      <c r="F820" s="13" t="str">
        <f aca="false">PROPER(TRIM(SUBSTITUTE(Raw_Data!F820,"'","")))</f>
        <v>Bachelors</v>
      </c>
      <c r="G820" s="13" t="str">
        <f aca="false">PROPER(TRIM(Raw_Data!G820))</f>
        <v>Sales</v>
      </c>
      <c r="H820" s="13" t="str">
        <f aca="false">PROPER(TRIM(Raw_Data!H820))</f>
        <v>Analyst</v>
      </c>
      <c r="I820" s="13" t="n">
        <f aca="false">IF(Raw_Data!I820="",DefaultPerf,Raw_Data!I820)</f>
        <v>3</v>
      </c>
      <c r="J820" s="13" t="n">
        <f aca="false">IF(Raw_Data!J820="",DefaultSat,Raw_Data!J820)</f>
        <v>4</v>
      </c>
      <c r="K820" s="15" t="n">
        <f aca="false">Raw_Data!K820</f>
        <v>70500</v>
      </c>
      <c r="L820" s="13" t="str">
        <f aca="false">PROPER(TRIM(Raw_Data!N820))</f>
        <v>Yes</v>
      </c>
      <c r="M820" s="13" t="n">
        <f aca="false">IF(C820="",0,1)</f>
        <v>0</v>
      </c>
      <c r="N820" s="13" t="str">
        <f aca="false">IF(M820=0,"Active",IF(TRIM(Raw_Data!L820)="","Unknown",PROPER(TRIM(Raw_Data!L820))))</f>
        <v>Active</v>
      </c>
      <c r="O820" s="13" t="str">
        <f aca="false">IF(M820=0,"",IF(TRIM(Raw_Data!M820)="","Not Recorded",TRIM(Raw_Data!M820)))</f>
        <v/>
      </c>
      <c r="P820" s="16" t="n">
        <f aca="false">ROUND((IF(C820="",AsOfDate,C820)-B820)/365.25,2)</f>
        <v>7.07</v>
      </c>
      <c r="Q820" s="13" t="str">
        <f aca="false">IF(D820="","Unknown",IF(D820&lt;25,"Under 25",IF(D820&lt;35,"25-34",IF(D820&lt;45,"35-44",IF(D820&lt;55,"45-54","55+")))))</f>
        <v>35-44</v>
      </c>
      <c r="R820" s="13" t="str">
        <f aca="false">IF(P820&lt;1,"0-1 yrs",IF(P820&lt;3,"1-3 yrs",IF(P820&lt;5,"3-5 yrs",IF(P820&lt;10,"5-10 yrs","10+ yrs"))))</f>
        <v>5-10 yrs</v>
      </c>
      <c r="S820" s="13" t="str">
        <f aca="false">IF(I820&gt;=4,"High",IF(I820=3,"Medium","Low"))</f>
        <v>Medium</v>
      </c>
      <c r="T820" s="13" t="str">
        <f aca="false">IF(M820=1,YEAR(C820),"")</f>
        <v/>
      </c>
      <c r="U820" s="13" t="str">
        <f aca="false">IF(M820=1,YEAR(C820)&amp;"-Q"&amp;ROUNDUP(MONTH(C820)/3,0),"")</f>
        <v/>
      </c>
      <c r="V820" s="13" t="str">
        <f aca="false">IF(M820=1,MONTH(C820),"")</f>
        <v/>
      </c>
    </row>
    <row r="821" customFormat="false" ht="15" hidden="false" customHeight="false" outlineLevel="0" collapsed="false">
      <c r="A821" s="13" t="str">
        <f aca="false">TRIM(Raw_Data!A821)</f>
        <v>EMP0820</v>
      </c>
      <c r="B821" s="14" t="n">
        <f aca="false">Raw_Data!B821</f>
        <v>43442</v>
      </c>
      <c r="C821" s="14" t="n">
        <f aca="false">IF(Raw_Data!C821="","",Raw_Data!C821)</f>
        <v>45055</v>
      </c>
      <c r="D821" s="13" t="n">
        <f aca="false">IF(Raw_Data!D821="","",Raw_Data!D821)</f>
        <v>38</v>
      </c>
      <c r="E821" s="13" t="str">
        <f aca="false">IF(UPPER(LEFT(TRIM(Raw_Data!E821),1))="M","Male",IF(UPPER(LEFT(TRIM(Raw_Data!E821),1))="F","Female","Unknown"))</f>
        <v>Male</v>
      </c>
      <c r="F821" s="13" t="str">
        <f aca="false">PROPER(TRIM(SUBSTITUTE(Raw_Data!F821,"'","")))</f>
        <v>Masters</v>
      </c>
      <c r="G821" s="13" t="str">
        <f aca="false">PROPER(TRIM(Raw_Data!G821))</f>
        <v>Engineering</v>
      </c>
      <c r="H821" s="13" t="str">
        <f aca="false">PROPER(TRIM(Raw_Data!H821))</f>
        <v>Analyst</v>
      </c>
      <c r="I821" s="13" t="n">
        <f aca="false">IF(Raw_Data!I821="",DefaultPerf,Raw_Data!I821)</f>
        <v>3</v>
      </c>
      <c r="J821" s="13" t="n">
        <f aca="false">IF(Raw_Data!J821="",DefaultSat,Raw_Data!J821)</f>
        <v>2</v>
      </c>
      <c r="K821" s="15" t="n">
        <f aca="false">Raw_Data!K821</f>
        <v>69500</v>
      </c>
      <c r="L821" s="13" t="str">
        <f aca="false">PROPER(TRIM(Raw_Data!N821))</f>
        <v>No</v>
      </c>
      <c r="M821" s="13" t="n">
        <f aca="false">IF(C821="",0,1)</f>
        <v>1</v>
      </c>
      <c r="N821" s="13" t="str">
        <f aca="false">IF(M821=0,"Active",IF(TRIM(Raw_Data!L821)="","Unknown",PROPER(TRIM(Raw_Data!L821))))</f>
        <v>Voluntary</v>
      </c>
      <c r="O821" s="13" t="str">
        <f aca="false">IF(M821=0,"",IF(TRIM(Raw_Data!M821)="","Not Recorded",TRIM(Raw_Data!M821)))</f>
        <v>Job Dissatisfaction</v>
      </c>
      <c r="P821" s="16" t="n">
        <f aca="false">ROUND((IF(C821="",AsOfDate,C821)-B821)/365.25,2)</f>
        <v>4.42</v>
      </c>
      <c r="Q821" s="13" t="str">
        <f aca="false">IF(D821="","Unknown",IF(D821&lt;25,"Under 25",IF(D821&lt;35,"25-34",IF(D821&lt;45,"35-44",IF(D821&lt;55,"45-54","55+")))))</f>
        <v>35-44</v>
      </c>
      <c r="R821" s="13" t="str">
        <f aca="false">IF(P821&lt;1,"0-1 yrs",IF(P821&lt;3,"1-3 yrs",IF(P821&lt;5,"3-5 yrs",IF(P821&lt;10,"5-10 yrs","10+ yrs"))))</f>
        <v>3-5 yrs</v>
      </c>
      <c r="S821" s="13" t="str">
        <f aca="false">IF(I821&gt;=4,"High",IF(I821=3,"Medium","Low"))</f>
        <v>Medium</v>
      </c>
      <c r="T821" s="13" t="n">
        <f aca="false">IF(M821=1,YEAR(C821),"")</f>
        <v>2023</v>
      </c>
      <c r="U821" s="13" t="str">
        <f aca="false">IF(M821=1,YEAR(C821)&amp;"-Q"&amp;ROUNDUP(MONTH(C821)/3,0),"")</f>
        <v>2023-Q2</v>
      </c>
      <c r="V821" s="13" t="n">
        <f aca="false">IF(M821=1,MONTH(C821),"")</f>
        <v>5</v>
      </c>
    </row>
    <row r="822" customFormat="false" ht="15" hidden="false" customHeight="false" outlineLevel="0" collapsed="false">
      <c r="A822" s="13" t="str">
        <f aca="false">TRIM(Raw_Data!A822)</f>
        <v>EMP0821</v>
      </c>
      <c r="B822" s="14" t="n">
        <f aca="false">Raw_Data!B822</f>
        <v>43447</v>
      </c>
      <c r="C822" s="14" t="n">
        <f aca="false">IF(Raw_Data!C822="","",Raw_Data!C822)</f>
        <v>44590</v>
      </c>
      <c r="D822" s="13" t="n">
        <f aca="false">IF(Raw_Data!D822="","",Raw_Data!D822)</f>
        <v>33</v>
      </c>
      <c r="E822" s="13" t="str">
        <f aca="false">IF(UPPER(LEFT(TRIM(Raw_Data!E822),1))="M","Male",IF(UPPER(LEFT(TRIM(Raw_Data!E822),1))="F","Female","Unknown"))</f>
        <v>Female</v>
      </c>
      <c r="F822" s="13" t="str">
        <f aca="false">PROPER(TRIM(SUBSTITUTE(Raw_Data!F822,"'","")))</f>
        <v>Diploma</v>
      </c>
      <c r="G822" s="13" t="str">
        <f aca="false">PROPER(TRIM(Raw_Data!G822))</f>
        <v>Sales</v>
      </c>
      <c r="H822" s="13" t="str">
        <f aca="false">PROPER(TRIM(Raw_Data!H822))</f>
        <v>Analyst</v>
      </c>
      <c r="I822" s="13" t="n">
        <f aca="false">IF(Raw_Data!I822="",DefaultPerf,Raw_Data!I822)</f>
        <v>2</v>
      </c>
      <c r="J822" s="13" t="n">
        <f aca="false">IF(Raw_Data!J822="",DefaultSat,Raw_Data!J822)</f>
        <v>4</v>
      </c>
      <c r="K822" s="15" t="n">
        <f aca="false">Raw_Data!K822</f>
        <v>64500</v>
      </c>
      <c r="L822" s="13" t="str">
        <f aca="false">PROPER(TRIM(Raw_Data!N822))</f>
        <v>Yes</v>
      </c>
      <c r="M822" s="13" t="n">
        <f aca="false">IF(C822="",0,1)</f>
        <v>1</v>
      </c>
      <c r="N822" s="13" t="str">
        <f aca="false">IF(M822=0,"Active",IF(TRIM(Raw_Data!L822)="","Unknown",PROPER(TRIM(Raw_Data!L822))))</f>
        <v>Involuntary</v>
      </c>
      <c r="O822" s="13" t="str">
        <f aca="false">IF(M822=0,"",IF(TRIM(Raw_Data!M822)="","Not Recorded",TRIM(Raw_Data!M822)))</f>
        <v>Not Recorded</v>
      </c>
      <c r="P822" s="16" t="n">
        <f aca="false">ROUND((IF(C822="",AsOfDate,C822)-B822)/365.25,2)</f>
        <v>3.13</v>
      </c>
      <c r="Q822" s="13" t="str">
        <f aca="false">IF(D822="","Unknown",IF(D822&lt;25,"Under 25",IF(D822&lt;35,"25-34",IF(D822&lt;45,"35-44",IF(D822&lt;55,"45-54","55+")))))</f>
        <v>25-34</v>
      </c>
      <c r="R822" s="13" t="str">
        <f aca="false">IF(P822&lt;1,"0-1 yrs",IF(P822&lt;3,"1-3 yrs",IF(P822&lt;5,"3-5 yrs",IF(P822&lt;10,"5-10 yrs","10+ yrs"))))</f>
        <v>3-5 yrs</v>
      </c>
      <c r="S822" s="13" t="str">
        <f aca="false">IF(I822&gt;=4,"High",IF(I822=3,"Medium","Low"))</f>
        <v>Low</v>
      </c>
      <c r="T822" s="13" t="n">
        <f aca="false">IF(M822=1,YEAR(C822),"")</f>
        <v>2022</v>
      </c>
      <c r="U822" s="13" t="str">
        <f aca="false">IF(M822=1,YEAR(C822)&amp;"-Q"&amp;ROUNDUP(MONTH(C822)/3,0),"")</f>
        <v>2022-Q1</v>
      </c>
      <c r="V822" s="13" t="n">
        <f aca="false">IF(M822=1,MONTH(C822),"")</f>
        <v>1</v>
      </c>
    </row>
    <row r="823" customFormat="false" ht="15" hidden="false" customHeight="false" outlineLevel="0" collapsed="false">
      <c r="A823" s="13" t="str">
        <f aca="false">TRIM(Raw_Data!A823)</f>
        <v>EMP0822</v>
      </c>
      <c r="B823" s="14" t="n">
        <f aca="false">Raw_Data!B823</f>
        <v>43448</v>
      </c>
      <c r="C823" s="14" t="str">
        <f aca="false">IF(Raw_Data!C823="","",Raw_Data!C823)</f>
        <v/>
      </c>
      <c r="D823" s="13" t="n">
        <f aca="false">IF(Raw_Data!D823="","",Raw_Data!D823)</f>
        <v>39</v>
      </c>
      <c r="E823" s="13" t="str">
        <f aca="false">IF(UPPER(LEFT(TRIM(Raw_Data!E823),1))="M","Male",IF(UPPER(LEFT(TRIM(Raw_Data!E823),1))="F","Female","Unknown"))</f>
        <v>Female</v>
      </c>
      <c r="F823" s="13" t="str">
        <f aca="false">PROPER(TRIM(SUBSTITUTE(Raw_Data!F823,"'","")))</f>
        <v>Doctorate</v>
      </c>
      <c r="G823" s="13" t="str">
        <f aca="false">PROPER(TRIM(Raw_Data!G823))</f>
        <v>Engineering</v>
      </c>
      <c r="H823" s="13" t="str">
        <f aca="false">PROPER(TRIM(Raw_Data!H823))</f>
        <v>Associate</v>
      </c>
      <c r="I823" s="13" t="n">
        <f aca="false">IF(Raw_Data!I823="",DefaultPerf,Raw_Data!I823)</f>
        <v>1</v>
      </c>
      <c r="J823" s="13" t="n">
        <f aca="false">IF(Raw_Data!J823="",DefaultSat,Raw_Data!J823)</f>
        <v>1</v>
      </c>
      <c r="K823" s="15" t="n">
        <f aca="false">Raw_Data!K823</f>
        <v>46000</v>
      </c>
      <c r="L823" s="13" t="str">
        <f aca="false">PROPER(TRIM(Raw_Data!N823))</f>
        <v>No</v>
      </c>
      <c r="M823" s="13" t="n">
        <f aca="false">IF(C823="",0,1)</f>
        <v>0</v>
      </c>
      <c r="N823" s="13" t="str">
        <f aca="false">IF(M823=0,"Active",IF(TRIM(Raw_Data!L823)="","Unknown",PROPER(TRIM(Raw_Data!L823))))</f>
        <v>Active</v>
      </c>
      <c r="O823" s="13" t="str">
        <f aca="false">IF(M823=0,"",IF(TRIM(Raw_Data!M823)="","Not Recorded",TRIM(Raw_Data!M823)))</f>
        <v/>
      </c>
      <c r="P823" s="16" t="n">
        <f aca="false">ROUND((IF(C823="",AsOfDate,C823)-B823)/365.25,2)</f>
        <v>7.05</v>
      </c>
      <c r="Q823" s="13" t="str">
        <f aca="false">IF(D823="","Unknown",IF(D823&lt;25,"Under 25",IF(D823&lt;35,"25-34",IF(D823&lt;45,"35-44",IF(D823&lt;55,"45-54","55+")))))</f>
        <v>35-44</v>
      </c>
      <c r="R823" s="13" t="str">
        <f aca="false">IF(P823&lt;1,"0-1 yrs",IF(P823&lt;3,"1-3 yrs",IF(P823&lt;5,"3-5 yrs",IF(P823&lt;10,"5-10 yrs","10+ yrs"))))</f>
        <v>5-10 yrs</v>
      </c>
      <c r="S823" s="13" t="str">
        <f aca="false">IF(I823&gt;=4,"High",IF(I823=3,"Medium","Low"))</f>
        <v>Low</v>
      </c>
      <c r="T823" s="13" t="str">
        <f aca="false">IF(M823=1,YEAR(C823),"")</f>
        <v/>
      </c>
      <c r="U823" s="13" t="str">
        <f aca="false">IF(M823=1,YEAR(C823)&amp;"-Q"&amp;ROUNDUP(MONTH(C823)/3,0),"")</f>
        <v/>
      </c>
      <c r="V823" s="13" t="str">
        <f aca="false">IF(M823=1,MONTH(C823),"")</f>
        <v/>
      </c>
    </row>
    <row r="824" customFormat="false" ht="15" hidden="false" customHeight="false" outlineLevel="0" collapsed="false">
      <c r="A824" s="13" t="str">
        <f aca="false">TRIM(Raw_Data!A824)</f>
        <v>EMP0823</v>
      </c>
      <c r="B824" s="14" t="n">
        <f aca="false">Raw_Data!B824</f>
        <v>43451</v>
      </c>
      <c r="C824" s="14" t="str">
        <f aca="false">IF(Raw_Data!C824="","",Raw_Data!C824)</f>
        <v/>
      </c>
      <c r="D824" s="13" t="n">
        <f aca="false">IF(Raw_Data!D824="","",Raw_Data!D824)</f>
        <v>29</v>
      </c>
      <c r="E824" s="13" t="str">
        <f aca="false">IF(UPPER(LEFT(TRIM(Raw_Data!E824),1))="M","Male",IF(UPPER(LEFT(TRIM(Raw_Data!E824),1))="F","Female","Unknown"))</f>
        <v>Male</v>
      </c>
      <c r="F824" s="13" t="str">
        <f aca="false">PROPER(TRIM(SUBSTITUTE(Raw_Data!F824,"'","")))</f>
        <v>Masters</v>
      </c>
      <c r="G824" s="13" t="str">
        <f aca="false">PROPER(TRIM(Raw_Data!G824))</f>
        <v>Customer Support</v>
      </c>
      <c r="H824" s="13" t="str">
        <f aca="false">PROPER(TRIM(Raw_Data!H824))</f>
        <v>Analyst</v>
      </c>
      <c r="I824" s="13" t="n">
        <f aca="false">IF(Raw_Data!I824="",DefaultPerf,Raw_Data!I824)</f>
        <v>4</v>
      </c>
      <c r="J824" s="13" t="n">
        <f aca="false">IF(Raw_Data!J824="",DefaultSat,Raw_Data!J824)</f>
        <v>2</v>
      </c>
      <c r="K824" s="15" t="n">
        <f aca="false">Raw_Data!K824</f>
        <v>62500</v>
      </c>
      <c r="L824" s="13" t="str">
        <f aca="false">PROPER(TRIM(Raw_Data!N824))</f>
        <v>No</v>
      </c>
      <c r="M824" s="13" t="n">
        <f aca="false">IF(C824="",0,1)</f>
        <v>0</v>
      </c>
      <c r="N824" s="13" t="str">
        <f aca="false">IF(M824=0,"Active",IF(TRIM(Raw_Data!L824)="","Unknown",PROPER(TRIM(Raw_Data!L824))))</f>
        <v>Active</v>
      </c>
      <c r="O824" s="13" t="str">
        <f aca="false">IF(M824=0,"",IF(TRIM(Raw_Data!M824)="","Not Recorded",TRIM(Raw_Data!M824)))</f>
        <v/>
      </c>
      <c r="P824" s="16" t="n">
        <f aca="false">ROUND((IF(C824="",AsOfDate,C824)-B824)/365.25,2)</f>
        <v>7.04</v>
      </c>
      <c r="Q824" s="13" t="str">
        <f aca="false">IF(D824="","Unknown",IF(D824&lt;25,"Under 25",IF(D824&lt;35,"25-34",IF(D824&lt;45,"35-44",IF(D824&lt;55,"45-54","55+")))))</f>
        <v>25-34</v>
      </c>
      <c r="R824" s="13" t="str">
        <f aca="false">IF(P824&lt;1,"0-1 yrs",IF(P824&lt;3,"1-3 yrs",IF(P824&lt;5,"3-5 yrs",IF(P824&lt;10,"5-10 yrs","10+ yrs"))))</f>
        <v>5-10 yrs</v>
      </c>
      <c r="S824" s="13" t="str">
        <f aca="false">IF(I824&gt;=4,"High",IF(I824=3,"Medium","Low"))</f>
        <v>High</v>
      </c>
      <c r="T824" s="13" t="str">
        <f aca="false">IF(M824=1,YEAR(C824),"")</f>
        <v/>
      </c>
      <c r="U824" s="13" t="str">
        <f aca="false">IF(M824=1,YEAR(C824)&amp;"-Q"&amp;ROUNDUP(MONTH(C824)/3,0),"")</f>
        <v/>
      </c>
      <c r="V824" s="13" t="str">
        <f aca="false">IF(M824=1,MONTH(C824),"")</f>
        <v/>
      </c>
    </row>
    <row r="825" customFormat="false" ht="15" hidden="false" customHeight="false" outlineLevel="0" collapsed="false">
      <c r="A825" s="13" t="str">
        <f aca="false">TRIM(Raw_Data!A825)</f>
        <v>EMP0824</v>
      </c>
      <c r="B825" s="14" t="n">
        <f aca="false">Raw_Data!B825</f>
        <v>43452</v>
      </c>
      <c r="C825" s="14" t="str">
        <f aca="false">IF(Raw_Data!C825="","",Raw_Data!C825)</f>
        <v/>
      </c>
      <c r="D825" s="13" t="n">
        <f aca="false">IF(Raw_Data!D825="","",Raw_Data!D825)</f>
        <v>35</v>
      </c>
      <c r="E825" s="13" t="str">
        <f aca="false">IF(UPPER(LEFT(TRIM(Raw_Data!E825),1))="M","Male",IF(UPPER(LEFT(TRIM(Raw_Data!E825),1))="F","Female","Unknown"))</f>
        <v>Female</v>
      </c>
      <c r="F825" s="13" t="str">
        <f aca="false">PROPER(TRIM(SUBSTITUTE(Raw_Data!F825,"'","")))</f>
        <v>Masters</v>
      </c>
      <c r="G825" s="13" t="str">
        <f aca="false">PROPER(TRIM(Raw_Data!G825))</f>
        <v>Finance</v>
      </c>
      <c r="H825" s="13" t="str">
        <f aca="false">PROPER(TRIM(Raw_Data!H825))</f>
        <v>Associate</v>
      </c>
      <c r="I825" s="13" t="n">
        <f aca="false">IF(Raw_Data!I825="",DefaultPerf,Raw_Data!I825)</f>
        <v>3</v>
      </c>
      <c r="J825" s="13" t="n">
        <f aca="false">IF(Raw_Data!J825="",DefaultSat,Raw_Data!J825)</f>
        <v>3</v>
      </c>
      <c r="K825" s="15" t="n">
        <f aca="false">Raw_Data!K825</f>
        <v>35500</v>
      </c>
      <c r="L825" s="13" t="str">
        <f aca="false">PROPER(TRIM(Raw_Data!N825))</f>
        <v>Yes</v>
      </c>
      <c r="M825" s="13" t="n">
        <f aca="false">IF(C825="",0,1)</f>
        <v>0</v>
      </c>
      <c r="N825" s="13" t="str">
        <f aca="false">IF(M825=0,"Active",IF(TRIM(Raw_Data!L825)="","Unknown",PROPER(TRIM(Raw_Data!L825))))</f>
        <v>Active</v>
      </c>
      <c r="O825" s="13" t="str">
        <f aca="false">IF(M825=0,"",IF(TRIM(Raw_Data!M825)="","Not Recorded",TRIM(Raw_Data!M825)))</f>
        <v/>
      </c>
      <c r="P825" s="16" t="n">
        <f aca="false">ROUND((IF(C825="",AsOfDate,C825)-B825)/365.25,2)</f>
        <v>7.04</v>
      </c>
      <c r="Q825" s="13" t="str">
        <f aca="false">IF(D825="","Unknown",IF(D825&lt;25,"Under 25",IF(D825&lt;35,"25-34",IF(D825&lt;45,"35-44",IF(D825&lt;55,"45-54","55+")))))</f>
        <v>35-44</v>
      </c>
      <c r="R825" s="13" t="str">
        <f aca="false">IF(P825&lt;1,"0-1 yrs",IF(P825&lt;3,"1-3 yrs",IF(P825&lt;5,"3-5 yrs",IF(P825&lt;10,"5-10 yrs","10+ yrs"))))</f>
        <v>5-10 yrs</v>
      </c>
      <c r="S825" s="13" t="str">
        <f aca="false">IF(I825&gt;=4,"High",IF(I825=3,"Medium","Low"))</f>
        <v>Medium</v>
      </c>
      <c r="T825" s="13" t="str">
        <f aca="false">IF(M825=1,YEAR(C825),"")</f>
        <v/>
      </c>
      <c r="U825" s="13" t="str">
        <f aca="false">IF(M825=1,YEAR(C825)&amp;"-Q"&amp;ROUNDUP(MONTH(C825)/3,0),"")</f>
        <v/>
      </c>
      <c r="V825" s="13" t="str">
        <f aca="false">IF(M825=1,MONTH(C825),"")</f>
        <v/>
      </c>
    </row>
    <row r="826" customFormat="false" ht="15" hidden="false" customHeight="false" outlineLevel="0" collapsed="false">
      <c r="A826" s="13" t="str">
        <f aca="false">TRIM(Raw_Data!A826)</f>
        <v>EMP0825</v>
      </c>
      <c r="B826" s="14" t="n">
        <f aca="false">Raw_Data!B826</f>
        <v>43457</v>
      </c>
      <c r="C826" s="14" t="str">
        <f aca="false">IF(Raw_Data!C826="","",Raw_Data!C826)</f>
        <v/>
      </c>
      <c r="D826" s="13" t="n">
        <f aca="false">IF(Raw_Data!D826="","",Raw_Data!D826)</f>
        <v>35</v>
      </c>
      <c r="E826" s="13" t="str">
        <f aca="false">IF(UPPER(LEFT(TRIM(Raw_Data!E826),1))="M","Male",IF(UPPER(LEFT(TRIM(Raw_Data!E826),1))="F","Female","Unknown"))</f>
        <v>Male</v>
      </c>
      <c r="F826" s="13" t="str">
        <f aca="false">PROPER(TRIM(SUBSTITUTE(Raw_Data!F826,"'","")))</f>
        <v>Masters</v>
      </c>
      <c r="G826" s="13" t="str">
        <f aca="false">PROPER(TRIM(Raw_Data!G826))</f>
        <v>Finance</v>
      </c>
      <c r="H826" s="13" t="str">
        <f aca="false">PROPER(TRIM(Raw_Data!H826))</f>
        <v>Manager</v>
      </c>
      <c r="I826" s="13" t="n">
        <f aca="false">IF(Raw_Data!I826="",DefaultPerf,Raw_Data!I826)</f>
        <v>3</v>
      </c>
      <c r="J826" s="13" t="n">
        <f aca="false">IF(Raw_Data!J826="",DefaultSat,Raw_Data!J826)</f>
        <v>4</v>
      </c>
      <c r="K826" s="15" t="n">
        <f aca="false">Raw_Data!K826</f>
        <v>194000</v>
      </c>
      <c r="L826" s="13" t="str">
        <f aca="false">PROPER(TRIM(Raw_Data!N826))</f>
        <v>No</v>
      </c>
      <c r="M826" s="13" t="n">
        <f aca="false">IF(C826="",0,1)</f>
        <v>0</v>
      </c>
      <c r="N826" s="13" t="str">
        <f aca="false">IF(M826=0,"Active",IF(TRIM(Raw_Data!L826)="","Unknown",PROPER(TRIM(Raw_Data!L826))))</f>
        <v>Active</v>
      </c>
      <c r="O826" s="13" t="str">
        <f aca="false">IF(M826=0,"",IF(TRIM(Raw_Data!M826)="","Not Recorded",TRIM(Raw_Data!M826)))</f>
        <v/>
      </c>
      <c r="P826" s="16" t="n">
        <f aca="false">ROUND((IF(C826="",AsOfDate,C826)-B826)/365.25,2)</f>
        <v>7.02</v>
      </c>
      <c r="Q826" s="13" t="str">
        <f aca="false">IF(D826="","Unknown",IF(D826&lt;25,"Under 25",IF(D826&lt;35,"25-34",IF(D826&lt;45,"35-44",IF(D826&lt;55,"45-54","55+")))))</f>
        <v>35-44</v>
      </c>
      <c r="R826" s="13" t="str">
        <f aca="false">IF(P826&lt;1,"0-1 yrs",IF(P826&lt;3,"1-3 yrs",IF(P826&lt;5,"3-5 yrs",IF(P826&lt;10,"5-10 yrs","10+ yrs"))))</f>
        <v>5-10 yrs</v>
      </c>
      <c r="S826" s="13" t="str">
        <f aca="false">IF(I826&gt;=4,"High",IF(I826=3,"Medium","Low"))</f>
        <v>Medium</v>
      </c>
      <c r="T826" s="13" t="str">
        <f aca="false">IF(M826=1,YEAR(C826),"")</f>
        <v/>
      </c>
      <c r="U826" s="13" t="str">
        <f aca="false">IF(M826=1,YEAR(C826)&amp;"-Q"&amp;ROUNDUP(MONTH(C826)/3,0),"")</f>
        <v/>
      </c>
      <c r="V826" s="13" t="str">
        <f aca="false">IF(M826=1,MONTH(C826),"")</f>
        <v/>
      </c>
    </row>
    <row r="827" customFormat="false" ht="15" hidden="false" customHeight="false" outlineLevel="0" collapsed="false">
      <c r="A827" s="13" t="str">
        <f aca="false">TRIM(Raw_Data!A827)</f>
        <v>EMP0826</v>
      </c>
      <c r="B827" s="14" t="n">
        <f aca="false">Raw_Data!B827</f>
        <v>43458</v>
      </c>
      <c r="C827" s="14" t="str">
        <f aca="false">IF(Raw_Data!C827="","",Raw_Data!C827)</f>
        <v/>
      </c>
      <c r="D827" s="13" t="n">
        <f aca="false">IF(Raw_Data!D827="","",Raw_Data!D827)</f>
        <v>37</v>
      </c>
      <c r="E827" s="13" t="str">
        <f aca="false">IF(UPPER(LEFT(TRIM(Raw_Data!E827),1))="M","Male",IF(UPPER(LEFT(TRIM(Raw_Data!E827),1))="F","Female","Unknown"))</f>
        <v>Male</v>
      </c>
      <c r="F827" s="13" t="str">
        <f aca="false">PROPER(TRIM(SUBSTITUTE(Raw_Data!F827,"'","")))</f>
        <v>Bachelors</v>
      </c>
      <c r="G827" s="13" t="str">
        <f aca="false">PROPER(TRIM(Raw_Data!G827))</f>
        <v>Engineering</v>
      </c>
      <c r="H827" s="13" t="str">
        <f aca="false">PROPER(TRIM(Raw_Data!H827))</f>
        <v>Team Lead</v>
      </c>
      <c r="I827" s="13" t="n">
        <f aca="false">IF(Raw_Data!I827="",DefaultPerf,Raw_Data!I827)</f>
        <v>3</v>
      </c>
      <c r="J827" s="13" t="n">
        <f aca="false">IF(Raw_Data!J827="",DefaultSat,Raw_Data!J827)</f>
        <v>3</v>
      </c>
      <c r="K827" s="15" t="n">
        <f aca="false">Raw_Data!K827</f>
        <v>136000</v>
      </c>
      <c r="L827" s="13" t="str">
        <f aca="false">PROPER(TRIM(Raw_Data!N827))</f>
        <v>No</v>
      </c>
      <c r="M827" s="13" t="n">
        <f aca="false">IF(C827="",0,1)</f>
        <v>0</v>
      </c>
      <c r="N827" s="13" t="str">
        <f aca="false">IF(M827=0,"Active",IF(TRIM(Raw_Data!L827)="","Unknown",PROPER(TRIM(Raw_Data!L827))))</f>
        <v>Active</v>
      </c>
      <c r="O827" s="13" t="str">
        <f aca="false">IF(M827=0,"",IF(TRIM(Raw_Data!M827)="","Not Recorded",TRIM(Raw_Data!M827)))</f>
        <v/>
      </c>
      <c r="P827" s="16" t="n">
        <f aca="false">ROUND((IF(C827="",AsOfDate,C827)-B827)/365.25,2)</f>
        <v>7.02</v>
      </c>
      <c r="Q827" s="13" t="str">
        <f aca="false">IF(D827="","Unknown",IF(D827&lt;25,"Under 25",IF(D827&lt;35,"25-34",IF(D827&lt;45,"35-44",IF(D827&lt;55,"45-54","55+")))))</f>
        <v>35-44</v>
      </c>
      <c r="R827" s="13" t="str">
        <f aca="false">IF(P827&lt;1,"0-1 yrs",IF(P827&lt;3,"1-3 yrs",IF(P827&lt;5,"3-5 yrs",IF(P827&lt;10,"5-10 yrs","10+ yrs"))))</f>
        <v>5-10 yrs</v>
      </c>
      <c r="S827" s="13" t="str">
        <f aca="false">IF(I827&gt;=4,"High",IF(I827=3,"Medium","Low"))</f>
        <v>Medium</v>
      </c>
      <c r="T827" s="13" t="str">
        <f aca="false">IF(M827=1,YEAR(C827),"")</f>
        <v/>
      </c>
      <c r="U827" s="13" t="str">
        <f aca="false">IF(M827=1,YEAR(C827)&amp;"-Q"&amp;ROUNDUP(MONTH(C827)/3,0),"")</f>
        <v/>
      </c>
      <c r="V827" s="13" t="str">
        <f aca="false">IF(M827=1,MONTH(C827),"")</f>
        <v/>
      </c>
    </row>
    <row r="828" customFormat="false" ht="15" hidden="false" customHeight="false" outlineLevel="0" collapsed="false">
      <c r="A828" s="13" t="str">
        <f aca="false">TRIM(Raw_Data!A828)</f>
        <v>EMP0827</v>
      </c>
      <c r="B828" s="14" t="n">
        <f aca="false">Raw_Data!B828</f>
        <v>43459</v>
      </c>
      <c r="C828" s="14" t="str">
        <f aca="false">IF(Raw_Data!C828="","",Raw_Data!C828)</f>
        <v/>
      </c>
      <c r="D828" s="13" t="n">
        <f aca="false">IF(Raw_Data!D828="","",Raw_Data!D828)</f>
        <v>37</v>
      </c>
      <c r="E828" s="13" t="str">
        <f aca="false">IF(UPPER(LEFT(TRIM(Raw_Data!E828),1))="M","Male",IF(UPPER(LEFT(TRIM(Raw_Data!E828),1))="F","Female","Unknown"))</f>
        <v>Male</v>
      </c>
      <c r="F828" s="13" t="str">
        <f aca="false">PROPER(TRIM(SUBSTITUTE(Raw_Data!F828,"'","")))</f>
        <v>Masters</v>
      </c>
      <c r="G828" s="13" t="str">
        <f aca="false">PROPER(TRIM(Raw_Data!G828))</f>
        <v>Operations</v>
      </c>
      <c r="H828" s="13" t="str">
        <f aca="false">PROPER(TRIM(Raw_Data!H828))</f>
        <v>Senior Analyst</v>
      </c>
      <c r="I828" s="13" t="n">
        <f aca="false">IF(Raw_Data!I828="",DefaultPerf,Raw_Data!I828)</f>
        <v>3</v>
      </c>
      <c r="J828" s="17" t="n">
        <f aca="false">IF(Raw_Data!J828="",DefaultSat,Raw_Data!J828)</f>
        <v>3</v>
      </c>
      <c r="K828" s="15" t="n">
        <f aca="false">Raw_Data!K828</f>
        <v>106500</v>
      </c>
      <c r="L828" s="13" t="str">
        <f aca="false">PROPER(TRIM(Raw_Data!N828))</f>
        <v>Yes</v>
      </c>
      <c r="M828" s="13" t="n">
        <f aca="false">IF(C828="",0,1)</f>
        <v>0</v>
      </c>
      <c r="N828" s="13" t="str">
        <f aca="false">IF(M828=0,"Active",IF(TRIM(Raw_Data!L828)="","Unknown",PROPER(TRIM(Raw_Data!L828))))</f>
        <v>Active</v>
      </c>
      <c r="O828" s="13" t="str">
        <f aca="false">IF(M828=0,"",IF(TRIM(Raw_Data!M828)="","Not Recorded",TRIM(Raw_Data!M828)))</f>
        <v/>
      </c>
      <c r="P828" s="16" t="n">
        <f aca="false">ROUND((IF(C828="",AsOfDate,C828)-B828)/365.25,2)</f>
        <v>7.02</v>
      </c>
      <c r="Q828" s="13" t="str">
        <f aca="false">IF(D828="","Unknown",IF(D828&lt;25,"Under 25",IF(D828&lt;35,"25-34",IF(D828&lt;45,"35-44",IF(D828&lt;55,"45-54","55+")))))</f>
        <v>35-44</v>
      </c>
      <c r="R828" s="13" t="str">
        <f aca="false">IF(P828&lt;1,"0-1 yrs",IF(P828&lt;3,"1-3 yrs",IF(P828&lt;5,"3-5 yrs",IF(P828&lt;10,"5-10 yrs","10+ yrs"))))</f>
        <v>5-10 yrs</v>
      </c>
      <c r="S828" s="13" t="str">
        <f aca="false">IF(I828&gt;=4,"High",IF(I828=3,"Medium","Low"))</f>
        <v>Medium</v>
      </c>
      <c r="T828" s="13" t="str">
        <f aca="false">IF(M828=1,YEAR(C828),"")</f>
        <v/>
      </c>
      <c r="U828" s="13" t="str">
        <f aca="false">IF(M828=1,YEAR(C828)&amp;"-Q"&amp;ROUNDUP(MONTH(C828)/3,0),"")</f>
        <v/>
      </c>
      <c r="V828" s="13" t="str">
        <f aca="false">IF(M828=1,MONTH(C828),"")</f>
        <v/>
      </c>
    </row>
    <row r="829" customFormat="false" ht="15" hidden="false" customHeight="false" outlineLevel="0" collapsed="false">
      <c r="A829" s="13" t="str">
        <f aca="false">TRIM(Raw_Data!A829)</f>
        <v>EMP0828</v>
      </c>
      <c r="B829" s="14" t="n">
        <f aca="false">Raw_Data!B829</f>
        <v>43461</v>
      </c>
      <c r="C829" s="14" t="n">
        <f aca="false">IF(Raw_Data!C829="","",Raw_Data!C829)</f>
        <v>44758</v>
      </c>
      <c r="D829" s="13" t="n">
        <f aca="false">IF(Raw_Data!D829="","",Raw_Data!D829)</f>
        <v>32</v>
      </c>
      <c r="E829" s="13" t="str">
        <f aca="false">IF(UPPER(LEFT(TRIM(Raw_Data!E829),1))="M","Male",IF(UPPER(LEFT(TRIM(Raw_Data!E829),1))="F","Female","Unknown"))</f>
        <v>Female</v>
      </c>
      <c r="F829" s="13" t="str">
        <f aca="false">PROPER(TRIM(SUBSTITUTE(Raw_Data!F829,"'","")))</f>
        <v>Masters</v>
      </c>
      <c r="G829" s="13" t="str">
        <f aca="false">PROPER(TRIM(Raw_Data!G829))</f>
        <v>Customer Support</v>
      </c>
      <c r="H829" s="13" t="str">
        <f aca="false">PROPER(TRIM(Raw_Data!H829))</f>
        <v>Senior Analyst</v>
      </c>
      <c r="I829" s="13" t="n">
        <f aca="false">IF(Raw_Data!I829="",DefaultPerf,Raw_Data!I829)</f>
        <v>4</v>
      </c>
      <c r="J829" s="13" t="n">
        <f aca="false">IF(Raw_Data!J829="",DefaultSat,Raw_Data!J829)</f>
        <v>1</v>
      </c>
      <c r="K829" s="15" t="n">
        <f aca="false">Raw_Data!K829</f>
        <v>93500</v>
      </c>
      <c r="L829" s="13" t="str">
        <f aca="false">PROPER(TRIM(Raw_Data!N829))</f>
        <v>Yes</v>
      </c>
      <c r="M829" s="13" t="n">
        <f aca="false">IF(C829="",0,1)</f>
        <v>1</v>
      </c>
      <c r="N829" s="13" t="str">
        <f aca="false">IF(M829=0,"Active",IF(TRIM(Raw_Data!L829)="","Unknown",PROPER(TRIM(Raw_Data!L829))))</f>
        <v>Voluntary</v>
      </c>
      <c r="O829" s="13" t="str">
        <f aca="false">IF(M829=0,"",IF(TRIM(Raw_Data!M829)="","Not Recorded",TRIM(Raw_Data!M829)))</f>
        <v>Career Growth</v>
      </c>
      <c r="P829" s="16" t="n">
        <f aca="false">ROUND((IF(C829="",AsOfDate,C829)-B829)/365.25,2)</f>
        <v>3.55</v>
      </c>
      <c r="Q829" s="13" t="str">
        <f aca="false">IF(D829="","Unknown",IF(D829&lt;25,"Under 25",IF(D829&lt;35,"25-34",IF(D829&lt;45,"35-44",IF(D829&lt;55,"45-54","55+")))))</f>
        <v>25-34</v>
      </c>
      <c r="R829" s="13" t="str">
        <f aca="false">IF(P829&lt;1,"0-1 yrs",IF(P829&lt;3,"1-3 yrs",IF(P829&lt;5,"3-5 yrs",IF(P829&lt;10,"5-10 yrs","10+ yrs"))))</f>
        <v>3-5 yrs</v>
      </c>
      <c r="S829" s="13" t="str">
        <f aca="false">IF(I829&gt;=4,"High",IF(I829=3,"Medium","Low"))</f>
        <v>High</v>
      </c>
      <c r="T829" s="13" t="n">
        <f aca="false">IF(M829=1,YEAR(C829),"")</f>
        <v>2022</v>
      </c>
      <c r="U829" s="13" t="str">
        <f aca="false">IF(M829=1,YEAR(C829)&amp;"-Q"&amp;ROUNDUP(MONTH(C829)/3,0),"")</f>
        <v>2022-Q3</v>
      </c>
      <c r="V829" s="13" t="n">
        <f aca="false">IF(M829=1,MONTH(C829),"")</f>
        <v>7</v>
      </c>
    </row>
    <row r="830" customFormat="false" ht="15" hidden="false" customHeight="false" outlineLevel="0" collapsed="false">
      <c r="A830" s="13" t="str">
        <f aca="false">TRIM(Raw_Data!A830)</f>
        <v>EMP0829</v>
      </c>
      <c r="B830" s="14" t="n">
        <f aca="false">Raw_Data!B830</f>
        <v>43467</v>
      </c>
      <c r="C830" s="14" t="str">
        <f aca="false">IF(Raw_Data!C830="","",Raw_Data!C830)</f>
        <v/>
      </c>
      <c r="D830" s="13" t="n">
        <f aca="false">IF(Raw_Data!D830="","",Raw_Data!D830)</f>
        <v>29</v>
      </c>
      <c r="E830" s="13" t="str">
        <f aca="false">IF(UPPER(LEFT(TRIM(Raw_Data!E830),1))="M","Male",IF(UPPER(LEFT(TRIM(Raw_Data!E830),1))="F","Female","Unknown"))</f>
        <v>Male</v>
      </c>
      <c r="F830" s="13" t="str">
        <f aca="false">PROPER(TRIM(SUBSTITUTE(Raw_Data!F830,"'","")))</f>
        <v>Bachelors</v>
      </c>
      <c r="G830" s="13" t="str">
        <f aca="false">PROPER(TRIM(Raw_Data!G830))</f>
        <v>Sales</v>
      </c>
      <c r="H830" s="13" t="str">
        <f aca="false">PROPER(TRIM(Raw_Data!H830))</f>
        <v>Manager</v>
      </c>
      <c r="I830" s="13" t="n">
        <f aca="false">IF(Raw_Data!I830="",DefaultPerf,Raw_Data!I830)</f>
        <v>3</v>
      </c>
      <c r="J830" s="17" t="n">
        <f aca="false">IF(Raw_Data!J830="",DefaultSat,Raw_Data!J830)</f>
        <v>3</v>
      </c>
      <c r="K830" s="15" t="n">
        <f aca="false">Raw_Data!K830</f>
        <v>159500</v>
      </c>
      <c r="L830" s="13" t="str">
        <f aca="false">PROPER(TRIM(Raw_Data!N830))</f>
        <v>No</v>
      </c>
      <c r="M830" s="13" t="n">
        <f aca="false">IF(C830="",0,1)</f>
        <v>0</v>
      </c>
      <c r="N830" s="13" t="str">
        <f aca="false">IF(M830=0,"Active",IF(TRIM(Raw_Data!L830)="","Unknown",PROPER(TRIM(Raw_Data!L830))))</f>
        <v>Active</v>
      </c>
      <c r="O830" s="13" t="str">
        <f aca="false">IF(M830=0,"",IF(TRIM(Raw_Data!M830)="","Not Recorded",TRIM(Raw_Data!M830)))</f>
        <v/>
      </c>
      <c r="P830" s="16" t="n">
        <f aca="false">ROUND((IF(C830="",AsOfDate,C830)-B830)/365.25,2)</f>
        <v>7</v>
      </c>
      <c r="Q830" s="13" t="str">
        <f aca="false">IF(D830="","Unknown",IF(D830&lt;25,"Under 25",IF(D830&lt;35,"25-34",IF(D830&lt;45,"35-44",IF(D830&lt;55,"45-54","55+")))))</f>
        <v>25-34</v>
      </c>
      <c r="R830" s="13" t="str">
        <f aca="false">IF(P830&lt;1,"0-1 yrs",IF(P830&lt;3,"1-3 yrs",IF(P830&lt;5,"3-5 yrs",IF(P830&lt;10,"5-10 yrs","10+ yrs"))))</f>
        <v>5-10 yrs</v>
      </c>
      <c r="S830" s="13" t="str">
        <f aca="false">IF(I830&gt;=4,"High",IF(I830=3,"Medium","Low"))</f>
        <v>Medium</v>
      </c>
      <c r="T830" s="13" t="str">
        <f aca="false">IF(M830=1,YEAR(C830),"")</f>
        <v/>
      </c>
      <c r="U830" s="13" t="str">
        <f aca="false">IF(M830=1,YEAR(C830)&amp;"-Q"&amp;ROUNDUP(MONTH(C830)/3,0),"")</f>
        <v/>
      </c>
      <c r="V830" s="13" t="str">
        <f aca="false">IF(M830=1,MONTH(C830),"")</f>
        <v/>
      </c>
    </row>
    <row r="831" customFormat="false" ht="15" hidden="false" customHeight="false" outlineLevel="0" collapsed="false">
      <c r="A831" s="13" t="str">
        <f aca="false">TRIM(Raw_Data!A831)</f>
        <v>EMP0830</v>
      </c>
      <c r="B831" s="14" t="n">
        <f aca="false">Raw_Data!B831</f>
        <v>43469</v>
      </c>
      <c r="C831" s="14" t="str">
        <f aca="false">IF(Raw_Data!C831="","",Raw_Data!C831)</f>
        <v/>
      </c>
      <c r="D831" s="13" t="n">
        <f aca="false">IF(Raw_Data!D831="","",Raw_Data!D831)</f>
        <v>38</v>
      </c>
      <c r="E831" s="13" t="str">
        <f aca="false">IF(UPPER(LEFT(TRIM(Raw_Data!E831),1))="M","Male",IF(UPPER(LEFT(TRIM(Raw_Data!E831),1))="F","Female","Unknown"))</f>
        <v>Male</v>
      </c>
      <c r="F831" s="13" t="str">
        <f aca="false">PROPER(TRIM(SUBSTITUTE(Raw_Data!F831,"'","")))</f>
        <v>Diploma</v>
      </c>
      <c r="G831" s="13" t="str">
        <f aca="false">PROPER(TRIM(Raw_Data!G831))</f>
        <v>Operations</v>
      </c>
      <c r="H831" s="13" t="str">
        <f aca="false">PROPER(TRIM(Raw_Data!H831))</f>
        <v>Analyst</v>
      </c>
      <c r="I831" s="13" t="n">
        <f aca="false">IF(Raw_Data!I831="",DefaultPerf,Raw_Data!I831)</f>
        <v>3</v>
      </c>
      <c r="J831" s="13" t="n">
        <f aca="false">IF(Raw_Data!J831="",DefaultSat,Raw_Data!J831)</f>
        <v>4</v>
      </c>
      <c r="K831" s="15" t="n">
        <f aca="false">Raw_Data!K831</f>
        <v>58500</v>
      </c>
      <c r="L831" s="13" t="str">
        <f aca="false">PROPER(TRIM(Raw_Data!N831))</f>
        <v>Yes</v>
      </c>
      <c r="M831" s="13" t="n">
        <f aca="false">IF(C831="",0,1)</f>
        <v>0</v>
      </c>
      <c r="N831" s="13" t="str">
        <f aca="false">IF(M831=0,"Active",IF(TRIM(Raw_Data!L831)="","Unknown",PROPER(TRIM(Raw_Data!L831))))</f>
        <v>Active</v>
      </c>
      <c r="O831" s="13" t="str">
        <f aca="false">IF(M831=0,"",IF(TRIM(Raw_Data!M831)="","Not Recorded",TRIM(Raw_Data!M831)))</f>
        <v/>
      </c>
      <c r="P831" s="16" t="n">
        <f aca="false">ROUND((IF(C831="",AsOfDate,C831)-B831)/365.25,2)</f>
        <v>6.99</v>
      </c>
      <c r="Q831" s="13" t="str">
        <f aca="false">IF(D831="","Unknown",IF(D831&lt;25,"Under 25",IF(D831&lt;35,"25-34",IF(D831&lt;45,"35-44",IF(D831&lt;55,"45-54","55+")))))</f>
        <v>35-44</v>
      </c>
      <c r="R831" s="13" t="str">
        <f aca="false">IF(P831&lt;1,"0-1 yrs",IF(P831&lt;3,"1-3 yrs",IF(P831&lt;5,"3-5 yrs",IF(P831&lt;10,"5-10 yrs","10+ yrs"))))</f>
        <v>5-10 yrs</v>
      </c>
      <c r="S831" s="13" t="str">
        <f aca="false">IF(I831&gt;=4,"High",IF(I831=3,"Medium","Low"))</f>
        <v>Medium</v>
      </c>
      <c r="T831" s="13" t="str">
        <f aca="false">IF(M831=1,YEAR(C831),"")</f>
        <v/>
      </c>
      <c r="U831" s="13" t="str">
        <f aca="false">IF(M831=1,YEAR(C831)&amp;"-Q"&amp;ROUNDUP(MONTH(C831)/3,0),"")</f>
        <v/>
      </c>
      <c r="V831" s="13" t="str">
        <f aca="false">IF(M831=1,MONTH(C831),"")</f>
        <v/>
      </c>
    </row>
    <row r="832" customFormat="false" ht="15" hidden="false" customHeight="false" outlineLevel="0" collapsed="false">
      <c r="A832" s="13" t="str">
        <f aca="false">TRIM(Raw_Data!A832)</f>
        <v>EMP0831</v>
      </c>
      <c r="B832" s="14" t="n">
        <f aca="false">Raw_Data!B832</f>
        <v>43470</v>
      </c>
      <c r="C832" s="14" t="str">
        <f aca="false">IF(Raw_Data!C832="","",Raw_Data!C832)</f>
        <v/>
      </c>
      <c r="D832" s="13" t="n">
        <f aca="false">IF(Raw_Data!D832="","",Raw_Data!D832)</f>
        <v>39</v>
      </c>
      <c r="E832" s="13" t="str">
        <f aca="false">IF(UPPER(LEFT(TRIM(Raw_Data!E832),1))="M","Male",IF(UPPER(LEFT(TRIM(Raw_Data!E832),1))="F","Female","Unknown"))</f>
        <v>Female</v>
      </c>
      <c r="F832" s="13" t="str">
        <f aca="false">PROPER(TRIM(SUBSTITUTE(Raw_Data!F832,"'","")))</f>
        <v>Bachelors</v>
      </c>
      <c r="G832" s="13" t="str">
        <f aca="false">PROPER(TRIM(Raw_Data!G832))</f>
        <v>Customer Support</v>
      </c>
      <c r="H832" s="13" t="str">
        <f aca="false">PROPER(TRIM(Raw_Data!H832))</f>
        <v>Specialist</v>
      </c>
      <c r="I832" s="13" t="n">
        <f aca="false">IF(Raw_Data!I832="",DefaultPerf,Raw_Data!I832)</f>
        <v>3</v>
      </c>
      <c r="J832" s="13" t="n">
        <f aca="false">IF(Raw_Data!J832="",DefaultSat,Raw_Data!J832)</f>
        <v>3</v>
      </c>
      <c r="K832" s="15" t="n">
        <f aca="false">Raw_Data!K832</f>
        <v>109500</v>
      </c>
      <c r="L832" s="13" t="str">
        <f aca="false">PROPER(TRIM(Raw_Data!N832))</f>
        <v>Yes</v>
      </c>
      <c r="M832" s="13" t="n">
        <f aca="false">IF(C832="",0,1)</f>
        <v>0</v>
      </c>
      <c r="N832" s="13" t="str">
        <f aca="false">IF(M832=0,"Active",IF(TRIM(Raw_Data!L832)="","Unknown",PROPER(TRIM(Raw_Data!L832))))</f>
        <v>Active</v>
      </c>
      <c r="O832" s="13" t="str">
        <f aca="false">IF(M832=0,"",IF(TRIM(Raw_Data!M832)="","Not Recorded",TRIM(Raw_Data!M832)))</f>
        <v/>
      </c>
      <c r="P832" s="16" t="n">
        <f aca="false">ROUND((IF(C832="",AsOfDate,C832)-B832)/365.25,2)</f>
        <v>6.99</v>
      </c>
      <c r="Q832" s="13" t="str">
        <f aca="false">IF(D832="","Unknown",IF(D832&lt;25,"Under 25",IF(D832&lt;35,"25-34",IF(D832&lt;45,"35-44",IF(D832&lt;55,"45-54","55+")))))</f>
        <v>35-44</v>
      </c>
      <c r="R832" s="13" t="str">
        <f aca="false">IF(P832&lt;1,"0-1 yrs",IF(P832&lt;3,"1-3 yrs",IF(P832&lt;5,"3-5 yrs",IF(P832&lt;10,"5-10 yrs","10+ yrs"))))</f>
        <v>5-10 yrs</v>
      </c>
      <c r="S832" s="13" t="str">
        <f aca="false">IF(I832&gt;=4,"High",IF(I832=3,"Medium","Low"))</f>
        <v>Medium</v>
      </c>
      <c r="T832" s="13" t="str">
        <f aca="false">IF(M832=1,YEAR(C832),"")</f>
        <v/>
      </c>
      <c r="U832" s="13" t="str">
        <f aca="false">IF(M832=1,YEAR(C832)&amp;"-Q"&amp;ROUNDUP(MONTH(C832)/3,0),"")</f>
        <v/>
      </c>
      <c r="V832" s="13" t="str">
        <f aca="false">IF(M832=1,MONTH(C832),"")</f>
        <v/>
      </c>
    </row>
    <row r="833" customFormat="false" ht="15" hidden="false" customHeight="false" outlineLevel="0" collapsed="false">
      <c r="A833" s="13" t="str">
        <f aca="false">TRIM(Raw_Data!A833)</f>
        <v>EMP0832</v>
      </c>
      <c r="B833" s="14" t="n">
        <f aca="false">Raw_Data!B833</f>
        <v>43472</v>
      </c>
      <c r="C833" s="14" t="str">
        <f aca="false">IF(Raw_Data!C833="","",Raw_Data!C833)</f>
        <v/>
      </c>
      <c r="D833" s="13" t="n">
        <f aca="false">IF(Raw_Data!D833="","",Raw_Data!D833)</f>
        <v>34</v>
      </c>
      <c r="E833" s="13" t="str">
        <f aca="false">IF(UPPER(LEFT(TRIM(Raw_Data!E833),1))="M","Male",IF(UPPER(LEFT(TRIM(Raw_Data!E833),1))="F","Female","Unknown"))</f>
        <v>Male</v>
      </c>
      <c r="F833" s="13" t="str">
        <f aca="false">PROPER(TRIM(SUBSTITUTE(Raw_Data!F833,"'","")))</f>
        <v>Bachelors</v>
      </c>
      <c r="G833" s="13" t="str">
        <f aca="false">PROPER(TRIM(Raw_Data!G833))</f>
        <v>Finance</v>
      </c>
      <c r="H833" s="13" t="str">
        <f aca="false">PROPER(TRIM(Raw_Data!H833))</f>
        <v>Associate</v>
      </c>
      <c r="I833" s="13" t="n">
        <f aca="false">IF(Raw_Data!I833="",DefaultPerf,Raw_Data!I833)</f>
        <v>3</v>
      </c>
      <c r="J833" s="13" t="n">
        <f aca="false">IF(Raw_Data!J833="",DefaultSat,Raw_Data!J833)</f>
        <v>3</v>
      </c>
      <c r="K833" s="15" t="n">
        <f aca="false">Raw_Data!K833</f>
        <v>38000</v>
      </c>
      <c r="L833" s="13" t="str">
        <f aca="false">PROPER(TRIM(Raw_Data!N833))</f>
        <v>No</v>
      </c>
      <c r="M833" s="13" t="n">
        <f aca="false">IF(C833="",0,1)</f>
        <v>0</v>
      </c>
      <c r="N833" s="13" t="str">
        <f aca="false">IF(M833=0,"Active",IF(TRIM(Raw_Data!L833)="","Unknown",PROPER(TRIM(Raw_Data!L833))))</f>
        <v>Active</v>
      </c>
      <c r="O833" s="13" t="str">
        <f aca="false">IF(M833=0,"",IF(TRIM(Raw_Data!M833)="","Not Recorded",TRIM(Raw_Data!M833)))</f>
        <v/>
      </c>
      <c r="P833" s="16" t="n">
        <f aca="false">ROUND((IF(C833="",AsOfDate,C833)-B833)/365.25,2)</f>
        <v>6.98</v>
      </c>
      <c r="Q833" s="13" t="str">
        <f aca="false">IF(D833="","Unknown",IF(D833&lt;25,"Under 25",IF(D833&lt;35,"25-34",IF(D833&lt;45,"35-44",IF(D833&lt;55,"45-54","55+")))))</f>
        <v>25-34</v>
      </c>
      <c r="R833" s="13" t="str">
        <f aca="false">IF(P833&lt;1,"0-1 yrs",IF(P833&lt;3,"1-3 yrs",IF(P833&lt;5,"3-5 yrs",IF(P833&lt;10,"5-10 yrs","10+ yrs"))))</f>
        <v>5-10 yrs</v>
      </c>
      <c r="S833" s="13" t="str">
        <f aca="false">IF(I833&gt;=4,"High",IF(I833=3,"Medium","Low"))</f>
        <v>Medium</v>
      </c>
      <c r="T833" s="13" t="str">
        <f aca="false">IF(M833=1,YEAR(C833),"")</f>
        <v/>
      </c>
      <c r="U833" s="13" t="str">
        <f aca="false">IF(M833=1,YEAR(C833)&amp;"-Q"&amp;ROUNDUP(MONTH(C833)/3,0),"")</f>
        <v/>
      </c>
      <c r="V833" s="13" t="str">
        <f aca="false">IF(M833=1,MONTH(C833),"")</f>
        <v/>
      </c>
    </row>
    <row r="834" customFormat="false" ht="15" hidden="false" customHeight="false" outlineLevel="0" collapsed="false">
      <c r="A834" s="13" t="str">
        <f aca="false">TRIM(Raw_Data!A834)</f>
        <v>EMP0833</v>
      </c>
      <c r="B834" s="14" t="n">
        <f aca="false">Raw_Data!B834</f>
        <v>43472</v>
      </c>
      <c r="C834" s="14" t="str">
        <f aca="false">IF(Raw_Data!C834="","",Raw_Data!C834)</f>
        <v/>
      </c>
      <c r="D834" s="13" t="n">
        <f aca="false">IF(Raw_Data!D834="","",Raw_Data!D834)</f>
        <v>37</v>
      </c>
      <c r="E834" s="13" t="str">
        <f aca="false">IF(UPPER(LEFT(TRIM(Raw_Data!E834),1))="M","Male",IF(UPPER(LEFT(TRIM(Raw_Data!E834),1))="F","Female","Unknown"))</f>
        <v>Male</v>
      </c>
      <c r="F834" s="13" t="str">
        <f aca="false">PROPER(TRIM(SUBSTITUTE(Raw_Data!F834,"'","")))</f>
        <v>Diploma</v>
      </c>
      <c r="G834" s="13" t="str">
        <f aca="false">PROPER(TRIM(Raw_Data!G834))</f>
        <v>Customer Support</v>
      </c>
      <c r="H834" s="13" t="str">
        <f aca="false">PROPER(TRIM(Raw_Data!H834))</f>
        <v>Analyst</v>
      </c>
      <c r="I834" s="13" t="n">
        <f aca="false">IF(Raw_Data!I834="",DefaultPerf,Raw_Data!I834)</f>
        <v>4</v>
      </c>
      <c r="J834" s="13" t="n">
        <f aca="false">IF(Raw_Data!J834="",DefaultSat,Raw_Data!J834)</f>
        <v>2</v>
      </c>
      <c r="K834" s="15" t="n">
        <f aca="false">Raw_Data!K834</f>
        <v>60000</v>
      </c>
      <c r="L834" s="13" t="str">
        <f aca="false">PROPER(TRIM(Raw_Data!N834))</f>
        <v>No</v>
      </c>
      <c r="M834" s="13" t="n">
        <f aca="false">IF(C834="",0,1)</f>
        <v>0</v>
      </c>
      <c r="N834" s="13" t="str">
        <f aca="false">IF(M834=0,"Active",IF(TRIM(Raw_Data!L834)="","Unknown",PROPER(TRIM(Raw_Data!L834))))</f>
        <v>Active</v>
      </c>
      <c r="O834" s="13" t="str">
        <f aca="false">IF(M834=0,"",IF(TRIM(Raw_Data!M834)="","Not Recorded",TRIM(Raw_Data!M834)))</f>
        <v/>
      </c>
      <c r="P834" s="16" t="n">
        <f aca="false">ROUND((IF(C834="",AsOfDate,C834)-B834)/365.25,2)</f>
        <v>6.98</v>
      </c>
      <c r="Q834" s="13" t="str">
        <f aca="false">IF(D834="","Unknown",IF(D834&lt;25,"Under 25",IF(D834&lt;35,"25-34",IF(D834&lt;45,"35-44",IF(D834&lt;55,"45-54","55+")))))</f>
        <v>35-44</v>
      </c>
      <c r="R834" s="13" t="str">
        <f aca="false">IF(P834&lt;1,"0-1 yrs",IF(P834&lt;3,"1-3 yrs",IF(P834&lt;5,"3-5 yrs",IF(P834&lt;10,"5-10 yrs","10+ yrs"))))</f>
        <v>5-10 yrs</v>
      </c>
      <c r="S834" s="13" t="str">
        <f aca="false">IF(I834&gt;=4,"High",IF(I834=3,"Medium","Low"))</f>
        <v>High</v>
      </c>
      <c r="T834" s="13" t="str">
        <f aca="false">IF(M834=1,YEAR(C834),"")</f>
        <v/>
      </c>
      <c r="U834" s="13" t="str">
        <f aca="false">IF(M834=1,YEAR(C834)&amp;"-Q"&amp;ROUNDUP(MONTH(C834)/3,0),"")</f>
        <v/>
      </c>
      <c r="V834" s="13" t="str">
        <f aca="false">IF(M834=1,MONTH(C834),"")</f>
        <v/>
      </c>
    </row>
    <row r="835" customFormat="false" ht="15" hidden="false" customHeight="false" outlineLevel="0" collapsed="false">
      <c r="A835" s="13" t="str">
        <f aca="false">TRIM(Raw_Data!A835)</f>
        <v>EMP0834</v>
      </c>
      <c r="B835" s="14" t="n">
        <f aca="false">Raw_Data!B835</f>
        <v>43475</v>
      </c>
      <c r="C835" s="14" t="n">
        <f aca="false">IF(Raw_Data!C835="","",Raw_Data!C835)</f>
        <v>45254</v>
      </c>
      <c r="D835" s="13" t="n">
        <f aca="false">IF(Raw_Data!D835="","",Raw_Data!D835)</f>
        <v>31</v>
      </c>
      <c r="E835" s="13" t="str">
        <f aca="false">IF(UPPER(LEFT(TRIM(Raw_Data!E835),1))="M","Male",IF(UPPER(LEFT(TRIM(Raw_Data!E835),1))="F","Female","Unknown"))</f>
        <v>Male</v>
      </c>
      <c r="F835" s="13" t="str">
        <f aca="false">PROPER(TRIM(SUBSTITUTE(Raw_Data!F835,"'","")))</f>
        <v>Bachelors</v>
      </c>
      <c r="G835" s="13" t="str">
        <f aca="false">PROPER(TRIM(Raw_Data!G835))</f>
        <v>Sales</v>
      </c>
      <c r="H835" s="13" t="str">
        <f aca="false">PROPER(TRIM(Raw_Data!H835))</f>
        <v>Associate</v>
      </c>
      <c r="I835" s="13" t="n">
        <f aca="false">IF(Raw_Data!I835="",DefaultPerf,Raw_Data!I835)</f>
        <v>2</v>
      </c>
      <c r="J835" s="13" t="n">
        <f aca="false">IF(Raw_Data!J835="",DefaultSat,Raw_Data!J835)</f>
        <v>1</v>
      </c>
      <c r="K835" s="15" t="n">
        <f aca="false">Raw_Data!K835</f>
        <v>45500</v>
      </c>
      <c r="L835" s="13" t="str">
        <f aca="false">PROPER(TRIM(Raw_Data!N835))</f>
        <v>No</v>
      </c>
      <c r="M835" s="13" t="n">
        <f aca="false">IF(C835="",0,1)</f>
        <v>1</v>
      </c>
      <c r="N835" s="13" t="str">
        <f aca="false">IF(M835=0,"Active",IF(TRIM(Raw_Data!L835)="","Unknown",PROPER(TRIM(Raw_Data!L835))))</f>
        <v>Unknown</v>
      </c>
      <c r="O835" s="13" t="str">
        <f aca="false">IF(M835=0,"",IF(TRIM(Raw_Data!M835)="","Not Recorded",TRIM(Raw_Data!M835)))</f>
        <v>Not Recorded</v>
      </c>
      <c r="P835" s="16" t="n">
        <f aca="false">ROUND((IF(C835="",AsOfDate,C835)-B835)/365.25,2)</f>
        <v>4.87</v>
      </c>
      <c r="Q835" s="13" t="str">
        <f aca="false">IF(D835="","Unknown",IF(D835&lt;25,"Under 25",IF(D835&lt;35,"25-34",IF(D835&lt;45,"35-44",IF(D835&lt;55,"45-54","55+")))))</f>
        <v>25-34</v>
      </c>
      <c r="R835" s="13" t="str">
        <f aca="false">IF(P835&lt;1,"0-1 yrs",IF(P835&lt;3,"1-3 yrs",IF(P835&lt;5,"3-5 yrs",IF(P835&lt;10,"5-10 yrs","10+ yrs"))))</f>
        <v>3-5 yrs</v>
      </c>
      <c r="S835" s="13" t="str">
        <f aca="false">IF(I835&gt;=4,"High",IF(I835=3,"Medium","Low"))</f>
        <v>Low</v>
      </c>
      <c r="T835" s="13" t="n">
        <f aca="false">IF(M835=1,YEAR(C835),"")</f>
        <v>2023</v>
      </c>
      <c r="U835" s="13" t="str">
        <f aca="false">IF(M835=1,YEAR(C835)&amp;"-Q"&amp;ROUNDUP(MONTH(C835)/3,0),"")</f>
        <v>2023-Q4</v>
      </c>
      <c r="V835" s="13" t="n">
        <f aca="false">IF(M835=1,MONTH(C835),"")</f>
        <v>11</v>
      </c>
    </row>
    <row r="836" customFormat="false" ht="15" hidden="false" customHeight="false" outlineLevel="0" collapsed="false">
      <c r="A836" s="13" t="str">
        <f aca="false">TRIM(Raw_Data!A836)</f>
        <v>EMP0835</v>
      </c>
      <c r="B836" s="14" t="n">
        <f aca="false">Raw_Data!B836</f>
        <v>43478</v>
      </c>
      <c r="C836" s="14" t="n">
        <f aca="false">IF(Raw_Data!C836="","",Raw_Data!C836)</f>
        <v>44597</v>
      </c>
      <c r="D836" s="13" t="n">
        <f aca="false">IF(Raw_Data!D836="","",Raw_Data!D836)</f>
        <v>28</v>
      </c>
      <c r="E836" s="13" t="str">
        <f aca="false">IF(UPPER(LEFT(TRIM(Raw_Data!E836),1))="M","Male",IF(UPPER(LEFT(TRIM(Raw_Data!E836),1))="F","Female","Unknown"))</f>
        <v>Female</v>
      </c>
      <c r="F836" s="13" t="str">
        <f aca="false">PROPER(TRIM(SUBSTITUTE(Raw_Data!F836,"'","")))</f>
        <v>Bachelors</v>
      </c>
      <c r="G836" s="13" t="str">
        <f aca="false">PROPER(TRIM(Raw_Data!G836))</f>
        <v>Customer Support</v>
      </c>
      <c r="H836" s="13" t="str">
        <f aca="false">PROPER(TRIM(Raw_Data!H836))</f>
        <v>Associate</v>
      </c>
      <c r="I836" s="13" t="n">
        <f aca="false">IF(Raw_Data!I836="",DefaultPerf,Raw_Data!I836)</f>
        <v>4</v>
      </c>
      <c r="J836" s="13" t="n">
        <f aca="false">IF(Raw_Data!J836="",DefaultSat,Raw_Data!J836)</f>
        <v>1</v>
      </c>
      <c r="K836" s="15" t="n">
        <f aca="false">Raw_Data!K836</f>
        <v>39500</v>
      </c>
      <c r="L836" s="13" t="str">
        <f aca="false">PROPER(TRIM(Raw_Data!N836))</f>
        <v>Yes</v>
      </c>
      <c r="M836" s="13" t="n">
        <f aca="false">IF(C836="",0,1)</f>
        <v>1</v>
      </c>
      <c r="N836" s="13" t="str">
        <f aca="false">IF(M836=0,"Active",IF(TRIM(Raw_Data!L836)="","Unknown",PROPER(TRIM(Raw_Data!L836))))</f>
        <v>Voluntary</v>
      </c>
      <c r="O836" s="13" t="str">
        <f aca="false">IF(M836=0,"",IF(TRIM(Raw_Data!M836)="","Not Recorded",TRIM(Raw_Data!M836)))</f>
        <v>Career Growth</v>
      </c>
      <c r="P836" s="16" t="n">
        <f aca="false">ROUND((IF(C836="",AsOfDate,C836)-B836)/365.25,2)</f>
        <v>3.06</v>
      </c>
      <c r="Q836" s="13" t="str">
        <f aca="false">IF(D836="","Unknown",IF(D836&lt;25,"Under 25",IF(D836&lt;35,"25-34",IF(D836&lt;45,"35-44",IF(D836&lt;55,"45-54","55+")))))</f>
        <v>25-34</v>
      </c>
      <c r="R836" s="13" t="str">
        <f aca="false">IF(P836&lt;1,"0-1 yrs",IF(P836&lt;3,"1-3 yrs",IF(P836&lt;5,"3-5 yrs",IF(P836&lt;10,"5-10 yrs","10+ yrs"))))</f>
        <v>3-5 yrs</v>
      </c>
      <c r="S836" s="13" t="str">
        <f aca="false">IF(I836&gt;=4,"High",IF(I836=3,"Medium","Low"))</f>
        <v>High</v>
      </c>
      <c r="T836" s="13" t="n">
        <f aca="false">IF(M836=1,YEAR(C836),"")</f>
        <v>2022</v>
      </c>
      <c r="U836" s="13" t="str">
        <f aca="false">IF(M836=1,YEAR(C836)&amp;"-Q"&amp;ROUNDUP(MONTH(C836)/3,0),"")</f>
        <v>2022-Q1</v>
      </c>
      <c r="V836" s="13" t="n">
        <f aca="false">IF(M836=1,MONTH(C836),"")</f>
        <v>2</v>
      </c>
    </row>
    <row r="837" customFormat="false" ht="15" hidden="false" customHeight="false" outlineLevel="0" collapsed="false">
      <c r="A837" s="13" t="str">
        <f aca="false">TRIM(Raw_Data!A837)</f>
        <v>EMP0836</v>
      </c>
      <c r="B837" s="14" t="n">
        <f aca="false">Raw_Data!B837</f>
        <v>43483</v>
      </c>
      <c r="C837" s="14" t="str">
        <f aca="false">IF(Raw_Data!C837="","",Raw_Data!C837)</f>
        <v/>
      </c>
      <c r="D837" s="13" t="n">
        <f aca="false">IF(Raw_Data!D837="","",Raw_Data!D837)</f>
        <v>33</v>
      </c>
      <c r="E837" s="13" t="str">
        <f aca="false">IF(UPPER(LEFT(TRIM(Raw_Data!E837),1))="M","Male",IF(UPPER(LEFT(TRIM(Raw_Data!E837),1))="F","Female","Unknown"))</f>
        <v>Female</v>
      </c>
      <c r="F837" s="13" t="str">
        <f aca="false">PROPER(TRIM(SUBSTITUTE(Raw_Data!F837,"'","")))</f>
        <v>Bachelors</v>
      </c>
      <c r="G837" s="13" t="str">
        <f aca="false">PROPER(TRIM(Raw_Data!G837))</f>
        <v>Finance</v>
      </c>
      <c r="H837" s="13" t="str">
        <f aca="false">PROPER(TRIM(Raw_Data!H837))</f>
        <v>Team Lead</v>
      </c>
      <c r="I837" s="13" t="n">
        <f aca="false">IF(Raw_Data!I837="",DefaultPerf,Raw_Data!I837)</f>
        <v>4</v>
      </c>
      <c r="J837" s="13" t="n">
        <f aca="false">IF(Raw_Data!J837="",DefaultSat,Raw_Data!J837)</f>
        <v>2</v>
      </c>
      <c r="K837" s="15" t="n">
        <f aca="false">Raw_Data!K837</f>
        <v>159000</v>
      </c>
      <c r="L837" s="13" t="str">
        <f aca="false">PROPER(TRIM(Raw_Data!N837))</f>
        <v>No</v>
      </c>
      <c r="M837" s="13" t="n">
        <f aca="false">IF(C837="",0,1)</f>
        <v>0</v>
      </c>
      <c r="N837" s="13" t="str">
        <f aca="false">IF(M837=0,"Active",IF(TRIM(Raw_Data!L837)="","Unknown",PROPER(TRIM(Raw_Data!L837))))</f>
        <v>Active</v>
      </c>
      <c r="O837" s="13" t="str">
        <f aca="false">IF(M837=0,"",IF(TRIM(Raw_Data!M837)="","Not Recorded",TRIM(Raw_Data!M837)))</f>
        <v/>
      </c>
      <c r="P837" s="16" t="n">
        <f aca="false">ROUND((IF(C837="",AsOfDate,C837)-B837)/365.25,2)</f>
        <v>6.95</v>
      </c>
      <c r="Q837" s="13" t="str">
        <f aca="false">IF(D837="","Unknown",IF(D837&lt;25,"Under 25",IF(D837&lt;35,"25-34",IF(D837&lt;45,"35-44",IF(D837&lt;55,"45-54","55+")))))</f>
        <v>25-34</v>
      </c>
      <c r="R837" s="13" t="str">
        <f aca="false">IF(P837&lt;1,"0-1 yrs",IF(P837&lt;3,"1-3 yrs",IF(P837&lt;5,"3-5 yrs",IF(P837&lt;10,"5-10 yrs","10+ yrs"))))</f>
        <v>5-10 yrs</v>
      </c>
      <c r="S837" s="13" t="str">
        <f aca="false">IF(I837&gt;=4,"High",IF(I837=3,"Medium","Low"))</f>
        <v>High</v>
      </c>
      <c r="T837" s="13" t="str">
        <f aca="false">IF(M837=1,YEAR(C837),"")</f>
        <v/>
      </c>
      <c r="U837" s="13" t="str">
        <f aca="false">IF(M837=1,YEAR(C837)&amp;"-Q"&amp;ROUNDUP(MONTH(C837)/3,0),"")</f>
        <v/>
      </c>
      <c r="V837" s="13" t="str">
        <f aca="false">IF(M837=1,MONTH(C837),"")</f>
        <v/>
      </c>
    </row>
    <row r="838" customFormat="false" ht="15" hidden="false" customHeight="false" outlineLevel="0" collapsed="false">
      <c r="A838" s="13" t="str">
        <f aca="false">TRIM(Raw_Data!A838)</f>
        <v>EMP0837</v>
      </c>
      <c r="B838" s="14" t="n">
        <f aca="false">Raw_Data!B838</f>
        <v>43485</v>
      </c>
      <c r="C838" s="14" t="n">
        <f aca="false">IF(Raw_Data!C838="","",Raw_Data!C838)</f>
        <v>45126</v>
      </c>
      <c r="D838" s="13" t="n">
        <f aca="false">IF(Raw_Data!D838="","",Raw_Data!D838)</f>
        <v>27</v>
      </c>
      <c r="E838" s="13" t="str">
        <f aca="false">IF(UPPER(LEFT(TRIM(Raw_Data!E838),1))="M","Male",IF(UPPER(LEFT(TRIM(Raw_Data!E838),1))="F","Female","Unknown"))</f>
        <v>Female</v>
      </c>
      <c r="F838" s="13" t="str">
        <f aca="false">PROPER(TRIM(SUBSTITUTE(Raw_Data!F838,"'","")))</f>
        <v>Bachelors</v>
      </c>
      <c r="G838" s="13" t="str">
        <f aca="false">PROPER(TRIM(Raw_Data!G838))</f>
        <v>Customer Support</v>
      </c>
      <c r="H838" s="13" t="str">
        <f aca="false">PROPER(TRIM(Raw_Data!H838))</f>
        <v>Specialist</v>
      </c>
      <c r="I838" s="13" t="n">
        <f aca="false">IF(Raw_Data!I838="",DefaultPerf,Raw_Data!I838)</f>
        <v>4</v>
      </c>
      <c r="J838" s="13" t="n">
        <f aca="false">IF(Raw_Data!J838="",DefaultSat,Raw_Data!J838)</f>
        <v>3</v>
      </c>
      <c r="K838" s="15" t="n">
        <f aca="false">Raw_Data!K838</f>
        <v>122500</v>
      </c>
      <c r="L838" s="13" t="str">
        <f aca="false">PROPER(TRIM(Raw_Data!N838))</f>
        <v>No</v>
      </c>
      <c r="M838" s="13" t="n">
        <f aca="false">IF(C838="",0,1)</f>
        <v>1</v>
      </c>
      <c r="N838" s="13" t="str">
        <f aca="false">IF(M838=0,"Active",IF(TRIM(Raw_Data!L838)="","Unknown",PROPER(TRIM(Raw_Data!L838))))</f>
        <v>Voluntary</v>
      </c>
      <c r="O838" s="13" t="str">
        <f aca="false">IF(M838=0,"",IF(TRIM(Raw_Data!M838)="","Not Recorded",TRIM(Raw_Data!M838)))</f>
        <v>Better Compensation</v>
      </c>
      <c r="P838" s="16" t="n">
        <f aca="false">ROUND((IF(C838="",AsOfDate,C838)-B838)/365.25,2)</f>
        <v>4.49</v>
      </c>
      <c r="Q838" s="13" t="str">
        <f aca="false">IF(D838="","Unknown",IF(D838&lt;25,"Under 25",IF(D838&lt;35,"25-34",IF(D838&lt;45,"35-44",IF(D838&lt;55,"45-54","55+")))))</f>
        <v>25-34</v>
      </c>
      <c r="R838" s="13" t="str">
        <f aca="false">IF(P838&lt;1,"0-1 yrs",IF(P838&lt;3,"1-3 yrs",IF(P838&lt;5,"3-5 yrs",IF(P838&lt;10,"5-10 yrs","10+ yrs"))))</f>
        <v>3-5 yrs</v>
      </c>
      <c r="S838" s="13" t="str">
        <f aca="false">IF(I838&gt;=4,"High",IF(I838=3,"Medium","Low"))</f>
        <v>High</v>
      </c>
      <c r="T838" s="13" t="n">
        <f aca="false">IF(M838=1,YEAR(C838),"")</f>
        <v>2023</v>
      </c>
      <c r="U838" s="13" t="str">
        <f aca="false">IF(M838=1,YEAR(C838)&amp;"-Q"&amp;ROUNDUP(MONTH(C838)/3,0),"")</f>
        <v>2023-Q3</v>
      </c>
      <c r="V838" s="13" t="n">
        <f aca="false">IF(M838=1,MONTH(C838),"")</f>
        <v>7</v>
      </c>
    </row>
    <row r="839" customFormat="false" ht="15" hidden="false" customHeight="false" outlineLevel="0" collapsed="false">
      <c r="A839" s="13" t="str">
        <f aca="false">TRIM(Raw_Data!A839)</f>
        <v>EMP0838</v>
      </c>
      <c r="B839" s="14" t="n">
        <f aca="false">Raw_Data!B839</f>
        <v>43485</v>
      </c>
      <c r="C839" s="14" t="str">
        <f aca="false">IF(Raw_Data!C839="","",Raw_Data!C839)</f>
        <v/>
      </c>
      <c r="D839" s="13" t="n">
        <f aca="false">IF(Raw_Data!D839="","",Raw_Data!D839)</f>
        <v>33</v>
      </c>
      <c r="E839" s="13" t="str">
        <f aca="false">IF(UPPER(LEFT(TRIM(Raw_Data!E839),1))="M","Male",IF(UPPER(LEFT(TRIM(Raw_Data!E839),1))="F","Female","Unknown"))</f>
        <v>Female</v>
      </c>
      <c r="F839" s="13" t="str">
        <f aca="false">PROPER(TRIM(SUBSTITUTE(Raw_Data!F839,"'","")))</f>
        <v>Bachelors</v>
      </c>
      <c r="G839" s="13" t="str">
        <f aca="false">PROPER(TRIM(Raw_Data!G839))</f>
        <v>Sales</v>
      </c>
      <c r="H839" s="13" t="str">
        <f aca="false">PROPER(TRIM(Raw_Data!H839))</f>
        <v>Analyst</v>
      </c>
      <c r="I839" s="13" t="n">
        <f aca="false">IF(Raw_Data!I839="",DefaultPerf,Raw_Data!I839)</f>
        <v>1</v>
      </c>
      <c r="J839" s="13" t="n">
        <f aca="false">IF(Raw_Data!J839="",DefaultSat,Raw_Data!J839)</f>
        <v>3</v>
      </c>
      <c r="K839" s="15" t="n">
        <f aca="false">Raw_Data!K839</f>
        <v>71500</v>
      </c>
      <c r="L839" s="13" t="str">
        <f aca="false">PROPER(TRIM(Raw_Data!N839))</f>
        <v>No</v>
      </c>
      <c r="M839" s="13" t="n">
        <f aca="false">IF(C839="",0,1)</f>
        <v>0</v>
      </c>
      <c r="N839" s="13" t="str">
        <f aca="false">IF(M839=0,"Active",IF(TRIM(Raw_Data!L839)="","Unknown",PROPER(TRIM(Raw_Data!L839))))</f>
        <v>Active</v>
      </c>
      <c r="O839" s="13" t="str">
        <f aca="false">IF(M839=0,"",IF(TRIM(Raw_Data!M839)="","Not Recorded",TRIM(Raw_Data!M839)))</f>
        <v/>
      </c>
      <c r="P839" s="16" t="n">
        <f aca="false">ROUND((IF(C839="",AsOfDate,C839)-B839)/365.25,2)</f>
        <v>6.95</v>
      </c>
      <c r="Q839" s="13" t="str">
        <f aca="false">IF(D839="","Unknown",IF(D839&lt;25,"Under 25",IF(D839&lt;35,"25-34",IF(D839&lt;45,"35-44",IF(D839&lt;55,"45-54","55+")))))</f>
        <v>25-34</v>
      </c>
      <c r="R839" s="13" t="str">
        <f aca="false">IF(P839&lt;1,"0-1 yrs",IF(P839&lt;3,"1-3 yrs",IF(P839&lt;5,"3-5 yrs",IF(P839&lt;10,"5-10 yrs","10+ yrs"))))</f>
        <v>5-10 yrs</v>
      </c>
      <c r="S839" s="13" t="str">
        <f aca="false">IF(I839&gt;=4,"High",IF(I839=3,"Medium","Low"))</f>
        <v>Low</v>
      </c>
      <c r="T839" s="13" t="str">
        <f aca="false">IF(M839=1,YEAR(C839),"")</f>
        <v/>
      </c>
      <c r="U839" s="13" t="str">
        <f aca="false">IF(M839=1,YEAR(C839)&amp;"-Q"&amp;ROUNDUP(MONTH(C839)/3,0),"")</f>
        <v/>
      </c>
      <c r="V839" s="13" t="str">
        <f aca="false">IF(M839=1,MONTH(C839),"")</f>
        <v/>
      </c>
    </row>
    <row r="840" customFormat="false" ht="15" hidden="false" customHeight="false" outlineLevel="0" collapsed="false">
      <c r="A840" s="13" t="str">
        <f aca="false">TRIM(Raw_Data!A840)</f>
        <v>EMP0839</v>
      </c>
      <c r="B840" s="14" t="n">
        <f aca="false">Raw_Data!B840</f>
        <v>43485</v>
      </c>
      <c r="C840" s="14" t="n">
        <f aca="false">IF(Raw_Data!C840="","",Raw_Data!C840)</f>
        <v>45742</v>
      </c>
      <c r="D840" s="13" t="n">
        <f aca="false">IF(Raw_Data!D840="","",Raw_Data!D840)</f>
        <v>27</v>
      </c>
      <c r="E840" s="13" t="str">
        <f aca="false">IF(UPPER(LEFT(TRIM(Raw_Data!E840),1))="M","Male",IF(UPPER(LEFT(TRIM(Raw_Data!E840),1))="F","Female","Unknown"))</f>
        <v>Female</v>
      </c>
      <c r="F840" s="13" t="str">
        <f aca="false">PROPER(TRIM(SUBSTITUTE(Raw_Data!F840,"'","")))</f>
        <v>Diploma</v>
      </c>
      <c r="G840" s="13" t="str">
        <f aca="false">PROPER(TRIM(Raw_Data!G840))</f>
        <v>Engineering</v>
      </c>
      <c r="H840" s="13" t="str">
        <f aca="false">PROPER(TRIM(Raw_Data!H840))</f>
        <v>Associate</v>
      </c>
      <c r="I840" s="13" t="n">
        <f aca="false">IF(Raw_Data!I840="",DefaultPerf,Raw_Data!I840)</f>
        <v>4</v>
      </c>
      <c r="J840" s="13" t="n">
        <f aca="false">IF(Raw_Data!J840="",DefaultSat,Raw_Data!J840)</f>
        <v>1</v>
      </c>
      <c r="K840" s="15" t="n">
        <f aca="false">Raw_Data!K840</f>
        <v>42000</v>
      </c>
      <c r="L840" s="13" t="str">
        <f aca="false">PROPER(TRIM(Raw_Data!N840))</f>
        <v>Yes</v>
      </c>
      <c r="M840" s="13" t="n">
        <f aca="false">IF(C840="",0,1)</f>
        <v>1</v>
      </c>
      <c r="N840" s="13" t="str">
        <f aca="false">IF(M840=0,"Active",IF(TRIM(Raw_Data!L840)="","Unknown",PROPER(TRIM(Raw_Data!L840))))</f>
        <v>Voluntary</v>
      </c>
      <c r="O840" s="13" t="str">
        <f aca="false">IF(M840=0,"",IF(TRIM(Raw_Data!M840)="","Not Recorded",TRIM(Raw_Data!M840)))</f>
        <v>Career Growth</v>
      </c>
      <c r="P840" s="16" t="n">
        <f aca="false">ROUND((IF(C840="",AsOfDate,C840)-B840)/365.25,2)</f>
        <v>6.18</v>
      </c>
      <c r="Q840" s="13" t="str">
        <f aca="false">IF(D840="","Unknown",IF(D840&lt;25,"Under 25",IF(D840&lt;35,"25-34",IF(D840&lt;45,"35-44",IF(D840&lt;55,"45-54","55+")))))</f>
        <v>25-34</v>
      </c>
      <c r="R840" s="13" t="str">
        <f aca="false">IF(P840&lt;1,"0-1 yrs",IF(P840&lt;3,"1-3 yrs",IF(P840&lt;5,"3-5 yrs",IF(P840&lt;10,"5-10 yrs","10+ yrs"))))</f>
        <v>5-10 yrs</v>
      </c>
      <c r="S840" s="13" t="str">
        <f aca="false">IF(I840&gt;=4,"High",IF(I840=3,"Medium","Low"))</f>
        <v>High</v>
      </c>
      <c r="T840" s="13" t="n">
        <f aca="false">IF(M840=1,YEAR(C840),"")</f>
        <v>2025</v>
      </c>
      <c r="U840" s="13" t="str">
        <f aca="false">IF(M840=1,YEAR(C840)&amp;"-Q"&amp;ROUNDUP(MONTH(C840)/3,0),"")</f>
        <v>2025-Q1</v>
      </c>
      <c r="V840" s="13" t="n">
        <f aca="false">IF(M840=1,MONTH(C840),"")</f>
        <v>3</v>
      </c>
    </row>
    <row r="841" customFormat="false" ht="15" hidden="false" customHeight="false" outlineLevel="0" collapsed="false">
      <c r="A841" s="13" t="str">
        <f aca="false">TRIM(Raw_Data!A841)</f>
        <v>EMP0840</v>
      </c>
      <c r="B841" s="14" t="n">
        <f aca="false">Raw_Data!B841</f>
        <v>43486</v>
      </c>
      <c r="C841" s="14" t="n">
        <f aca="false">IF(Raw_Data!C841="","",Raw_Data!C841)</f>
        <v>45745</v>
      </c>
      <c r="D841" s="13" t="n">
        <f aca="false">IF(Raw_Data!D841="","",Raw_Data!D841)</f>
        <v>36</v>
      </c>
      <c r="E841" s="13" t="str">
        <f aca="false">IF(UPPER(LEFT(TRIM(Raw_Data!E841),1))="M","Male",IF(UPPER(LEFT(TRIM(Raw_Data!E841),1))="F","Female","Unknown"))</f>
        <v>Male</v>
      </c>
      <c r="F841" s="13" t="str">
        <f aca="false">PROPER(TRIM(SUBSTITUTE(Raw_Data!F841,"'","")))</f>
        <v>Bachelors</v>
      </c>
      <c r="G841" s="13" t="str">
        <f aca="false">PROPER(TRIM(Raw_Data!G841))</f>
        <v>Finance</v>
      </c>
      <c r="H841" s="13" t="str">
        <f aca="false">PROPER(TRIM(Raw_Data!H841))</f>
        <v>Specialist</v>
      </c>
      <c r="I841" s="13" t="n">
        <f aca="false">IF(Raw_Data!I841="",DefaultPerf,Raw_Data!I841)</f>
        <v>4</v>
      </c>
      <c r="J841" s="13" t="n">
        <f aca="false">IF(Raw_Data!J841="",DefaultSat,Raw_Data!J841)</f>
        <v>4</v>
      </c>
      <c r="K841" s="15" t="n">
        <f aca="false">Raw_Data!K841</f>
        <v>108500</v>
      </c>
      <c r="L841" s="13" t="str">
        <f aca="false">PROPER(TRIM(Raw_Data!N841))</f>
        <v>No</v>
      </c>
      <c r="M841" s="13" t="n">
        <f aca="false">IF(C841="",0,1)</f>
        <v>1</v>
      </c>
      <c r="N841" s="13" t="str">
        <f aca="false">IF(M841=0,"Active",IF(TRIM(Raw_Data!L841)="","Unknown",PROPER(TRIM(Raw_Data!L841))))</f>
        <v>Voluntary</v>
      </c>
      <c r="O841" s="13" t="str">
        <f aca="false">IF(M841=0,"",IF(TRIM(Raw_Data!M841)="","Not Recorded",TRIM(Raw_Data!M841)))</f>
        <v>Better Compensation</v>
      </c>
      <c r="P841" s="16" t="n">
        <f aca="false">ROUND((IF(C841="",AsOfDate,C841)-B841)/365.25,2)</f>
        <v>6.18</v>
      </c>
      <c r="Q841" s="13" t="str">
        <f aca="false">IF(D841="","Unknown",IF(D841&lt;25,"Under 25",IF(D841&lt;35,"25-34",IF(D841&lt;45,"35-44",IF(D841&lt;55,"45-54","55+")))))</f>
        <v>35-44</v>
      </c>
      <c r="R841" s="13" t="str">
        <f aca="false">IF(P841&lt;1,"0-1 yrs",IF(P841&lt;3,"1-3 yrs",IF(P841&lt;5,"3-5 yrs",IF(P841&lt;10,"5-10 yrs","10+ yrs"))))</f>
        <v>5-10 yrs</v>
      </c>
      <c r="S841" s="13" t="str">
        <f aca="false">IF(I841&gt;=4,"High",IF(I841=3,"Medium","Low"))</f>
        <v>High</v>
      </c>
      <c r="T841" s="13" t="n">
        <f aca="false">IF(M841=1,YEAR(C841),"")</f>
        <v>2025</v>
      </c>
      <c r="U841" s="13" t="str">
        <f aca="false">IF(M841=1,YEAR(C841)&amp;"-Q"&amp;ROUNDUP(MONTH(C841)/3,0),"")</f>
        <v>2025-Q1</v>
      </c>
      <c r="V841" s="13" t="n">
        <f aca="false">IF(M841=1,MONTH(C841),"")</f>
        <v>3</v>
      </c>
    </row>
    <row r="842" customFormat="false" ht="15" hidden="false" customHeight="false" outlineLevel="0" collapsed="false">
      <c r="A842" s="13" t="str">
        <f aca="false">TRIM(Raw_Data!A842)</f>
        <v>EMP0841</v>
      </c>
      <c r="B842" s="14" t="n">
        <f aca="false">Raw_Data!B842</f>
        <v>43488</v>
      </c>
      <c r="C842" s="14" t="str">
        <f aca="false">IF(Raw_Data!C842="","",Raw_Data!C842)</f>
        <v/>
      </c>
      <c r="D842" s="13" t="n">
        <f aca="false">IF(Raw_Data!D842="","",Raw_Data!D842)</f>
        <v>42</v>
      </c>
      <c r="E842" s="13" t="str">
        <f aca="false">IF(UPPER(LEFT(TRIM(Raw_Data!E842),1))="M","Male",IF(UPPER(LEFT(TRIM(Raw_Data!E842),1))="F","Female","Unknown"))</f>
        <v>Male</v>
      </c>
      <c r="F842" s="13" t="str">
        <f aca="false">PROPER(TRIM(SUBSTITUTE(Raw_Data!F842,"'","")))</f>
        <v>Bachelors</v>
      </c>
      <c r="G842" s="13" t="str">
        <f aca="false">PROPER(TRIM(Raw_Data!G842))</f>
        <v>Operations</v>
      </c>
      <c r="H842" s="13" t="str">
        <f aca="false">PROPER(TRIM(Raw_Data!H842))</f>
        <v>Analyst</v>
      </c>
      <c r="I842" s="13" t="n">
        <f aca="false">IF(Raw_Data!I842="",DefaultPerf,Raw_Data!I842)</f>
        <v>3</v>
      </c>
      <c r="J842" s="17" t="n">
        <f aca="false">IF(Raw_Data!J842="",DefaultSat,Raw_Data!J842)</f>
        <v>3</v>
      </c>
      <c r="K842" s="15" t="n">
        <f aca="false">Raw_Data!K842</f>
        <v>73000</v>
      </c>
      <c r="L842" s="13" t="str">
        <f aca="false">PROPER(TRIM(Raw_Data!N842))</f>
        <v>No</v>
      </c>
      <c r="M842" s="13" t="n">
        <f aca="false">IF(C842="",0,1)</f>
        <v>0</v>
      </c>
      <c r="N842" s="13" t="str">
        <f aca="false">IF(M842=0,"Active",IF(TRIM(Raw_Data!L842)="","Unknown",PROPER(TRIM(Raw_Data!L842))))</f>
        <v>Active</v>
      </c>
      <c r="O842" s="13" t="str">
        <f aca="false">IF(M842=0,"",IF(TRIM(Raw_Data!M842)="","Not Recorded",TRIM(Raw_Data!M842)))</f>
        <v/>
      </c>
      <c r="P842" s="16" t="n">
        <f aca="false">ROUND((IF(C842="",AsOfDate,C842)-B842)/365.25,2)</f>
        <v>6.94</v>
      </c>
      <c r="Q842" s="13" t="str">
        <f aca="false">IF(D842="","Unknown",IF(D842&lt;25,"Under 25",IF(D842&lt;35,"25-34",IF(D842&lt;45,"35-44",IF(D842&lt;55,"45-54","55+")))))</f>
        <v>35-44</v>
      </c>
      <c r="R842" s="13" t="str">
        <f aca="false">IF(P842&lt;1,"0-1 yrs",IF(P842&lt;3,"1-3 yrs",IF(P842&lt;5,"3-5 yrs",IF(P842&lt;10,"5-10 yrs","10+ yrs"))))</f>
        <v>5-10 yrs</v>
      </c>
      <c r="S842" s="13" t="str">
        <f aca="false">IF(I842&gt;=4,"High",IF(I842=3,"Medium","Low"))</f>
        <v>Medium</v>
      </c>
      <c r="T842" s="13" t="str">
        <f aca="false">IF(M842=1,YEAR(C842),"")</f>
        <v/>
      </c>
      <c r="U842" s="13" t="str">
        <f aca="false">IF(M842=1,YEAR(C842)&amp;"-Q"&amp;ROUNDUP(MONTH(C842)/3,0),"")</f>
        <v/>
      </c>
      <c r="V842" s="13" t="str">
        <f aca="false">IF(M842=1,MONTH(C842),"")</f>
        <v/>
      </c>
    </row>
    <row r="843" customFormat="false" ht="15" hidden="false" customHeight="false" outlineLevel="0" collapsed="false">
      <c r="A843" s="13" t="str">
        <f aca="false">TRIM(Raw_Data!A843)</f>
        <v>EMP0842</v>
      </c>
      <c r="B843" s="14" t="n">
        <f aca="false">Raw_Data!B843</f>
        <v>43493</v>
      </c>
      <c r="C843" s="14" t="str">
        <f aca="false">IF(Raw_Data!C843="","",Raw_Data!C843)</f>
        <v/>
      </c>
      <c r="D843" s="13" t="n">
        <f aca="false">IF(Raw_Data!D843="","",Raw_Data!D843)</f>
        <v>39</v>
      </c>
      <c r="E843" s="13" t="str">
        <f aca="false">IF(UPPER(LEFT(TRIM(Raw_Data!E843),1))="M","Male",IF(UPPER(LEFT(TRIM(Raw_Data!E843),1))="F","Female","Unknown"))</f>
        <v>Male</v>
      </c>
      <c r="F843" s="13" t="str">
        <f aca="false">PROPER(TRIM(SUBSTITUTE(Raw_Data!F843,"'","")))</f>
        <v>Bachelors</v>
      </c>
      <c r="G843" s="13" t="str">
        <f aca="false">PROPER(TRIM(Raw_Data!G843))</f>
        <v>Sales</v>
      </c>
      <c r="H843" s="13" t="str">
        <f aca="false">PROPER(TRIM(Raw_Data!H843))</f>
        <v>Specialist</v>
      </c>
      <c r="I843" s="13" t="n">
        <f aca="false">IF(Raw_Data!I843="",DefaultPerf,Raw_Data!I843)</f>
        <v>4</v>
      </c>
      <c r="J843" s="13" t="n">
        <f aca="false">IF(Raw_Data!J843="",DefaultSat,Raw_Data!J843)</f>
        <v>1</v>
      </c>
      <c r="K843" s="15" t="n">
        <f aca="false">Raw_Data!K843</f>
        <v>109000</v>
      </c>
      <c r="L843" s="13" t="str">
        <f aca="false">PROPER(TRIM(Raw_Data!N843))</f>
        <v>No</v>
      </c>
      <c r="M843" s="13" t="n">
        <f aca="false">IF(C843="",0,1)</f>
        <v>0</v>
      </c>
      <c r="N843" s="13" t="str">
        <f aca="false">IF(M843=0,"Active",IF(TRIM(Raw_Data!L843)="","Unknown",PROPER(TRIM(Raw_Data!L843))))</f>
        <v>Active</v>
      </c>
      <c r="O843" s="13" t="str">
        <f aca="false">IF(M843=0,"",IF(TRIM(Raw_Data!M843)="","Not Recorded",TRIM(Raw_Data!M843)))</f>
        <v/>
      </c>
      <c r="P843" s="16" t="n">
        <f aca="false">ROUND((IF(C843="",AsOfDate,C843)-B843)/365.25,2)</f>
        <v>6.92</v>
      </c>
      <c r="Q843" s="13" t="str">
        <f aca="false">IF(D843="","Unknown",IF(D843&lt;25,"Under 25",IF(D843&lt;35,"25-34",IF(D843&lt;45,"35-44",IF(D843&lt;55,"45-54","55+")))))</f>
        <v>35-44</v>
      </c>
      <c r="R843" s="13" t="str">
        <f aca="false">IF(P843&lt;1,"0-1 yrs",IF(P843&lt;3,"1-3 yrs",IF(P843&lt;5,"3-5 yrs",IF(P843&lt;10,"5-10 yrs","10+ yrs"))))</f>
        <v>5-10 yrs</v>
      </c>
      <c r="S843" s="13" t="str">
        <f aca="false">IF(I843&gt;=4,"High",IF(I843=3,"Medium","Low"))</f>
        <v>High</v>
      </c>
      <c r="T843" s="13" t="str">
        <f aca="false">IF(M843=1,YEAR(C843),"")</f>
        <v/>
      </c>
      <c r="U843" s="13" t="str">
        <f aca="false">IF(M843=1,YEAR(C843)&amp;"-Q"&amp;ROUNDUP(MONTH(C843)/3,0),"")</f>
        <v/>
      </c>
      <c r="V843" s="13" t="str">
        <f aca="false">IF(M843=1,MONTH(C843),"")</f>
        <v/>
      </c>
    </row>
    <row r="844" customFormat="false" ht="15" hidden="false" customHeight="false" outlineLevel="0" collapsed="false">
      <c r="A844" s="13" t="str">
        <f aca="false">TRIM(Raw_Data!A844)</f>
        <v>EMP0843</v>
      </c>
      <c r="B844" s="14" t="n">
        <f aca="false">Raw_Data!B844</f>
        <v>43495</v>
      </c>
      <c r="C844" s="14" t="str">
        <f aca="false">IF(Raw_Data!C844="","",Raw_Data!C844)</f>
        <v/>
      </c>
      <c r="D844" s="13" t="n">
        <f aca="false">IF(Raw_Data!D844="","",Raw_Data!D844)</f>
        <v>35</v>
      </c>
      <c r="E844" s="13" t="str">
        <f aca="false">IF(UPPER(LEFT(TRIM(Raw_Data!E844),1))="M","Male",IF(UPPER(LEFT(TRIM(Raw_Data!E844),1))="F","Female","Unknown"))</f>
        <v>Female</v>
      </c>
      <c r="F844" s="13" t="str">
        <f aca="false">PROPER(TRIM(SUBSTITUTE(Raw_Data!F844,"'","")))</f>
        <v>Bachelors</v>
      </c>
      <c r="G844" s="13" t="str">
        <f aca="false">PROPER(TRIM(Raw_Data!G844))</f>
        <v>Customer Support</v>
      </c>
      <c r="H844" s="13" t="str">
        <f aca="false">PROPER(TRIM(Raw_Data!H844))</f>
        <v>Senior Analyst</v>
      </c>
      <c r="I844" s="13" t="n">
        <f aca="false">IF(Raw_Data!I844="",DefaultPerf,Raw_Data!I844)</f>
        <v>5</v>
      </c>
      <c r="J844" s="13" t="n">
        <f aca="false">IF(Raw_Data!J844="",DefaultSat,Raw_Data!J844)</f>
        <v>1</v>
      </c>
      <c r="K844" s="15" t="n">
        <f aca="false">Raw_Data!K844</f>
        <v>107000</v>
      </c>
      <c r="L844" s="13" t="str">
        <f aca="false">PROPER(TRIM(Raw_Data!N844))</f>
        <v>No</v>
      </c>
      <c r="M844" s="13" t="n">
        <f aca="false">IF(C844="",0,1)</f>
        <v>0</v>
      </c>
      <c r="N844" s="13" t="str">
        <f aca="false">IF(M844=0,"Active",IF(TRIM(Raw_Data!L844)="","Unknown",PROPER(TRIM(Raw_Data!L844))))</f>
        <v>Active</v>
      </c>
      <c r="O844" s="13" t="str">
        <f aca="false">IF(M844=0,"",IF(TRIM(Raw_Data!M844)="","Not Recorded",TRIM(Raw_Data!M844)))</f>
        <v/>
      </c>
      <c r="P844" s="16" t="n">
        <f aca="false">ROUND((IF(C844="",AsOfDate,C844)-B844)/365.25,2)</f>
        <v>6.92</v>
      </c>
      <c r="Q844" s="13" t="str">
        <f aca="false">IF(D844="","Unknown",IF(D844&lt;25,"Under 25",IF(D844&lt;35,"25-34",IF(D844&lt;45,"35-44",IF(D844&lt;55,"45-54","55+")))))</f>
        <v>35-44</v>
      </c>
      <c r="R844" s="13" t="str">
        <f aca="false">IF(P844&lt;1,"0-1 yrs",IF(P844&lt;3,"1-3 yrs",IF(P844&lt;5,"3-5 yrs",IF(P844&lt;10,"5-10 yrs","10+ yrs"))))</f>
        <v>5-10 yrs</v>
      </c>
      <c r="S844" s="13" t="str">
        <f aca="false">IF(I844&gt;=4,"High",IF(I844=3,"Medium","Low"))</f>
        <v>High</v>
      </c>
      <c r="T844" s="13" t="str">
        <f aca="false">IF(M844=1,YEAR(C844),"")</f>
        <v/>
      </c>
      <c r="U844" s="13" t="str">
        <f aca="false">IF(M844=1,YEAR(C844)&amp;"-Q"&amp;ROUNDUP(MONTH(C844)/3,0),"")</f>
        <v/>
      </c>
      <c r="V844" s="13" t="str">
        <f aca="false">IF(M844=1,MONTH(C844),"")</f>
        <v/>
      </c>
    </row>
    <row r="845" customFormat="false" ht="15" hidden="false" customHeight="false" outlineLevel="0" collapsed="false">
      <c r="A845" s="13" t="str">
        <f aca="false">TRIM(Raw_Data!A845)</f>
        <v>EMP0844</v>
      </c>
      <c r="B845" s="14" t="n">
        <f aca="false">Raw_Data!B845</f>
        <v>43497</v>
      </c>
      <c r="C845" s="14" t="n">
        <f aca="false">IF(Raw_Data!C845="","",Raw_Data!C845)</f>
        <v>45853</v>
      </c>
      <c r="D845" s="13" t="n">
        <f aca="false">IF(Raw_Data!D845="","",Raw_Data!D845)</f>
        <v>33</v>
      </c>
      <c r="E845" s="13" t="str">
        <f aca="false">IF(UPPER(LEFT(TRIM(Raw_Data!E845),1))="M","Male",IF(UPPER(LEFT(TRIM(Raw_Data!E845),1))="F","Female","Unknown"))</f>
        <v>Male</v>
      </c>
      <c r="F845" s="13" t="str">
        <f aca="false">PROPER(TRIM(SUBSTITUTE(Raw_Data!F845,"'","")))</f>
        <v>Bachelors</v>
      </c>
      <c r="G845" s="13" t="str">
        <f aca="false">PROPER(TRIM(Raw_Data!G845))</f>
        <v>Sales</v>
      </c>
      <c r="H845" s="13" t="str">
        <f aca="false">PROPER(TRIM(Raw_Data!H845))</f>
        <v>Specialist</v>
      </c>
      <c r="I845" s="13" t="n">
        <f aca="false">IF(Raw_Data!I845="",DefaultPerf,Raw_Data!I845)</f>
        <v>3</v>
      </c>
      <c r="J845" s="13" t="n">
        <f aca="false">IF(Raw_Data!J845="",DefaultSat,Raw_Data!J845)</f>
        <v>2</v>
      </c>
      <c r="K845" s="15" t="n">
        <f aca="false">Raw_Data!K845</f>
        <v>116500</v>
      </c>
      <c r="L845" s="13" t="str">
        <f aca="false">PROPER(TRIM(Raw_Data!N845))</f>
        <v>No</v>
      </c>
      <c r="M845" s="13" t="n">
        <f aca="false">IF(C845="",0,1)</f>
        <v>1</v>
      </c>
      <c r="N845" s="13" t="str">
        <f aca="false">IF(M845=0,"Active",IF(TRIM(Raw_Data!L845)="","Unknown",PROPER(TRIM(Raw_Data!L845))))</f>
        <v>Voluntary</v>
      </c>
      <c r="O845" s="13" t="str">
        <f aca="false">IF(M845=0,"",IF(TRIM(Raw_Data!M845)="","Not Recorded",TRIM(Raw_Data!M845)))</f>
        <v>Relocation</v>
      </c>
      <c r="P845" s="16" t="n">
        <f aca="false">ROUND((IF(C845="",AsOfDate,C845)-B845)/365.25,2)</f>
        <v>6.45</v>
      </c>
      <c r="Q845" s="13" t="str">
        <f aca="false">IF(D845="","Unknown",IF(D845&lt;25,"Under 25",IF(D845&lt;35,"25-34",IF(D845&lt;45,"35-44",IF(D845&lt;55,"45-54","55+")))))</f>
        <v>25-34</v>
      </c>
      <c r="R845" s="13" t="str">
        <f aca="false">IF(P845&lt;1,"0-1 yrs",IF(P845&lt;3,"1-3 yrs",IF(P845&lt;5,"3-5 yrs",IF(P845&lt;10,"5-10 yrs","10+ yrs"))))</f>
        <v>5-10 yrs</v>
      </c>
      <c r="S845" s="13" t="str">
        <f aca="false">IF(I845&gt;=4,"High",IF(I845=3,"Medium","Low"))</f>
        <v>Medium</v>
      </c>
      <c r="T845" s="13" t="n">
        <f aca="false">IF(M845=1,YEAR(C845),"")</f>
        <v>2025</v>
      </c>
      <c r="U845" s="13" t="str">
        <f aca="false">IF(M845=1,YEAR(C845)&amp;"-Q"&amp;ROUNDUP(MONTH(C845)/3,0),"")</f>
        <v>2025-Q3</v>
      </c>
      <c r="V845" s="13" t="n">
        <f aca="false">IF(M845=1,MONTH(C845),"")</f>
        <v>7</v>
      </c>
    </row>
    <row r="846" customFormat="false" ht="15" hidden="false" customHeight="false" outlineLevel="0" collapsed="false">
      <c r="A846" s="13" t="str">
        <f aca="false">TRIM(Raw_Data!A846)</f>
        <v>EMP0845</v>
      </c>
      <c r="B846" s="14" t="n">
        <f aca="false">Raw_Data!B846</f>
        <v>43499</v>
      </c>
      <c r="C846" s="14" t="n">
        <f aca="false">IF(Raw_Data!C846="","",Raw_Data!C846)</f>
        <v>44839</v>
      </c>
      <c r="D846" s="13" t="n">
        <f aca="false">IF(Raw_Data!D846="","",Raw_Data!D846)</f>
        <v>25</v>
      </c>
      <c r="E846" s="13" t="str">
        <f aca="false">IF(UPPER(LEFT(TRIM(Raw_Data!E846),1))="M","Male",IF(UPPER(LEFT(TRIM(Raw_Data!E846),1))="F","Female","Unknown"))</f>
        <v>Male</v>
      </c>
      <c r="F846" s="13" t="str">
        <f aca="false">PROPER(TRIM(SUBSTITUTE(Raw_Data!F846,"'","")))</f>
        <v>Bachelors</v>
      </c>
      <c r="G846" s="13" t="str">
        <f aca="false">PROPER(TRIM(Raw_Data!G846))</f>
        <v>Sales</v>
      </c>
      <c r="H846" s="13" t="str">
        <f aca="false">PROPER(TRIM(Raw_Data!H846))</f>
        <v>Senior Analyst</v>
      </c>
      <c r="I846" s="13" t="n">
        <f aca="false">IF(Raw_Data!I846="",DefaultPerf,Raw_Data!I846)</f>
        <v>5</v>
      </c>
      <c r="J846" s="13" t="n">
        <f aca="false">IF(Raw_Data!J846="",DefaultSat,Raw_Data!J846)</f>
        <v>2</v>
      </c>
      <c r="K846" s="15" t="n">
        <f aca="false">Raw_Data!K846</f>
        <v>96500</v>
      </c>
      <c r="L846" s="13" t="str">
        <f aca="false">PROPER(TRIM(Raw_Data!N846))</f>
        <v>No</v>
      </c>
      <c r="M846" s="13" t="n">
        <f aca="false">IF(C846="",0,1)</f>
        <v>1</v>
      </c>
      <c r="N846" s="13" t="str">
        <f aca="false">IF(M846=0,"Active",IF(TRIM(Raw_Data!L846)="","Unknown",PROPER(TRIM(Raw_Data!L846))))</f>
        <v>Voluntary</v>
      </c>
      <c r="O846" s="13" t="str">
        <f aca="false">IF(M846=0,"",IF(TRIM(Raw_Data!M846)="","Not Recorded",TRIM(Raw_Data!M846)))</f>
        <v>Job Dissatisfaction</v>
      </c>
      <c r="P846" s="16" t="n">
        <f aca="false">ROUND((IF(C846="",AsOfDate,C846)-B846)/365.25,2)</f>
        <v>3.67</v>
      </c>
      <c r="Q846" s="13" t="str">
        <f aca="false">IF(D846="","Unknown",IF(D846&lt;25,"Under 25",IF(D846&lt;35,"25-34",IF(D846&lt;45,"35-44",IF(D846&lt;55,"45-54","55+")))))</f>
        <v>25-34</v>
      </c>
      <c r="R846" s="13" t="str">
        <f aca="false">IF(P846&lt;1,"0-1 yrs",IF(P846&lt;3,"1-3 yrs",IF(P846&lt;5,"3-5 yrs",IF(P846&lt;10,"5-10 yrs","10+ yrs"))))</f>
        <v>3-5 yrs</v>
      </c>
      <c r="S846" s="13" t="str">
        <f aca="false">IF(I846&gt;=4,"High",IF(I846=3,"Medium","Low"))</f>
        <v>High</v>
      </c>
      <c r="T846" s="13" t="n">
        <f aca="false">IF(M846=1,YEAR(C846),"")</f>
        <v>2022</v>
      </c>
      <c r="U846" s="13" t="str">
        <f aca="false">IF(M846=1,YEAR(C846)&amp;"-Q"&amp;ROUNDUP(MONTH(C846)/3,0),"")</f>
        <v>2022-Q4</v>
      </c>
      <c r="V846" s="13" t="n">
        <f aca="false">IF(M846=1,MONTH(C846),"")</f>
        <v>10</v>
      </c>
    </row>
    <row r="847" customFormat="false" ht="15" hidden="false" customHeight="false" outlineLevel="0" collapsed="false">
      <c r="A847" s="13" t="str">
        <f aca="false">TRIM(Raw_Data!A847)</f>
        <v>EMP0846</v>
      </c>
      <c r="B847" s="14" t="n">
        <f aca="false">Raw_Data!B847</f>
        <v>43502</v>
      </c>
      <c r="C847" s="14" t="n">
        <f aca="false">IF(Raw_Data!C847="","",Raw_Data!C847)</f>
        <v>44958</v>
      </c>
      <c r="D847" s="13" t="n">
        <f aca="false">IF(Raw_Data!D847="","",Raw_Data!D847)</f>
        <v>32</v>
      </c>
      <c r="E847" s="13" t="str">
        <f aca="false">IF(UPPER(LEFT(TRIM(Raw_Data!E847),1))="M","Male",IF(UPPER(LEFT(TRIM(Raw_Data!E847),1))="F","Female","Unknown"))</f>
        <v>Female</v>
      </c>
      <c r="F847" s="13" t="str">
        <f aca="false">PROPER(TRIM(SUBSTITUTE(Raw_Data!F847,"'","")))</f>
        <v>High School</v>
      </c>
      <c r="G847" s="13" t="str">
        <f aca="false">PROPER(TRIM(Raw_Data!G847))</f>
        <v>Engineering</v>
      </c>
      <c r="H847" s="13" t="str">
        <f aca="false">PROPER(TRIM(Raw_Data!H847))</f>
        <v>Manager</v>
      </c>
      <c r="I847" s="13" t="n">
        <f aca="false">IF(Raw_Data!I847="",DefaultPerf,Raw_Data!I847)</f>
        <v>2</v>
      </c>
      <c r="J847" s="13" t="n">
        <f aca="false">IF(Raw_Data!J847="",DefaultSat,Raw_Data!J847)</f>
        <v>3</v>
      </c>
      <c r="K847" s="15" t="n">
        <f aca="false">Raw_Data!K847</f>
        <v>164500</v>
      </c>
      <c r="L847" s="13" t="str">
        <f aca="false">PROPER(TRIM(Raw_Data!N847))</f>
        <v>No</v>
      </c>
      <c r="M847" s="13" t="n">
        <f aca="false">IF(C847="",0,1)</f>
        <v>1</v>
      </c>
      <c r="N847" s="13" t="str">
        <f aca="false">IF(M847=0,"Active",IF(TRIM(Raw_Data!L847)="","Unknown",PROPER(TRIM(Raw_Data!L847))))</f>
        <v>Involuntary</v>
      </c>
      <c r="O847" s="13" t="str">
        <f aca="false">IF(M847=0,"",IF(TRIM(Raw_Data!M847)="","Not Recorded",TRIM(Raw_Data!M847)))</f>
        <v>End of Contract</v>
      </c>
      <c r="P847" s="16" t="n">
        <f aca="false">ROUND((IF(C847="",AsOfDate,C847)-B847)/365.25,2)</f>
        <v>3.99</v>
      </c>
      <c r="Q847" s="13" t="str">
        <f aca="false">IF(D847="","Unknown",IF(D847&lt;25,"Under 25",IF(D847&lt;35,"25-34",IF(D847&lt;45,"35-44",IF(D847&lt;55,"45-54","55+")))))</f>
        <v>25-34</v>
      </c>
      <c r="R847" s="13" t="str">
        <f aca="false">IF(P847&lt;1,"0-1 yrs",IF(P847&lt;3,"1-3 yrs",IF(P847&lt;5,"3-5 yrs",IF(P847&lt;10,"5-10 yrs","10+ yrs"))))</f>
        <v>3-5 yrs</v>
      </c>
      <c r="S847" s="13" t="str">
        <f aca="false">IF(I847&gt;=4,"High",IF(I847=3,"Medium","Low"))</f>
        <v>Low</v>
      </c>
      <c r="T847" s="13" t="n">
        <f aca="false">IF(M847=1,YEAR(C847),"")</f>
        <v>2023</v>
      </c>
      <c r="U847" s="13" t="str">
        <f aca="false">IF(M847=1,YEAR(C847)&amp;"-Q"&amp;ROUNDUP(MONTH(C847)/3,0),"")</f>
        <v>2023-Q1</v>
      </c>
      <c r="V847" s="13" t="n">
        <f aca="false">IF(M847=1,MONTH(C847),"")</f>
        <v>2</v>
      </c>
    </row>
    <row r="848" customFormat="false" ht="15" hidden="false" customHeight="false" outlineLevel="0" collapsed="false">
      <c r="A848" s="13" t="str">
        <f aca="false">TRIM(Raw_Data!A848)</f>
        <v>EMP0847</v>
      </c>
      <c r="B848" s="14" t="n">
        <f aca="false">Raw_Data!B848</f>
        <v>43503</v>
      </c>
      <c r="C848" s="14" t="str">
        <f aca="false">IF(Raw_Data!C848="","",Raw_Data!C848)</f>
        <v/>
      </c>
      <c r="D848" s="13" t="n">
        <f aca="false">IF(Raw_Data!D848="","",Raw_Data!D848)</f>
        <v>42</v>
      </c>
      <c r="E848" s="13" t="str">
        <f aca="false">IF(UPPER(LEFT(TRIM(Raw_Data!E848),1))="M","Male",IF(UPPER(LEFT(TRIM(Raw_Data!E848),1))="F","Female","Unknown"))</f>
        <v>Male</v>
      </c>
      <c r="F848" s="13" t="str">
        <f aca="false">PROPER(TRIM(SUBSTITUTE(Raw_Data!F848,"'","")))</f>
        <v>Bachelors</v>
      </c>
      <c r="G848" s="13" t="str">
        <f aca="false">PROPER(TRIM(Raw_Data!G848))</f>
        <v>Sales</v>
      </c>
      <c r="H848" s="13" t="str">
        <f aca="false">PROPER(TRIM(Raw_Data!H848))</f>
        <v>Associate</v>
      </c>
      <c r="I848" s="13" t="n">
        <f aca="false">IF(Raw_Data!I848="",DefaultPerf,Raw_Data!I848)</f>
        <v>3</v>
      </c>
      <c r="J848" s="13" t="n">
        <f aca="false">IF(Raw_Data!J848="",DefaultSat,Raw_Data!J848)</f>
        <v>3</v>
      </c>
      <c r="K848" s="15" t="n">
        <f aca="false">Raw_Data!K848</f>
        <v>42500</v>
      </c>
      <c r="L848" s="13" t="str">
        <f aca="false">PROPER(TRIM(Raw_Data!N848))</f>
        <v>No</v>
      </c>
      <c r="M848" s="13" t="n">
        <f aca="false">IF(C848="",0,1)</f>
        <v>0</v>
      </c>
      <c r="N848" s="13" t="str">
        <f aca="false">IF(M848=0,"Active",IF(TRIM(Raw_Data!L848)="","Unknown",PROPER(TRIM(Raw_Data!L848))))</f>
        <v>Active</v>
      </c>
      <c r="O848" s="13" t="str">
        <f aca="false">IF(M848=0,"",IF(TRIM(Raw_Data!M848)="","Not Recorded",TRIM(Raw_Data!M848)))</f>
        <v/>
      </c>
      <c r="P848" s="16" t="n">
        <f aca="false">ROUND((IF(C848="",AsOfDate,C848)-B848)/365.25,2)</f>
        <v>6.9</v>
      </c>
      <c r="Q848" s="13" t="str">
        <f aca="false">IF(D848="","Unknown",IF(D848&lt;25,"Under 25",IF(D848&lt;35,"25-34",IF(D848&lt;45,"35-44",IF(D848&lt;55,"45-54","55+")))))</f>
        <v>35-44</v>
      </c>
      <c r="R848" s="13" t="str">
        <f aca="false">IF(P848&lt;1,"0-1 yrs",IF(P848&lt;3,"1-3 yrs",IF(P848&lt;5,"3-5 yrs",IF(P848&lt;10,"5-10 yrs","10+ yrs"))))</f>
        <v>5-10 yrs</v>
      </c>
      <c r="S848" s="13" t="str">
        <f aca="false">IF(I848&gt;=4,"High",IF(I848=3,"Medium","Low"))</f>
        <v>Medium</v>
      </c>
      <c r="T848" s="13" t="str">
        <f aca="false">IF(M848=1,YEAR(C848),"")</f>
        <v/>
      </c>
      <c r="U848" s="13" t="str">
        <f aca="false">IF(M848=1,YEAR(C848)&amp;"-Q"&amp;ROUNDUP(MONTH(C848)/3,0),"")</f>
        <v/>
      </c>
      <c r="V848" s="13" t="str">
        <f aca="false">IF(M848=1,MONTH(C848),"")</f>
        <v/>
      </c>
    </row>
    <row r="849" customFormat="false" ht="15" hidden="false" customHeight="false" outlineLevel="0" collapsed="false">
      <c r="A849" s="13" t="str">
        <f aca="false">TRIM(Raw_Data!A849)</f>
        <v>EMP0848</v>
      </c>
      <c r="B849" s="14" t="n">
        <f aca="false">Raw_Data!B849</f>
        <v>43504</v>
      </c>
      <c r="C849" s="14" t="str">
        <f aca="false">IF(Raw_Data!C849="","",Raw_Data!C849)</f>
        <v/>
      </c>
      <c r="D849" s="13" t="n">
        <f aca="false">IF(Raw_Data!D849="","",Raw_Data!D849)</f>
        <v>38</v>
      </c>
      <c r="E849" s="13" t="str">
        <f aca="false">IF(UPPER(LEFT(TRIM(Raw_Data!E849),1))="M","Male",IF(UPPER(LEFT(TRIM(Raw_Data!E849),1))="F","Female","Unknown"))</f>
        <v>Female</v>
      </c>
      <c r="F849" s="13" t="str">
        <f aca="false">PROPER(TRIM(SUBSTITUTE(Raw_Data!F849,"'","")))</f>
        <v>Bachelors</v>
      </c>
      <c r="G849" s="13" t="str">
        <f aca="false">PROPER(TRIM(Raw_Data!G849))</f>
        <v>Engineering</v>
      </c>
      <c r="H849" s="13" t="str">
        <f aca="false">PROPER(TRIM(Raw_Data!H849))</f>
        <v>Team Lead</v>
      </c>
      <c r="I849" s="13" t="n">
        <f aca="false">IF(Raw_Data!I849="",DefaultPerf,Raw_Data!I849)</f>
        <v>4</v>
      </c>
      <c r="J849" s="13" t="n">
        <f aca="false">IF(Raw_Data!J849="",DefaultSat,Raw_Data!J849)</f>
        <v>4</v>
      </c>
      <c r="K849" s="15" t="n">
        <f aca="false">Raw_Data!K849</f>
        <v>152500</v>
      </c>
      <c r="L849" s="13" t="str">
        <f aca="false">PROPER(TRIM(Raw_Data!N849))</f>
        <v>No</v>
      </c>
      <c r="M849" s="13" t="n">
        <f aca="false">IF(C849="",0,1)</f>
        <v>0</v>
      </c>
      <c r="N849" s="13" t="str">
        <f aca="false">IF(M849=0,"Active",IF(TRIM(Raw_Data!L849)="","Unknown",PROPER(TRIM(Raw_Data!L849))))</f>
        <v>Active</v>
      </c>
      <c r="O849" s="13" t="str">
        <f aca="false">IF(M849=0,"",IF(TRIM(Raw_Data!M849)="","Not Recorded",TRIM(Raw_Data!M849)))</f>
        <v/>
      </c>
      <c r="P849" s="16" t="n">
        <f aca="false">ROUND((IF(C849="",AsOfDate,C849)-B849)/365.25,2)</f>
        <v>6.89</v>
      </c>
      <c r="Q849" s="13" t="str">
        <f aca="false">IF(D849="","Unknown",IF(D849&lt;25,"Under 25",IF(D849&lt;35,"25-34",IF(D849&lt;45,"35-44",IF(D849&lt;55,"45-54","55+")))))</f>
        <v>35-44</v>
      </c>
      <c r="R849" s="13" t="str">
        <f aca="false">IF(P849&lt;1,"0-1 yrs",IF(P849&lt;3,"1-3 yrs",IF(P849&lt;5,"3-5 yrs",IF(P849&lt;10,"5-10 yrs","10+ yrs"))))</f>
        <v>5-10 yrs</v>
      </c>
      <c r="S849" s="13" t="str">
        <f aca="false">IF(I849&gt;=4,"High",IF(I849=3,"Medium","Low"))</f>
        <v>High</v>
      </c>
      <c r="T849" s="13" t="str">
        <f aca="false">IF(M849=1,YEAR(C849),"")</f>
        <v/>
      </c>
      <c r="U849" s="13" t="str">
        <f aca="false">IF(M849=1,YEAR(C849)&amp;"-Q"&amp;ROUNDUP(MONTH(C849)/3,0),"")</f>
        <v/>
      </c>
      <c r="V849" s="13" t="str">
        <f aca="false">IF(M849=1,MONTH(C849),"")</f>
        <v/>
      </c>
    </row>
    <row r="850" customFormat="false" ht="15" hidden="false" customHeight="false" outlineLevel="0" collapsed="false">
      <c r="A850" s="13" t="str">
        <f aca="false">TRIM(Raw_Data!A850)</f>
        <v>EMP0849</v>
      </c>
      <c r="B850" s="14" t="n">
        <f aca="false">Raw_Data!B850</f>
        <v>43504</v>
      </c>
      <c r="C850" s="14" t="str">
        <f aca="false">IF(Raw_Data!C850="","",Raw_Data!C850)</f>
        <v/>
      </c>
      <c r="D850" s="13" t="n">
        <f aca="false">IF(Raw_Data!D850="","",Raw_Data!D850)</f>
        <v>28</v>
      </c>
      <c r="E850" s="13" t="str">
        <f aca="false">IF(UPPER(LEFT(TRIM(Raw_Data!E850),1))="M","Male",IF(UPPER(LEFT(TRIM(Raw_Data!E850),1))="F","Female","Unknown"))</f>
        <v>Female</v>
      </c>
      <c r="F850" s="13" t="str">
        <f aca="false">PROPER(TRIM(SUBSTITUTE(Raw_Data!F850,"'","")))</f>
        <v>Bachelors</v>
      </c>
      <c r="G850" s="13" t="str">
        <f aca="false">PROPER(TRIM(Raw_Data!G850))</f>
        <v>Operations</v>
      </c>
      <c r="H850" s="13" t="str">
        <f aca="false">PROPER(TRIM(Raw_Data!H850))</f>
        <v>Senior Analyst</v>
      </c>
      <c r="I850" s="13" t="n">
        <f aca="false">IF(Raw_Data!I850="",DefaultPerf,Raw_Data!I850)</f>
        <v>4</v>
      </c>
      <c r="J850" s="13" t="n">
        <f aca="false">IF(Raw_Data!J850="",DefaultSat,Raw_Data!J850)</f>
        <v>4</v>
      </c>
      <c r="K850" s="15" t="n">
        <f aca="false">Raw_Data!K850</f>
        <v>97000</v>
      </c>
      <c r="L850" s="13" t="str">
        <f aca="false">PROPER(TRIM(Raw_Data!N850))</f>
        <v>No</v>
      </c>
      <c r="M850" s="13" t="n">
        <f aca="false">IF(C850="",0,1)</f>
        <v>0</v>
      </c>
      <c r="N850" s="13" t="str">
        <f aca="false">IF(M850=0,"Active",IF(TRIM(Raw_Data!L850)="","Unknown",PROPER(TRIM(Raw_Data!L850))))</f>
        <v>Active</v>
      </c>
      <c r="O850" s="13" t="str">
        <f aca="false">IF(M850=0,"",IF(TRIM(Raw_Data!M850)="","Not Recorded",TRIM(Raw_Data!M850)))</f>
        <v/>
      </c>
      <c r="P850" s="16" t="n">
        <f aca="false">ROUND((IF(C850="",AsOfDate,C850)-B850)/365.25,2)</f>
        <v>6.89</v>
      </c>
      <c r="Q850" s="13" t="str">
        <f aca="false">IF(D850="","Unknown",IF(D850&lt;25,"Under 25",IF(D850&lt;35,"25-34",IF(D850&lt;45,"35-44",IF(D850&lt;55,"45-54","55+")))))</f>
        <v>25-34</v>
      </c>
      <c r="R850" s="13" t="str">
        <f aca="false">IF(P850&lt;1,"0-1 yrs",IF(P850&lt;3,"1-3 yrs",IF(P850&lt;5,"3-5 yrs",IF(P850&lt;10,"5-10 yrs","10+ yrs"))))</f>
        <v>5-10 yrs</v>
      </c>
      <c r="S850" s="13" t="str">
        <f aca="false">IF(I850&gt;=4,"High",IF(I850=3,"Medium","Low"))</f>
        <v>High</v>
      </c>
      <c r="T850" s="13" t="str">
        <f aca="false">IF(M850=1,YEAR(C850),"")</f>
        <v/>
      </c>
      <c r="U850" s="13" t="str">
        <f aca="false">IF(M850=1,YEAR(C850)&amp;"-Q"&amp;ROUNDUP(MONTH(C850)/3,0),"")</f>
        <v/>
      </c>
      <c r="V850" s="13" t="str">
        <f aca="false">IF(M850=1,MONTH(C850),"")</f>
        <v/>
      </c>
    </row>
    <row r="851" customFormat="false" ht="15" hidden="false" customHeight="false" outlineLevel="0" collapsed="false">
      <c r="A851" s="13" t="str">
        <f aca="false">TRIM(Raw_Data!A851)</f>
        <v>EMP0850</v>
      </c>
      <c r="B851" s="14" t="n">
        <f aca="false">Raw_Data!B851</f>
        <v>43508</v>
      </c>
      <c r="C851" s="14" t="str">
        <f aca="false">IF(Raw_Data!C851="","",Raw_Data!C851)</f>
        <v/>
      </c>
      <c r="D851" s="13" t="n">
        <f aca="false">IF(Raw_Data!D851="","",Raw_Data!D851)</f>
        <v>28</v>
      </c>
      <c r="E851" s="13" t="str">
        <f aca="false">IF(UPPER(LEFT(TRIM(Raw_Data!E851),1))="M","Male",IF(UPPER(LEFT(TRIM(Raw_Data!E851),1))="F","Female","Unknown"))</f>
        <v>Female</v>
      </c>
      <c r="F851" s="13" t="str">
        <f aca="false">PROPER(TRIM(SUBSTITUTE(Raw_Data!F851,"'","")))</f>
        <v>High School</v>
      </c>
      <c r="G851" s="13" t="str">
        <f aca="false">PROPER(TRIM(Raw_Data!G851))</f>
        <v>Engineering</v>
      </c>
      <c r="H851" s="13" t="str">
        <f aca="false">PROPER(TRIM(Raw_Data!H851))</f>
        <v>Specialist</v>
      </c>
      <c r="I851" s="13" t="n">
        <f aca="false">IF(Raw_Data!I851="",DefaultPerf,Raw_Data!I851)</f>
        <v>3</v>
      </c>
      <c r="J851" s="13" t="n">
        <f aca="false">IF(Raw_Data!J851="",DefaultSat,Raw_Data!J851)</f>
        <v>3</v>
      </c>
      <c r="K851" s="15" t="n">
        <f aca="false">Raw_Data!K851</f>
        <v>129500</v>
      </c>
      <c r="L851" s="13" t="str">
        <f aca="false">PROPER(TRIM(Raw_Data!N851))</f>
        <v>Yes</v>
      </c>
      <c r="M851" s="13" t="n">
        <f aca="false">IF(C851="",0,1)</f>
        <v>0</v>
      </c>
      <c r="N851" s="13" t="str">
        <f aca="false">IF(M851=0,"Active",IF(TRIM(Raw_Data!L851)="","Unknown",PROPER(TRIM(Raw_Data!L851))))</f>
        <v>Active</v>
      </c>
      <c r="O851" s="13" t="str">
        <f aca="false">IF(M851=0,"",IF(TRIM(Raw_Data!M851)="","Not Recorded",TRIM(Raw_Data!M851)))</f>
        <v/>
      </c>
      <c r="P851" s="16" t="n">
        <f aca="false">ROUND((IF(C851="",AsOfDate,C851)-B851)/365.25,2)</f>
        <v>6.88</v>
      </c>
      <c r="Q851" s="13" t="str">
        <f aca="false">IF(D851="","Unknown",IF(D851&lt;25,"Under 25",IF(D851&lt;35,"25-34",IF(D851&lt;45,"35-44",IF(D851&lt;55,"45-54","55+")))))</f>
        <v>25-34</v>
      </c>
      <c r="R851" s="13" t="str">
        <f aca="false">IF(P851&lt;1,"0-1 yrs",IF(P851&lt;3,"1-3 yrs",IF(P851&lt;5,"3-5 yrs",IF(P851&lt;10,"5-10 yrs","10+ yrs"))))</f>
        <v>5-10 yrs</v>
      </c>
      <c r="S851" s="13" t="str">
        <f aca="false">IF(I851&gt;=4,"High",IF(I851=3,"Medium","Low"))</f>
        <v>Medium</v>
      </c>
      <c r="T851" s="13" t="str">
        <f aca="false">IF(M851=1,YEAR(C851),"")</f>
        <v/>
      </c>
      <c r="U851" s="13" t="str">
        <f aca="false">IF(M851=1,YEAR(C851)&amp;"-Q"&amp;ROUNDUP(MONTH(C851)/3,0),"")</f>
        <v/>
      </c>
      <c r="V851" s="13" t="str">
        <f aca="false">IF(M851=1,MONTH(C851),"")</f>
        <v/>
      </c>
    </row>
    <row r="852" customFormat="false" ht="15" hidden="false" customHeight="false" outlineLevel="0" collapsed="false">
      <c r="A852" s="13" t="str">
        <f aca="false">TRIM(Raw_Data!A852)</f>
        <v>EMP0851</v>
      </c>
      <c r="B852" s="14" t="n">
        <f aca="false">Raw_Data!B852</f>
        <v>43509</v>
      </c>
      <c r="C852" s="14" t="str">
        <f aca="false">IF(Raw_Data!C852="","",Raw_Data!C852)</f>
        <v/>
      </c>
      <c r="D852" s="13" t="n">
        <f aca="false">IF(Raw_Data!D852="","",Raw_Data!D852)</f>
        <v>37</v>
      </c>
      <c r="E852" s="13" t="str">
        <f aca="false">IF(UPPER(LEFT(TRIM(Raw_Data!E852),1))="M","Male",IF(UPPER(LEFT(TRIM(Raw_Data!E852),1))="F","Female","Unknown"))</f>
        <v>Male</v>
      </c>
      <c r="F852" s="13" t="str">
        <f aca="false">PROPER(TRIM(SUBSTITUTE(Raw_Data!F852,"'","")))</f>
        <v>Diploma</v>
      </c>
      <c r="G852" s="13" t="str">
        <f aca="false">PROPER(TRIM(Raw_Data!G852))</f>
        <v>Sales</v>
      </c>
      <c r="H852" s="13" t="str">
        <f aca="false">PROPER(TRIM(Raw_Data!H852))</f>
        <v>Manager</v>
      </c>
      <c r="I852" s="13" t="n">
        <f aca="false">IF(Raw_Data!I852="",DefaultPerf,Raw_Data!I852)</f>
        <v>3</v>
      </c>
      <c r="J852" s="13" t="n">
        <f aca="false">IF(Raw_Data!J852="",DefaultSat,Raw_Data!J852)</f>
        <v>4</v>
      </c>
      <c r="K852" s="15" t="n">
        <f aca="false">Raw_Data!K852</f>
        <v>199500</v>
      </c>
      <c r="L852" s="13" t="str">
        <f aca="false">PROPER(TRIM(Raw_Data!N852))</f>
        <v>No</v>
      </c>
      <c r="M852" s="13" t="n">
        <f aca="false">IF(C852="",0,1)</f>
        <v>0</v>
      </c>
      <c r="N852" s="13" t="str">
        <f aca="false">IF(M852=0,"Active",IF(TRIM(Raw_Data!L852)="","Unknown",PROPER(TRIM(Raw_Data!L852))))</f>
        <v>Active</v>
      </c>
      <c r="O852" s="13" t="str">
        <f aca="false">IF(M852=0,"",IF(TRIM(Raw_Data!M852)="","Not Recorded",TRIM(Raw_Data!M852)))</f>
        <v/>
      </c>
      <c r="P852" s="16" t="n">
        <f aca="false">ROUND((IF(C852="",AsOfDate,C852)-B852)/365.25,2)</f>
        <v>6.88</v>
      </c>
      <c r="Q852" s="13" t="str">
        <f aca="false">IF(D852="","Unknown",IF(D852&lt;25,"Under 25",IF(D852&lt;35,"25-34",IF(D852&lt;45,"35-44",IF(D852&lt;55,"45-54","55+")))))</f>
        <v>35-44</v>
      </c>
      <c r="R852" s="13" t="str">
        <f aca="false">IF(P852&lt;1,"0-1 yrs",IF(P852&lt;3,"1-3 yrs",IF(P852&lt;5,"3-5 yrs",IF(P852&lt;10,"5-10 yrs","10+ yrs"))))</f>
        <v>5-10 yrs</v>
      </c>
      <c r="S852" s="13" t="str">
        <f aca="false">IF(I852&gt;=4,"High",IF(I852=3,"Medium","Low"))</f>
        <v>Medium</v>
      </c>
      <c r="T852" s="13" t="str">
        <f aca="false">IF(M852=1,YEAR(C852),"")</f>
        <v/>
      </c>
      <c r="U852" s="13" t="str">
        <f aca="false">IF(M852=1,YEAR(C852)&amp;"-Q"&amp;ROUNDUP(MONTH(C852)/3,0),"")</f>
        <v/>
      </c>
      <c r="V852" s="13" t="str">
        <f aca="false">IF(M852=1,MONTH(C852),"")</f>
        <v/>
      </c>
    </row>
    <row r="853" customFormat="false" ht="15" hidden="false" customHeight="false" outlineLevel="0" collapsed="false">
      <c r="A853" s="13" t="str">
        <f aca="false">TRIM(Raw_Data!A853)</f>
        <v>EMP0852</v>
      </c>
      <c r="B853" s="14" t="n">
        <f aca="false">Raw_Data!B853</f>
        <v>43518</v>
      </c>
      <c r="C853" s="14" t="str">
        <f aca="false">IF(Raw_Data!C853="","",Raw_Data!C853)</f>
        <v/>
      </c>
      <c r="D853" s="13" t="n">
        <f aca="false">IF(Raw_Data!D853="","",Raw_Data!D853)</f>
        <v>28</v>
      </c>
      <c r="E853" s="13" t="str">
        <f aca="false">IF(UPPER(LEFT(TRIM(Raw_Data!E853),1))="M","Male",IF(UPPER(LEFT(TRIM(Raw_Data!E853),1))="F","Female","Unknown"))</f>
        <v>Male</v>
      </c>
      <c r="F853" s="13" t="str">
        <f aca="false">PROPER(TRIM(SUBSTITUTE(Raw_Data!F853,"'","")))</f>
        <v>Masters</v>
      </c>
      <c r="G853" s="13" t="str">
        <f aca="false">PROPER(TRIM(Raw_Data!G853))</f>
        <v>Sales</v>
      </c>
      <c r="H853" s="13" t="str">
        <f aca="false">PROPER(TRIM(Raw_Data!H853))</f>
        <v>Associate</v>
      </c>
      <c r="I853" s="13" t="n">
        <f aca="false">IF(Raw_Data!I853="",DefaultPerf,Raw_Data!I853)</f>
        <v>4</v>
      </c>
      <c r="J853" s="13" t="n">
        <f aca="false">IF(Raw_Data!J853="",DefaultSat,Raw_Data!J853)</f>
        <v>3</v>
      </c>
      <c r="K853" s="15" t="n">
        <f aca="false">Raw_Data!K853</f>
        <v>39500</v>
      </c>
      <c r="L853" s="13" t="str">
        <f aca="false">PROPER(TRIM(Raw_Data!N853))</f>
        <v>No</v>
      </c>
      <c r="M853" s="13" t="n">
        <f aca="false">IF(C853="",0,1)</f>
        <v>0</v>
      </c>
      <c r="N853" s="13" t="str">
        <f aca="false">IF(M853=0,"Active",IF(TRIM(Raw_Data!L853)="","Unknown",PROPER(TRIM(Raw_Data!L853))))</f>
        <v>Active</v>
      </c>
      <c r="O853" s="13" t="str">
        <f aca="false">IF(M853=0,"",IF(TRIM(Raw_Data!M853)="","Not Recorded",TRIM(Raw_Data!M853)))</f>
        <v/>
      </c>
      <c r="P853" s="16" t="n">
        <f aca="false">ROUND((IF(C853="",AsOfDate,C853)-B853)/365.25,2)</f>
        <v>6.86</v>
      </c>
      <c r="Q853" s="13" t="str">
        <f aca="false">IF(D853="","Unknown",IF(D853&lt;25,"Under 25",IF(D853&lt;35,"25-34",IF(D853&lt;45,"35-44",IF(D853&lt;55,"45-54","55+")))))</f>
        <v>25-34</v>
      </c>
      <c r="R853" s="13" t="str">
        <f aca="false">IF(P853&lt;1,"0-1 yrs",IF(P853&lt;3,"1-3 yrs",IF(P853&lt;5,"3-5 yrs",IF(P853&lt;10,"5-10 yrs","10+ yrs"))))</f>
        <v>5-10 yrs</v>
      </c>
      <c r="S853" s="13" t="str">
        <f aca="false">IF(I853&gt;=4,"High",IF(I853=3,"Medium","Low"))</f>
        <v>High</v>
      </c>
      <c r="T853" s="13" t="str">
        <f aca="false">IF(M853=1,YEAR(C853),"")</f>
        <v/>
      </c>
      <c r="U853" s="13" t="str">
        <f aca="false">IF(M853=1,YEAR(C853)&amp;"-Q"&amp;ROUNDUP(MONTH(C853)/3,0),"")</f>
        <v/>
      </c>
      <c r="V853" s="13" t="str">
        <f aca="false">IF(M853=1,MONTH(C853),"")</f>
        <v/>
      </c>
    </row>
    <row r="854" customFormat="false" ht="15" hidden="false" customHeight="false" outlineLevel="0" collapsed="false">
      <c r="A854" s="13" t="str">
        <f aca="false">TRIM(Raw_Data!A854)</f>
        <v>EMP0853</v>
      </c>
      <c r="B854" s="14" t="n">
        <f aca="false">Raw_Data!B854</f>
        <v>43519</v>
      </c>
      <c r="C854" s="14" t="n">
        <f aca="false">IF(Raw_Data!C854="","",Raw_Data!C854)</f>
        <v>45280</v>
      </c>
      <c r="D854" s="13" t="n">
        <f aca="false">IF(Raw_Data!D854="","",Raw_Data!D854)</f>
        <v>26</v>
      </c>
      <c r="E854" s="13" t="str">
        <f aca="false">IF(UPPER(LEFT(TRIM(Raw_Data!E854),1))="M","Male",IF(UPPER(LEFT(TRIM(Raw_Data!E854),1))="F","Female","Unknown"))</f>
        <v>Male</v>
      </c>
      <c r="F854" s="13" t="str">
        <f aca="false">PROPER(TRIM(SUBSTITUTE(Raw_Data!F854,"'","")))</f>
        <v>Bachelors</v>
      </c>
      <c r="G854" s="13" t="str">
        <f aca="false">PROPER(TRIM(Raw_Data!G854))</f>
        <v>Customer Support</v>
      </c>
      <c r="H854" s="13" t="str">
        <f aca="false">PROPER(TRIM(Raw_Data!H854))</f>
        <v>Associate</v>
      </c>
      <c r="I854" s="13" t="n">
        <f aca="false">IF(Raw_Data!I854="",DefaultPerf,Raw_Data!I854)</f>
        <v>3</v>
      </c>
      <c r="J854" s="13" t="n">
        <f aca="false">IF(Raw_Data!J854="",DefaultSat,Raw_Data!J854)</f>
        <v>3</v>
      </c>
      <c r="K854" s="15" t="n">
        <f aca="false">Raw_Data!K854</f>
        <v>45000</v>
      </c>
      <c r="L854" s="13" t="str">
        <f aca="false">PROPER(TRIM(Raw_Data!N854))</f>
        <v>No</v>
      </c>
      <c r="M854" s="13" t="n">
        <f aca="false">IF(C854="",0,1)</f>
        <v>1</v>
      </c>
      <c r="N854" s="13" t="str">
        <f aca="false">IF(M854=0,"Active",IF(TRIM(Raw_Data!L854)="","Unknown",PROPER(TRIM(Raw_Data!L854))))</f>
        <v>Voluntary</v>
      </c>
      <c r="O854" s="13" t="str">
        <f aca="false">IF(M854=0,"",IF(TRIM(Raw_Data!M854)="","Not Recorded",TRIM(Raw_Data!M854)))</f>
        <v>Career Growth</v>
      </c>
      <c r="P854" s="16" t="n">
        <f aca="false">ROUND((IF(C854="",AsOfDate,C854)-B854)/365.25,2)</f>
        <v>4.82</v>
      </c>
      <c r="Q854" s="13" t="str">
        <f aca="false">IF(D854="","Unknown",IF(D854&lt;25,"Under 25",IF(D854&lt;35,"25-34",IF(D854&lt;45,"35-44",IF(D854&lt;55,"45-54","55+")))))</f>
        <v>25-34</v>
      </c>
      <c r="R854" s="13" t="str">
        <f aca="false">IF(P854&lt;1,"0-1 yrs",IF(P854&lt;3,"1-3 yrs",IF(P854&lt;5,"3-5 yrs",IF(P854&lt;10,"5-10 yrs","10+ yrs"))))</f>
        <v>3-5 yrs</v>
      </c>
      <c r="S854" s="13" t="str">
        <f aca="false">IF(I854&gt;=4,"High",IF(I854=3,"Medium","Low"))</f>
        <v>Medium</v>
      </c>
      <c r="T854" s="13" t="n">
        <f aca="false">IF(M854=1,YEAR(C854),"")</f>
        <v>2023</v>
      </c>
      <c r="U854" s="13" t="str">
        <f aca="false">IF(M854=1,YEAR(C854)&amp;"-Q"&amp;ROUNDUP(MONTH(C854)/3,0),"")</f>
        <v>2023-Q4</v>
      </c>
      <c r="V854" s="13" t="n">
        <f aca="false">IF(M854=1,MONTH(C854),"")</f>
        <v>12</v>
      </c>
    </row>
    <row r="855" customFormat="false" ht="15" hidden="false" customHeight="false" outlineLevel="0" collapsed="false">
      <c r="A855" s="13" t="str">
        <f aca="false">TRIM(Raw_Data!A855)</f>
        <v>EMP0854</v>
      </c>
      <c r="B855" s="14" t="n">
        <f aca="false">Raw_Data!B855</f>
        <v>43521</v>
      </c>
      <c r="C855" s="14" t="str">
        <f aca="false">IF(Raw_Data!C855="","",Raw_Data!C855)</f>
        <v/>
      </c>
      <c r="D855" s="13" t="n">
        <f aca="false">IF(Raw_Data!D855="","",Raw_Data!D855)</f>
        <v>41</v>
      </c>
      <c r="E855" s="13" t="str">
        <f aca="false">IF(UPPER(LEFT(TRIM(Raw_Data!E855),1))="M","Male",IF(UPPER(LEFT(TRIM(Raw_Data!E855),1))="F","Female","Unknown"))</f>
        <v>Female</v>
      </c>
      <c r="F855" s="13" t="str">
        <f aca="false">PROPER(TRIM(SUBSTITUTE(Raw_Data!F855,"'","")))</f>
        <v>Bachelors</v>
      </c>
      <c r="G855" s="13" t="str">
        <f aca="false">PROPER(TRIM(Raw_Data!G855))</f>
        <v>Engineering</v>
      </c>
      <c r="H855" s="13" t="str">
        <f aca="false">PROPER(TRIM(Raw_Data!H855))</f>
        <v>Specialist</v>
      </c>
      <c r="I855" s="13" t="n">
        <f aca="false">IF(Raw_Data!I855="",DefaultPerf,Raw_Data!I855)</f>
        <v>3</v>
      </c>
      <c r="J855" s="13" t="n">
        <f aca="false">IF(Raw_Data!J855="",DefaultSat,Raw_Data!J855)</f>
        <v>4</v>
      </c>
      <c r="K855" s="15" t="n">
        <f aca="false">Raw_Data!K855</f>
        <v>101500</v>
      </c>
      <c r="L855" s="13" t="str">
        <f aca="false">PROPER(TRIM(Raw_Data!N855))</f>
        <v>No</v>
      </c>
      <c r="M855" s="13" t="n">
        <f aca="false">IF(C855="",0,1)</f>
        <v>0</v>
      </c>
      <c r="N855" s="13" t="str">
        <f aca="false">IF(M855=0,"Active",IF(TRIM(Raw_Data!L855)="","Unknown",PROPER(TRIM(Raw_Data!L855))))</f>
        <v>Active</v>
      </c>
      <c r="O855" s="13" t="str">
        <f aca="false">IF(M855=0,"",IF(TRIM(Raw_Data!M855)="","Not Recorded",TRIM(Raw_Data!M855)))</f>
        <v/>
      </c>
      <c r="P855" s="16" t="n">
        <f aca="false">ROUND((IF(C855="",AsOfDate,C855)-B855)/365.25,2)</f>
        <v>6.85</v>
      </c>
      <c r="Q855" s="13" t="str">
        <f aca="false">IF(D855="","Unknown",IF(D855&lt;25,"Under 25",IF(D855&lt;35,"25-34",IF(D855&lt;45,"35-44",IF(D855&lt;55,"45-54","55+")))))</f>
        <v>35-44</v>
      </c>
      <c r="R855" s="13" t="str">
        <f aca="false">IF(P855&lt;1,"0-1 yrs",IF(P855&lt;3,"1-3 yrs",IF(P855&lt;5,"3-5 yrs",IF(P855&lt;10,"5-10 yrs","10+ yrs"))))</f>
        <v>5-10 yrs</v>
      </c>
      <c r="S855" s="13" t="str">
        <f aca="false">IF(I855&gt;=4,"High",IF(I855=3,"Medium","Low"))</f>
        <v>Medium</v>
      </c>
      <c r="T855" s="13" t="str">
        <f aca="false">IF(M855=1,YEAR(C855),"")</f>
        <v/>
      </c>
      <c r="U855" s="13" t="str">
        <f aca="false">IF(M855=1,YEAR(C855)&amp;"-Q"&amp;ROUNDUP(MONTH(C855)/3,0),"")</f>
        <v/>
      </c>
      <c r="V855" s="13" t="str">
        <f aca="false">IF(M855=1,MONTH(C855),"")</f>
        <v/>
      </c>
    </row>
    <row r="856" customFormat="false" ht="15" hidden="false" customHeight="false" outlineLevel="0" collapsed="false">
      <c r="A856" s="13" t="str">
        <f aca="false">TRIM(Raw_Data!A856)</f>
        <v>EMP0855</v>
      </c>
      <c r="B856" s="14" t="n">
        <f aca="false">Raw_Data!B856</f>
        <v>43522</v>
      </c>
      <c r="C856" s="14" t="n">
        <f aca="false">IF(Raw_Data!C856="","",Raw_Data!C856)</f>
        <v>45420</v>
      </c>
      <c r="D856" s="13" t="n">
        <f aca="false">IF(Raw_Data!D856="","",Raw_Data!D856)</f>
        <v>26</v>
      </c>
      <c r="E856" s="13" t="str">
        <f aca="false">IF(UPPER(LEFT(TRIM(Raw_Data!E856),1))="M","Male",IF(UPPER(LEFT(TRIM(Raw_Data!E856),1))="F","Female","Unknown"))</f>
        <v>Female</v>
      </c>
      <c r="F856" s="13" t="str">
        <f aca="false">PROPER(TRIM(SUBSTITUTE(Raw_Data!F856,"'","")))</f>
        <v>Diploma</v>
      </c>
      <c r="G856" s="13" t="str">
        <f aca="false">PROPER(TRIM(Raw_Data!G856))</f>
        <v>Customer Support</v>
      </c>
      <c r="H856" s="13" t="str">
        <f aca="false">PROPER(TRIM(Raw_Data!H856))</f>
        <v>Specialist</v>
      </c>
      <c r="I856" s="13" t="n">
        <f aca="false">IF(Raw_Data!I856="",DefaultPerf,Raw_Data!I856)</f>
        <v>3</v>
      </c>
      <c r="J856" s="13" t="n">
        <f aca="false">IF(Raw_Data!J856="",DefaultSat,Raw_Data!J856)</f>
        <v>2</v>
      </c>
      <c r="K856" s="15" t="n">
        <f aca="false">Raw_Data!K856</f>
        <v>120500</v>
      </c>
      <c r="L856" s="13" t="str">
        <f aca="false">PROPER(TRIM(Raw_Data!N856))</f>
        <v>No</v>
      </c>
      <c r="M856" s="13" t="n">
        <f aca="false">IF(C856="",0,1)</f>
        <v>1</v>
      </c>
      <c r="N856" s="13" t="str">
        <f aca="false">IF(M856=0,"Active",IF(TRIM(Raw_Data!L856)="","Unknown",PROPER(TRIM(Raw_Data!L856))))</f>
        <v>Voluntary</v>
      </c>
      <c r="O856" s="13" t="str">
        <f aca="false">IF(M856=0,"",IF(TRIM(Raw_Data!M856)="","Not Recorded",TRIM(Raw_Data!M856)))</f>
        <v>Career Growth</v>
      </c>
      <c r="P856" s="16" t="n">
        <f aca="false">ROUND((IF(C856="",AsOfDate,C856)-B856)/365.25,2)</f>
        <v>5.2</v>
      </c>
      <c r="Q856" s="13" t="str">
        <f aca="false">IF(D856="","Unknown",IF(D856&lt;25,"Under 25",IF(D856&lt;35,"25-34",IF(D856&lt;45,"35-44",IF(D856&lt;55,"45-54","55+")))))</f>
        <v>25-34</v>
      </c>
      <c r="R856" s="13" t="str">
        <f aca="false">IF(P856&lt;1,"0-1 yrs",IF(P856&lt;3,"1-3 yrs",IF(P856&lt;5,"3-5 yrs",IF(P856&lt;10,"5-10 yrs","10+ yrs"))))</f>
        <v>5-10 yrs</v>
      </c>
      <c r="S856" s="13" t="str">
        <f aca="false">IF(I856&gt;=4,"High",IF(I856=3,"Medium","Low"))</f>
        <v>Medium</v>
      </c>
      <c r="T856" s="13" t="n">
        <f aca="false">IF(M856=1,YEAR(C856),"")</f>
        <v>2024</v>
      </c>
      <c r="U856" s="13" t="str">
        <f aca="false">IF(M856=1,YEAR(C856)&amp;"-Q"&amp;ROUNDUP(MONTH(C856)/3,0),"")</f>
        <v>2024-Q2</v>
      </c>
      <c r="V856" s="13" t="n">
        <f aca="false">IF(M856=1,MONTH(C856),"")</f>
        <v>5</v>
      </c>
    </row>
    <row r="857" customFormat="false" ht="15" hidden="false" customHeight="false" outlineLevel="0" collapsed="false">
      <c r="A857" s="13" t="str">
        <f aca="false">TRIM(Raw_Data!A857)</f>
        <v>EMP0856</v>
      </c>
      <c r="B857" s="14" t="n">
        <f aca="false">Raw_Data!B857</f>
        <v>43523</v>
      </c>
      <c r="C857" s="14" t="n">
        <f aca="false">IF(Raw_Data!C857="","",Raw_Data!C857)</f>
        <v>45346</v>
      </c>
      <c r="D857" s="13" t="n">
        <f aca="false">IF(Raw_Data!D857="","",Raw_Data!D857)</f>
        <v>33</v>
      </c>
      <c r="E857" s="13" t="str">
        <f aca="false">IF(UPPER(LEFT(TRIM(Raw_Data!E857),1))="M","Male",IF(UPPER(LEFT(TRIM(Raw_Data!E857),1))="F","Female","Unknown"))</f>
        <v>Male</v>
      </c>
      <c r="F857" s="13" t="str">
        <f aca="false">PROPER(TRIM(SUBSTITUTE(Raw_Data!F857,"'","")))</f>
        <v>High School</v>
      </c>
      <c r="G857" s="13" t="str">
        <f aca="false">PROPER(TRIM(Raw_Data!G857))</f>
        <v>Engineering</v>
      </c>
      <c r="H857" s="13" t="str">
        <f aca="false">PROPER(TRIM(Raw_Data!H857))</f>
        <v>Associate</v>
      </c>
      <c r="I857" s="13" t="n">
        <f aca="false">IF(Raw_Data!I857="",DefaultPerf,Raw_Data!I857)</f>
        <v>3</v>
      </c>
      <c r="J857" s="13" t="n">
        <f aca="false">IF(Raw_Data!J857="",DefaultSat,Raw_Data!J857)</f>
        <v>3</v>
      </c>
      <c r="K857" s="15" t="n">
        <f aca="false">Raw_Data!K857</f>
        <v>51500</v>
      </c>
      <c r="L857" s="13" t="str">
        <f aca="false">PROPER(TRIM(Raw_Data!N857))</f>
        <v>Yes</v>
      </c>
      <c r="M857" s="13" t="n">
        <f aca="false">IF(C857="",0,1)</f>
        <v>1</v>
      </c>
      <c r="N857" s="13" t="str">
        <f aca="false">IF(M857=0,"Active",IF(TRIM(Raw_Data!L857)="","Unknown",PROPER(TRIM(Raw_Data!L857))))</f>
        <v>Unknown</v>
      </c>
      <c r="O857" s="13" t="str">
        <f aca="false">IF(M857=0,"",IF(TRIM(Raw_Data!M857)="","Not Recorded",TRIM(Raw_Data!M857)))</f>
        <v>Work-Life Balance</v>
      </c>
      <c r="P857" s="16" t="n">
        <f aca="false">ROUND((IF(C857="",AsOfDate,C857)-B857)/365.25,2)</f>
        <v>4.99</v>
      </c>
      <c r="Q857" s="13" t="str">
        <f aca="false">IF(D857="","Unknown",IF(D857&lt;25,"Under 25",IF(D857&lt;35,"25-34",IF(D857&lt;45,"35-44",IF(D857&lt;55,"45-54","55+")))))</f>
        <v>25-34</v>
      </c>
      <c r="R857" s="13" t="str">
        <f aca="false">IF(P857&lt;1,"0-1 yrs",IF(P857&lt;3,"1-3 yrs",IF(P857&lt;5,"3-5 yrs",IF(P857&lt;10,"5-10 yrs","10+ yrs"))))</f>
        <v>3-5 yrs</v>
      </c>
      <c r="S857" s="13" t="str">
        <f aca="false">IF(I857&gt;=4,"High",IF(I857=3,"Medium","Low"))</f>
        <v>Medium</v>
      </c>
      <c r="T857" s="13" t="n">
        <f aca="false">IF(M857=1,YEAR(C857),"")</f>
        <v>2024</v>
      </c>
      <c r="U857" s="13" t="str">
        <f aca="false">IF(M857=1,YEAR(C857)&amp;"-Q"&amp;ROUNDUP(MONTH(C857)/3,0),"")</f>
        <v>2024-Q1</v>
      </c>
      <c r="V857" s="13" t="n">
        <f aca="false">IF(M857=1,MONTH(C857),"")</f>
        <v>2</v>
      </c>
    </row>
    <row r="858" customFormat="false" ht="15" hidden="false" customHeight="false" outlineLevel="0" collapsed="false">
      <c r="A858" s="13" t="str">
        <f aca="false">TRIM(Raw_Data!A858)</f>
        <v>EMP0857</v>
      </c>
      <c r="B858" s="14" t="n">
        <f aca="false">Raw_Data!B858</f>
        <v>43530</v>
      </c>
      <c r="C858" s="14" t="str">
        <f aca="false">IF(Raw_Data!C858="","",Raw_Data!C858)</f>
        <v/>
      </c>
      <c r="D858" s="13" t="n">
        <f aca="false">IF(Raw_Data!D858="","",Raw_Data!D858)</f>
        <v>38</v>
      </c>
      <c r="E858" s="13" t="str">
        <f aca="false">IF(UPPER(LEFT(TRIM(Raw_Data!E858),1))="M","Male",IF(UPPER(LEFT(TRIM(Raw_Data!E858),1))="F","Female","Unknown"))</f>
        <v>Female</v>
      </c>
      <c r="F858" s="13" t="str">
        <f aca="false">PROPER(TRIM(SUBSTITUTE(Raw_Data!F858,"'","")))</f>
        <v>High School</v>
      </c>
      <c r="G858" s="13" t="str">
        <f aca="false">PROPER(TRIM(Raw_Data!G858))</f>
        <v>Customer Support</v>
      </c>
      <c r="H858" s="13" t="str">
        <f aca="false">PROPER(TRIM(Raw_Data!H858))</f>
        <v>Analyst</v>
      </c>
      <c r="I858" s="13" t="n">
        <f aca="false">IF(Raw_Data!I858="",DefaultPerf,Raw_Data!I858)</f>
        <v>2</v>
      </c>
      <c r="J858" s="13" t="n">
        <f aca="false">IF(Raw_Data!J858="",DefaultSat,Raw_Data!J858)</f>
        <v>4</v>
      </c>
      <c r="K858" s="15" t="n">
        <f aca="false">Raw_Data!K858</f>
        <v>70500</v>
      </c>
      <c r="L858" s="13" t="str">
        <f aca="false">PROPER(TRIM(Raw_Data!N858))</f>
        <v>Yes</v>
      </c>
      <c r="M858" s="13" t="n">
        <f aca="false">IF(C858="",0,1)</f>
        <v>0</v>
      </c>
      <c r="N858" s="13" t="str">
        <f aca="false">IF(M858=0,"Active",IF(TRIM(Raw_Data!L858)="","Unknown",PROPER(TRIM(Raw_Data!L858))))</f>
        <v>Active</v>
      </c>
      <c r="O858" s="13" t="str">
        <f aca="false">IF(M858=0,"",IF(TRIM(Raw_Data!M858)="","Not Recorded",TRIM(Raw_Data!M858)))</f>
        <v/>
      </c>
      <c r="P858" s="16" t="n">
        <f aca="false">ROUND((IF(C858="",AsOfDate,C858)-B858)/365.25,2)</f>
        <v>6.82</v>
      </c>
      <c r="Q858" s="13" t="str">
        <f aca="false">IF(D858="","Unknown",IF(D858&lt;25,"Under 25",IF(D858&lt;35,"25-34",IF(D858&lt;45,"35-44",IF(D858&lt;55,"45-54","55+")))))</f>
        <v>35-44</v>
      </c>
      <c r="R858" s="13" t="str">
        <f aca="false">IF(P858&lt;1,"0-1 yrs",IF(P858&lt;3,"1-3 yrs",IF(P858&lt;5,"3-5 yrs",IF(P858&lt;10,"5-10 yrs","10+ yrs"))))</f>
        <v>5-10 yrs</v>
      </c>
      <c r="S858" s="13" t="str">
        <f aca="false">IF(I858&gt;=4,"High",IF(I858=3,"Medium","Low"))</f>
        <v>Low</v>
      </c>
      <c r="T858" s="13" t="str">
        <f aca="false">IF(M858=1,YEAR(C858),"")</f>
        <v/>
      </c>
      <c r="U858" s="13" t="str">
        <f aca="false">IF(M858=1,YEAR(C858)&amp;"-Q"&amp;ROUNDUP(MONTH(C858)/3,0),"")</f>
        <v/>
      </c>
      <c r="V858" s="13" t="str">
        <f aca="false">IF(M858=1,MONTH(C858),"")</f>
        <v/>
      </c>
    </row>
    <row r="859" customFormat="false" ht="15" hidden="false" customHeight="false" outlineLevel="0" collapsed="false">
      <c r="A859" s="13" t="str">
        <f aca="false">TRIM(Raw_Data!A859)</f>
        <v>EMP0858</v>
      </c>
      <c r="B859" s="14" t="n">
        <f aca="false">Raw_Data!B859</f>
        <v>43531</v>
      </c>
      <c r="C859" s="14" t="str">
        <f aca="false">IF(Raw_Data!C859="","",Raw_Data!C859)</f>
        <v/>
      </c>
      <c r="D859" s="13" t="n">
        <f aca="false">IF(Raw_Data!D859="","",Raw_Data!D859)</f>
        <v>41</v>
      </c>
      <c r="E859" s="13" t="str">
        <f aca="false">IF(UPPER(LEFT(TRIM(Raw_Data!E859),1))="M","Male",IF(UPPER(LEFT(TRIM(Raw_Data!E859),1))="F","Female","Unknown"))</f>
        <v>Female</v>
      </c>
      <c r="F859" s="13" t="str">
        <f aca="false">PROPER(TRIM(SUBSTITUTE(Raw_Data!F859,"'","")))</f>
        <v>High School</v>
      </c>
      <c r="G859" s="13" t="str">
        <f aca="false">PROPER(TRIM(Raw_Data!G859))</f>
        <v>Engineering</v>
      </c>
      <c r="H859" s="13" t="str">
        <f aca="false">PROPER(TRIM(Raw_Data!H859))</f>
        <v>Team Lead</v>
      </c>
      <c r="I859" s="13" t="n">
        <f aca="false">IF(Raw_Data!I859="",DefaultPerf,Raw_Data!I859)</f>
        <v>3</v>
      </c>
      <c r="J859" s="13" t="n">
        <f aca="false">IF(Raw_Data!J859="",DefaultSat,Raw_Data!J859)</f>
        <v>1</v>
      </c>
      <c r="K859" s="15" t="n">
        <f aca="false">Raw_Data!K859</f>
        <v>141000</v>
      </c>
      <c r="L859" s="13" t="str">
        <f aca="false">PROPER(TRIM(Raw_Data!N859))</f>
        <v>No</v>
      </c>
      <c r="M859" s="13" t="n">
        <f aca="false">IF(C859="",0,1)</f>
        <v>0</v>
      </c>
      <c r="N859" s="13" t="str">
        <f aca="false">IF(M859=0,"Active",IF(TRIM(Raw_Data!L859)="","Unknown",PROPER(TRIM(Raw_Data!L859))))</f>
        <v>Active</v>
      </c>
      <c r="O859" s="13" t="str">
        <f aca="false">IF(M859=0,"",IF(TRIM(Raw_Data!M859)="","Not Recorded",TRIM(Raw_Data!M859)))</f>
        <v/>
      </c>
      <c r="P859" s="16" t="n">
        <f aca="false">ROUND((IF(C859="",AsOfDate,C859)-B859)/365.25,2)</f>
        <v>6.82</v>
      </c>
      <c r="Q859" s="13" t="str">
        <f aca="false">IF(D859="","Unknown",IF(D859&lt;25,"Under 25",IF(D859&lt;35,"25-34",IF(D859&lt;45,"35-44",IF(D859&lt;55,"45-54","55+")))))</f>
        <v>35-44</v>
      </c>
      <c r="R859" s="13" t="str">
        <f aca="false">IF(P859&lt;1,"0-1 yrs",IF(P859&lt;3,"1-3 yrs",IF(P859&lt;5,"3-5 yrs",IF(P859&lt;10,"5-10 yrs","10+ yrs"))))</f>
        <v>5-10 yrs</v>
      </c>
      <c r="S859" s="13" t="str">
        <f aca="false">IF(I859&gt;=4,"High",IF(I859=3,"Medium","Low"))</f>
        <v>Medium</v>
      </c>
      <c r="T859" s="13" t="str">
        <f aca="false">IF(M859=1,YEAR(C859),"")</f>
        <v/>
      </c>
      <c r="U859" s="13" t="str">
        <f aca="false">IF(M859=1,YEAR(C859)&amp;"-Q"&amp;ROUNDUP(MONTH(C859)/3,0),"")</f>
        <v/>
      </c>
      <c r="V859" s="13" t="str">
        <f aca="false">IF(M859=1,MONTH(C859),"")</f>
        <v/>
      </c>
    </row>
    <row r="860" customFormat="false" ht="15" hidden="false" customHeight="false" outlineLevel="0" collapsed="false">
      <c r="A860" s="13" t="str">
        <f aca="false">TRIM(Raw_Data!A860)</f>
        <v>EMP0859</v>
      </c>
      <c r="B860" s="14" t="n">
        <f aca="false">Raw_Data!B860</f>
        <v>43532</v>
      </c>
      <c r="C860" s="14" t="str">
        <f aca="false">IF(Raw_Data!C860="","",Raw_Data!C860)</f>
        <v/>
      </c>
      <c r="D860" s="13" t="n">
        <f aca="false">IF(Raw_Data!D860="","",Raw_Data!D860)</f>
        <v>28</v>
      </c>
      <c r="E860" s="13" t="str">
        <f aca="false">IF(UPPER(LEFT(TRIM(Raw_Data!E860),1))="M","Male",IF(UPPER(LEFT(TRIM(Raw_Data!E860),1))="F","Female","Unknown"))</f>
        <v>Female</v>
      </c>
      <c r="F860" s="13" t="str">
        <f aca="false">PROPER(TRIM(SUBSTITUTE(Raw_Data!F860,"'","")))</f>
        <v>Bachelors</v>
      </c>
      <c r="G860" s="13" t="str">
        <f aca="false">PROPER(TRIM(Raw_Data!G860))</f>
        <v>Engineering</v>
      </c>
      <c r="H860" s="13" t="str">
        <f aca="false">PROPER(TRIM(Raw_Data!H860))</f>
        <v>Manager</v>
      </c>
      <c r="I860" s="13" t="n">
        <f aca="false">IF(Raw_Data!I860="",DefaultPerf,Raw_Data!I860)</f>
        <v>1</v>
      </c>
      <c r="J860" s="13" t="n">
        <f aca="false">IF(Raw_Data!J860="",DefaultSat,Raw_Data!J860)</f>
        <v>4</v>
      </c>
      <c r="K860" s="15" t="n">
        <f aca="false">Raw_Data!K860</f>
        <v>222000</v>
      </c>
      <c r="L860" s="13" t="str">
        <f aca="false">PROPER(TRIM(Raw_Data!N860))</f>
        <v>No</v>
      </c>
      <c r="M860" s="13" t="n">
        <f aca="false">IF(C860="",0,1)</f>
        <v>0</v>
      </c>
      <c r="N860" s="13" t="str">
        <f aca="false">IF(M860=0,"Active",IF(TRIM(Raw_Data!L860)="","Unknown",PROPER(TRIM(Raw_Data!L860))))</f>
        <v>Active</v>
      </c>
      <c r="O860" s="13" t="str">
        <f aca="false">IF(M860=0,"",IF(TRIM(Raw_Data!M860)="","Not Recorded",TRIM(Raw_Data!M860)))</f>
        <v/>
      </c>
      <c r="P860" s="16" t="n">
        <f aca="false">ROUND((IF(C860="",AsOfDate,C860)-B860)/365.25,2)</f>
        <v>6.82</v>
      </c>
      <c r="Q860" s="13" t="str">
        <f aca="false">IF(D860="","Unknown",IF(D860&lt;25,"Under 25",IF(D860&lt;35,"25-34",IF(D860&lt;45,"35-44",IF(D860&lt;55,"45-54","55+")))))</f>
        <v>25-34</v>
      </c>
      <c r="R860" s="13" t="str">
        <f aca="false">IF(P860&lt;1,"0-1 yrs",IF(P860&lt;3,"1-3 yrs",IF(P860&lt;5,"3-5 yrs",IF(P860&lt;10,"5-10 yrs","10+ yrs"))))</f>
        <v>5-10 yrs</v>
      </c>
      <c r="S860" s="13" t="str">
        <f aca="false">IF(I860&gt;=4,"High",IF(I860=3,"Medium","Low"))</f>
        <v>Low</v>
      </c>
      <c r="T860" s="13" t="str">
        <f aca="false">IF(M860=1,YEAR(C860),"")</f>
        <v/>
      </c>
      <c r="U860" s="13" t="str">
        <f aca="false">IF(M860=1,YEAR(C860)&amp;"-Q"&amp;ROUNDUP(MONTH(C860)/3,0),"")</f>
        <v/>
      </c>
      <c r="V860" s="13" t="str">
        <f aca="false">IF(M860=1,MONTH(C860),"")</f>
        <v/>
      </c>
    </row>
    <row r="861" customFormat="false" ht="15" hidden="false" customHeight="false" outlineLevel="0" collapsed="false">
      <c r="A861" s="13" t="str">
        <f aca="false">TRIM(Raw_Data!A861)</f>
        <v>EMP0860</v>
      </c>
      <c r="B861" s="14" t="n">
        <f aca="false">Raw_Data!B861</f>
        <v>43534</v>
      </c>
      <c r="C861" s="14" t="str">
        <f aca="false">IF(Raw_Data!C861="","",Raw_Data!C861)</f>
        <v/>
      </c>
      <c r="D861" s="13" t="n">
        <f aca="false">IF(Raw_Data!D861="","",Raw_Data!D861)</f>
        <v>35</v>
      </c>
      <c r="E861" s="13" t="str">
        <f aca="false">IF(UPPER(LEFT(TRIM(Raw_Data!E861),1))="M","Male",IF(UPPER(LEFT(TRIM(Raw_Data!E861),1))="F","Female","Unknown"))</f>
        <v>Male</v>
      </c>
      <c r="F861" s="13" t="str">
        <f aca="false">PROPER(TRIM(SUBSTITUTE(Raw_Data!F861,"'","")))</f>
        <v>Bachelors</v>
      </c>
      <c r="G861" s="13" t="str">
        <f aca="false">PROPER(TRIM(Raw_Data!G861))</f>
        <v>Sales</v>
      </c>
      <c r="H861" s="13" t="str">
        <f aca="false">PROPER(TRIM(Raw_Data!H861))</f>
        <v>Manager</v>
      </c>
      <c r="I861" s="13" t="n">
        <f aca="false">IF(Raw_Data!I861="",DefaultPerf,Raw_Data!I861)</f>
        <v>4</v>
      </c>
      <c r="J861" s="13" t="n">
        <f aca="false">IF(Raw_Data!J861="",DefaultSat,Raw_Data!J861)</f>
        <v>1</v>
      </c>
      <c r="K861" s="15" t="n">
        <f aca="false">Raw_Data!K861</f>
        <v>228500</v>
      </c>
      <c r="L861" s="13" t="str">
        <f aca="false">PROPER(TRIM(Raw_Data!N861))</f>
        <v>No</v>
      </c>
      <c r="M861" s="13" t="n">
        <f aca="false">IF(C861="",0,1)</f>
        <v>0</v>
      </c>
      <c r="N861" s="13" t="str">
        <f aca="false">IF(M861=0,"Active",IF(TRIM(Raw_Data!L861)="","Unknown",PROPER(TRIM(Raw_Data!L861))))</f>
        <v>Active</v>
      </c>
      <c r="O861" s="13" t="str">
        <f aca="false">IF(M861=0,"",IF(TRIM(Raw_Data!M861)="","Not Recorded",TRIM(Raw_Data!M861)))</f>
        <v/>
      </c>
      <c r="P861" s="16" t="n">
        <f aca="false">ROUND((IF(C861="",AsOfDate,C861)-B861)/365.25,2)</f>
        <v>6.81</v>
      </c>
      <c r="Q861" s="13" t="str">
        <f aca="false">IF(D861="","Unknown",IF(D861&lt;25,"Under 25",IF(D861&lt;35,"25-34",IF(D861&lt;45,"35-44",IF(D861&lt;55,"45-54","55+")))))</f>
        <v>35-44</v>
      </c>
      <c r="R861" s="13" t="str">
        <f aca="false">IF(P861&lt;1,"0-1 yrs",IF(P861&lt;3,"1-3 yrs",IF(P861&lt;5,"3-5 yrs",IF(P861&lt;10,"5-10 yrs","10+ yrs"))))</f>
        <v>5-10 yrs</v>
      </c>
      <c r="S861" s="13" t="str">
        <f aca="false">IF(I861&gt;=4,"High",IF(I861=3,"Medium","Low"))</f>
        <v>High</v>
      </c>
      <c r="T861" s="13" t="str">
        <f aca="false">IF(M861=1,YEAR(C861),"")</f>
        <v/>
      </c>
      <c r="U861" s="13" t="str">
        <f aca="false">IF(M861=1,YEAR(C861)&amp;"-Q"&amp;ROUNDUP(MONTH(C861)/3,0),"")</f>
        <v/>
      </c>
      <c r="V861" s="13" t="str">
        <f aca="false">IF(M861=1,MONTH(C861),"")</f>
        <v/>
      </c>
    </row>
    <row r="862" customFormat="false" ht="15" hidden="false" customHeight="false" outlineLevel="0" collapsed="false">
      <c r="A862" s="13" t="str">
        <f aca="false">TRIM(Raw_Data!A862)</f>
        <v>EMP0861</v>
      </c>
      <c r="B862" s="14" t="n">
        <f aca="false">Raw_Data!B862</f>
        <v>43540</v>
      </c>
      <c r="C862" s="14" t="n">
        <f aca="false">IF(Raw_Data!C862="","",Raw_Data!C862)</f>
        <v>45992</v>
      </c>
      <c r="D862" s="13" t="n">
        <f aca="false">IF(Raw_Data!D862="","",Raw_Data!D862)</f>
        <v>42</v>
      </c>
      <c r="E862" s="13" t="str">
        <f aca="false">IF(UPPER(LEFT(TRIM(Raw_Data!E862),1))="M","Male",IF(UPPER(LEFT(TRIM(Raw_Data!E862),1))="F","Female","Unknown"))</f>
        <v>Male</v>
      </c>
      <c r="F862" s="13" t="str">
        <f aca="false">PROPER(TRIM(SUBSTITUTE(Raw_Data!F862,"'","")))</f>
        <v>Doctorate</v>
      </c>
      <c r="G862" s="13" t="str">
        <f aca="false">PROPER(TRIM(Raw_Data!G862))</f>
        <v>Engineering</v>
      </c>
      <c r="H862" s="13" t="str">
        <f aca="false">PROPER(TRIM(Raw_Data!H862))</f>
        <v>Associate</v>
      </c>
      <c r="I862" s="13" t="n">
        <f aca="false">IF(Raw_Data!I862="",DefaultPerf,Raw_Data!I862)</f>
        <v>1</v>
      </c>
      <c r="J862" s="13" t="n">
        <f aca="false">IF(Raw_Data!J862="",DefaultSat,Raw_Data!J862)</f>
        <v>2</v>
      </c>
      <c r="K862" s="15" t="n">
        <f aca="false">Raw_Data!K862</f>
        <v>42000</v>
      </c>
      <c r="L862" s="13" t="str">
        <f aca="false">PROPER(TRIM(Raw_Data!N862))</f>
        <v>No</v>
      </c>
      <c r="M862" s="13" t="n">
        <f aca="false">IF(C862="",0,1)</f>
        <v>1</v>
      </c>
      <c r="N862" s="13" t="str">
        <f aca="false">IF(M862=0,"Active",IF(TRIM(Raw_Data!L862)="","Unknown",PROPER(TRIM(Raw_Data!L862))))</f>
        <v>Involuntary</v>
      </c>
      <c r="O862" s="13" t="str">
        <f aca="false">IF(M862=0,"",IF(TRIM(Raw_Data!M862)="","Not Recorded",TRIM(Raw_Data!M862)))</f>
        <v>Poor Performance</v>
      </c>
      <c r="P862" s="16" t="n">
        <f aca="false">ROUND((IF(C862="",AsOfDate,C862)-B862)/365.25,2)</f>
        <v>6.71</v>
      </c>
      <c r="Q862" s="13" t="str">
        <f aca="false">IF(D862="","Unknown",IF(D862&lt;25,"Under 25",IF(D862&lt;35,"25-34",IF(D862&lt;45,"35-44",IF(D862&lt;55,"45-54","55+")))))</f>
        <v>35-44</v>
      </c>
      <c r="R862" s="13" t="str">
        <f aca="false">IF(P862&lt;1,"0-1 yrs",IF(P862&lt;3,"1-3 yrs",IF(P862&lt;5,"3-5 yrs",IF(P862&lt;10,"5-10 yrs","10+ yrs"))))</f>
        <v>5-10 yrs</v>
      </c>
      <c r="S862" s="13" t="str">
        <f aca="false">IF(I862&gt;=4,"High",IF(I862=3,"Medium","Low"))</f>
        <v>Low</v>
      </c>
      <c r="T862" s="13" t="n">
        <f aca="false">IF(M862=1,YEAR(C862),"")</f>
        <v>2025</v>
      </c>
      <c r="U862" s="13" t="str">
        <f aca="false">IF(M862=1,YEAR(C862)&amp;"-Q"&amp;ROUNDUP(MONTH(C862)/3,0),"")</f>
        <v>2025-Q4</v>
      </c>
      <c r="V862" s="13" t="n">
        <f aca="false">IF(M862=1,MONTH(C862),"")</f>
        <v>12</v>
      </c>
    </row>
    <row r="863" customFormat="false" ht="15" hidden="false" customHeight="false" outlineLevel="0" collapsed="false">
      <c r="A863" s="13" t="str">
        <f aca="false">TRIM(Raw_Data!A863)</f>
        <v>EMP0862</v>
      </c>
      <c r="B863" s="14" t="n">
        <f aca="false">Raw_Data!B863</f>
        <v>43542</v>
      </c>
      <c r="C863" s="14" t="str">
        <f aca="false">IF(Raw_Data!C863="","",Raw_Data!C863)</f>
        <v/>
      </c>
      <c r="D863" s="13" t="n">
        <f aca="false">IF(Raw_Data!D863="","",Raw_Data!D863)</f>
        <v>28</v>
      </c>
      <c r="E863" s="13" t="str">
        <f aca="false">IF(UPPER(LEFT(TRIM(Raw_Data!E863),1))="M","Male",IF(UPPER(LEFT(TRIM(Raw_Data!E863),1))="F","Female","Unknown"))</f>
        <v>Female</v>
      </c>
      <c r="F863" s="13" t="str">
        <f aca="false">PROPER(TRIM(SUBSTITUTE(Raw_Data!F863,"'","")))</f>
        <v>High School</v>
      </c>
      <c r="G863" s="13" t="str">
        <f aca="false">PROPER(TRIM(Raw_Data!G863))</f>
        <v>Finance</v>
      </c>
      <c r="H863" s="13" t="str">
        <f aca="false">PROPER(TRIM(Raw_Data!H863))</f>
        <v>Analyst</v>
      </c>
      <c r="I863" s="13" t="n">
        <f aca="false">IF(Raw_Data!I863="",DefaultPerf,Raw_Data!I863)</f>
        <v>3</v>
      </c>
      <c r="J863" s="13" t="n">
        <f aca="false">IF(Raw_Data!J863="",DefaultSat,Raw_Data!J863)</f>
        <v>1</v>
      </c>
      <c r="K863" s="15" t="n">
        <f aca="false">Raw_Data!K863</f>
        <v>68000</v>
      </c>
      <c r="L863" s="13" t="str">
        <f aca="false">PROPER(TRIM(Raw_Data!N863))</f>
        <v>No</v>
      </c>
      <c r="M863" s="13" t="n">
        <f aca="false">IF(C863="",0,1)</f>
        <v>0</v>
      </c>
      <c r="N863" s="13" t="str">
        <f aca="false">IF(M863=0,"Active",IF(TRIM(Raw_Data!L863)="","Unknown",PROPER(TRIM(Raw_Data!L863))))</f>
        <v>Active</v>
      </c>
      <c r="O863" s="13" t="str">
        <f aca="false">IF(M863=0,"",IF(TRIM(Raw_Data!M863)="","Not Recorded",TRIM(Raw_Data!M863)))</f>
        <v/>
      </c>
      <c r="P863" s="16" t="n">
        <f aca="false">ROUND((IF(C863="",AsOfDate,C863)-B863)/365.25,2)</f>
        <v>6.79</v>
      </c>
      <c r="Q863" s="13" t="str">
        <f aca="false">IF(D863="","Unknown",IF(D863&lt;25,"Under 25",IF(D863&lt;35,"25-34",IF(D863&lt;45,"35-44",IF(D863&lt;55,"45-54","55+")))))</f>
        <v>25-34</v>
      </c>
      <c r="R863" s="13" t="str">
        <f aca="false">IF(P863&lt;1,"0-1 yrs",IF(P863&lt;3,"1-3 yrs",IF(P863&lt;5,"3-5 yrs",IF(P863&lt;10,"5-10 yrs","10+ yrs"))))</f>
        <v>5-10 yrs</v>
      </c>
      <c r="S863" s="13" t="str">
        <f aca="false">IF(I863&gt;=4,"High",IF(I863=3,"Medium","Low"))</f>
        <v>Medium</v>
      </c>
      <c r="T863" s="13" t="str">
        <f aca="false">IF(M863=1,YEAR(C863),"")</f>
        <v/>
      </c>
      <c r="U863" s="13" t="str">
        <f aca="false">IF(M863=1,YEAR(C863)&amp;"-Q"&amp;ROUNDUP(MONTH(C863)/3,0),"")</f>
        <v/>
      </c>
      <c r="V863" s="13" t="str">
        <f aca="false">IF(M863=1,MONTH(C863),"")</f>
        <v/>
      </c>
    </row>
    <row r="864" customFormat="false" ht="15" hidden="false" customHeight="false" outlineLevel="0" collapsed="false">
      <c r="A864" s="13" t="str">
        <f aca="false">TRIM(Raw_Data!A864)</f>
        <v>EMP0863</v>
      </c>
      <c r="B864" s="14" t="n">
        <f aca="false">Raw_Data!B864</f>
        <v>43544</v>
      </c>
      <c r="C864" s="14" t="str">
        <f aca="false">IF(Raw_Data!C864="","",Raw_Data!C864)</f>
        <v/>
      </c>
      <c r="D864" s="13" t="n">
        <f aca="false">IF(Raw_Data!D864="","",Raw_Data!D864)</f>
        <v>31</v>
      </c>
      <c r="E864" s="13" t="str">
        <f aca="false">IF(UPPER(LEFT(TRIM(Raw_Data!E864),1))="M","Male",IF(UPPER(LEFT(TRIM(Raw_Data!E864),1))="F","Female","Unknown"))</f>
        <v>Male</v>
      </c>
      <c r="F864" s="13" t="str">
        <f aca="false">PROPER(TRIM(SUBSTITUTE(Raw_Data!F864,"'","")))</f>
        <v>High School</v>
      </c>
      <c r="G864" s="13" t="str">
        <f aca="false">PROPER(TRIM(Raw_Data!G864))</f>
        <v>Engineering</v>
      </c>
      <c r="H864" s="13" t="str">
        <f aca="false">PROPER(TRIM(Raw_Data!H864))</f>
        <v>Analyst</v>
      </c>
      <c r="I864" s="13" t="n">
        <f aca="false">IF(Raw_Data!I864="",DefaultPerf,Raw_Data!I864)</f>
        <v>3</v>
      </c>
      <c r="J864" s="13" t="n">
        <f aca="false">IF(Raw_Data!J864="",DefaultSat,Raw_Data!J864)</f>
        <v>3</v>
      </c>
      <c r="K864" s="15" t="n">
        <f aca="false">Raw_Data!K864</f>
        <v>71000</v>
      </c>
      <c r="L864" s="13" t="str">
        <f aca="false">PROPER(TRIM(Raw_Data!N864))</f>
        <v>No</v>
      </c>
      <c r="M864" s="13" t="n">
        <f aca="false">IF(C864="",0,1)</f>
        <v>0</v>
      </c>
      <c r="N864" s="13" t="str">
        <f aca="false">IF(M864=0,"Active",IF(TRIM(Raw_Data!L864)="","Unknown",PROPER(TRIM(Raw_Data!L864))))</f>
        <v>Active</v>
      </c>
      <c r="O864" s="13" t="str">
        <f aca="false">IF(M864=0,"",IF(TRIM(Raw_Data!M864)="","Not Recorded",TRIM(Raw_Data!M864)))</f>
        <v/>
      </c>
      <c r="P864" s="16" t="n">
        <f aca="false">ROUND((IF(C864="",AsOfDate,C864)-B864)/365.25,2)</f>
        <v>6.78</v>
      </c>
      <c r="Q864" s="13" t="str">
        <f aca="false">IF(D864="","Unknown",IF(D864&lt;25,"Under 25",IF(D864&lt;35,"25-34",IF(D864&lt;45,"35-44",IF(D864&lt;55,"45-54","55+")))))</f>
        <v>25-34</v>
      </c>
      <c r="R864" s="13" t="str">
        <f aca="false">IF(P864&lt;1,"0-1 yrs",IF(P864&lt;3,"1-3 yrs",IF(P864&lt;5,"3-5 yrs",IF(P864&lt;10,"5-10 yrs","10+ yrs"))))</f>
        <v>5-10 yrs</v>
      </c>
      <c r="S864" s="13" t="str">
        <f aca="false">IF(I864&gt;=4,"High",IF(I864=3,"Medium","Low"))</f>
        <v>Medium</v>
      </c>
      <c r="T864" s="13" t="str">
        <f aca="false">IF(M864=1,YEAR(C864),"")</f>
        <v/>
      </c>
      <c r="U864" s="13" t="str">
        <f aca="false">IF(M864=1,YEAR(C864)&amp;"-Q"&amp;ROUNDUP(MONTH(C864)/3,0),"")</f>
        <v/>
      </c>
      <c r="V864" s="13" t="str">
        <f aca="false">IF(M864=1,MONTH(C864),"")</f>
        <v/>
      </c>
    </row>
    <row r="865" customFormat="false" ht="15" hidden="false" customHeight="false" outlineLevel="0" collapsed="false">
      <c r="A865" s="13" t="str">
        <f aca="false">TRIM(Raw_Data!A865)</f>
        <v>EMP0864</v>
      </c>
      <c r="B865" s="14" t="n">
        <f aca="false">Raw_Data!B865</f>
        <v>43545</v>
      </c>
      <c r="C865" s="14" t="str">
        <f aca="false">IF(Raw_Data!C865="","",Raw_Data!C865)</f>
        <v/>
      </c>
      <c r="D865" s="13" t="n">
        <f aca="false">IF(Raw_Data!D865="","",Raw_Data!D865)</f>
        <v>34</v>
      </c>
      <c r="E865" s="13" t="str">
        <f aca="false">IF(UPPER(LEFT(TRIM(Raw_Data!E865),1))="M","Male",IF(UPPER(LEFT(TRIM(Raw_Data!E865),1))="F","Female","Unknown"))</f>
        <v>Male</v>
      </c>
      <c r="F865" s="13" t="str">
        <f aca="false">PROPER(TRIM(SUBSTITUTE(Raw_Data!F865,"'","")))</f>
        <v>High School</v>
      </c>
      <c r="G865" s="13" t="str">
        <f aca="false">PROPER(TRIM(Raw_Data!G865))</f>
        <v>Human Resources</v>
      </c>
      <c r="H865" s="13" t="str">
        <f aca="false">PROPER(TRIM(Raw_Data!H865))</f>
        <v>Analyst</v>
      </c>
      <c r="I865" s="13" t="n">
        <f aca="false">IF(Raw_Data!I865="",DefaultPerf,Raw_Data!I865)</f>
        <v>3</v>
      </c>
      <c r="J865" s="13" t="n">
        <f aca="false">IF(Raw_Data!J865="",DefaultSat,Raw_Data!J865)</f>
        <v>1</v>
      </c>
      <c r="K865" s="15" t="n">
        <f aca="false">Raw_Data!K865</f>
        <v>73500</v>
      </c>
      <c r="L865" s="13" t="str">
        <f aca="false">PROPER(TRIM(Raw_Data!N865))</f>
        <v>Yes</v>
      </c>
      <c r="M865" s="13" t="n">
        <f aca="false">IF(C865="",0,1)</f>
        <v>0</v>
      </c>
      <c r="N865" s="13" t="str">
        <f aca="false">IF(M865=0,"Active",IF(TRIM(Raw_Data!L865)="","Unknown",PROPER(TRIM(Raw_Data!L865))))</f>
        <v>Active</v>
      </c>
      <c r="O865" s="13" t="str">
        <f aca="false">IF(M865=0,"",IF(TRIM(Raw_Data!M865)="","Not Recorded",TRIM(Raw_Data!M865)))</f>
        <v/>
      </c>
      <c r="P865" s="16" t="n">
        <f aca="false">ROUND((IF(C865="",AsOfDate,C865)-B865)/365.25,2)</f>
        <v>6.78</v>
      </c>
      <c r="Q865" s="13" t="str">
        <f aca="false">IF(D865="","Unknown",IF(D865&lt;25,"Under 25",IF(D865&lt;35,"25-34",IF(D865&lt;45,"35-44",IF(D865&lt;55,"45-54","55+")))))</f>
        <v>25-34</v>
      </c>
      <c r="R865" s="13" t="str">
        <f aca="false">IF(P865&lt;1,"0-1 yrs",IF(P865&lt;3,"1-3 yrs",IF(P865&lt;5,"3-5 yrs",IF(P865&lt;10,"5-10 yrs","10+ yrs"))))</f>
        <v>5-10 yrs</v>
      </c>
      <c r="S865" s="13" t="str">
        <f aca="false">IF(I865&gt;=4,"High",IF(I865=3,"Medium","Low"))</f>
        <v>Medium</v>
      </c>
      <c r="T865" s="13" t="str">
        <f aca="false">IF(M865=1,YEAR(C865),"")</f>
        <v/>
      </c>
      <c r="U865" s="13" t="str">
        <f aca="false">IF(M865=1,YEAR(C865)&amp;"-Q"&amp;ROUNDUP(MONTH(C865)/3,0),"")</f>
        <v/>
      </c>
      <c r="V865" s="13" t="str">
        <f aca="false">IF(M865=1,MONTH(C865),"")</f>
        <v/>
      </c>
    </row>
    <row r="866" customFormat="false" ht="15" hidden="false" customHeight="false" outlineLevel="0" collapsed="false">
      <c r="A866" s="13" t="str">
        <f aca="false">TRIM(Raw_Data!A866)</f>
        <v>EMP0865</v>
      </c>
      <c r="B866" s="14" t="n">
        <f aca="false">Raw_Data!B866</f>
        <v>43548</v>
      </c>
      <c r="C866" s="14" t="n">
        <f aca="false">IF(Raw_Data!C866="","",Raw_Data!C866)</f>
        <v>45352</v>
      </c>
      <c r="D866" s="13" t="n">
        <f aca="false">IF(Raw_Data!D866="","",Raw_Data!D866)</f>
        <v>32</v>
      </c>
      <c r="E866" s="13" t="str">
        <f aca="false">IF(UPPER(LEFT(TRIM(Raw_Data!E866),1))="M","Male",IF(UPPER(LEFT(TRIM(Raw_Data!E866),1))="F","Female","Unknown"))</f>
        <v>Male</v>
      </c>
      <c r="F866" s="13" t="str">
        <f aca="false">PROPER(TRIM(SUBSTITUTE(Raw_Data!F866,"'","")))</f>
        <v>High School</v>
      </c>
      <c r="G866" s="13" t="str">
        <f aca="false">PROPER(TRIM(Raw_Data!G866))</f>
        <v>Sales</v>
      </c>
      <c r="H866" s="13" t="str">
        <f aca="false">PROPER(TRIM(Raw_Data!H866))</f>
        <v>Team Lead</v>
      </c>
      <c r="I866" s="13" t="n">
        <f aca="false">IF(Raw_Data!I866="",DefaultPerf,Raw_Data!I866)</f>
        <v>3</v>
      </c>
      <c r="J866" s="13" t="n">
        <f aca="false">IF(Raw_Data!J866="",DefaultSat,Raw_Data!J866)</f>
        <v>3</v>
      </c>
      <c r="K866" s="15" t="n">
        <f aca="false">Raw_Data!K866</f>
        <v>140000</v>
      </c>
      <c r="L866" s="13" t="str">
        <f aca="false">PROPER(TRIM(Raw_Data!N866))</f>
        <v>No</v>
      </c>
      <c r="M866" s="13" t="n">
        <f aca="false">IF(C866="",0,1)</f>
        <v>1</v>
      </c>
      <c r="N866" s="13" t="str">
        <f aca="false">IF(M866=0,"Active",IF(TRIM(Raw_Data!L866)="","Unknown",PROPER(TRIM(Raw_Data!L866))))</f>
        <v>Voluntary</v>
      </c>
      <c r="O866" s="13" t="str">
        <f aca="false">IF(M866=0,"",IF(TRIM(Raw_Data!M866)="","Not Recorded",TRIM(Raw_Data!M866)))</f>
        <v>Career Growth</v>
      </c>
      <c r="P866" s="16" t="n">
        <f aca="false">ROUND((IF(C866="",AsOfDate,C866)-B866)/365.25,2)</f>
        <v>4.94</v>
      </c>
      <c r="Q866" s="13" t="str">
        <f aca="false">IF(D866="","Unknown",IF(D866&lt;25,"Under 25",IF(D866&lt;35,"25-34",IF(D866&lt;45,"35-44",IF(D866&lt;55,"45-54","55+")))))</f>
        <v>25-34</v>
      </c>
      <c r="R866" s="13" t="str">
        <f aca="false">IF(P866&lt;1,"0-1 yrs",IF(P866&lt;3,"1-3 yrs",IF(P866&lt;5,"3-5 yrs",IF(P866&lt;10,"5-10 yrs","10+ yrs"))))</f>
        <v>3-5 yrs</v>
      </c>
      <c r="S866" s="13" t="str">
        <f aca="false">IF(I866&gt;=4,"High",IF(I866=3,"Medium","Low"))</f>
        <v>Medium</v>
      </c>
      <c r="T866" s="13" t="n">
        <f aca="false">IF(M866=1,YEAR(C866),"")</f>
        <v>2024</v>
      </c>
      <c r="U866" s="13" t="str">
        <f aca="false">IF(M866=1,YEAR(C866)&amp;"-Q"&amp;ROUNDUP(MONTH(C866)/3,0),"")</f>
        <v>2024-Q1</v>
      </c>
      <c r="V866" s="13" t="n">
        <f aca="false">IF(M866=1,MONTH(C866),"")</f>
        <v>3</v>
      </c>
    </row>
    <row r="867" customFormat="false" ht="15" hidden="false" customHeight="false" outlineLevel="0" collapsed="false">
      <c r="A867" s="13" t="str">
        <f aca="false">TRIM(Raw_Data!A867)</f>
        <v>EMP0866</v>
      </c>
      <c r="B867" s="14" t="n">
        <f aca="false">Raw_Data!B867</f>
        <v>43551</v>
      </c>
      <c r="C867" s="14" t="n">
        <f aca="false">IF(Raw_Data!C867="","",Raw_Data!C867)</f>
        <v>45448</v>
      </c>
      <c r="D867" s="13" t="n">
        <f aca="false">IF(Raw_Data!D867="","",Raw_Data!D867)</f>
        <v>32</v>
      </c>
      <c r="E867" s="13" t="str">
        <f aca="false">IF(UPPER(LEFT(TRIM(Raw_Data!E867),1))="M","Male",IF(UPPER(LEFT(TRIM(Raw_Data!E867),1))="F","Female","Unknown"))</f>
        <v>Male</v>
      </c>
      <c r="F867" s="13" t="str">
        <f aca="false">PROPER(TRIM(SUBSTITUTE(Raw_Data!F867,"'","")))</f>
        <v>Bachelors</v>
      </c>
      <c r="G867" s="13" t="str">
        <f aca="false">PROPER(TRIM(Raw_Data!G867))</f>
        <v>Finance</v>
      </c>
      <c r="H867" s="13" t="str">
        <f aca="false">PROPER(TRIM(Raw_Data!H867))</f>
        <v>Analyst</v>
      </c>
      <c r="I867" s="13" t="n">
        <f aca="false">IF(Raw_Data!I867="",DefaultPerf,Raw_Data!I867)</f>
        <v>3</v>
      </c>
      <c r="J867" s="13" t="n">
        <f aca="false">IF(Raw_Data!J867="",DefaultSat,Raw_Data!J867)</f>
        <v>1</v>
      </c>
      <c r="K867" s="15" t="n">
        <f aca="false">Raw_Data!K867</f>
        <v>67000</v>
      </c>
      <c r="L867" s="13" t="str">
        <f aca="false">PROPER(TRIM(Raw_Data!N867))</f>
        <v>No</v>
      </c>
      <c r="M867" s="13" t="n">
        <f aca="false">IF(C867="",0,1)</f>
        <v>1</v>
      </c>
      <c r="N867" s="13" t="str">
        <f aca="false">IF(M867=0,"Active",IF(TRIM(Raw_Data!L867)="","Unknown",PROPER(TRIM(Raw_Data!L867))))</f>
        <v>Involuntary</v>
      </c>
      <c r="O867" s="13" t="str">
        <f aca="false">IF(M867=0,"",IF(TRIM(Raw_Data!M867)="","Not Recorded",TRIM(Raw_Data!M867)))</f>
        <v>End of Contract</v>
      </c>
      <c r="P867" s="16" t="n">
        <f aca="false">ROUND((IF(C867="",AsOfDate,C867)-B867)/365.25,2)</f>
        <v>5.19</v>
      </c>
      <c r="Q867" s="13" t="str">
        <f aca="false">IF(D867="","Unknown",IF(D867&lt;25,"Under 25",IF(D867&lt;35,"25-34",IF(D867&lt;45,"35-44",IF(D867&lt;55,"45-54","55+")))))</f>
        <v>25-34</v>
      </c>
      <c r="R867" s="13" t="str">
        <f aca="false">IF(P867&lt;1,"0-1 yrs",IF(P867&lt;3,"1-3 yrs",IF(P867&lt;5,"3-5 yrs",IF(P867&lt;10,"5-10 yrs","10+ yrs"))))</f>
        <v>5-10 yrs</v>
      </c>
      <c r="S867" s="13" t="str">
        <f aca="false">IF(I867&gt;=4,"High",IF(I867=3,"Medium","Low"))</f>
        <v>Medium</v>
      </c>
      <c r="T867" s="13" t="n">
        <f aca="false">IF(M867=1,YEAR(C867),"")</f>
        <v>2024</v>
      </c>
      <c r="U867" s="13" t="str">
        <f aca="false">IF(M867=1,YEAR(C867)&amp;"-Q"&amp;ROUNDUP(MONTH(C867)/3,0),"")</f>
        <v>2024-Q2</v>
      </c>
      <c r="V867" s="13" t="n">
        <f aca="false">IF(M867=1,MONTH(C867),"")</f>
        <v>6</v>
      </c>
    </row>
    <row r="868" customFormat="false" ht="15" hidden="false" customHeight="false" outlineLevel="0" collapsed="false">
      <c r="A868" s="13" t="str">
        <f aca="false">TRIM(Raw_Data!A868)</f>
        <v>EMP0867</v>
      </c>
      <c r="B868" s="14" t="n">
        <f aca="false">Raw_Data!B868</f>
        <v>43554</v>
      </c>
      <c r="C868" s="14" t="str">
        <f aca="false">IF(Raw_Data!C868="","",Raw_Data!C868)</f>
        <v/>
      </c>
      <c r="D868" s="13" t="n">
        <f aca="false">IF(Raw_Data!D868="","",Raw_Data!D868)</f>
        <v>40</v>
      </c>
      <c r="E868" s="13" t="str">
        <f aca="false">IF(UPPER(LEFT(TRIM(Raw_Data!E868),1))="M","Male",IF(UPPER(LEFT(TRIM(Raw_Data!E868),1))="F","Female","Unknown"))</f>
        <v>Female</v>
      </c>
      <c r="F868" s="13" t="str">
        <f aca="false">PROPER(TRIM(SUBSTITUTE(Raw_Data!F868,"'","")))</f>
        <v>Bachelors</v>
      </c>
      <c r="G868" s="13" t="str">
        <f aca="false">PROPER(TRIM(Raw_Data!G868))</f>
        <v>Operations</v>
      </c>
      <c r="H868" s="13" t="str">
        <f aca="false">PROPER(TRIM(Raw_Data!H868))</f>
        <v>Analyst</v>
      </c>
      <c r="I868" s="13" t="n">
        <f aca="false">IF(Raw_Data!I868="",DefaultPerf,Raw_Data!I868)</f>
        <v>3</v>
      </c>
      <c r="J868" s="13" t="n">
        <f aca="false">IF(Raw_Data!J868="",DefaultSat,Raw_Data!J868)</f>
        <v>1</v>
      </c>
      <c r="K868" s="15" t="n">
        <f aca="false">Raw_Data!K868</f>
        <v>75000</v>
      </c>
      <c r="L868" s="13" t="str">
        <f aca="false">PROPER(TRIM(Raw_Data!N868))</f>
        <v>No</v>
      </c>
      <c r="M868" s="13" t="n">
        <f aca="false">IF(C868="",0,1)</f>
        <v>0</v>
      </c>
      <c r="N868" s="13" t="str">
        <f aca="false">IF(M868=0,"Active",IF(TRIM(Raw_Data!L868)="","Unknown",PROPER(TRIM(Raw_Data!L868))))</f>
        <v>Active</v>
      </c>
      <c r="O868" s="13" t="str">
        <f aca="false">IF(M868=0,"",IF(TRIM(Raw_Data!M868)="","Not Recorded",TRIM(Raw_Data!M868)))</f>
        <v/>
      </c>
      <c r="P868" s="16" t="n">
        <f aca="false">ROUND((IF(C868="",AsOfDate,C868)-B868)/365.25,2)</f>
        <v>6.76</v>
      </c>
      <c r="Q868" s="13" t="str">
        <f aca="false">IF(D868="","Unknown",IF(D868&lt;25,"Under 25",IF(D868&lt;35,"25-34",IF(D868&lt;45,"35-44",IF(D868&lt;55,"45-54","55+")))))</f>
        <v>35-44</v>
      </c>
      <c r="R868" s="13" t="str">
        <f aca="false">IF(P868&lt;1,"0-1 yrs",IF(P868&lt;3,"1-3 yrs",IF(P868&lt;5,"3-5 yrs",IF(P868&lt;10,"5-10 yrs","10+ yrs"))))</f>
        <v>5-10 yrs</v>
      </c>
      <c r="S868" s="13" t="str">
        <f aca="false">IF(I868&gt;=4,"High",IF(I868=3,"Medium","Low"))</f>
        <v>Medium</v>
      </c>
      <c r="T868" s="13" t="str">
        <f aca="false">IF(M868=1,YEAR(C868),"")</f>
        <v/>
      </c>
      <c r="U868" s="13" t="str">
        <f aca="false">IF(M868=1,YEAR(C868)&amp;"-Q"&amp;ROUNDUP(MONTH(C868)/3,0),"")</f>
        <v/>
      </c>
      <c r="V868" s="13" t="str">
        <f aca="false">IF(M868=1,MONTH(C868),"")</f>
        <v/>
      </c>
    </row>
    <row r="869" customFormat="false" ht="15" hidden="false" customHeight="false" outlineLevel="0" collapsed="false">
      <c r="A869" s="13" t="str">
        <f aca="false">TRIM(Raw_Data!A869)</f>
        <v>EMP0868</v>
      </c>
      <c r="B869" s="14" t="n">
        <f aca="false">Raw_Data!B869</f>
        <v>43559</v>
      </c>
      <c r="C869" s="14" t="str">
        <f aca="false">IF(Raw_Data!C869="","",Raw_Data!C869)</f>
        <v/>
      </c>
      <c r="D869" s="13" t="n">
        <f aca="false">IF(Raw_Data!D869="","",Raw_Data!D869)</f>
        <v>35</v>
      </c>
      <c r="E869" s="13" t="str">
        <f aca="false">IF(UPPER(LEFT(TRIM(Raw_Data!E869),1))="M","Male",IF(UPPER(LEFT(TRIM(Raw_Data!E869),1))="F","Female","Unknown"))</f>
        <v>Male</v>
      </c>
      <c r="F869" s="13" t="str">
        <f aca="false">PROPER(TRIM(SUBSTITUTE(Raw_Data!F869,"'","")))</f>
        <v>Bachelors</v>
      </c>
      <c r="G869" s="13" t="str">
        <f aca="false">PROPER(TRIM(Raw_Data!G869))</f>
        <v>Engineering</v>
      </c>
      <c r="H869" s="13" t="str">
        <f aca="false">PROPER(TRIM(Raw_Data!H869))</f>
        <v>Senior Analyst</v>
      </c>
      <c r="I869" s="13" t="n">
        <f aca="false">IF(Raw_Data!I869="",DefaultPerf,Raw_Data!I869)</f>
        <v>3</v>
      </c>
      <c r="J869" s="13" t="n">
        <f aca="false">IF(Raw_Data!J869="",DefaultSat,Raw_Data!J869)</f>
        <v>2</v>
      </c>
      <c r="K869" s="15" t="n">
        <f aca="false">Raw_Data!K869</f>
        <v>105000</v>
      </c>
      <c r="L869" s="13" t="str">
        <f aca="false">PROPER(TRIM(Raw_Data!N869))</f>
        <v>No</v>
      </c>
      <c r="M869" s="13" t="n">
        <f aca="false">IF(C869="",0,1)</f>
        <v>0</v>
      </c>
      <c r="N869" s="13" t="str">
        <f aca="false">IF(M869=0,"Active",IF(TRIM(Raw_Data!L869)="","Unknown",PROPER(TRIM(Raw_Data!L869))))</f>
        <v>Active</v>
      </c>
      <c r="O869" s="13" t="str">
        <f aca="false">IF(M869=0,"",IF(TRIM(Raw_Data!M869)="","Not Recorded",TRIM(Raw_Data!M869)))</f>
        <v/>
      </c>
      <c r="P869" s="16" t="n">
        <f aca="false">ROUND((IF(C869="",AsOfDate,C869)-B869)/365.25,2)</f>
        <v>6.74</v>
      </c>
      <c r="Q869" s="13" t="str">
        <f aca="false">IF(D869="","Unknown",IF(D869&lt;25,"Under 25",IF(D869&lt;35,"25-34",IF(D869&lt;45,"35-44",IF(D869&lt;55,"45-54","55+")))))</f>
        <v>35-44</v>
      </c>
      <c r="R869" s="13" t="str">
        <f aca="false">IF(P869&lt;1,"0-1 yrs",IF(P869&lt;3,"1-3 yrs",IF(P869&lt;5,"3-5 yrs",IF(P869&lt;10,"5-10 yrs","10+ yrs"))))</f>
        <v>5-10 yrs</v>
      </c>
      <c r="S869" s="13" t="str">
        <f aca="false">IF(I869&gt;=4,"High",IF(I869=3,"Medium","Low"))</f>
        <v>Medium</v>
      </c>
      <c r="T869" s="13" t="str">
        <f aca="false">IF(M869=1,YEAR(C869),"")</f>
        <v/>
      </c>
      <c r="U869" s="13" t="str">
        <f aca="false">IF(M869=1,YEAR(C869)&amp;"-Q"&amp;ROUNDUP(MONTH(C869)/3,0),"")</f>
        <v/>
      </c>
      <c r="V869" s="13" t="str">
        <f aca="false">IF(M869=1,MONTH(C869),"")</f>
        <v/>
      </c>
    </row>
    <row r="870" customFormat="false" ht="15" hidden="false" customHeight="false" outlineLevel="0" collapsed="false">
      <c r="A870" s="13" t="str">
        <f aca="false">TRIM(Raw_Data!A870)</f>
        <v>EMP0869</v>
      </c>
      <c r="B870" s="14" t="n">
        <f aca="false">Raw_Data!B870</f>
        <v>43567</v>
      </c>
      <c r="C870" s="14" t="n">
        <f aca="false">IF(Raw_Data!C870="","",Raw_Data!C870)</f>
        <v>45343</v>
      </c>
      <c r="D870" s="13" t="n">
        <f aca="false">IF(Raw_Data!D870="","",Raw_Data!D870)</f>
        <v>31</v>
      </c>
      <c r="E870" s="13" t="str">
        <f aca="false">IF(UPPER(LEFT(TRIM(Raw_Data!E870),1))="M","Male",IF(UPPER(LEFT(TRIM(Raw_Data!E870),1))="F","Female","Unknown"))</f>
        <v>Male</v>
      </c>
      <c r="F870" s="13" t="str">
        <f aca="false">PROPER(TRIM(SUBSTITUTE(Raw_Data!F870,"'","")))</f>
        <v>Doctorate</v>
      </c>
      <c r="G870" s="13" t="str">
        <f aca="false">PROPER(TRIM(Raw_Data!G870))</f>
        <v>Engineering</v>
      </c>
      <c r="H870" s="13" t="str">
        <f aca="false">PROPER(TRIM(Raw_Data!H870))</f>
        <v>Specialist</v>
      </c>
      <c r="I870" s="13" t="n">
        <f aca="false">IF(Raw_Data!I870="",DefaultPerf,Raw_Data!I870)</f>
        <v>4</v>
      </c>
      <c r="J870" s="13" t="n">
        <f aca="false">IF(Raw_Data!J870="",DefaultSat,Raw_Data!J870)</f>
        <v>4</v>
      </c>
      <c r="K870" s="15" t="n">
        <f aca="false">Raw_Data!K870</f>
        <v>112500</v>
      </c>
      <c r="L870" s="13" t="str">
        <f aca="false">PROPER(TRIM(Raw_Data!N870))</f>
        <v>No</v>
      </c>
      <c r="M870" s="13" t="n">
        <f aca="false">IF(C870="",0,1)</f>
        <v>1</v>
      </c>
      <c r="N870" s="13" t="str">
        <f aca="false">IF(M870=0,"Active",IF(TRIM(Raw_Data!L870)="","Unknown",PROPER(TRIM(Raw_Data!L870))))</f>
        <v>Voluntary</v>
      </c>
      <c r="O870" s="13" t="str">
        <f aca="false">IF(M870=0,"",IF(TRIM(Raw_Data!M870)="","Not Recorded",TRIM(Raw_Data!M870)))</f>
        <v>Career Growth</v>
      </c>
      <c r="P870" s="16" t="n">
        <f aca="false">ROUND((IF(C870="",AsOfDate,C870)-B870)/365.25,2)</f>
        <v>4.86</v>
      </c>
      <c r="Q870" s="13" t="str">
        <f aca="false">IF(D870="","Unknown",IF(D870&lt;25,"Under 25",IF(D870&lt;35,"25-34",IF(D870&lt;45,"35-44",IF(D870&lt;55,"45-54","55+")))))</f>
        <v>25-34</v>
      </c>
      <c r="R870" s="13" t="str">
        <f aca="false">IF(P870&lt;1,"0-1 yrs",IF(P870&lt;3,"1-3 yrs",IF(P870&lt;5,"3-5 yrs",IF(P870&lt;10,"5-10 yrs","10+ yrs"))))</f>
        <v>3-5 yrs</v>
      </c>
      <c r="S870" s="13" t="str">
        <f aca="false">IF(I870&gt;=4,"High",IF(I870=3,"Medium","Low"))</f>
        <v>High</v>
      </c>
      <c r="T870" s="13" t="n">
        <f aca="false">IF(M870=1,YEAR(C870),"")</f>
        <v>2024</v>
      </c>
      <c r="U870" s="13" t="str">
        <f aca="false">IF(M870=1,YEAR(C870)&amp;"-Q"&amp;ROUNDUP(MONTH(C870)/3,0),"")</f>
        <v>2024-Q1</v>
      </c>
      <c r="V870" s="13" t="n">
        <f aca="false">IF(M870=1,MONTH(C870),"")</f>
        <v>2</v>
      </c>
    </row>
    <row r="871" customFormat="false" ht="15" hidden="false" customHeight="false" outlineLevel="0" collapsed="false">
      <c r="A871" s="13" t="str">
        <f aca="false">TRIM(Raw_Data!A871)</f>
        <v>EMP0870</v>
      </c>
      <c r="B871" s="14" t="n">
        <f aca="false">Raw_Data!B871</f>
        <v>43571</v>
      </c>
      <c r="C871" s="14" t="str">
        <f aca="false">IF(Raw_Data!C871="","",Raw_Data!C871)</f>
        <v/>
      </c>
      <c r="D871" s="13" t="n">
        <f aca="false">IF(Raw_Data!D871="","",Raw_Data!D871)</f>
        <v>28</v>
      </c>
      <c r="E871" s="13" t="str">
        <f aca="false">IF(UPPER(LEFT(TRIM(Raw_Data!E871),1))="M","Male",IF(UPPER(LEFT(TRIM(Raw_Data!E871),1))="F","Female","Unknown"))</f>
        <v>Male</v>
      </c>
      <c r="F871" s="13" t="str">
        <f aca="false">PROPER(TRIM(SUBSTITUTE(Raw_Data!F871,"'","")))</f>
        <v>Masters</v>
      </c>
      <c r="G871" s="13" t="str">
        <f aca="false">PROPER(TRIM(Raw_Data!G871))</f>
        <v>Engineering</v>
      </c>
      <c r="H871" s="13" t="str">
        <f aca="false">PROPER(TRIM(Raw_Data!H871))</f>
        <v>Senior Analyst</v>
      </c>
      <c r="I871" s="13" t="n">
        <f aca="false">IF(Raw_Data!I871="",DefaultPerf,Raw_Data!I871)</f>
        <v>3</v>
      </c>
      <c r="J871" s="13" t="n">
        <f aca="false">IF(Raw_Data!J871="",DefaultSat,Raw_Data!J871)</f>
        <v>1</v>
      </c>
      <c r="K871" s="15" t="n">
        <f aca="false">Raw_Data!K871</f>
        <v>124000</v>
      </c>
      <c r="L871" s="13" t="str">
        <f aca="false">PROPER(TRIM(Raw_Data!N871))</f>
        <v>No</v>
      </c>
      <c r="M871" s="13" t="n">
        <f aca="false">IF(C871="",0,1)</f>
        <v>0</v>
      </c>
      <c r="N871" s="13" t="str">
        <f aca="false">IF(M871=0,"Active",IF(TRIM(Raw_Data!L871)="","Unknown",PROPER(TRIM(Raw_Data!L871))))</f>
        <v>Active</v>
      </c>
      <c r="O871" s="13" t="str">
        <f aca="false">IF(M871=0,"",IF(TRIM(Raw_Data!M871)="","Not Recorded",TRIM(Raw_Data!M871)))</f>
        <v/>
      </c>
      <c r="P871" s="16" t="n">
        <f aca="false">ROUND((IF(C871="",AsOfDate,C871)-B871)/365.25,2)</f>
        <v>6.71</v>
      </c>
      <c r="Q871" s="13" t="str">
        <f aca="false">IF(D871="","Unknown",IF(D871&lt;25,"Under 25",IF(D871&lt;35,"25-34",IF(D871&lt;45,"35-44",IF(D871&lt;55,"45-54","55+")))))</f>
        <v>25-34</v>
      </c>
      <c r="R871" s="13" t="str">
        <f aca="false">IF(P871&lt;1,"0-1 yrs",IF(P871&lt;3,"1-3 yrs",IF(P871&lt;5,"3-5 yrs",IF(P871&lt;10,"5-10 yrs","10+ yrs"))))</f>
        <v>5-10 yrs</v>
      </c>
      <c r="S871" s="13" t="str">
        <f aca="false">IF(I871&gt;=4,"High",IF(I871=3,"Medium","Low"))</f>
        <v>Medium</v>
      </c>
      <c r="T871" s="13" t="str">
        <f aca="false">IF(M871=1,YEAR(C871),"")</f>
        <v/>
      </c>
      <c r="U871" s="13" t="str">
        <f aca="false">IF(M871=1,YEAR(C871)&amp;"-Q"&amp;ROUNDUP(MONTH(C871)/3,0),"")</f>
        <v/>
      </c>
      <c r="V871" s="13" t="str">
        <f aca="false">IF(M871=1,MONTH(C871),"")</f>
        <v/>
      </c>
    </row>
    <row r="872" customFormat="false" ht="15" hidden="false" customHeight="false" outlineLevel="0" collapsed="false">
      <c r="A872" s="13" t="str">
        <f aca="false">TRIM(Raw_Data!A872)</f>
        <v>EMP0871</v>
      </c>
      <c r="B872" s="14" t="n">
        <f aca="false">Raw_Data!B872</f>
        <v>43575</v>
      </c>
      <c r="C872" s="14" t="str">
        <f aca="false">IF(Raw_Data!C872="","",Raw_Data!C872)</f>
        <v/>
      </c>
      <c r="D872" s="13" t="n">
        <f aca="false">IF(Raw_Data!D872="","",Raw_Data!D872)</f>
        <v>38</v>
      </c>
      <c r="E872" s="13" t="str">
        <f aca="false">IF(UPPER(LEFT(TRIM(Raw_Data!E872),1))="M","Male",IF(UPPER(LEFT(TRIM(Raw_Data!E872),1))="F","Female","Unknown"))</f>
        <v>Female</v>
      </c>
      <c r="F872" s="13" t="str">
        <f aca="false">PROPER(TRIM(SUBSTITUTE(Raw_Data!F872,"'","")))</f>
        <v>Diploma</v>
      </c>
      <c r="G872" s="13" t="str">
        <f aca="false">PROPER(TRIM(Raw_Data!G872))</f>
        <v>Engineering</v>
      </c>
      <c r="H872" s="13" t="str">
        <f aca="false">PROPER(TRIM(Raw_Data!H872))</f>
        <v>Manager</v>
      </c>
      <c r="I872" s="13" t="n">
        <f aca="false">IF(Raw_Data!I872="",DefaultPerf,Raw_Data!I872)</f>
        <v>2</v>
      </c>
      <c r="J872" s="13" t="n">
        <f aca="false">IF(Raw_Data!J872="",DefaultSat,Raw_Data!J872)</f>
        <v>3</v>
      </c>
      <c r="K872" s="15" t="n">
        <f aca="false">Raw_Data!K872</f>
        <v>183500</v>
      </c>
      <c r="L872" s="13" t="str">
        <f aca="false">PROPER(TRIM(Raw_Data!N872))</f>
        <v>Yes</v>
      </c>
      <c r="M872" s="13" t="n">
        <f aca="false">IF(C872="",0,1)</f>
        <v>0</v>
      </c>
      <c r="N872" s="13" t="str">
        <f aca="false">IF(M872=0,"Active",IF(TRIM(Raw_Data!L872)="","Unknown",PROPER(TRIM(Raw_Data!L872))))</f>
        <v>Active</v>
      </c>
      <c r="O872" s="13" t="str">
        <f aca="false">IF(M872=0,"",IF(TRIM(Raw_Data!M872)="","Not Recorded",TRIM(Raw_Data!M872)))</f>
        <v/>
      </c>
      <c r="P872" s="16" t="n">
        <f aca="false">ROUND((IF(C872="",AsOfDate,C872)-B872)/365.25,2)</f>
        <v>6.7</v>
      </c>
      <c r="Q872" s="13" t="str">
        <f aca="false">IF(D872="","Unknown",IF(D872&lt;25,"Under 25",IF(D872&lt;35,"25-34",IF(D872&lt;45,"35-44",IF(D872&lt;55,"45-54","55+")))))</f>
        <v>35-44</v>
      </c>
      <c r="R872" s="13" t="str">
        <f aca="false">IF(P872&lt;1,"0-1 yrs",IF(P872&lt;3,"1-3 yrs",IF(P872&lt;5,"3-5 yrs",IF(P872&lt;10,"5-10 yrs","10+ yrs"))))</f>
        <v>5-10 yrs</v>
      </c>
      <c r="S872" s="13" t="str">
        <f aca="false">IF(I872&gt;=4,"High",IF(I872=3,"Medium","Low"))</f>
        <v>Low</v>
      </c>
      <c r="T872" s="13" t="str">
        <f aca="false">IF(M872=1,YEAR(C872),"")</f>
        <v/>
      </c>
      <c r="U872" s="13" t="str">
        <f aca="false">IF(M872=1,YEAR(C872)&amp;"-Q"&amp;ROUNDUP(MONTH(C872)/3,0),"")</f>
        <v/>
      </c>
      <c r="V872" s="13" t="str">
        <f aca="false">IF(M872=1,MONTH(C872),"")</f>
        <v/>
      </c>
    </row>
    <row r="873" customFormat="false" ht="15" hidden="false" customHeight="false" outlineLevel="0" collapsed="false">
      <c r="A873" s="13" t="str">
        <f aca="false">TRIM(Raw_Data!A873)</f>
        <v>EMP0872</v>
      </c>
      <c r="B873" s="14" t="n">
        <f aca="false">Raw_Data!B873</f>
        <v>43579</v>
      </c>
      <c r="C873" s="14" t="str">
        <f aca="false">IF(Raw_Data!C873="","",Raw_Data!C873)</f>
        <v/>
      </c>
      <c r="D873" s="13" t="n">
        <f aca="false">IF(Raw_Data!D873="","",Raw_Data!D873)</f>
        <v>39</v>
      </c>
      <c r="E873" s="13" t="str">
        <f aca="false">IF(UPPER(LEFT(TRIM(Raw_Data!E873),1))="M","Male",IF(UPPER(LEFT(TRIM(Raw_Data!E873),1))="F","Female","Unknown"))</f>
        <v>Female</v>
      </c>
      <c r="F873" s="13" t="str">
        <f aca="false">PROPER(TRIM(SUBSTITUTE(Raw_Data!F873,"'","")))</f>
        <v>High School</v>
      </c>
      <c r="G873" s="13" t="str">
        <f aca="false">PROPER(TRIM(Raw_Data!G873))</f>
        <v>Operations</v>
      </c>
      <c r="H873" s="13" t="str">
        <f aca="false">PROPER(TRIM(Raw_Data!H873))</f>
        <v>Manager</v>
      </c>
      <c r="I873" s="13" t="n">
        <f aca="false">IF(Raw_Data!I873="",DefaultPerf,Raw_Data!I873)</f>
        <v>3</v>
      </c>
      <c r="J873" s="13" t="n">
        <f aca="false">IF(Raw_Data!J873="",DefaultSat,Raw_Data!J873)</f>
        <v>4</v>
      </c>
      <c r="K873" s="15" t="n">
        <f aca="false">Raw_Data!K873</f>
        <v>201000</v>
      </c>
      <c r="L873" s="13" t="str">
        <f aca="false">PROPER(TRIM(Raw_Data!N873))</f>
        <v>No</v>
      </c>
      <c r="M873" s="13" t="n">
        <f aca="false">IF(C873="",0,1)</f>
        <v>0</v>
      </c>
      <c r="N873" s="13" t="str">
        <f aca="false">IF(M873=0,"Active",IF(TRIM(Raw_Data!L873)="","Unknown",PROPER(TRIM(Raw_Data!L873))))</f>
        <v>Active</v>
      </c>
      <c r="O873" s="13" t="str">
        <f aca="false">IF(M873=0,"",IF(TRIM(Raw_Data!M873)="","Not Recorded",TRIM(Raw_Data!M873)))</f>
        <v/>
      </c>
      <c r="P873" s="16" t="n">
        <f aca="false">ROUND((IF(C873="",AsOfDate,C873)-B873)/365.25,2)</f>
        <v>6.69</v>
      </c>
      <c r="Q873" s="13" t="str">
        <f aca="false">IF(D873="","Unknown",IF(D873&lt;25,"Under 25",IF(D873&lt;35,"25-34",IF(D873&lt;45,"35-44",IF(D873&lt;55,"45-54","55+")))))</f>
        <v>35-44</v>
      </c>
      <c r="R873" s="13" t="str">
        <f aca="false">IF(P873&lt;1,"0-1 yrs",IF(P873&lt;3,"1-3 yrs",IF(P873&lt;5,"3-5 yrs",IF(P873&lt;10,"5-10 yrs","10+ yrs"))))</f>
        <v>5-10 yrs</v>
      </c>
      <c r="S873" s="13" t="str">
        <f aca="false">IF(I873&gt;=4,"High",IF(I873=3,"Medium","Low"))</f>
        <v>Medium</v>
      </c>
      <c r="T873" s="13" t="str">
        <f aca="false">IF(M873=1,YEAR(C873),"")</f>
        <v/>
      </c>
      <c r="U873" s="13" t="str">
        <f aca="false">IF(M873=1,YEAR(C873)&amp;"-Q"&amp;ROUNDUP(MONTH(C873)/3,0),"")</f>
        <v/>
      </c>
      <c r="V873" s="13" t="str">
        <f aca="false">IF(M873=1,MONTH(C873),"")</f>
        <v/>
      </c>
    </row>
    <row r="874" customFormat="false" ht="15" hidden="false" customHeight="false" outlineLevel="0" collapsed="false">
      <c r="A874" s="13" t="str">
        <f aca="false">TRIM(Raw_Data!A874)</f>
        <v>EMP0873</v>
      </c>
      <c r="B874" s="14" t="n">
        <f aca="false">Raw_Data!B874</f>
        <v>43580</v>
      </c>
      <c r="C874" s="14" t="str">
        <f aca="false">IF(Raw_Data!C874="","",Raw_Data!C874)</f>
        <v/>
      </c>
      <c r="D874" s="13" t="n">
        <f aca="false">IF(Raw_Data!D874="","",Raw_Data!D874)</f>
        <v>32</v>
      </c>
      <c r="E874" s="13" t="str">
        <f aca="false">IF(UPPER(LEFT(TRIM(Raw_Data!E874),1))="M","Male",IF(UPPER(LEFT(TRIM(Raw_Data!E874),1))="F","Female","Unknown"))</f>
        <v>Female</v>
      </c>
      <c r="F874" s="13" t="str">
        <f aca="false">PROPER(TRIM(SUBSTITUTE(Raw_Data!F874,"'","")))</f>
        <v>Masters</v>
      </c>
      <c r="G874" s="13" t="str">
        <f aca="false">PROPER(TRIM(Raw_Data!G874))</f>
        <v>Finance</v>
      </c>
      <c r="H874" s="13" t="str">
        <f aca="false">PROPER(TRIM(Raw_Data!H874))</f>
        <v>Specialist</v>
      </c>
      <c r="I874" s="13" t="n">
        <f aca="false">IF(Raw_Data!I874="",DefaultPerf,Raw_Data!I874)</f>
        <v>3</v>
      </c>
      <c r="J874" s="13" t="n">
        <f aca="false">IF(Raw_Data!J874="",DefaultSat,Raw_Data!J874)</f>
        <v>3</v>
      </c>
      <c r="K874" s="15" t="n">
        <f aca="false">Raw_Data!K874</f>
        <v>123000</v>
      </c>
      <c r="L874" s="13" t="str">
        <f aca="false">PROPER(TRIM(Raw_Data!N874))</f>
        <v>Yes</v>
      </c>
      <c r="M874" s="13" t="n">
        <f aca="false">IF(C874="",0,1)</f>
        <v>0</v>
      </c>
      <c r="N874" s="13" t="str">
        <f aca="false">IF(M874=0,"Active",IF(TRIM(Raw_Data!L874)="","Unknown",PROPER(TRIM(Raw_Data!L874))))</f>
        <v>Active</v>
      </c>
      <c r="O874" s="13" t="str">
        <f aca="false">IF(M874=0,"",IF(TRIM(Raw_Data!M874)="","Not Recorded",TRIM(Raw_Data!M874)))</f>
        <v/>
      </c>
      <c r="P874" s="16" t="n">
        <f aca="false">ROUND((IF(C874="",AsOfDate,C874)-B874)/365.25,2)</f>
        <v>6.69</v>
      </c>
      <c r="Q874" s="13" t="str">
        <f aca="false">IF(D874="","Unknown",IF(D874&lt;25,"Under 25",IF(D874&lt;35,"25-34",IF(D874&lt;45,"35-44",IF(D874&lt;55,"45-54","55+")))))</f>
        <v>25-34</v>
      </c>
      <c r="R874" s="13" t="str">
        <f aca="false">IF(P874&lt;1,"0-1 yrs",IF(P874&lt;3,"1-3 yrs",IF(P874&lt;5,"3-5 yrs",IF(P874&lt;10,"5-10 yrs","10+ yrs"))))</f>
        <v>5-10 yrs</v>
      </c>
      <c r="S874" s="13" t="str">
        <f aca="false">IF(I874&gt;=4,"High",IF(I874=3,"Medium","Low"))</f>
        <v>Medium</v>
      </c>
      <c r="T874" s="13" t="str">
        <f aca="false">IF(M874=1,YEAR(C874),"")</f>
        <v/>
      </c>
      <c r="U874" s="13" t="str">
        <f aca="false">IF(M874=1,YEAR(C874)&amp;"-Q"&amp;ROUNDUP(MONTH(C874)/3,0),"")</f>
        <v/>
      </c>
      <c r="V874" s="13" t="str">
        <f aca="false">IF(M874=1,MONTH(C874),"")</f>
        <v/>
      </c>
    </row>
    <row r="875" customFormat="false" ht="15" hidden="false" customHeight="false" outlineLevel="0" collapsed="false">
      <c r="A875" s="13" t="str">
        <f aca="false">TRIM(Raw_Data!A875)</f>
        <v>EMP0874</v>
      </c>
      <c r="B875" s="14" t="n">
        <f aca="false">Raw_Data!B875</f>
        <v>43584</v>
      </c>
      <c r="C875" s="14" t="str">
        <f aca="false">IF(Raw_Data!C875="","",Raw_Data!C875)</f>
        <v/>
      </c>
      <c r="D875" s="13" t="n">
        <f aca="false">IF(Raw_Data!D875="","",Raw_Data!D875)</f>
        <v>43</v>
      </c>
      <c r="E875" s="13" t="str">
        <f aca="false">IF(UPPER(LEFT(TRIM(Raw_Data!E875),1))="M","Male",IF(UPPER(LEFT(TRIM(Raw_Data!E875),1))="F","Female","Unknown"))</f>
        <v>Male</v>
      </c>
      <c r="F875" s="13" t="str">
        <f aca="false">PROPER(TRIM(SUBSTITUTE(Raw_Data!F875,"'","")))</f>
        <v>Masters</v>
      </c>
      <c r="G875" s="13" t="str">
        <f aca="false">PROPER(TRIM(Raw_Data!G875))</f>
        <v>Sales</v>
      </c>
      <c r="H875" s="13" t="str">
        <f aca="false">PROPER(TRIM(Raw_Data!H875))</f>
        <v>Team Lead</v>
      </c>
      <c r="I875" s="13" t="n">
        <f aca="false">IF(Raw_Data!I875="",DefaultPerf,Raw_Data!I875)</f>
        <v>3</v>
      </c>
      <c r="J875" s="13" t="n">
        <f aca="false">IF(Raw_Data!J875="",DefaultSat,Raw_Data!J875)</f>
        <v>1</v>
      </c>
      <c r="K875" s="15" t="n">
        <f aca="false">Raw_Data!K875</f>
        <v>160000</v>
      </c>
      <c r="L875" s="13" t="str">
        <f aca="false">PROPER(TRIM(Raw_Data!N875))</f>
        <v>Yes</v>
      </c>
      <c r="M875" s="13" t="n">
        <f aca="false">IF(C875="",0,1)</f>
        <v>0</v>
      </c>
      <c r="N875" s="13" t="str">
        <f aca="false">IF(M875=0,"Active",IF(TRIM(Raw_Data!L875)="","Unknown",PROPER(TRIM(Raw_Data!L875))))</f>
        <v>Active</v>
      </c>
      <c r="O875" s="13" t="str">
        <f aca="false">IF(M875=0,"",IF(TRIM(Raw_Data!M875)="","Not Recorded",TRIM(Raw_Data!M875)))</f>
        <v/>
      </c>
      <c r="P875" s="16" t="n">
        <f aca="false">ROUND((IF(C875="",AsOfDate,C875)-B875)/365.25,2)</f>
        <v>6.67</v>
      </c>
      <c r="Q875" s="13" t="str">
        <f aca="false">IF(D875="","Unknown",IF(D875&lt;25,"Under 25",IF(D875&lt;35,"25-34",IF(D875&lt;45,"35-44",IF(D875&lt;55,"45-54","55+")))))</f>
        <v>35-44</v>
      </c>
      <c r="R875" s="13" t="str">
        <f aca="false">IF(P875&lt;1,"0-1 yrs",IF(P875&lt;3,"1-3 yrs",IF(P875&lt;5,"3-5 yrs",IF(P875&lt;10,"5-10 yrs","10+ yrs"))))</f>
        <v>5-10 yrs</v>
      </c>
      <c r="S875" s="13" t="str">
        <f aca="false">IF(I875&gt;=4,"High",IF(I875=3,"Medium","Low"))</f>
        <v>Medium</v>
      </c>
      <c r="T875" s="13" t="str">
        <f aca="false">IF(M875=1,YEAR(C875),"")</f>
        <v/>
      </c>
      <c r="U875" s="13" t="str">
        <f aca="false">IF(M875=1,YEAR(C875)&amp;"-Q"&amp;ROUNDUP(MONTH(C875)/3,0),"")</f>
        <v/>
      </c>
      <c r="V875" s="13" t="str">
        <f aca="false">IF(M875=1,MONTH(C875),"")</f>
        <v/>
      </c>
    </row>
    <row r="876" customFormat="false" ht="15" hidden="false" customHeight="false" outlineLevel="0" collapsed="false">
      <c r="A876" s="13" t="str">
        <f aca="false">TRIM(Raw_Data!A876)</f>
        <v>EMP0875</v>
      </c>
      <c r="B876" s="14" t="n">
        <f aca="false">Raw_Data!B876</f>
        <v>43585</v>
      </c>
      <c r="C876" s="14" t="str">
        <f aca="false">IF(Raw_Data!C876="","",Raw_Data!C876)</f>
        <v/>
      </c>
      <c r="D876" s="13" t="n">
        <f aca="false">IF(Raw_Data!D876="","",Raw_Data!D876)</f>
        <v>34</v>
      </c>
      <c r="E876" s="13" t="str">
        <f aca="false">IF(UPPER(LEFT(TRIM(Raw_Data!E876),1))="M","Male",IF(UPPER(LEFT(TRIM(Raw_Data!E876),1))="F","Female","Unknown"))</f>
        <v>Female</v>
      </c>
      <c r="F876" s="13" t="str">
        <f aca="false">PROPER(TRIM(SUBSTITUTE(Raw_Data!F876,"'","")))</f>
        <v>High School</v>
      </c>
      <c r="G876" s="13" t="str">
        <f aca="false">PROPER(TRIM(Raw_Data!G876))</f>
        <v>Operations</v>
      </c>
      <c r="H876" s="13" t="str">
        <f aca="false">PROPER(TRIM(Raw_Data!H876))</f>
        <v>Associate</v>
      </c>
      <c r="I876" s="13" t="n">
        <f aca="false">IF(Raw_Data!I876="",DefaultPerf,Raw_Data!I876)</f>
        <v>3</v>
      </c>
      <c r="J876" s="13" t="n">
        <f aca="false">IF(Raw_Data!J876="",DefaultSat,Raw_Data!J876)</f>
        <v>2</v>
      </c>
      <c r="K876" s="15" t="n">
        <f aca="false">Raw_Data!K876</f>
        <v>38500</v>
      </c>
      <c r="L876" s="13" t="str">
        <f aca="false">PROPER(TRIM(Raw_Data!N876))</f>
        <v>No</v>
      </c>
      <c r="M876" s="13" t="n">
        <f aca="false">IF(C876="",0,1)</f>
        <v>0</v>
      </c>
      <c r="N876" s="13" t="str">
        <f aca="false">IF(M876=0,"Active",IF(TRIM(Raw_Data!L876)="","Unknown",PROPER(TRIM(Raw_Data!L876))))</f>
        <v>Active</v>
      </c>
      <c r="O876" s="13" t="str">
        <f aca="false">IF(M876=0,"",IF(TRIM(Raw_Data!M876)="","Not Recorded",TRIM(Raw_Data!M876)))</f>
        <v/>
      </c>
      <c r="P876" s="16" t="n">
        <f aca="false">ROUND((IF(C876="",AsOfDate,C876)-B876)/365.25,2)</f>
        <v>6.67</v>
      </c>
      <c r="Q876" s="13" t="str">
        <f aca="false">IF(D876="","Unknown",IF(D876&lt;25,"Under 25",IF(D876&lt;35,"25-34",IF(D876&lt;45,"35-44",IF(D876&lt;55,"45-54","55+")))))</f>
        <v>25-34</v>
      </c>
      <c r="R876" s="13" t="str">
        <f aca="false">IF(P876&lt;1,"0-1 yrs",IF(P876&lt;3,"1-3 yrs",IF(P876&lt;5,"3-5 yrs",IF(P876&lt;10,"5-10 yrs","10+ yrs"))))</f>
        <v>5-10 yrs</v>
      </c>
      <c r="S876" s="13" t="str">
        <f aca="false">IF(I876&gt;=4,"High",IF(I876=3,"Medium","Low"))</f>
        <v>Medium</v>
      </c>
      <c r="T876" s="13" t="str">
        <f aca="false">IF(M876=1,YEAR(C876),"")</f>
        <v/>
      </c>
      <c r="U876" s="13" t="str">
        <f aca="false">IF(M876=1,YEAR(C876)&amp;"-Q"&amp;ROUNDUP(MONTH(C876)/3,0),"")</f>
        <v/>
      </c>
      <c r="V876" s="13" t="str">
        <f aca="false">IF(M876=1,MONTH(C876),"")</f>
        <v/>
      </c>
    </row>
    <row r="877" customFormat="false" ht="15" hidden="false" customHeight="false" outlineLevel="0" collapsed="false">
      <c r="A877" s="13" t="str">
        <f aca="false">TRIM(Raw_Data!A877)</f>
        <v>EMP0876</v>
      </c>
      <c r="B877" s="14" t="n">
        <f aca="false">Raw_Data!B877</f>
        <v>43587</v>
      </c>
      <c r="C877" s="14" t="n">
        <f aca="false">IF(Raw_Data!C877="","",Raw_Data!C877)</f>
        <v>44757</v>
      </c>
      <c r="D877" s="13" t="n">
        <f aca="false">IF(Raw_Data!D877="","",Raw_Data!D877)</f>
        <v>33</v>
      </c>
      <c r="E877" s="13" t="str">
        <f aca="false">IF(UPPER(LEFT(TRIM(Raw_Data!E877),1))="M","Male",IF(UPPER(LEFT(TRIM(Raw_Data!E877),1))="F","Female","Unknown"))</f>
        <v>Female</v>
      </c>
      <c r="F877" s="13" t="str">
        <f aca="false">PROPER(TRIM(SUBSTITUTE(Raw_Data!F877,"'","")))</f>
        <v>Masters</v>
      </c>
      <c r="G877" s="13" t="str">
        <f aca="false">PROPER(TRIM(Raw_Data!G877))</f>
        <v>Customer Support</v>
      </c>
      <c r="H877" s="13" t="str">
        <f aca="false">PROPER(TRIM(Raw_Data!H877))</f>
        <v>Senior Analyst</v>
      </c>
      <c r="I877" s="13" t="n">
        <f aca="false">IF(Raw_Data!I877="",DefaultPerf,Raw_Data!I877)</f>
        <v>3</v>
      </c>
      <c r="J877" s="13" t="n">
        <f aca="false">IF(Raw_Data!J877="",DefaultSat,Raw_Data!J877)</f>
        <v>4</v>
      </c>
      <c r="K877" s="15" t="n">
        <f aca="false">Raw_Data!K877</f>
        <v>103500</v>
      </c>
      <c r="L877" s="13" t="str">
        <f aca="false">PROPER(TRIM(Raw_Data!N877))</f>
        <v>Yes</v>
      </c>
      <c r="M877" s="13" t="n">
        <f aca="false">IF(C877="",0,1)</f>
        <v>1</v>
      </c>
      <c r="N877" s="13" t="str">
        <f aca="false">IF(M877=0,"Active",IF(TRIM(Raw_Data!L877)="","Unknown",PROPER(TRIM(Raw_Data!L877))))</f>
        <v>Voluntary</v>
      </c>
      <c r="O877" s="13" t="str">
        <f aca="false">IF(M877=0,"",IF(TRIM(Raw_Data!M877)="","Not Recorded",TRIM(Raw_Data!M877)))</f>
        <v>Better Compensation</v>
      </c>
      <c r="P877" s="16" t="n">
        <f aca="false">ROUND((IF(C877="",AsOfDate,C877)-B877)/365.25,2)</f>
        <v>3.2</v>
      </c>
      <c r="Q877" s="13" t="str">
        <f aca="false">IF(D877="","Unknown",IF(D877&lt;25,"Under 25",IF(D877&lt;35,"25-34",IF(D877&lt;45,"35-44",IF(D877&lt;55,"45-54","55+")))))</f>
        <v>25-34</v>
      </c>
      <c r="R877" s="13" t="str">
        <f aca="false">IF(P877&lt;1,"0-1 yrs",IF(P877&lt;3,"1-3 yrs",IF(P877&lt;5,"3-5 yrs",IF(P877&lt;10,"5-10 yrs","10+ yrs"))))</f>
        <v>3-5 yrs</v>
      </c>
      <c r="S877" s="13" t="str">
        <f aca="false">IF(I877&gt;=4,"High",IF(I877=3,"Medium","Low"))</f>
        <v>Medium</v>
      </c>
      <c r="T877" s="13" t="n">
        <f aca="false">IF(M877=1,YEAR(C877),"")</f>
        <v>2022</v>
      </c>
      <c r="U877" s="13" t="str">
        <f aca="false">IF(M877=1,YEAR(C877)&amp;"-Q"&amp;ROUNDUP(MONTH(C877)/3,0),"")</f>
        <v>2022-Q3</v>
      </c>
      <c r="V877" s="13" t="n">
        <f aca="false">IF(M877=1,MONTH(C877),"")</f>
        <v>7</v>
      </c>
    </row>
    <row r="878" customFormat="false" ht="15" hidden="false" customHeight="false" outlineLevel="0" collapsed="false">
      <c r="A878" s="13" t="str">
        <f aca="false">TRIM(Raw_Data!A878)</f>
        <v>EMP0877</v>
      </c>
      <c r="B878" s="14" t="n">
        <f aca="false">Raw_Data!B878</f>
        <v>43588</v>
      </c>
      <c r="C878" s="14" t="str">
        <f aca="false">IF(Raw_Data!C878="","",Raw_Data!C878)</f>
        <v/>
      </c>
      <c r="D878" s="13" t="n">
        <f aca="false">IF(Raw_Data!D878="","",Raw_Data!D878)</f>
        <v>35</v>
      </c>
      <c r="E878" s="13" t="str">
        <f aca="false">IF(UPPER(LEFT(TRIM(Raw_Data!E878),1))="M","Male",IF(UPPER(LEFT(TRIM(Raw_Data!E878),1))="F","Female","Unknown"))</f>
        <v>Male</v>
      </c>
      <c r="F878" s="13" t="str">
        <f aca="false">PROPER(TRIM(SUBSTITUTE(Raw_Data!F878,"'","")))</f>
        <v>Bachelors</v>
      </c>
      <c r="G878" s="13" t="str">
        <f aca="false">PROPER(TRIM(Raw_Data!G878))</f>
        <v>Operations</v>
      </c>
      <c r="H878" s="13" t="str">
        <f aca="false">PROPER(TRIM(Raw_Data!H878))</f>
        <v>Associate</v>
      </c>
      <c r="I878" s="13" t="n">
        <f aca="false">IF(Raw_Data!I878="",DefaultPerf,Raw_Data!I878)</f>
        <v>3</v>
      </c>
      <c r="J878" s="13" t="n">
        <f aca="false">IF(Raw_Data!J878="",DefaultSat,Raw_Data!J878)</f>
        <v>4</v>
      </c>
      <c r="K878" s="15" t="n">
        <f aca="false">Raw_Data!K878</f>
        <v>44000</v>
      </c>
      <c r="L878" s="13" t="str">
        <f aca="false">PROPER(TRIM(Raw_Data!N878))</f>
        <v>No</v>
      </c>
      <c r="M878" s="13" t="n">
        <f aca="false">IF(C878="",0,1)</f>
        <v>0</v>
      </c>
      <c r="N878" s="13" t="str">
        <f aca="false">IF(M878=0,"Active",IF(TRIM(Raw_Data!L878)="","Unknown",PROPER(TRIM(Raw_Data!L878))))</f>
        <v>Active</v>
      </c>
      <c r="O878" s="13" t="str">
        <f aca="false">IF(M878=0,"",IF(TRIM(Raw_Data!M878)="","Not Recorded",TRIM(Raw_Data!M878)))</f>
        <v/>
      </c>
      <c r="P878" s="16" t="n">
        <f aca="false">ROUND((IF(C878="",AsOfDate,C878)-B878)/365.25,2)</f>
        <v>6.66</v>
      </c>
      <c r="Q878" s="13" t="str">
        <f aca="false">IF(D878="","Unknown",IF(D878&lt;25,"Under 25",IF(D878&lt;35,"25-34",IF(D878&lt;45,"35-44",IF(D878&lt;55,"45-54","55+")))))</f>
        <v>35-44</v>
      </c>
      <c r="R878" s="13" t="str">
        <f aca="false">IF(P878&lt;1,"0-1 yrs",IF(P878&lt;3,"1-3 yrs",IF(P878&lt;5,"3-5 yrs",IF(P878&lt;10,"5-10 yrs","10+ yrs"))))</f>
        <v>5-10 yrs</v>
      </c>
      <c r="S878" s="13" t="str">
        <f aca="false">IF(I878&gt;=4,"High",IF(I878=3,"Medium","Low"))</f>
        <v>Medium</v>
      </c>
      <c r="T878" s="13" t="str">
        <f aca="false">IF(M878=1,YEAR(C878),"")</f>
        <v/>
      </c>
      <c r="U878" s="13" t="str">
        <f aca="false">IF(M878=1,YEAR(C878)&amp;"-Q"&amp;ROUNDUP(MONTH(C878)/3,0),"")</f>
        <v/>
      </c>
      <c r="V878" s="13" t="str">
        <f aca="false">IF(M878=1,MONTH(C878),"")</f>
        <v/>
      </c>
    </row>
    <row r="879" customFormat="false" ht="15" hidden="false" customHeight="false" outlineLevel="0" collapsed="false">
      <c r="A879" s="13" t="str">
        <f aca="false">TRIM(Raw_Data!A879)</f>
        <v>EMP0878</v>
      </c>
      <c r="B879" s="14" t="n">
        <f aca="false">Raw_Data!B879</f>
        <v>43595</v>
      </c>
      <c r="C879" s="14" t="n">
        <f aca="false">IF(Raw_Data!C879="","",Raw_Data!C879)</f>
        <v>45167</v>
      </c>
      <c r="D879" s="13" t="n">
        <f aca="false">IF(Raw_Data!D879="","",Raw_Data!D879)</f>
        <v>34</v>
      </c>
      <c r="E879" s="13" t="str">
        <f aca="false">IF(UPPER(LEFT(TRIM(Raw_Data!E879),1))="M","Male",IF(UPPER(LEFT(TRIM(Raw_Data!E879),1))="F","Female","Unknown"))</f>
        <v>Female</v>
      </c>
      <c r="F879" s="13" t="str">
        <f aca="false">PROPER(TRIM(SUBSTITUTE(Raw_Data!F879,"'","")))</f>
        <v>Masters</v>
      </c>
      <c r="G879" s="13" t="str">
        <f aca="false">PROPER(TRIM(Raw_Data!G879))</f>
        <v>Operations</v>
      </c>
      <c r="H879" s="13" t="str">
        <f aca="false">PROPER(TRIM(Raw_Data!H879))</f>
        <v>Associate</v>
      </c>
      <c r="I879" s="13" t="n">
        <f aca="false">IF(Raw_Data!I879="",DefaultPerf,Raw_Data!I879)</f>
        <v>5</v>
      </c>
      <c r="J879" s="13" t="n">
        <f aca="false">IF(Raw_Data!J879="",DefaultSat,Raw_Data!J879)</f>
        <v>3</v>
      </c>
      <c r="K879" s="15" t="n">
        <f aca="false">Raw_Data!K879</f>
        <v>39500</v>
      </c>
      <c r="L879" s="13" t="str">
        <f aca="false">PROPER(TRIM(Raw_Data!N879))</f>
        <v>No</v>
      </c>
      <c r="M879" s="13" t="n">
        <f aca="false">IF(C879="",0,1)</f>
        <v>1</v>
      </c>
      <c r="N879" s="13" t="str">
        <f aca="false">IF(M879=0,"Active",IF(TRIM(Raw_Data!L879)="","Unknown",PROPER(TRIM(Raw_Data!L879))))</f>
        <v>Involuntary</v>
      </c>
      <c r="O879" s="13" t="str">
        <f aca="false">IF(M879=0,"",IF(TRIM(Raw_Data!M879)="","Not Recorded",TRIM(Raw_Data!M879)))</f>
        <v>Restructuring / Layoff</v>
      </c>
      <c r="P879" s="16" t="n">
        <f aca="false">ROUND((IF(C879="",AsOfDate,C879)-B879)/365.25,2)</f>
        <v>4.3</v>
      </c>
      <c r="Q879" s="13" t="str">
        <f aca="false">IF(D879="","Unknown",IF(D879&lt;25,"Under 25",IF(D879&lt;35,"25-34",IF(D879&lt;45,"35-44",IF(D879&lt;55,"45-54","55+")))))</f>
        <v>25-34</v>
      </c>
      <c r="R879" s="13" t="str">
        <f aca="false">IF(P879&lt;1,"0-1 yrs",IF(P879&lt;3,"1-3 yrs",IF(P879&lt;5,"3-5 yrs",IF(P879&lt;10,"5-10 yrs","10+ yrs"))))</f>
        <v>3-5 yrs</v>
      </c>
      <c r="S879" s="13" t="str">
        <f aca="false">IF(I879&gt;=4,"High",IF(I879=3,"Medium","Low"))</f>
        <v>High</v>
      </c>
      <c r="T879" s="13" t="n">
        <f aca="false">IF(M879=1,YEAR(C879),"")</f>
        <v>2023</v>
      </c>
      <c r="U879" s="13" t="str">
        <f aca="false">IF(M879=1,YEAR(C879)&amp;"-Q"&amp;ROUNDUP(MONTH(C879)/3,0),"")</f>
        <v>2023-Q3</v>
      </c>
      <c r="V879" s="13" t="n">
        <f aca="false">IF(M879=1,MONTH(C879),"")</f>
        <v>8</v>
      </c>
    </row>
    <row r="880" customFormat="false" ht="15" hidden="false" customHeight="false" outlineLevel="0" collapsed="false">
      <c r="A880" s="13" t="str">
        <f aca="false">TRIM(Raw_Data!A880)</f>
        <v>EMP0879</v>
      </c>
      <c r="B880" s="14" t="n">
        <f aca="false">Raw_Data!B880</f>
        <v>43595</v>
      </c>
      <c r="C880" s="14" t="str">
        <f aca="false">IF(Raw_Data!C880="","",Raw_Data!C880)</f>
        <v/>
      </c>
      <c r="D880" s="13" t="n">
        <f aca="false">IF(Raw_Data!D880="","",Raw_Data!D880)</f>
        <v>35</v>
      </c>
      <c r="E880" s="13" t="str">
        <f aca="false">IF(UPPER(LEFT(TRIM(Raw_Data!E880),1))="M","Male",IF(UPPER(LEFT(TRIM(Raw_Data!E880),1))="F","Female","Unknown"))</f>
        <v>Female</v>
      </c>
      <c r="F880" s="13" t="str">
        <f aca="false">PROPER(TRIM(SUBSTITUTE(Raw_Data!F880,"'","")))</f>
        <v>Masters</v>
      </c>
      <c r="G880" s="13" t="str">
        <f aca="false">PROPER(TRIM(Raw_Data!G880))</f>
        <v>Operations</v>
      </c>
      <c r="H880" s="13" t="str">
        <f aca="false">PROPER(TRIM(Raw_Data!H880))</f>
        <v>Senior Analyst</v>
      </c>
      <c r="I880" s="13" t="n">
        <f aca="false">IF(Raw_Data!I880="",DefaultPerf,Raw_Data!I880)</f>
        <v>2</v>
      </c>
      <c r="J880" s="13" t="n">
        <f aca="false">IF(Raw_Data!J880="",DefaultSat,Raw_Data!J880)</f>
        <v>3</v>
      </c>
      <c r="K880" s="15" t="n">
        <f aca="false">Raw_Data!K880</f>
        <v>105000</v>
      </c>
      <c r="L880" s="13" t="str">
        <f aca="false">PROPER(TRIM(Raw_Data!N880))</f>
        <v>Yes</v>
      </c>
      <c r="M880" s="13" t="n">
        <f aca="false">IF(C880="",0,1)</f>
        <v>0</v>
      </c>
      <c r="N880" s="13" t="str">
        <f aca="false">IF(M880=0,"Active",IF(TRIM(Raw_Data!L880)="","Unknown",PROPER(TRIM(Raw_Data!L880))))</f>
        <v>Active</v>
      </c>
      <c r="O880" s="13" t="str">
        <f aca="false">IF(M880=0,"",IF(TRIM(Raw_Data!M880)="","Not Recorded",TRIM(Raw_Data!M880)))</f>
        <v/>
      </c>
      <c r="P880" s="16" t="n">
        <f aca="false">ROUND((IF(C880="",AsOfDate,C880)-B880)/365.25,2)</f>
        <v>6.64</v>
      </c>
      <c r="Q880" s="13" t="str">
        <f aca="false">IF(D880="","Unknown",IF(D880&lt;25,"Under 25",IF(D880&lt;35,"25-34",IF(D880&lt;45,"35-44",IF(D880&lt;55,"45-54","55+")))))</f>
        <v>35-44</v>
      </c>
      <c r="R880" s="13" t="str">
        <f aca="false">IF(P880&lt;1,"0-1 yrs",IF(P880&lt;3,"1-3 yrs",IF(P880&lt;5,"3-5 yrs",IF(P880&lt;10,"5-10 yrs","10+ yrs"))))</f>
        <v>5-10 yrs</v>
      </c>
      <c r="S880" s="13" t="str">
        <f aca="false">IF(I880&gt;=4,"High",IF(I880=3,"Medium","Low"))</f>
        <v>Low</v>
      </c>
      <c r="T880" s="13" t="str">
        <f aca="false">IF(M880=1,YEAR(C880),"")</f>
        <v/>
      </c>
      <c r="U880" s="13" t="str">
        <f aca="false">IF(M880=1,YEAR(C880)&amp;"-Q"&amp;ROUNDUP(MONTH(C880)/3,0),"")</f>
        <v/>
      </c>
      <c r="V880" s="13" t="str">
        <f aca="false">IF(M880=1,MONTH(C880),"")</f>
        <v/>
      </c>
    </row>
    <row r="881" customFormat="false" ht="15" hidden="false" customHeight="false" outlineLevel="0" collapsed="false">
      <c r="A881" s="13" t="str">
        <f aca="false">TRIM(Raw_Data!A881)</f>
        <v>EMP0880</v>
      </c>
      <c r="B881" s="14" t="n">
        <f aca="false">Raw_Data!B881</f>
        <v>43597</v>
      </c>
      <c r="C881" s="14" t="str">
        <f aca="false">IF(Raw_Data!C881="","",Raw_Data!C881)</f>
        <v/>
      </c>
      <c r="D881" s="13" t="n">
        <f aca="false">IF(Raw_Data!D881="","",Raw_Data!D881)</f>
        <v>48</v>
      </c>
      <c r="E881" s="13" t="str">
        <f aca="false">IF(UPPER(LEFT(TRIM(Raw_Data!E881),1))="M","Male",IF(UPPER(LEFT(TRIM(Raw_Data!E881),1))="F","Female","Unknown"))</f>
        <v>Female</v>
      </c>
      <c r="F881" s="13" t="str">
        <f aca="false">PROPER(TRIM(SUBSTITUTE(Raw_Data!F881,"'","")))</f>
        <v>Bachelors</v>
      </c>
      <c r="G881" s="13" t="str">
        <f aca="false">PROPER(TRIM(Raw_Data!G881))</f>
        <v>Human Resources</v>
      </c>
      <c r="H881" s="13" t="str">
        <f aca="false">PROPER(TRIM(Raw_Data!H881))</f>
        <v>Specialist</v>
      </c>
      <c r="I881" s="13" t="n">
        <f aca="false">IF(Raw_Data!I881="",DefaultPerf,Raw_Data!I881)</f>
        <v>5</v>
      </c>
      <c r="J881" s="13" t="n">
        <f aca="false">IF(Raw_Data!J881="",DefaultSat,Raw_Data!J881)</f>
        <v>3</v>
      </c>
      <c r="K881" s="15" t="n">
        <f aca="false">Raw_Data!K881</f>
        <v>113500</v>
      </c>
      <c r="L881" s="13" t="str">
        <f aca="false">PROPER(TRIM(Raw_Data!N881))</f>
        <v>No</v>
      </c>
      <c r="M881" s="13" t="n">
        <f aca="false">IF(C881="",0,1)</f>
        <v>0</v>
      </c>
      <c r="N881" s="13" t="str">
        <f aca="false">IF(M881=0,"Active",IF(TRIM(Raw_Data!L881)="","Unknown",PROPER(TRIM(Raw_Data!L881))))</f>
        <v>Active</v>
      </c>
      <c r="O881" s="13" t="str">
        <f aca="false">IF(M881=0,"",IF(TRIM(Raw_Data!M881)="","Not Recorded",TRIM(Raw_Data!M881)))</f>
        <v/>
      </c>
      <c r="P881" s="16" t="n">
        <f aca="false">ROUND((IF(C881="",AsOfDate,C881)-B881)/365.25,2)</f>
        <v>6.64</v>
      </c>
      <c r="Q881" s="13" t="str">
        <f aca="false">IF(D881="","Unknown",IF(D881&lt;25,"Under 25",IF(D881&lt;35,"25-34",IF(D881&lt;45,"35-44",IF(D881&lt;55,"45-54","55+")))))</f>
        <v>45-54</v>
      </c>
      <c r="R881" s="13" t="str">
        <f aca="false">IF(P881&lt;1,"0-1 yrs",IF(P881&lt;3,"1-3 yrs",IF(P881&lt;5,"3-5 yrs",IF(P881&lt;10,"5-10 yrs","10+ yrs"))))</f>
        <v>5-10 yrs</v>
      </c>
      <c r="S881" s="13" t="str">
        <f aca="false">IF(I881&gt;=4,"High",IF(I881=3,"Medium","Low"))</f>
        <v>High</v>
      </c>
      <c r="T881" s="13" t="str">
        <f aca="false">IF(M881=1,YEAR(C881),"")</f>
        <v/>
      </c>
      <c r="U881" s="13" t="str">
        <f aca="false">IF(M881=1,YEAR(C881)&amp;"-Q"&amp;ROUNDUP(MONTH(C881)/3,0),"")</f>
        <v/>
      </c>
      <c r="V881" s="13" t="str">
        <f aca="false">IF(M881=1,MONTH(C881),"")</f>
        <v/>
      </c>
    </row>
    <row r="882" customFormat="false" ht="15" hidden="false" customHeight="false" outlineLevel="0" collapsed="false">
      <c r="A882" s="13" t="str">
        <f aca="false">TRIM(Raw_Data!A882)</f>
        <v>EMP0881</v>
      </c>
      <c r="B882" s="14" t="n">
        <f aca="false">Raw_Data!B882</f>
        <v>43598</v>
      </c>
      <c r="C882" s="14" t="str">
        <f aca="false">IF(Raw_Data!C882="","",Raw_Data!C882)</f>
        <v/>
      </c>
      <c r="D882" s="13" t="n">
        <f aca="false">IF(Raw_Data!D882="","",Raw_Data!D882)</f>
        <v>36</v>
      </c>
      <c r="E882" s="13" t="str">
        <f aca="false">IF(UPPER(LEFT(TRIM(Raw_Data!E882),1))="M","Male",IF(UPPER(LEFT(TRIM(Raw_Data!E882),1))="F","Female","Unknown"))</f>
        <v>Male</v>
      </c>
      <c r="F882" s="13" t="str">
        <f aca="false">PROPER(TRIM(SUBSTITUTE(Raw_Data!F882,"'","")))</f>
        <v>Masters</v>
      </c>
      <c r="G882" s="13" t="str">
        <f aca="false">PROPER(TRIM(Raw_Data!G882))</f>
        <v>Engineering</v>
      </c>
      <c r="H882" s="13" t="str">
        <f aca="false">PROPER(TRIM(Raw_Data!H882))</f>
        <v>Team Lead</v>
      </c>
      <c r="I882" s="13" t="n">
        <f aca="false">IF(Raw_Data!I882="",DefaultPerf,Raw_Data!I882)</f>
        <v>1</v>
      </c>
      <c r="J882" s="13" t="n">
        <f aca="false">IF(Raw_Data!J882="",DefaultSat,Raw_Data!J882)</f>
        <v>1</v>
      </c>
      <c r="K882" s="15" t="n">
        <f aca="false">Raw_Data!K882</f>
        <v>133000</v>
      </c>
      <c r="L882" s="13" t="str">
        <f aca="false">PROPER(TRIM(Raw_Data!N882))</f>
        <v>No</v>
      </c>
      <c r="M882" s="13" t="n">
        <f aca="false">IF(C882="",0,1)</f>
        <v>0</v>
      </c>
      <c r="N882" s="13" t="str">
        <f aca="false">IF(M882=0,"Active",IF(TRIM(Raw_Data!L882)="","Unknown",PROPER(TRIM(Raw_Data!L882))))</f>
        <v>Active</v>
      </c>
      <c r="O882" s="13" t="str">
        <f aca="false">IF(M882=0,"",IF(TRIM(Raw_Data!M882)="","Not Recorded",TRIM(Raw_Data!M882)))</f>
        <v/>
      </c>
      <c r="P882" s="16" t="n">
        <f aca="false">ROUND((IF(C882="",AsOfDate,C882)-B882)/365.25,2)</f>
        <v>6.64</v>
      </c>
      <c r="Q882" s="13" t="str">
        <f aca="false">IF(D882="","Unknown",IF(D882&lt;25,"Under 25",IF(D882&lt;35,"25-34",IF(D882&lt;45,"35-44",IF(D882&lt;55,"45-54","55+")))))</f>
        <v>35-44</v>
      </c>
      <c r="R882" s="13" t="str">
        <f aca="false">IF(P882&lt;1,"0-1 yrs",IF(P882&lt;3,"1-3 yrs",IF(P882&lt;5,"3-5 yrs",IF(P882&lt;10,"5-10 yrs","10+ yrs"))))</f>
        <v>5-10 yrs</v>
      </c>
      <c r="S882" s="13" t="str">
        <f aca="false">IF(I882&gt;=4,"High",IF(I882=3,"Medium","Low"))</f>
        <v>Low</v>
      </c>
      <c r="T882" s="13" t="str">
        <f aca="false">IF(M882=1,YEAR(C882),"")</f>
        <v/>
      </c>
      <c r="U882" s="13" t="str">
        <f aca="false">IF(M882=1,YEAR(C882)&amp;"-Q"&amp;ROUNDUP(MONTH(C882)/3,0),"")</f>
        <v/>
      </c>
      <c r="V882" s="13" t="str">
        <f aca="false">IF(M882=1,MONTH(C882),"")</f>
        <v/>
      </c>
    </row>
    <row r="883" customFormat="false" ht="15" hidden="false" customHeight="false" outlineLevel="0" collapsed="false">
      <c r="A883" s="13" t="str">
        <f aca="false">TRIM(Raw_Data!A883)</f>
        <v>EMP0882</v>
      </c>
      <c r="B883" s="14" t="n">
        <f aca="false">Raw_Data!B883</f>
        <v>43599</v>
      </c>
      <c r="C883" s="14" t="n">
        <f aca="false">IF(Raw_Data!C883="","",Raw_Data!C883)</f>
        <v>44660</v>
      </c>
      <c r="D883" s="13" t="n">
        <f aca="false">IF(Raw_Data!D883="","",Raw_Data!D883)</f>
        <v>33</v>
      </c>
      <c r="E883" s="13" t="str">
        <f aca="false">IF(UPPER(LEFT(TRIM(Raw_Data!E883),1))="M","Male",IF(UPPER(LEFT(TRIM(Raw_Data!E883),1))="F","Female","Unknown"))</f>
        <v>Male</v>
      </c>
      <c r="F883" s="13" t="str">
        <f aca="false">PROPER(TRIM(SUBSTITUTE(Raw_Data!F883,"'","")))</f>
        <v>High School</v>
      </c>
      <c r="G883" s="13" t="str">
        <f aca="false">PROPER(TRIM(Raw_Data!G883))</f>
        <v>Finance</v>
      </c>
      <c r="H883" s="13" t="str">
        <f aca="false">PROPER(TRIM(Raw_Data!H883))</f>
        <v>Team Lead</v>
      </c>
      <c r="I883" s="13" t="n">
        <f aca="false">IF(Raw_Data!I883="",DefaultPerf,Raw_Data!I883)</f>
        <v>3</v>
      </c>
      <c r="J883" s="13" t="n">
        <f aca="false">IF(Raw_Data!J883="",DefaultSat,Raw_Data!J883)</f>
        <v>1</v>
      </c>
      <c r="K883" s="15" t="n">
        <f aca="false">Raw_Data!K883</f>
        <v>125500</v>
      </c>
      <c r="L883" s="13" t="str">
        <f aca="false">PROPER(TRIM(Raw_Data!N883))</f>
        <v>Yes</v>
      </c>
      <c r="M883" s="13" t="n">
        <f aca="false">IF(C883="",0,1)</f>
        <v>1</v>
      </c>
      <c r="N883" s="13" t="str">
        <f aca="false">IF(M883=0,"Active",IF(TRIM(Raw_Data!L883)="","Unknown",PROPER(TRIM(Raw_Data!L883))))</f>
        <v>Voluntary</v>
      </c>
      <c r="O883" s="13" t="str">
        <f aca="false">IF(M883=0,"",IF(TRIM(Raw_Data!M883)="","Not Recorded",TRIM(Raw_Data!M883)))</f>
        <v>Further Studies</v>
      </c>
      <c r="P883" s="16" t="n">
        <f aca="false">ROUND((IF(C883="",AsOfDate,C883)-B883)/365.25,2)</f>
        <v>2.9</v>
      </c>
      <c r="Q883" s="13" t="str">
        <f aca="false">IF(D883="","Unknown",IF(D883&lt;25,"Under 25",IF(D883&lt;35,"25-34",IF(D883&lt;45,"35-44",IF(D883&lt;55,"45-54","55+")))))</f>
        <v>25-34</v>
      </c>
      <c r="R883" s="13" t="str">
        <f aca="false">IF(P883&lt;1,"0-1 yrs",IF(P883&lt;3,"1-3 yrs",IF(P883&lt;5,"3-5 yrs",IF(P883&lt;10,"5-10 yrs","10+ yrs"))))</f>
        <v>1-3 yrs</v>
      </c>
      <c r="S883" s="13" t="str">
        <f aca="false">IF(I883&gt;=4,"High",IF(I883=3,"Medium","Low"))</f>
        <v>Medium</v>
      </c>
      <c r="T883" s="13" t="n">
        <f aca="false">IF(M883=1,YEAR(C883),"")</f>
        <v>2022</v>
      </c>
      <c r="U883" s="13" t="str">
        <f aca="false">IF(M883=1,YEAR(C883)&amp;"-Q"&amp;ROUNDUP(MONTH(C883)/3,0),"")</f>
        <v>2022-Q2</v>
      </c>
      <c r="V883" s="13" t="n">
        <f aca="false">IF(M883=1,MONTH(C883),"")</f>
        <v>4</v>
      </c>
    </row>
    <row r="884" customFormat="false" ht="15" hidden="false" customHeight="false" outlineLevel="0" collapsed="false">
      <c r="A884" s="13" t="str">
        <f aca="false">TRIM(Raw_Data!A884)</f>
        <v>EMP0883</v>
      </c>
      <c r="B884" s="14" t="n">
        <f aca="false">Raw_Data!B884</f>
        <v>43600</v>
      </c>
      <c r="C884" s="14" t="str">
        <f aca="false">IF(Raw_Data!C884="","",Raw_Data!C884)</f>
        <v/>
      </c>
      <c r="D884" s="13" t="n">
        <f aca="false">IF(Raw_Data!D884="","",Raw_Data!D884)</f>
        <v>46</v>
      </c>
      <c r="E884" s="13" t="str">
        <f aca="false">IF(UPPER(LEFT(TRIM(Raw_Data!E884),1))="M","Male",IF(UPPER(LEFT(TRIM(Raw_Data!E884),1))="F","Female","Unknown"))</f>
        <v>Male</v>
      </c>
      <c r="F884" s="13" t="str">
        <f aca="false">PROPER(TRIM(SUBSTITUTE(Raw_Data!F884,"'","")))</f>
        <v>Masters</v>
      </c>
      <c r="G884" s="13" t="str">
        <f aca="false">PROPER(TRIM(Raw_Data!G884))</f>
        <v>Customer Support</v>
      </c>
      <c r="H884" s="13" t="str">
        <f aca="false">PROPER(TRIM(Raw_Data!H884))</f>
        <v>Associate</v>
      </c>
      <c r="I884" s="13" t="n">
        <f aca="false">IF(Raw_Data!I884="",DefaultPerf,Raw_Data!I884)</f>
        <v>4</v>
      </c>
      <c r="J884" s="13" t="n">
        <f aca="false">IF(Raw_Data!J884="",DefaultSat,Raw_Data!J884)</f>
        <v>4</v>
      </c>
      <c r="K884" s="15" t="n">
        <f aca="false">Raw_Data!K884</f>
        <v>42500</v>
      </c>
      <c r="L884" s="13" t="str">
        <f aca="false">PROPER(TRIM(Raw_Data!N884))</f>
        <v>No</v>
      </c>
      <c r="M884" s="13" t="n">
        <f aca="false">IF(C884="",0,1)</f>
        <v>0</v>
      </c>
      <c r="N884" s="13" t="str">
        <f aca="false">IF(M884=0,"Active",IF(TRIM(Raw_Data!L884)="","Unknown",PROPER(TRIM(Raw_Data!L884))))</f>
        <v>Active</v>
      </c>
      <c r="O884" s="13" t="str">
        <f aca="false">IF(M884=0,"",IF(TRIM(Raw_Data!M884)="","Not Recorded",TRIM(Raw_Data!M884)))</f>
        <v/>
      </c>
      <c r="P884" s="16" t="n">
        <f aca="false">ROUND((IF(C884="",AsOfDate,C884)-B884)/365.25,2)</f>
        <v>6.63</v>
      </c>
      <c r="Q884" s="13" t="str">
        <f aca="false">IF(D884="","Unknown",IF(D884&lt;25,"Under 25",IF(D884&lt;35,"25-34",IF(D884&lt;45,"35-44",IF(D884&lt;55,"45-54","55+")))))</f>
        <v>45-54</v>
      </c>
      <c r="R884" s="13" t="str">
        <f aca="false">IF(P884&lt;1,"0-1 yrs",IF(P884&lt;3,"1-3 yrs",IF(P884&lt;5,"3-5 yrs",IF(P884&lt;10,"5-10 yrs","10+ yrs"))))</f>
        <v>5-10 yrs</v>
      </c>
      <c r="S884" s="13" t="str">
        <f aca="false">IF(I884&gt;=4,"High",IF(I884=3,"Medium","Low"))</f>
        <v>High</v>
      </c>
      <c r="T884" s="13" t="str">
        <f aca="false">IF(M884=1,YEAR(C884),"")</f>
        <v/>
      </c>
      <c r="U884" s="13" t="str">
        <f aca="false">IF(M884=1,YEAR(C884)&amp;"-Q"&amp;ROUNDUP(MONTH(C884)/3,0),"")</f>
        <v/>
      </c>
      <c r="V884" s="13" t="str">
        <f aca="false">IF(M884=1,MONTH(C884),"")</f>
        <v/>
      </c>
    </row>
    <row r="885" customFormat="false" ht="15" hidden="false" customHeight="false" outlineLevel="0" collapsed="false">
      <c r="A885" s="13" t="str">
        <f aca="false">TRIM(Raw_Data!A885)</f>
        <v>EMP0884</v>
      </c>
      <c r="B885" s="14" t="n">
        <f aca="false">Raw_Data!B885</f>
        <v>43606</v>
      </c>
      <c r="C885" s="14" t="n">
        <f aca="false">IF(Raw_Data!C885="","",Raw_Data!C885)</f>
        <v>45162</v>
      </c>
      <c r="D885" s="13" t="n">
        <f aca="false">IF(Raw_Data!D885="","",Raw_Data!D885)</f>
        <v>46</v>
      </c>
      <c r="E885" s="13" t="str">
        <f aca="false">IF(UPPER(LEFT(TRIM(Raw_Data!E885),1))="M","Male",IF(UPPER(LEFT(TRIM(Raw_Data!E885),1))="F","Female","Unknown"))</f>
        <v>Male</v>
      </c>
      <c r="F885" s="13" t="str">
        <f aca="false">PROPER(TRIM(SUBSTITUTE(Raw_Data!F885,"'","")))</f>
        <v>High School</v>
      </c>
      <c r="G885" s="13" t="str">
        <f aca="false">PROPER(TRIM(Raw_Data!G885))</f>
        <v>Engineering</v>
      </c>
      <c r="H885" s="13" t="str">
        <f aca="false">PROPER(TRIM(Raw_Data!H885))</f>
        <v>Analyst</v>
      </c>
      <c r="I885" s="13" t="n">
        <f aca="false">IF(Raw_Data!I885="",DefaultPerf,Raw_Data!I885)</f>
        <v>2</v>
      </c>
      <c r="J885" s="13" t="n">
        <f aca="false">IF(Raw_Data!J885="",DefaultSat,Raw_Data!J885)</f>
        <v>4</v>
      </c>
      <c r="K885" s="15" t="n">
        <f aca="false">Raw_Data!K885</f>
        <v>69500</v>
      </c>
      <c r="L885" s="13" t="str">
        <f aca="false">PROPER(TRIM(Raw_Data!N885))</f>
        <v>No</v>
      </c>
      <c r="M885" s="13" t="n">
        <f aca="false">IF(C885="",0,1)</f>
        <v>1</v>
      </c>
      <c r="N885" s="13" t="str">
        <f aca="false">IF(M885=0,"Active",IF(TRIM(Raw_Data!L885)="","Unknown",PROPER(TRIM(Raw_Data!L885))))</f>
        <v>Voluntary</v>
      </c>
      <c r="O885" s="13" t="str">
        <f aca="false">IF(M885=0,"",IF(TRIM(Raw_Data!M885)="","Not Recorded",TRIM(Raw_Data!M885)))</f>
        <v>Better Compensation</v>
      </c>
      <c r="P885" s="16" t="n">
        <f aca="false">ROUND((IF(C885="",AsOfDate,C885)-B885)/365.25,2)</f>
        <v>4.26</v>
      </c>
      <c r="Q885" s="13" t="str">
        <f aca="false">IF(D885="","Unknown",IF(D885&lt;25,"Under 25",IF(D885&lt;35,"25-34",IF(D885&lt;45,"35-44",IF(D885&lt;55,"45-54","55+")))))</f>
        <v>45-54</v>
      </c>
      <c r="R885" s="13" t="str">
        <f aca="false">IF(P885&lt;1,"0-1 yrs",IF(P885&lt;3,"1-3 yrs",IF(P885&lt;5,"3-5 yrs",IF(P885&lt;10,"5-10 yrs","10+ yrs"))))</f>
        <v>3-5 yrs</v>
      </c>
      <c r="S885" s="13" t="str">
        <f aca="false">IF(I885&gt;=4,"High",IF(I885=3,"Medium","Low"))</f>
        <v>Low</v>
      </c>
      <c r="T885" s="13" t="n">
        <f aca="false">IF(M885=1,YEAR(C885),"")</f>
        <v>2023</v>
      </c>
      <c r="U885" s="13" t="str">
        <f aca="false">IF(M885=1,YEAR(C885)&amp;"-Q"&amp;ROUNDUP(MONTH(C885)/3,0),"")</f>
        <v>2023-Q3</v>
      </c>
      <c r="V885" s="13" t="n">
        <f aca="false">IF(M885=1,MONTH(C885),"")</f>
        <v>8</v>
      </c>
    </row>
    <row r="886" customFormat="false" ht="15" hidden="false" customHeight="false" outlineLevel="0" collapsed="false">
      <c r="A886" s="13" t="str">
        <f aca="false">TRIM(Raw_Data!A886)</f>
        <v>EMP0885</v>
      </c>
      <c r="B886" s="14" t="n">
        <f aca="false">Raw_Data!B886</f>
        <v>43608</v>
      </c>
      <c r="C886" s="14" t="n">
        <f aca="false">IF(Raw_Data!C886="","",Raw_Data!C886)</f>
        <v>45015</v>
      </c>
      <c r="D886" s="13" t="n">
        <f aca="false">IF(Raw_Data!D886="","",Raw_Data!D886)</f>
        <v>28</v>
      </c>
      <c r="E886" s="13" t="str">
        <f aca="false">IF(UPPER(LEFT(TRIM(Raw_Data!E886),1))="M","Male",IF(UPPER(LEFT(TRIM(Raw_Data!E886),1))="F","Female","Unknown"))</f>
        <v>Female</v>
      </c>
      <c r="F886" s="13" t="str">
        <f aca="false">PROPER(TRIM(SUBSTITUTE(Raw_Data!F886,"'","")))</f>
        <v>Bachelors</v>
      </c>
      <c r="G886" s="13" t="str">
        <f aca="false">PROPER(TRIM(Raw_Data!G886))</f>
        <v>Operations</v>
      </c>
      <c r="H886" s="13" t="str">
        <f aca="false">PROPER(TRIM(Raw_Data!H886))</f>
        <v>Specialist</v>
      </c>
      <c r="I886" s="13" t="n">
        <f aca="false">IF(Raw_Data!I886="",DefaultPerf,Raw_Data!I886)</f>
        <v>3</v>
      </c>
      <c r="J886" s="13" t="n">
        <f aca="false">IF(Raw_Data!J886="",DefaultSat,Raw_Data!J886)</f>
        <v>3</v>
      </c>
      <c r="K886" s="15" t="n">
        <f aca="false">Raw_Data!K886</f>
        <v>105000</v>
      </c>
      <c r="L886" s="13" t="str">
        <f aca="false">PROPER(TRIM(Raw_Data!N886))</f>
        <v>Yes</v>
      </c>
      <c r="M886" s="13" t="n">
        <f aca="false">IF(C886="",0,1)</f>
        <v>1</v>
      </c>
      <c r="N886" s="13" t="str">
        <f aca="false">IF(M886=0,"Active",IF(TRIM(Raw_Data!L886)="","Unknown",PROPER(TRIM(Raw_Data!L886))))</f>
        <v>Voluntary</v>
      </c>
      <c r="O886" s="13" t="str">
        <f aca="false">IF(M886=0,"",IF(TRIM(Raw_Data!M886)="","Not Recorded",TRIM(Raw_Data!M886)))</f>
        <v>Work-Life Balance</v>
      </c>
      <c r="P886" s="16" t="n">
        <f aca="false">ROUND((IF(C886="",AsOfDate,C886)-B886)/365.25,2)</f>
        <v>3.85</v>
      </c>
      <c r="Q886" s="13" t="str">
        <f aca="false">IF(D886="","Unknown",IF(D886&lt;25,"Under 25",IF(D886&lt;35,"25-34",IF(D886&lt;45,"35-44",IF(D886&lt;55,"45-54","55+")))))</f>
        <v>25-34</v>
      </c>
      <c r="R886" s="13" t="str">
        <f aca="false">IF(P886&lt;1,"0-1 yrs",IF(P886&lt;3,"1-3 yrs",IF(P886&lt;5,"3-5 yrs",IF(P886&lt;10,"5-10 yrs","10+ yrs"))))</f>
        <v>3-5 yrs</v>
      </c>
      <c r="S886" s="13" t="str">
        <f aca="false">IF(I886&gt;=4,"High",IF(I886=3,"Medium","Low"))</f>
        <v>Medium</v>
      </c>
      <c r="T886" s="13" t="n">
        <f aca="false">IF(M886=1,YEAR(C886),"")</f>
        <v>2023</v>
      </c>
      <c r="U886" s="13" t="str">
        <f aca="false">IF(M886=1,YEAR(C886)&amp;"-Q"&amp;ROUNDUP(MONTH(C886)/3,0),"")</f>
        <v>2023-Q1</v>
      </c>
      <c r="V886" s="13" t="n">
        <f aca="false">IF(M886=1,MONTH(C886),"")</f>
        <v>3</v>
      </c>
    </row>
    <row r="887" customFormat="false" ht="15" hidden="false" customHeight="false" outlineLevel="0" collapsed="false">
      <c r="A887" s="13" t="str">
        <f aca="false">TRIM(Raw_Data!A887)</f>
        <v>EMP0886</v>
      </c>
      <c r="B887" s="14" t="n">
        <f aca="false">Raw_Data!B887</f>
        <v>43609</v>
      </c>
      <c r="C887" s="14" t="n">
        <f aca="false">IF(Raw_Data!C887="","",Raw_Data!C887)</f>
        <v>45445</v>
      </c>
      <c r="D887" s="13" t="n">
        <f aca="false">IF(Raw_Data!D887="","",Raw_Data!D887)</f>
        <v>38</v>
      </c>
      <c r="E887" s="13" t="str">
        <f aca="false">IF(UPPER(LEFT(TRIM(Raw_Data!E887),1))="M","Male",IF(UPPER(LEFT(TRIM(Raw_Data!E887),1))="F","Female","Unknown"))</f>
        <v>Male</v>
      </c>
      <c r="F887" s="13" t="str">
        <f aca="false">PROPER(TRIM(SUBSTITUTE(Raw_Data!F887,"'","")))</f>
        <v>Bachelors</v>
      </c>
      <c r="G887" s="13" t="str">
        <f aca="false">PROPER(TRIM(Raw_Data!G887))</f>
        <v>Sales</v>
      </c>
      <c r="H887" s="13" t="str">
        <f aca="false">PROPER(TRIM(Raw_Data!H887))</f>
        <v>Associate</v>
      </c>
      <c r="I887" s="13" t="n">
        <f aca="false">IF(Raw_Data!I887="",DefaultPerf,Raw_Data!I887)</f>
        <v>1</v>
      </c>
      <c r="J887" s="13" t="n">
        <f aca="false">IF(Raw_Data!J887="",DefaultSat,Raw_Data!J887)</f>
        <v>3</v>
      </c>
      <c r="K887" s="15" t="n">
        <f aca="false">Raw_Data!K887</f>
        <v>39000</v>
      </c>
      <c r="L887" s="13" t="str">
        <f aca="false">PROPER(TRIM(Raw_Data!N887))</f>
        <v>No</v>
      </c>
      <c r="M887" s="13" t="n">
        <f aca="false">IF(C887="",0,1)</f>
        <v>1</v>
      </c>
      <c r="N887" s="13" t="str">
        <f aca="false">IF(M887=0,"Active",IF(TRIM(Raw_Data!L887)="","Unknown",PROPER(TRIM(Raw_Data!L887))))</f>
        <v>Voluntary</v>
      </c>
      <c r="O887" s="13" t="str">
        <f aca="false">IF(M887=0,"",IF(TRIM(Raw_Data!M887)="","Not Recorded",TRIM(Raw_Data!M887)))</f>
        <v>Relocation</v>
      </c>
      <c r="P887" s="16" t="n">
        <f aca="false">ROUND((IF(C887="",AsOfDate,C887)-B887)/365.25,2)</f>
        <v>5.03</v>
      </c>
      <c r="Q887" s="13" t="str">
        <f aca="false">IF(D887="","Unknown",IF(D887&lt;25,"Under 25",IF(D887&lt;35,"25-34",IF(D887&lt;45,"35-44",IF(D887&lt;55,"45-54","55+")))))</f>
        <v>35-44</v>
      </c>
      <c r="R887" s="13" t="str">
        <f aca="false">IF(P887&lt;1,"0-1 yrs",IF(P887&lt;3,"1-3 yrs",IF(P887&lt;5,"3-5 yrs",IF(P887&lt;10,"5-10 yrs","10+ yrs"))))</f>
        <v>5-10 yrs</v>
      </c>
      <c r="S887" s="13" t="str">
        <f aca="false">IF(I887&gt;=4,"High",IF(I887=3,"Medium","Low"))</f>
        <v>Low</v>
      </c>
      <c r="T887" s="13" t="n">
        <f aca="false">IF(M887=1,YEAR(C887),"")</f>
        <v>2024</v>
      </c>
      <c r="U887" s="13" t="str">
        <f aca="false">IF(M887=1,YEAR(C887)&amp;"-Q"&amp;ROUNDUP(MONTH(C887)/3,0),"")</f>
        <v>2024-Q2</v>
      </c>
      <c r="V887" s="13" t="n">
        <f aca="false">IF(M887=1,MONTH(C887),"")</f>
        <v>6</v>
      </c>
    </row>
    <row r="888" customFormat="false" ht="15" hidden="false" customHeight="false" outlineLevel="0" collapsed="false">
      <c r="A888" s="13" t="str">
        <f aca="false">TRIM(Raw_Data!A888)</f>
        <v>EMP0887</v>
      </c>
      <c r="B888" s="14" t="n">
        <f aca="false">Raw_Data!B888</f>
        <v>43610</v>
      </c>
      <c r="C888" s="14" t="n">
        <f aca="false">IF(Raw_Data!C888="","",Raw_Data!C888)</f>
        <v>44792</v>
      </c>
      <c r="D888" s="13" t="n">
        <f aca="false">IF(Raw_Data!D888="","",Raw_Data!D888)</f>
        <v>33</v>
      </c>
      <c r="E888" s="13" t="str">
        <f aca="false">IF(UPPER(LEFT(TRIM(Raw_Data!E888),1))="M","Male",IF(UPPER(LEFT(TRIM(Raw_Data!E888),1))="F","Female","Unknown"))</f>
        <v>Male</v>
      </c>
      <c r="F888" s="13" t="str">
        <f aca="false">PROPER(TRIM(SUBSTITUTE(Raw_Data!F888,"'","")))</f>
        <v>Bachelors</v>
      </c>
      <c r="G888" s="13" t="str">
        <f aca="false">PROPER(TRIM(Raw_Data!G888))</f>
        <v>Customer Support</v>
      </c>
      <c r="H888" s="13" t="str">
        <f aca="false">PROPER(TRIM(Raw_Data!H888))</f>
        <v>Team Lead</v>
      </c>
      <c r="I888" s="13" t="n">
        <f aca="false">IF(Raw_Data!I888="",DefaultPerf,Raw_Data!I888)</f>
        <v>2</v>
      </c>
      <c r="J888" s="13" t="n">
        <f aca="false">IF(Raw_Data!J888="",DefaultSat,Raw_Data!J888)</f>
        <v>3</v>
      </c>
      <c r="K888" s="15" t="n">
        <f aca="false">Raw_Data!K888</f>
        <v>129500</v>
      </c>
      <c r="L888" s="13" t="str">
        <f aca="false">PROPER(TRIM(Raw_Data!N888))</f>
        <v>No</v>
      </c>
      <c r="M888" s="13" t="n">
        <f aca="false">IF(C888="",0,1)</f>
        <v>1</v>
      </c>
      <c r="N888" s="13" t="str">
        <f aca="false">IF(M888=0,"Active",IF(TRIM(Raw_Data!L888)="","Unknown",PROPER(TRIM(Raw_Data!L888))))</f>
        <v>Voluntary</v>
      </c>
      <c r="O888" s="13" t="str">
        <f aca="false">IF(M888=0,"",IF(TRIM(Raw_Data!M888)="","Not Recorded",TRIM(Raw_Data!M888)))</f>
        <v>Career Growth</v>
      </c>
      <c r="P888" s="16" t="n">
        <f aca="false">ROUND((IF(C888="",AsOfDate,C888)-B888)/365.25,2)</f>
        <v>3.24</v>
      </c>
      <c r="Q888" s="13" t="str">
        <f aca="false">IF(D888="","Unknown",IF(D888&lt;25,"Under 25",IF(D888&lt;35,"25-34",IF(D888&lt;45,"35-44",IF(D888&lt;55,"45-54","55+")))))</f>
        <v>25-34</v>
      </c>
      <c r="R888" s="13" t="str">
        <f aca="false">IF(P888&lt;1,"0-1 yrs",IF(P888&lt;3,"1-3 yrs",IF(P888&lt;5,"3-5 yrs",IF(P888&lt;10,"5-10 yrs","10+ yrs"))))</f>
        <v>3-5 yrs</v>
      </c>
      <c r="S888" s="13" t="str">
        <f aca="false">IF(I888&gt;=4,"High",IF(I888=3,"Medium","Low"))</f>
        <v>Low</v>
      </c>
      <c r="T888" s="13" t="n">
        <f aca="false">IF(M888=1,YEAR(C888),"")</f>
        <v>2022</v>
      </c>
      <c r="U888" s="13" t="str">
        <f aca="false">IF(M888=1,YEAR(C888)&amp;"-Q"&amp;ROUNDUP(MONTH(C888)/3,0),"")</f>
        <v>2022-Q3</v>
      </c>
      <c r="V888" s="13" t="n">
        <f aca="false">IF(M888=1,MONTH(C888),"")</f>
        <v>8</v>
      </c>
    </row>
    <row r="889" customFormat="false" ht="15" hidden="false" customHeight="false" outlineLevel="0" collapsed="false">
      <c r="A889" s="13" t="str">
        <f aca="false">TRIM(Raw_Data!A889)</f>
        <v>EMP0888</v>
      </c>
      <c r="B889" s="14" t="n">
        <f aca="false">Raw_Data!B889</f>
        <v>43612</v>
      </c>
      <c r="C889" s="14" t="str">
        <f aca="false">IF(Raw_Data!C889="","",Raw_Data!C889)</f>
        <v/>
      </c>
      <c r="D889" s="13" t="n">
        <f aca="false">IF(Raw_Data!D889="","",Raw_Data!D889)</f>
        <v>37</v>
      </c>
      <c r="E889" s="13" t="str">
        <f aca="false">IF(UPPER(LEFT(TRIM(Raw_Data!E889),1))="M","Male",IF(UPPER(LEFT(TRIM(Raw_Data!E889),1))="F","Female","Unknown"))</f>
        <v>Female</v>
      </c>
      <c r="F889" s="13" t="str">
        <f aca="false">PROPER(TRIM(SUBSTITUTE(Raw_Data!F889,"'","")))</f>
        <v>Masters</v>
      </c>
      <c r="G889" s="13" t="str">
        <f aca="false">PROPER(TRIM(Raw_Data!G889))</f>
        <v>Operations</v>
      </c>
      <c r="H889" s="13" t="str">
        <f aca="false">PROPER(TRIM(Raw_Data!H889))</f>
        <v>Associate</v>
      </c>
      <c r="I889" s="13" t="n">
        <f aca="false">IF(Raw_Data!I889="",DefaultPerf,Raw_Data!I889)</f>
        <v>2</v>
      </c>
      <c r="J889" s="13" t="n">
        <f aca="false">IF(Raw_Data!J889="",DefaultSat,Raw_Data!J889)</f>
        <v>3</v>
      </c>
      <c r="K889" s="15" t="n">
        <f aca="false">Raw_Data!K889</f>
        <v>35000</v>
      </c>
      <c r="L889" s="13" t="str">
        <f aca="false">PROPER(TRIM(Raw_Data!N889))</f>
        <v>No</v>
      </c>
      <c r="M889" s="13" t="n">
        <f aca="false">IF(C889="",0,1)</f>
        <v>0</v>
      </c>
      <c r="N889" s="13" t="str">
        <f aca="false">IF(M889=0,"Active",IF(TRIM(Raw_Data!L889)="","Unknown",PROPER(TRIM(Raw_Data!L889))))</f>
        <v>Active</v>
      </c>
      <c r="O889" s="13" t="str">
        <f aca="false">IF(M889=0,"",IF(TRIM(Raw_Data!M889)="","Not Recorded",TRIM(Raw_Data!M889)))</f>
        <v/>
      </c>
      <c r="P889" s="16" t="n">
        <f aca="false">ROUND((IF(C889="",AsOfDate,C889)-B889)/365.25,2)</f>
        <v>6.6</v>
      </c>
      <c r="Q889" s="13" t="str">
        <f aca="false">IF(D889="","Unknown",IF(D889&lt;25,"Under 25",IF(D889&lt;35,"25-34",IF(D889&lt;45,"35-44",IF(D889&lt;55,"45-54","55+")))))</f>
        <v>35-44</v>
      </c>
      <c r="R889" s="13" t="str">
        <f aca="false">IF(P889&lt;1,"0-1 yrs",IF(P889&lt;3,"1-3 yrs",IF(P889&lt;5,"3-5 yrs",IF(P889&lt;10,"5-10 yrs","10+ yrs"))))</f>
        <v>5-10 yrs</v>
      </c>
      <c r="S889" s="13" t="str">
        <f aca="false">IF(I889&gt;=4,"High",IF(I889=3,"Medium","Low"))</f>
        <v>Low</v>
      </c>
      <c r="T889" s="13" t="str">
        <f aca="false">IF(M889=1,YEAR(C889),"")</f>
        <v/>
      </c>
      <c r="U889" s="13" t="str">
        <f aca="false">IF(M889=1,YEAR(C889)&amp;"-Q"&amp;ROUNDUP(MONTH(C889)/3,0),"")</f>
        <v/>
      </c>
      <c r="V889" s="13" t="str">
        <f aca="false">IF(M889=1,MONTH(C889),"")</f>
        <v/>
      </c>
    </row>
    <row r="890" customFormat="false" ht="15" hidden="false" customHeight="false" outlineLevel="0" collapsed="false">
      <c r="A890" s="13" t="str">
        <f aca="false">TRIM(Raw_Data!A890)</f>
        <v>EMP0889</v>
      </c>
      <c r="B890" s="14" t="n">
        <f aca="false">Raw_Data!B890</f>
        <v>43616</v>
      </c>
      <c r="C890" s="14" t="n">
        <f aca="false">IF(Raw_Data!C890="","",Raw_Data!C890)</f>
        <v>45412</v>
      </c>
      <c r="D890" s="13" t="n">
        <f aca="false">IF(Raw_Data!D890="","",Raw_Data!D890)</f>
        <v>33</v>
      </c>
      <c r="E890" s="13" t="str">
        <f aca="false">IF(UPPER(LEFT(TRIM(Raw_Data!E890),1))="M","Male",IF(UPPER(LEFT(TRIM(Raw_Data!E890),1))="F","Female","Unknown"))</f>
        <v>Female</v>
      </c>
      <c r="F890" s="13" t="str">
        <f aca="false">PROPER(TRIM(SUBSTITUTE(Raw_Data!F890,"'","")))</f>
        <v>Masters</v>
      </c>
      <c r="G890" s="13" t="str">
        <f aca="false">PROPER(TRIM(Raw_Data!G890))</f>
        <v>Customer Support</v>
      </c>
      <c r="H890" s="13" t="str">
        <f aca="false">PROPER(TRIM(Raw_Data!H890))</f>
        <v>Analyst</v>
      </c>
      <c r="I890" s="13" t="n">
        <f aca="false">IF(Raw_Data!I890="",DefaultPerf,Raw_Data!I890)</f>
        <v>4</v>
      </c>
      <c r="J890" s="13" t="n">
        <f aca="false">IF(Raw_Data!J890="",DefaultSat,Raw_Data!J890)</f>
        <v>4</v>
      </c>
      <c r="K890" s="15" t="n">
        <f aca="false">Raw_Data!K890</f>
        <v>64500</v>
      </c>
      <c r="L890" s="13" t="str">
        <f aca="false">PROPER(TRIM(Raw_Data!N890))</f>
        <v>Yes</v>
      </c>
      <c r="M890" s="13" t="n">
        <f aca="false">IF(C890="",0,1)</f>
        <v>1</v>
      </c>
      <c r="N890" s="13" t="str">
        <f aca="false">IF(M890=0,"Active",IF(TRIM(Raw_Data!L890)="","Unknown",PROPER(TRIM(Raw_Data!L890))))</f>
        <v>Voluntary</v>
      </c>
      <c r="O890" s="13" t="str">
        <f aca="false">IF(M890=0,"",IF(TRIM(Raw_Data!M890)="","Not Recorded",TRIM(Raw_Data!M890)))</f>
        <v>Personal Reasons</v>
      </c>
      <c r="P890" s="16" t="n">
        <f aca="false">ROUND((IF(C890="",AsOfDate,C890)-B890)/365.25,2)</f>
        <v>4.92</v>
      </c>
      <c r="Q890" s="13" t="str">
        <f aca="false">IF(D890="","Unknown",IF(D890&lt;25,"Under 25",IF(D890&lt;35,"25-34",IF(D890&lt;45,"35-44",IF(D890&lt;55,"45-54","55+")))))</f>
        <v>25-34</v>
      </c>
      <c r="R890" s="13" t="str">
        <f aca="false">IF(P890&lt;1,"0-1 yrs",IF(P890&lt;3,"1-3 yrs",IF(P890&lt;5,"3-5 yrs",IF(P890&lt;10,"5-10 yrs","10+ yrs"))))</f>
        <v>3-5 yrs</v>
      </c>
      <c r="S890" s="13" t="str">
        <f aca="false">IF(I890&gt;=4,"High",IF(I890=3,"Medium","Low"))</f>
        <v>High</v>
      </c>
      <c r="T890" s="13" t="n">
        <f aca="false">IF(M890=1,YEAR(C890),"")</f>
        <v>2024</v>
      </c>
      <c r="U890" s="13" t="str">
        <f aca="false">IF(M890=1,YEAR(C890)&amp;"-Q"&amp;ROUNDUP(MONTH(C890)/3,0),"")</f>
        <v>2024-Q2</v>
      </c>
      <c r="V890" s="13" t="n">
        <f aca="false">IF(M890=1,MONTH(C890),"")</f>
        <v>4</v>
      </c>
    </row>
    <row r="891" customFormat="false" ht="15" hidden="false" customHeight="false" outlineLevel="0" collapsed="false">
      <c r="A891" s="13" t="str">
        <f aca="false">TRIM(Raw_Data!A891)</f>
        <v>EMP0890</v>
      </c>
      <c r="B891" s="14" t="n">
        <f aca="false">Raw_Data!B891</f>
        <v>43619</v>
      </c>
      <c r="C891" s="14" t="str">
        <f aca="false">IF(Raw_Data!C891="","",Raw_Data!C891)</f>
        <v/>
      </c>
      <c r="D891" s="13" t="n">
        <f aca="false">IF(Raw_Data!D891="","",Raw_Data!D891)</f>
        <v>35</v>
      </c>
      <c r="E891" s="13" t="str">
        <f aca="false">IF(UPPER(LEFT(TRIM(Raw_Data!E891),1))="M","Male",IF(UPPER(LEFT(TRIM(Raw_Data!E891),1))="F","Female","Unknown"))</f>
        <v>Male</v>
      </c>
      <c r="F891" s="13" t="str">
        <f aca="false">PROPER(TRIM(SUBSTITUTE(Raw_Data!F891,"'","")))</f>
        <v>Bachelors</v>
      </c>
      <c r="G891" s="13" t="str">
        <f aca="false">PROPER(TRIM(Raw_Data!G891))</f>
        <v>Engineering</v>
      </c>
      <c r="H891" s="13" t="str">
        <f aca="false">PROPER(TRIM(Raw_Data!H891))</f>
        <v>Associate</v>
      </c>
      <c r="I891" s="13" t="n">
        <f aca="false">IF(Raw_Data!I891="",DefaultPerf,Raw_Data!I891)</f>
        <v>5</v>
      </c>
      <c r="J891" s="13" t="n">
        <f aca="false">IF(Raw_Data!J891="",DefaultSat,Raw_Data!J891)</f>
        <v>2</v>
      </c>
      <c r="K891" s="15" t="n">
        <f aca="false">Raw_Data!K891</f>
        <v>42500</v>
      </c>
      <c r="L891" s="13" t="str">
        <f aca="false">PROPER(TRIM(Raw_Data!N891))</f>
        <v>Yes</v>
      </c>
      <c r="M891" s="13" t="n">
        <f aca="false">IF(C891="",0,1)</f>
        <v>0</v>
      </c>
      <c r="N891" s="13" t="str">
        <f aca="false">IF(M891=0,"Active",IF(TRIM(Raw_Data!L891)="","Unknown",PROPER(TRIM(Raw_Data!L891))))</f>
        <v>Active</v>
      </c>
      <c r="O891" s="13" t="str">
        <f aca="false">IF(M891=0,"",IF(TRIM(Raw_Data!M891)="","Not Recorded",TRIM(Raw_Data!M891)))</f>
        <v/>
      </c>
      <c r="P891" s="16" t="n">
        <f aca="false">ROUND((IF(C891="",AsOfDate,C891)-B891)/365.25,2)</f>
        <v>6.58</v>
      </c>
      <c r="Q891" s="13" t="str">
        <f aca="false">IF(D891="","Unknown",IF(D891&lt;25,"Under 25",IF(D891&lt;35,"25-34",IF(D891&lt;45,"35-44",IF(D891&lt;55,"45-54","55+")))))</f>
        <v>35-44</v>
      </c>
      <c r="R891" s="13" t="str">
        <f aca="false">IF(P891&lt;1,"0-1 yrs",IF(P891&lt;3,"1-3 yrs",IF(P891&lt;5,"3-5 yrs",IF(P891&lt;10,"5-10 yrs","10+ yrs"))))</f>
        <v>5-10 yrs</v>
      </c>
      <c r="S891" s="13" t="str">
        <f aca="false">IF(I891&gt;=4,"High",IF(I891=3,"Medium","Low"))</f>
        <v>High</v>
      </c>
      <c r="T891" s="13" t="str">
        <f aca="false">IF(M891=1,YEAR(C891),"")</f>
        <v/>
      </c>
      <c r="U891" s="13" t="str">
        <f aca="false">IF(M891=1,YEAR(C891)&amp;"-Q"&amp;ROUNDUP(MONTH(C891)/3,0),"")</f>
        <v/>
      </c>
      <c r="V891" s="13" t="str">
        <f aca="false">IF(M891=1,MONTH(C891),"")</f>
        <v/>
      </c>
    </row>
    <row r="892" customFormat="false" ht="15" hidden="false" customHeight="false" outlineLevel="0" collapsed="false">
      <c r="A892" s="13" t="str">
        <f aca="false">TRIM(Raw_Data!A892)</f>
        <v>EMP0891</v>
      </c>
      <c r="B892" s="14" t="n">
        <f aca="false">Raw_Data!B892</f>
        <v>43620</v>
      </c>
      <c r="C892" s="14" t="n">
        <f aca="false">IF(Raw_Data!C892="","",Raw_Data!C892)</f>
        <v>44580</v>
      </c>
      <c r="D892" s="13" t="n">
        <f aca="false">IF(Raw_Data!D892="","",Raw_Data!D892)</f>
        <v>33</v>
      </c>
      <c r="E892" s="13" t="str">
        <f aca="false">IF(UPPER(LEFT(TRIM(Raw_Data!E892),1))="M","Male",IF(UPPER(LEFT(TRIM(Raw_Data!E892),1))="F","Female","Unknown"))</f>
        <v>Male</v>
      </c>
      <c r="F892" s="13" t="str">
        <f aca="false">PROPER(TRIM(SUBSTITUTE(Raw_Data!F892,"'","")))</f>
        <v>Masters</v>
      </c>
      <c r="G892" s="13" t="str">
        <f aca="false">PROPER(TRIM(Raw_Data!G892))</f>
        <v>Sales</v>
      </c>
      <c r="H892" s="13" t="str">
        <f aca="false">PROPER(TRIM(Raw_Data!H892))</f>
        <v>Analyst</v>
      </c>
      <c r="I892" s="13" t="n">
        <f aca="false">IF(Raw_Data!I892="",DefaultPerf,Raw_Data!I892)</f>
        <v>3</v>
      </c>
      <c r="J892" s="13" t="n">
        <f aca="false">IF(Raw_Data!J892="",DefaultSat,Raw_Data!J892)</f>
        <v>1</v>
      </c>
      <c r="K892" s="15" t="n">
        <f aca="false">Raw_Data!K892</f>
        <v>72000</v>
      </c>
      <c r="L892" s="13" t="str">
        <f aca="false">PROPER(TRIM(Raw_Data!N892))</f>
        <v>No</v>
      </c>
      <c r="M892" s="13" t="n">
        <f aca="false">IF(C892="",0,1)</f>
        <v>1</v>
      </c>
      <c r="N892" s="13" t="str">
        <f aca="false">IF(M892=0,"Active",IF(TRIM(Raw_Data!L892)="","Unknown",PROPER(TRIM(Raw_Data!L892))))</f>
        <v>Voluntary</v>
      </c>
      <c r="O892" s="13" t="str">
        <f aca="false">IF(M892=0,"",IF(TRIM(Raw_Data!M892)="","Not Recorded",TRIM(Raw_Data!M892)))</f>
        <v>Manager Issues</v>
      </c>
      <c r="P892" s="16" t="n">
        <f aca="false">ROUND((IF(C892="",AsOfDate,C892)-B892)/365.25,2)</f>
        <v>2.63</v>
      </c>
      <c r="Q892" s="13" t="str">
        <f aca="false">IF(D892="","Unknown",IF(D892&lt;25,"Under 25",IF(D892&lt;35,"25-34",IF(D892&lt;45,"35-44",IF(D892&lt;55,"45-54","55+")))))</f>
        <v>25-34</v>
      </c>
      <c r="R892" s="13" t="str">
        <f aca="false">IF(P892&lt;1,"0-1 yrs",IF(P892&lt;3,"1-3 yrs",IF(P892&lt;5,"3-5 yrs",IF(P892&lt;10,"5-10 yrs","10+ yrs"))))</f>
        <v>1-3 yrs</v>
      </c>
      <c r="S892" s="13" t="str">
        <f aca="false">IF(I892&gt;=4,"High",IF(I892=3,"Medium","Low"))</f>
        <v>Medium</v>
      </c>
      <c r="T892" s="13" t="n">
        <f aca="false">IF(M892=1,YEAR(C892),"")</f>
        <v>2022</v>
      </c>
      <c r="U892" s="13" t="str">
        <f aca="false">IF(M892=1,YEAR(C892)&amp;"-Q"&amp;ROUNDUP(MONTH(C892)/3,0),"")</f>
        <v>2022-Q1</v>
      </c>
      <c r="V892" s="13" t="n">
        <f aca="false">IF(M892=1,MONTH(C892),"")</f>
        <v>1</v>
      </c>
    </row>
    <row r="893" customFormat="false" ht="15" hidden="false" customHeight="false" outlineLevel="0" collapsed="false">
      <c r="A893" s="13" t="str">
        <f aca="false">TRIM(Raw_Data!A893)</f>
        <v>EMP0892</v>
      </c>
      <c r="B893" s="14" t="n">
        <f aca="false">Raw_Data!B893</f>
        <v>43628</v>
      </c>
      <c r="C893" s="14" t="n">
        <f aca="false">IF(Raw_Data!C893="","",Raw_Data!C893)</f>
        <v>45622</v>
      </c>
      <c r="D893" s="13" t="n">
        <f aca="false">IF(Raw_Data!D893="","",Raw_Data!D893)</f>
        <v>33</v>
      </c>
      <c r="E893" s="13" t="str">
        <f aca="false">IF(UPPER(LEFT(TRIM(Raw_Data!E893),1))="M","Male",IF(UPPER(LEFT(TRIM(Raw_Data!E893),1))="F","Female","Unknown"))</f>
        <v>Female</v>
      </c>
      <c r="F893" s="13" t="str">
        <f aca="false">PROPER(TRIM(SUBSTITUTE(Raw_Data!F893,"'","")))</f>
        <v>Bachelors</v>
      </c>
      <c r="G893" s="13" t="str">
        <f aca="false">PROPER(TRIM(Raw_Data!G893))</f>
        <v>Sales</v>
      </c>
      <c r="H893" s="13" t="str">
        <f aca="false">PROPER(TRIM(Raw_Data!H893))</f>
        <v>Team Lead</v>
      </c>
      <c r="I893" s="13" t="n">
        <f aca="false">IF(Raw_Data!I893="",DefaultPerf,Raw_Data!I893)</f>
        <v>4</v>
      </c>
      <c r="J893" s="13" t="n">
        <f aca="false">IF(Raw_Data!J893="",DefaultSat,Raw_Data!J893)</f>
        <v>4</v>
      </c>
      <c r="K893" s="15" t="n">
        <f aca="false">Raw_Data!K893</f>
        <v>127500</v>
      </c>
      <c r="L893" s="13" t="str">
        <f aca="false">PROPER(TRIM(Raw_Data!N893))</f>
        <v>Yes</v>
      </c>
      <c r="M893" s="13" t="n">
        <f aca="false">IF(C893="",0,1)</f>
        <v>1</v>
      </c>
      <c r="N893" s="13" t="str">
        <f aca="false">IF(M893=0,"Active",IF(TRIM(Raw_Data!L893)="","Unknown",PROPER(TRIM(Raw_Data!L893))))</f>
        <v>Voluntary</v>
      </c>
      <c r="O893" s="13" t="str">
        <f aca="false">IF(M893=0,"",IF(TRIM(Raw_Data!M893)="","Not Recorded",TRIM(Raw_Data!M893)))</f>
        <v>Better Compensation</v>
      </c>
      <c r="P893" s="16" t="n">
        <f aca="false">ROUND((IF(C893="",AsOfDate,C893)-B893)/365.25,2)</f>
        <v>5.46</v>
      </c>
      <c r="Q893" s="13" t="str">
        <f aca="false">IF(D893="","Unknown",IF(D893&lt;25,"Under 25",IF(D893&lt;35,"25-34",IF(D893&lt;45,"35-44",IF(D893&lt;55,"45-54","55+")))))</f>
        <v>25-34</v>
      </c>
      <c r="R893" s="13" t="str">
        <f aca="false">IF(P893&lt;1,"0-1 yrs",IF(P893&lt;3,"1-3 yrs",IF(P893&lt;5,"3-5 yrs",IF(P893&lt;10,"5-10 yrs","10+ yrs"))))</f>
        <v>5-10 yrs</v>
      </c>
      <c r="S893" s="13" t="str">
        <f aca="false">IF(I893&gt;=4,"High",IF(I893=3,"Medium","Low"))</f>
        <v>High</v>
      </c>
      <c r="T893" s="13" t="n">
        <f aca="false">IF(M893=1,YEAR(C893),"")</f>
        <v>2024</v>
      </c>
      <c r="U893" s="13" t="str">
        <f aca="false">IF(M893=1,YEAR(C893)&amp;"-Q"&amp;ROUNDUP(MONTH(C893)/3,0),"")</f>
        <v>2024-Q4</v>
      </c>
      <c r="V893" s="13" t="n">
        <f aca="false">IF(M893=1,MONTH(C893),"")</f>
        <v>11</v>
      </c>
    </row>
    <row r="894" customFormat="false" ht="15" hidden="false" customHeight="false" outlineLevel="0" collapsed="false">
      <c r="A894" s="13" t="str">
        <f aca="false">TRIM(Raw_Data!A894)</f>
        <v>EMP0893</v>
      </c>
      <c r="B894" s="14" t="n">
        <f aca="false">Raw_Data!B894</f>
        <v>43632</v>
      </c>
      <c r="C894" s="14" t="str">
        <f aca="false">IF(Raw_Data!C894="","",Raw_Data!C894)</f>
        <v/>
      </c>
      <c r="D894" s="13" t="n">
        <f aca="false">IF(Raw_Data!D894="","",Raw_Data!D894)</f>
        <v>39</v>
      </c>
      <c r="E894" s="13" t="str">
        <f aca="false">IF(UPPER(LEFT(TRIM(Raw_Data!E894),1))="M","Male",IF(UPPER(LEFT(TRIM(Raw_Data!E894),1))="F","Female","Unknown"))</f>
        <v>Female</v>
      </c>
      <c r="F894" s="13" t="str">
        <f aca="false">PROPER(TRIM(SUBSTITUTE(Raw_Data!F894,"'","")))</f>
        <v>Diploma</v>
      </c>
      <c r="G894" s="13" t="str">
        <f aca="false">PROPER(TRIM(Raw_Data!G894))</f>
        <v>Engineering</v>
      </c>
      <c r="H894" s="13" t="str">
        <f aca="false">PROPER(TRIM(Raw_Data!H894))</f>
        <v>Manager</v>
      </c>
      <c r="I894" s="13" t="n">
        <f aca="false">IF(Raw_Data!I894="",DefaultPerf,Raw_Data!I894)</f>
        <v>4</v>
      </c>
      <c r="J894" s="13" t="n">
        <f aca="false">IF(Raw_Data!J894="",DefaultSat,Raw_Data!J894)</f>
        <v>3</v>
      </c>
      <c r="K894" s="15" t="n">
        <f aca="false">Raw_Data!K894</f>
        <v>216000</v>
      </c>
      <c r="L894" s="13" t="str">
        <f aca="false">PROPER(TRIM(Raw_Data!N894))</f>
        <v>No</v>
      </c>
      <c r="M894" s="13" t="n">
        <f aca="false">IF(C894="",0,1)</f>
        <v>0</v>
      </c>
      <c r="N894" s="13" t="str">
        <f aca="false">IF(M894=0,"Active",IF(TRIM(Raw_Data!L894)="","Unknown",PROPER(TRIM(Raw_Data!L894))))</f>
        <v>Active</v>
      </c>
      <c r="O894" s="13" t="str">
        <f aca="false">IF(M894=0,"",IF(TRIM(Raw_Data!M894)="","Not Recorded",TRIM(Raw_Data!M894)))</f>
        <v/>
      </c>
      <c r="P894" s="16" t="n">
        <f aca="false">ROUND((IF(C894="",AsOfDate,C894)-B894)/365.25,2)</f>
        <v>6.54</v>
      </c>
      <c r="Q894" s="13" t="str">
        <f aca="false">IF(D894="","Unknown",IF(D894&lt;25,"Under 25",IF(D894&lt;35,"25-34",IF(D894&lt;45,"35-44",IF(D894&lt;55,"45-54","55+")))))</f>
        <v>35-44</v>
      </c>
      <c r="R894" s="13" t="str">
        <f aca="false">IF(P894&lt;1,"0-1 yrs",IF(P894&lt;3,"1-3 yrs",IF(P894&lt;5,"3-5 yrs",IF(P894&lt;10,"5-10 yrs","10+ yrs"))))</f>
        <v>5-10 yrs</v>
      </c>
      <c r="S894" s="13" t="str">
        <f aca="false">IF(I894&gt;=4,"High",IF(I894=3,"Medium","Low"))</f>
        <v>High</v>
      </c>
      <c r="T894" s="13" t="str">
        <f aca="false">IF(M894=1,YEAR(C894),"")</f>
        <v/>
      </c>
      <c r="U894" s="13" t="str">
        <f aca="false">IF(M894=1,YEAR(C894)&amp;"-Q"&amp;ROUNDUP(MONTH(C894)/3,0),"")</f>
        <v/>
      </c>
      <c r="V894" s="13" t="str">
        <f aca="false">IF(M894=1,MONTH(C894),"")</f>
        <v/>
      </c>
    </row>
    <row r="895" customFormat="false" ht="15" hidden="false" customHeight="false" outlineLevel="0" collapsed="false">
      <c r="A895" s="13" t="str">
        <f aca="false">TRIM(Raw_Data!A895)</f>
        <v>EMP0894</v>
      </c>
      <c r="B895" s="14" t="n">
        <f aca="false">Raw_Data!B895</f>
        <v>43633</v>
      </c>
      <c r="C895" s="14" t="str">
        <f aca="false">IF(Raw_Data!C895="","",Raw_Data!C895)</f>
        <v/>
      </c>
      <c r="D895" s="13" t="n">
        <f aca="false">IF(Raw_Data!D895="","",Raw_Data!D895)</f>
        <v>43</v>
      </c>
      <c r="E895" s="13" t="str">
        <f aca="false">IF(UPPER(LEFT(TRIM(Raw_Data!E895),1))="M","Male",IF(UPPER(LEFT(TRIM(Raw_Data!E895),1))="F","Female","Unknown"))</f>
        <v>Male</v>
      </c>
      <c r="F895" s="13" t="str">
        <f aca="false">PROPER(TRIM(SUBSTITUTE(Raw_Data!F895,"'","")))</f>
        <v>Diploma</v>
      </c>
      <c r="G895" s="13" t="str">
        <f aca="false">PROPER(TRIM(Raw_Data!G895))</f>
        <v>Operations</v>
      </c>
      <c r="H895" s="13" t="str">
        <f aca="false">PROPER(TRIM(Raw_Data!H895))</f>
        <v>Analyst</v>
      </c>
      <c r="I895" s="13" t="n">
        <f aca="false">IF(Raw_Data!I895="",DefaultPerf,Raw_Data!I895)</f>
        <v>4</v>
      </c>
      <c r="J895" s="13" t="n">
        <f aca="false">IF(Raw_Data!J895="",DefaultSat,Raw_Data!J895)</f>
        <v>4</v>
      </c>
      <c r="K895" s="15" t="n">
        <f aca="false">Raw_Data!K895</f>
        <v>67000</v>
      </c>
      <c r="L895" s="13" t="str">
        <f aca="false">PROPER(TRIM(Raw_Data!N895))</f>
        <v>No</v>
      </c>
      <c r="M895" s="13" t="n">
        <f aca="false">IF(C895="",0,1)</f>
        <v>0</v>
      </c>
      <c r="N895" s="13" t="str">
        <f aca="false">IF(M895=0,"Active",IF(TRIM(Raw_Data!L895)="","Unknown",PROPER(TRIM(Raw_Data!L895))))</f>
        <v>Active</v>
      </c>
      <c r="O895" s="13" t="str">
        <f aca="false">IF(M895=0,"",IF(TRIM(Raw_Data!M895)="","Not Recorded",TRIM(Raw_Data!M895)))</f>
        <v/>
      </c>
      <c r="P895" s="16" t="n">
        <f aca="false">ROUND((IF(C895="",AsOfDate,C895)-B895)/365.25,2)</f>
        <v>6.54</v>
      </c>
      <c r="Q895" s="13" t="str">
        <f aca="false">IF(D895="","Unknown",IF(D895&lt;25,"Under 25",IF(D895&lt;35,"25-34",IF(D895&lt;45,"35-44",IF(D895&lt;55,"45-54","55+")))))</f>
        <v>35-44</v>
      </c>
      <c r="R895" s="13" t="str">
        <f aca="false">IF(P895&lt;1,"0-1 yrs",IF(P895&lt;3,"1-3 yrs",IF(P895&lt;5,"3-5 yrs",IF(P895&lt;10,"5-10 yrs","10+ yrs"))))</f>
        <v>5-10 yrs</v>
      </c>
      <c r="S895" s="13" t="str">
        <f aca="false">IF(I895&gt;=4,"High",IF(I895=3,"Medium","Low"))</f>
        <v>High</v>
      </c>
      <c r="T895" s="13" t="str">
        <f aca="false">IF(M895=1,YEAR(C895),"")</f>
        <v/>
      </c>
      <c r="U895" s="13" t="str">
        <f aca="false">IF(M895=1,YEAR(C895)&amp;"-Q"&amp;ROUNDUP(MONTH(C895)/3,0),"")</f>
        <v/>
      </c>
      <c r="V895" s="13" t="str">
        <f aca="false">IF(M895=1,MONTH(C895),"")</f>
        <v/>
      </c>
    </row>
    <row r="896" customFormat="false" ht="15" hidden="false" customHeight="false" outlineLevel="0" collapsed="false">
      <c r="A896" s="13" t="str">
        <f aca="false">TRIM(Raw_Data!A896)</f>
        <v>EMP0895</v>
      </c>
      <c r="B896" s="14" t="n">
        <f aca="false">Raw_Data!B896</f>
        <v>43634</v>
      </c>
      <c r="C896" s="14" t="str">
        <f aca="false">IF(Raw_Data!C896="","",Raw_Data!C896)</f>
        <v/>
      </c>
      <c r="D896" s="13" t="n">
        <f aca="false">IF(Raw_Data!D896="","",Raw_Data!D896)</f>
        <v>33</v>
      </c>
      <c r="E896" s="13" t="str">
        <f aca="false">IF(UPPER(LEFT(TRIM(Raw_Data!E896),1))="M","Male",IF(UPPER(LEFT(TRIM(Raw_Data!E896),1))="F","Female","Unknown"))</f>
        <v>Female</v>
      </c>
      <c r="F896" s="13" t="str">
        <f aca="false">PROPER(TRIM(SUBSTITUTE(Raw_Data!F896,"'","")))</f>
        <v>Bachelors</v>
      </c>
      <c r="G896" s="13" t="str">
        <f aca="false">PROPER(TRIM(Raw_Data!G896))</f>
        <v>Customer Support</v>
      </c>
      <c r="H896" s="13" t="str">
        <f aca="false">PROPER(TRIM(Raw_Data!H896))</f>
        <v>Associate</v>
      </c>
      <c r="I896" s="13" t="n">
        <f aca="false">IF(Raw_Data!I896="",DefaultPerf,Raw_Data!I896)</f>
        <v>3</v>
      </c>
      <c r="J896" s="13" t="n">
        <f aca="false">IF(Raw_Data!J896="",DefaultSat,Raw_Data!J896)</f>
        <v>4</v>
      </c>
      <c r="K896" s="15" t="n">
        <f aca="false">Raw_Data!K896</f>
        <v>40000</v>
      </c>
      <c r="L896" s="13" t="str">
        <f aca="false">PROPER(TRIM(Raw_Data!N896))</f>
        <v>No</v>
      </c>
      <c r="M896" s="13" t="n">
        <f aca="false">IF(C896="",0,1)</f>
        <v>0</v>
      </c>
      <c r="N896" s="13" t="str">
        <f aca="false">IF(M896=0,"Active",IF(TRIM(Raw_Data!L896)="","Unknown",PROPER(TRIM(Raw_Data!L896))))</f>
        <v>Active</v>
      </c>
      <c r="O896" s="13" t="str">
        <f aca="false">IF(M896=0,"",IF(TRIM(Raw_Data!M896)="","Not Recorded",TRIM(Raw_Data!M896)))</f>
        <v/>
      </c>
      <c r="P896" s="16" t="n">
        <f aca="false">ROUND((IF(C896="",AsOfDate,C896)-B896)/365.25,2)</f>
        <v>6.54</v>
      </c>
      <c r="Q896" s="13" t="str">
        <f aca="false">IF(D896="","Unknown",IF(D896&lt;25,"Under 25",IF(D896&lt;35,"25-34",IF(D896&lt;45,"35-44",IF(D896&lt;55,"45-54","55+")))))</f>
        <v>25-34</v>
      </c>
      <c r="R896" s="13" t="str">
        <f aca="false">IF(P896&lt;1,"0-1 yrs",IF(P896&lt;3,"1-3 yrs",IF(P896&lt;5,"3-5 yrs",IF(P896&lt;10,"5-10 yrs","10+ yrs"))))</f>
        <v>5-10 yrs</v>
      </c>
      <c r="S896" s="13" t="str">
        <f aca="false">IF(I896&gt;=4,"High",IF(I896=3,"Medium","Low"))</f>
        <v>Medium</v>
      </c>
      <c r="T896" s="13" t="str">
        <f aca="false">IF(M896=1,YEAR(C896),"")</f>
        <v/>
      </c>
      <c r="U896" s="13" t="str">
        <f aca="false">IF(M896=1,YEAR(C896)&amp;"-Q"&amp;ROUNDUP(MONTH(C896)/3,0),"")</f>
        <v/>
      </c>
      <c r="V896" s="13" t="str">
        <f aca="false">IF(M896=1,MONTH(C896),"")</f>
        <v/>
      </c>
    </row>
    <row r="897" customFormat="false" ht="15" hidden="false" customHeight="false" outlineLevel="0" collapsed="false">
      <c r="A897" s="13" t="str">
        <f aca="false">TRIM(Raw_Data!A897)</f>
        <v>EMP0896</v>
      </c>
      <c r="B897" s="14" t="n">
        <f aca="false">Raw_Data!B897</f>
        <v>43635</v>
      </c>
      <c r="C897" s="14" t="str">
        <f aca="false">IF(Raw_Data!C897="","",Raw_Data!C897)</f>
        <v/>
      </c>
      <c r="D897" s="13" t="n">
        <f aca="false">IF(Raw_Data!D897="","",Raw_Data!D897)</f>
        <v>32</v>
      </c>
      <c r="E897" s="13" t="str">
        <f aca="false">IF(UPPER(LEFT(TRIM(Raw_Data!E897),1))="M","Male",IF(UPPER(LEFT(TRIM(Raw_Data!E897),1))="F","Female","Unknown"))</f>
        <v>Female</v>
      </c>
      <c r="F897" s="13" t="str">
        <f aca="false">PROPER(TRIM(SUBSTITUTE(Raw_Data!F897,"'","")))</f>
        <v>Masters</v>
      </c>
      <c r="G897" s="13" t="str">
        <f aca="false">PROPER(TRIM(Raw_Data!G897))</f>
        <v>Engineering</v>
      </c>
      <c r="H897" s="13" t="str">
        <f aca="false">PROPER(TRIM(Raw_Data!H897))</f>
        <v>Analyst</v>
      </c>
      <c r="I897" s="13" t="n">
        <f aca="false">IF(Raw_Data!I897="",DefaultPerf,Raw_Data!I897)</f>
        <v>3</v>
      </c>
      <c r="J897" s="13" t="n">
        <f aca="false">IF(Raw_Data!J897="",DefaultSat,Raw_Data!J897)</f>
        <v>2</v>
      </c>
      <c r="K897" s="15" t="n">
        <f aca="false">Raw_Data!K897</f>
        <v>68500</v>
      </c>
      <c r="L897" s="13" t="str">
        <f aca="false">PROPER(TRIM(Raw_Data!N897))</f>
        <v>No</v>
      </c>
      <c r="M897" s="13" t="n">
        <f aca="false">IF(C897="",0,1)</f>
        <v>0</v>
      </c>
      <c r="N897" s="13" t="str">
        <f aca="false">IF(M897=0,"Active",IF(TRIM(Raw_Data!L897)="","Unknown",PROPER(TRIM(Raw_Data!L897))))</f>
        <v>Active</v>
      </c>
      <c r="O897" s="13" t="str">
        <f aca="false">IF(M897=0,"",IF(TRIM(Raw_Data!M897)="","Not Recorded",TRIM(Raw_Data!M897)))</f>
        <v/>
      </c>
      <c r="P897" s="16" t="n">
        <f aca="false">ROUND((IF(C897="",AsOfDate,C897)-B897)/365.25,2)</f>
        <v>6.54</v>
      </c>
      <c r="Q897" s="13" t="str">
        <f aca="false">IF(D897="","Unknown",IF(D897&lt;25,"Under 25",IF(D897&lt;35,"25-34",IF(D897&lt;45,"35-44",IF(D897&lt;55,"45-54","55+")))))</f>
        <v>25-34</v>
      </c>
      <c r="R897" s="13" t="str">
        <f aca="false">IF(P897&lt;1,"0-1 yrs",IF(P897&lt;3,"1-3 yrs",IF(P897&lt;5,"3-5 yrs",IF(P897&lt;10,"5-10 yrs","10+ yrs"))))</f>
        <v>5-10 yrs</v>
      </c>
      <c r="S897" s="13" t="str">
        <f aca="false">IF(I897&gt;=4,"High",IF(I897=3,"Medium","Low"))</f>
        <v>Medium</v>
      </c>
      <c r="T897" s="13" t="str">
        <f aca="false">IF(M897=1,YEAR(C897),"")</f>
        <v/>
      </c>
      <c r="U897" s="13" t="str">
        <f aca="false">IF(M897=1,YEAR(C897)&amp;"-Q"&amp;ROUNDUP(MONTH(C897)/3,0),"")</f>
        <v/>
      </c>
      <c r="V897" s="13" t="str">
        <f aca="false">IF(M897=1,MONTH(C897),"")</f>
        <v/>
      </c>
    </row>
    <row r="898" customFormat="false" ht="15" hidden="false" customHeight="false" outlineLevel="0" collapsed="false">
      <c r="A898" s="13" t="str">
        <f aca="false">TRIM(Raw_Data!A898)</f>
        <v>EMP0897</v>
      </c>
      <c r="B898" s="14" t="n">
        <f aca="false">Raw_Data!B898</f>
        <v>43637</v>
      </c>
      <c r="C898" s="14" t="n">
        <f aca="false">IF(Raw_Data!C898="","",Raw_Data!C898)</f>
        <v>45378</v>
      </c>
      <c r="D898" s="13" t="n">
        <f aca="false">IF(Raw_Data!D898="","",Raw_Data!D898)</f>
        <v>33</v>
      </c>
      <c r="E898" s="13" t="str">
        <f aca="false">IF(UPPER(LEFT(TRIM(Raw_Data!E898),1))="M","Male",IF(UPPER(LEFT(TRIM(Raw_Data!E898),1))="F","Female","Unknown"))</f>
        <v>Male</v>
      </c>
      <c r="F898" s="13" t="str">
        <f aca="false">PROPER(TRIM(SUBSTITUTE(Raw_Data!F898,"'","")))</f>
        <v>Bachelors</v>
      </c>
      <c r="G898" s="13" t="str">
        <f aca="false">PROPER(TRIM(Raw_Data!G898))</f>
        <v>Operations</v>
      </c>
      <c r="H898" s="13" t="str">
        <f aca="false">PROPER(TRIM(Raw_Data!H898))</f>
        <v>Team Lead</v>
      </c>
      <c r="I898" s="13" t="n">
        <f aca="false">IF(Raw_Data!I898="",DefaultPerf,Raw_Data!I898)</f>
        <v>4</v>
      </c>
      <c r="J898" s="13" t="n">
        <f aca="false">IF(Raw_Data!J898="",DefaultSat,Raw_Data!J898)</f>
        <v>1</v>
      </c>
      <c r="K898" s="15" t="n">
        <f aca="false">Raw_Data!K898</f>
        <v>138500</v>
      </c>
      <c r="L898" s="13" t="str">
        <f aca="false">PROPER(TRIM(Raw_Data!N898))</f>
        <v>Yes</v>
      </c>
      <c r="M898" s="13" t="n">
        <f aca="false">IF(C898="",0,1)</f>
        <v>1</v>
      </c>
      <c r="N898" s="13" t="str">
        <f aca="false">IF(M898=0,"Active",IF(TRIM(Raw_Data!L898)="","Unknown",PROPER(TRIM(Raw_Data!L898))))</f>
        <v>Voluntary</v>
      </c>
      <c r="O898" s="13" t="str">
        <f aca="false">IF(M898=0,"",IF(TRIM(Raw_Data!M898)="","Not Recorded",TRIM(Raw_Data!M898)))</f>
        <v>Career Growth</v>
      </c>
      <c r="P898" s="16" t="n">
        <f aca="false">ROUND((IF(C898="",AsOfDate,C898)-B898)/365.25,2)</f>
        <v>4.77</v>
      </c>
      <c r="Q898" s="13" t="str">
        <f aca="false">IF(D898="","Unknown",IF(D898&lt;25,"Under 25",IF(D898&lt;35,"25-34",IF(D898&lt;45,"35-44",IF(D898&lt;55,"45-54","55+")))))</f>
        <v>25-34</v>
      </c>
      <c r="R898" s="13" t="str">
        <f aca="false">IF(P898&lt;1,"0-1 yrs",IF(P898&lt;3,"1-3 yrs",IF(P898&lt;5,"3-5 yrs",IF(P898&lt;10,"5-10 yrs","10+ yrs"))))</f>
        <v>3-5 yrs</v>
      </c>
      <c r="S898" s="13" t="str">
        <f aca="false">IF(I898&gt;=4,"High",IF(I898=3,"Medium","Low"))</f>
        <v>High</v>
      </c>
      <c r="T898" s="13" t="n">
        <f aca="false">IF(M898=1,YEAR(C898),"")</f>
        <v>2024</v>
      </c>
      <c r="U898" s="13" t="str">
        <f aca="false">IF(M898=1,YEAR(C898)&amp;"-Q"&amp;ROUNDUP(MONTH(C898)/3,0),"")</f>
        <v>2024-Q1</v>
      </c>
      <c r="V898" s="13" t="n">
        <f aca="false">IF(M898=1,MONTH(C898),"")</f>
        <v>3</v>
      </c>
    </row>
    <row r="899" customFormat="false" ht="15" hidden="false" customHeight="false" outlineLevel="0" collapsed="false">
      <c r="A899" s="13" t="str">
        <f aca="false">TRIM(Raw_Data!A899)</f>
        <v>EMP0898</v>
      </c>
      <c r="B899" s="14" t="n">
        <f aca="false">Raw_Data!B899</f>
        <v>43637</v>
      </c>
      <c r="C899" s="14" t="str">
        <f aca="false">IF(Raw_Data!C899="","",Raw_Data!C899)</f>
        <v/>
      </c>
      <c r="D899" s="13" t="n">
        <f aca="false">IF(Raw_Data!D899="","",Raw_Data!D899)</f>
        <v>51</v>
      </c>
      <c r="E899" s="13" t="str">
        <f aca="false">IF(UPPER(LEFT(TRIM(Raw_Data!E899),1))="M","Male",IF(UPPER(LEFT(TRIM(Raw_Data!E899),1))="F","Female","Unknown"))</f>
        <v>Female</v>
      </c>
      <c r="F899" s="13" t="str">
        <f aca="false">PROPER(TRIM(SUBSTITUTE(Raw_Data!F899,"'","")))</f>
        <v>Masters</v>
      </c>
      <c r="G899" s="13" t="str">
        <f aca="false">PROPER(TRIM(Raw_Data!G899))</f>
        <v>Customer Support</v>
      </c>
      <c r="H899" s="13" t="str">
        <f aca="false">PROPER(TRIM(Raw_Data!H899))</f>
        <v>Associate</v>
      </c>
      <c r="I899" s="13" t="n">
        <f aca="false">IF(Raw_Data!I899="",DefaultPerf,Raw_Data!I899)</f>
        <v>4</v>
      </c>
      <c r="J899" s="13" t="n">
        <f aca="false">IF(Raw_Data!J899="",DefaultSat,Raw_Data!J899)</f>
        <v>3</v>
      </c>
      <c r="K899" s="15" t="n">
        <f aca="false">Raw_Data!K899</f>
        <v>47000</v>
      </c>
      <c r="L899" s="13" t="str">
        <f aca="false">PROPER(TRIM(Raw_Data!N899))</f>
        <v>Yes</v>
      </c>
      <c r="M899" s="13" t="n">
        <f aca="false">IF(C899="",0,1)</f>
        <v>0</v>
      </c>
      <c r="N899" s="13" t="str">
        <f aca="false">IF(M899=0,"Active",IF(TRIM(Raw_Data!L899)="","Unknown",PROPER(TRIM(Raw_Data!L899))))</f>
        <v>Active</v>
      </c>
      <c r="O899" s="13" t="str">
        <f aca="false">IF(M899=0,"",IF(TRIM(Raw_Data!M899)="","Not Recorded",TRIM(Raw_Data!M899)))</f>
        <v/>
      </c>
      <c r="P899" s="16" t="n">
        <f aca="false">ROUND((IF(C899="",AsOfDate,C899)-B899)/365.25,2)</f>
        <v>6.53</v>
      </c>
      <c r="Q899" s="13" t="str">
        <f aca="false">IF(D899="","Unknown",IF(D899&lt;25,"Under 25",IF(D899&lt;35,"25-34",IF(D899&lt;45,"35-44",IF(D899&lt;55,"45-54","55+")))))</f>
        <v>45-54</v>
      </c>
      <c r="R899" s="13" t="str">
        <f aca="false">IF(P899&lt;1,"0-1 yrs",IF(P899&lt;3,"1-3 yrs",IF(P899&lt;5,"3-5 yrs",IF(P899&lt;10,"5-10 yrs","10+ yrs"))))</f>
        <v>5-10 yrs</v>
      </c>
      <c r="S899" s="13" t="str">
        <f aca="false">IF(I899&gt;=4,"High",IF(I899=3,"Medium","Low"))</f>
        <v>High</v>
      </c>
      <c r="T899" s="13" t="str">
        <f aca="false">IF(M899=1,YEAR(C899),"")</f>
        <v/>
      </c>
      <c r="U899" s="13" t="str">
        <f aca="false">IF(M899=1,YEAR(C899)&amp;"-Q"&amp;ROUNDUP(MONTH(C899)/3,0),"")</f>
        <v/>
      </c>
      <c r="V899" s="13" t="str">
        <f aca="false">IF(M899=1,MONTH(C899),"")</f>
        <v/>
      </c>
    </row>
    <row r="900" customFormat="false" ht="15" hidden="false" customHeight="false" outlineLevel="0" collapsed="false">
      <c r="A900" s="13" t="str">
        <f aca="false">TRIM(Raw_Data!A900)</f>
        <v>EMP0899</v>
      </c>
      <c r="B900" s="14" t="n">
        <f aca="false">Raw_Data!B900</f>
        <v>43637</v>
      </c>
      <c r="C900" s="14" t="n">
        <f aca="false">IF(Raw_Data!C900="","",Raw_Data!C900)</f>
        <v>45136</v>
      </c>
      <c r="D900" s="13" t="n">
        <f aca="false">IF(Raw_Data!D900="","",Raw_Data!D900)</f>
        <v>35</v>
      </c>
      <c r="E900" s="13" t="str">
        <f aca="false">IF(UPPER(LEFT(TRIM(Raw_Data!E900),1))="M","Male",IF(UPPER(LEFT(TRIM(Raw_Data!E900),1))="F","Female","Unknown"))</f>
        <v>Female</v>
      </c>
      <c r="F900" s="13" t="str">
        <f aca="false">PROPER(TRIM(SUBSTITUTE(Raw_Data!F900,"'","")))</f>
        <v>Bachelors</v>
      </c>
      <c r="G900" s="13" t="str">
        <f aca="false">PROPER(TRIM(Raw_Data!G900))</f>
        <v>Engineering</v>
      </c>
      <c r="H900" s="13" t="str">
        <f aca="false">PROPER(TRIM(Raw_Data!H900))</f>
        <v>Specialist</v>
      </c>
      <c r="I900" s="13" t="n">
        <f aca="false">IF(Raw_Data!I900="",DefaultPerf,Raw_Data!I900)</f>
        <v>3</v>
      </c>
      <c r="J900" s="13" t="n">
        <f aca="false">IF(Raw_Data!J900="",DefaultSat,Raw_Data!J900)</f>
        <v>3</v>
      </c>
      <c r="K900" s="15" t="n">
        <f aca="false">Raw_Data!K900</f>
        <v>110500</v>
      </c>
      <c r="L900" s="13" t="str">
        <f aca="false">PROPER(TRIM(Raw_Data!N900))</f>
        <v>No</v>
      </c>
      <c r="M900" s="13" t="n">
        <f aca="false">IF(C900="",0,1)</f>
        <v>1</v>
      </c>
      <c r="N900" s="13" t="str">
        <f aca="false">IF(M900=0,"Active",IF(TRIM(Raw_Data!L900)="","Unknown",PROPER(TRIM(Raw_Data!L900))))</f>
        <v>Involuntary</v>
      </c>
      <c r="O900" s="13" t="str">
        <f aca="false">IF(M900=0,"",IF(TRIM(Raw_Data!M900)="","Not Recorded",TRIM(Raw_Data!M900)))</f>
        <v>Not Recorded</v>
      </c>
      <c r="P900" s="16" t="n">
        <f aca="false">ROUND((IF(C900="",AsOfDate,C900)-B900)/365.25,2)</f>
        <v>4.1</v>
      </c>
      <c r="Q900" s="13" t="str">
        <f aca="false">IF(D900="","Unknown",IF(D900&lt;25,"Under 25",IF(D900&lt;35,"25-34",IF(D900&lt;45,"35-44",IF(D900&lt;55,"45-54","55+")))))</f>
        <v>35-44</v>
      </c>
      <c r="R900" s="13" t="str">
        <f aca="false">IF(P900&lt;1,"0-1 yrs",IF(P900&lt;3,"1-3 yrs",IF(P900&lt;5,"3-5 yrs",IF(P900&lt;10,"5-10 yrs","10+ yrs"))))</f>
        <v>3-5 yrs</v>
      </c>
      <c r="S900" s="13" t="str">
        <f aca="false">IF(I900&gt;=4,"High",IF(I900=3,"Medium","Low"))</f>
        <v>Medium</v>
      </c>
      <c r="T900" s="13" t="n">
        <f aca="false">IF(M900=1,YEAR(C900),"")</f>
        <v>2023</v>
      </c>
      <c r="U900" s="13" t="str">
        <f aca="false">IF(M900=1,YEAR(C900)&amp;"-Q"&amp;ROUNDUP(MONTH(C900)/3,0),"")</f>
        <v>2023-Q3</v>
      </c>
      <c r="V900" s="13" t="n">
        <f aca="false">IF(M900=1,MONTH(C900),"")</f>
        <v>7</v>
      </c>
    </row>
    <row r="901" customFormat="false" ht="15" hidden="false" customHeight="false" outlineLevel="0" collapsed="false">
      <c r="A901" s="13" t="str">
        <f aca="false">TRIM(Raw_Data!A901)</f>
        <v>EMP0900</v>
      </c>
      <c r="B901" s="14" t="n">
        <f aca="false">Raw_Data!B901</f>
        <v>43638</v>
      </c>
      <c r="C901" s="14" t="str">
        <f aca="false">IF(Raw_Data!C901="","",Raw_Data!C901)</f>
        <v/>
      </c>
      <c r="D901" s="13" t="n">
        <f aca="false">IF(Raw_Data!D901="","",Raw_Data!D901)</f>
        <v>28</v>
      </c>
      <c r="E901" s="13" t="str">
        <f aca="false">IF(UPPER(LEFT(TRIM(Raw_Data!E901),1))="M","Male",IF(UPPER(LEFT(TRIM(Raw_Data!E901),1))="F","Female","Unknown"))</f>
        <v>Female</v>
      </c>
      <c r="F901" s="13" t="str">
        <f aca="false">PROPER(TRIM(SUBSTITUTE(Raw_Data!F901,"'","")))</f>
        <v>Masters</v>
      </c>
      <c r="G901" s="13" t="str">
        <f aca="false">PROPER(TRIM(Raw_Data!G901))</f>
        <v>Customer Support</v>
      </c>
      <c r="H901" s="13" t="str">
        <f aca="false">PROPER(TRIM(Raw_Data!H901))</f>
        <v>Analyst</v>
      </c>
      <c r="I901" s="13" t="n">
        <f aca="false">IF(Raw_Data!I901="",DefaultPerf,Raw_Data!I901)</f>
        <v>5</v>
      </c>
      <c r="J901" s="13" t="n">
        <f aca="false">IF(Raw_Data!J901="",DefaultSat,Raw_Data!J901)</f>
        <v>4</v>
      </c>
      <c r="K901" s="15" t="n">
        <f aca="false">Raw_Data!K901</f>
        <v>70000</v>
      </c>
      <c r="L901" s="13" t="str">
        <f aca="false">PROPER(TRIM(Raw_Data!N901))</f>
        <v>No</v>
      </c>
      <c r="M901" s="13" t="n">
        <f aca="false">IF(C901="",0,1)</f>
        <v>0</v>
      </c>
      <c r="N901" s="13" t="str">
        <f aca="false">IF(M901=0,"Active",IF(TRIM(Raw_Data!L901)="","Unknown",PROPER(TRIM(Raw_Data!L901))))</f>
        <v>Active</v>
      </c>
      <c r="O901" s="13" t="str">
        <f aca="false">IF(M901=0,"",IF(TRIM(Raw_Data!M901)="","Not Recorded",TRIM(Raw_Data!M901)))</f>
        <v/>
      </c>
      <c r="P901" s="16" t="n">
        <f aca="false">ROUND((IF(C901="",AsOfDate,C901)-B901)/365.25,2)</f>
        <v>6.53</v>
      </c>
      <c r="Q901" s="13" t="str">
        <f aca="false">IF(D901="","Unknown",IF(D901&lt;25,"Under 25",IF(D901&lt;35,"25-34",IF(D901&lt;45,"35-44",IF(D901&lt;55,"45-54","55+")))))</f>
        <v>25-34</v>
      </c>
      <c r="R901" s="13" t="str">
        <f aca="false">IF(P901&lt;1,"0-1 yrs",IF(P901&lt;3,"1-3 yrs",IF(P901&lt;5,"3-5 yrs",IF(P901&lt;10,"5-10 yrs","10+ yrs"))))</f>
        <v>5-10 yrs</v>
      </c>
      <c r="S901" s="13" t="str">
        <f aca="false">IF(I901&gt;=4,"High",IF(I901=3,"Medium","Low"))</f>
        <v>High</v>
      </c>
      <c r="T901" s="13" t="str">
        <f aca="false">IF(M901=1,YEAR(C901),"")</f>
        <v/>
      </c>
      <c r="U901" s="13" t="str">
        <f aca="false">IF(M901=1,YEAR(C901)&amp;"-Q"&amp;ROUNDUP(MONTH(C901)/3,0),"")</f>
        <v/>
      </c>
      <c r="V901" s="13" t="str">
        <f aca="false">IF(M901=1,MONTH(C901),"")</f>
        <v/>
      </c>
    </row>
    <row r="902" customFormat="false" ht="15" hidden="false" customHeight="false" outlineLevel="0" collapsed="false">
      <c r="A902" s="13" t="str">
        <f aca="false">TRIM(Raw_Data!A902)</f>
        <v>EMP0901</v>
      </c>
      <c r="B902" s="14" t="n">
        <f aca="false">Raw_Data!B902</f>
        <v>43638</v>
      </c>
      <c r="C902" s="14" t="str">
        <f aca="false">IF(Raw_Data!C902="","",Raw_Data!C902)</f>
        <v/>
      </c>
      <c r="D902" s="13" t="n">
        <f aca="false">IF(Raw_Data!D902="","",Raw_Data!D902)</f>
        <v>32</v>
      </c>
      <c r="E902" s="13" t="str">
        <f aca="false">IF(UPPER(LEFT(TRIM(Raw_Data!E902),1))="M","Male",IF(UPPER(LEFT(TRIM(Raw_Data!E902),1))="F","Female","Unknown"))</f>
        <v>Female</v>
      </c>
      <c r="F902" s="13" t="str">
        <f aca="false">PROPER(TRIM(SUBSTITUTE(Raw_Data!F902,"'","")))</f>
        <v>Bachelors</v>
      </c>
      <c r="G902" s="13" t="str">
        <f aca="false">PROPER(TRIM(Raw_Data!G902))</f>
        <v>Sales</v>
      </c>
      <c r="H902" s="13" t="str">
        <f aca="false">PROPER(TRIM(Raw_Data!H902))</f>
        <v>Associate</v>
      </c>
      <c r="I902" s="13" t="n">
        <f aca="false">IF(Raw_Data!I902="",DefaultPerf,Raw_Data!I902)</f>
        <v>4</v>
      </c>
      <c r="J902" s="13" t="n">
        <f aca="false">IF(Raw_Data!J902="",DefaultSat,Raw_Data!J902)</f>
        <v>3</v>
      </c>
      <c r="K902" s="15" t="n">
        <f aca="false">Raw_Data!K902</f>
        <v>52500</v>
      </c>
      <c r="L902" s="13" t="str">
        <f aca="false">PROPER(TRIM(Raw_Data!N902))</f>
        <v>No</v>
      </c>
      <c r="M902" s="13" t="n">
        <f aca="false">IF(C902="",0,1)</f>
        <v>0</v>
      </c>
      <c r="N902" s="13" t="str">
        <f aca="false">IF(M902=0,"Active",IF(TRIM(Raw_Data!L902)="","Unknown",PROPER(TRIM(Raw_Data!L902))))</f>
        <v>Active</v>
      </c>
      <c r="O902" s="13" t="str">
        <f aca="false">IF(M902=0,"",IF(TRIM(Raw_Data!M902)="","Not Recorded",TRIM(Raw_Data!M902)))</f>
        <v/>
      </c>
      <c r="P902" s="16" t="n">
        <f aca="false">ROUND((IF(C902="",AsOfDate,C902)-B902)/365.25,2)</f>
        <v>6.53</v>
      </c>
      <c r="Q902" s="13" t="str">
        <f aca="false">IF(D902="","Unknown",IF(D902&lt;25,"Under 25",IF(D902&lt;35,"25-34",IF(D902&lt;45,"35-44",IF(D902&lt;55,"45-54","55+")))))</f>
        <v>25-34</v>
      </c>
      <c r="R902" s="13" t="str">
        <f aca="false">IF(P902&lt;1,"0-1 yrs",IF(P902&lt;3,"1-3 yrs",IF(P902&lt;5,"3-5 yrs",IF(P902&lt;10,"5-10 yrs","10+ yrs"))))</f>
        <v>5-10 yrs</v>
      </c>
      <c r="S902" s="13" t="str">
        <f aca="false">IF(I902&gt;=4,"High",IF(I902=3,"Medium","Low"))</f>
        <v>High</v>
      </c>
      <c r="T902" s="13" t="str">
        <f aca="false">IF(M902=1,YEAR(C902),"")</f>
        <v/>
      </c>
      <c r="U902" s="13" t="str">
        <f aca="false">IF(M902=1,YEAR(C902)&amp;"-Q"&amp;ROUNDUP(MONTH(C902)/3,0),"")</f>
        <v/>
      </c>
      <c r="V902" s="13" t="str">
        <f aca="false">IF(M902=1,MONTH(C902),"")</f>
        <v/>
      </c>
    </row>
    <row r="903" customFormat="false" ht="15" hidden="false" customHeight="false" outlineLevel="0" collapsed="false">
      <c r="A903" s="13" t="str">
        <f aca="false">TRIM(Raw_Data!A903)</f>
        <v>EMP0902</v>
      </c>
      <c r="B903" s="14" t="n">
        <f aca="false">Raw_Data!B903</f>
        <v>43640</v>
      </c>
      <c r="C903" s="14" t="n">
        <f aca="false">IF(Raw_Data!C903="","",Raw_Data!C903)</f>
        <v>45525</v>
      </c>
      <c r="D903" s="13" t="n">
        <f aca="false">IF(Raw_Data!D903="","",Raw_Data!D903)</f>
        <v>27</v>
      </c>
      <c r="E903" s="13" t="str">
        <f aca="false">IF(UPPER(LEFT(TRIM(Raw_Data!E903),1))="M","Male",IF(UPPER(LEFT(TRIM(Raw_Data!E903),1))="F","Female","Unknown"))</f>
        <v>Female</v>
      </c>
      <c r="F903" s="13" t="str">
        <f aca="false">PROPER(TRIM(SUBSTITUTE(Raw_Data!F903,"'","")))</f>
        <v>Bachelors</v>
      </c>
      <c r="G903" s="13" t="str">
        <f aca="false">PROPER(TRIM(Raw_Data!G903))</f>
        <v>Customer Support</v>
      </c>
      <c r="H903" s="13" t="str">
        <f aca="false">PROPER(TRIM(Raw_Data!H903))</f>
        <v>Team Lead</v>
      </c>
      <c r="I903" s="13" t="n">
        <f aca="false">IF(Raw_Data!I903="",DefaultPerf,Raw_Data!I903)</f>
        <v>5</v>
      </c>
      <c r="J903" s="13" t="n">
        <f aca="false">IF(Raw_Data!J903="",DefaultSat,Raw_Data!J903)</f>
        <v>1</v>
      </c>
      <c r="K903" s="15" t="n">
        <f aca="false">Raw_Data!K903</f>
        <v>146500</v>
      </c>
      <c r="L903" s="13" t="str">
        <f aca="false">PROPER(TRIM(Raw_Data!N903))</f>
        <v>No</v>
      </c>
      <c r="M903" s="13" t="n">
        <f aca="false">IF(C903="",0,1)</f>
        <v>1</v>
      </c>
      <c r="N903" s="13" t="str">
        <f aca="false">IF(M903=0,"Active",IF(TRIM(Raw_Data!L903)="","Unknown",PROPER(TRIM(Raw_Data!L903))))</f>
        <v>Voluntary</v>
      </c>
      <c r="O903" s="13" t="str">
        <f aca="false">IF(M903=0,"",IF(TRIM(Raw_Data!M903)="","Not Recorded",TRIM(Raw_Data!M903)))</f>
        <v>Manager Issues</v>
      </c>
      <c r="P903" s="16" t="n">
        <f aca="false">ROUND((IF(C903="",AsOfDate,C903)-B903)/365.25,2)</f>
        <v>5.16</v>
      </c>
      <c r="Q903" s="13" t="str">
        <f aca="false">IF(D903="","Unknown",IF(D903&lt;25,"Under 25",IF(D903&lt;35,"25-34",IF(D903&lt;45,"35-44",IF(D903&lt;55,"45-54","55+")))))</f>
        <v>25-34</v>
      </c>
      <c r="R903" s="13" t="str">
        <f aca="false">IF(P903&lt;1,"0-1 yrs",IF(P903&lt;3,"1-3 yrs",IF(P903&lt;5,"3-5 yrs",IF(P903&lt;10,"5-10 yrs","10+ yrs"))))</f>
        <v>5-10 yrs</v>
      </c>
      <c r="S903" s="13" t="str">
        <f aca="false">IF(I903&gt;=4,"High",IF(I903=3,"Medium","Low"))</f>
        <v>High</v>
      </c>
      <c r="T903" s="13" t="n">
        <f aca="false">IF(M903=1,YEAR(C903),"")</f>
        <v>2024</v>
      </c>
      <c r="U903" s="13" t="str">
        <f aca="false">IF(M903=1,YEAR(C903)&amp;"-Q"&amp;ROUNDUP(MONTH(C903)/3,0),"")</f>
        <v>2024-Q3</v>
      </c>
      <c r="V903" s="13" t="n">
        <f aca="false">IF(M903=1,MONTH(C903),"")</f>
        <v>8</v>
      </c>
    </row>
    <row r="904" customFormat="false" ht="15" hidden="false" customHeight="false" outlineLevel="0" collapsed="false">
      <c r="A904" s="13" t="str">
        <f aca="false">TRIM(Raw_Data!A904)</f>
        <v>EMP0903</v>
      </c>
      <c r="B904" s="14" t="n">
        <f aca="false">Raw_Data!B904</f>
        <v>43644</v>
      </c>
      <c r="C904" s="14" t="n">
        <f aca="false">IF(Raw_Data!C904="","",Raw_Data!C904)</f>
        <v>44755</v>
      </c>
      <c r="D904" s="13" t="n">
        <f aca="false">IF(Raw_Data!D904="","",Raw_Data!D904)</f>
        <v>33</v>
      </c>
      <c r="E904" s="13" t="str">
        <f aca="false">IF(UPPER(LEFT(TRIM(Raw_Data!E904),1))="M","Male",IF(UPPER(LEFT(TRIM(Raw_Data!E904),1))="F","Female","Unknown"))</f>
        <v>Female</v>
      </c>
      <c r="F904" s="13" t="str">
        <f aca="false">PROPER(TRIM(SUBSTITUTE(Raw_Data!F904,"'","")))</f>
        <v>High School</v>
      </c>
      <c r="G904" s="13" t="str">
        <f aca="false">PROPER(TRIM(Raw_Data!G904))</f>
        <v>Customer Support</v>
      </c>
      <c r="H904" s="13" t="str">
        <f aca="false">PROPER(TRIM(Raw_Data!H904))</f>
        <v>Associate</v>
      </c>
      <c r="I904" s="13" t="n">
        <f aca="false">IF(Raw_Data!I904="",DefaultPerf,Raw_Data!I904)</f>
        <v>5</v>
      </c>
      <c r="J904" s="13" t="n">
        <f aca="false">IF(Raw_Data!J904="",DefaultSat,Raw_Data!J904)</f>
        <v>3</v>
      </c>
      <c r="K904" s="15" t="n">
        <f aca="false">Raw_Data!K904</f>
        <v>42000</v>
      </c>
      <c r="L904" s="13" t="str">
        <f aca="false">PROPER(TRIM(Raw_Data!N904))</f>
        <v>Yes</v>
      </c>
      <c r="M904" s="13" t="n">
        <f aca="false">IF(C904="",0,1)</f>
        <v>1</v>
      </c>
      <c r="N904" s="13" t="str">
        <f aca="false">IF(M904=0,"Active",IF(TRIM(Raw_Data!L904)="","Unknown",PROPER(TRIM(Raw_Data!L904))))</f>
        <v>Voluntary</v>
      </c>
      <c r="O904" s="13" t="str">
        <f aca="false">IF(M904=0,"",IF(TRIM(Raw_Data!M904)="","Not Recorded",TRIM(Raw_Data!M904)))</f>
        <v>Career Growth</v>
      </c>
      <c r="P904" s="16" t="n">
        <f aca="false">ROUND((IF(C904="",AsOfDate,C904)-B904)/365.25,2)</f>
        <v>3.04</v>
      </c>
      <c r="Q904" s="13" t="str">
        <f aca="false">IF(D904="","Unknown",IF(D904&lt;25,"Under 25",IF(D904&lt;35,"25-34",IF(D904&lt;45,"35-44",IF(D904&lt;55,"45-54","55+")))))</f>
        <v>25-34</v>
      </c>
      <c r="R904" s="13" t="str">
        <f aca="false">IF(P904&lt;1,"0-1 yrs",IF(P904&lt;3,"1-3 yrs",IF(P904&lt;5,"3-5 yrs",IF(P904&lt;10,"5-10 yrs","10+ yrs"))))</f>
        <v>3-5 yrs</v>
      </c>
      <c r="S904" s="13" t="str">
        <f aca="false">IF(I904&gt;=4,"High",IF(I904=3,"Medium","Low"))</f>
        <v>High</v>
      </c>
      <c r="T904" s="13" t="n">
        <f aca="false">IF(M904=1,YEAR(C904),"")</f>
        <v>2022</v>
      </c>
      <c r="U904" s="13" t="str">
        <f aca="false">IF(M904=1,YEAR(C904)&amp;"-Q"&amp;ROUNDUP(MONTH(C904)/3,0),"")</f>
        <v>2022-Q3</v>
      </c>
      <c r="V904" s="13" t="n">
        <f aca="false">IF(M904=1,MONTH(C904),"")</f>
        <v>7</v>
      </c>
    </row>
    <row r="905" customFormat="false" ht="15" hidden="false" customHeight="false" outlineLevel="0" collapsed="false">
      <c r="A905" s="13" t="str">
        <f aca="false">TRIM(Raw_Data!A905)</f>
        <v>EMP0904</v>
      </c>
      <c r="B905" s="14" t="n">
        <f aca="false">Raw_Data!B905</f>
        <v>43645</v>
      </c>
      <c r="C905" s="14" t="str">
        <f aca="false">IF(Raw_Data!C905="","",Raw_Data!C905)</f>
        <v/>
      </c>
      <c r="D905" s="13" t="n">
        <f aca="false">IF(Raw_Data!D905="","",Raw_Data!D905)</f>
        <v>37</v>
      </c>
      <c r="E905" s="13" t="str">
        <f aca="false">IF(UPPER(LEFT(TRIM(Raw_Data!E905),1))="M","Male",IF(UPPER(LEFT(TRIM(Raw_Data!E905),1))="F","Female","Unknown"))</f>
        <v>Male</v>
      </c>
      <c r="F905" s="13" t="str">
        <f aca="false">PROPER(TRIM(SUBSTITUTE(Raw_Data!F905,"'","")))</f>
        <v>Masters</v>
      </c>
      <c r="G905" s="13" t="str">
        <f aca="false">PROPER(TRIM(Raw_Data!G905))</f>
        <v>Sales</v>
      </c>
      <c r="H905" s="13" t="str">
        <f aca="false">PROPER(TRIM(Raw_Data!H905))</f>
        <v>Manager</v>
      </c>
      <c r="I905" s="17" t="n">
        <f aca="false">IF(Raw_Data!I905="",DefaultPerf,Raw_Data!I905)</f>
        <v>3</v>
      </c>
      <c r="J905" s="17" t="n">
        <f aca="false">IF(Raw_Data!J905="",DefaultSat,Raw_Data!J905)</f>
        <v>3</v>
      </c>
      <c r="K905" s="15" t="n">
        <f aca="false">Raw_Data!K905</f>
        <v>214500</v>
      </c>
      <c r="L905" s="13" t="str">
        <f aca="false">PROPER(TRIM(Raw_Data!N905))</f>
        <v>No</v>
      </c>
      <c r="M905" s="13" t="n">
        <f aca="false">IF(C905="",0,1)</f>
        <v>0</v>
      </c>
      <c r="N905" s="13" t="str">
        <f aca="false">IF(M905=0,"Active",IF(TRIM(Raw_Data!L905)="","Unknown",PROPER(TRIM(Raw_Data!L905))))</f>
        <v>Active</v>
      </c>
      <c r="O905" s="13" t="str">
        <f aca="false">IF(M905=0,"",IF(TRIM(Raw_Data!M905)="","Not Recorded",TRIM(Raw_Data!M905)))</f>
        <v/>
      </c>
      <c r="P905" s="16" t="n">
        <f aca="false">ROUND((IF(C905="",AsOfDate,C905)-B905)/365.25,2)</f>
        <v>6.51</v>
      </c>
      <c r="Q905" s="13" t="str">
        <f aca="false">IF(D905="","Unknown",IF(D905&lt;25,"Under 25",IF(D905&lt;35,"25-34",IF(D905&lt;45,"35-44",IF(D905&lt;55,"45-54","55+")))))</f>
        <v>35-44</v>
      </c>
      <c r="R905" s="13" t="str">
        <f aca="false">IF(P905&lt;1,"0-1 yrs",IF(P905&lt;3,"1-3 yrs",IF(P905&lt;5,"3-5 yrs",IF(P905&lt;10,"5-10 yrs","10+ yrs"))))</f>
        <v>5-10 yrs</v>
      </c>
      <c r="S905" s="13" t="str">
        <f aca="false">IF(I905&gt;=4,"High",IF(I905=3,"Medium","Low"))</f>
        <v>Medium</v>
      </c>
      <c r="T905" s="13" t="str">
        <f aca="false">IF(M905=1,YEAR(C905),"")</f>
        <v/>
      </c>
      <c r="U905" s="13" t="str">
        <f aca="false">IF(M905=1,YEAR(C905)&amp;"-Q"&amp;ROUNDUP(MONTH(C905)/3,0),"")</f>
        <v/>
      </c>
      <c r="V905" s="13" t="str">
        <f aca="false">IF(M905=1,MONTH(C905),"")</f>
        <v/>
      </c>
    </row>
    <row r="906" customFormat="false" ht="15" hidden="false" customHeight="false" outlineLevel="0" collapsed="false">
      <c r="A906" s="13" t="str">
        <f aca="false">TRIM(Raw_Data!A906)</f>
        <v>EMP0905</v>
      </c>
      <c r="B906" s="14" t="n">
        <f aca="false">Raw_Data!B906</f>
        <v>43647</v>
      </c>
      <c r="C906" s="14" t="n">
        <f aca="false">IF(Raw_Data!C906="","",Raw_Data!C906)</f>
        <v>45520</v>
      </c>
      <c r="D906" s="13" t="n">
        <f aca="false">IF(Raw_Data!D906="","",Raw_Data!D906)</f>
        <v>32</v>
      </c>
      <c r="E906" s="13" t="str">
        <f aca="false">IF(UPPER(LEFT(TRIM(Raw_Data!E906),1))="M","Male",IF(UPPER(LEFT(TRIM(Raw_Data!E906),1))="F","Female","Unknown"))</f>
        <v>Female</v>
      </c>
      <c r="F906" s="13" t="str">
        <f aca="false">PROPER(TRIM(SUBSTITUTE(Raw_Data!F906,"'","")))</f>
        <v>Diploma</v>
      </c>
      <c r="G906" s="13" t="str">
        <f aca="false">PROPER(TRIM(Raw_Data!G906))</f>
        <v>Customer Support</v>
      </c>
      <c r="H906" s="13" t="str">
        <f aca="false">PROPER(TRIM(Raw_Data!H906))</f>
        <v>Analyst</v>
      </c>
      <c r="I906" s="13" t="n">
        <f aca="false">IF(Raw_Data!I906="",DefaultPerf,Raw_Data!I906)</f>
        <v>4</v>
      </c>
      <c r="J906" s="13" t="n">
        <f aca="false">IF(Raw_Data!J906="",DefaultSat,Raw_Data!J906)</f>
        <v>4</v>
      </c>
      <c r="K906" s="15" t="n">
        <f aca="false">Raw_Data!K906</f>
        <v>64000</v>
      </c>
      <c r="L906" s="13" t="str">
        <f aca="false">PROPER(TRIM(Raw_Data!N906))</f>
        <v>No</v>
      </c>
      <c r="M906" s="13" t="n">
        <f aca="false">IF(C906="",0,1)</f>
        <v>1</v>
      </c>
      <c r="N906" s="13" t="str">
        <f aca="false">IF(M906=0,"Active",IF(TRIM(Raw_Data!L906)="","Unknown",PROPER(TRIM(Raw_Data!L906))))</f>
        <v>Voluntary</v>
      </c>
      <c r="O906" s="13" t="str">
        <f aca="false">IF(M906=0,"",IF(TRIM(Raw_Data!M906)="","Not Recorded",TRIM(Raw_Data!M906)))</f>
        <v>Work-Life Balance</v>
      </c>
      <c r="P906" s="16" t="n">
        <f aca="false">ROUND((IF(C906="",AsOfDate,C906)-B906)/365.25,2)</f>
        <v>5.13</v>
      </c>
      <c r="Q906" s="13" t="str">
        <f aca="false">IF(D906="","Unknown",IF(D906&lt;25,"Under 25",IF(D906&lt;35,"25-34",IF(D906&lt;45,"35-44",IF(D906&lt;55,"45-54","55+")))))</f>
        <v>25-34</v>
      </c>
      <c r="R906" s="13" t="str">
        <f aca="false">IF(P906&lt;1,"0-1 yrs",IF(P906&lt;3,"1-3 yrs",IF(P906&lt;5,"3-5 yrs",IF(P906&lt;10,"5-10 yrs","10+ yrs"))))</f>
        <v>5-10 yrs</v>
      </c>
      <c r="S906" s="13" t="str">
        <f aca="false">IF(I906&gt;=4,"High",IF(I906=3,"Medium","Low"))</f>
        <v>High</v>
      </c>
      <c r="T906" s="13" t="n">
        <f aca="false">IF(M906=1,YEAR(C906),"")</f>
        <v>2024</v>
      </c>
      <c r="U906" s="13" t="str">
        <f aca="false">IF(M906=1,YEAR(C906)&amp;"-Q"&amp;ROUNDUP(MONTH(C906)/3,0),"")</f>
        <v>2024-Q3</v>
      </c>
      <c r="V906" s="13" t="n">
        <f aca="false">IF(M906=1,MONTH(C906),"")</f>
        <v>8</v>
      </c>
    </row>
    <row r="907" customFormat="false" ht="15" hidden="false" customHeight="false" outlineLevel="0" collapsed="false">
      <c r="A907" s="13" t="str">
        <f aca="false">TRIM(Raw_Data!A907)</f>
        <v>EMP0906</v>
      </c>
      <c r="B907" s="14" t="n">
        <f aca="false">Raw_Data!B907</f>
        <v>43648</v>
      </c>
      <c r="C907" s="14" t="n">
        <f aca="false">IF(Raw_Data!C907="","",Raw_Data!C907)</f>
        <v>45755</v>
      </c>
      <c r="D907" s="13" t="n">
        <f aca="false">IF(Raw_Data!D907="","",Raw_Data!D907)</f>
        <v>31</v>
      </c>
      <c r="E907" s="13" t="str">
        <f aca="false">IF(UPPER(LEFT(TRIM(Raw_Data!E907),1))="M","Male",IF(UPPER(LEFT(TRIM(Raw_Data!E907),1))="F","Female","Unknown"))</f>
        <v>Male</v>
      </c>
      <c r="F907" s="13" t="str">
        <f aca="false">PROPER(TRIM(SUBSTITUTE(Raw_Data!F907,"'","")))</f>
        <v>Masters</v>
      </c>
      <c r="G907" s="13" t="str">
        <f aca="false">PROPER(TRIM(Raw_Data!G907))</f>
        <v>Sales</v>
      </c>
      <c r="H907" s="13" t="str">
        <f aca="false">PROPER(TRIM(Raw_Data!H907))</f>
        <v>Manager</v>
      </c>
      <c r="I907" s="13" t="n">
        <f aca="false">IF(Raw_Data!I907="",DefaultPerf,Raw_Data!I907)</f>
        <v>3</v>
      </c>
      <c r="J907" s="13" t="n">
        <f aca="false">IF(Raw_Data!J907="",DefaultSat,Raw_Data!J907)</f>
        <v>4</v>
      </c>
      <c r="K907" s="15" t="n">
        <f aca="false">Raw_Data!K907</f>
        <v>202500</v>
      </c>
      <c r="L907" s="13" t="str">
        <f aca="false">PROPER(TRIM(Raw_Data!N907))</f>
        <v>No</v>
      </c>
      <c r="M907" s="13" t="n">
        <f aca="false">IF(C907="",0,1)</f>
        <v>1</v>
      </c>
      <c r="N907" s="13" t="str">
        <f aca="false">IF(M907=0,"Active",IF(TRIM(Raw_Data!L907)="","Unknown",PROPER(TRIM(Raw_Data!L907))))</f>
        <v>Voluntary</v>
      </c>
      <c r="O907" s="13" t="str">
        <f aca="false">IF(M907=0,"",IF(TRIM(Raw_Data!M907)="","Not Recorded",TRIM(Raw_Data!M907)))</f>
        <v>Career Growth</v>
      </c>
      <c r="P907" s="16" t="n">
        <f aca="false">ROUND((IF(C907="",AsOfDate,C907)-B907)/365.25,2)</f>
        <v>5.77</v>
      </c>
      <c r="Q907" s="13" t="str">
        <f aca="false">IF(D907="","Unknown",IF(D907&lt;25,"Under 25",IF(D907&lt;35,"25-34",IF(D907&lt;45,"35-44",IF(D907&lt;55,"45-54","55+")))))</f>
        <v>25-34</v>
      </c>
      <c r="R907" s="13" t="str">
        <f aca="false">IF(P907&lt;1,"0-1 yrs",IF(P907&lt;3,"1-3 yrs",IF(P907&lt;5,"3-5 yrs",IF(P907&lt;10,"5-10 yrs","10+ yrs"))))</f>
        <v>5-10 yrs</v>
      </c>
      <c r="S907" s="13" t="str">
        <f aca="false">IF(I907&gt;=4,"High",IF(I907=3,"Medium","Low"))</f>
        <v>Medium</v>
      </c>
      <c r="T907" s="13" t="n">
        <f aca="false">IF(M907=1,YEAR(C907),"")</f>
        <v>2025</v>
      </c>
      <c r="U907" s="13" t="str">
        <f aca="false">IF(M907=1,YEAR(C907)&amp;"-Q"&amp;ROUNDUP(MONTH(C907)/3,0),"")</f>
        <v>2025-Q2</v>
      </c>
      <c r="V907" s="13" t="n">
        <f aca="false">IF(M907=1,MONTH(C907),"")</f>
        <v>4</v>
      </c>
    </row>
    <row r="908" customFormat="false" ht="15" hidden="false" customHeight="false" outlineLevel="0" collapsed="false">
      <c r="A908" s="13" t="str">
        <f aca="false">TRIM(Raw_Data!A908)</f>
        <v>EMP0907</v>
      </c>
      <c r="B908" s="14" t="n">
        <f aca="false">Raw_Data!B908</f>
        <v>43648</v>
      </c>
      <c r="C908" s="14" t="n">
        <f aca="false">IF(Raw_Data!C908="","",Raw_Data!C908)</f>
        <v>44933</v>
      </c>
      <c r="D908" s="13" t="n">
        <f aca="false">IF(Raw_Data!D908="","",Raw_Data!D908)</f>
        <v>28</v>
      </c>
      <c r="E908" s="13" t="str">
        <f aca="false">IF(UPPER(LEFT(TRIM(Raw_Data!E908),1))="M","Male",IF(UPPER(LEFT(TRIM(Raw_Data!E908),1))="F","Female","Unknown"))</f>
        <v>Male</v>
      </c>
      <c r="F908" s="13" t="str">
        <f aca="false">PROPER(TRIM(SUBSTITUTE(Raw_Data!F908,"'","")))</f>
        <v>Diploma</v>
      </c>
      <c r="G908" s="13" t="str">
        <f aca="false">PROPER(TRIM(Raw_Data!G908))</f>
        <v>Sales</v>
      </c>
      <c r="H908" s="13" t="str">
        <f aca="false">PROPER(TRIM(Raw_Data!H908))</f>
        <v>Specialist</v>
      </c>
      <c r="I908" s="13" t="n">
        <f aca="false">IF(Raw_Data!I908="",DefaultPerf,Raw_Data!I908)</f>
        <v>4</v>
      </c>
      <c r="J908" s="13" t="n">
        <f aca="false">IF(Raw_Data!J908="",DefaultSat,Raw_Data!J908)</f>
        <v>3</v>
      </c>
      <c r="K908" s="15" t="n">
        <f aca="false">Raw_Data!K908</f>
        <v>124000</v>
      </c>
      <c r="L908" s="13" t="str">
        <f aca="false">PROPER(TRIM(Raw_Data!N908))</f>
        <v>No</v>
      </c>
      <c r="M908" s="13" t="n">
        <f aca="false">IF(C908="",0,1)</f>
        <v>1</v>
      </c>
      <c r="N908" s="13" t="str">
        <f aca="false">IF(M908=0,"Active",IF(TRIM(Raw_Data!L908)="","Unknown",PROPER(TRIM(Raw_Data!L908))))</f>
        <v>Voluntary</v>
      </c>
      <c r="O908" s="13" t="str">
        <f aca="false">IF(M908=0,"",IF(TRIM(Raw_Data!M908)="","Not Recorded",TRIM(Raw_Data!M908)))</f>
        <v>Not Recorded</v>
      </c>
      <c r="P908" s="16" t="n">
        <f aca="false">ROUND((IF(C908="",AsOfDate,C908)-B908)/365.25,2)</f>
        <v>3.52</v>
      </c>
      <c r="Q908" s="13" t="str">
        <f aca="false">IF(D908="","Unknown",IF(D908&lt;25,"Under 25",IF(D908&lt;35,"25-34",IF(D908&lt;45,"35-44",IF(D908&lt;55,"45-54","55+")))))</f>
        <v>25-34</v>
      </c>
      <c r="R908" s="13" t="str">
        <f aca="false">IF(P908&lt;1,"0-1 yrs",IF(P908&lt;3,"1-3 yrs",IF(P908&lt;5,"3-5 yrs",IF(P908&lt;10,"5-10 yrs","10+ yrs"))))</f>
        <v>3-5 yrs</v>
      </c>
      <c r="S908" s="13" t="str">
        <f aca="false">IF(I908&gt;=4,"High",IF(I908=3,"Medium","Low"))</f>
        <v>High</v>
      </c>
      <c r="T908" s="13" t="n">
        <f aca="false">IF(M908=1,YEAR(C908),"")</f>
        <v>2023</v>
      </c>
      <c r="U908" s="13" t="str">
        <f aca="false">IF(M908=1,YEAR(C908)&amp;"-Q"&amp;ROUNDUP(MONTH(C908)/3,0),"")</f>
        <v>2023-Q1</v>
      </c>
      <c r="V908" s="13" t="n">
        <f aca="false">IF(M908=1,MONTH(C908),"")</f>
        <v>1</v>
      </c>
    </row>
    <row r="909" customFormat="false" ht="15" hidden="false" customHeight="false" outlineLevel="0" collapsed="false">
      <c r="A909" s="13" t="str">
        <f aca="false">TRIM(Raw_Data!A909)</f>
        <v>EMP0908</v>
      </c>
      <c r="B909" s="14" t="n">
        <f aca="false">Raw_Data!B909</f>
        <v>43651</v>
      </c>
      <c r="C909" s="14" t="n">
        <f aca="false">IF(Raw_Data!C909="","",Raw_Data!C909)</f>
        <v>45258</v>
      </c>
      <c r="D909" s="13" t="n">
        <f aca="false">IF(Raw_Data!D909="","",Raw_Data!D909)</f>
        <v>42</v>
      </c>
      <c r="E909" s="13" t="str">
        <f aca="false">IF(UPPER(LEFT(TRIM(Raw_Data!E909),1))="M","Male",IF(UPPER(LEFT(TRIM(Raw_Data!E909),1))="F","Female","Unknown"))</f>
        <v>Male</v>
      </c>
      <c r="F909" s="13" t="str">
        <f aca="false">PROPER(TRIM(SUBSTITUTE(Raw_Data!F909,"'","")))</f>
        <v>Masters</v>
      </c>
      <c r="G909" s="13" t="str">
        <f aca="false">PROPER(TRIM(Raw_Data!G909))</f>
        <v>Finance</v>
      </c>
      <c r="H909" s="13" t="str">
        <f aca="false">PROPER(TRIM(Raw_Data!H909))</f>
        <v>Team Lead</v>
      </c>
      <c r="I909" s="13" t="n">
        <f aca="false">IF(Raw_Data!I909="",DefaultPerf,Raw_Data!I909)</f>
        <v>3</v>
      </c>
      <c r="J909" s="13" t="n">
        <f aca="false">IF(Raw_Data!J909="",DefaultSat,Raw_Data!J909)</f>
        <v>3</v>
      </c>
      <c r="K909" s="15" t="n">
        <f aca="false">Raw_Data!K909</f>
        <v>132000</v>
      </c>
      <c r="L909" s="13" t="str">
        <f aca="false">PROPER(TRIM(Raw_Data!N909))</f>
        <v>No</v>
      </c>
      <c r="M909" s="13" t="n">
        <f aca="false">IF(C909="",0,1)</f>
        <v>1</v>
      </c>
      <c r="N909" s="13" t="str">
        <f aca="false">IF(M909=0,"Active",IF(TRIM(Raw_Data!L909)="","Unknown",PROPER(TRIM(Raw_Data!L909))))</f>
        <v>Voluntary</v>
      </c>
      <c r="O909" s="13" t="str">
        <f aca="false">IF(M909=0,"",IF(TRIM(Raw_Data!M909)="","Not Recorded",TRIM(Raw_Data!M909)))</f>
        <v>Better Compensation</v>
      </c>
      <c r="P909" s="16" t="n">
        <f aca="false">ROUND((IF(C909="",AsOfDate,C909)-B909)/365.25,2)</f>
        <v>4.4</v>
      </c>
      <c r="Q909" s="13" t="str">
        <f aca="false">IF(D909="","Unknown",IF(D909&lt;25,"Under 25",IF(D909&lt;35,"25-34",IF(D909&lt;45,"35-44",IF(D909&lt;55,"45-54","55+")))))</f>
        <v>35-44</v>
      </c>
      <c r="R909" s="13" t="str">
        <f aca="false">IF(P909&lt;1,"0-1 yrs",IF(P909&lt;3,"1-3 yrs",IF(P909&lt;5,"3-5 yrs",IF(P909&lt;10,"5-10 yrs","10+ yrs"))))</f>
        <v>3-5 yrs</v>
      </c>
      <c r="S909" s="13" t="str">
        <f aca="false">IF(I909&gt;=4,"High",IF(I909=3,"Medium","Low"))</f>
        <v>Medium</v>
      </c>
      <c r="T909" s="13" t="n">
        <f aca="false">IF(M909=1,YEAR(C909),"")</f>
        <v>2023</v>
      </c>
      <c r="U909" s="13" t="str">
        <f aca="false">IF(M909=1,YEAR(C909)&amp;"-Q"&amp;ROUNDUP(MONTH(C909)/3,0),"")</f>
        <v>2023-Q4</v>
      </c>
      <c r="V909" s="13" t="n">
        <f aca="false">IF(M909=1,MONTH(C909),"")</f>
        <v>11</v>
      </c>
    </row>
    <row r="910" customFormat="false" ht="15" hidden="false" customHeight="false" outlineLevel="0" collapsed="false">
      <c r="A910" s="13" t="str">
        <f aca="false">TRIM(Raw_Data!A910)</f>
        <v>EMP0909</v>
      </c>
      <c r="B910" s="14" t="n">
        <f aca="false">Raw_Data!B910</f>
        <v>43651</v>
      </c>
      <c r="C910" s="14" t="str">
        <f aca="false">IF(Raw_Data!C910="","",Raw_Data!C910)</f>
        <v/>
      </c>
      <c r="D910" s="13" t="n">
        <f aca="false">IF(Raw_Data!D910="","",Raw_Data!D910)</f>
        <v>34</v>
      </c>
      <c r="E910" s="13" t="str">
        <f aca="false">IF(UPPER(LEFT(TRIM(Raw_Data!E910),1))="M","Male",IF(UPPER(LEFT(TRIM(Raw_Data!E910),1))="F","Female","Unknown"))</f>
        <v>Female</v>
      </c>
      <c r="F910" s="13" t="str">
        <f aca="false">PROPER(TRIM(SUBSTITUTE(Raw_Data!F910,"'","")))</f>
        <v>Masters</v>
      </c>
      <c r="G910" s="13" t="str">
        <f aca="false">PROPER(TRIM(Raw_Data!G910))</f>
        <v>Engineering</v>
      </c>
      <c r="H910" s="13" t="str">
        <f aca="false">PROPER(TRIM(Raw_Data!H910))</f>
        <v>Senior Analyst</v>
      </c>
      <c r="I910" s="13" t="n">
        <f aca="false">IF(Raw_Data!I910="",DefaultPerf,Raw_Data!I910)</f>
        <v>5</v>
      </c>
      <c r="J910" s="13" t="n">
        <f aca="false">IF(Raw_Data!J910="",DefaultSat,Raw_Data!J910)</f>
        <v>3</v>
      </c>
      <c r="K910" s="15" t="n">
        <f aca="false">Raw_Data!K910</f>
        <v>113500</v>
      </c>
      <c r="L910" s="13" t="str">
        <f aca="false">PROPER(TRIM(Raw_Data!N910))</f>
        <v>No</v>
      </c>
      <c r="M910" s="13" t="n">
        <f aca="false">IF(C910="",0,1)</f>
        <v>0</v>
      </c>
      <c r="N910" s="13" t="str">
        <f aca="false">IF(M910=0,"Active",IF(TRIM(Raw_Data!L910)="","Unknown",PROPER(TRIM(Raw_Data!L910))))</f>
        <v>Active</v>
      </c>
      <c r="O910" s="13" t="str">
        <f aca="false">IF(M910=0,"",IF(TRIM(Raw_Data!M910)="","Not Recorded",TRIM(Raw_Data!M910)))</f>
        <v/>
      </c>
      <c r="P910" s="16" t="n">
        <f aca="false">ROUND((IF(C910="",AsOfDate,C910)-B910)/365.25,2)</f>
        <v>6.49</v>
      </c>
      <c r="Q910" s="13" t="str">
        <f aca="false">IF(D910="","Unknown",IF(D910&lt;25,"Under 25",IF(D910&lt;35,"25-34",IF(D910&lt;45,"35-44",IF(D910&lt;55,"45-54","55+")))))</f>
        <v>25-34</v>
      </c>
      <c r="R910" s="13" t="str">
        <f aca="false">IF(P910&lt;1,"0-1 yrs",IF(P910&lt;3,"1-3 yrs",IF(P910&lt;5,"3-5 yrs",IF(P910&lt;10,"5-10 yrs","10+ yrs"))))</f>
        <v>5-10 yrs</v>
      </c>
      <c r="S910" s="13" t="str">
        <f aca="false">IF(I910&gt;=4,"High",IF(I910=3,"Medium","Low"))</f>
        <v>High</v>
      </c>
      <c r="T910" s="13" t="str">
        <f aca="false">IF(M910=1,YEAR(C910),"")</f>
        <v/>
      </c>
      <c r="U910" s="13" t="str">
        <f aca="false">IF(M910=1,YEAR(C910)&amp;"-Q"&amp;ROUNDUP(MONTH(C910)/3,0),"")</f>
        <v/>
      </c>
      <c r="V910" s="13" t="str">
        <f aca="false">IF(M910=1,MONTH(C910),"")</f>
        <v/>
      </c>
    </row>
    <row r="911" customFormat="false" ht="15" hidden="false" customHeight="false" outlineLevel="0" collapsed="false">
      <c r="A911" s="13" t="str">
        <f aca="false">TRIM(Raw_Data!A911)</f>
        <v>EMP0910</v>
      </c>
      <c r="B911" s="14" t="n">
        <f aca="false">Raw_Data!B911</f>
        <v>43652</v>
      </c>
      <c r="C911" s="14" t="str">
        <f aca="false">IF(Raw_Data!C911="","",Raw_Data!C911)</f>
        <v/>
      </c>
      <c r="D911" s="13" t="n">
        <f aca="false">IF(Raw_Data!D911="","",Raw_Data!D911)</f>
        <v>33</v>
      </c>
      <c r="E911" s="13" t="str">
        <f aca="false">IF(UPPER(LEFT(TRIM(Raw_Data!E911),1))="M","Male",IF(UPPER(LEFT(TRIM(Raw_Data!E911),1))="F","Female","Unknown"))</f>
        <v>Male</v>
      </c>
      <c r="F911" s="13" t="str">
        <f aca="false">PROPER(TRIM(SUBSTITUTE(Raw_Data!F911,"'","")))</f>
        <v>Diploma</v>
      </c>
      <c r="G911" s="13" t="str">
        <f aca="false">PROPER(TRIM(Raw_Data!G911))</f>
        <v>Finance</v>
      </c>
      <c r="H911" s="13" t="str">
        <f aca="false">PROPER(TRIM(Raw_Data!H911))</f>
        <v>Manager</v>
      </c>
      <c r="I911" s="13" t="n">
        <f aca="false">IF(Raw_Data!I911="",DefaultPerf,Raw_Data!I911)</f>
        <v>4</v>
      </c>
      <c r="J911" s="13" t="n">
        <f aca="false">IF(Raw_Data!J911="",DefaultSat,Raw_Data!J911)</f>
        <v>3</v>
      </c>
      <c r="K911" s="15" t="n">
        <f aca="false">Raw_Data!K911</f>
        <v>192500</v>
      </c>
      <c r="L911" s="13" t="str">
        <f aca="false">PROPER(TRIM(Raw_Data!N911))</f>
        <v>No</v>
      </c>
      <c r="M911" s="13" t="n">
        <f aca="false">IF(C911="",0,1)</f>
        <v>0</v>
      </c>
      <c r="N911" s="13" t="str">
        <f aca="false">IF(M911=0,"Active",IF(TRIM(Raw_Data!L911)="","Unknown",PROPER(TRIM(Raw_Data!L911))))</f>
        <v>Active</v>
      </c>
      <c r="O911" s="13" t="str">
        <f aca="false">IF(M911=0,"",IF(TRIM(Raw_Data!M911)="","Not Recorded",TRIM(Raw_Data!M911)))</f>
        <v/>
      </c>
      <c r="P911" s="16" t="n">
        <f aca="false">ROUND((IF(C911="",AsOfDate,C911)-B911)/365.25,2)</f>
        <v>6.49</v>
      </c>
      <c r="Q911" s="13" t="str">
        <f aca="false">IF(D911="","Unknown",IF(D911&lt;25,"Under 25",IF(D911&lt;35,"25-34",IF(D911&lt;45,"35-44",IF(D911&lt;55,"45-54","55+")))))</f>
        <v>25-34</v>
      </c>
      <c r="R911" s="13" t="str">
        <f aca="false">IF(P911&lt;1,"0-1 yrs",IF(P911&lt;3,"1-3 yrs",IF(P911&lt;5,"3-5 yrs",IF(P911&lt;10,"5-10 yrs","10+ yrs"))))</f>
        <v>5-10 yrs</v>
      </c>
      <c r="S911" s="13" t="str">
        <f aca="false">IF(I911&gt;=4,"High",IF(I911=3,"Medium","Low"))</f>
        <v>High</v>
      </c>
      <c r="T911" s="13" t="str">
        <f aca="false">IF(M911=1,YEAR(C911),"")</f>
        <v/>
      </c>
      <c r="U911" s="13" t="str">
        <f aca="false">IF(M911=1,YEAR(C911)&amp;"-Q"&amp;ROUNDUP(MONTH(C911)/3,0),"")</f>
        <v/>
      </c>
      <c r="V911" s="13" t="str">
        <f aca="false">IF(M911=1,MONTH(C911),"")</f>
        <v/>
      </c>
    </row>
    <row r="912" customFormat="false" ht="15" hidden="false" customHeight="false" outlineLevel="0" collapsed="false">
      <c r="A912" s="13" t="str">
        <f aca="false">TRIM(Raw_Data!A912)</f>
        <v>EMP0911</v>
      </c>
      <c r="B912" s="14" t="n">
        <f aca="false">Raw_Data!B912</f>
        <v>43657</v>
      </c>
      <c r="C912" s="14" t="n">
        <f aca="false">IF(Raw_Data!C912="","",Raw_Data!C912)</f>
        <v>44978</v>
      </c>
      <c r="D912" s="13" t="n">
        <f aca="false">IF(Raw_Data!D912="","",Raw_Data!D912)</f>
        <v>33</v>
      </c>
      <c r="E912" s="13" t="str">
        <f aca="false">IF(UPPER(LEFT(TRIM(Raw_Data!E912),1))="M","Male",IF(UPPER(LEFT(TRIM(Raw_Data!E912),1))="F","Female","Unknown"))</f>
        <v>Female</v>
      </c>
      <c r="F912" s="13" t="str">
        <f aca="false">PROPER(TRIM(SUBSTITUTE(Raw_Data!F912,"'","")))</f>
        <v>Bachelors</v>
      </c>
      <c r="G912" s="13" t="str">
        <f aca="false">PROPER(TRIM(Raw_Data!G912))</f>
        <v>Customer Support</v>
      </c>
      <c r="H912" s="13" t="str">
        <f aca="false">PROPER(TRIM(Raw_Data!H912))</f>
        <v>Specialist</v>
      </c>
      <c r="I912" s="13" t="n">
        <f aca="false">IF(Raw_Data!I912="",DefaultPerf,Raw_Data!I912)</f>
        <v>3</v>
      </c>
      <c r="J912" s="13" t="n">
        <f aca="false">IF(Raw_Data!J912="",DefaultSat,Raw_Data!J912)</f>
        <v>1</v>
      </c>
      <c r="K912" s="15" t="n">
        <f aca="false">Raw_Data!K912</f>
        <v>101500</v>
      </c>
      <c r="L912" s="13" t="str">
        <f aca="false">PROPER(TRIM(Raw_Data!N912))</f>
        <v>Yes</v>
      </c>
      <c r="M912" s="13" t="n">
        <f aca="false">IF(C912="",0,1)</f>
        <v>1</v>
      </c>
      <c r="N912" s="13" t="str">
        <f aca="false">IF(M912=0,"Active",IF(TRIM(Raw_Data!L912)="","Unknown",PROPER(TRIM(Raw_Data!L912))))</f>
        <v>Voluntary</v>
      </c>
      <c r="O912" s="13" t="str">
        <f aca="false">IF(M912=0,"",IF(TRIM(Raw_Data!M912)="","Not Recorded",TRIM(Raw_Data!M912)))</f>
        <v>Work-Life Balance</v>
      </c>
      <c r="P912" s="16" t="n">
        <f aca="false">ROUND((IF(C912="",AsOfDate,C912)-B912)/365.25,2)</f>
        <v>3.62</v>
      </c>
      <c r="Q912" s="13" t="str">
        <f aca="false">IF(D912="","Unknown",IF(D912&lt;25,"Under 25",IF(D912&lt;35,"25-34",IF(D912&lt;45,"35-44",IF(D912&lt;55,"45-54","55+")))))</f>
        <v>25-34</v>
      </c>
      <c r="R912" s="13" t="str">
        <f aca="false">IF(P912&lt;1,"0-1 yrs",IF(P912&lt;3,"1-3 yrs",IF(P912&lt;5,"3-5 yrs",IF(P912&lt;10,"5-10 yrs","10+ yrs"))))</f>
        <v>3-5 yrs</v>
      </c>
      <c r="S912" s="13" t="str">
        <f aca="false">IF(I912&gt;=4,"High",IF(I912=3,"Medium","Low"))</f>
        <v>Medium</v>
      </c>
      <c r="T912" s="13" t="n">
        <f aca="false">IF(M912=1,YEAR(C912),"")</f>
        <v>2023</v>
      </c>
      <c r="U912" s="13" t="str">
        <f aca="false">IF(M912=1,YEAR(C912)&amp;"-Q"&amp;ROUNDUP(MONTH(C912)/3,0),"")</f>
        <v>2023-Q1</v>
      </c>
      <c r="V912" s="13" t="n">
        <f aca="false">IF(M912=1,MONTH(C912),"")</f>
        <v>2</v>
      </c>
    </row>
    <row r="913" customFormat="false" ht="15" hidden="false" customHeight="false" outlineLevel="0" collapsed="false">
      <c r="A913" s="13" t="str">
        <f aca="false">TRIM(Raw_Data!A913)</f>
        <v>EMP0912</v>
      </c>
      <c r="B913" s="14" t="n">
        <f aca="false">Raw_Data!B913</f>
        <v>43657</v>
      </c>
      <c r="C913" s="14" t="n">
        <f aca="false">IF(Raw_Data!C913="","",Raw_Data!C913)</f>
        <v>44692</v>
      </c>
      <c r="D913" s="13" t="n">
        <f aca="false">IF(Raw_Data!D913="","",Raw_Data!D913)</f>
        <v>30</v>
      </c>
      <c r="E913" s="13" t="str">
        <f aca="false">IF(UPPER(LEFT(TRIM(Raw_Data!E913),1))="M","Male",IF(UPPER(LEFT(TRIM(Raw_Data!E913),1))="F","Female","Unknown"))</f>
        <v>Male</v>
      </c>
      <c r="F913" s="13" t="str">
        <f aca="false">PROPER(TRIM(SUBSTITUTE(Raw_Data!F913,"'","")))</f>
        <v>Bachelors</v>
      </c>
      <c r="G913" s="13" t="str">
        <f aca="false">PROPER(TRIM(Raw_Data!G913))</f>
        <v>Engineering</v>
      </c>
      <c r="H913" s="13" t="str">
        <f aca="false">PROPER(TRIM(Raw_Data!H913))</f>
        <v>Analyst</v>
      </c>
      <c r="I913" s="13" t="n">
        <f aca="false">IF(Raw_Data!I913="",DefaultPerf,Raw_Data!I913)</f>
        <v>5</v>
      </c>
      <c r="J913" s="13" t="n">
        <f aca="false">IF(Raw_Data!J913="",DefaultSat,Raw_Data!J913)</f>
        <v>3</v>
      </c>
      <c r="K913" s="15" t="n">
        <f aca="false">Raw_Data!K913</f>
        <v>77500</v>
      </c>
      <c r="L913" s="13" t="str">
        <f aca="false">PROPER(TRIM(Raw_Data!N913))</f>
        <v>Yes</v>
      </c>
      <c r="M913" s="13" t="n">
        <f aca="false">IF(C913="",0,1)</f>
        <v>1</v>
      </c>
      <c r="N913" s="13" t="str">
        <f aca="false">IF(M913=0,"Active",IF(TRIM(Raw_Data!L913)="","Unknown",PROPER(TRIM(Raw_Data!L913))))</f>
        <v>Voluntary</v>
      </c>
      <c r="O913" s="13" t="str">
        <f aca="false">IF(M913=0,"",IF(TRIM(Raw_Data!M913)="","Not Recorded",TRIM(Raw_Data!M913)))</f>
        <v>Relocation</v>
      </c>
      <c r="P913" s="16" t="n">
        <f aca="false">ROUND((IF(C913="",AsOfDate,C913)-B913)/365.25,2)</f>
        <v>2.83</v>
      </c>
      <c r="Q913" s="13" t="str">
        <f aca="false">IF(D913="","Unknown",IF(D913&lt;25,"Under 25",IF(D913&lt;35,"25-34",IF(D913&lt;45,"35-44",IF(D913&lt;55,"45-54","55+")))))</f>
        <v>25-34</v>
      </c>
      <c r="R913" s="13" t="str">
        <f aca="false">IF(P913&lt;1,"0-1 yrs",IF(P913&lt;3,"1-3 yrs",IF(P913&lt;5,"3-5 yrs",IF(P913&lt;10,"5-10 yrs","10+ yrs"))))</f>
        <v>1-3 yrs</v>
      </c>
      <c r="S913" s="13" t="str">
        <f aca="false">IF(I913&gt;=4,"High",IF(I913=3,"Medium","Low"))</f>
        <v>High</v>
      </c>
      <c r="T913" s="13" t="n">
        <f aca="false">IF(M913=1,YEAR(C913),"")</f>
        <v>2022</v>
      </c>
      <c r="U913" s="13" t="str">
        <f aca="false">IF(M913=1,YEAR(C913)&amp;"-Q"&amp;ROUNDUP(MONTH(C913)/3,0),"")</f>
        <v>2022-Q2</v>
      </c>
      <c r="V913" s="13" t="n">
        <f aca="false">IF(M913=1,MONTH(C913),"")</f>
        <v>5</v>
      </c>
    </row>
    <row r="914" customFormat="false" ht="15" hidden="false" customHeight="false" outlineLevel="0" collapsed="false">
      <c r="A914" s="13" t="str">
        <f aca="false">TRIM(Raw_Data!A914)</f>
        <v>EMP0913</v>
      </c>
      <c r="B914" s="14" t="n">
        <f aca="false">Raw_Data!B914</f>
        <v>43658</v>
      </c>
      <c r="C914" s="14" t="n">
        <f aca="false">IF(Raw_Data!C914="","",Raw_Data!C914)</f>
        <v>44622</v>
      </c>
      <c r="D914" s="13" t="n">
        <f aca="false">IF(Raw_Data!D914="","",Raw_Data!D914)</f>
        <v>36</v>
      </c>
      <c r="E914" s="13" t="str">
        <f aca="false">IF(UPPER(LEFT(TRIM(Raw_Data!E914),1))="M","Male",IF(UPPER(LEFT(TRIM(Raw_Data!E914),1))="F","Female","Unknown"))</f>
        <v>Female</v>
      </c>
      <c r="F914" s="13" t="str">
        <f aca="false">PROPER(TRIM(SUBSTITUTE(Raw_Data!F914,"'","")))</f>
        <v>Diploma</v>
      </c>
      <c r="G914" s="13" t="str">
        <f aca="false">PROPER(TRIM(Raw_Data!G914))</f>
        <v>Customer Support</v>
      </c>
      <c r="H914" s="13" t="str">
        <f aca="false">PROPER(TRIM(Raw_Data!H914))</f>
        <v>Associate</v>
      </c>
      <c r="I914" s="13" t="n">
        <f aca="false">IF(Raw_Data!I914="",DefaultPerf,Raw_Data!I914)</f>
        <v>2</v>
      </c>
      <c r="J914" s="13" t="n">
        <f aca="false">IF(Raw_Data!J914="",DefaultSat,Raw_Data!J914)</f>
        <v>2</v>
      </c>
      <c r="K914" s="15" t="n">
        <f aca="false">Raw_Data!K914</f>
        <v>37500</v>
      </c>
      <c r="L914" s="13" t="str">
        <f aca="false">PROPER(TRIM(Raw_Data!N914))</f>
        <v>Yes</v>
      </c>
      <c r="M914" s="13" t="n">
        <f aca="false">IF(C914="",0,1)</f>
        <v>1</v>
      </c>
      <c r="N914" s="13" t="str">
        <f aca="false">IF(M914=0,"Active",IF(TRIM(Raw_Data!L914)="","Unknown",PROPER(TRIM(Raw_Data!L914))))</f>
        <v>Voluntary</v>
      </c>
      <c r="O914" s="13" t="str">
        <f aca="false">IF(M914=0,"",IF(TRIM(Raw_Data!M914)="","Not Recorded",TRIM(Raw_Data!M914)))</f>
        <v>Work-Life Balance</v>
      </c>
      <c r="P914" s="16" t="n">
        <f aca="false">ROUND((IF(C914="",AsOfDate,C914)-B914)/365.25,2)</f>
        <v>2.64</v>
      </c>
      <c r="Q914" s="13" t="str">
        <f aca="false">IF(D914="","Unknown",IF(D914&lt;25,"Under 25",IF(D914&lt;35,"25-34",IF(D914&lt;45,"35-44",IF(D914&lt;55,"45-54","55+")))))</f>
        <v>35-44</v>
      </c>
      <c r="R914" s="13" t="str">
        <f aca="false">IF(P914&lt;1,"0-1 yrs",IF(P914&lt;3,"1-3 yrs",IF(P914&lt;5,"3-5 yrs",IF(P914&lt;10,"5-10 yrs","10+ yrs"))))</f>
        <v>1-3 yrs</v>
      </c>
      <c r="S914" s="13" t="str">
        <f aca="false">IF(I914&gt;=4,"High",IF(I914=3,"Medium","Low"))</f>
        <v>Low</v>
      </c>
      <c r="T914" s="13" t="n">
        <f aca="false">IF(M914=1,YEAR(C914),"")</f>
        <v>2022</v>
      </c>
      <c r="U914" s="13" t="str">
        <f aca="false">IF(M914=1,YEAR(C914)&amp;"-Q"&amp;ROUNDUP(MONTH(C914)/3,0),"")</f>
        <v>2022-Q1</v>
      </c>
      <c r="V914" s="13" t="n">
        <f aca="false">IF(M914=1,MONTH(C914),"")</f>
        <v>3</v>
      </c>
    </row>
    <row r="915" customFormat="false" ht="15" hidden="false" customHeight="false" outlineLevel="0" collapsed="false">
      <c r="A915" s="13" t="str">
        <f aca="false">TRIM(Raw_Data!A915)</f>
        <v>EMP0914</v>
      </c>
      <c r="B915" s="14" t="n">
        <f aca="false">Raw_Data!B915</f>
        <v>43665</v>
      </c>
      <c r="C915" s="14" t="n">
        <f aca="false">IF(Raw_Data!C915="","",Raw_Data!C915)</f>
        <v>44568</v>
      </c>
      <c r="D915" s="13" t="n">
        <f aca="false">IF(Raw_Data!D915="","",Raw_Data!D915)</f>
        <v>28</v>
      </c>
      <c r="E915" s="13" t="str">
        <f aca="false">IF(UPPER(LEFT(TRIM(Raw_Data!E915),1))="M","Male",IF(UPPER(LEFT(TRIM(Raw_Data!E915),1))="F","Female","Unknown"))</f>
        <v>Male</v>
      </c>
      <c r="F915" s="13" t="str">
        <f aca="false">PROPER(TRIM(SUBSTITUTE(Raw_Data!F915,"'","")))</f>
        <v>Diploma</v>
      </c>
      <c r="G915" s="13" t="str">
        <f aca="false">PROPER(TRIM(Raw_Data!G915))</f>
        <v>Sales</v>
      </c>
      <c r="H915" s="13" t="str">
        <f aca="false">PROPER(TRIM(Raw_Data!H915))</f>
        <v>Associate</v>
      </c>
      <c r="I915" s="13" t="n">
        <f aca="false">IF(Raw_Data!I915="",DefaultPerf,Raw_Data!I915)</f>
        <v>4</v>
      </c>
      <c r="J915" s="13" t="n">
        <f aca="false">IF(Raw_Data!J915="",DefaultSat,Raw_Data!J915)</f>
        <v>2</v>
      </c>
      <c r="K915" s="15" t="n">
        <f aca="false">Raw_Data!K915</f>
        <v>40000</v>
      </c>
      <c r="L915" s="13" t="str">
        <f aca="false">PROPER(TRIM(Raw_Data!N915))</f>
        <v>Yes</v>
      </c>
      <c r="M915" s="13" t="n">
        <f aca="false">IF(C915="",0,1)</f>
        <v>1</v>
      </c>
      <c r="N915" s="13" t="str">
        <f aca="false">IF(M915=0,"Active",IF(TRIM(Raw_Data!L915)="","Unknown",PROPER(TRIM(Raw_Data!L915))))</f>
        <v>Voluntary</v>
      </c>
      <c r="O915" s="13" t="str">
        <f aca="false">IF(M915=0,"",IF(TRIM(Raw_Data!M915)="","Not Recorded",TRIM(Raw_Data!M915)))</f>
        <v>Job Dissatisfaction</v>
      </c>
      <c r="P915" s="16" t="n">
        <f aca="false">ROUND((IF(C915="",AsOfDate,C915)-B915)/365.25,2)</f>
        <v>2.47</v>
      </c>
      <c r="Q915" s="13" t="str">
        <f aca="false">IF(D915="","Unknown",IF(D915&lt;25,"Under 25",IF(D915&lt;35,"25-34",IF(D915&lt;45,"35-44",IF(D915&lt;55,"45-54","55+")))))</f>
        <v>25-34</v>
      </c>
      <c r="R915" s="13" t="str">
        <f aca="false">IF(P915&lt;1,"0-1 yrs",IF(P915&lt;3,"1-3 yrs",IF(P915&lt;5,"3-5 yrs",IF(P915&lt;10,"5-10 yrs","10+ yrs"))))</f>
        <v>1-3 yrs</v>
      </c>
      <c r="S915" s="13" t="str">
        <f aca="false">IF(I915&gt;=4,"High",IF(I915=3,"Medium","Low"))</f>
        <v>High</v>
      </c>
      <c r="T915" s="13" t="n">
        <f aca="false">IF(M915=1,YEAR(C915),"")</f>
        <v>2022</v>
      </c>
      <c r="U915" s="13" t="str">
        <f aca="false">IF(M915=1,YEAR(C915)&amp;"-Q"&amp;ROUNDUP(MONTH(C915)/3,0),"")</f>
        <v>2022-Q1</v>
      </c>
      <c r="V915" s="13" t="n">
        <f aca="false">IF(M915=1,MONTH(C915),"")</f>
        <v>1</v>
      </c>
    </row>
    <row r="916" customFormat="false" ht="15" hidden="false" customHeight="false" outlineLevel="0" collapsed="false">
      <c r="A916" s="13" t="str">
        <f aca="false">TRIM(Raw_Data!A916)</f>
        <v>EMP0915</v>
      </c>
      <c r="B916" s="14" t="n">
        <f aca="false">Raw_Data!B916</f>
        <v>43667</v>
      </c>
      <c r="C916" s="14" t="n">
        <f aca="false">IF(Raw_Data!C916="","",Raw_Data!C916)</f>
        <v>45190</v>
      </c>
      <c r="D916" s="13" t="n">
        <f aca="false">IF(Raw_Data!D916="","",Raw_Data!D916)</f>
        <v>27</v>
      </c>
      <c r="E916" s="13" t="str">
        <f aca="false">IF(UPPER(LEFT(TRIM(Raw_Data!E916),1))="M","Male",IF(UPPER(LEFT(TRIM(Raw_Data!E916),1))="F","Female","Unknown"))</f>
        <v>Female</v>
      </c>
      <c r="F916" s="13" t="str">
        <f aca="false">PROPER(TRIM(SUBSTITUTE(Raw_Data!F916,"'","")))</f>
        <v>Diploma</v>
      </c>
      <c r="G916" s="13" t="str">
        <f aca="false">PROPER(TRIM(Raw_Data!G916))</f>
        <v>Sales</v>
      </c>
      <c r="H916" s="13" t="str">
        <f aca="false">PROPER(TRIM(Raw_Data!H916))</f>
        <v>Team Lead</v>
      </c>
      <c r="I916" s="13" t="n">
        <f aca="false">IF(Raw_Data!I916="",DefaultPerf,Raw_Data!I916)</f>
        <v>3</v>
      </c>
      <c r="J916" s="13" t="n">
        <f aca="false">IF(Raw_Data!J916="",DefaultSat,Raw_Data!J916)</f>
        <v>1</v>
      </c>
      <c r="K916" s="15" t="n">
        <f aca="false">Raw_Data!K916</f>
        <v>152500</v>
      </c>
      <c r="L916" s="13" t="str">
        <f aca="false">PROPER(TRIM(Raw_Data!N916))</f>
        <v>Yes</v>
      </c>
      <c r="M916" s="13" t="n">
        <f aca="false">IF(C916="",0,1)</f>
        <v>1</v>
      </c>
      <c r="N916" s="13" t="str">
        <f aca="false">IF(M916=0,"Active",IF(TRIM(Raw_Data!L916)="","Unknown",PROPER(TRIM(Raw_Data!L916))))</f>
        <v>Involuntary</v>
      </c>
      <c r="O916" s="13" t="str">
        <f aca="false">IF(M916=0,"",IF(TRIM(Raw_Data!M916)="","Not Recorded",TRIM(Raw_Data!M916)))</f>
        <v>Restructuring / Layoff</v>
      </c>
      <c r="P916" s="16" t="n">
        <f aca="false">ROUND((IF(C916="",AsOfDate,C916)-B916)/365.25,2)</f>
        <v>4.17</v>
      </c>
      <c r="Q916" s="13" t="str">
        <f aca="false">IF(D916="","Unknown",IF(D916&lt;25,"Under 25",IF(D916&lt;35,"25-34",IF(D916&lt;45,"35-44",IF(D916&lt;55,"45-54","55+")))))</f>
        <v>25-34</v>
      </c>
      <c r="R916" s="13" t="str">
        <f aca="false">IF(P916&lt;1,"0-1 yrs",IF(P916&lt;3,"1-3 yrs",IF(P916&lt;5,"3-5 yrs",IF(P916&lt;10,"5-10 yrs","10+ yrs"))))</f>
        <v>3-5 yrs</v>
      </c>
      <c r="S916" s="13" t="str">
        <f aca="false">IF(I916&gt;=4,"High",IF(I916=3,"Medium","Low"))</f>
        <v>Medium</v>
      </c>
      <c r="T916" s="13" t="n">
        <f aca="false">IF(M916=1,YEAR(C916),"")</f>
        <v>2023</v>
      </c>
      <c r="U916" s="13" t="str">
        <f aca="false">IF(M916=1,YEAR(C916)&amp;"-Q"&amp;ROUNDUP(MONTH(C916)/3,0),"")</f>
        <v>2023-Q3</v>
      </c>
      <c r="V916" s="13" t="n">
        <f aca="false">IF(M916=1,MONTH(C916),"")</f>
        <v>9</v>
      </c>
    </row>
    <row r="917" customFormat="false" ht="15" hidden="false" customHeight="false" outlineLevel="0" collapsed="false">
      <c r="A917" s="13" t="str">
        <f aca="false">TRIM(Raw_Data!A917)</f>
        <v>EMP0916</v>
      </c>
      <c r="B917" s="14" t="n">
        <f aca="false">Raw_Data!B917</f>
        <v>43667</v>
      </c>
      <c r="C917" s="14" t="n">
        <f aca="false">IF(Raw_Data!C917="","",Raw_Data!C917)</f>
        <v>45286</v>
      </c>
      <c r="D917" s="13" t="n">
        <f aca="false">IF(Raw_Data!D917="","",Raw_Data!D917)</f>
        <v>36</v>
      </c>
      <c r="E917" s="13" t="str">
        <f aca="false">IF(UPPER(LEFT(TRIM(Raw_Data!E917),1))="M","Male",IF(UPPER(LEFT(TRIM(Raw_Data!E917),1))="F","Female","Unknown"))</f>
        <v>Female</v>
      </c>
      <c r="F917" s="13" t="str">
        <f aca="false">PROPER(TRIM(SUBSTITUTE(Raw_Data!F917,"'","")))</f>
        <v>High School</v>
      </c>
      <c r="G917" s="13" t="str">
        <f aca="false">PROPER(TRIM(Raw_Data!G917))</f>
        <v>Operations</v>
      </c>
      <c r="H917" s="13" t="str">
        <f aca="false">PROPER(TRIM(Raw_Data!H917))</f>
        <v>Manager</v>
      </c>
      <c r="I917" s="13" t="n">
        <f aca="false">IF(Raw_Data!I917="",DefaultPerf,Raw_Data!I917)</f>
        <v>3</v>
      </c>
      <c r="J917" s="13" t="n">
        <f aca="false">IF(Raw_Data!J917="",DefaultSat,Raw_Data!J917)</f>
        <v>2</v>
      </c>
      <c r="K917" s="15" t="n">
        <f aca="false">Raw_Data!K917</f>
        <v>204000</v>
      </c>
      <c r="L917" s="13" t="str">
        <f aca="false">PROPER(TRIM(Raw_Data!N917))</f>
        <v>Yes</v>
      </c>
      <c r="M917" s="13" t="n">
        <f aca="false">IF(C917="",0,1)</f>
        <v>1</v>
      </c>
      <c r="N917" s="13" t="str">
        <f aca="false">IF(M917=0,"Active",IF(TRIM(Raw_Data!L917)="","Unknown",PROPER(TRIM(Raw_Data!L917))))</f>
        <v>Involuntary</v>
      </c>
      <c r="O917" s="13" t="str">
        <f aca="false">IF(M917=0,"",IF(TRIM(Raw_Data!M917)="","Not Recorded",TRIM(Raw_Data!M917)))</f>
        <v>Restructuring / Layoff</v>
      </c>
      <c r="P917" s="16" t="n">
        <f aca="false">ROUND((IF(C917="",AsOfDate,C917)-B917)/365.25,2)</f>
        <v>4.43</v>
      </c>
      <c r="Q917" s="13" t="str">
        <f aca="false">IF(D917="","Unknown",IF(D917&lt;25,"Under 25",IF(D917&lt;35,"25-34",IF(D917&lt;45,"35-44",IF(D917&lt;55,"45-54","55+")))))</f>
        <v>35-44</v>
      </c>
      <c r="R917" s="13" t="str">
        <f aca="false">IF(P917&lt;1,"0-1 yrs",IF(P917&lt;3,"1-3 yrs",IF(P917&lt;5,"3-5 yrs",IF(P917&lt;10,"5-10 yrs","10+ yrs"))))</f>
        <v>3-5 yrs</v>
      </c>
      <c r="S917" s="13" t="str">
        <f aca="false">IF(I917&gt;=4,"High",IF(I917=3,"Medium","Low"))</f>
        <v>Medium</v>
      </c>
      <c r="T917" s="13" t="n">
        <f aca="false">IF(M917=1,YEAR(C917),"")</f>
        <v>2023</v>
      </c>
      <c r="U917" s="13" t="str">
        <f aca="false">IF(M917=1,YEAR(C917)&amp;"-Q"&amp;ROUNDUP(MONTH(C917)/3,0),"")</f>
        <v>2023-Q4</v>
      </c>
      <c r="V917" s="13" t="n">
        <f aca="false">IF(M917=1,MONTH(C917),"")</f>
        <v>12</v>
      </c>
    </row>
    <row r="918" customFormat="false" ht="15" hidden="false" customHeight="false" outlineLevel="0" collapsed="false">
      <c r="A918" s="13" t="str">
        <f aca="false">TRIM(Raw_Data!A918)</f>
        <v>EMP0917</v>
      </c>
      <c r="B918" s="14" t="n">
        <f aca="false">Raw_Data!B918</f>
        <v>43668</v>
      </c>
      <c r="C918" s="14" t="str">
        <f aca="false">IF(Raw_Data!C918="","",Raw_Data!C918)</f>
        <v/>
      </c>
      <c r="D918" s="13" t="n">
        <f aca="false">IF(Raw_Data!D918="","",Raw_Data!D918)</f>
        <v>35</v>
      </c>
      <c r="E918" s="13" t="str">
        <f aca="false">IF(UPPER(LEFT(TRIM(Raw_Data!E918),1))="M","Male",IF(UPPER(LEFT(TRIM(Raw_Data!E918),1))="F","Female","Unknown"))</f>
        <v>Male</v>
      </c>
      <c r="F918" s="13" t="str">
        <f aca="false">PROPER(TRIM(SUBSTITUTE(Raw_Data!F918,"'","")))</f>
        <v>Doctorate</v>
      </c>
      <c r="G918" s="13" t="str">
        <f aca="false">PROPER(TRIM(Raw_Data!G918))</f>
        <v>Finance</v>
      </c>
      <c r="H918" s="13" t="str">
        <f aca="false">PROPER(TRIM(Raw_Data!H918))</f>
        <v>Associate</v>
      </c>
      <c r="I918" s="13" t="n">
        <f aca="false">IF(Raw_Data!I918="",DefaultPerf,Raw_Data!I918)</f>
        <v>3</v>
      </c>
      <c r="J918" s="13" t="n">
        <f aca="false">IF(Raw_Data!J918="",DefaultSat,Raw_Data!J918)</f>
        <v>2</v>
      </c>
      <c r="K918" s="15" t="n">
        <f aca="false">Raw_Data!K918</f>
        <v>47500</v>
      </c>
      <c r="L918" s="13" t="str">
        <f aca="false">PROPER(TRIM(Raw_Data!N918))</f>
        <v>No</v>
      </c>
      <c r="M918" s="13" t="n">
        <f aca="false">IF(C918="",0,1)</f>
        <v>0</v>
      </c>
      <c r="N918" s="13" t="str">
        <f aca="false">IF(M918=0,"Active",IF(TRIM(Raw_Data!L918)="","Unknown",PROPER(TRIM(Raw_Data!L918))))</f>
        <v>Active</v>
      </c>
      <c r="O918" s="13" t="str">
        <f aca="false">IF(M918=0,"",IF(TRIM(Raw_Data!M918)="","Not Recorded",TRIM(Raw_Data!M918)))</f>
        <v/>
      </c>
      <c r="P918" s="16" t="n">
        <f aca="false">ROUND((IF(C918="",AsOfDate,C918)-B918)/365.25,2)</f>
        <v>6.44</v>
      </c>
      <c r="Q918" s="13" t="str">
        <f aca="false">IF(D918="","Unknown",IF(D918&lt;25,"Under 25",IF(D918&lt;35,"25-34",IF(D918&lt;45,"35-44",IF(D918&lt;55,"45-54","55+")))))</f>
        <v>35-44</v>
      </c>
      <c r="R918" s="13" t="str">
        <f aca="false">IF(P918&lt;1,"0-1 yrs",IF(P918&lt;3,"1-3 yrs",IF(P918&lt;5,"3-5 yrs",IF(P918&lt;10,"5-10 yrs","10+ yrs"))))</f>
        <v>5-10 yrs</v>
      </c>
      <c r="S918" s="13" t="str">
        <f aca="false">IF(I918&gt;=4,"High",IF(I918=3,"Medium","Low"))</f>
        <v>Medium</v>
      </c>
      <c r="T918" s="13" t="str">
        <f aca="false">IF(M918=1,YEAR(C918),"")</f>
        <v/>
      </c>
      <c r="U918" s="13" t="str">
        <f aca="false">IF(M918=1,YEAR(C918)&amp;"-Q"&amp;ROUNDUP(MONTH(C918)/3,0),"")</f>
        <v/>
      </c>
      <c r="V918" s="13" t="str">
        <f aca="false">IF(M918=1,MONTH(C918),"")</f>
        <v/>
      </c>
    </row>
    <row r="919" customFormat="false" ht="15" hidden="false" customHeight="false" outlineLevel="0" collapsed="false">
      <c r="A919" s="13" t="str">
        <f aca="false">TRIM(Raw_Data!A919)</f>
        <v>EMP0918</v>
      </c>
      <c r="B919" s="14" t="n">
        <f aca="false">Raw_Data!B919</f>
        <v>43670</v>
      </c>
      <c r="C919" s="14" t="n">
        <f aca="false">IF(Raw_Data!C919="","",Raw_Data!C919)</f>
        <v>45196</v>
      </c>
      <c r="D919" s="13" t="n">
        <f aca="false">IF(Raw_Data!D919="","",Raw_Data!D919)</f>
        <v>31</v>
      </c>
      <c r="E919" s="13" t="str">
        <f aca="false">IF(UPPER(LEFT(TRIM(Raw_Data!E919),1))="M","Male",IF(UPPER(LEFT(TRIM(Raw_Data!E919),1))="F","Female","Unknown"))</f>
        <v>Male</v>
      </c>
      <c r="F919" s="13" t="str">
        <f aca="false">PROPER(TRIM(SUBSTITUTE(Raw_Data!F919,"'","")))</f>
        <v>Diploma</v>
      </c>
      <c r="G919" s="13" t="str">
        <f aca="false">PROPER(TRIM(Raw_Data!G919))</f>
        <v>Sales</v>
      </c>
      <c r="H919" s="13" t="str">
        <f aca="false">PROPER(TRIM(Raw_Data!H919))</f>
        <v>Analyst</v>
      </c>
      <c r="I919" s="13" t="n">
        <f aca="false">IF(Raw_Data!I919="",DefaultPerf,Raw_Data!I919)</f>
        <v>4</v>
      </c>
      <c r="J919" s="13" t="n">
        <f aca="false">IF(Raw_Data!J919="",DefaultSat,Raw_Data!J919)</f>
        <v>1</v>
      </c>
      <c r="K919" s="15" t="n">
        <f aca="false">Raw_Data!K919</f>
        <v>66500</v>
      </c>
      <c r="L919" s="13" t="str">
        <f aca="false">PROPER(TRIM(Raw_Data!N919))</f>
        <v>No</v>
      </c>
      <c r="M919" s="13" t="n">
        <f aca="false">IF(C919="",0,1)</f>
        <v>1</v>
      </c>
      <c r="N919" s="13" t="str">
        <f aca="false">IF(M919=0,"Active",IF(TRIM(Raw_Data!L919)="","Unknown",PROPER(TRIM(Raw_Data!L919))))</f>
        <v>Involuntary</v>
      </c>
      <c r="O919" s="13" t="str">
        <f aca="false">IF(M919=0,"",IF(TRIM(Raw_Data!M919)="","Not Recorded",TRIM(Raw_Data!M919)))</f>
        <v>Restructuring / Layoff</v>
      </c>
      <c r="P919" s="16" t="n">
        <f aca="false">ROUND((IF(C919="",AsOfDate,C919)-B919)/365.25,2)</f>
        <v>4.18</v>
      </c>
      <c r="Q919" s="13" t="str">
        <f aca="false">IF(D919="","Unknown",IF(D919&lt;25,"Under 25",IF(D919&lt;35,"25-34",IF(D919&lt;45,"35-44",IF(D919&lt;55,"45-54","55+")))))</f>
        <v>25-34</v>
      </c>
      <c r="R919" s="13" t="str">
        <f aca="false">IF(P919&lt;1,"0-1 yrs",IF(P919&lt;3,"1-3 yrs",IF(P919&lt;5,"3-5 yrs",IF(P919&lt;10,"5-10 yrs","10+ yrs"))))</f>
        <v>3-5 yrs</v>
      </c>
      <c r="S919" s="13" t="str">
        <f aca="false">IF(I919&gt;=4,"High",IF(I919=3,"Medium","Low"))</f>
        <v>High</v>
      </c>
      <c r="T919" s="13" t="n">
        <f aca="false">IF(M919=1,YEAR(C919),"")</f>
        <v>2023</v>
      </c>
      <c r="U919" s="13" t="str">
        <f aca="false">IF(M919=1,YEAR(C919)&amp;"-Q"&amp;ROUNDUP(MONTH(C919)/3,0),"")</f>
        <v>2023-Q3</v>
      </c>
      <c r="V919" s="13" t="n">
        <f aca="false">IF(M919=1,MONTH(C919),"")</f>
        <v>9</v>
      </c>
    </row>
    <row r="920" customFormat="false" ht="15" hidden="false" customHeight="false" outlineLevel="0" collapsed="false">
      <c r="A920" s="13" t="str">
        <f aca="false">TRIM(Raw_Data!A920)</f>
        <v>EMP0919</v>
      </c>
      <c r="B920" s="14" t="n">
        <f aca="false">Raw_Data!B920</f>
        <v>43671</v>
      </c>
      <c r="C920" s="14" t="str">
        <f aca="false">IF(Raw_Data!C920="","",Raw_Data!C920)</f>
        <v/>
      </c>
      <c r="D920" s="13" t="n">
        <f aca="false">IF(Raw_Data!D920="","",Raw_Data!D920)</f>
        <v>29</v>
      </c>
      <c r="E920" s="13" t="str">
        <f aca="false">IF(UPPER(LEFT(TRIM(Raw_Data!E920),1))="M","Male",IF(UPPER(LEFT(TRIM(Raw_Data!E920),1))="F","Female","Unknown"))</f>
        <v>Female</v>
      </c>
      <c r="F920" s="13" t="str">
        <f aca="false">PROPER(TRIM(SUBSTITUTE(Raw_Data!F920,"'","")))</f>
        <v>Bachelors</v>
      </c>
      <c r="G920" s="13" t="str">
        <f aca="false">PROPER(TRIM(Raw_Data!G920))</f>
        <v>Finance</v>
      </c>
      <c r="H920" s="13" t="str">
        <f aca="false">PROPER(TRIM(Raw_Data!H920))</f>
        <v>Analyst</v>
      </c>
      <c r="I920" s="13" t="n">
        <f aca="false">IF(Raw_Data!I920="",DefaultPerf,Raw_Data!I920)</f>
        <v>3</v>
      </c>
      <c r="J920" s="13" t="n">
        <f aca="false">IF(Raw_Data!J920="",DefaultSat,Raw_Data!J920)</f>
        <v>4</v>
      </c>
      <c r="K920" s="15" t="n">
        <f aca="false">Raw_Data!K920</f>
        <v>64500</v>
      </c>
      <c r="L920" s="13" t="str">
        <f aca="false">PROPER(TRIM(Raw_Data!N920))</f>
        <v>No</v>
      </c>
      <c r="M920" s="13" t="n">
        <f aca="false">IF(C920="",0,1)</f>
        <v>0</v>
      </c>
      <c r="N920" s="13" t="str">
        <f aca="false">IF(M920=0,"Active",IF(TRIM(Raw_Data!L920)="","Unknown",PROPER(TRIM(Raw_Data!L920))))</f>
        <v>Active</v>
      </c>
      <c r="O920" s="13" t="str">
        <f aca="false">IF(M920=0,"",IF(TRIM(Raw_Data!M920)="","Not Recorded",TRIM(Raw_Data!M920)))</f>
        <v/>
      </c>
      <c r="P920" s="16" t="n">
        <f aca="false">ROUND((IF(C920="",AsOfDate,C920)-B920)/365.25,2)</f>
        <v>6.44</v>
      </c>
      <c r="Q920" s="13" t="str">
        <f aca="false">IF(D920="","Unknown",IF(D920&lt;25,"Under 25",IF(D920&lt;35,"25-34",IF(D920&lt;45,"35-44",IF(D920&lt;55,"45-54","55+")))))</f>
        <v>25-34</v>
      </c>
      <c r="R920" s="13" t="str">
        <f aca="false">IF(P920&lt;1,"0-1 yrs",IF(P920&lt;3,"1-3 yrs",IF(P920&lt;5,"3-5 yrs",IF(P920&lt;10,"5-10 yrs","10+ yrs"))))</f>
        <v>5-10 yrs</v>
      </c>
      <c r="S920" s="13" t="str">
        <f aca="false">IF(I920&gt;=4,"High",IF(I920=3,"Medium","Low"))</f>
        <v>Medium</v>
      </c>
      <c r="T920" s="13" t="str">
        <f aca="false">IF(M920=1,YEAR(C920),"")</f>
        <v/>
      </c>
      <c r="U920" s="13" t="str">
        <f aca="false">IF(M920=1,YEAR(C920)&amp;"-Q"&amp;ROUNDUP(MONTH(C920)/3,0),"")</f>
        <v/>
      </c>
      <c r="V920" s="13" t="str">
        <f aca="false">IF(M920=1,MONTH(C920),"")</f>
        <v/>
      </c>
    </row>
    <row r="921" customFormat="false" ht="15" hidden="false" customHeight="false" outlineLevel="0" collapsed="false">
      <c r="A921" s="13" t="str">
        <f aca="false">TRIM(Raw_Data!A921)</f>
        <v>EMP0920</v>
      </c>
      <c r="B921" s="14" t="n">
        <f aca="false">Raw_Data!B921</f>
        <v>43671</v>
      </c>
      <c r="C921" s="14" t="str">
        <f aca="false">IF(Raw_Data!C921="","",Raw_Data!C921)</f>
        <v/>
      </c>
      <c r="D921" s="13" t="n">
        <f aca="false">IF(Raw_Data!D921="","",Raw_Data!D921)</f>
        <v>31</v>
      </c>
      <c r="E921" s="13" t="str">
        <f aca="false">IF(UPPER(LEFT(TRIM(Raw_Data!E921),1))="M","Male",IF(UPPER(LEFT(TRIM(Raw_Data!E921),1))="F","Female","Unknown"))</f>
        <v>Male</v>
      </c>
      <c r="F921" s="13" t="str">
        <f aca="false">PROPER(TRIM(SUBSTITUTE(Raw_Data!F921,"'","")))</f>
        <v>Diploma</v>
      </c>
      <c r="G921" s="13" t="str">
        <f aca="false">PROPER(TRIM(Raw_Data!G921))</f>
        <v>Operations</v>
      </c>
      <c r="H921" s="13" t="str">
        <f aca="false">PROPER(TRIM(Raw_Data!H921))</f>
        <v>Associate</v>
      </c>
      <c r="I921" s="13" t="n">
        <f aca="false">IF(Raw_Data!I921="",DefaultPerf,Raw_Data!I921)</f>
        <v>3</v>
      </c>
      <c r="J921" s="13" t="n">
        <f aca="false">IF(Raw_Data!J921="",DefaultSat,Raw_Data!J921)</f>
        <v>4</v>
      </c>
      <c r="K921" s="15" t="n">
        <f aca="false">Raw_Data!K921</f>
        <v>42000</v>
      </c>
      <c r="L921" s="13" t="str">
        <f aca="false">PROPER(TRIM(Raw_Data!N921))</f>
        <v>Yes</v>
      </c>
      <c r="M921" s="13" t="n">
        <f aca="false">IF(C921="",0,1)</f>
        <v>0</v>
      </c>
      <c r="N921" s="13" t="str">
        <f aca="false">IF(M921=0,"Active",IF(TRIM(Raw_Data!L921)="","Unknown",PROPER(TRIM(Raw_Data!L921))))</f>
        <v>Active</v>
      </c>
      <c r="O921" s="13" t="str">
        <f aca="false">IF(M921=0,"",IF(TRIM(Raw_Data!M921)="","Not Recorded",TRIM(Raw_Data!M921)))</f>
        <v/>
      </c>
      <c r="P921" s="16" t="n">
        <f aca="false">ROUND((IF(C921="",AsOfDate,C921)-B921)/365.25,2)</f>
        <v>6.44</v>
      </c>
      <c r="Q921" s="13" t="str">
        <f aca="false">IF(D921="","Unknown",IF(D921&lt;25,"Under 25",IF(D921&lt;35,"25-34",IF(D921&lt;45,"35-44",IF(D921&lt;55,"45-54","55+")))))</f>
        <v>25-34</v>
      </c>
      <c r="R921" s="13" t="str">
        <f aca="false">IF(P921&lt;1,"0-1 yrs",IF(P921&lt;3,"1-3 yrs",IF(P921&lt;5,"3-5 yrs",IF(P921&lt;10,"5-10 yrs","10+ yrs"))))</f>
        <v>5-10 yrs</v>
      </c>
      <c r="S921" s="13" t="str">
        <f aca="false">IF(I921&gt;=4,"High",IF(I921=3,"Medium","Low"))</f>
        <v>Medium</v>
      </c>
      <c r="T921" s="13" t="str">
        <f aca="false">IF(M921=1,YEAR(C921),"")</f>
        <v/>
      </c>
      <c r="U921" s="13" t="str">
        <f aca="false">IF(M921=1,YEAR(C921)&amp;"-Q"&amp;ROUNDUP(MONTH(C921)/3,0),"")</f>
        <v/>
      </c>
      <c r="V921" s="13" t="str">
        <f aca="false">IF(M921=1,MONTH(C921),"")</f>
        <v/>
      </c>
    </row>
    <row r="922" customFormat="false" ht="15" hidden="false" customHeight="false" outlineLevel="0" collapsed="false">
      <c r="A922" s="13" t="str">
        <f aca="false">TRIM(Raw_Data!A922)</f>
        <v>EMP0921</v>
      </c>
      <c r="B922" s="14" t="n">
        <f aca="false">Raw_Data!B922</f>
        <v>43672</v>
      </c>
      <c r="C922" s="14" t="str">
        <f aca="false">IF(Raw_Data!C922="","",Raw_Data!C922)</f>
        <v/>
      </c>
      <c r="D922" s="13" t="n">
        <f aca="false">IF(Raw_Data!D922="","",Raw_Data!D922)</f>
        <v>36</v>
      </c>
      <c r="E922" s="13" t="str">
        <f aca="false">IF(UPPER(LEFT(TRIM(Raw_Data!E922),1))="M","Male",IF(UPPER(LEFT(TRIM(Raw_Data!E922),1))="F","Female","Unknown"))</f>
        <v>Female</v>
      </c>
      <c r="F922" s="13" t="str">
        <f aca="false">PROPER(TRIM(SUBSTITUTE(Raw_Data!F922,"'","")))</f>
        <v>Bachelors</v>
      </c>
      <c r="G922" s="13" t="str">
        <f aca="false">PROPER(TRIM(Raw_Data!G922))</f>
        <v>Operations</v>
      </c>
      <c r="H922" s="13" t="str">
        <f aca="false">PROPER(TRIM(Raw_Data!H922))</f>
        <v>Associate</v>
      </c>
      <c r="I922" s="13" t="n">
        <f aca="false">IF(Raw_Data!I922="",DefaultPerf,Raw_Data!I922)</f>
        <v>3</v>
      </c>
      <c r="J922" s="13" t="n">
        <f aca="false">IF(Raw_Data!J922="",DefaultSat,Raw_Data!J922)</f>
        <v>4</v>
      </c>
      <c r="K922" s="15" t="n">
        <f aca="false">Raw_Data!K922</f>
        <v>41500</v>
      </c>
      <c r="L922" s="13" t="str">
        <f aca="false">PROPER(TRIM(Raw_Data!N922))</f>
        <v>Yes</v>
      </c>
      <c r="M922" s="13" t="n">
        <f aca="false">IF(C922="",0,1)</f>
        <v>0</v>
      </c>
      <c r="N922" s="13" t="str">
        <f aca="false">IF(M922=0,"Active",IF(TRIM(Raw_Data!L922)="","Unknown",PROPER(TRIM(Raw_Data!L922))))</f>
        <v>Active</v>
      </c>
      <c r="O922" s="13" t="str">
        <f aca="false">IF(M922=0,"",IF(TRIM(Raw_Data!M922)="","Not Recorded",TRIM(Raw_Data!M922)))</f>
        <v/>
      </c>
      <c r="P922" s="16" t="n">
        <f aca="false">ROUND((IF(C922="",AsOfDate,C922)-B922)/365.25,2)</f>
        <v>6.43</v>
      </c>
      <c r="Q922" s="13" t="str">
        <f aca="false">IF(D922="","Unknown",IF(D922&lt;25,"Under 25",IF(D922&lt;35,"25-34",IF(D922&lt;45,"35-44",IF(D922&lt;55,"45-54","55+")))))</f>
        <v>35-44</v>
      </c>
      <c r="R922" s="13" t="str">
        <f aca="false">IF(P922&lt;1,"0-1 yrs",IF(P922&lt;3,"1-3 yrs",IF(P922&lt;5,"3-5 yrs",IF(P922&lt;10,"5-10 yrs","10+ yrs"))))</f>
        <v>5-10 yrs</v>
      </c>
      <c r="S922" s="13" t="str">
        <f aca="false">IF(I922&gt;=4,"High",IF(I922=3,"Medium","Low"))</f>
        <v>Medium</v>
      </c>
      <c r="T922" s="13" t="str">
        <f aca="false">IF(M922=1,YEAR(C922),"")</f>
        <v/>
      </c>
      <c r="U922" s="13" t="str">
        <f aca="false">IF(M922=1,YEAR(C922)&amp;"-Q"&amp;ROUNDUP(MONTH(C922)/3,0),"")</f>
        <v/>
      </c>
      <c r="V922" s="13" t="str">
        <f aca="false">IF(M922=1,MONTH(C922),"")</f>
        <v/>
      </c>
    </row>
    <row r="923" customFormat="false" ht="15" hidden="false" customHeight="false" outlineLevel="0" collapsed="false">
      <c r="A923" s="13" t="str">
        <f aca="false">TRIM(Raw_Data!A923)</f>
        <v>EMP0922</v>
      </c>
      <c r="B923" s="14" t="n">
        <f aca="false">Raw_Data!B923</f>
        <v>43673</v>
      </c>
      <c r="C923" s="14" t="str">
        <f aca="false">IF(Raw_Data!C923="","",Raw_Data!C923)</f>
        <v/>
      </c>
      <c r="D923" s="13" t="n">
        <f aca="false">IF(Raw_Data!D923="","",Raw_Data!D923)</f>
        <v>34</v>
      </c>
      <c r="E923" s="13" t="str">
        <f aca="false">IF(UPPER(LEFT(TRIM(Raw_Data!E923),1))="M","Male",IF(UPPER(LEFT(TRIM(Raw_Data!E923),1))="F","Female","Unknown"))</f>
        <v>Male</v>
      </c>
      <c r="F923" s="13" t="str">
        <f aca="false">PROPER(TRIM(SUBSTITUTE(Raw_Data!F923,"'","")))</f>
        <v>Masters</v>
      </c>
      <c r="G923" s="13" t="str">
        <f aca="false">PROPER(TRIM(Raw_Data!G923))</f>
        <v>Customer Support</v>
      </c>
      <c r="H923" s="13" t="str">
        <f aca="false">PROPER(TRIM(Raw_Data!H923))</f>
        <v>Team Lead</v>
      </c>
      <c r="I923" s="13" t="n">
        <f aca="false">IF(Raw_Data!I923="",DefaultPerf,Raw_Data!I923)</f>
        <v>4</v>
      </c>
      <c r="J923" s="13" t="n">
        <f aca="false">IF(Raw_Data!J923="",DefaultSat,Raw_Data!J923)</f>
        <v>4</v>
      </c>
      <c r="K923" s="15" t="n">
        <f aca="false">Raw_Data!K923</f>
        <v>155500</v>
      </c>
      <c r="L923" s="13" t="str">
        <f aca="false">PROPER(TRIM(Raw_Data!N923))</f>
        <v>No</v>
      </c>
      <c r="M923" s="13" t="n">
        <f aca="false">IF(C923="",0,1)</f>
        <v>0</v>
      </c>
      <c r="N923" s="13" t="str">
        <f aca="false">IF(M923=0,"Active",IF(TRIM(Raw_Data!L923)="","Unknown",PROPER(TRIM(Raw_Data!L923))))</f>
        <v>Active</v>
      </c>
      <c r="O923" s="13" t="str">
        <f aca="false">IF(M923=0,"",IF(TRIM(Raw_Data!M923)="","Not Recorded",TRIM(Raw_Data!M923)))</f>
        <v/>
      </c>
      <c r="P923" s="16" t="n">
        <f aca="false">ROUND((IF(C923="",AsOfDate,C923)-B923)/365.25,2)</f>
        <v>6.43</v>
      </c>
      <c r="Q923" s="13" t="str">
        <f aca="false">IF(D923="","Unknown",IF(D923&lt;25,"Under 25",IF(D923&lt;35,"25-34",IF(D923&lt;45,"35-44",IF(D923&lt;55,"45-54","55+")))))</f>
        <v>25-34</v>
      </c>
      <c r="R923" s="13" t="str">
        <f aca="false">IF(P923&lt;1,"0-1 yrs",IF(P923&lt;3,"1-3 yrs",IF(P923&lt;5,"3-5 yrs",IF(P923&lt;10,"5-10 yrs","10+ yrs"))))</f>
        <v>5-10 yrs</v>
      </c>
      <c r="S923" s="13" t="str">
        <f aca="false">IF(I923&gt;=4,"High",IF(I923=3,"Medium","Low"))</f>
        <v>High</v>
      </c>
      <c r="T923" s="13" t="str">
        <f aca="false">IF(M923=1,YEAR(C923),"")</f>
        <v/>
      </c>
      <c r="U923" s="13" t="str">
        <f aca="false">IF(M923=1,YEAR(C923)&amp;"-Q"&amp;ROUNDUP(MONTH(C923)/3,0),"")</f>
        <v/>
      </c>
      <c r="V923" s="13" t="str">
        <f aca="false">IF(M923=1,MONTH(C923),"")</f>
        <v/>
      </c>
    </row>
    <row r="924" customFormat="false" ht="15" hidden="false" customHeight="false" outlineLevel="0" collapsed="false">
      <c r="A924" s="13" t="str">
        <f aca="false">TRIM(Raw_Data!A924)</f>
        <v>EMP0923</v>
      </c>
      <c r="B924" s="14" t="n">
        <f aca="false">Raw_Data!B924</f>
        <v>43673</v>
      </c>
      <c r="C924" s="14" t="str">
        <f aca="false">IF(Raw_Data!C924="","",Raw_Data!C924)</f>
        <v/>
      </c>
      <c r="D924" s="13" t="n">
        <f aca="false">IF(Raw_Data!D924="","",Raw_Data!D924)</f>
        <v>39</v>
      </c>
      <c r="E924" s="13" t="str">
        <f aca="false">IF(UPPER(LEFT(TRIM(Raw_Data!E924),1))="M","Male",IF(UPPER(LEFT(TRIM(Raw_Data!E924),1))="F","Female","Unknown"))</f>
        <v>Female</v>
      </c>
      <c r="F924" s="13" t="str">
        <f aca="false">PROPER(TRIM(SUBSTITUTE(Raw_Data!F924,"'","")))</f>
        <v>Diploma</v>
      </c>
      <c r="G924" s="13" t="str">
        <f aca="false">PROPER(TRIM(Raw_Data!G924))</f>
        <v>Customer Support</v>
      </c>
      <c r="H924" s="13" t="str">
        <f aca="false">PROPER(TRIM(Raw_Data!H924))</f>
        <v>Team Lead</v>
      </c>
      <c r="I924" s="13" t="n">
        <f aca="false">IF(Raw_Data!I924="",DefaultPerf,Raw_Data!I924)</f>
        <v>5</v>
      </c>
      <c r="J924" s="13" t="n">
        <f aca="false">IF(Raw_Data!J924="",DefaultSat,Raw_Data!J924)</f>
        <v>4</v>
      </c>
      <c r="K924" s="15" t="n">
        <f aca="false">Raw_Data!K924</f>
        <v>140500</v>
      </c>
      <c r="L924" s="13" t="str">
        <f aca="false">PROPER(TRIM(Raw_Data!N924))</f>
        <v>No</v>
      </c>
      <c r="M924" s="13" t="n">
        <f aca="false">IF(C924="",0,1)</f>
        <v>0</v>
      </c>
      <c r="N924" s="13" t="str">
        <f aca="false">IF(M924=0,"Active",IF(TRIM(Raw_Data!L924)="","Unknown",PROPER(TRIM(Raw_Data!L924))))</f>
        <v>Active</v>
      </c>
      <c r="O924" s="13" t="str">
        <f aca="false">IF(M924=0,"",IF(TRIM(Raw_Data!M924)="","Not Recorded",TRIM(Raw_Data!M924)))</f>
        <v/>
      </c>
      <c r="P924" s="16" t="n">
        <f aca="false">ROUND((IF(C924="",AsOfDate,C924)-B924)/365.25,2)</f>
        <v>6.43</v>
      </c>
      <c r="Q924" s="13" t="str">
        <f aca="false">IF(D924="","Unknown",IF(D924&lt;25,"Under 25",IF(D924&lt;35,"25-34",IF(D924&lt;45,"35-44",IF(D924&lt;55,"45-54","55+")))))</f>
        <v>35-44</v>
      </c>
      <c r="R924" s="13" t="str">
        <f aca="false">IF(P924&lt;1,"0-1 yrs",IF(P924&lt;3,"1-3 yrs",IF(P924&lt;5,"3-5 yrs",IF(P924&lt;10,"5-10 yrs","10+ yrs"))))</f>
        <v>5-10 yrs</v>
      </c>
      <c r="S924" s="13" t="str">
        <f aca="false">IF(I924&gt;=4,"High",IF(I924=3,"Medium","Low"))</f>
        <v>High</v>
      </c>
      <c r="T924" s="13" t="str">
        <f aca="false">IF(M924=1,YEAR(C924),"")</f>
        <v/>
      </c>
      <c r="U924" s="13" t="str">
        <f aca="false">IF(M924=1,YEAR(C924)&amp;"-Q"&amp;ROUNDUP(MONTH(C924)/3,0),"")</f>
        <v/>
      </c>
      <c r="V924" s="13" t="str">
        <f aca="false">IF(M924=1,MONTH(C924),"")</f>
        <v/>
      </c>
    </row>
    <row r="925" customFormat="false" ht="15" hidden="false" customHeight="false" outlineLevel="0" collapsed="false">
      <c r="A925" s="13" t="str">
        <f aca="false">TRIM(Raw_Data!A925)</f>
        <v>EMP0924</v>
      </c>
      <c r="B925" s="14" t="n">
        <f aca="false">Raw_Data!B925</f>
        <v>43678</v>
      </c>
      <c r="C925" s="14" t="str">
        <f aca="false">IF(Raw_Data!C925="","",Raw_Data!C925)</f>
        <v/>
      </c>
      <c r="D925" s="13" t="n">
        <f aca="false">IF(Raw_Data!D925="","",Raw_Data!D925)</f>
        <v>32</v>
      </c>
      <c r="E925" s="13" t="str">
        <f aca="false">IF(UPPER(LEFT(TRIM(Raw_Data!E925),1))="M","Male",IF(UPPER(LEFT(TRIM(Raw_Data!E925),1))="F","Female","Unknown"))</f>
        <v>Male</v>
      </c>
      <c r="F925" s="13" t="str">
        <f aca="false">PROPER(TRIM(SUBSTITUTE(Raw_Data!F925,"'","")))</f>
        <v>High School</v>
      </c>
      <c r="G925" s="13" t="str">
        <f aca="false">PROPER(TRIM(Raw_Data!G925))</f>
        <v>Customer Support</v>
      </c>
      <c r="H925" s="13" t="str">
        <f aca="false">PROPER(TRIM(Raw_Data!H925))</f>
        <v>Team Lead</v>
      </c>
      <c r="I925" s="13" t="n">
        <f aca="false">IF(Raw_Data!I925="",DefaultPerf,Raw_Data!I925)</f>
        <v>3</v>
      </c>
      <c r="J925" s="13" t="n">
        <f aca="false">IF(Raw_Data!J925="",DefaultSat,Raw_Data!J925)</f>
        <v>3</v>
      </c>
      <c r="K925" s="15" t="n">
        <f aca="false">Raw_Data!K925</f>
        <v>158000</v>
      </c>
      <c r="L925" s="13" t="str">
        <f aca="false">PROPER(TRIM(Raw_Data!N925))</f>
        <v>No</v>
      </c>
      <c r="M925" s="13" t="n">
        <f aca="false">IF(C925="",0,1)</f>
        <v>0</v>
      </c>
      <c r="N925" s="13" t="str">
        <f aca="false">IF(M925=0,"Active",IF(TRIM(Raw_Data!L925)="","Unknown",PROPER(TRIM(Raw_Data!L925))))</f>
        <v>Active</v>
      </c>
      <c r="O925" s="13" t="str">
        <f aca="false">IF(M925=0,"",IF(TRIM(Raw_Data!M925)="","Not Recorded",TRIM(Raw_Data!M925)))</f>
        <v/>
      </c>
      <c r="P925" s="16" t="n">
        <f aca="false">ROUND((IF(C925="",AsOfDate,C925)-B925)/365.25,2)</f>
        <v>6.42</v>
      </c>
      <c r="Q925" s="13" t="str">
        <f aca="false">IF(D925="","Unknown",IF(D925&lt;25,"Under 25",IF(D925&lt;35,"25-34",IF(D925&lt;45,"35-44",IF(D925&lt;55,"45-54","55+")))))</f>
        <v>25-34</v>
      </c>
      <c r="R925" s="13" t="str">
        <f aca="false">IF(P925&lt;1,"0-1 yrs",IF(P925&lt;3,"1-3 yrs",IF(P925&lt;5,"3-5 yrs",IF(P925&lt;10,"5-10 yrs","10+ yrs"))))</f>
        <v>5-10 yrs</v>
      </c>
      <c r="S925" s="13" t="str">
        <f aca="false">IF(I925&gt;=4,"High",IF(I925=3,"Medium","Low"))</f>
        <v>Medium</v>
      </c>
      <c r="T925" s="13" t="str">
        <f aca="false">IF(M925=1,YEAR(C925),"")</f>
        <v/>
      </c>
      <c r="U925" s="13" t="str">
        <f aca="false">IF(M925=1,YEAR(C925)&amp;"-Q"&amp;ROUNDUP(MONTH(C925)/3,0),"")</f>
        <v/>
      </c>
      <c r="V925" s="13" t="str">
        <f aca="false">IF(M925=1,MONTH(C925),"")</f>
        <v/>
      </c>
    </row>
    <row r="926" customFormat="false" ht="15" hidden="false" customHeight="false" outlineLevel="0" collapsed="false">
      <c r="A926" s="13" t="str">
        <f aca="false">TRIM(Raw_Data!A926)</f>
        <v>EMP0925</v>
      </c>
      <c r="B926" s="14" t="n">
        <f aca="false">Raw_Data!B926</f>
        <v>43681</v>
      </c>
      <c r="C926" s="14" t="str">
        <f aca="false">IF(Raw_Data!C926="","",Raw_Data!C926)</f>
        <v/>
      </c>
      <c r="D926" s="13" t="n">
        <f aca="false">IF(Raw_Data!D926="","",Raw_Data!D926)</f>
        <v>27</v>
      </c>
      <c r="E926" s="13" t="str">
        <f aca="false">IF(UPPER(LEFT(TRIM(Raw_Data!E926),1))="M","Male",IF(UPPER(LEFT(TRIM(Raw_Data!E926),1))="F","Female","Unknown"))</f>
        <v>Male</v>
      </c>
      <c r="F926" s="13" t="str">
        <f aca="false">PROPER(TRIM(SUBSTITUTE(Raw_Data!F926,"'","")))</f>
        <v>Masters</v>
      </c>
      <c r="G926" s="13" t="str">
        <f aca="false">PROPER(TRIM(Raw_Data!G926))</f>
        <v>Sales</v>
      </c>
      <c r="H926" s="13" t="str">
        <f aca="false">PROPER(TRIM(Raw_Data!H926))</f>
        <v>Analyst</v>
      </c>
      <c r="I926" s="13" t="n">
        <f aca="false">IF(Raw_Data!I926="",DefaultPerf,Raw_Data!I926)</f>
        <v>2</v>
      </c>
      <c r="J926" s="13" t="n">
        <f aca="false">IF(Raw_Data!J926="",DefaultSat,Raw_Data!J926)</f>
        <v>3</v>
      </c>
      <c r="K926" s="15" t="n">
        <f aca="false">Raw_Data!K926</f>
        <v>68500</v>
      </c>
      <c r="L926" s="13" t="str">
        <f aca="false">PROPER(TRIM(Raw_Data!N926))</f>
        <v>No</v>
      </c>
      <c r="M926" s="13" t="n">
        <f aca="false">IF(C926="",0,1)</f>
        <v>0</v>
      </c>
      <c r="N926" s="13" t="str">
        <f aca="false">IF(M926=0,"Active",IF(TRIM(Raw_Data!L926)="","Unknown",PROPER(TRIM(Raw_Data!L926))))</f>
        <v>Active</v>
      </c>
      <c r="O926" s="13" t="str">
        <f aca="false">IF(M926=0,"",IF(TRIM(Raw_Data!M926)="","Not Recorded",TRIM(Raw_Data!M926)))</f>
        <v/>
      </c>
      <c r="P926" s="16" t="n">
        <f aca="false">ROUND((IF(C926="",AsOfDate,C926)-B926)/365.25,2)</f>
        <v>6.41</v>
      </c>
      <c r="Q926" s="13" t="str">
        <f aca="false">IF(D926="","Unknown",IF(D926&lt;25,"Under 25",IF(D926&lt;35,"25-34",IF(D926&lt;45,"35-44",IF(D926&lt;55,"45-54","55+")))))</f>
        <v>25-34</v>
      </c>
      <c r="R926" s="13" t="str">
        <f aca="false">IF(P926&lt;1,"0-1 yrs",IF(P926&lt;3,"1-3 yrs",IF(P926&lt;5,"3-5 yrs",IF(P926&lt;10,"5-10 yrs","10+ yrs"))))</f>
        <v>5-10 yrs</v>
      </c>
      <c r="S926" s="13" t="str">
        <f aca="false">IF(I926&gt;=4,"High",IF(I926=3,"Medium","Low"))</f>
        <v>Low</v>
      </c>
      <c r="T926" s="13" t="str">
        <f aca="false">IF(M926=1,YEAR(C926),"")</f>
        <v/>
      </c>
      <c r="U926" s="13" t="str">
        <f aca="false">IF(M926=1,YEAR(C926)&amp;"-Q"&amp;ROUNDUP(MONTH(C926)/3,0),"")</f>
        <v/>
      </c>
      <c r="V926" s="13" t="str">
        <f aca="false">IF(M926=1,MONTH(C926),"")</f>
        <v/>
      </c>
    </row>
    <row r="927" customFormat="false" ht="15" hidden="false" customHeight="false" outlineLevel="0" collapsed="false">
      <c r="A927" s="13" t="str">
        <f aca="false">TRIM(Raw_Data!A927)</f>
        <v>EMP0926</v>
      </c>
      <c r="B927" s="14" t="n">
        <f aca="false">Raw_Data!B927</f>
        <v>43692</v>
      </c>
      <c r="C927" s="14" t="n">
        <f aca="false">IF(Raw_Data!C927="","",Raw_Data!C927)</f>
        <v>46020</v>
      </c>
      <c r="D927" s="13" t="n">
        <f aca="false">IF(Raw_Data!D927="","",Raw_Data!D927)</f>
        <v>35</v>
      </c>
      <c r="E927" s="13" t="str">
        <f aca="false">IF(UPPER(LEFT(TRIM(Raw_Data!E927),1))="M","Male",IF(UPPER(LEFT(TRIM(Raw_Data!E927),1))="F","Female","Unknown"))</f>
        <v>Female</v>
      </c>
      <c r="F927" s="13" t="str">
        <f aca="false">PROPER(TRIM(SUBSTITUTE(Raw_Data!F927,"'","")))</f>
        <v>Bachelors</v>
      </c>
      <c r="G927" s="13" t="str">
        <f aca="false">PROPER(TRIM(Raw_Data!G927))</f>
        <v>Engineering</v>
      </c>
      <c r="H927" s="13" t="str">
        <f aca="false">PROPER(TRIM(Raw_Data!H927))</f>
        <v>Team Lead</v>
      </c>
      <c r="I927" s="13" t="n">
        <f aca="false">IF(Raw_Data!I927="",DefaultPerf,Raw_Data!I927)</f>
        <v>2</v>
      </c>
      <c r="J927" s="13" t="n">
        <f aca="false">IF(Raw_Data!J927="",DefaultSat,Raw_Data!J927)</f>
        <v>2</v>
      </c>
      <c r="K927" s="15" t="n">
        <f aca="false">Raw_Data!K927</f>
        <v>139500</v>
      </c>
      <c r="L927" s="13" t="str">
        <f aca="false">PROPER(TRIM(Raw_Data!N927))</f>
        <v>No</v>
      </c>
      <c r="M927" s="13" t="n">
        <f aca="false">IF(C927="",0,1)</f>
        <v>1</v>
      </c>
      <c r="N927" s="13" t="str">
        <f aca="false">IF(M927=0,"Active",IF(TRIM(Raw_Data!L927)="","Unknown",PROPER(TRIM(Raw_Data!L927))))</f>
        <v>Involuntary</v>
      </c>
      <c r="O927" s="13" t="str">
        <f aca="false">IF(M927=0,"",IF(TRIM(Raw_Data!M927)="","Not Recorded",TRIM(Raw_Data!M927)))</f>
        <v>End of Contract</v>
      </c>
      <c r="P927" s="16" t="n">
        <f aca="false">ROUND((IF(C927="",AsOfDate,C927)-B927)/365.25,2)</f>
        <v>6.37</v>
      </c>
      <c r="Q927" s="13" t="str">
        <f aca="false">IF(D927="","Unknown",IF(D927&lt;25,"Under 25",IF(D927&lt;35,"25-34",IF(D927&lt;45,"35-44",IF(D927&lt;55,"45-54","55+")))))</f>
        <v>35-44</v>
      </c>
      <c r="R927" s="13" t="str">
        <f aca="false">IF(P927&lt;1,"0-1 yrs",IF(P927&lt;3,"1-3 yrs",IF(P927&lt;5,"3-5 yrs",IF(P927&lt;10,"5-10 yrs","10+ yrs"))))</f>
        <v>5-10 yrs</v>
      </c>
      <c r="S927" s="13" t="str">
        <f aca="false">IF(I927&gt;=4,"High",IF(I927=3,"Medium","Low"))</f>
        <v>Low</v>
      </c>
      <c r="T927" s="13" t="n">
        <f aca="false">IF(M927=1,YEAR(C927),"")</f>
        <v>2025</v>
      </c>
      <c r="U927" s="13" t="str">
        <f aca="false">IF(M927=1,YEAR(C927)&amp;"-Q"&amp;ROUNDUP(MONTH(C927)/3,0),"")</f>
        <v>2025-Q4</v>
      </c>
      <c r="V927" s="13" t="n">
        <f aca="false">IF(M927=1,MONTH(C927),"")</f>
        <v>12</v>
      </c>
    </row>
    <row r="928" customFormat="false" ht="15" hidden="false" customHeight="false" outlineLevel="0" collapsed="false">
      <c r="A928" s="13" t="str">
        <f aca="false">TRIM(Raw_Data!A928)</f>
        <v>EMP0927</v>
      </c>
      <c r="B928" s="14" t="n">
        <f aca="false">Raw_Data!B928</f>
        <v>43694</v>
      </c>
      <c r="C928" s="14" t="str">
        <f aca="false">IF(Raw_Data!C928="","",Raw_Data!C928)</f>
        <v/>
      </c>
      <c r="D928" s="13" t="n">
        <f aca="false">IF(Raw_Data!D928="","",Raw_Data!D928)</f>
        <v>36</v>
      </c>
      <c r="E928" s="13" t="str">
        <f aca="false">IF(UPPER(LEFT(TRIM(Raw_Data!E928),1))="M","Male",IF(UPPER(LEFT(TRIM(Raw_Data!E928),1))="F","Female","Unknown"))</f>
        <v>Male</v>
      </c>
      <c r="F928" s="13" t="str">
        <f aca="false">PROPER(TRIM(SUBSTITUTE(Raw_Data!F928,"'","")))</f>
        <v>Bachelors</v>
      </c>
      <c r="G928" s="13" t="str">
        <f aca="false">PROPER(TRIM(Raw_Data!G928))</f>
        <v>Operations</v>
      </c>
      <c r="H928" s="13" t="str">
        <f aca="false">PROPER(TRIM(Raw_Data!H928))</f>
        <v>Manager</v>
      </c>
      <c r="I928" s="13" t="n">
        <f aca="false">IF(Raw_Data!I928="",DefaultPerf,Raw_Data!I928)</f>
        <v>5</v>
      </c>
      <c r="J928" s="13" t="n">
        <f aca="false">IF(Raw_Data!J928="",DefaultSat,Raw_Data!J928)</f>
        <v>3</v>
      </c>
      <c r="K928" s="15" t="n">
        <f aca="false">Raw_Data!K928</f>
        <v>220000</v>
      </c>
      <c r="L928" s="13" t="str">
        <f aca="false">PROPER(TRIM(Raw_Data!N928))</f>
        <v>No</v>
      </c>
      <c r="M928" s="13" t="n">
        <f aca="false">IF(C928="",0,1)</f>
        <v>0</v>
      </c>
      <c r="N928" s="13" t="str">
        <f aca="false">IF(M928=0,"Active",IF(TRIM(Raw_Data!L928)="","Unknown",PROPER(TRIM(Raw_Data!L928))))</f>
        <v>Active</v>
      </c>
      <c r="O928" s="13" t="str">
        <f aca="false">IF(M928=0,"",IF(TRIM(Raw_Data!M928)="","Not Recorded",TRIM(Raw_Data!M928)))</f>
        <v/>
      </c>
      <c r="P928" s="16" t="n">
        <f aca="false">ROUND((IF(C928="",AsOfDate,C928)-B928)/365.25,2)</f>
        <v>6.37</v>
      </c>
      <c r="Q928" s="13" t="str">
        <f aca="false">IF(D928="","Unknown",IF(D928&lt;25,"Under 25",IF(D928&lt;35,"25-34",IF(D928&lt;45,"35-44",IF(D928&lt;55,"45-54","55+")))))</f>
        <v>35-44</v>
      </c>
      <c r="R928" s="13" t="str">
        <f aca="false">IF(P928&lt;1,"0-1 yrs",IF(P928&lt;3,"1-3 yrs",IF(P928&lt;5,"3-5 yrs",IF(P928&lt;10,"5-10 yrs","10+ yrs"))))</f>
        <v>5-10 yrs</v>
      </c>
      <c r="S928" s="13" t="str">
        <f aca="false">IF(I928&gt;=4,"High",IF(I928=3,"Medium","Low"))</f>
        <v>High</v>
      </c>
      <c r="T928" s="13" t="str">
        <f aca="false">IF(M928=1,YEAR(C928),"")</f>
        <v/>
      </c>
      <c r="U928" s="13" t="str">
        <f aca="false">IF(M928=1,YEAR(C928)&amp;"-Q"&amp;ROUNDUP(MONTH(C928)/3,0),"")</f>
        <v/>
      </c>
      <c r="V928" s="13" t="str">
        <f aca="false">IF(M928=1,MONTH(C928),"")</f>
        <v/>
      </c>
    </row>
    <row r="929" customFormat="false" ht="15" hidden="false" customHeight="false" outlineLevel="0" collapsed="false">
      <c r="A929" s="13" t="str">
        <f aca="false">TRIM(Raw_Data!A929)</f>
        <v>EMP0928</v>
      </c>
      <c r="B929" s="14" t="n">
        <f aca="false">Raw_Data!B929</f>
        <v>43696</v>
      </c>
      <c r="C929" s="14" t="n">
        <f aca="false">IF(Raw_Data!C929="","",Raw_Data!C929)</f>
        <v>44565</v>
      </c>
      <c r="D929" s="13" t="n">
        <f aca="false">IF(Raw_Data!D929="","",Raw_Data!D929)</f>
        <v>33</v>
      </c>
      <c r="E929" s="13" t="str">
        <f aca="false">IF(UPPER(LEFT(TRIM(Raw_Data!E929),1))="M","Male",IF(UPPER(LEFT(TRIM(Raw_Data!E929),1))="F","Female","Unknown"))</f>
        <v>Female</v>
      </c>
      <c r="F929" s="13" t="str">
        <f aca="false">PROPER(TRIM(SUBSTITUTE(Raw_Data!F929,"'","")))</f>
        <v>Masters</v>
      </c>
      <c r="G929" s="13" t="str">
        <f aca="false">PROPER(TRIM(Raw_Data!G929))</f>
        <v>Engineering</v>
      </c>
      <c r="H929" s="13" t="str">
        <f aca="false">PROPER(TRIM(Raw_Data!H929))</f>
        <v>Specialist</v>
      </c>
      <c r="I929" s="13" t="n">
        <f aca="false">IF(Raw_Data!I929="",DefaultPerf,Raw_Data!I929)</f>
        <v>4</v>
      </c>
      <c r="J929" s="13" t="n">
        <f aca="false">IF(Raw_Data!J929="",DefaultSat,Raw_Data!J929)</f>
        <v>1</v>
      </c>
      <c r="K929" s="15" t="n">
        <f aca="false">Raw_Data!K929</f>
        <v>96500</v>
      </c>
      <c r="L929" s="13" t="str">
        <f aca="false">PROPER(TRIM(Raw_Data!N929))</f>
        <v>Yes</v>
      </c>
      <c r="M929" s="13" t="n">
        <f aca="false">IF(C929="",0,1)</f>
        <v>1</v>
      </c>
      <c r="N929" s="13" t="str">
        <f aca="false">IF(M929=0,"Active",IF(TRIM(Raw_Data!L929)="","Unknown",PROPER(TRIM(Raw_Data!L929))))</f>
        <v>Voluntary</v>
      </c>
      <c r="O929" s="13" t="str">
        <f aca="false">IF(M929=0,"",IF(TRIM(Raw_Data!M929)="","Not Recorded",TRIM(Raw_Data!M929)))</f>
        <v>Personal Reasons</v>
      </c>
      <c r="P929" s="16" t="n">
        <f aca="false">ROUND((IF(C929="",AsOfDate,C929)-B929)/365.25,2)</f>
        <v>2.38</v>
      </c>
      <c r="Q929" s="13" t="str">
        <f aca="false">IF(D929="","Unknown",IF(D929&lt;25,"Under 25",IF(D929&lt;35,"25-34",IF(D929&lt;45,"35-44",IF(D929&lt;55,"45-54","55+")))))</f>
        <v>25-34</v>
      </c>
      <c r="R929" s="13" t="str">
        <f aca="false">IF(P929&lt;1,"0-1 yrs",IF(P929&lt;3,"1-3 yrs",IF(P929&lt;5,"3-5 yrs",IF(P929&lt;10,"5-10 yrs","10+ yrs"))))</f>
        <v>1-3 yrs</v>
      </c>
      <c r="S929" s="13" t="str">
        <f aca="false">IF(I929&gt;=4,"High",IF(I929=3,"Medium","Low"))</f>
        <v>High</v>
      </c>
      <c r="T929" s="13" t="n">
        <f aca="false">IF(M929=1,YEAR(C929),"")</f>
        <v>2022</v>
      </c>
      <c r="U929" s="13" t="str">
        <f aca="false">IF(M929=1,YEAR(C929)&amp;"-Q"&amp;ROUNDUP(MONTH(C929)/3,0),"")</f>
        <v>2022-Q1</v>
      </c>
      <c r="V929" s="13" t="n">
        <f aca="false">IF(M929=1,MONTH(C929),"")</f>
        <v>1</v>
      </c>
    </row>
    <row r="930" customFormat="false" ht="15" hidden="false" customHeight="false" outlineLevel="0" collapsed="false">
      <c r="A930" s="13" t="str">
        <f aca="false">TRIM(Raw_Data!A930)</f>
        <v>EMP0929</v>
      </c>
      <c r="B930" s="14" t="n">
        <f aca="false">Raw_Data!B930</f>
        <v>43698</v>
      </c>
      <c r="C930" s="14" t="str">
        <f aca="false">IF(Raw_Data!C930="","",Raw_Data!C930)</f>
        <v/>
      </c>
      <c r="D930" s="13" t="n">
        <f aca="false">IF(Raw_Data!D930="","",Raw_Data!D930)</f>
        <v>36</v>
      </c>
      <c r="E930" s="13" t="str">
        <f aca="false">IF(UPPER(LEFT(TRIM(Raw_Data!E930),1))="M","Male",IF(UPPER(LEFT(TRIM(Raw_Data!E930),1))="F","Female","Unknown"))</f>
        <v>Male</v>
      </c>
      <c r="F930" s="13" t="str">
        <f aca="false">PROPER(TRIM(SUBSTITUTE(Raw_Data!F930,"'","")))</f>
        <v>Bachelors</v>
      </c>
      <c r="G930" s="13" t="str">
        <f aca="false">PROPER(TRIM(Raw_Data!G930))</f>
        <v>Engineering</v>
      </c>
      <c r="H930" s="13" t="str">
        <f aca="false">PROPER(TRIM(Raw_Data!H930))</f>
        <v>Analyst</v>
      </c>
      <c r="I930" s="13" t="n">
        <f aca="false">IF(Raw_Data!I930="",DefaultPerf,Raw_Data!I930)</f>
        <v>4</v>
      </c>
      <c r="J930" s="13" t="n">
        <f aca="false">IF(Raw_Data!J930="",DefaultSat,Raw_Data!J930)</f>
        <v>4</v>
      </c>
      <c r="K930" s="15" t="n">
        <f aca="false">Raw_Data!K930</f>
        <v>68500</v>
      </c>
      <c r="L930" s="13" t="str">
        <f aca="false">PROPER(TRIM(Raw_Data!N930))</f>
        <v>No</v>
      </c>
      <c r="M930" s="13" t="n">
        <f aca="false">IF(C930="",0,1)</f>
        <v>0</v>
      </c>
      <c r="N930" s="13" t="str">
        <f aca="false">IF(M930=0,"Active",IF(TRIM(Raw_Data!L930)="","Unknown",PROPER(TRIM(Raw_Data!L930))))</f>
        <v>Active</v>
      </c>
      <c r="O930" s="13" t="str">
        <f aca="false">IF(M930=0,"",IF(TRIM(Raw_Data!M930)="","Not Recorded",TRIM(Raw_Data!M930)))</f>
        <v/>
      </c>
      <c r="P930" s="16" t="n">
        <f aca="false">ROUND((IF(C930="",AsOfDate,C930)-B930)/365.25,2)</f>
        <v>6.36</v>
      </c>
      <c r="Q930" s="13" t="str">
        <f aca="false">IF(D930="","Unknown",IF(D930&lt;25,"Under 25",IF(D930&lt;35,"25-34",IF(D930&lt;45,"35-44",IF(D930&lt;55,"45-54","55+")))))</f>
        <v>35-44</v>
      </c>
      <c r="R930" s="13" t="str">
        <f aca="false">IF(P930&lt;1,"0-1 yrs",IF(P930&lt;3,"1-3 yrs",IF(P930&lt;5,"3-5 yrs",IF(P930&lt;10,"5-10 yrs","10+ yrs"))))</f>
        <v>5-10 yrs</v>
      </c>
      <c r="S930" s="13" t="str">
        <f aca="false">IF(I930&gt;=4,"High",IF(I930=3,"Medium","Low"))</f>
        <v>High</v>
      </c>
      <c r="T930" s="13" t="str">
        <f aca="false">IF(M930=1,YEAR(C930),"")</f>
        <v/>
      </c>
      <c r="U930" s="13" t="str">
        <f aca="false">IF(M930=1,YEAR(C930)&amp;"-Q"&amp;ROUNDUP(MONTH(C930)/3,0),"")</f>
        <v/>
      </c>
      <c r="V930" s="13" t="str">
        <f aca="false">IF(M930=1,MONTH(C930),"")</f>
        <v/>
      </c>
    </row>
    <row r="931" customFormat="false" ht="15" hidden="false" customHeight="false" outlineLevel="0" collapsed="false">
      <c r="A931" s="13" t="str">
        <f aca="false">TRIM(Raw_Data!A931)</f>
        <v>EMP0930</v>
      </c>
      <c r="B931" s="14" t="n">
        <f aca="false">Raw_Data!B931</f>
        <v>43702</v>
      </c>
      <c r="C931" s="14" t="str">
        <f aca="false">IF(Raw_Data!C931="","",Raw_Data!C931)</f>
        <v/>
      </c>
      <c r="D931" s="13" t="n">
        <f aca="false">IF(Raw_Data!D931="","",Raw_Data!D931)</f>
        <v>27</v>
      </c>
      <c r="E931" s="13" t="str">
        <f aca="false">IF(UPPER(LEFT(TRIM(Raw_Data!E931),1))="M","Male",IF(UPPER(LEFT(TRIM(Raw_Data!E931),1))="F","Female","Unknown"))</f>
        <v>Male</v>
      </c>
      <c r="F931" s="13" t="str">
        <f aca="false">PROPER(TRIM(SUBSTITUTE(Raw_Data!F931,"'","")))</f>
        <v>Masters</v>
      </c>
      <c r="G931" s="13" t="str">
        <f aca="false">PROPER(TRIM(Raw_Data!G931))</f>
        <v>Customer Support</v>
      </c>
      <c r="H931" s="13" t="str">
        <f aca="false">PROPER(TRIM(Raw_Data!H931))</f>
        <v>Analyst</v>
      </c>
      <c r="I931" s="13" t="n">
        <f aca="false">IF(Raw_Data!I931="",DefaultPerf,Raw_Data!I931)</f>
        <v>3</v>
      </c>
      <c r="J931" s="13" t="n">
        <f aca="false">IF(Raw_Data!J931="",DefaultSat,Raw_Data!J931)</f>
        <v>3</v>
      </c>
      <c r="K931" s="15" t="n">
        <f aca="false">Raw_Data!K931</f>
        <v>63000</v>
      </c>
      <c r="L931" s="13" t="str">
        <f aca="false">PROPER(TRIM(Raw_Data!N931))</f>
        <v>No</v>
      </c>
      <c r="M931" s="13" t="n">
        <f aca="false">IF(C931="",0,1)</f>
        <v>0</v>
      </c>
      <c r="N931" s="13" t="str">
        <f aca="false">IF(M931=0,"Active",IF(TRIM(Raw_Data!L931)="","Unknown",PROPER(TRIM(Raw_Data!L931))))</f>
        <v>Active</v>
      </c>
      <c r="O931" s="13" t="str">
        <f aca="false">IF(M931=0,"",IF(TRIM(Raw_Data!M931)="","Not Recorded",TRIM(Raw_Data!M931)))</f>
        <v/>
      </c>
      <c r="P931" s="16" t="n">
        <f aca="false">ROUND((IF(C931="",AsOfDate,C931)-B931)/365.25,2)</f>
        <v>6.35</v>
      </c>
      <c r="Q931" s="13" t="str">
        <f aca="false">IF(D931="","Unknown",IF(D931&lt;25,"Under 25",IF(D931&lt;35,"25-34",IF(D931&lt;45,"35-44",IF(D931&lt;55,"45-54","55+")))))</f>
        <v>25-34</v>
      </c>
      <c r="R931" s="13" t="str">
        <f aca="false">IF(P931&lt;1,"0-1 yrs",IF(P931&lt;3,"1-3 yrs",IF(P931&lt;5,"3-5 yrs",IF(P931&lt;10,"5-10 yrs","10+ yrs"))))</f>
        <v>5-10 yrs</v>
      </c>
      <c r="S931" s="13" t="str">
        <f aca="false">IF(I931&gt;=4,"High",IF(I931=3,"Medium","Low"))</f>
        <v>Medium</v>
      </c>
      <c r="T931" s="13" t="str">
        <f aca="false">IF(M931=1,YEAR(C931),"")</f>
        <v/>
      </c>
      <c r="U931" s="13" t="str">
        <f aca="false">IF(M931=1,YEAR(C931)&amp;"-Q"&amp;ROUNDUP(MONTH(C931)/3,0),"")</f>
        <v/>
      </c>
      <c r="V931" s="13" t="str">
        <f aca="false">IF(M931=1,MONTH(C931),"")</f>
        <v/>
      </c>
    </row>
    <row r="932" customFormat="false" ht="15" hidden="false" customHeight="false" outlineLevel="0" collapsed="false">
      <c r="A932" s="13" t="str">
        <f aca="false">TRIM(Raw_Data!A932)</f>
        <v>EMP0931</v>
      </c>
      <c r="B932" s="14" t="n">
        <f aca="false">Raw_Data!B932</f>
        <v>43704</v>
      </c>
      <c r="C932" s="14" t="n">
        <f aca="false">IF(Raw_Data!C932="","",Raw_Data!C932)</f>
        <v>45583</v>
      </c>
      <c r="D932" s="13" t="n">
        <f aca="false">IF(Raw_Data!D932="","",Raw_Data!D932)</f>
        <v>37</v>
      </c>
      <c r="E932" s="13" t="str">
        <f aca="false">IF(UPPER(LEFT(TRIM(Raw_Data!E932),1))="M","Male",IF(UPPER(LEFT(TRIM(Raw_Data!E932),1))="F","Female","Unknown"))</f>
        <v>Female</v>
      </c>
      <c r="F932" s="13" t="str">
        <f aca="false">PROPER(TRIM(SUBSTITUTE(Raw_Data!F932,"'","")))</f>
        <v>Bachelors</v>
      </c>
      <c r="G932" s="13" t="str">
        <f aca="false">PROPER(TRIM(Raw_Data!G932))</f>
        <v>Operations</v>
      </c>
      <c r="H932" s="13" t="str">
        <f aca="false">PROPER(TRIM(Raw_Data!H932))</f>
        <v>Analyst</v>
      </c>
      <c r="I932" s="13" t="n">
        <f aca="false">IF(Raw_Data!I932="",DefaultPerf,Raw_Data!I932)</f>
        <v>2</v>
      </c>
      <c r="J932" s="13" t="n">
        <f aca="false">IF(Raw_Data!J932="",DefaultSat,Raw_Data!J932)</f>
        <v>3</v>
      </c>
      <c r="K932" s="15" t="n">
        <f aca="false">Raw_Data!K932</f>
        <v>62500</v>
      </c>
      <c r="L932" s="13" t="str">
        <f aca="false">PROPER(TRIM(Raw_Data!N932))</f>
        <v>Yes</v>
      </c>
      <c r="M932" s="13" t="n">
        <f aca="false">IF(C932="",0,1)</f>
        <v>1</v>
      </c>
      <c r="N932" s="13" t="str">
        <f aca="false">IF(M932=0,"Active",IF(TRIM(Raw_Data!L932)="","Unknown",PROPER(TRIM(Raw_Data!L932))))</f>
        <v>Voluntary</v>
      </c>
      <c r="O932" s="13" t="str">
        <f aca="false">IF(M932=0,"",IF(TRIM(Raw_Data!M932)="","Not Recorded",TRIM(Raw_Data!M932)))</f>
        <v>Manager Issues</v>
      </c>
      <c r="P932" s="16" t="n">
        <f aca="false">ROUND((IF(C932="",AsOfDate,C932)-B932)/365.25,2)</f>
        <v>5.14</v>
      </c>
      <c r="Q932" s="13" t="str">
        <f aca="false">IF(D932="","Unknown",IF(D932&lt;25,"Under 25",IF(D932&lt;35,"25-34",IF(D932&lt;45,"35-44",IF(D932&lt;55,"45-54","55+")))))</f>
        <v>35-44</v>
      </c>
      <c r="R932" s="13" t="str">
        <f aca="false">IF(P932&lt;1,"0-1 yrs",IF(P932&lt;3,"1-3 yrs",IF(P932&lt;5,"3-5 yrs",IF(P932&lt;10,"5-10 yrs","10+ yrs"))))</f>
        <v>5-10 yrs</v>
      </c>
      <c r="S932" s="13" t="str">
        <f aca="false">IF(I932&gt;=4,"High",IF(I932=3,"Medium","Low"))</f>
        <v>Low</v>
      </c>
      <c r="T932" s="13" t="n">
        <f aca="false">IF(M932=1,YEAR(C932),"")</f>
        <v>2024</v>
      </c>
      <c r="U932" s="13" t="str">
        <f aca="false">IF(M932=1,YEAR(C932)&amp;"-Q"&amp;ROUNDUP(MONTH(C932)/3,0),"")</f>
        <v>2024-Q4</v>
      </c>
      <c r="V932" s="13" t="n">
        <f aca="false">IF(M932=1,MONTH(C932),"")</f>
        <v>10</v>
      </c>
    </row>
    <row r="933" customFormat="false" ht="15" hidden="false" customHeight="false" outlineLevel="0" collapsed="false">
      <c r="A933" s="13" t="str">
        <f aca="false">TRIM(Raw_Data!A933)</f>
        <v>EMP0932</v>
      </c>
      <c r="B933" s="14" t="n">
        <f aca="false">Raw_Data!B933</f>
        <v>43706</v>
      </c>
      <c r="C933" s="14" t="str">
        <f aca="false">IF(Raw_Data!C933="","",Raw_Data!C933)</f>
        <v/>
      </c>
      <c r="D933" s="13" t="n">
        <f aca="false">IF(Raw_Data!D933="","",Raw_Data!D933)</f>
        <v>27</v>
      </c>
      <c r="E933" s="13" t="str">
        <f aca="false">IF(UPPER(LEFT(TRIM(Raw_Data!E933),1))="M","Male",IF(UPPER(LEFT(TRIM(Raw_Data!E933),1))="F","Female","Unknown"))</f>
        <v>Male</v>
      </c>
      <c r="F933" s="13" t="str">
        <f aca="false">PROPER(TRIM(SUBSTITUTE(Raw_Data!F933,"'","")))</f>
        <v>Bachelors</v>
      </c>
      <c r="G933" s="13" t="str">
        <f aca="false">PROPER(TRIM(Raw_Data!G933))</f>
        <v>Operations</v>
      </c>
      <c r="H933" s="13" t="str">
        <f aca="false">PROPER(TRIM(Raw_Data!H933))</f>
        <v>Team Lead</v>
      </c>
      <c r="I933" s="13" t="n">
        <f aca="false">IF(Raw_Data!I933="",DefaultPerf,Raw_Data!I933)</f>
        <v>3</v>
      </c>
      <c r="J933" s="13" t="n">
        <f aca="false">IF(Raw_Data!J933="",DefaultSat,Raw_Data!J933)</f>
        <v>3</v>
      </c>
      <c r="K933" s="15" t="n">
        <f aca="false">Raw_Data!K933</f>
        <v>124000</v>
      </c>
      <c r="L933" s="13" t="str">
        <f aca="false">PROPER(TRIM(Raw_Data!N933))</f>
        <v>No</v>
      </c>
      <c r="M933" s="13" t="n">
        <f aca="false">IF(C933="",0,1)</f>
        <v>0</v>
      </c>
      <c r="N933" s="13" t="str">
        <f aca="false">IF(M933=0,"Active",IF(TRIM(Raw_Data!L933)="","Unknown",PROPER(TRIM(Raw_Data!L933))))</f>
        <v>Active</v>
      </c>
      <c r="O933" s="13" t="str">
        <f aca="false">IF(M933=0,"",IF(TRIM(Raw_Data!M933)="","Not Recorded",TRIM(Raw_Data!M933)))</f>
        <v/>
      </c>
      <c r="P933" s="16" t="n">
        <f aca="false">ROUND((IF(C933="",AsOfDate,C933)-B933)/365.25,2)</f>
        <v>6.34</v>
      </c>
      <c r="Q933" s="13" t="str">
        <f aca="false">IF(D933="","Unknown",IF(D933&lt;25,"Under 25",IF(D933&lt;35,"25-34",IF(D933&lt;45,"35-44",IF(D933&lt;55,"45-54","55+")))))</f>
        <v>25-34</v>
      </c>
      <c r="R933" s="13" t="str">
        <f aca="false">IF(P933&lt;1,"0-1 yrs",IF(P933&lt;3,"1-3 yrs",IF(P933&lt;5,"3-5 yrs",IF(P933&lt;10,"5-10 yrs","10+ yrs"))))</f>
        <v>5-10 yrs</v>
      </c>
      <c r="S933" s="13" t="str">
        <f aca="false">IF(I933&gt;=4,"High",IF(I933=3,"Medium","Low"))</f>
        <v>Medium</v>
      </c>
      <c r="T933" s="13" t="str">
        <f aca="false">IF(M933=1,YEAR(C933),"")</f>
        <v/>
      </c>
      <c r="U933" s="13" t="str">
        <f aca="false">IF(M933=1,YEAR(C933)&amp;"-Q"&amp;ROUNDUP(MONTH(C933)/3,0),"")</f>
        <v/>
      </c>
      <c r="V933" s="13" t="str">
        <f aca="false">IF(M933=1,MONTH(C933),"")</f>
        <v/>
      </c>
    </row>
    <row r="934" customFormat="false" ht="15" hidden="false" customHeight="false" outlineLevel="0" collapsed="false">
      <c r="A934" s="13" t="str">
        <f aca="false">TRIM(Raw_Data!A934)</f>
        <v>EMP0933</v>
      </c>
      <c r="B934" s="14" t="n">
        <f aca="false">Raw_Data!B934</f>
        <v>43710</v>
      </c>
      <c r="C934" s="14" t="str">
        <f aca="false">IF(Raw_Data!C934="","",Raw_Data!C934)</f>
        <v/>
      </c>
      <c r="D934" s="13" t="n">
        <f aca="false">IF(Raw_Data!D934="","",Raw_Data!D934)</f>
        <v>40</v>
      </c>
      <c r="E934" s="13" t="str">
        <f aca="false">IF(UPPER(LEFT(TRIM(Raw_Data!E934),1))="M","Male",IF(UPPER(LEFT(TRIM(Raw_Data!E934),1))="F","Female","Unknown"))</f>
        <v>Male</v>
      </c>
      <c r="F934" s="13" t="str">
        <f aca="false">PROPER(TRIM(SUBSTITUTE(Raw_Data!F934,"'","")))</f>
        <v>Masters</v>
      </c>
      <c r="G934" s="13" t="str">
        <f aca="false">PROPER(TRIM(Raw_Data!G934))</f>
        <v>Operations</v>
      </c>
      <c r="H934" s="13" t="str">
        <f aca="false">PROPER(TRIM(Raw_Data!H934))</f>
        <v>Analyst</v>
      </c>
      <c r="I934" s="13" t="n">
        <f aca="false">IF(Raw_Data!I934="",DefaultPerf,Raw_Data!I934)</f>
        <v>3</v>
      </c>
      <c r="J934" s="13" t="n">
        <f aca="false">IF(Raw_Data!J934="",DefaultSat,Raw_Data!J934)</f>
        <v>3</v>
      </c>
      <c r="K934" s="15" t="n">
        <f aca="false">Raw_Data!K934</f>
        <v>68500</v>
      </c>
      <c r="L934" s="13" t="str">
        <f aca="false">PROPER(TRIM(Raw_Data!N934))</f>
        <v>No</v>
      </c>
      <c r="M934" s="13" t="n">
        <f aca="false">IF(C934="",0,1)</f>
        <v>0</v>
      </c>
      <c r="N934" s="13" t="str">
        <f aca="false">IF(M934=0,"Active",IF(TRIM(Raw_Data!L934)="","Unknown",PROPER(TRIM(Raw_Data!L934))))</f>
        <v>Active</v>
      </c>
      <c r="O934" s="13" t="str">
        <f aca="false">IF(M934=0,"",IF(TRIM(Raw_Data!M934)="","Not Recorded",TRIM(Raw_Data!M934)))</f>
        <v/>
      </c>
      <c r="P934" s="16" t="n">
        <f aca="false">ROUND((IF(C934="",AsOfDate,C934)-B934)/365.25,2)</f>
        <v>6.33</v>
      </c>
      <c r="Q934" s="13" t="str">
        <f aca="false">IF(D934="","Unknown",IF(D934&lt;25,"Under 25",IF(D934&lt;35,"25-34",IF(D934&lt;45,"35-44",IF(D934&lt;55,"45-54","55+")))))</f>
        <v>35-44</v>
      </c>
      <c r="R934" s="13" t="str">
        <f aca="false">IF(P934&lt;1,"0-1 yrs",IF(P934&lt;3,"1-3 yrs",IF(P934&lt;5,"3-5 yrs",IF(P934&lt;10,"5-10 yrs","10+ yrs"))))</f>
        <v>5-10 yrs</v>
      </c>
      <c r="S934" s="13" t="str">
        <f aca="false">IF(I934&gt;=4,"High",IF(I934=3,"Medium","Low"))</f>
        <v>Medium</v>
      </c>
      <c r="T934" s="13" t="str">
        <f aca="false">IF(M934=1,YEAR(C934),"")</f>
        <v/>
      </c>
      <c r="U934" s="13" t="str">
        <f aca="false">IF(M934=1,YEAR(C934)&amp;"-Q"&amp;ROUNDUP(MONTH(C934)/3,0),"")</f>
        <v/>
      </c>
      <c r="V934" s="13" t="str">
        <f aca="false">IF(M934=1,MONTH(C934),"")</f>
        <v/>
      </c>
    </row>
    <row r="935" customFormat="false" ht="15" hidden="false" customHeight="false" outlineLevel="0" collapsed="false">
      <c r="A935" s="13" t="str">
        <f aca="false">TRIM(Raw_Data!A935)</f>
        <v>EMP0934</v>
      </c>
      <c r="B935" s="14" t="n">
        <f aca="false">Raw_Data!B935</f>
        <v>43710</v>
      </c>
      <c r="C935" s="14" t="str">
        <f aca="false">IF(Raw_Data!C935="","",Raw_Data!C935)</f>
        <v/>
      </c>
      <c r="D935" s="13" t="n">
        <f aca="false">IF(Raw_Data!D935="","",Raw_Data!D935)</f>
        <v>35</v>
      </c>
      <c r="E935" s="13" t="str">
        <f aca="false">IF(UPPER(LEFT(TRIM(Raw_Data!E935),1))="M","Male",IF(UPPER(LEFT(TRIM(Raw_Data!E935),1))="F","Female","Unknown"))</f>
        <v>Male</v>
      </c>
      <c r="F935" s="13" t="str">
        <f aca="false">PROPER(TRIM(SUBSTITUTE(Raw_Data!F935,"'","")))</f>
        <v>Bachelors</v>
      </c>
      <c r="G935" s="13" t="str">
        <f aca="false">PROPER(TRIM(Raw_Data!G935))</f>
        <v>Operations</v>
      </c>
      <c r="H935" s="13" t="str">
        <f aca="false">PROPER(TRIM(Raw_Data!H935))</f>
        <v>Analyst</v>
      </c>
      <c r="I935" s="13" t="n">
        <f aca="false">IF(Raw_Data!I935="",DefaultPerf,Raw_Data!I935)</f>
        <v>3</v>
      </c>
      <c r="J935" s="13" t="n">
        <f aca="false">IF(Raw_Data!J935="",DefaultSat,Raw_Data!J935)</f>
        <v>4</v>
      </c>
      <c r="K935" s="15" t="n">
        <f aca="false">Raw_Data!K935</f>
        <v>81000</v>
      </c>
      <c r="L935" s="13" t="str">
        <f aca="false">PROPER(TRIM(Raw_Data!N935))</f>
        <v>Yes</v>
      </c>
      <c r="M935" s="13" t="n">
        <f aca="false">IF(C935="",0,1)</f>
        <v>0</v>
      </c>
      <c r="N935" s="13" t="str">
        <f aca="false">IF(M935=0,"Active",IF(TRIM(Raw_Data!L935)="","Unknown",PROPER(TRIM(Raw_Data!L935))))</f>
        <v>Active</v>
      </c>
      <c r="O935" s="13" t="str">
        <f aca="false">IF(M935=0,"",IF(TRIM(Raw_Data!M935)="","Not Recorded",TRIM(Raw_Data!M935)))</f>
        <v/>
      </c>
      <c r="P935" s="16" t="n">
        <f aca="false">ROUND((IF(C935="",AsOfDate,C935)-B935)/365.25,2)</f>
        <v>6.33</v>
      </c>
      <c r="Q935" s="13" t="str">
        <f aca="false">IF(D935="","Unknown",IF(D935&lt;25,"Under 25",IF(D935&lt;35,"25-34",IF(D935&lt;45,"35-44",IF(D935&lt;55,"45-54","55+")))))</f>
        <v>35-44</v>
      </c>
      <c r="R935" s="13" t="str">
        <f aca="false">IF(P935&lt;1,"0-1 yrs",IF(P935&lt;3,"1-3 yrs",IF(P935&lt;5,"3-5 yrs",IF(P935&lt;10,"5-10 yrs","10+ yrs"))))</f>
        <v>5-10 yrs</v>
      </c>
      <c r="S935" s="13" t="str">
        <f aca="false">IF(I935&gt;=4,"High",IF(I935=3,"Medium","Low"))</f>
        <v>Medium</v>
      </c>
      <c r="T935" s="13" t="str">
        <f aca="false">IF(M935=1,YEAR(C935),"")</f>
        <v/>
      </c>
      <c r="U935" s="13" t="str">
        <f aca="false">IF(M935=1,YEAR(C935)&amp;"-Q"&amp;ROUNDUP(MONTH(C935)/3,0),"")</f>
        <v/>
      </c>
      <c r="V935" s="13" t="str">
        <f aca="false">IF(M935=1,MONTH(C935),"")</f>
        <v/>
      </c>
    </row>
    <row r="936" customFormat="false" ht="15" hidden="false" customHeight="false" outlineLevel="0" collapsed="false">
      <c r="A936" s="13" t="str">
        <f aca="false">TRIM(Raw_Data!A936)</f>
        <v>EMP0935</v>
      </c>
      <c r="B936" s="14" t="n">
        <f aca="false">Raw_Data!B936</f>
        <v>43714</v>
      </c>
      <c r="C936" s="14" t="n">
        <f aca="false">IF(Raw_Data!C936="","",Raw_Data!C936)</f>
        <v>45096</v>
      </c>
      <c r="D936" s="13" t="n">
        <f aca="false">IF(Raw_Data!D936="","",Raw_Data!D936)</f>
        <v>37</v>
      </c>
      <c r="E936" s="13" t="str">
        <f aca="false">IF(UPPER(LEFT(TRIM(Raw_Data!E936),1))="M","Male",IF(UPPER(LEFT(TRIM(Raw_Data!E936),1))="F","Female","Unknown"))</f>
        <v>Female</v>
      </c>
      <c r="F936" s="13" t="str">
        <f aca="false">PROPER(TRIM(SUBSTITUTE(Raw_Data!F936,"'","")))</f>
        <v>High School</v>
      </c>
      <c r="G936" s="13" t="str">
        <f aca="false">PROPER(TRIM(Raw_Data!G936))</f>
        <v>Sales</v>
      </c>
      <c r="H936" s="13" t="str">
        <f aca="false">PROPER(TRIM(Raw_Data!H936))</f>
        <v>Associate</v>
      </c>
      <c r="I936" s="13" t="n">
        <f aca="false">IF(Raw_Data!I936="",DefaultPerf,Raw_Data!I936)</f>
        <v>3</v>
      </c>
      <c r="J936" s="13" t="n">
        <f aca="false">IF(Raw_Data!J936="",DefaultSat,Raw_Data!J936)</f>
        <v>2</v>
      </c>
      <c r="K936" s="15" t="n">
        <f aca="false">Raw_Data!K936</f>
        <v>42500</v>
      </c>
      <c r="L936" s="13" t="str">
        <f aca="false">PROPER(TRIM(Raw_Data!N936))</f>
        <v>Yes</v>
      </c>
      <c r="M936" s="13" t="n">
        <f aca="false">IF(C936="",0,1)</f>
        <v>1</v>
      </c>
      <c r="N936" s="13" t="str">
        <f aca="false">IF(M936=0,"Active",IF(TRIM(Raw_Data!L936)="","Unknown",PROPER(TRIM(Raw_Data!L936))))</f>
        <v>Voluntary</v>
      </c>
      <c r="O936" s="13" t="str">
        <f aca="false">IF(M936=0,"",IF(TRIM(Raw_Data!M936)="","Not Recorded",TRIM(Raw_Data!M936)))</f>
        <v>Further Studies</v>
      </c>
      <c r="P936" s="16" t="n">
        <f aca="false">ROUND((IF(C936="",AsOfDate,C936)-B936)/365.25,2)</f>
        <v>3.78</v>
      </c>
      <c r="Q936" s="13" t="str">
        <f aca="false">IF(D936="","Unknown",IF(D936&lt;25,"Under 25",IF(D936&lt;35,"25-34",IF(D936&lt;45,"35-44",IF(D936&lt;55,"45-54","55+")))))</f>
        <v>35-44</v>
      </c>
      <c r="R936" s="13" t="str">
        <f aca="false">IF(P936&lt;1,"0-1 yrs",IF(P936&lt;3,"1-3 yrs",IF(P936&lt;5,"3-5 yrs",IF(P936&lt;10,"5-10 yrs","10+ yrs"))))</f>
        <v>3-5 yrs</v>
      </c>
      <c r="S936" s="13" t="str">
        <f aca="false">IF(I936&gt;=4,"High",IF(I936=3,"Medium","Low"))</f>
        <v>Medium</v>
      </c>
      <c r="T936" s="13" t="n">
        <f aca="false">IF(M936=1,YEAR(C936),"")</f>
        <v>2023</v>
      </c>
      <c r="U936" s="13" t="str">
        <f aca="false">IF(M936=1,YEAR(C936)&amp;"-Q"&amp;ROUNDUP(MONTH(C936)/3,0),"")</f>
        <v>2023-Q2</v>
      </c>
      <c r="V936" s="13" t="n">
        <f aca="false">IF(M936=1,MONTH(C936),"")</f>
        <v>6</v>
      </c>
    </row>
    <row r="937" customFormat="false" ht="15" hidden="false" customHeight="false" outlineLevel="0" collapsed="false">
      <c r="A937" s="13" t="str">
        <f aca="false">TRIM(Raw_Data!A937)</f>
        <v>EMP0936</v>
      </c>
      <c r="B937" s="14" t="n">
        <f aca="false">Raw_Data!B937</f>
        <v>43718</v>
      </c>
      <c r="C937" s="14" t="str">
        <f aca="false">IF(Raw_Data!C937="","",Raw_Data!C937)</f>
        <v/>
      </c>
      <c r="D937" s="13" t="n">
        <f aca="false">IF(Raw_Data!D937="","",Raw_Data!D937)</f>
        <v>27</v>
      </c>
      <c r="E937" s="13" t="str">
        <f aca="false">IF(UPPER(LEFT(TRIM(Raw_Data!E937),1))="M","Male",IF(UPPER(LEFT(TRIM(Raw_Data!E937),1))="F","Female","Unknown"))</f>
        <v>Male</v>
      </c>
      <c r="F937" s="13" t="str">
        <f aca="false">PROPER(TRIM(SUBSTITUTE(Raw_Data!F937,"'","")))</f>
        <v>Bachelors</v>
      </c>
      <c r="G937" s="13" t="str">
        <f aca="false">PROPER(TRIM(Raw_Data!G937))</f>
        <v>Engineering</v>
      </c>
      <c r="H937" s="13" t="str">
        <f aca="false">PROPER(TRIM(Raw_Data!H937))</f>
        <v>Analyst</v>
      </c>
      <c r="I937" s="13" t="n">
        <f aca="false">IF(Raw_Data!I937="",DefaultPerf,Raw_Data!I937)</f>
        <v>5</v>
      </c>
      <c r="J937" s="13" t="n">
        <f aca="false">IF(Raw_Data!J937="",DefaultSat,Raw_Data!J937)</f>
        <v>4</v>
      </c>
      <c r="K937" s="15" t="n">
        <f aca="false">Raw_Data!K937</f>
        <v>67000</v>
      </c>
      <c r="L937" s="13" t="str">
        <f aca="false">PROPER(TRIM(Raw_Data!N937))</f>
        <v>No</v>
      </c>
      <c r="M937" s="13" t="n">
        <f aca="false">IF(C937="",0,1)</f>
        <v>0</v>
      </c>
      <c r="N937" s="13" t="str">
        <f aca="false">IF(M937=0,"Active",IF(TRIM(Raw_Data!L937)="","Unknown",PROPER(TRIM(Raw_Data!L937))))</f>
        <v>Active</v>
      </c>
      <c r="O937" s="13" t="str">
        <f aca="false">IF(M937=0,"",IF(TRIM(Raw_Data!M937)="","Not Recorded",TRIM(Raw_Data!M937)))</f>
        <v/>
      </c>
      <c r="P937" s="16" t="n">
        <f aca="false">ROUND((IF(C937="",AsOfDate,C937)-B937)/365.25,2)</f>
        <v>6.31</v>
      </c>
      <c r="Q937" s="13" t="str">
        <f aca="false">IF(D937="","Unknown",IF(D937&lt;25,"Under 25",IF(D937&lt;35,"25-34",IF(D937&lt;45,"35-44",IF(D937&lt;55,"45-54","55+")))))</f>
        <v>25-34</v>
      </c>
      <c r="R937" s="13" t="str">
        <f aca="false">IF(P937&lt;1,"0-1 yrs",IF(P937&lt;3,"1-3 yrs",IF(P937&lt;5,"3-5 yrs",IF(P937&lt;10,"5-10 yrs","10+ yrs"))))</f>
        <v>5-10 yrs</v>
      </c>
      <c r="S937" s="13" t="str">
        <f aca="false">IF(I937&gt;=4,"High",IF(I937=3,"Medium","Low"))</f>
        <v>High</v>
      </c>
      <c r="T937" s="13" t="str">
        <f aca="false">IF(M937=1,YEAR(C937),"")</f>
        <v/>
      </c>
      <c r="U937" s="13" t="str">
        <f aca="false">IF(M937=1,YEAR(C937)&amp;"-Q"&amp;ROUNDUP(MONTH(C937)/3,0),"")</f>
        <v/>
      </c>
      <c r="V937" s="13" t="str">
        <f aca="false">IF(M937=1,MONTH(C937),"")</f>
        <v/>
      </c>
    </row>
    <row r="938" customFormat="false" ht="15" hidden="false" customHeight="false" outlineLevel="0" collapsed="false">
      <c r="A938" s="13" t="str">
        <f aca="false">TRIM(Raw_Data!A938)</f>
        <v>EMP0937</v>
      </c>
      <c r="B938" s="14" t="n">
        <f aca="false">Raw_Data!B938</f>
        <v>43722</v>
      </c>
      <c r="C938" s="14" t="str">
        <f aca="false">IF(Raw_Data!C938="","",Raw_Data!C938)</f>
        <v/>
      </c>
      <c r="D938" s="13" t="n">
        <f aca="false">IF(Raw_Data!D938="","",Raw_Data!D938)</f>
        <v>36</v>
      </c>
      <c r="E938" s="13" t="str">
        <f aca="false">IF(UPPER(LEFT(TRIM(Raw_Data!E938),1))="M","Male",IF(UPPER(LEFT(TRIM(Raw_Data!E938),1))="F","Female","Unknown"))</f>
        <v>Male</v>
      </c>
      <c r="F938" s="13" t="str">
        <f aca="false">PROPER(TRIM(SUBSTITUTE(Raw_Data!F938,"'","")))</f>
        <v>Masters</v>
      </c>
      <c r="G938" s="13" t="str">
        <f aca="false">PROPER(TRIM(Raw_Data!G938))</f>
        <v>Customer Support</v>
      </c>
      <c r="H938" s="13" t="str">
        <f aca="false">PROPER(TRIM(Raw_Data!H938))</f>
        <v>Associate</v>
      </c>
      <c r="I938" s="13" t="n">
        <f aca="false">IF(Raw_Data!I938="",DefaultPerf,Raw_Data!I938)</f>
        <v>3</v>
      </c>
      <c r="J938" s="13" t="n">
        <f aca="false">IF(Raw_Data!J938="",DefaultSat,Raw_Data!J938)</f>
        <v>1</v>
      </c>
      <c r="K938" s="15" t="n">
        <f aca="false">Raw_Data!K938</f>
        <v>37000</v>
      </c>
      <c r="L938" s="13" t="str">
        <f aca="false">PROPER(TRIM(Raw_Data!N938))</f>
        <v>No</v>
      </c>
      <c r="M938" s="13" t="n">
        <f aca="false">IF(C938="",0,1)</f>
        <v>0</v>
      </c>
      <c r="N938" s="13" t="str">
        <f aca="false">IF(M938=0,"Active",IF(TRIM(Raw_Data!L938)="","Unknown",PROPER(TRIM(Raw_Data!L938))))</f>
        <v>Active</v>
      </c>
      <c r="O938" s="13" t="str">
        <f aca="false">IF(M938=0,"",IF(TRIM(Raw_Data!M938)="","Not Recorded",TRIM(Raw_Data!M938)))</f>
        <v/>
      </c>
      <c r="P938" s="16" t="n">
        <f aca="false">ROUND((IF(C938="",AsOfDate,C938)-B938)/365.25,2)</f>
        <v>6.3</v>
      </c>
      <c r="Q938" s="13" t="str">
        <f aca="false">IF(D938="","Unknown",IF(D938&lt;25,"Under 25",IF(D938&lt;35,"25-34",IF(D938&lt;45,"35-44",IF(D938&lt;55,"45-54","55+")))))</f>
        <v>35-44</v>
      </c>
      <c r="R938" s="13" t="str">
        <f aca="false">IF(P938&lt;1,"0-1 yrs",IF(P938&lt;3,"1-3 yrs",IF(P938&lt;5,"3-5 yrs",IF(P938&lt;10,"5-10 yrs","10+ yrs"))))</f>
        <v>5-10 yrs</v>
      </c>
      <c r="S938" s="13" t="str">
        <f aca="false">IF(I938&gt;=4,"High",IF(I938=3,"Medium","Low"))</f>
        <v>Medium</v>
      </c>
      <c r="T938" s="13" t="str">
        <f aca="false">IF(M938=1,YEAR(C938),"")</f>
        <v/>
      </c>
      <c r="U938" s="13" t="str">
        <f aca="false">IF(M938=1,YEAR(C938)&amp;"-Q"&amp;ROUNDUP(MONTH(C938)/3,0),"")</f>
        <v/>
      </c>
      <c r="V938" s="13" t="str">
        <f aca="false">IF(M938=1,MONTH(C938),"")</f>
        <v/>
      </c>
    </row>
    <row r="939" customFormat="false" ht="15" hidden="false" customHeight="false" outlineLevel="0" collapsed="false">
      <c r="A939" s="13" t="str">
        <f aca="false">TRIM(Raw_Data!A939)</f>
        <v>EMP0938</v>
      </c>
      <c r="B939" s="14" t="n">
        <f aca="false">Raw_Data!B939</f>
        <v>43723</v>
      </c>
      <c r="C939" s="14" t="str">
        <f aca="false">IF(Raw_Data!C939="","",Raw_Data!C939)</f>
        <v/>
      </c>
      <c r="D939" s="13" t="n">
        <f aca="false">IF(Raw_Data!D939="","",Raw_Data!D939)</f>
        <v>27</v>
      </c>
      <c r="E939" s="13" t="str">
        <f aca="false">IF(UPPER(LEFT(TRIM(Raw_Data!E939),1))="M","Male",IF(UPPER(LEFT(TRIM(Raw_Data!E939),1))="F","Female","Unknown"))</f>
        <v>Male</v>
      </c>
      <c r="F939" s="13" t="str">
        <f aca="false">PROPER(TRIM(SUBSTITUTE(Raw_Data!F939,"'","")))</f>
        <v>Bachelors</v>
      </c>
      <c r="G939" s="13" t="str">
        <f aca="false">PROPER(TRIM(Raw_Data!G939))</f>
        <v>Customer Support</v>
      </c>
      <c r="H939" s="13" t="str">
        <f aca="false">PROPER(TRIM(Raw_Data!H939))</f>
        <v>Analyst</v>
      </c>
      <c r="I939" s="13" t="n">
        <f aca="false">IF(Raw_Data!I939="",DefaultPerf,Raw_Data!I939)</f>
        <v>4</v>
      </c>
      <c r="J939" s="13" t="n">
        <f aca="false">IF(Raw_Data!J939="",DefaultSat,Raw_Data!J939)</f>
        <v>3</v>
      </c>
      <c r="K939" s="15" t="n">
        <f aca="false">Raw_Data!K939</f>
        <v>75000</v>
      </c>
      <c r="L939" s="13" t="str">
        <f aca="false">PROPER(TRIM(Raw_Data!N939))</f>
        <v>No</v>
      </c>
      <c r="M939" s="13" t="n">
        <f aca="false">IF(C939="",0,1)</f>
        <v>0</v>
      </c>
      <c r="N939" s="13" t="str">
        <f aca="false">IF(M939=0,"Active",IF(TRIM(Raw_Data!L939)="","Unknown",PROPER(TRIM(Raw_Data!L939))))</f>
        <v>Active</v>
      </c>
      <c r="O939" s="13" t="str">
        <f aca="false">IF(M939=0,"",IF(TRIM(Raw_Data!M939)="","Not Recorded",TRIM(Raw_Data!M939)))</f>
        <v/>
      </c>
      <c r="P939" s="16" t="n">
        <f aca="false">ROUND((IF(C939="",AsOfDate,C939)-B939)/365.25,2)</f>
        <v>6.29</v>
      </c>
      <c r="Q939" s="13" t="str">
        <f aca="false">IF(D939="","Unknown",IF(D939&lt;25,"Under 25",IF(D939&lt;35,"25-34",IF(D939&lt;45,"35-44",IF(D939&lt;55,"45-54","55+")))))</f>
        <v>25-34</v>
      </c>
      <c r="R939" s="13" t="str">
        <f aca="false">IF(P939&lt;1,"0-1 yrs",IF(P939&lt;3,"1-3 yrs",IF(P939&lt;5,"3-5 yrs",IF(P939&lt;10,"5-10 yrs","10+ yrs"))))</f>
        <v>5-10 yrs</v>
      </c>
      <c r="S939" s="13" t="str">
        <f aca="false">IF(I939&gt;=4,"High",IF(I939=3,"Medium","Low"))</f>
        <v>High</v>
      </c>
      <c r="T939" s="13" t="str">
        <f aca="false">IF(M939=1,YEAR(C939),"")</f>
        <v/>
      </c>
      <c r="U939" s="13" t="str">
        <f aca="false">IF(M939=1,YEAR(C939)&amp;"-Q"&amp;ROUNDUP(MONTH(C939)/3,0),"")</f>
        <v/>
      </c>
      <c r="V939" s="13" t="str">
        <f aca="false">IF(M939=1,MONTH(C939),"")</f>
        <v/>
      </c>
    </row>
    <row r="940" customFormat="false" ht="15" hidden="false" customHeight="false" outlineLevel="0" collapsed="false">
      <c r="A940" s="13" t="str">
        <f aca="false">TRIM(Raw_Data!A940)</f>
        <v>EMP0939</v>
      </c>
      <c r="B940" s="14" t="n">
        <f aca="false">Raw_Data!B940</f>
        <v>43723</v>
      </c>
      <c r="C940" s="14" t="str">
        <f aca="false">IF(Raw_Data!C940="","",Raw_Data!C940)</f>
        <v/>
      </c>
      <c r="D940" s="13" t="n">
        <f aca="false">IF(Raw_Data!D940="","",Raw_Data!D940)</f>
        <v>40</v>
      </c>
      <c r="E940" s="13" t="str">
        <f aca="false">IF(UPPER(LEFT(TRIM(Raw_Data!E940),1))="M","Male",IF(UPPER(LEFT(TRIM(Raw_Data!E940),1))="F","Female","Unknown"))</f>
        <v>Female</v>
      </c>
      <c r="F940" s="13" t="str">
        <f aca="false">PROPER(TRIM(SUBSTITUTE(Raw_Data!F940,"'","")))</f>
        <v>Bachelors</v>
      </c>
      <c r="G940" s="13" t="str">
        <f aca="false">PROPER(TRIM(Raw_Data!G940))</f>
        <v>Sales</v>
      </c>
      <c r="H940" s="13" t="str">
        <f aca="false">PROPER(TRIM(Raw_Data!H940))</f>
        <v>Analyst</v>
      </c>
      <c r="I940" s="13" t="n">
        <f aca="false">IF(Raw_Data!I940="",DefaultPerf,Raw_Data!I940)</f>
        <v>4</v>
      </c>
      <c r="J940" s="13" t="n">
        <f aca="false">IF(Raw_Data!J940="",DefaultSat,Raw_Data!J940)</f>
        <v>3</v>
      </c>
      <c r="K940" s="15" t="n">
        <f aca="false">Raw_Data!K940</f>
        <v>69500</v>
      </c>
      <c r="L940" s="13" t="str">
        <f aca="false">PROPER(TRIM(Raw_Data!N940))</f>
        <v>No</v>
      </c>
      <c r="M940" s="13" t="n">
        <f aca="false">IF(C940="",0,1)</f>
        <v>0</v>
      </c>
      <c r="N940" s="13" t="str">
        <f aca="false">IF(M940=0,"Active",IF(TRIM(Raw_Data!L940)="","Unknown",PROPER(TRIM(Raw_Data!L940))))</f>
        <v>Active</v>
      </c>
      <c r="O940" s="13" t="str">
        <f aca="false">IF(M940=0,"",IF(TRIM(Raw_Data!M940)="","Not Recorded",TRIM(Raw_Data!M940)))</f>
        <v/>
      </c>
      <c r="P940" s="16" t="n">
        <f aca="false">ROUND((IF(C940="",AsOfDate,C940)-B940)/365.25,2)</f>
        <v>6.29</v>
      </c>
      <c r="Q940" s="13" t="str">
        <f aca="false">IF(D940="","Unknown",IF(D940&lt;25,"Under 25",IF(D940&lt;35,"25-34",IF(D940&lt;45,"35-44",IF(D940&lt;55,"45-54","55+")))))</f>
        <v>35-44</v>
      </c>
      <c r="R940" s="13" t="str">
        <f aca="false">IF(P940&lt;1,"0-1 yrs",IF(P940&lt;3,"1-3 yrs",IF(P940&lt;5,"3-5 yrs",IF(P940&lt;10,"5-10 yrs","10+ yrs"))))</f>
        <v>5-10 yrs</v>
      </c>
      <c r="S940" s="13" t="str">
        <f aca="false">IF(I940&gt;=4,"High",IF(I940=3,"Medium","Low"))</f>
        <v>High</v>
      </c>
      <c r="T940" s="13" t="str">
        <f aca="false">IF(M940=1,YEAR(C940),"")</f>
        <v/>
      </c>
      <c r="U940" s="13" t="str">
        <f aca="false">IF(M940=1,YEAR(C940)&amp;"-Q"&amp;ROUNDUP(MONTH(C940)/3,0),"")</f>
        <v/>
      </c>
      <c r="V940" s="13" t="str">
        <f aca="false">IF(M940=1,MONTH(C940),"")</f>
        <v/>
      </c>
    </row>
    <row r="941" customFormat="false" ht="15" hidden="false" customHeight="false" outlineLevel="0" collapsed="false">
      <c r="A941" s="13" t="str">
        <f aca="false">TRIM(Raw_Data!A941)</f>
        <v>EMP0940</v>
      </c>
      <c r="B941" s="14" t="n">
        <f aca="false">Raw_Data!B941</f>
        <v>43724</v>
      </c>
      <c r="C941" s="14" t="str">
        <f aca="false">IF(Raw_Data!C941="","",Raw_Data!C941)</f>
        <v/>
      </c>
      <c r="D941" s="13" t="n">
        <f aca="false">IF(Raw_Data!D941="","",Raw_Data!D941)</f>
        <v>35</v>
      </c>
      <c r="E941" s="13" t="str">
        <f aca="false">IF(UPPER(LEFT(TRIM(Raw_Data!E941),1))="M","Male",IF(UPPER(LEFT(TRIM(Raw_Data!E941),1))="F","Female","Unknown"))</f>
        <v>Female</v>
      </c>
      <c r="F941" s="13" t="str">
        <f aca="false">PROPER(TRIM(SUBSTITUTE(Raw_Data!F941,"'","")))</f>
        <v>Bachelors</v>
      </c>
      <c r="G941" s="13" t="str">
        <f aca="false">PROPER(TRIM(Raw_Data!G941))</f>
        <v>Engineering</v>
      </c>
      <c r="H941" s="13" t="str">
        <f aca="false">PROPER(TRIM(Raw_Data!H941))</f>
        <v>Associate</v>
      </c>
      <c r="I941" s="13" t="n">
        <f aca="false">IF(Raw_Data!I941="",DefaultPerf,Raw_Data!I941)</f>
        <v>4</v>
      </c>
      <c r="J941" s="13" t="n">
        <f aca="false">IF(Raw_Data!J941="",DefaultSat,Raw_Data!J941)</f>
        <v>4</v>
      </c>
      <c r="K941" s="15" t="n">
        <f aca="false">Raw_Data!K941</f>
        <v>41000</v>
      </c>
      <c r="L941" s="13" t="str">
        <f aca="false">PROPER(TRIM(Raw_Data!N941))</f>
        <v>No</v>
      </c>
      <c r="M941" s="13" t="n">
        <f aca="false">IF(C941="",0,1)</f>
        <v>0</v>
      </c>
      <c r="N941" s="13" t="str">
        <f aca="false">IF(M941=0,"Active",IF(TRIM(Raw_Data!L941)="","Unknown",PROPER(TRIM(Raw_Data!L941))))</f>
        <v>Active</v>
      </c>
      <c r="O941" s="13" t="str">
        <f aca="false">IF(M941=0,"",IF(TRIM(Raw_Data!M941)="","Not Recorded",TRIM(Raw_Data!M941)))</f>
        <v/>
      </c>
      <c r="P941" s="16" t="n">
        <f aca="false">ROUND((IF(C941="",AsOfDate,C941)-B941)/365.25,2)</f>
        <v>6.29</v>
      </c>
      <c r="Q941" s="13" t="str">
        <f aca="false">IF(D941="","Unknown",IF(D941&lt;25,"Under 25",IF(D941&lt;35,"25-34",IF(D941&lt;45,"35-44",IF(D941&lt;55,"45-54","55+")))))</f>
        <v>35-44</v>
      </c>
      <c r="R941" s="13" t="str">
        <f aca="false">IF(P941&lt;1,"0-1 yrs",IF(P941&lt;3,"1-3 yrs",IF(P941&lt;5,"3-5 yrs",IF(P941&lt;10,"5-10 yrs","10+ yrs"))))</f>
        <v>5-10 yrs</v>
      </c>
      <c r="S941" s="13" t="str">
        <f aca="false">IF(I941&gt;=4,"High",IF(I941=3,"Medium","Low"))</f>
        <v>High</v>
      </c>
      <c r="T941" s="13" t="str">
        <f aca="false">IF(M941=1,YEAR(C941),"")</f>
        <v/>
      </c>
      <c r="U941" s="13" t="str">
        <f aca="false">IF(M941=1,YEAR(C941)&amp;"-Q"&amp;ROUNDUP(MONTH(C941)/3,0),"")</f>
        <v/>
      </c>
      <c r="V941" s="13" t="str">
        <f aca="false">IF(M941=1,MONTH(C941),"")</f>
        <v/>
      </c>
    </row>
    <row r="942" customFormat="false" ht="15" hidden="false" customHeight="false" outlineLevel="0" collapsed="false">
      <c r="A942" s="13" t="str">
        <f aca="false">TRIM(Raw_Data!A942)</f>
        <v>EMP0941</v>
      </c>
      <c r="B942" s="14" t="n">
        <f aca="false">Raw_Data!B942</f>
        <v>43727</v>
      </c>
      <c r="C942" s="14" t="n">
        <f aca="false">IF(Raw_Data!C942="","",Raw_Data!C942)</f>
        <v>44715</v>
      </c>
      <c r="D942" s="13" t="n">
        <f aca="false">IF(Raw_Data!D942="","",Raw_Data!D942)</f>
        <v>25</v>
      </c>
      <c r="E942" s="13" t="str">
        <f aca="false">IF(UPPER(LEFT(TRIM(Raw_Data!E942),1))="M","Male",IF(UPPER(LEFT(TRIM(Raw_Data!E942),1))="F","Female","Unknown"))</f>
        <v>Female</v>
      </c>
      <c r="F942" s="13" t="str">
        <f aca="false">PROPER(TRIM(SUBSTITUTE(Raw_Data!F942,"'","")))</f>
        <v>Masters</v>
      </c>
      <c r="G942" s="13" t="str">
        <f aca="false">PROPER(TRIM(Raw_Data!G942))</f>
        <v>Engineering</v>
      </c>
      <c r="H942" s="13" t="str">
        <f aca="false">PROPER(TRIM(Raw_Data!H942))</f>
        <v>Associate</v>
      </c>
      <c r="I942" s="13" t="n">
        <f aca="false">IF(Raw_Data!I942="",DefaultPerf,Raw_Data!I942)</f>
        <v>4</v>
      </c>
      <c r="J942" s="13" t="n">
        <f aca="false">IF(Raw_Data!J942="",DefaultSat,Raw_Data!J942)</f>
        <v>2</v>
      </c>
      <c r="K942" s="15" t="n">
        <f aca="false">Raw_Data!K942</f>
        <v>47000</v>
      </c>
      <c r="L942" s="13" t="str">
        <f aca="false">PROPER(TRIM(Raw_Data!N942))</f>
        <v>No</v>
      </c>
      <c r="M942" s="13" t="n">
        <f aca="false">IF(C942="",0,1)</f>
        <v>1</v>
      </c>
      <c r="N942" s="13" t="str">
        <f aca="false">IF(M942=0,"Active",IF(TRIM(Raw_Data!L942)="","Unknown",PROPER(TRIM(Raw_Data!L942))))</f>
        <v>Voluntary</v>
      </c>
      <c r="O942" s="13" t="str">
        <f aca="false">IF(M942=0,"",IF(TRIM(Raw_Data!M942)="","Not Recorded",TRIM(Raw_Data!M942)))</f>
        <v>Job Dissatisfaction</v>
      </c>
      <c r="P942" s="16" t="n">
        <f aca="false">ROUND((IF(C942="",AsOfDate,C942)-B942)/365.25,2)</f>
        <v>2.7</v>
      </c>
      <c r="Q942" s="13" t="str">
        <f aca="false">IF(D942="","Unknown",IF(D942&lt;25,"Under 25",IF(D942&lt;35,"25-34",IF(D942&lt;45,"35-44",IF(D942&lt;55,"45-54","55+")))))</f>
        <v>25-34</v>
      </c>
      <c r="R942" s="13" t="str">
        <f aca="false">IF(P942&lt;1,"0-1 yrs",IF(P942&lt;3,"1-3 yrs",IF(P942&lt;5,"3-5 yrs",IF(P942&lt;10,"5-10 yrs","10+ yrs"))))</f>
        <v>1-3 yrs</v>
      </c>
      <c r="S942" s="13" t="str">
        <f aca="false">IF(I942&gt;=4,"High",IF(I942=3,"Medium","Low"))</f>
        <v>High</v>
      </c>
      <c r="T942" s="13" t="n">
        <f aca="false">IF(M942=1,YEAR(C942),"")</f>
        <v>2022</v>
      </c>
      <c r="U942" s="13" t="str">
        <f aca="false">IF(M942=1,YEAR(C942)&amp;"-Q"&amp;ROUNDUP(MONTH(C942)/3,0),"")</f>
        <v>2022-Q2</v>
      </c>
      <c r="V942" s="13" t="n">
        <f aca="false">IF(M942=1,MONTH(C942),"")</f>
        <v>6</v>
      </c>
    </row>
    <row r="943" customFormat="false" ht="15" hidden="false" customHeight="false" outlineLevel="0" collapsed="false">
      <c r="A943" s="13" t="str">
        <f aca="false">TRIM(Raw_Data!A943)</f>
        <v>EMP0942</v>
      </c>
      <c r="B943" s="14" t="n">
        <f aca="false">Raw_Data!B943</f>
        <v>43730</v>
      </c>
      <c r="C943" s="14" t="str">
        <f aca="false">IF(Raw_Data!C943="","",Raw_Data!C943)</f>
        <v/>
      </c>
      <c r="D943" s="13" t="n">
        <f aca="false">IF(Raw_Data!D943="","",Raw_Data!D943)</f>
        <v>45</v>
      </c>
      <c r="E943" s="13" t="str">
        <f aca="false">IF(UPPER(LEFT(TRIM(Raw_Data!E943),1))="M","Male",IF(UPPER(LEFT(TRIM(Raw_Data!E943),1))="F","Female","Unknown"))</f>
        <v>Male</v>
      </c>
      <c r="F943" s="13" t="str">
        <f aca="false">PROPER(TRIM(SUBSTITUTE(Raw_Data!F943,"'","")))</f>
        <v>Bachelors</v>
      </c>
      <c r="G943" s="13" t="str">
        <f aca="false">PROPER(TRIM(Raw_Data!G943))</f>
        <v>Customer Support</v>
      </c>
      <c r="H943" s="13" t="str">
        <f aca="false">PROPER(TRIM(Raw_Data!H943))</f>
        <v>Senior Analyst</v>
      </c>
      <c r="I943" s="13" t="n">
        <f aca="false">IF(Raw_Data!I943="",DefaultPerf,Raw_Data!I943)</f>
        <v>2</v>
      </c>
      <c r="J943" s="13" t="n">
        <f aca="false">IF(Raw_Data!J943="",DefaultSat,Raw_Data!J943)</f>
        <v>4</v>
      </c>
      <c r="K943" s="15" t="n">
        <f aca="false">Raw_Data!K943</f>
        <v>104500</v>
      </c>
      <c r="L943" s="13" t="str">
        <f aca="false">PROPER(TRIM(Raw_Data!N943))</f>
        <v>No</v>
      </c>
      <c r="M943" s="13" t="n">
        <f aca="false">IF(C943="",0,1)</f>
        <v>0</v>
      </c>
      <c r="N943" s="13" t="str">
        <f aca="false">IF(M943=0,"Active",IF(TRIM(Raw_Data!L943)="","Unknown",PROPER(TRIM(Raw_Data!L943))))</f>
        <v>Active</v>
      </c>
      <c r="O943" s="13" t="str">
        <f aca="false">IF(M943=0,"",IF(TRIM(Raw_Data!M943)="","Not Recorded",TRIM(Raw_Data!M943)))</f>
        <v/>
      </c>
      <c r="P943" s="16" t="n">
        <f aca="false">ROUND((IF(C943="",AsOfDate,C943)-B943)/365.25,2)</f>
        <v>6.28</v>
      </c>
      <c r="Q943" s="13" t="str">
        <f aca="false">IF(D943="","Unknown",IF(D943&lt;25,"Under 25",IF(D943&lt;35,"25-34",IF(D943&lt;45,"35-44",IF(D943&lt;55,"45-54","55+")))))</f>
        <v>45-54</v>
      </c>
      <c r="R943" s="13" t="str">
        <f aca="false">IF(P943&lt;1,"0-1 yrs",IF(P943&lt;3,"1-3 yrs",IF(P943&lt;5,"3-5 yrs",IF(P943&lt;10,"5-10 yrs","10+ yrs"))))</f>
        <v>5-10 yrs</v>
      </c>
      <c r="S943" s="13" t="str">
        <f aca="false">IF(I943&gt;=4,"High",IF(I943=3,"Medium","Low"))</f>
        <v>Low</v>
      </c>
      <c r="T943" s="13" t="str">
        <f aca="false">IF(M943=1,YEAR(C943),"")</f>
        <v/>
      </c>
      <c r="U943" s="13" t="str">
        <f aca="false">IF(M943=1,YEAR(C943)&amp;"-Q"&amp;ROUNDUP(MONTH(C943)/3,0),"")</f>
        <v/>
      </c>
      <c r="V943" s="13" t="str">
        <f aca="false">IF(M943=1,MONTH(C943),"")</f>
        <v/>
      </c>
    </row>
    <row r="944" customFormat="false" ht="15" hidden="false" customHeight="false" outlineLevel="0" collapsed="false">
      <c r="A944" s="13" t="str">
        <f aca="false">TRIM(Raw_Data!A944)</f>
        <v>EMP0943</v>
      </c>
      <c r="B944" s="14" t="n">
        <f aca="false">Raw_Data!B944</f>
        <v>43730</v>
      </c>
      <c r="C944" s="14" t="str">
        <f aca="false">IF(Raw_Data!C944="","",Raw_Data!C944)</f>
        <v/>
      </c>
      <c r="D944" s="13" t="n">
        <f aca="false">IF(Raw_Data!D944="","",Raw_Data!D944)</f>
        <v>34</v>
      </c>
      <c r="E944" s="13" t="str">
        <f aca="false">IF(UPPER(LEFT(TRIM(Raw_Data!E944),1))="M","Male",IF(UPPER(LEFT(TRIM(Raw_Data!E944),1))="F","Female","Unknown"))</f>
        <v>Female</v>
      </c>
      <c r="F944" s="13" t="str">
        <f aca="false">PROPER(TRIM(SUBSTITUTE(Raw_Data!F944,"'","")))</f>
        <v>Bachelors</v>
      </c>
      <c r="G944" s="13" t="str">
        <f aca="false">PROPER(TRIM(Raw_Data!G944))</f>
        <v>Engineering</v>
      </c>
      <c r="H944" s="13" t="str">
        <f aca="false">PROPER(TRIM(Raw_Data!H944))</f>
        <v>Associate</v>
      </c>
      <c r="I944" s="13" t="n">
        <f aca="false">IF(Raw_Data!I944="",DefaultPerf,Raw_Data!I944)</f>
        <v>3</v>
      </c>
      <c r="J944" s="13" t="n">
        <f aca="false">IF(Raw_Data!J944="",DefaultSat,Raw_Data!J944)</f>
        <v>4</v>
      </c>
      <c r="K944" s="15" t="n">
        <f aca="false">Raw_Data!K944</f>
        <v>39000</v>
      </c>
      <c r="L944" s="13" t="str">
        <f aca="false">PROPER(TRIM(Raw_Data!N944))</f>
        <v>Yes</v>
      </c>
      <c r="M944" s="13" t="n">
        <f aca="false">IF(C944="",0,1)</f>
        <v>0</v>
      </c>
      <c r="N944" s="13" t="str">
        <f aca="false">IF(M944=0,"Active",IF(TRIM(Raw_Data!L944)="","Unknown",PROPER(TRIM(Raw_Data!L944))))</f>
        <v>Active</v>
      </c>
      <c r="O944" s="13" t="str">
        <f aca="false">IF(M944=0,"",IF(TRIM(Raw_Data!M944)="","Not Recorded",TRIM(Raw_Data!M944)))</f>
        <v/>
      </c>
      <c r="P944" s="16" t="n">
        <f aca="false">ROUND((IF(C944="",AsOfDate,C944)-B944)/365.25,2)</f>
        <v>6.28</v>
      </c>
      <c r="Q944" s="13" t="str">
        <f aca="false">IF(D944="","Unknown",IF(D944&lt;25,"Under 25",IF(D944&lt;35,"25-34",IF(D944&lt;45,"35-44",IF(D944&lt;55,"45-54","55+")))))</f>
        <v>25-34</v>
      </c>
      <c r="R944" s="13" t="str">
        <f aca="false">IF(P944&lt;1,"0-1 yrs",IF(P944&lt;3,"1-3 yrs",IF(P944&lt;5,"3-5 yrs",IF(P944&lt;10,"5-10 yrs","10+ yrs"))))</f>
        <v>5-10 yrs</v>
      </c>
      <c r="S944" s="13" t="str">
        <f aca="false">IF(I944&gt;=4,"High",IF(I944=3,"Medium","Low"))</f>
        <v>Medium</v>
      </c>
      <c r="T944" s="13" t="str">
        <f aca="false">IF(M944=1,YEAR(C944),"")</f>
        <v/>
      </c>
      <c r="U944" s="13" t="str">
        <f aca="false">IF(M944=1,YEAR(C944)&amp;"-Q"&amp;ROUNDUP(MONTH(C944)/3,0),"")</f>
        <v/>
      </c>
      <c r="V944" s="13" t="str">
        <f aca="false">IF(M944=1,MONTH(C944),"")</f>
        <v/>
      </c>
    </row>
    <row r="945" customFormat="false" ht="15" hidden="false" customHeight="false" outlineLevel="0" collapsed="false">
      <c r="A945" s="13" t="str">
        <f aca="false">TRIM(Raw_Data!A945)</f>
        <v>EMP0944</v>
      </c>
      <c r="B945" s="14" t="n">
        <f aca="false">Raw_Data!B945</f>
        <v>43732</v>
      </c>
      <c r="C945" s="14" t="str">
        <f aca="false">IF(Raw_Data!C945="","",Raw_Data!C945)</f>
        <v/>
      </c>
      <c r="D945" s="13" t="n">
        <f aca="false">IF(Raw_Data!D945="","",Raw_Data!D945)</f>
        <v>30</v>
      </c>
      <c r="E945" s="13" t="str">
        <f aca="false">IF(UPPER(LEFT(TRIM(Raw_Data!E945),1))="M","Male",IF(UPPER(LEFT(TRIM(Raw_Data!E945),1))="F","Female","Unknown"))</f>
        <v>Female</v>
      </c>
      <c r="F945" s="13" t="str">
        <f aca="false">PROPER(TRIM(SUBSTITUTE(Raw_Data!F945,"'","")))</f>
        <v>Bachelors</v>
      </c>
      <c r="G945" s="13" t="str">
        <f aca="false">PROPER(TRIM(Raw_Data!G945))</f>
        <v>Engineering</v>
      </c>
      <c r="H945" s="13" t="str">
        <f aca="false">PROPER(TRIM(Raw_Data!H945))</f>
        <v>Senior Analyst</v>
      </c>
      <c r="I945" s="13" t="n">
        <f aca="false">IF(Raw_Data!I945="",DefaultPerf,Raw_Data!I945)</f>
        <v>4</v>
      </c>
      <c r="J945" s="13" t="n">
        <f aca="false">IF(Raw_Data!J945="",DefaultSat,Raw_Data!J945)</f>
        <v>4</v>
      </c>
      <c r="K945" s="15" t="n">
        <f aca="false">Raw_Data!K945</f>
        <v>105500</v>
      </c>
      <c r="L945" s="13" t="str">
        <f aca="false">PROPER(TRIM(Raw_Data!N945))</f>
        <v>No</v>
      </c>
      <c r="M945" s="13" t="n">
        <f aca="false">IF(C945="",0,1)</f>
        <v>0</v>
      </c>
      <c r="N945" s="13" t="str">
        <f aca="false">IF(M945=0,"Active",IF(TRIM(Raw_Data!L945)="","Unknown",PROPER(TRIM(Raw_Data!L945))))</f>
        <v>Active</v>
      </c>
      <c r="O945" s="13" t="str">
        <f aca="false">IF(M945=0,"",IF(TRIM(Raw_Data!M945)="","Not Recorded",TRIM(Raw_Data!M945)))</f>
        <v/>
      </c>
      <c r="P945" s="16" t="n">
        <f aca="false">ROUND((IF(C945="",AsOfDate,C945)-B945)/365.25,2)</f>
        <v>6.27</v>
      </c>
      <c r="Q945" s="13" t="str">
        <f aca="false">IF(D945="","Unknown",IF(D945&lt;25,"Under 25",IF(D945&lt;35,"25-34",IF(D945&lt;45,"35-44",IF(D945&lt;55,"45-54","55+")))))</f>
        <v>25-34</v>
      </c>
      <c r="R945" s="13" t="str">
        <f aca="false">IF(P945&lt;1,"0-1 yrs",IF(P945&lt;3,"1-3 yrs",IF(P945&lt;5,"3-5 yrs",IF(P945&lt;10,"5-10 yrs","10+ yrs"))))</f>
        <v>5-10 yrs</v>
      </c>
      <c r="S945" s="13" t="str">
        <f aca="false">IF(I945&gt;=4,"High",IF(I945=3,"Medium","Low"))</f>
        <v>High</v>
      </c>
      <c r="T945" s="13" t="str">
        <f aca="false">IF(M945=1,YEAR(C945),"")</f>
        <v/>
      </c>
      <c r="U945" s="13" t="str">
        <f aca="false">IF(M945=1,YEAR(C945)&amp;"-Q"&amp;ROUNDUP(MONTH(C945)/3,0),"")</f>
        <v/>
      </c>
      <c r="V945" s="13" t="str">
        <f aca="false">IF(M945=1,MONTH(C945),"")</f>
        <v/>
      </c>
    </row>
    <row r="946" customFormat="false" ht="15" hidden="false" customHeight="false" outlineLevel="0" collapsed="false">
      <c r="A946" s="13" t="str">
        <f aca="false">TRIM(Raw_Data!A946)</f>
        <v>EMP0945</v>
      </c>
      <c r="B946" s="14" t="n">
        <f aca="false">Raw_Data!B946</f>
        <v>43734</v>
      </c>
      <c r="C946" s="14" t="str">
        <f aca="false">IF(Raw_Data!C946="","",Raw_Data!C946)</f>
        <v/>
      </c>
      <c r="D946" s="13" t="n">
        <f aca="false">IF(Raw_Data!D946="","",Raw_Data!D946)</f>
        <v>27</v>
      </c>
      <c r="E946" s="13" t="str">
        <f aca="false">IF(UPPER(LEFT(TRIM(Raw_Data!E946),1))="M","Male",IF(UPPER(LEFT(TRIM(Raw_Data!E946),1))="F","Female","Unknown"))</f>
        <v>Female</v>
      </c>
      <c r="F946" s="13" t="str">
        <f aca="false">PROPER(TRIM(SUBSTITUTE(Raw_Data!F946,"'","")))</f>
        <v>Bachelors</v>
      </c>
      <c r="G946" s="13" t="str">
        <f aca="false">PROPER(TRIM(Raw_Data!G946))</f>
        <v>Sales</v>
      </c>
      <c r="H946" s="13" t="str">
        <f aca="false">PROPER(TRIM(Raw_Data!H946))</f>
        <v>Senior Analyst</v>
      </c>
      <c r="I946" s="13" t="n">
        <f aca="false">IF(Raw_Data!I946="",DefaultPerf,Raw_Data!I946)</f>
        <v>3</v>
      </c>
      <c r="J946" s="13" t="n">
        <f aca="false">IF(Raw_Data!J946="",DefaultSat,Raw_Data!J946)</f>
        <v>4</v>
      </c>
      <c r="K946" s="15" t="n">
        <f aca="false">Raw_Data!K946</f>
        <v>100000</v>
      </c>
      <c r="L946" s="13" t="str">
        <f aca="false">PROPER(TRIM(Raw_Data!N946))</f>
        <v>No</v>
      </c>
      <c r="M946" s="13" t="n">
        <f aca="false">IF(C946="",0,1)</f>
        <v>0</v>
      </c>
      <c r="N946" s="13" t="str">
        <f aca="false">IF(M946=0,"Active",IF(TRIM(Raw_Data!L946)="","Unknown",PROPER(TRIM(Raw_Data!L946))))</f>
        <v>Active</v>
      </c>
      <c r="O946" s="13" t="str">
        <f aca="false">IF(M946=0,"",IF(TRIM(Raw_Data!M946)="","Not Recorded",TRIM(Raw_Data!M946)))</f>
        <v/>
      </c>
      <c r="P946" s="16" t="n">
        <f aca="false">ROUND((IF(C946="",AsOfDate,C946)-B946)/365.25,2)</f>
        <v>6.26</v>
      </c>
      <c r="Q946" s="13" t="str">
        <f aca="false">IF(D946="","Unknown",IF(D946&lt;25,"Under 25",IF(D946&lt;35,"25-34",IF(D946&lt;45,"35-44",IF(D946&lt;55,"45-54","55+")))))</f>
        <v>25-34</v>
      </c>
      <c r="R946" s="13" t="str">
        <f aca="false">IF(P946&lt;1,"0-1 yrs",IF(P946&lt;3,"1-3 yrs",IF(P946&lt;5,"3-5 yrs",IF(P946&lt;10,"5-10 yrs","10+ yrs"))))</f>
        <v>5-10 yrs</v>
      </c>
      <c r="S946" s="13" t="str">
        <f aca="false">IF(I946&gt;=4,"High",IF(I946=3,"Medium","Low"))</f>
        <v>Medium</v>
      </c>
      <c r="T946" s="13" t="str">
        <f aca="false">IF(M946=1,YEAR(C946),"")</f>
        <v/>
      </c>
      <c r="U946" s="13" t="str">
        <f aca="false">IF(M946=1,YEAR(C946)&amp;"-Q"&amp;ROUNDUP(MONTH(C946)/3,0),"")</f>
        <v/>
      </c>
      <c r="V946" s="13" t="str">
        <f aca="false">IF(M946=1,MONTH(C946),"")</f>
        <v/>
      </c>
    </row>
    <row r="947" customFormat="false" ht="15" hidden="false" customHeight="false" outlineLevel="0" collapsed="false">
      <c r="A947" s="13" t="str">
        <f aca="false">TRIM(Raw_Data!A947)</f>
        <v>EMP0946</v>
      </c>
      <c r="B947" s="14" t="n">
        <f aca="false">Raw_Data!B947</f>
        <v>43734</v>
      </c>
      <c r="C947" s="14" t="n">
        <f aca="false">IF(Raw_Data!C947="","",Raw_Data!C947)</f>
        <v>45766</v>
      </c>
      <c r="D947" s="13" t="n">
        <f aca="false">IF(Raw_Data!D947="","",Raw_Data!D947)</f>
        <v>42</v>
      </c>
      <c r="E947" s="13" t="str">
        <f aca="false">IF(UPPER(LEFT(TRIM(Raw_Data!E947),1))="M","Male",IF(UPPER(LEFT(TRIM(Raw_Data!E947),1))="F","Female","Unknown"))</f>
        <v>Male</v>
      </c>
      <c r="F947" s="13" t="str">
        <f aca="false">PROPER(TRIM(SUBSTITUTE(Raw_Data!F947,"'","")))</f>
        <v>High School</v>
      </c>
      <c r="G947" s="13" t="str">
        <f aca="false">PROPER(TRIM(Raw_Data!G947))</f>
        <v>Customer Support</v>
      </c>
      <c r="H947" s="13" t="str">
        <f aca="false">PROPER(TRIM(Raw_Data!H947))</f>
        <v>Team Lead</v>
      </c>
      <c r="I947" s="13" t="n">
        <f aca="false">IF(Raw_Data!I947="",DefaultPerf,Raw_Data!I947)</f>
        <v>4</v>
      </c>
      <c r="J947" s="13" t="n">
        <f aca="false">IF(Raw_Data!J947="",DefaultSat,Raw_Data!J947)</f>
        <v>1</v>
      </c>
      <c r="K947" s="15" t="n">
        <f aca="false">Raw_Data!K947</f>
        <v>167000</v>
      </c>
      <c r="L947" s="13" t="str">
        <f aca="false">PROPER(TRIM(Raw_Data!N947))</f>
        <v>No</v>
      </c>
      <c r="M947" s="13" t="n">
        <f aca="false">IF(C947="",0,1)</f>
        <v>1</v>
      </c>
      <c r="N947" s="13" t="str">
        <f aca="false">IF(M947=0,"Active",IF(TRIM(Raw_Data!L947)="","Unknown",PROPER(TRIM(Raw_Data!L947))))</f>
        <v>Voluntary</v>
      </c>
      <c r="O947" s="13" t="str">
        <f aca="false">IF(M947=0,"",IF(TRIM(Raw_Data!M947)="","Not Recorded",TRIM(Raw_Data!M947)))</f>
        <v>Further Studies</v>
      </c>
      <c r="P947" s="16" t="n">
        <f aca="false">ROUND((IF(C947="",AsOfDate,C947)-B947)/365.25,2)</f>
        <v>5.56</v>
      </c>
      <c r="Q947" s="13" t="str">
        <f aca="false">IF(D947="","Unknown",IF(D947&lt;25,"Under 25",IF(D947&lt;35,"25-34",IF(D947&lt;45,"35-44",IF(D947&lt;55,"45-54","55+")))))</f>
        <v>35-44</v>
      </c>
      <c r="R947" s="13" t="str">
        <f aca="false">IF(P947&lt;1,"0-1 yrs",IF(P947&lt;3,"1-3 yrs",IF(P947&lt;5,"3-5 yrs",IF(P947&lt;10,"5-10 yrs","10+ yrs"))))</f>
        <v>5-10 yrs</v>
      </c>
      <c r="S947" s="13" t="str">
        <f aca="false">IF(I947&gt;=4,"High",IF(I947=3,"Medium","Low"))</f>
        <v>High</v>
      </c>
      <c r="T947" s="13" t="n">
        <f aca="false">IF(M947=1,YEAR(C947),"")</f>
        <v>2025</v>
      </c>
      <c r="U947" s="13" t="str">
        <f aca="false">IF(M947=1,YEAR(C947)&amp;"-Q"&amp;ROUNDUP(MONTH(C947)/3,0),"")</f>
        <v>2025-Q2</v>
      </c>
      <c r="V947" s="13" t="n">
        <f aca="false">IF(M947=1,MONTH(C947),"")</f>
        <v>4</v>
      </c>
    </row>
    <row r="948" customFormat="false" ht="15" hidden="false" customHeight="false" outlineLevel="0" collapsed="false">
      <c r="A948" s="13" t="str">
        <f aca="false">TRIM(Raw_Data!A948)</f>
        <v>EMP0947</v>
      </c>
      <c r="B948" s="14" t="n">
        <f aca="false">Raw_Data!B948</f>
        <v>43735</v>
      </c>
      <c r="C948" s="14" t="n">
        <f aca="false">IF(Raw_Data!C948="","",Raw_Data!C948)</f>
        <v>44568</v>
      </c>
      <c r="D948" s="13" t="n">
        <f aca="false">IF(Raw_Data!D948="","",Raw_Data!D948)</f>
        <v>31</v>
      </c>
      <c r="E948" s="13" t="str">
        <f aca="false">IF(UPPER(LEFT(TRIM(Raw_Data!E948),1))="M","Male",IF(UPPER(LEFT(TRIM(Raw_Data!E948),1))="F","Female","Unknown"))</f>
        <v>Male</v>
      </c>
      <c r="F948" s="13" t="str">
        <f aca="false">PROPER(TRIM(SUBSTITUTE(Raw_Data!F948,"'","")))</f>
        <v>Masters</v>
      </c>
      <c r="G948" s="13" t="str">
        <f aca="false">PROPER(TRIM(Raw_Data!G948))</f>
        <v>Engineering</v>
      </c>
      <c r="H948" s="13" t="str">
        <f aca="false">PROPER(TRIM(Raw_Data!H948))</f>
        <v>Associate</v>
      </c>
      <c r="I948" s="13" t="n">
        <f aca="false">IF(Raw_Data!I948="",DefaultPerf,Raw_Data!I948)</f>
        <v>3</v>
      </c>
      <c r="J948" s="13" t="n">
        <f aca="false">IF(Raw_Data!J948="",DefaultSat,Raw_Data!J948)</f>
        <v>3</v>
      </c>
      <c r="K948" s="15" t="n">
        <f aca="false">Raw_Data!K948</f>
        <v>40000</v>
      </c>
      <c r="L948" s="13" t="str">
        <f aca="false">PROPER(TRIM(Raw_Data!N948))</f>
        <v>Yes</v>
      </c>
      <c r="M948" s="13" t="n">
        <f aca="false">IF(C948="",0,1)</f>
        <v>1</v>
      </c>
      <c r="N948" s="13" t="str">
        <f aca="false">IF(M948=0,"Active",IF(TRIM(Raw_Data!L948)="","Unknown",PROPER(TRIM(Raw_Data!L948))))</f>
        <v>Voluntary</v>
      </c>
      <c r="O948" s="13" t="str">
        <f aca="false">IF(M948=0,"",IF(TRIM(Raw_Data!M948)="","Not Recorded",TRIM(Raw_Data!M948)))</f>
        <v>Work-Life Balance</v>
      </c>
      <c r="P948" s="16" t="n">
        <f aca="false">ROUND((IF(C948="",AsOfDate,C948)-B948)/365.25,2)</f>
        <v>2.28</v>
      </c>
      <c r="Q948" s="13" t="str">
        <f aca="false">IF(D948="","Unknown",IF(D948&lt;25,"Under 25",IF(D948&lt;35,"25-34",IF(D948&lt;45,"35-44",IF(D948&lt;55,"45-54","55+")))))</f>
        <v>25-34</v>
      </c>
      <c r="R948" s="13" t="str">
        <f aca="false">IF(P948&lt;1,"0-1 yrs",IF(P948&lt;3,"1-3 yrs",IF(P948&lt;5,"3-5 yrs",IF(P948&lt;10,"5-10 yrs","10+ yrs"))))</f>
        <v>1-3 yrs</v>
      </c>
      <c r="S948" s="13" t="str">
        <f aca="false">IF(I948&gt;=4,"High",IF(I948=3,"Medium","Low"))</f>
        <v>Medium</v>
      </c>
      <c r="T948" s="13" t="n">
        <f aca="false">IF(M948=1,YEAR(C948),"")</f>
        <v>2022</v>
      </c>
      <c r="U948" s="13" t="str">
        <f aca="false">IF(M948=1,YEAR(C948)&amp;"-Q"&amp;ROUNDUP(MONTH(C948)/3,0),"")</f>
        <v>2022-Q1</v>
      </c>
      <c r="V948" s="13" t="n">
        <f aca="false">IF(M948=1,MONTH(C948),"")</f>
        <v>1</v>
      </c>
    </row>
    <row r="949" customFormat="false" ht="15" hidden="false" customHeight="false" outlineLevel="0" collapsed="false">
      <c r="A949" s="13" t="str">
        <f aca="false">TRIM(Raw_Data!A949)</f>
        <v>EMP0948</v>
      </c>
      <c r="B949" s="14" t="n">
        <f aca="false">Raw_Data!B949</f>
        <v>43736</v>
      </c>
      <c r="C949" s="14" t="str">
        <f aca="false">IF(Raw_Data!C949="","",Raw_Data!C949)</f>
        <v/>
      </c>
      <c r="D949" s="13" t="n">
        <f aca="false">IF(Raw_Data!D949="","",Raw_Data!D949)</f>
        <v>34</v>
      </c>
      <c r="E949" s="13" t="str">
        <f aca="false">IF(UPPER(LEFT(TRIM(Raw_Data!E949),1))="M","Male",IF(UPPER(LEFT(TRIM(Raw_Data!E949),1))="F","Female","Unknown"))</f>
        <v>Female</v>
      </c>
      <c r="F949" s="13" t="str">
        <f aca="false">PROPER(TRIM(SUBSTITUTE(Raw_Data!F949,"'","")))</f>
        <v>High School</v>
      </c>
      <c r="G949" s="13" t="str">
        <f aca="false">PROPER(TRIM(Raw_Data!G949))</f>
        <v>Sales</v>
      </c>
      <c r="H949" s="13" t="str">
        <f aca="false">PROPER(TRIM(Raw_Data!H949))</f>
        <v>Manager</v>
      </c>
      <c r="I949" s="13" t="n">
        <f aca="false">IF(Raw_Data!I949="",DefaultPerf,Raw_Data!I949)</f>
        <v>3</v>
      </c>
      <c r="J949" s="13" t="n">
        <f aca="false">IF(Raw_Data!J949="",DefaultSat,Raw_Data!J949)</f>
        <v>4</v>
      </c>
      <c r="K949" s="15" t="n">
        <f aca="false">Raw_Data!K949</f>
        <v>214000</v>
      </c>
      <c r="L949" s="13" t="str">
        <f aca="false">PROPER(TRIM(Raw_Data!N949))</f>
        <v>No</v>
      </c>
      <c r="M949" s="13" t="n">
        <f aca="false">IF(C949="",0,1)</f>
        <v>0</v>
      </c>
      <c r="N949" s="13" t="str">
        <f aca="false">IF(M949=0,"Active",IF(TRIM(Raw_Data!L949)="","Unknown",PROPER(TRIM(Raw_Data!L949))))</f>
        <v>Active</v>
      </c>
      <c r="O949" s="13" t="str">
        <f aca="false">IF(M949=0,"",IF(TRIM(Raw_Data!M949)="","Not Recorded",TRIM(Raw_Data!M949)))</f>
        <v/>
      </c>
      <c r="P949" s="16" t="n">
        <f aca="false">ROUND((IF(C949="",AsOfDate,C949)-B949)/365.25,2)</f>
        <v>6.26</v>
      </c>
      <c r="Q949" s="13" t="str">
        <f aca="false">IF(D949="","Unknown",IF(D949&lt;25,"Under 25",IF(D949&lt;35,"25-34",IF(D949&lt;45,"35-44",IF(D949&lt;55,"45-54","55+")))))</f>
        <v>25-34</v>
      </c>
      <c r="R949" s="13" t="str">
        <f aca="false">IF(P949&lt;1,"0-1 yrs",IF(P949&lt;3,"1-3 yrs",IF(P949&lt;5,"3-5 yrs",IF(P949&lt;10,"5-10 yrs","10+ yrs"))))</f>
        <v>5-10 yrs</v>
      </c>
      <c r="S949" s="13" t="str">
        <f aca="false">IF(I949&gt;=4,"High",IF(I949=3,"Medium","Low"))</f>
        <v>Medium</v>
      </c>
      <c r="T949" s="13" t="str">
        <f aca="false">IF(M949=1,YEAR(C949),"")</f>
        <v/>
      </c>
      <c r="U949" s="13" t="str">
        <f aca="false">IF(M949=1,YEAR(C949)&amp;"-Q"&amp;ROUNDUP(MONTH(C949)/3,0),"")</f>
        <v/>
      </c>
      <c r="V949" s="13" t="str">
        <f aca="false">IF(M949=1,MONTH(C949),"")</f>
        <v/>
      </c>
    </row>
    <row r="950" customFormat="false" ht="15" hidden="false" customHeight="false" outlineLevel="0" collapsed="false">
      <c r="A950" s="13" t="str">
        <f aca="false">TRIM(Raw_Data!A950)</f>
        <v>EMP0949</v>
      </c>
      <c r="B950" s="14" t="n">
        <f aca="false">Raw_Data!B950</f>
        <v>43753</v>
      </c>
      <c r="C950" s="14" t="n">
        <f aca="false">IF(Raw_Data!C950="","",Raw_Data!C950)</f>
        <v>45049</v>
      </c>
      <c r="D950" s="13" t="n">
        <f aca="false">IF(Raw_Data!D950="","",Raw_Data!D950)</f>
        <v>34</v>
      </c>
      <c r="E950" s="13" t="str">
        <f aca="false">IF(UPPER(LEFT(TRIM(Raw_Data!E950),1))="M","Male",IF(UPPER(LEFT(TRIM(Raw_Data!E950),1))="F","Female","Unknown"))</f>
        <v>Female</v>
      </c>
      <c r="F950" s="13" t="str">
        <f aca="false">PROPER(TRIM(SUBSTITUTE(Raw_Data!F950,"'","")))</f>
        <v>Bachelors</v>
      </c>
      <c r="G950" s="13" t="str">
        <f aca="false">PROPER(TRIM(Raw_Data!G950))</f>
        <v>Operations</v>
      </c>
      <c r="H950" s="13" t="str">
        <f aca="false">PROPER(TRIM(Raw_Data!H950))</f>
        <v>Team Lead</v>
      </c>
      <c r="I950" s="13" t="n">
        <f aca="false">IF(Raw_Data!I950="",DefaultPerf,Raw_Data!I950)</f>
        <v>4</v>
      </c>
      <c r="J950" s="13" t="n">
        <f aca="false">IF(Raw_Data!J950="",DefaultSat,Raw_Data!J950)</f>
        <v>1</v>
      </c>
      <c r="K950" s="15" t="n">
        <f aca="false">Raw_Data!K950</f>
        <v>139000</v>
      </c>
      <c r="L950" s="13" t="str">
        <f aca="false">PROPER(TRIM(Raw_Data!N950))</f>
        <v>Yes</v>
      </c>
      <c r="M950" s="13" t="n">
        <f aca="false">IF(C950="",0,1)</f>
        <v>1</v>
      </c>
      <c r="N950" s="13" t="str">
        <f aca="false">IF(M950=0,"Active",IF(TRIM(Raw_Data!L950)="","Unknown",PROPER(TRIM(Raw_Data!L950))))</f>
        <v>Voluntary</v>
      </c>
      <c r="O950" s="13" t="str">
        <f aca="false">IF(M950=0,"",IF(TRIM(Raw_Data!M950)="","Not Recorded",TRIM(Raw_Data!M950)))</f>
        <v>Job Dissatisfaction</v>
      </c>
      <c r="P950" s="16" t="n">
        <f aca="false">ROUND((IF(C950="",AsOfDate,C950)-B950)/365.25,2)</f>
        <v>3.55</v>
      </c>
      <c r="Q950" s="13" t="str">
        <f aca="false">IF(D950="","Unknown",IF(D950&lt;25,"Under 25",IF(D950&lt;35,"25-34",IF(D950&lt;45,"35-44",IF(D950&lt;55,"45-54","55+")))))</f>
        <v>25-34</v>
      </c>
      <c r="R950" s="13" t="str">
        <f aca="false">IF(P950&lt;1,"0-1 yrs",IF(P950&lt;3,"1-3 yrs",IF(P950&lt;5,"3-5 yrs",IF(P950&lt;10,"5-10 yrs","10+ yrs"))))</f>
        <v>3-5 yrs</v>
      </c>
      <c r="S950" s="13" t="str">
        <f aca="false">IF(I950&gt;=4,"High",IF(I950=3,"Medium","Low"))</f>
        <v>High</v>
      </c>
      <c r="T950" s="13" t="n">
        <f aca="false">IF(M950=1,YEAR(C950),"")</f>
        <v>2023</v>
      </c>
      <c r="U950" s="13" t="str">
        <f aca="false">IF(M950=1,YEAR(C950)&amp;"-Q"&amp;ROUNDUP(MONTH(C950)/3,0),"")</f>
        <v>2023-Q2</v>
      </c>
      <c r="V950" s="13" t="n">
        <f aca="false">IF(M950=1,MONTH(C950),"")</f>
        <v>5</v>
      </c>
    </row>
    <row r="951" customFormat="false" ht="15" hidden="false" customHeight="false" outlineLevel="0" collapsed="false">
      <c r="A951" s="13" t="str">
        <f aca="false">TRIM(Raw_Data!A951)</f>
        <v>EMP0950</v>
      </c>
      <c r="B951" s="14" t="n">
        <f aca="false">Raw_Data!B951</f>
        <v>43755</v>
      </c>
      <c r="C951" s="14" t="str">
        <f aca="false">IF(Raw_Data!C951="","",Raw_Data!C951)</f>
        <v/>
      </c>
      <c r="D951" s="13" t="n">
        <f aca="false">IF(Raw_Data!D951="","",Raw_Data!D951)</f>
        <v>34</v>
      </c>
      <c r="E951" s="13" t="str">
        <f aca="false">IF(UPPER(LEFT(TRIM(Raw_Data!E951),1))="M","Male",IF(UPPER(LEFT(TRIM(Raw_Data!E951),1))="F","Female","Unknown"))</f>
        <v>Female</v>
      </c>
      <c r="F951" s="13" t="str">
        <f aca="false">PROPER(TRIM(SUBSTITUTE(Raw_Data!F951,"'","")))</f>
        <v>Bachelors</v>
      </c>
      <c r="G951" s="13" t="str">
        <f aca="false">PROPER(TRIM(Raw_Data!G951))</f>
        <v>Engineering</v>
      </c>
      <c r="H951" s="13" t="str">
        <f aca="false">PROPER(TRIM(Raw_Data!H951))</f>
        <v>Analyst</v>
      </c>
      <c r="I951" s="13" t="n">
        <f aca="false">IF(Raw_Data!I951="",DefaultPerf,Raw_Data!I951)</f>
        <v>3</v>
      </c>
      <c r="J951" s="13" t="n">
        <f aca="false">IF(Raw_Data!J951="",DefaultSat,Raw_Data!J951)</f>
        <v>2</v>
      </c>
      <c r="K951" s="15" t="n">
        <f aca="false">Raw_Data!K951</f>
        <v>66500</v>
      </c>
      <c r="L951" s="13" t="str">
        <f aca="false">PROPER(TRIM(Raw_Data!N951))</f>
        <v>No</v>
      </c>
      <c r="M951" s="13" t="n">
        <f aca="false">IF(C951="",0,1)</f>
        <v>0</v>
      </c>
      <c r="N951" s="13" t="str">
        <f aca="false">IF(M951=0,"Active",IF(TRIM(Raw_Data!L951)="","Unknown",PROPER(TRIM(Raw_Data!L951))))</f>
        <v>Active</v>
      </c>
      <c r="O951" s="13" t="str">
        <f aca="false">IF(M951=0,"",IF(TRIM(Raw_Data!M951)="","Not Recorded",TRIM(Raw_Data!M951)))</f>
        <v/>
      </c>
      <c r="P951" s="16" t="n">
        <f aca="false">ROUND((IF(C951="",AsOfDate,C951)-B951)/365.25,2)</f>
        <v>6.21</v>
      </c>
      <c r="Q951" s="13" t="str">
        <f aca="false">IF(D951="","Unknown",IF(D951&lt;25,"Under 25",IF(D951&lt;35,"25-34",IF(D951&lt;45,"35-44",IF(D951&lt;55,"45-54","55+")))))</f>
        <v>25-34</v>
      </c>
      <c r="R951" s="13" t="str">
        <f aca="false">IF(P951&lt;1,"0-1 yrs",IF(P951&lt;3,"1-3 yrs",IF(P951&lt;5,"3-5 yrs",IF(P951&lt;10,"5-10 yrs","10+ yrs"))))</f>
        <v>5-10 yrs</v>
      </c>
      <c r="S951" s="13" t="str">
        <f aca="false">IF(I951&gt;=4,"High",IF(I951=3,"Medium","Low"))</f>
        <v>Medium</v>
      </c>
      <c r="T951" s="13" t="str">
        <f aca="false">IF(M951=1,YEAR(C951),"")</f>
        <v/>
      </c>
      <c r="U951" s="13" t="str">
        <f aca="false">IF(M951=1,YEAR(C951)&amp;"-Q"&amp;ROUNDUP(MONTH(C951)/3,0),"")</f>
        <v/>
      </c>
      <c r="V951" s="13" t="str">
        <f aca="false">IF(M951=1,MONTH(C951),"")</f>
        <v/>
      </c>
    </row>
    <row r="952" customFormat="false" ht="15" hidden="false" customHeight="false" outlineLevel="0" collapsed="false">
      <c r="A952" s="13" t="str">
        <f aca="false">TRIM(Raw_Data!A952)</f>
        <v>EMP0951</v>
      </c>
      <c r="B952" s="14" t="n">
        <f aca="false">Raw_Data!B952</f>
        <v>43756</v>
      </c>
      <c r="C952" s="14" t="n">
        <f aca="false">IF(Raw_Data!C952="","",Raw_Data!C952)</f>
        <v>45315</v>
      </c>
      <c r="D952" s="13" t="n">
        <f aca="false">IF(Raw_Data!D952="","",Raw_Data!D952)</f>
        <v>38</v>
      </c>
      <c r="E952" s="13" t="str">
        <f aca="false">IF(UPPER(LEFT(TRIM(Raw_Data!E952),1))="M","Male",IF(UPPER(LEFT(TRIM(Raw_Data!E952),1))="F","Female","Unknown"))</f>
        <v>Female</v>
      </c>
      <c r="F952" s="13" t="str">
        <f aca="false">PROPER(TRIM(SUBSTITUTE(Raw_Data!F952,"'","")))</f>
        <v>Bachelors</v>
      </c>
      <c r="G952" s="13" t="str">
        <f aca="false">PROPER(TRIM(Raw_Data!G952))</f>
        <v>Engineering</v>
      </c>
      <c r="H952" s="13" t="str">
        <f aca="false">PROPER(TRIM(Raw_Data!H952))</f>
        <v>Analyst</v>
      </c>
      <c r="I952" s="13" t="n">
        <f aca="false">IF(Raw_Data!I952="",DefaultPerf,Raw_Data!I952)</f>
        <v>3</v>
      </c>
      <c r="J952" s="13" t="n">
        <f aca="false">IF(Raw_Data!J952="",DefaultSat,Raw_Data!J952)</f>
        <v>3</v>
      </c>
      <c r="K952" s="15" t="n">
        <f aca="false">Raw_Data!K952</f>
        <v>61500</v>
      </c>
      <c r="L952" s="13" t="str">
        <f aca="false">PROPER(TRIM(Raw_Data!N952))</f>
        <v>No</v>
      </c>
      <c r="M952" s="13" t="n">
        <f aca="false">IF(C952="",0,1)</f>
        <v>1</v>
      </c>
      <c r="N952" s="13" t="str">
        <f aca="false">IF(M952=0,"Active",IF(TRIM(Raw_Data!L952)="","Unknown",PROPER(TRIM(Raw_Data!L952))))</f>
        <v>Voluntary</v>
      </c>
      <c r="O952" s="13" t="str">
        <f aca="false">IF(M952=0,"",IF(TRIM(Raw_Data!M952)="","Not Recorded",TRIM(Raw_Data!M952)))</f>
        <v>Work-Life Balance</v>
      </c>
      <c r="P952" s="16" t="n">
        <f aca="false">ROUND((IF(C952="",AsOfDate,C952)-B952)/365.25,2)</f>
        <v>4.27</v>
      </c>
      <c r="Q952" s="13" t="str">
        <f aca="false">IF(D952="","Unknown",IF(D952&lt;25,"Under 25",IF(D952&lt;35,"25-34",IF(D952&lt;45,"35-44",IF(D952&lt;55,"45-54","55+")))))</f>
        <v>35-44</v>
      </c>
      <c r="R952" s="13" t="str">
        <f aca="false">IF(P952&lt;1,"0-1 yrs",IF(P952&lt;3,"1-3 yrs",IF(P952&lt;5,"3-5 yrs",IF(P952&lt;10,"5-10 yrs","10+ yrs"))))</f>
        <v>3-5 yrs</v>
      </c>
      <c r="S952" s="13" t="str">
        <f aca="false">IF(I952&gt;=4,"High",IF(I952=3,"Medium","Low"))</f>
        <v>Medium</v>
      </c>
      <c r="T952" s="13" t="n">
        <f aca="false">IF(M952=1,YEAR(C952),"")</f>
        <v>2024</v>
      </c>
      <c r="U952" s="13" t="str">
        <f aca="false">IF(M952=1,YEAR(C952)&amp;"-Q"&amp;ROUNDUP(MONTH(C952)/3,0),"")</f>
        <v>2024-Q1</v>
      </c>
      <c r="V952" s="13" t="n">
        <f aca="false">IF(M952=1,MONTH(C952),"")</f>
        <v>1</v>
      </c>
    </row>
    <row r="953" customFormat="false" ht="15" hidden="false" customHeight="false" outlineLevel="0" collapsed="false">
      <c r="A953" s="13" t="str">
        <f aca="false">TRIM(Raw_Data!A953)</f>
        <v>EMP0952</v>
      </c>
      <c r="B953" s="14" t="n">
        <f aca="false">Raw_Data!B953</f>
        <v>43763</v>
      </c>
      <c r="C953" s="14" t="str">
        <f aca="false">IF(Raw_Data!C953="","",Raw_Data!C953)</f>
        <v/>
      </c>
      <c r="D953" s="13" t="n">
        <f aca="false">IF(Raw_Data!D953="","",Raw_Data!D953)</f>
        <v>29</v>
      </c>
      <c r="E953" s="13" t="str">
        <f aca="false">IF(UPPER(LEFT(TRIM(Raw_Data!E953),1))="M","Male",IF(UPPER(LEFT(TRIM(Raw_Data!E953),1))="F","Female","Unknown"))</f>
        <v>Male</v>
      </c>
      <c r="F953" s="13" t="str">
        <f aca="false">PROPER(TRIM(SUBSTITUTE(Raw_Data!F953,"'","")))</f>
        <v>Bachelors</v>
      </c>
      <c r="G953" s="13" t="str">
        <f aca="false">PROPER(TRIM(Raw_Data!G953))</f>
        <v>Sales</v>
      </c>
      <c r="H953" s="13" t="str">
        <f aca="false">PROPER(TRIM(Raw_Data!H953))</f>
        <v>Associate</v>
      </c>
      <c r="I953" s="13" t="n">
        <f aca="false">IF(Raw_Data!I953="",DefaultPerf,Raw_Data!I953)</f>
        <v>2</v>
      </c>
      <c r="J953" s="13" t="n">
        <f aca="false">IF(Raw_Data!J953="",DefaultSat,Raw_Data!J953)</f>
        <v>2</v>
      </c>
      <c r="K953" s="15" t="n">
        <f aca="false">Raw_Data!K953</f>
        <v>40000</v>
      </c>
      <c r="L953" s="13" t="str">
        <f aca="false">PROPER(TRIM(Raw_Data!N953))</f>
        <v>No</v>
      </c>
      <c r="M953" s="13" t="n">
        <f aca="false">IF(C953="",0,1)</f>
        <v>0</v>
      </c>
      <c r="N953" s="13" t="str">
        <f aca="false">IF(M953=0,"Active",IF(TRIM(Raw_Data!L953)="","Unknown",PROPER(TRIM(Raw_Data!L953))))</f>
        <v>Active</v>
      </c>
      <c r="O953" s="13" t="str">
        <f aca="false">IF(M953=0,"",IF(TRIM(Raw_Data!M953)="","Not Recorded",TRIM(Raw_Data!M953)))</f>
        <v/>
      </c>
      <c r="P953" s="16" t="n">
        <f aca="false">ROUND((IF(C953="",AsOfDate,C953)-B953)/365.25,2)</f>
        <v>6.18</v>
      </c>
      <c r="Q953" s="13" t="str">
        <f aca="false">IF(D953="","Unknown",IF(D953&lt;25,"Under 25",IF(D953&lt;35,"25-34",IF(D953&lt;45,"35-44",IF(D953&lt;55,"45-54","55+")))))</f>
        <v>25-34</v>
      </c>
      <c r="R953" s="13" t="str">
        <f aca="false">IF(P953&lt;1,"0-1 yrs",IF(P953&lt;3,"1-3 yrs",IF(P953&lt;5,"3-5 yrs",IF(P953&lt;10,"5-10 yrs","10+ yrs"))))</f>
        <v>5-10 yrs</v>
      </c>
      <c r="S953" s="13" t="str">
        <f aca="false">IF(I953&gt;=4,"High",IF(I953=3,"Medium","Low"))</f>
        <v>Low</v>
      </c>
      <c r="T953" s="13" t="str">
        <f aca="false">IF(M953=1,YEAR(C953),"")</f>
        <v/>
      </c>
      <c r="U953" s="13" t="str">
        <f aca="false">IF(M953=1,YEAR(C953)&amp;"-Q"&amp;ROUNDUP(MONTH(C953)/3,0),"")</f>
        <v/>
      </c>
      <c r="V953" s="13" t="str">
        <f aca="false">IF(M953=1,MONTH(C953),"")</f>
        <v/>
      </c>
    </row>
    <row r="954" customFormat="false" ht="15" hidden="false" customHeight="false" outlineLevel="0" collapsed="false">
      <c r="A954" s="13" t="str">
        <f aca="false">TRIM(Raw_Data!A954)</f>
        <v>EMP0953</v>
      </c>
      <c r="B954" s="14" t="n">
        <f aca="false">Raw_Data!B954</f>
        <v>43763</v>
      </c>
      <c r="C954" s="14" t="n">
        <f aca="false">IF(Raw_Data!C954="","",Raw_Data!C954)</f>
        <v>44680</v>
      </c>
      <c r="D954" s="13" t="n">
        <f aca="false">IF(Raw_Data!D954="","",Raw_Data!D954)</f>
        <v>33</v>
      </c>
      <c r="E954" s="13" t="str">
        <f aca="false">IF(UPPER(LEFT(TRIM(Raw_Data!E954),1))="M","Male",IF(UPPER(LEFT(TRIM(Raw_Data!E954),1))="F","Female","Unknown"))</f>
        <v>Female</v>
      </c>
      <c r="F954" s="13" t="str">
        <f aca="false">PROPER(TRIM(SUBSTITUTE(Raw_Data!F954,"'","")))</f>
        <v>Masters</v>
      </c>
      <c r="G954" s="13" t="str">
        <f aca="false">PROPER(TRIM(Raw_Data!G954))</f>
        <v>Customer Support</v>
      </c>
      <c r="H954" s="13" t="str">
        <f aca="false">PROPER(TRIM(Raw_Data!H954))</f>
        <v>Senior Analyst</v>
      </c>
      <c r="I954" s="13" t="n">
        <f aca="false">IF(Raw_Data!I954="",DefaultPerf,Raw_Data!I954)</f>
        <v>3</v>
      </c>
      <c r="J954" s="13" t="n">
        <f aca="false">IF(Raw_Data!J954="",DefaultSat,Raw_Data!J954)</f>
        <v>4</v>
      </c>
      <c r="K954" s="15" t="n">
        <f aca="false">Raw_Data!K954</f>
        <v>89500</v>
      </c>
      <c r="L954" s="13" t="str">
        <f aca="false">PROPER(TRIM(Raw_Data!N954))</f>
        <v>No</v>
      </c>
      <c r="M954" s="13" t="n">
        <f aca="false">IF(C954="",0,1)</f>
        <v>1</v>
      </c>
      <c r="N954" s="13" t="str">
        <f aca="false">IF(M954=0,"Active",IF(TRIM(Raw_Data!L954)="","Unknown",PROPER(TRIM(Raw_Data!L954))))</f>
        <v>Voluntary</v>
      </c>
      <c r="O954" s="13" t="str">
        <f aca="false">IF(M954=0,"",IF(TRIM(Raw_Data!M954)="","Not Recorded",TRIM(Raw_Data!M954)))</f>
        <v>Better Compensation</v>
      </c>
      <c r="P954" s="16" t="n">
        <f aca="false">ROUND((IF(C954="",AsOfDate,C954)-B954)/365.25,2)</f>
        <v>2.51</v>
      </c>
      <c r="Q954" s="13" t="str">
        <f aca="false">IF(D954="","Unknown",IF(D954&lt;25,"Under 25",IF(D954&lt;35,"25-34",IF(D954&lt;45,"35-44",IF(D954&lt;55,"45-54","55+")))))</f>
        <v>25-34</v>
      </c>
      <c r="R954" s="13" t="str">
        <f aca="false">IF(P954&lt;1,"0-1 yrs",IF(P954&lt;3,"1-3 yrs",IF(P954&lt;5,"3-5 yrs",IF(P954&lt;10,"5-10 yrs","10+ yrs"))))</f>
        <v>1-3 yrs</v>
      </c>
      <c r="S954" s="13" t="str">
        <f aca="false">IF(I954&gt;=4,"High",IF(I954=3,"Medium","Low"))</f>
        <v>Medium</v>
      </c>
      <c r="T954" s="13" t="n">
        <f aca="false">IF(M954=1,YEAR(C954),"")</f>
        <v>2022</v>
      </c>
      <c r="U954" s="13" t="str">
        <f aca="false">IF(M954=1,YEAR(C954)&amp;"-Q"&amp;ROUNDUP(MONTH(C954)/3,0),"")</f>
        <v>2022-Q2</v>
      </c>
      <c r="V954" s="13" t="n">
        <f aca="false">IF(M954=1,MONTH(C954),"")</f>
        <v>4</v>
      </c>
    </row>
    <row r="955" customFormat="false" ht="15" hidden="false" customHeight="false" outlineLevel="0" collapsed="false">
      <c r="A955" s="13" t="str">
        <f aca="false">TRIM(Raw_Data!A955)</f>
        <v>EMP0954</v>
      </c>
      <c r="B955" s="14" t="n">
        <f aca="false">Raw_Data!B955</f>
        <v>43764</v>
      </c>
      <c r="C955" s="14" t="str">
        <f aca="false">IF(Raw_Data!C955="","",Raw_Data!C955)</f>
        <v/>
      </c>
      <c r="D955" s="13" t="n">
        <f aca="false">IF(Raw_Data!D955="","",Raw_Data!D955)</f>
        <v>39</v>
      </c>
      <c r="E955" s="13" t="str">
        <f aca="false">IF(UPPER(LEFT(TRIM(Raw_Data!E955),1))="M","Male",IF(UPPER(LEFT(TRIM(Raw_Data!E955),1))="F","Female","Unknown"))</f>
        <v>Male</v>
      </c>
      <c r="F955" s="13" t="str">
        <f aca="false">PROPER(TRIM(SUBSTITUTE(Raw_Data!F955,"'","")))</f>
        <v>Masters</v>
      </c>
      <c r="G955" s="13" t="str">
        <f aca="false">PROPER(TRIM(Raw_Data!G955))</f>
        <v>Engineering</v>
      </c>
      <c r="H955" s="13" t="str">
        <f aca="false">PROPER(TRIM(Raw_Data!H955))</f>
        <v>Associate</v>
      </c>
      <c r="I955" s="13" t="n">
        <f aca="false">IF(Raw_Data!I955="",DefaultPerf,Raw_Data!I955)</f>
        <v>3</v>
      </c>
      <c r="J955" s="13" t="n">
        <f aca="false">IF(Raw_Data!J955="",DefaultSat,Raw_Data!J955)</f>
        <v>3</v>
      </c>
      <c r="K955" s="15" t="n">
        <f aca="false">Raw_Data!K955</f>
        <v>41000</v>
      </c>
      <c r="L955" s="13" t="str">
        <f aca="false">PROPER(TRIM(Raw_Data!N955))</f>
        <v>Yes</v>
      </c>
      <c r="M955" s="13" t="n">
        <f aca="false">IF(C955="",0,1)</f>
        <v>0</v>
      </c>
      <c r="N955" s="13" t="str">
        <f aca="false">IF(M955=0,"Active",IF(TRIM(Raw_Data!L955)="","Unknown",PROPER(TRIM(Raw_Data!L955))))</f>
        <v>Active</v>
      </c>
      <c r="O955" s="13" t="str">
        <f aca="false">IF(M955=0,"",IF(TRIM(Raw_Data!M955)="","Not Recorded",TRIM(Raw_Data!M955)))</f>
        <v/>
      </c>
      <c r="P955" s="16" t="n">
        <f aca="false">ROUND((IF(C955="",AsOfDate,C955)-B955)/365.25,2)</f>
        <v>6.18</v>
      </c>
      <c r="Q955" s="13" t="str">
        <f aca="false">IF(D955="","Unknown",IF(D955&lt;25,"Under 25",IF(D955&lt;35,"25-34",IF(D955&lt;45,"35-44",IF(D955&lt;55,"45-54","55+")))))</f>
        <v>35-44</v>
      </c>
      <c r="R955" s="13" t="str">
        <f aca="false">IF(P955&lt;1,"0-1 yrs",IF(P955&lt;3,"1-3 yrs",IF(P955&lt;5,"3-5 yrs",IF(P955&lt;10,"5-10 yrs","10+ yrs"))))</f>
        <v>5-10 yrs</v>
      </c>
      <c r="S955" s="13" t="str">
        <f aca="false">IF(I955&gt;=4,"High",IF(I955=3,"Medium","Low"))</f>
        <v>Medium</v>
      </c>
      <c r="T955" s="13" t="str">
        <f aca="false">IF(M955=1,YEAR(C955),"")</f>
        <v/>
      </c>
      <c r="U955" s="13" t="str">
        <f aca="false">IF(M955=1,YEAR(C955)&amp;"-Q"&amp;ROUNDUP(MONTH(C955)/3,0),"")</f>
        <v/>
      </c>
      <c r="V955" s="13" t="str">
        <f aca="false">IF(M955=1,MONTH(C955),"")</f>
        <v/>
      </c>
    </row>
    <row r="956" customFormat="false" ht="15" hidden="false" customHeight="false" outlineLevel="0" collapsed="false">
      <c r="A956" s="13" t="str">
        <f aca="false">TRIM(Raw_Data!A956)</f>
        <v>EMP0955</v>
      </c>
      <c r="B956" s="14" t="n">
        <f aca="false">Raw_Data!B956</f>
        <v>43764</v>
      </c>
      <c r="C956" s="14" t="str">
        <f aca="false">IF(Raw_Data!C956="","",Raw_Data!C956)</f>
        <v/>
      </c>
      <c r="D956" s="13" t="n">
        <f aca="false">IF(Raw_Data!D956="","",Raw_Data!D956)</f>
        <v>29</v>
      </c>
      <c r="E956" s="13" t="str">
        <f aca="false">IF(UPPER(LEFT(TRIM(Raw_Data!E956),1))="M","Male",IF(UPPER(LEFT(TRIM(Raw_Data!E956),1))="F","Female","Unknown"))</f>
        <v>Male</v>
      </c>
      <c r="F956" s="13" t="str">
        <f aca="false">PROPER(TRIM(SUBSTITUTE(Raw_Data!F956,"'","")))</f>
        <v>Bachelors</v>
      </c>
      <c r="G956" s="13" t="str">
        <f aca="false">PROPER(TRIM(Raw_Data!G956))</f>
        <v>Customer Support</v>
      </c>
      <c r="H956" s="13" t="str">
        <f aca="false">PROPER(TRIM(Raw_Data!H956))</f>
        <v>Analyst</v>
      </c>
      <c r="I956" s="13" t="n">
        <f aca="false">IF(Raw_Data!I956="",DefaultPerf,Raw_Data!I956)</f>
        <v>3</v>
      </c>
      <c r="J956" s="13" t="n">
        <f aca="false">IF(Raw_Data!J956="",DefaultSat,Raw_Data!J956)</f>
        <v>3</v>
      </c>
      <c r="K956" s="15" t="n">
        <f aca="false">Raw_Data!K956</f>
        <v>67500</v>
      </c>
      <c r="L956" s="13" t="str">
        <f aca="false">PROPER(TRIM(Raw_Data!N956))</f>
        <v>No</v>
      </c>
      <c r="M956" s="13" t="n">
        <f aca="false">IF(C956="",0,1)</f>
        <v>0</v>
      </c>
      <c r="N956" s="13" t="str">
        <f aca="false">IF(M956=0,"Active",IF(TRIM(Raw_Data!L956)="","Unknown",PROPER(TRIM(Raw_Data!L956))))</f>
        <v>Active</v>
      </c>
      <c r="O956" s="13" t="str">
        <f aca="false">IF(M956=0,"",IF(TRIM(Raw_Data!M956)="","Not Recorded",TRIM(Raw_Data!M956)))</f>
        <v/>
      </c>
      <c r="P956" s="16" t="n">
        <f aca="false">ROUND((IF(C956="",AsOfDate,C956)-B956)/365.25,2)</f>
        <v>6.18</v>
      </c>
      <c r="Q956" s="13" t="str">
        <f aca="false">IF(D956="","Unknown",IF(D956&lt;25,"Under 25",IF(D956&lt;35,"25-34",IF(D956&lt;45,"35-44",IF(D956&lt;55,"45-54","55+")))))</f>
        <v>25-34</v>
      </c>
      <c r="R956" s="13" t="str">
        <f aca="false">IF(P956&lt;1,"0-1 yrs",IF(P956&lt;3,"1-3 yrs",IF(P956&lt;5,"3-5 yrs",IF(P956&lt;10,"5-10 yrs","10+ yrs"))))</f>
        <v>5-10 yrs</v>
      </c>
      <c r="S956" s="13" t="str">
        <f aca="false">IF(I956&gt;=4,"High",IF(I956=3,"Medium","Low"))</f>
        <v>Medium</v>
      </c>
      <c r="T956" s="13" t="str">
        <f aca="false">IF(M956=1,YEAR(C956),"")</f>
        <v/>
      </c>
      <c r="U956" s="13" t="str">
        <f aca="false">IF(M956=1,YEAR(C956)&amp;"-Q"&amp;ROUNDUP(MONTH(C956)/3,0),"")</f>
        <v/>
      </c>
      <c r="V956" s="13" t="str">
        <f aca="false">IF(M956=1,MONTH(C956),"")</f>
        <v/>
      </c>
    </row>
    <row r="957" customFormat="false" ht="15" hidden="false" customHeight="false" outlineLevel="0" collapsed="false">
      <c r="A957" s="13" t="str">
        <f aca="false">TRIM(Raw_Data!A957)</f>
        <v>EMP0956</v>
      </c>
      <c r="B957" s="14" t="n">
        <f aca="false">Raw_Data!B957</f>
        <v>43764</v>
      </c>
      <c r="C957" s="14" t="n">
        <f aca="false">IF(Raw_Data!C957="","",Raw_Data!C957)</f>
        <v>44587</v>
      </c>
      <c r="D957" s="13" t="n">
        <f aca="false">IF(Raw_Data!D957="","",Raw_Data!D957)</f>
        <v>32</v>
      </c>
      <c r="E957" s="13" t="str">
        <f aca="false">IF(UPPER(LEFT(TRIM(Raw_Data!E957),1))="M","Male",IF(UPPER(LEFT(TRIM(Raw_Data!E957),1))="F","Female","Unknown"))</f>
        <v>Male</v>
      </c>
      <c r="F957" s="13" t="str">
        <f aca="false">PROPER(TRIM(SUBSTITUTE(Raw_Data!F957,"'","")))</f>
        <v>Masters</v>
      </c>
      <c r="G957" s="13" t="str">
        <f aca="false">PROPER(TRIM(Raw_Data!G957))</f>
        <v>Engineering</v>
      </c>
      <c r="H957" s="13" t="str">
        <f aca="false">PROPER(TRIM(Raw_Data!H957))</f>
        <v>Associate</v>
      </c>
      <c r="I957" s="13" t="n">
        <f aca="false">IF(Raw_Data!I957="",DefaultPerf,Raw_Data!I957)</f>
        <v>3</v>
      </c>
      <c r="J957" s="13" t="n">
        <f aca="false">IF(Raw_Data!J957="",DefaultSat,Raw_Data!J957)</f>
        <v>2</v>
      </c>
      <c r="K957" s="15" t="n">
        <f aca="false">Raw_Data!K957</f>
        <v>43500</v>
      </c>
      <c r="L957" s="13" t="str">
        <f aca="false">PROPER(TRIM(Raw_Data!N957))</f>
        <v>No</v>
      </c>
      <c r="M957" s="13" t="n">
        <f aca="false">IF(C957="",0,1)</f>
        <v>1</v>
      </c>
      <c r="N957" s="13" t="str">
        <f aca="false">IF(M957=0,"Active",IF(TRIM(Raw_Data!L957)="","Unknown",PROPER(TRIM(Raw_Data!L957))))</f>
        <v>Voluntary</v>
      </c>
      <c r="O957" s="13" t="str">
        <f aca="false">IF(M957=0,"",IF(TRIM(Raw_Data!M957)="","Not Recorded",TRIM(Raw_Data!M957)))</f>
        <v>Manager Issues</v>
      </c>
      <c r="P957" s="16" t="n">
        <f aca="false">ROUND((IF(C957="",AsOfDate,C957)-B957)/365.25,2)</f>
        <v>2.25</v>
      </c>
      <c r="Q957" s="13" t="str">
        <f aca="false">IF(D957="","Unknown",IF(D957&lt;25,"Under 25",IF(D957&lt;35,"25-34",IF(D957&lt;45,"35-44",IF(D957&lt;55,"45-54","55+")))))</f>
        <v>25-34</v>
      </c>
      <c r="R957" s="13" t="str">
        <f aca="false">IF(P957&lt;1,"0-1 yrs",IF(P957&lt;3,"1-3 yrs",IF(P957&lt;5,"3-5 yrs",IF(P957&lt;10,"5-10 yrs","10+ yrs"))))</f>
        <v>1-3 yrs</v>
      </c>
      <c r="S957" s="13" t="str">
        <f aca="false">IF(I957&gt;=4,"High",IF(I957=3,"Medium","Low"))</f>
        <v>Medium</v>
      </c>
      <c r="T957" s="13" t="n">
        <f aca="false">IF(M957=1,YEAR(C957),"")</f>
        <v>2022</v>
      </c>
      <c r="U957" s="13" t="str">
        <f aca="false">IF(M957=1,YEAR(C957)&amp;"-Q"&amp;ROUNDUP(MONTH(C957)/3,0),"")</f>
        <v>2022-Q1</v>
      </c>
      <c r="V957" s="13" t="n">
        <f aca="false">IF(M957=1,MONTH(C957),"")</f>
        <v>1</v>
      </c>
    </row>
    <row r="958" customFormat="false" ht="15" hidden="false" customHeight="false" outlineLevel="0" collapsed="false">
      <c r="A958" s="13" t="str">
        <f aca="false">TRIM(Raw_Data!A958)</f>
        <v>EMP0957</v>
      </c>
      <c r="B958" s="14" t="n">
        <f aca="false">Raw_Data!B958</f>
        <v>43770</v>
      </c>
      <c r="C958" s="14" t="str">
        <f aca="false">IF(Raw_Data!C958="","",Raw_Data!C958)</f>
        <v/>
      </c>
      <c r="D958" s="13" t="n">
        <f aca="false">IF(Raw_Data!D958="","",Raw_Data!D958)</f>
        <v>42</v>
      </c>
      <c r="E958" s="13" t="str">
        <f aca="false">IF(UPPER(LEFT(TRIM(Raw_Data!E958),1))="M","Male",IF(UPPER(LEFT(TRIM(Raw_Data!E958),1))="F","Female","Unknown"))</f>
        <v>Male</v>
      </c>
      <c r="F958" s="13" t="str">
        <f aca="false">PROPER(TRIM(SUBSTITUTE(Raw_Data!F958,"'","")))</f>
        <v>Masters</v>
      </c>
      <c r="G958" s="13" t="str">
        <f aca="false">PROPER(TRIM(Raw_Data!G958))</f>
        <v>Engineering</v>
      </c>
      <c r="H958" s="13" t="str">
        <f aca="false">PROPER(TRIM(Raw_Data!H958))</f>
        <v>Senior Analyst</v>
      </c>
      <c r="I958" s="13" t="n">
        <f aca="false">IF(Raw_Data!I958="",DefaultPerf,Raw_Data!I958)</f>
        <v>4</v>
      </c>
      <c r="J958" s="13" t="n">
        <f aca="false">IF(Raw_Data!J958="",DefaultSat,Raw_Data!J958)</f>
        <v>4</v>
      </c>
      <c r="K958" s="15" t="n">
        <f aca="false">Raw_Data!K958</f>
        <v>103000</v>
      </c>
      <c r="L958" s="13" t="str">
        <f aca="false">PROPER(TRIM(Raw_Data!N958))</f>
        <v>No</v>
      </c>
      <c r="M958" s="13" t="n">
        <f aca="false">IF(C958="",0,1)</f>
        <v>0</v>
      </c>
      <c r="N958" s="13" t="str">
        <f aca="false">IF(M958=0,"Active",IF(TRIM(Raw_Data!L958)="","Unknown",PROPER(TRIM(Raw_Data!L958))))</f>
        <v>Active</v>
      </c>
      <c r="O958" s="13" t="str">
        <f aca="false">IF(M958=0,"",IF(TRIM(Raw_Data!M958)="","Not Recorded",TRIM(Raw_Data!M958)))</f>
        <v/>
      </c>
      <c r="P958" s="16" t="n">
        <f aca="false">ROUND((IF(C958="",AsOfDate,C958)-B958)/365.25,2)</f>
        <v>6.17</v>
      </c>
      <c r="Q958" s="13" t="str">
        <f aca="false">IF(D958="","Unknown",IF(D958&lt;25,"Under 25",IF(D958&lt;35,"25-34",IF(D958&lt;45,"35-44",IF(D958&lt;55,"45-54","55+")))))</f>
        <v>35-44</v>
      </c>
      <c r="R958" s="13" t="str">
        <f aca="false">IF(P958&lt;1,"0-1 yrs",IF(P958&lt;3,"1-3 yrs",IF(P958&lt;5,"3-5 yrs",IF(P958&lt;10,"5-10 yrs","10+ yrs"))))</f>
        <v>5-10 yrs</v>
      </c>
      <c r="S958" s="13" t="str">
        <f aca="false">IF(I958&gt;=4,"High",IF(I958=3,"Medium","Low"))</f>
        <v>High</v>
      </c>
      <c r="T958" s="13" t="str">
        <f aca="false">IF(M958=1,YEAR(C958),"")</f>
        <v/>
      </c>
      <c r="U958" s="13" t="str">
        <f aca="false">IF(M958=1,YEAR(C958)&amp;"-Q"&amp;ROUNDUP(MONTH(C958)/3,0),"")</f>
        <v/>
      </c>
      <c r="V958" s="13" t="str">
        <f aca="false">IF(M958=1,MONTH(C958),"")</f>
        <v/>
      </c>
    </row>
    <row r="959" customFormat="false" ht="15" hidden="false" customHeight="false" outlineLevel="0" collapsed="false">
      <c r="A959" s="13" t="str">
        <f aca="false">TRIM(Raw_Data!A959)</f>
        <v>EMP0958</v>
      </c>
      <c r="B959" s="14" t="n">
        <f aca="false">Raw_Data!B959</f>
        <v>43770</v>
      </c>
      <c r="C959" s="14" t="str">
        <f aca="false">IF(Raw_Data!C959="","",Raw_Data!C959)</f>
        <v/>
      </c>
      <c r="D959" s="13" t="n">
        <f aca="false">IF(Raw_Data!D959="","",Raw_Data!D959)</f>
        <v>29</v>
      </c>
      <c r="E959" s="13" t="str">
        <f aca="false">IF(UPPER(LEFT(TRIM(Raw_Data!E959),1))="M","Male",IF(UPPER(LEFT(TRIM(Raw_Data!E959),1))="F","Female","Unknown"))</f>
        <v>Female</v>
      </c>
      <c r="F959" s="13" t="str">
        <f aca="false">PROPER(TRIM(SUBSTITUTE(Raw_Data!F959,"'","")))</f>
        <v>Masters</v>
      </c>
      <c r="G959" s="13" t="str">
        <f aca="false">PROPER(TRIM(Raw_Data!G959))</f>
        <v>Sales</v>
      </c>
      <c r="H959" s="13" t="str">
        <f aca="false">PROPER(TRIM(Raw_Data!H959))</f>
        <v>Senior Analyst</v>
      </c>
      <c r="I959" s="13" t="n">
        <f aca="false">IF(Raw_Data!I959="",DefaultPerf,Raw_Data!I959)</f>
        <v>5</v>
      </c>
      <c r="J959" s="13" t="n">
        <f aca="false">IF(Raw_Data!J959="",DefaultSat,Raw_Data!J959)</f>
        <v>4</v>
      </c>
      <c r="K959" s="15" t="n">
        <f aca="false">Raw_Data!K959</f>
        <v>111000</v>
      </c>
      <c r="L959" s="13" t="str">
        <f aca="false">PROPER(TRIM(Raw_Data!N959))</f>
        <v>No</v>
      </c>
      <c r="M959" s="13" t="n">
        <f aca="false">IF(C959="",0,1)</f>
        <v>0</v>
      </c>
      <c r="N959" s="13" t="str">
        <f aca="false">IF(M959=0,"Active",IF(TRIM(Raw_Data!L959)="","Unknown",PROPER(TRIM(Raw_Data!L959))))</f>
        <v>Active</v>
      </c>
      <c r="O959" s="13" t="str">
        <f aca="false">IF(M959=0,"",IF(TRIM(Raw_Data!M959)="","Not Recorded",TRIM(Raw_Data!M959)))</f>
        <v/>
      </c>
      <c r="P959" s="16" t="n">
        <f aca="false">ROUND((IF(C959="",AsOfDate,C959)-B959)/365.25,2)</f>
        <v>6.17</v>
      </c>
      <c r="Q959" s="13" t="str">
        <f aca="false">IF(D959="","Unknown",IF(D959&lt;25,"Under 25",IF(D959&lt;35,"25-34",IF(D959&lt;45,"35-44",IF(D959&lt;55,"45-54","55+")))))</f>
        <v>25-34</v>
      </c>
      <c r="R959" s="13" t="str">
        <f aca="false">IF(P959&lt;1,"0-1 yrs",IF(P959&lt;3,"1-3 yrs",IF(P959&lt;5,"3-5 yrs",IF(P959&lt;10,"5-10 yrs","10+ yrs"))))</f>
        <v>5-10 yrs</v>
      </c>
      <c r="S959" s="13" t="str">
        <f aca="false">IF(I959&gt;=4,"High",IF(I959=3,"Medium","Low"))</f>
        <v>High</v>
      </c>
      <c r="T959" s="13" t="str">
        <f aca="false">IF(M959=1,YEAR(C959),"")</f>
        <v/>
      </c>
      <c r="U959" s="13" t="str">
        <f aca="false">IF(M959=1,YEAR(C959)&amp;"-Q"&amp;ROUNDUP(MONTH(C959)/3,0),"")</f>
        <v/>
      </c>
      <c r="V959" s="13" t="str">
        <f aca="false">IF(M959=1,MONTH(C959),"")</f>
        <v/>
      </c>
    </row>
    <row r="960" customFormat="false" ht="15" hidden="false" customHeight="false" outlineLevel="0" collapsed="false">
      <c r="A960" s="13" t="str">
        <f aca="false">TRIM(Raw_Data!A960)</f>
        <v>EMP0959</v>
      </c>
      <c r="B960" s="14" t="n">
        <f aca="false">Raw_Data!B960</f>
        <v>43772</v>
      </c>
      <c r="C960" s="14" t="n">
        <f aca="false">IF(Raw_Data!C960="","",Raw_Data!C960)</f>
        <v>45639</v>
      </c>
      <c r="D960" s="13" t="n">
        <f aca="false">IF(Raw_Data!D960="","",Raw_Data!D960)</f>
        <v>39</v>
      </c>
      <c r="E960" s="13" t="str">
        <f aca="false">IF(UPPER(LEFT(TRIM(Raw_Data!E960),1))="M","Male",IF(UPPER(LEFT(TRIM(Raw_Data!E960),1))="F","Female","Unknown"))</f>
        <v>Female</v>
      </c>
      <c r="F960" s="13" t="str">
        <f aca="false">PROPER(TRIM(SUBSTITUTE(Raw_Data!F960,"'","")))</f>
        <v>Bachelors</v>
      </c>
      <c r="G960" s="13" t="str">
        <f aca="false">PROPER(TRIM(Raw_Data!G960))</f>
        <v>Sales</v>
      </c>
      <c r="H960" s="13" t="str">
        <f aca="false">PROPER(TRIM(Raw_Data!H960))</f>
        <v>Senior Analyst</v>
      </c>
      <c r="I960" s="13" t="n">
        <f aca="false">IF(Raw_Data!I960="",DefaultPerf,Raw_Data!I960)</f>
        <v>2</v>
      </c>
      <c r="J960" s="13" t="n">
        <f aca="false">IF(Raw_Data!J960="",DefaultSat,Raw_Data!J960)</f>
        <v>4</v>
      </c>
      <c r="K960" s="15" t="n">
        <f aca="false">Raw_Data!K960</f>
        <v>92500</v>
      </c>
      <c r="L960" s="13" t="str">
        <f aca="false">PROPER(TRIM(Raw_Data!N960))</f>
        <v>No</v>
      </c>
      <c r="M960" s="13" t="n">
        <f aca="false">IF(C960="",0,1)</f>
        <v>1</v>
      </c>
      <c r="N960" s="13" t="str">
        <f aca="false">IF(M960=0,"Active",IF(TRIM(Raw_Data!L960)="","Unknown",PROPER(TRIM(Raw_Data!L960))))</f>
        <v>Voluntary</v>
      </c>
      <c r="O960" s="13" t="str">
        <f aca="false">IF(M960=0,"",IF(TRIM(Raw_Data!M960)="","Not Recorded",TRIM(Raw_Data!M960)))</f>
        <v>Better Compensation</v>
      </c>
      <c r="P960" s="16" t="n">
        <f aca="false">ROUND((IF(C960="",AsOfDate,C960)-B960)/365.25,2)</f>
        <v>5.11</v>
      </c>
      <c r="Q960" s="13" t="str">
        <f aca="false">IF(D960="","Unknown",IF(D960&lt;25,"Under 25",IF(D960&lt;35,"25-34",IF(D960&lt;45,"35-44",IF(D960&lt;55,"45-54","55+")))))</f>
        <v>35-44</v>
      </c>
      <c r="R960" s="13" t="str">
        <f aca="false">IF(P960&lt;1,"0-1 yrs",IF(P960&lt;3,"1-3 yrs",IF(P960&lt;5,"3-5 yrs",IF(P960&lt;10,"5-10 yrs","10+ yrs"))))</f>
        <v>5-10 yrs</v>
      </c>
      <c r="S960" s="13" t="str">
        <f aca="false">IF(I960&gt;=4,"High",IF(I960=3,"Medium","Low"))</f>
        <v>Low</v>
      </c>
      <c r="T960" s="13" t="n">
        <f aca="false">IF(M960=1,YEAR(C960),"")</f>
        <v>2024</v>
      </c>
      <c r="U960" s="13" t="str">
        <f aca="false">IF(M960=1,YEAR(C960)&amp;"-Q"&amp;ROUNDUP(MONTH(C960)/3,0),"")</f>
        <v>2024-Q4</v>
      </c>
      <c r="V960" s="13" t="n">
        <f aca="false">IF(M960=1,MONTH(C960),"")</f>
        <v>12</v>
      </c>
    </row>
    <row r="961" customFormat="false" ht="15" hidden="false" customHeight="false" outlineLevel="0" collapsed="false">
      <c r="A961" s="13" t="str">
        <f aca="false">TRIM(Raw_Data!A961)</f>
        <v>EMP0960</v>
      </c>
      <c r="B961" s="14" t="n">
        <f aca="false">Raw_Data!B961</f>
        <v>43775</v>
      </c>
      <c r="C961" s="14" t="str">
        <f aca="false">IF(Raw_Data!C961="","",Raw_Data!C961)</f>
        <v/>
      </c>
      <c r="D961" s="13" t="n">
        <f aca="false">IF(Raw_Data!D961="","",Raw_Data!D961)</f>
        <v>37</v>
      </c>
      <c r="E961" s="13" t="str">
        <f aca="false">IF(UPPER(LEFT(TRIM(Raw_Data!E961),1))="M","Male",IF(UPPER(LEFT(TRIM(Raw_Data!E961),1))="F","Female","Unknown"))</f>
        <v>Male</v>
      </c>
      <c r="F961" s="13" t="str">
        <f aca="false">PROPER(TRIM(SUBSTITUTE(Raw_Data!F961,"'","")))</f>
        <v>Bachelors</v>
      </c>
      <c r="G961" s="13" t="str">
        <f aca="false">PROPER(TRIM(Raw_Data!G961))</f>
        <v>Operations</v>
      </c>
      <c r="H961" s="13" t="str">
        <f aca="false">PROPER(TRIM(Raw_Data!H961))</f>
        <v>Team Lead</v>
      </c>
      <c r="I961" s="13" t="n">
        <f aca="false">IF(Raw_Data!I961="",DefaultPerf,Raw_Data!I961)</f>
        <v>3</v>
      </c>
      <c r="J961" s="13" t="n">
        <f aca="false">IF(Raw_Data!J961="",DefaultSat,Raw_Data!J961)</f>
        <v>4</v>
      </c>
      <c r="K961" s="15" t="n">
        <f aca="false">Raw_Data!K961</f>
        <v>137500</v>
      </c>
      <c r="L961" s="13" t="str">
        <f aca="false">PROPER(TRIM(Raw_Data!N961))</f>
        <v>No</v>
      </c>
      <c r="M961" s="13" t="n">
        <f aca="false">IF(C961="",0,1)</f>
        <v>0</v>
      </c>
      <c r="N961" s="13" t="str">
        <f aca="false">IF(M961=0,"Active",IF(TRIM(Raw_Data!L961)="","Unknown",PROPER(TRIM(Raw_Data!L961))))</f>
        <v>Active</v>
      </c>
      <c r="O961" s="13" t="str">
        <f aca="false">IF(M961=0,"",IF(TRIM(Raw_Data!M961)="","Not Recorded",TRIM(Raw_Data!M961)))</f>
        <v/>
      </c>
      <c r="P961" s="16" t="n">
        <f aca="false">ROUND((IF(C961="",AsOfDate,C961)-B961)/365.25,2)</f>
        <v>6.15</v>
      </c>
      <c r="Q961" s="13" t="str">
        <f aca="false">IF(D961="","Unknown",IF(D961&lt;25,"Under 25",IF(D961&lt;35,"25-34",IF(D961&lt;45,"35-44",IF(D961&lt;55,"45-54","55+")))))</f>
        <v>35-44</v>
      </c>
      <c r="R961" s="13" t="str">
        <f aca="false">IF(P961&lt;1,"0-1 yrs",IF(P961&lt;3,"1-3 yrs",IF(P961&lt;5,"3-5 yrs",IF(P961&lt;10,"5-10 yrs","10+ yrs"))))</f>
        <v>5-10 yrs</v>
      </c>
      <c r="S961" s="13" t="str">
        <f aca="false">IF(I961&gt;=4,"High",IF(I961=3,"Medium","Low"))</f>
        <v>Medium</v>
      </c>
      <c r="T961" s="13" t="str">
        <f aca="false">IF(M961=1,YEAR(C961),"")</f>
        <v/>
      </c>
      <c r="U961" s="13" t="str">
        <f aca="false">IF(M961=1,YEAR(C961)&amp;"-Q"&amp;ROUNDUP(MONTH(C961)/3,0),"")</f>
        <v/>
      </c>
      <c r="V961" s="13" t="str">
        <f aca="false">IF(M961=1,MONTH(C961),"")</f>
        <v/>
      </c>
    </row>
    <row r="962" customFormat="false" ht="15" hidden="false" customHeight="false" outlineLevel="0" collapsed="false">
      <c r="A962" s="13" t="str">
        <f aca="false">TRIM(Raw_Data!A962)</f>
        <v>EMP0961</v>
      </c>
      <c r="B962" s="14" t="n">
        <f aca="false">Raw_Data!B962</f>
        <v>43776</v>
      </c>
      <c r="C962" s="14" t="str">
        <f aca="false">IF(Raw_Data!C962="","",Raw_Data!C962)</f>
        <v/>
      </c>
      <c r="D962" s="13" t="n">
        <f aca="false">IF(Raw_Data!D962="","",Raw_Data!D962)</f>
        <v>36</v>
      </c>
      <c r="E962" s="13" t="str">
        <f aca="false">IF(UPPER(LEFT(TRIM(Raw_Data!E962),1))="M","Male",IF(UPPER(LEFT(TRIM(Raw_Data!E962),1))="F","Female","Unknown"))</f>
        <v>Male</v>
      </c>
      <c r="F962" s="13" t="str">
        <f aca="false">PROPER(TRIM(SUBSTITUTE(Raw_Data!F962,"'","")))</f>
        <v>Doctorate</v>
      </c>
      <c r="G962" s="13" t="str">
        <f aca="false">PROPER(TRIM(Raw_Data!G962))</f>
        <v>Finance</v>
      </c>
      <c r="H962" s="13" t="str">
        <f aca="false">PROPER(TRIM(Raw_Data!H962))</f>
        <v>Senior Analyst</v>
      </c>
      <c r="I962" s="13" t="n">
        <f aca="false">IF(Raw_Data!I962="",DefaultPerf,Raw_Data!I962)</f>
        <v>3</v>
      </c>
      <c r="J962" s="13" t="n">
        <f aca="false">IF(Raw_Data!J962="",DefaultSat,Raw_Data!J962)</f>
        <v>2</v>
      </c>
      <c r="K962" s="15" t="n">
        <f aca="false">Raw_Data!K962</f>
        <v>94500</v>
      </c>
      <c r="L962" s="13" t="str">
        <f aca="false">PROPER(TRIM(Raw_Data!N962))</f>
        <v>No</v>
      </c>
      <c r="M962" s="13" t="n">
        <f aca="false">IF(C962="",0,1)</f>
        <v>0</v>
      </c>
      <c r="N962" s="13" t="str">
        <f aca="false">IF(M962=0,"Active",IF(TRIM(Raw_Data!L962)="","Unknown",PROPER(TRIM(Raw_Data!L962))))</f>
        <v>Active</v>
      </c>
      <c r="O962" s="13" t="str">
        <f aca="false">IF(M962=0,"",IF(TRIM(Raw_Data!M962)="","Not Recorded",TRIM(Raw_Data!M962)))</f>
        <v/>
      </c>
      <c r="P962" s="16" t="n">
        <f aca="false">ROUND((IF(C962="",AsOfDate,C962)-B962)/365.25,2)</f>
        <v>6.15</v>
      </c>
      <c r="Q962" s="13" t="str">
        <f aca="false">IF(D962="","Unknown",IF(D962&lt;25,"Under 25",IF(D962&lt;35,"25-34",IF(D962&lt;45,"35-44",IF(D962&lt;55,"45-54","55+")))))</f>
        <v>35-44</v>
      </c>
      <c r="R962" s="13" t="str">
        <f aca="false">IF(P962&lt;1,"0-1 yrs",IF(P962&lt;3,"1-3 yrs",IF(P962&lt;5,"3-5 yrs",IF(P962&lt;10,"5-10 yrs","10+ yrs"))))</f>
        <v>5-10 yrs</v>
      </c>
      <c r="S962" s="13" t="str">
        <f aca="false">IF(I962&gt;=4,"High",IF(I962=3,"Medium","Low"))</f>
        <v>Medium</v>
      </c>
      <c r="T962" s="13" t="str">
        <f aca="false">IF(M962=1,YEAR(C962),"")</f>
        <v/>
      </c>
      <c r="U962" s="13" t="str">
        <f aca="false">IF(M962=1,YEAR(C962)&amp;"-Q"&amp;ROUNDUP(MONTH(C962)/3,0),"")</f>
        <v/>
      </c>
      <c r="V962" s="13" t="str">
        <f aca="false">IF(M962=1,MONTH(C962),"")</f>
        <v/>
      </c>
    </row>
    <row r="963" customFormat="false" ht="15" hidden="false" customHeight="false" outlineLevel="0" collapsed="false">
      <c r="A963" s="13" t="str">
        <f aca="false">TRIM(Raw_Data!A963)</f>
        <v>EMP0962</v>
      </c>
      <c r="B963" s="14" t="n">
        <f aca="false">Raw_Data!B963</f>
        <v>43789</v>
      </c>
      <c r="C963" s="14" t="n">
        <f aca="false">IF(Raw_Data!C963="","",Raw_Data!C963)</f>
        <v>45267</v>
      </c>
      <c r="D963" s="13" t="n">
        <f aca="false">IF(Raw_Data!D963="","",Raw_Data!D963)</f>
        <v>35</v>
      </c>
      <c r="E963" s="13" t="str">
        <f aca="false">IF(UPPER(LEFT(TRIM(Raw_Data!E963),1))="M","Male",IF(UPPER(LEFT(TRIM(Raw_Data!E963),1))="F","Female","Unknown"))</f>
        <v>Female</v>
      </c>
      <c r="F963" s="13" t="str">
        <f aca="false">PROPER(TRIM(SUBSTITUTE(Raw_Data!F963,"'","")))</f>
        <v>Bachelors</v>
      </c>
      <c r="G963" s="13" t="str">
        <f aca="false">PROPER(TRIM(Raw_Data!G963))</f>
        <v>Engineering</v>
      </c>
      <c r="H963" s="13" t="str">
        <f aca="false">PROPER(TRIM(Raw_Data!H963))</f>
        <v>Analyst</v>
      </c>
      <c r="I963" s="13" t="n">
        <f aca="false">IF(Raw_Data!I963="",DefaultPerf,Raw_Data!I963)</f>
        <v>3</v>
      </c>
      <c r="J963" s="13" t="n">
        <f aca="false">IF(Raw_Data!J963="",DefaultSat,Raw_Data!J963)</f>
        <v>4</v>
      </c>
      <c r="K963" s="15" t="n">
        <f aca="false">Raw_Data!K963</f>
        <v>56000</v>
      </c>
      <c r="L963" s="13" t="str">
        <f aca="false">PROPER(TRIM(Raw_Data!N963))</f>
        <v>No</v>
      </c>
      <c r="M963" s="13" t="n">
        <f aca="false">IF(C963="",0,1)</f>
        <v>1</v>
      </c>
      <c r="N963" s="13" t="str">
        <f aca="false">IF(M963=0,"Active",IF(TRIM(Raw_Data!L963)="","Unknown",PROPER(TRIM(Raw_Data!L963))))</f>
        <v>Voluntary</v>
      </c>
      <c r="O963" s="13" t="str">
        <f aca="false">IF(M963=0,"",IF(TRIM(Raw_Data!M963)="","Not Recorded",TRIM(Raw_Data!M963)))</f>
        <v>Better Compensation</v>
      </c>
      <c r="P963" s="16" t="n">
        <f aca="false">ROUND((IF(C963="",AsOfDate,C963)-B963)/365.25,2)</f>
        <v>4.05</v>
      </c>
      <c r="Q963" s="13" t="str">
        <f aca="false">IF(D963="","Unknown",IF(D963&lt;25,"Under 25",IF(D963&lt;35,"25-34",IF(D963&lt;45,"35-44",IF(D963&lt;55,"45-54","55+")))))</f>
        <v>35-44</v>
      </c>
      <c r="R963" s="13" t="str">
        <f aca="false">IF(P963&lt;1,"0-1 yrs",IF(P963&lt;3,"1-3 yrs",IF(P963&lt;5,"3-5 yrs",IF(P963&lt;10,"5-10 yrs","10+ yrs"))))</f>
        <v>3-5 yrs</v>
      </c>
      <c r="S963" s="13" t="str">
        <f aca="false">IF(I963&gt;=4,"High",IF(I963=3,"Medium","Low"))</f>
        <v>Medium</v>
      </c>
      <c r="T963" s="13" t="n">
        <f aca="false">IF(M963=1,YEAR(C963),"")</f>
        <v>2023</v>
      </c>
      <c r="U963" s="13" t="str">
        <f aca="false">IF(M963=1,YEAR(C963)&amp;"-Q"&amp;ROUNDUP(MONTH(C963)/3,0),"")</f>
        <v>2023-Q4</v>
      </c>
      <c r="V963" s="13" t="n">
        <f aca="false">IF(M963=1,MONTH(C963),"")</f>
        <v>12</v>
      </c>
    </row>
    <row r="964" customFormat="false" ht="15" hidden="false" customHeight="false" outlineLevel="0" collapsed="false">
      <c r="A964" s="13" t="str">
        <f aca="false">TRIM(Raw_Data!A964)</f>
        <v>EMP0963</v>
      </c>
      <c r="B964" s="14" t="n">
        <f aca="false">Raw_Data!B964</f>
        <v>43790</v>
      </c>
      <c r="C964" s="14" t="str">
        <f aca="false">IF(Raw_Data!C964="","",Raw_Data!C964)</f>
        <v/>
      </c>
      <c r="D964" s="13" t="n">
        <f aca="false">IF(Raw_Data!D964="","",Raw_Data!D964)</f>
        <v>37</v>
      </c>
      <c r="E964" s="13" t="str">
        <f aca="false">IF(UPPER(LEFT(TRIM(Raw_Data!E964),1))="M","Male",IF(UPPER(LEFT(TRIM(Raw_Data!E964),1))="F","Female","Unknown"))</f>
        <v>Male</v>
      </c>
      <c r="F964" s="13" t="str">
        <f aca="false">PROPER(TRIM(SUBSTITUTE(Raw_Data!F964,"'","")))</f>
        <v>Bachelors</v>
      </c>
      <c r="G964" s="13" t="str">
        <f aca="false">PROPER(TRIM(Raw_Data!G964))</f>
        <v>Sales</v>
      </c>
      <c r="H964" s="13" t="str">
        <f aca="false">PROPER(TRIM(Raw_Data!H964))</f>
        <v>Associate</v>
      </c>
      <c r="I964" s="13" t="n">
        <f aca="false">IF(Raw_Data!I964="",DefaultPerf,Raw_Data!I964)</f>
        <v>4</v>
      </c>
      <c r="J964" s="13" t="n">
        <f aca="false">IF(Raw_Data!J964="",DefaultSat,Raw_Data!J964)</f>
        <v>1</v>
      </c>
      <c r="K964" s="15" t="n">
        <f aca="false">Raw_Data!K964</f>
        <v>39000</v>
      </c>
      <c r="L964" s="13" t="str">
        <f aca="false">PROPER(TRIM(Raw_Data!N964))</f>
        <v>Yes</v>
      </c>
      <c r="M964" s="13" t="n">
        <f aca="false">IF(C964="",0,1)</f>
        <v>0</v>
      </c>
      <c r="N964" s="13" t="str">
        <f aca="false">IF(M964=0,"Active",IF(TRIM(Raw_Data!L964)="","Unknown",PROPER(TRIM(Raw_Data!L964))))</f>
        <v>Active</v>
      </c>
      <c r="O964" s="13" t="str">
        <f aca="false">IF(M964=0,"",IF(TRIM(Raw_Data!M964)="","Not Recorded",TRIM(Raw_Data!M964)))</f>
        <v/>
      </c>
      <c r="P964" s="16" t="n">
        <f aca="false">ROUND((IF(C964="",AsOfDate,C964)-B964)/365.25,2)</f>
        <v>6.11</v>
      </c>
      <c r="Q964" s="13" t="str">
        <f aca="false">IF(D964="","Unknown",IF(D964&lt;25,"Under 25",IF(D964&lt;35,"25-34",IF(D964&lt;45,"35-44",IF(D964&lt;55,"45-54","55+")))))</f>
        <v>35-44</v>
      </c>
      <c r="R964" s="13" t="str">
        <f aca="false">IF(P964&lt;1,"0-1 yrs",IF(P964&lt;3,"1-3 yrs",IF(P964&lt;5,"3-5 yrs",IF(P964&lt;10,"5-10 yrs","10+ yrs"))))</f>
        <v>5-10 yrs</v>
      </c>
      <c r="S964" s="13" t="str">
        <f aca="false">IF(I964&gt;=4,"High",IF(I964=3,"Medium","Low"))</f>
        <v>High</v>
      </c>
      <c r="T964" s="13" t="str">
        <f aca="false">IF(M964=1,YEAR(C964),"")</f>
        <v/>
      </c>
      <c r="U964" s="13" t="str">
        <f aca="false">IF(M964=1,YEAR(C964)&amp;"-Q"&amp;ROUNDUP(MONTH(C964)/3,0),"")</f>
        <v/>
      </c>
      <c r="V964" s="13" t="str">
        <f aca="false">IF(M964=1,MONTH(C964),"")</f>
        <v/>
      </c>
    </row>
    <row r="965" customFormat="false" ht="15" hidden="false" customHeight="false" outlineLevel="0" collapsed="false">
      <c r="A965" s="13" t="str">
        <f aca="false">TRIM(Raw_Data!A965)</f>
        <v>EMP0964</v>
      </c>
      <c r="B965" s="14" t="n">
        <f aca="false">Raw_Data!B965</f>
        <v>43790</v>
      </c>
      <c r="C965" s="14" t="str">
        <f aca="false">IF(Raw_Data!C965="","",Raw_Data!C965)</f>
        <v/>
      </c>
      <c r="D965" s="13" t="n">
        <f aca="false">IF(Raw_Data!D965="","",Raw_Data!D965)</f>
        <v>40</v>
      </c>
      <c r="E965" s="13" t="str">
        <f aca="false">IF(UPPER(LEFT(TRIM(Raw_Data!E965),1))="M","Male",IF(UPPER(LEFT(TRIM(Raw_Data!E965),1))="F","Female","Unknown"))</f>
        <v>Female</v>
      </c>
      <c r="F965" s="13" t="str">
        <f aca="false">PROPER(TRIM(SUBSTITUTE(Raw_Data!F965,"'","")))</f>
        <v>Bachelors</v>
      </c>
      <c r="G965" s="13" t="str">
        <f aca="false">PROPER(TRIM(Raw_Data!G965))</f>
        <v>Customer Support</v>
      </c>
      <c r="H965" s="13" t="str">
        <f aca="false">PROPER(TRIM(Raw_Data!H965))</f>
        <v>Senior Analyst</v>
      </c>
      <c r="I965" s="13" t="n">
        <f aca="false">IF(Raw_Data!I965="",DefaultPerf,Raw_Data!I965)</f>
        <v>3</v>
      </c>
      <c r="J965" s="13" t="n">
        <f aca="false">IF(Raw_Data!J965="",DefaultSat,Raw_Data!J965)</f>
        <v>1</v>
      </c>
      <c r="K965" s="15" t="n">
        <f aca="false">Raw_Data!K965</f>
        <v>83000</v>
      </c>
      <c r="L965" s="13" t="str">
        <f aca="false">PROPER(TRIM(Raw_Data!N965))</f>
        <v>No</v>
      </c>
      <c r="M965" s="13" t="n">
        <f aca="false">IF(C965="",0,1)</f>
        <v>0</v>
      </c>
      <c r="N965" s="13" t="str">
        <f aca="false">IF(M965=0,"Active",IF(TRIM(Raw_Data!L965)="","Unknown",PROPER(TRIM(Raw_Data!L965))))</f>
        <v>Active</v>
      </c>
      <c r="O965" s="13" t="str">
        <f aca="false">IF(M965=0,"",IF(TRIM(Raw_Data!M965)="","Not Recorded",TRIM(Raw_Data!M965)))</f>
        <v/>
      </c>
      <c r="P965" s="16" t="n">
        <f aca="false">ROUND((IF(C965="",AsOfDate,C965)-B965)/365.25,2)</f>
        <v>6.11</v>
      </c>
      <c r="Q965" s="13" t="str">
        <f aca="false">IF(D965="","Unknown",IF(D965&lt;25,"Under 25",IF(D965&lt;35,"25-34",IF(D965&lt;45,"35-44",IF(D965&lt;55,"45-54","55+")))))</f>
        <v>35-44</v>
      </c>
      <c r="R965" s="13" t="str">
        <f aca="false">IF(P965&lt;1,"0-1 yrs",IF(P965&lt;3,"1-3 yrs",IF(P965&lt;5,"3-5 yrs",IF(P965&lt;10,"5-10 yrs","10+ yrs"))))</f>
        <v>5-10 yrs</v>
      </c>
      <c r="S965" s="13" t="str">
        <f aca="false">IF(I965&gt;=4,"High",IF(I965=3,"Medium","Low"))</f>
        <v>Medium</v>
      </c>
      <c r="T965" s="13" t="str">
        <f aca="false">IF(M965=1,YEAR(C965),"")</f>
        <v/>
      </c>
      <c r="U965" s="13" t="str">
        <f aca="false">IF(M965=1,YEAR(C965)&amp;"-Q"&amp;ROUNDUP(MONTH(C965)/3,0),"")</f>
        <v/>
      </c>
      <c r="V965" s="13" t="str">
        <f aca="false">IF(M965=1,MONTH(C965),"")</f>
        <v/>
      </c>
    </row>
    <row r="966" customFormat="false" ht="15" hidden="false" customHeight="false" outlineLevel="0" collapsed="false">
      <c r="A966" s="13" t="str">
        <f aca="false">TRIM(Raw_Data!A966)</f>
        <v>EMP0965</v>
      </c>
      <c r="B966" s="14" t="n">
        <f aca="false">Raw_Data!B966</f>
        <v>43792</v>
      </c>
      <c r="C966" s="14" t="str">
        <f aca="false">IF(Raw_Data!C966="","",Raw_Data!C966)</f>
        <v/>
      </c>
      <c r="D966" s="13" t="n">
        <f aca="false">IF(Raw_Data!D966="","",Raw_Data!D966)</f>
        <v>39</v>
      </c>
      <c r="E966" s="13" t="str">
        <f aca="false">IF(UPPER(LEFT(TRIM(Raw_Data!E966),1))="M","Male",IF(UPPER(LEFT(TRIM(Raw_Data!E966),1))="F","Female","Unknown"))</f>
        <v>Male</v>
      </c>
      <c r="F966" s="13" t="str">
        <f aca="false">PROPER(TRIM(SUBSTITUTE(Raw_Data!F966,"'","")))</f>
        <v>Bachelors</v>
      </c>
      <c r="G966" s="13" t="str">
        <f aca="false">PROPER(TRIM(Raw_Data!G966))</f>
        <v>Customer Support</v>
      </c>
      <c r="H966" s="13" t="str">
        <f aca="false">PROPER(TRIM(Raw_Data!H966))</f>
        <v>Analyst</v>
      </c>
      <c r="I966" s="13" t="n">
        <f aca="false">IF(Raw_Data!I966="",DefaultPerf,Raw_Data!I966)</f>
        <v>4</v>
      </c>
      <c r="J966" s="13" t="n">
        <f aca="false">IF(Raw_Data!J966="",DefaultSat,Raw_Data!J966)</f>
        <v>3</v>
      </c>
      <c r="K966" s="15" t="n">
        <f aca="false">Raw_Data!K966</f>
        <v>63000</v>
      </c>
      <c r="L966" s="13" t="str">
        <f aca="false">PROPER(TRIM(Raw_Data!N966))</f>
        <v>No</v>
      </c>
      <c r="M966" s="13" t="n">
        <f aca="false">IF(C966="",0,1)</f>
        <v>0</v>
      </c>
      <c r="N966" s="13" t="str">
        <f aca="false">IF(M966=0,"Active",IF(TRIM(Raw_Data!L966)="","Unknown",PROPER(TRIM(Raw_Data!L966))))</f>
        <v>Active</v>
      </c>
      <c r="O966" s="13" t="str">
        <f aca="false">IF(M966=0,"",IF(TRIM(Raw_Data!M966)="","Not Recorded",TRIM(Raw_Data!M966)))</f>
        <v/>
      </c>
      <c r="P966" s="16" t="n">
        <f aca="false">ROUND((IF(C966="",AsOfDate,C966)-B966)/365.25,2)</f>
        <v>6.11</v>
      </c>
      <c r="Q966" s="13" t="str">
        <f aca="false">IF(D966="","Unknown",IF(D966&lt;25,"Under 25",IF(D966&lt;35,"25-34",IF(D966&lt;45,"35-44",IF(D966&lt;55,"45-54","55+")))))</f>
        <v>35-44</v>
      </c>
      <c r="R966" s="13" t="str">
        <f aca="false">IF(P966&lt;1,"0-1 yrs",IF(P966&lt;3,"1-3 yrs",IF(P966&lt;5,"3-5 yrs",IF(P966&lt;10,"5-10 yrs","10+ yrs"))))</f>
        <v>5-10 yrs</v>
      </c>
      <c r="S966" s="13" t="str">
        <f aca="false">IF(I966&gt;=4,"High",IF(I966=3,"Medium","Low"))</f>
        <v>High</v>
      </c>
      <c r="T966" s="13" t="str">
        <f aca="false">IF(M966=1,YEAR(C966),"")</f>
        <v/>
      </c>
      <c r="U966" s="13" t="str">
        <f aca="false">IF(M966=1,YEAR(C966)&amp;"-Q"&amp;ROUNDUP(MONTH(C966)/3,0),"")</f>
        <v/>
      </c>
      <c r="V966" s="13" t="str">
        <f aca="false">IF(M966=1,MONTH(C966),"")</f>
        <v/>
      </c>
    </row>
    <row r="967" customFormat="false" ht="15" hidden="false" customHeight="false" outlineLevel="0" collapsed="false">
      <c r="A967" s="13" t="str">
        <f aca="false">TRIM(Raw_Data!A967)</f>
        <v>EMP0966</v>
      </c>
      <c r="B967" s="14" t="n">
        <f aca="false">Raw_Data!B967</f>
        <v>43792</v>
      </c>
      <c r="C967" s="14" t="n">
        <f aca="false">IF(Raw_Data!C967="","",Raw_Data!C967)</f>
        <v>44648</v>
      </c>
      <c r="D967" s="13" t="n">
        <f aca="false">IF(Raw_Data!D967="","",Raw_Data!D967)</f>
        <v>25</v>
      </c>
      <c r="E967" s="13" t="str">
        <f aca="false">IF(UPPER(LEFT(TRIM(Raw_Data!E967),1))="M","Male",IF(UPPER(LEFT(TRIM(Raw_Data!E967),1))="F","Female","Unknown"))</f>
        <v>Female</v>
      </c>
      <c r="F967" s="13" t="str">
        <f aca="false">PROPER(TRIM(SUBSTITUTE(Raw_Data!F967,"'","")))</f>
        <v>Bachelors</v>
      </c>
      <c r="G967" s="13" t="str">
        <f aca="false">PROPER(TRIM(Raw_Data!G967))</f>
        <v>Customer Support</v>
      </c>
      <c r="H967" s="13" t="str">
        <f aca="false">PROPER(TRIM(Raw_Data!H967))</f>
        <v>Analyst</v>
      </c>
      <c r="I967" s="13" t="n">
        <f aca="false">IF(Raw_Data!I967="",DefaultPerf,Raw_Data!I967)</f>
        <v>3</v>
      </c>
      <c r="J967" s="13" t="n">
        <f aca="false">IF(Raw_Data!J967="",DefaultSat,Raw_Data!J967)</f>
        <v>2</v>
      </c>
      <c r="K967" s="15" t="n">
        <f aca="false">Raw_Data!K967</f>
        <v>68500</v>
      </c>
      <c r="L967" s="13" t="str">
        <f aca="false">PROPER(TRIM(Raw_Data!N967))</f>
        <v>No</v>
      </c>
      <c r="M967" s="13" t="n">
        <f aca="false">IF(C967="",0,1)</f>
        <v>1</v>
      </c>
      <c r="N967" s="13" t="str">
        <f aca="false">IF(M967=0,"Active",IF(TRIM(Raw_Data!L967)="","Unknown",PROPER(TRIM(Raw_Data!L967))))</f>
        <v>Voluntary</v>
      </c>
      <c r="O967" s="13" t="str">
        <f aca="false">IF(M967=0,"",IF(TRIM(Raw_Data!M967)="","Not Recorded",TRIM(Raw_Data!M967)))</f>
        <v>Personal Reasons</v>
      </c>
      <c r="P967" s="16" t="n">
        <f aca="false">ROUND((IF(C967="",AsOfDate,C967)-B967)/365.25,2)</f>
        <v>2.34</v>
      </c>
      <c r="Q967" s="13" t="str">
        <f aca="false">IF(D967="","Unknown",IF(D967&lt;25,"Under 25",IF(D967&lt;35,"25-34",IF(D967&lt;45,"35-44",IF(D967&lt;55,"45-54","55+")))))</f>
        <v>25-34</v>
      </c>
      <c r="R967" s="13" t="str">
        <f aca="false">IF(P967&lt;1,"0-1 yrs",IF(P967&lt;3,"1-3 yrs",IF(P967&lt;5,"3-5 yrs",IF(P967&lt;10,"5-10 yrs","10+ yrs"))))</f>
        <v>1-3 yrs</v>
      </c>
      <c r="S967" s="13" t="str">
        <f aca="false">IF(I967&gt;=4,"High",IF(I967=3,"Medium","Low"))</f>
        <v>Medium</v>
      </c>
      <c r="T967" s="13" t="n">
        <f aca="false">IF(M967=1,YEAR(C967),"")</f>
        <v>2022</v>
      </c>
      <c r="U967" s="13" t="str">
        <f aca="false">IF(M967=1,YEAR(C967)&amp;"-Q"&amp;ROUNDUP(MONTH(C967)/3,0),"")</f>
        <v>2022-Q1</v>
      </c>
      <c r="V967" s="13" t="n">
        <f aca="false">IF(M967=1,MONTH(C967),"")</f>
        <v>3</v>
      </c>
    </row>
    <row r="968" customFormat="false" ht="15" hidden="false" customHeight="false" outlineLevel="0" collapsed="false">
      <c r="A968" s="13" t="str">
        <f aca="false">TRIM(Raw_Data!A968)</f>
        <v>EMP0967</v>
      </c>
      <c r="B968" s="14" t="n">
        <f aca="false">Raw_Data!B968</f>
        <v>43794</v>
      </c>
      <c r="C968" s="14" t="str">
        <f aca="false">IF(Raw_Data!C968="","",Raw_Data!C968)</f>
        <v/>
      </c>
      <c r="D968" s="13" t="n">
        <f aca="false">IF(Raw_Data!D968="","",Raw_Data!D968)</f>
        <v>34</v>
      </c>
      <c r="E968" s="13" t="str">
        <f aca="false">IF(UPPER(LEFT(TRIM(Raw_Data!E968),1))="M","Male",IF(UPPER(LEFT(TRIM(Raw_Data!E968),1))="F","Female","Unknown"))</f>
        <v>Male</v>
      </c>
      <c r="F968" s="13" t="str">
        <f aca="false">PROPER(TRIM(SUBSTITUTE(Raw_Data!F968,"'","")))</f>
        <v>Bachelors</v>
      </c>
      <c r="G968" s="13" t="str">
        <f aca="false">PROPER(TRIM(Raw_Data!G968))</f>
        <v>Operations</v>
      </c>
      <c r="H968" s="13" t="str">
        <f aca="false">PROPER(TRIM(Raw_Data!H968))</f>
        <v>Associate</v>
      </c>
      <c r="I968" s="13" t="n">
        <f aca="false">IF(Raw_Data!I968="",DefaultPerf,Raw_Data!I968)</f>
        <v>5</v>
      </c>
      <c r="J968" s="13" t="n">
        <f aca="false">IF(Raw_Data!J968="",DefaultSat,Raw_Data!J968)</f>
        <v>3</v>
      </c>
      <c r="K968" s="15" t="n">
        <f aca="false">Raw_Data!K968</f>
        <v>43000</v>
      </c>
      <c r="L968" s="13" t="str">
        <f aca="false">PROPER(TRIM(Raw_Data!N968))</f>
        <v>Yes</v>
      </c>
      <c r="M968" s="13" t="n">
        <f aca="false">IF(C968="",0,1)</f>
        <v>0</v>
      </c>
      <c r="N968" s="13" t="str">
        <f aca="false">IF(M968=0,"Active",IF(TRIM(Raw_Data!L968)="","Unknown",PROPER(TRIM(Raw_Data!L968))))</f>
        <v>Active</v>
      </c>
      <c r="O968" s="13" t="str">
        <f aca="false">IF(M968=0,"",IF(TRIM(Raw_Data!M968)="","Not Recorded",TRIM(Raw_Data!M968)))</f>
        <v/>
      </c>
      <c r="P968" s="16" t="n">
        <f aca="false">ROUND((IF(C968="",AsOfDate,C968)-B968)/365.25,2)</f>
        <v>6.1</v>
      </c>
      <c r="Q968" s="13" t="str">
        <f aca="false">IF(D968="","Unknown",IF(D968&lt;25,"Under 25",IF(D968&lt;35,"25-34",IF(D968&lt;45,"35-44",IF(D968&lt;55,"45-54","55+")))))</f>
        <v>25-34</v>
      </c>
      <c r="R968" s="13" t="str">
        <f aca="false">IF(P968&lt;1,"0-1 yrs",IF(P968&lt;3,"1-3 yrs",IF(P968&lt;5,"3-5 yrs",IF(P968&lt;10,"5-10 yrs","10+ yrs"))))</f>
        <v>5-10 yrs</v>
      </c>
      <c r="S968" s="13" t="str">
        <f aca="false">IF(I968&gt;=4,"High",IF(I968=3,"Medium","Low"))</f>
        <v>High</v>
      </c>
      <c r="T968" s="13" t="str">
        <f aca="false">IF(M968=1,YEAR(C968),"")</f>
        <v/>
      </c>
      <c r="U968" s="13" t="str">
        <f aca="false">IF(M968=1,YEAR(C968)&amp;"-Q"&amp;ROUNDUP(MONTH(C968)/3,0),"")</f>
        <v/>
      </c>
      <c r="V968" s="13" t="str">
        <f aca="false">IF(M968=1,MONTH(C968),"")</f>
        <v/>
      </c>
    </row>
    <row r="969" customFormat="false" ht="15" hidden="false" customHeight="false" outlineLevel="0" collapsed="false">
      <c r="A969" s="13" t="str">
        <f aca="false">TRIM(Raw_Data!A969)</f>
        <v>EMP0968</v>
      </c>
      <c r="B969" s="14" t="n">
        <f aca="false">Raw_Data!B969</f>
        <v>43799</v>
      </c>
      <c r="C969" s="14" t="n">
        <f aca="false">IF(Raw_Data!C969="","",Raw_Data!C969)</f>
        <v>44790</v>
      </c>
      <c r="D969" s="13" t="n">
        <f aca="false">IF(Raw_Data!D969="","",Raw_Data!D969)</f>
        <v>24</v>
      </c>
      <c r="E969" s="13" t="str">
        <f aca="false">IF(UPPER(LEFT(TRIM(Raw_Data!E969),1))="M","Male",IF(UPPER(LEFT(TRIM(Raw_Data!E969),1))="F","Female","Unknown"))</f>
        <v>Female</v>
      </c>
      <c r="F969" s="13" t="str">
        <f aca="false">PROPER(TRIM(SUBSTITUTE(Raw_Data!F969,"'","")))</f>
        <v>Masters</v>
      </c>
      <c r="G969" s="13" t="str">
        <f aca="false">PROPER(TRIM(Raw_Data!G969))</f>
        <v>Engineering</v>
      </c>
      <c r="H969" s="13" t="str">
        <f aca="false">PROPER(TRIM(Raw_Data!H969))</f>
        <v>Associate</v>
      </c>
      <c r="I969" s="13" t="n">
        <f aca="false">IF(Raw_Data!I969="",DefaultPerf,Raw_Data!I969)</f>
        <v>3</v>
      </c>
      <c r="J969" s="13" t="n">
        <f aca="false">IF(Raw_Data!J969="",DefaultSat,Raw_Data!J969)</f>
        <v>3</v>
      </c>
      <c r="K969" s="15" t="n">
        <f aca="false">Raw_Data!K969</f>
        <v>35000</v>
      </c>
      <c r="L969" s="13" t="str">
        <f aca="false">PROPER(TRIM(Raw_Data!N969))</f>
        <v>No</v>
      </c>
      <c r="M969" s="13" t="n">
        <f aca="false">IF(C969="",0,1)</f>
        <v>1</v>
      </c>
      <c r="N969" s="13" t="str">
        <f aca="false">IF(M969=0,"Active",IF(TRIM(Raw_Data!L969)="","Unknown",PROPER(TRIM(Raw_Data!L969))))</f>
        <v>Voluntary</v>
      </c>
      <c r="O969" s="13" t="str">
        <f aca="false">IF(M969=0,"",IF(TRIM(Raw_Data!M969)="","Not Recorded",TRIM(Raw_Data!M969)))</f>
        <v>Relocation</v>
      </c>
      <c r="P969" s="16" t="n">
        <f aca="false">ROUND((IF(C969="",AsOfDate,C969)-B969)/365.25,2)</f>
        <v>2.71</v>
      </c>
      <c r="Q969" s="13" t="str">
        <f aca="false">IF(D969="","Unknown",IF(D969&lt;25,"Under 25",IF(D969&lt;35,"25-34",IF(D969&lt;45,"35-44",IF(D969&lt;55,"45-54","55+")))))</f>
        <v>Under 25</v>
      </c>
      <c r="R969" s="13" t="str">
        <f aca="false">IF(P969&lt;1,"0-1 yrs",IF(P969&lt;3,"1-3 yrs",IF(P969&lt;5,"3-5 yrs",IF(P969&lt;10,"5-10 yrs","10+ yrs"))))</f>
        <v>1-3 yrs</v>
      </c>
      <c r="S969" s="13" t="str">
        <f aca="false">IF(I969&gt;=4,"High",IF(I969=3,"Medium","Low"))</f>
        <v>Medium</v>
      </c>
      <c r="T969" s="13" t="n">
        <f aca="false">IF(M969=1,YEAR(C969),"")</f>
        <v>2022</v>
      </c>
      <c r="U969" s="13" t="str">
        <f aca="false">IF(M969=1,YEAR(C969)&amp;"-Q"&amp;ROUNDUP(MONTH(C969)/3,0),"")</f>
        <v>2022-Q3</v>
      </c>
      <c r="V969" s="13" t="n">
        <f aca="false">IF(M969=1,MONTH(C969),"")</f>
        <v>8</v>
      </c>
    </row>
    <row r="970" customFormat="false" ht="15" hidden="false" customHeight="false" outlineLevel="0" collapsed="false">
      <c r="A970" s="13" t="str">
        <f aca="false">TRIM(Raw_Data!A970)</f>
        <v>EMP0969</v>
      </c>
      <c r="B970" s="14" t="n">
        <f aca="false">Raw_Data!B970</f>
        <v>43802</v>
      </c>
      <c r="C970" s="14" t="n">
        <f aca="false">IF(Raw_Data!C970="","",Raw_Data!C970)</f>
        <v>44734</v>
      </c>
      <c r="D970" s="13" t="n">
        <f aca="false">IF(Raw_Data!D970="","",Raw_Data!D970)</f>
        <v>34</v>
      </c>
      <c r="E970" s="13" t="str">
        <f aca="false">IF(UPPER(LEFT(TRIM(Raw_Data!E970),1))="M","Male",IF(UPPER(LEFT(TRIM(Raw_Data!E970),1))="F","Female","Unknown"))</f>
        <v>Male</v>
      </c>
      <c r="F970" s="13" t="str">
        <f aca="false">PROPER(TRIM(SUBSTITUTE(Raw_Data!F970,"'","")))</f>
        <v>Bachelors</v>
      </c>
      <c r="G970" s="13" t="str">
        <f aca="false">PROPER(TRIM(Raw_Data!G970))</f>
        <v>Operations</v>
      </c>
      <c r="H970" s="13" t="str">
        <f aca="false">PROPER(TRIM(Raw_Data!H970))</f>
        <v>Specialist</v>
      </c>
      <c r="I970" s="13" t="n">
        <f aca="false">IF(Raw_Data!I970="",DefaultPerf,Raw_Data!I970)</f>
        <v>4</v>
      </c>
      <c r="J970" s="13" t="n">
        <f aca="false">IF(Raw_Data!J970="",DefaultSat,Raw_Data!J970)</f>
        <v>3</v>
      </c>
      <c r="K970" s="15" t="n">
        <f aca="false">Raw_Data!K970</f>
        <v>132500</v>
      </c>
      <c r="L970" s="13" t="str">
        <f aca="false">PROPER(TRIM(Raw_Data!N970))</f>
        <v>No</v>
      </c>
      <c r="M970" s="13" t="n">
        <f aca="false">IF(C970="",0,1)</f>
        <v>1</v>
      </c>
      <c r="N970" s="13" t="str">
        <f aca="false">IF(M970=0,"Active",IF(TRIM(Raw_Data!L970)="","Unknown",PROPER(TRIM(Raw_Data!L970))))</f>
        <v>Voluntary</v>
      </c>
      <c r="O970" s="13" t="str">
        <f aca="false">IF(M970=0,"",IF(TRIM(Raw_Data!M970)="","Not Recorded",TRIM(Raw_Data!M970)))</f>
        <v>Better Compensation</v>
      </c>
      <c r="P970" s="16" t="n">
        <f aca="false">ROUND((IF(C970="",AsOfDate,C970)-B970)/365.25,2)</f>
        <v>2.55</v>
      </c>
      <c r="Q970" s="13" t="str">
        <f aca="false">IF(D970="","Unknown",IF(D970&lt;25,"Under 25",IF(D970&lt;35,"25-34",IF(D970&lt;45,"35-44",IF(D970&lt;55,"45-54","55+")))))</f>
        <v>25-34</v>
      </c>
      <c r="R970" s="13" t="str">
        <f aca="false">IF(P970&lt;1,"0-1 yrs",IF(P970&lt;3,"1-3 yrs",IF(P970&lt;5,"3-5 yrs",IF(P970&lt;10,"5-10 yrs","10+ yrs"))))</f>
        <v>1-3 yrs</v>
      </c>
      <c r="S970" s="13" t="str">
        <f aca="false">IF(I970&gt;=4,"High",IF(I970=3,"Medium","Low"))</f>
        <v>High</v>
      </c>
      <c r="T970" s="13" t="n">
        <f aca="false">IF(M970=1,YEAR(C970),"")</f>
        <v>2022</v>
      </c>
      <c r="U970" s="13" t="str">
        <f aca="false">IF(M970=1,YEAR(C970)&amp;"-Q"&amp;ROUNDUP(MONTH(C970)/3,0),"")</f>
        <v>2022-Q2</v>
      </c>
      <c r="V970" s="13" t="n">
        <f aca="false">IF(M970=1,MONTH(C970),"")</f>
        <v>6</v>
      </c>
    </row>
    <row r="971" customFormat="false" ht="15" hidden="false" customHeight="false" outlineLevel="0" collapsed="false">
      <c r="A971" s="13" t="str">
        <f aca="false">TRIM(Raw_Data!A971)</f>
        <v>EMP0970</v>
      </c>
      <c r="B971" s="14" t="n">
        <f aca="false">Raw_Data!B971</f>
        <v>43802</v>
      </c>
      <c r="C971" s="14" t="n">
        <f aca="false">IF(Raw_Data!C971="","",Raw_Data!C971)</f>
        <v>44837</v>
      </c>
      <c r="D971" s="13" t="n">
        <f aca="false">IF(Raw_Data!D971="","",Raw_Data!D971)</f>
        <v>35</v>
      </c>
      <c r="E971" s="13" t="str">
        <f aca="false">IF(UPPER(LEFT(TRIM(Raw_Data!E971),1))="M","Male",IF(UPPER(LEFT(TRIM(Raw_Data!E971),1))="F","Female","Unknown"))</f>
        <v>Male</v>
      </c>
      <c r="F971" s="13" t="str">
        <f aca="false">PROPER(TRIM(SUBSTITUTE(Raw_Data!F971,"'","")))</f>
        <v>Bachelors</v>
      </c>
      <c r="G971" s="13" t="str">
        <f aca="false">PROPER(TRIM(Raw_Data!G971))</f>
        <v>Engineering</v>
      </c>
      <c r="H971" s="13" t="str">
        <f aca="false">PROPER(TRIM(Raw_Data!H971))</f>
        <v>Manager</v>
      </c>
      <c r="I971" s="13" t="n">
        <f aca="false">IF(Raw_Data!I971="",DefaultPerf,Raw_Data!I971)</f>
        <v>4</v>
      </c>
      <c r="J971" s="13" t="n">
        <f aca="false">IF(Raw_Data!J971="",DefaultSat,Raw_Data!J971)</f>
        <v>1</v>
      </c>
      <c r="K971" s="15" t="n">
        <f aca="false">Raw_Data!K971</f>
        <v>217000</v>
      </c>
      <c r="L971" s="13" t="str">
        <f aca="false">PROPER(TRIM(Raw_Data!N971))</f>
        <v>Yes</v>
      </c>
      <c r="M971" s="13" t="n">
        <f aca="false">IF(C971="",0,1)</f>
        <v>1</v>
      </c>
      <c r="N971" s="13" t="str">
        <f aca="false">IF(M971=0,"Active",IF(TRIM(Raw_Data!L971)="","Unknown",PROPER(TRIM(Raw_Data!L971))))</f>
        <v>Voluntary</v>
      </c>
      <c r="O971" s="13" t="str">
        <f aca="false">IF(M971=0,"",IF(TRIM(Raw_Data!M971)="","Not Recorded",TRIM(Raw_Data!M971)))</f>
        <v>Work-Life Balance</v>
      </c>
      <c r="P971" s="16" t="n">
        <f aca="false">ROUND((IF(C971="",AsOfDate,C971)-B971)/365.25,2)</f>
        <v>2.83</v>
      </c>
      <c r="Q971" s="13" t="str">
        <f aca="false">IF(D971="","Unknown",IF(D971&lt;25,"Under 25",IF(D971&lt;35,"25-34",IF(D971&lt;45,"35-44",IF(D971&lt;55,"45-54","55+")))))</f>
        <v>35-44</v>
      </c>
      <c r="R971" s="13" t="str">
        <f aca="false">IF(P971&lt;1,"0-1 yrs",IF(P971&lt;3,"1-3 yrs",IF(P971&lt;5,"3-5 yrs",IF(P971&lt;10,"5-10 yrs","10+ yrs"))))</f>
        <v>1-3 yrs</v>
      </c>
      <c r="S971" s="13" t="str">
        <f aca="false">IF(I971&gt;=4,"High",IF(I971=3,"Medium","Low"))</f>
        <v>High</v>
      </c>
      <c r="T971" s="13" t="n">
        <f aca="false">IF(M971=1,YEAR(C971),"")</f>
        <v>2022</v>
      </c>
      <c r="U971" s="13" t="str">
        <f aca="false">IF(M971=1,YEAR(C971)&amp;"-Q"&amp;ROUNDUP(MONTH(C971)/3,0),"")</f>
        <v>2022-Q4</v>
      </c>
      <c r="V971" s="13" t="n">
        <f aca="false">IF(M971=1,MONTH(C971),"")</f>
        <v>10</v>
      </c>
    </row>
    <row r="972" customFormat="false" ht="15" hidden="false" customHeight="false" outlineLevel="0" collapsed="false">
      <c r="A972" s="13" t="str">
        <f aca="false">TRIM(Raw_Data!A972)</f>
        <v>EMP0971</v>
      </c>
      <c r="B972" s="14" t="n">
        <f aca="false">Raw_Data!B972</f>
        <v>43806</v>
      </c>
      <c r="C972" s="14" t="str">
        <f aca="false">IF(Raw_Data!C972="","",Raw_Data!C972)</f>
        <v/>
      </c>
      <c r="D972" s="13" t="n">
        <f aca="false">IF(Raw_Data!D972="","",Raw_Data!D972)</f>
        <v>33</v>
      </c>
      <c r="E972" s="13" t="str">
        <f aca="false">IF(UPPER(LEFT(TRIM(Raw_Data!E972),1))="M","Male",IF(UPPER(LEFT(TRIM(Raw_Data!E972),1))="F","Female","Unknown"))</f>
        <v>Female</v>
      </c>
      <c r="F972" s="13" t="str">
        <f aca="false">PROPER(TRIM(SUBSTITUTE(Raw_Data!F972,"'","")))</f>
        <v>High School</v>
      </c>
      <c r="G972" s="13" t="str">
        <f aca="false">PROPER(TRIM(Raw_Data!G972))</f>
        <v>Operations</v>
      </c>
      <c r="H972" s="13" t="str">
        <f aca="false">PROPER(TRIM(Raw_Data!H972))</f>
        <v>Senior Analyst</v>
      </c>
      <c r="I972" s="13" t="n">
        <f aca="false">IF(Raw_Data!I972="",DefaultPerf,Raw_Data!I972)</f>
        <v>3</v>
      </c>
      <c r="J972" s="13" t="n">
        <f aca="false">IF(Raw_Data!J972="",DefaultSat,Raw_Data!J972)</f>
        <v>2</v>
      </c>
      <c r="K972" s="15" t="n">
        <f aca="false">Raw_Data!K972</f>
        <v>92500</v>
      </c>
      <c r="L972" s="13" t="str">
        <f aca="false">PROPER(TRIM(Raw_Data!N972))</f>
        <v>Yes</v>
      </c>
      <c r="M972" s="13" t="n">
        <f aca="false">IF(C972="",0,1)</f>
        <v>0</v>
      </c>
      <c r="N972" s="13" t="str">
        <f aca="false">IF(M972=0,"Active",IF(TRIM(Raw_Data!L972)="","Unknown",PROPER(TRIM(Raw_Data!L972))))</f>
        <v>Active</v>
      </c>
      <c r="O972" s="13" t="str">
        <f aca="false">IF(M972=0,"",IF(TRIM(Raw_Data!M972)="","Not Recorded",TRIM(Raw_Data!M972)))</f>
        <v/>
      </c>
      <c r="P972" s="16" t="n">
        <f aca="false">ROUND((IF(C972="",AsOfDate,C972)-B972)/365.25,2)</f>
        <v>6.07</v>
      </c>
      <c r="Q972" s="13" t="str">
        <f aca="false">IF(D972="","Unknown",IF(D972&lt;25,"Under 25",IF(D972&lt;35,"25-34",IF(D972&lt;45,"35-44",IF(D972&lt;55,"45-54","55+")))))</f>
        <v>25-34</v>
      </c>
      <c r="R972" s="13" t="str">
        <f aca="false">IF(P972&lt;1,"0-1 yrs",IF(P972&lt;3,"1-3 yrs",IF(P972&lt;5,"3-5 yrs",IF(P972&lt;10,"5-10 yrs","10+ yrs"))))</f>
        <v>5-10 yrs</v>
      </c>
      <c r="S972" s="13" t="str">
        <f aca="false">IF(I972&gt;=4,"High",IF(I972=3,"Medium","Low"))</f>
        <v>Medium</v>
      </c>
      <c r="T972" s="13" t="str">
        <f aca="false">IF(M972=1,YEAR(C972),"")</f>
        <v/>
      </c>
      <c r="U972" s="13" t="str">
        <f aca="false">IF(M972=1,YEAR(C972)&amp;"-Q"&amp;ROUNDUP(MONTH(C972)/3,0),"")</f>
        <v/>
      </c>
      <c r="V972" s="13" t="str">
        <f aca="false">IF(M972=1,MONTH(C972),"")</f>
        <v/>
      </c>
    </row>
    <row r="973" customFormat="false" ht="15" hidden="false" customHeight="false" outlineLevel="0" collapsed="false">
      <c r="A973" s="13" t="str">
        <f aca="false">TRIM(Raw_Data!A973)</f>
        <v>EMP0972</v>
      </c>
      <c r="B973" s="14" t="n">
        <f aca="false">Raw_Data!B973</f>
        <v>43807</v>
      </c>
      <c r="C973" s="14" t="str">
        <f aca="false">IF(Raw_Data!C973="","",Raw_Data!C973)</f>
        <v/>
      </c>
      <c r="D973" s="13" t="n">
        <f aca="false">IF(Raw_Data!D973="","",Raw_Data!D973)</f>
        <v>35</v>
      </c>
      <c r="E973" s="13" t="str">
        <f aca="false">IF(UPPER(LEFT(TRIM(Raw_Data!E973),1))="M","Male",IF(UPPER(LEFT(TRIM(Raw_Data!E973),1))="F","Female","Unknown"))</f>
        <v>Male</v>
      </c>
      <c r="F973" s="13" t="str">
        <f aca="false">PROPER(TRIM(SUBSTITUTE(Raw_Data!F973,"'","")))</f>
        <v>Bachelors</v>
      </c>
      <c r="G973" s="13" t="str">
        <f aca="false">PROPER(TRIM(Raw_Data!G973))</f>
        <v>Operations</v>
      </c>
      <c r="H973" s="13" t="str">
        <f aca="false">PROPER(TRIM(Raw_Data!H973))</f>
        <v>Senior Analyst</v>
      </c>
      <c r="I973" s="13" t="n">
        <f aca="false">IF(Raw_Data!I973="",DefaultPerf,Raw_Data!I973)</f>
        <v>4</v>
      </c>
      <c r="J973" s="13" t="n">
        <f aca="false">IF(Raw_Data!J973="",DefaultSat,Raw_Data!J973)</f>
        <v>1</v>
      </c>
      <c r="K973" s="15" t="n">
        <f aca="false">Raw_Data!K973</f>
        <v>87000</v>
      </c>
      <c r="L973" s="13" t="str">
        <f aca="false">PROPER(TRIM(Raw_Data!N973))</f>
        <v>Yes</v>
      </c>
      <c r="M973" s="13" t="n">
        <f aca="false">IF(C973="",0,1)</f>
        <v>0</v>
      </c>
      <c r="N973" s="13" t="str">
        <f aca="false">IF(M973=0,"Active",IF(TRIM(Raw_Data!L973)="","Unknown",PROPER(TRIM(Raw_Data!L973))))</f>
        <v>Active</v>
      </c>
      <c r="O973" s="13" t="str">
        <f aca="false">IF(M973=0,"",IF(TRIM(Raw_Data!M973)="","Not Recorded",TRIM(Raw_Data!M973)))</f>
        <v/>
      </c>
      <c r="P973" s="16" t="n">
        <f aca="false">ROUND((IF(C973="",AsOfDate,C973)-B973)/365.25,2)</f>
        <v>6.06</v>
      </c>
      <c r="Q973" s="13" t="str">
        <f aca="false">IF(D973="","Unknown",IF(D973&lt;25,"Under 25",IF(D973&lt;35,"25-34",IF(D973&lt;45,"35-44",IF(D973&lt;55,"45-54","55+")))))</f>
        <v>35-44</v>
      </c>
      <c r="R973" s="13" t="str">
        <f aca="false">IF(P973&lt;1,"0-1 yrs",IF(P973&lt;3,"1-3 yrs",IF(P973&lt;5,"3-5 yrs",IF(P973&lt;10,"5-10 yrs","10+ yrs"))))</f>
        <v>5-10 yrs</v>
      </c>
      <c r="S973" s="13" t="str">
        <f aca="false">IF(I973&gt;=4,"High",IF(I973=3,"Medium","Low"))</f>
        <v>High</v>
      </c>
      <c r="T973" s="13" t="str">
        <f aca="false">IF(M973=1,YEAR(C973),"")</f>
        <v/>
      </c>
      <c r="U973" s="13" t="str">
        <f aca="false">IF(M973=1,YEAR(C973)&amp;"-Q"&amp;ROUNDUP(MONTH(C973)/3,0),"")</f>
        <v/>
      </c>
      <c r="V973" s="13" t="str">
        <f aca="false">IF(M973=1,MONTH(C973),"")</f>
        <v/>
      </c>
    </row>
    <row r="974" customFormat="false" ht="15" hidden="false" customHeight="false" outlineLevel="0" collapsed="false">
      <c r="A974" s="13" t="str">
        <f aca="false">TRIM(Raw_Data!A974)</f>
        <v>EMP0973</v>
      </c>
      <c r="B974" s="14" t="n">
        <f aca="false">Raw_Data!B974</f>
        <v>43807</v>
      </c>
      <c r="C974" s="14" t="n">
        <f aca="false">IF(Raw_Data!C974="","",Raw_Data!C974)</f>
        <v>44840</v>
      </c>
      <c r="D974" s="13" t="n">
        <f aca="false">IF(Raw_Data!D974="","",Raw_Data!D974)</f>
        <v>36</v>
      </c>
      <c r="E974" s="13" t="str">
        <f aca="false">IF(UPPER(LEFT(TRIM(Raw_Data!E974),1))="M","Male",IF(UPPER(LEFT(TRIM(Raw_Data!E974),1))="F","Female","Unknown"))</f>
        <v>Female</v>
      </c>
      <c r="F974" s="13" t="str">
        <f aca="false">PROPER(TRIM(SUBSTITUTE(Raw_Data!F974,"'","")))</f>
        <v>Diploma</v>
      </c>
      <c r="G974" s="13" t="str">
        <f aca="false">PROPER(TRIM(Raw_Data!G974))</f>
        <v>Engineering</v>
      </c>
      <c r="H974" s="13" t="str">
        <f aca="false">PROPER(TRIM(Raw_Data!H974))</f>
        <v>Associate</v>
      </c>
      <c r="I974" s="13" t="n">
        <f aca="false">IF(Raw_Data!I974="",DefaultPerf,Raw_Data!I974)</f>
        <v>4</v>
      </c>
      <c r="J974" s="13" t="n">
        <f aca="false">IF(Raw_Data!J974="",DefaultSat,Raw_Data!J974)</f>
        <v>3</v>
      </c>
      <c r="K974" s="15" t="n">
        <f aca="false">Raw_Data!K974</f>
        <v>42500</v>
      </c>
      <c r="L974" s="13" t="str">
        <f aca="false">PROPER(TRIM(Raw_Data!N974))</f>
        <v>No</v>
      </c>
      <c r="M974" s="13" t="n">
        <f aca="false">IF(C974="",0,1)</f>
        <v>1</v>
      </c>
      <c r="N974" s="13" t="str">
        <f aca="false">IF(M974=0,"Active",IF(TRIM(Raw_Data!L974)="","Unknown",PROPER(TRIM(Raw_Data!L974))))</f>
        <v>Voluntary</v>
      </c>
      <c r="O974" s="13" t="str">
        <f aca="false">IF(M974=0,"",IF(TRIM(Raw_Data!M974)="","Not Recorded",TRIM(Raw_Data!M974)))</f>
        <v>Work-Life Balance</v>
      </c>
      <c r="P974" s="16" t="n">
        <f aca="false">ROUND((IF(C974="",AsOfDate,C974)-B974)/365.25,2)</f>
        <v>2.83</v>
      </c>
      <c r="Q974" s="13" t="str">
        <f aca="false">IF(D974="","Unknown",IF(D974&lt;25,"Under 25",IF(D974&lt;35,"25-34",IF(D974&lt;45,"35-44",IF(D974&lt;55,"45-54","55+")))))</f>
        <v>35-44</v>
      </c>
      <c r="R974" s="13" t="str">
        <f aca="false">IF(P974&lt;1,"0-1 yrs",IF(P974&lt;3,"1-3 yrs",IF(P974&lt;5,"3-5 yrs",IF(P974&lt;10,"5-10 yrs","10+ yrs"))))</f>
        <v>1-3 yrs</v>
      </c>
      <c r="S974" s="13" t="str">
        <f aca="false">IF(I974&gt;=4,"High",IF(I974=3,"Medium","Low"))</f>
        <v>High</v>
      </c>
      <c r="T974" s="13" t="n">
        <f aca="false">IF(M974=1,YEAR(C974),"")</f>
        <v>2022</v>
      </c>
      <c r="U974" s="13" t="str">
        <f aca="false">IF(M974=1,YEAR(C974)&amp;"-Q"&amp;ROUNDUP(MONTH(C974)/3,0),"")</f>
        <v>2022-Q4</v>
      </c>
      <c r="V974" s="13" t="n">
        <f aca="false">IF(M974=1,MONTH(C974),"")</f>
        <v>10</v>
      </c>
    </row>
    <row r="975" customFormat="false" ht="15" hidden="false" customHeight="false" outlineLevel="0" collapsed="false">
      <c r="A975" s="13" t="str">
        <f aca="false">TRIM(Raw_Data!A975)</f>
        <v>EMP0974</v>
      </c>
      <c r="B975" s="14" t="n">
        <f aca="false">Raw_Data!B975</f>
        <v>43813</v>
      </c>
      <c r="C975" s="14" t="str">
        <f aca="false">IF(Raw_Data!C975="","",Raw_Data!C975)</f>
        <v/>
      </c>
      <c r="D975" s="13" t="n">
        <f aca="false">IF(Raw_Data!D975="","",Raw_Data!D975)</f>
        <v>38</v>
      </c>
      <c r="E975" s="13" t="str">
        <f aca="false">IF(UPPER(LEFT(TRIM(Raw_Data!E975),1))="M","Male",IF(UPPER(LEFT(TRIM(Raw_Data!E975),1))="F","Female","Unknown"))</f>
        <v>Male</v>
      </c>
      <c r="F975" s="13" t="str">
        <f aca="false">PROPER(TRIM(SUBSTITUTE(Raw_Data!F975,"'","")))</f>
        <v>Bachelors</v>
      </c>
      <c r="G975" s="13" t="str">
        <f aca="false">PROPER(TRIM(Raw_Data!G975))</f>
        <v>Engineering</v>
      </c>
      <c r="H975" s="13" t="str">
        <f aca="false">PROPER(TRIM(Raw_Data!H975))</f>
        <v>Analyst</v>
      </c>
      <c r="I975" s="13" t="n">
        <f aca="false">IF(Raw_Data!I975="",DefaultPerf,Raw_Data!I975)</f>
        <v>3</v>
      </c>
      <c r="J975" s="13" t="n">
        <f aca="false">IF(Raw_Data!J975="",DefaultSat,Raw_Data!J975)</f>
        <v>2</v>
      </c>
      <c r="K975" s="15" t="n">
        <f aca="false">Raw_Data!K975</f>
        <v>66000</v>
      </c>
      <c r="L975" s="13" t="str">
        <f aca="false">PROPER(TRIM(Raw_Data!N975))</f>
        <v>No</v>
      </c>
      <c r="M975" s="13" t="n">
        <f aca="false">IF(C975="",0,1)</f>
        <v>0</v>
      </c>
      <c r="N975" s="13" t="str">
        <f aca="false">IF(M975=0,"Active",IF(TRIM(Raw_Data!L975)="","Unknown",PROPER(TRIM(Raw_Data!L975))))</f>
        <v>Active</v>
      </c>
      <c r="O975" s="13" t="str">
        <f aca="false">IF(M975=0,"",IF(TRIM(Raw_Data!M975)="","Not Recorded",TRIM(Raw_Data!M975)))</f>
        <v/>
      </c>
      <c r="P975" s="16" t="n">
        <f aca="false">ROUND((IF(C975="",AsOfDate,C975)-B975)/365.25,2)</f>
        <v>6.05</v>
      </c>
      <c r="Q975" s="13" t="str">
        <f aca="false">IF(D975="","Unknown",IF(D975&lt;25,"Under 25",IF(D975&lt;35,"25-34",IF(D975&lt;45,"35-44",IF(D975&lt;55,"45-54","55+")))))</f>
        <v>35-44</v>
      </c>
      <c r="R975" s="13" t="str">
        <f aca="false">IF(P975&lt;1,"0-1 yrs",IF(P975&lt;3,"1-3 yrs",IF(P975&lt;5,"3-5 yrs",IF(P975&lt;10,"5-10 yrs","10+ yrs"))))</f>
        <v>5-10 yrs</v>
      </c>
      <c r="S975" s="13" t="str">
        <f aca="false">IF(I975&gt;=4,"High",IF(I975=3,"Medium","Low"))</f>
        <v>Medium</v>
      </c>
      <c r="T975" s="13" t="str">
        <f aca="false">IF(M975=1,YEAR(C975),"")</f>
        <v/>
      </c>
      <c r="U975" s="13" t="str">
        <f aca="false">IF(M975=1,YEAR(C975)&amp;"-Q"&amp;ROUNDUP(MONTH(C975)/3,0),"")</f>
        <v/>
      </c>
      <c r="V975" s="13" t="str">
        <f aca="false">IF(M975=1,MONTH(C975),"")</f>
        <v/>
      </c>
    </row>
    <row r="976" customFormat="false" ht="15" hidden="false" customHeight="false" outlineLevel="0" collapsed="false">
      <c r="A976" s="13" t="str">
        <f aca="false">TRIM(Raw_Data!A976)</f>
        <v>EMP0975</v>
      </c>
      <c r="B976" s="14" t="n">
        <f aca="false">Raw_Data!B976</f>
        <v>43814</v>
      </c>
      <c r="C976" s="14" t="n">
        <f aca="false">IF(Raw_Data!C976="","",Raw_Data!C976)</f>
        <v>45622</v>
      </c>
      <c r="D976" s="13" t="n">
        <f aca="false">IF(Raw_Data!D976="","",Raw_Data!D976)</f>
        <v>35</v>
      </c>
      <c r="E976" s="13" t="str">
        <f aca="false">IF(UPPER(LEFT(TRIM(Raw_Data!E976),1))="M","Male",IF(UPPER(LEFT(TRIM(Raw_Data!E976),1))="F","Female","Unknown"))</f>
        <v>Female</v>
      </c>
      <c r="F976" s="13" t="str">
        <f aca="false">PROPER(TRIM(SUBSTITUTE(Raw_Data!F976,"'","")))</f>
        <v>High School</v>
      </c>
      <c r="G976" s="13" t="str">
        <f aca="false">PROPER(TRIM(Raw_Data!G976))</f>
        <v>Operations</v>
      </c>
      <c r="H976" s="13" t="str">
        <f aca="false">PROPER(TRIM(Raw_Data!H976))</f>
        <v>Manager</v>
      </c>
      <c r="I976" s="13" t="n">
        <f aca="false">IF(Raw_Data!I976="",DefaultPerf,Raw_Data!I976)</f>
        <v>2</v>
      </c>
      <c r="J976" s="13" t="n">
        <f aca="false">IF(Raw_Data!J976="",DefaultSat,Raw_Data!J976)</f>
        <v>3</v>
      </c>
      <c r="K976" s="15" t="n">
        <f aca="false">Raw_Data!K976</f>
        <v>191500</v>
      </c>
      <c r="L976" s="13" t="str">
        <f aca="false">PROPER(TRIM(Raw_Data!N976))</f>
        <v>No</v>
      </c>
      <c r="M976" s="13" t="n">
        <f aca="false">IF(C976="",0,1)</f>
        <v>1</v>
      </c>
      <c r="N976" s="13" t="str">
        <f aca="false">IF(M976=0,"Active",IF(TRIM(Raw_Data!L976)="","Unknown",PROPER(TRIM(Raw_Data!L976))))</f>
        <v>Involuntary</v>
      </c>
      <c r="O976" s="13" t="str">
        <f aca="false">IF(M976=0,"",IF(TRIM(Raw_Data!M976)="","Not Recorded",TRIM(Raw_Data!M976)))</f>
        <v>Poor Performance</v>
      </c>
      <c r="P976" s="16" t="n">
        <f aca="false">ROUND((IF(C976="",AsOfDate,C976)-B976)/365.25,2)</f>
        <v>4.95</v>
      </c>
      <c r="Q976" s="13" t="str">
        <f aca="false">IF(D976="","Unknown",IF(D976&lt;25,"Under 25",IF(D976&lt;35,"25-34",IF(D976&lt;45,"35-44",IF(D976&lt;55,"45-54","55+")))))</f>
        <v>35-44</v>
      </c>
      <c r="R976" s="13" t="str">
        <f aca="false">IF(P976&lt;1,"0-1 yrs",IF(P976&lt;3,"1-3 yrs",IF(P976&lt;5,"3-5 yrs",IF(P976&lt;10,"5-10 yrs","10+ yrs"))))</f>
        <v>3-5 yrs</v>
      </c>
      <c r="S976" s="13" t="str">
        <f aca="false">IF(I976&gt;=4,"High",IF(I976=3,"Medium","Low"))</f>
        <v>Low</v>
      </c>
      <c r="T976" s="13" t="n">
        <f aca="false">IF(M976=1,YEAR(C976),"")</f>
        <v>2024</v>
      </c>
      <c r="U976" s="13" t="str">
        <f aca="false">IF(M976=1,YEAR(C976)&amp;"-Q"&amp;ROUNDUP(MONTH(C976)/3,0),"")</f>
        <v>2024-Q4</v>
      </c>
      <c r="V976" s="13" t="n">
        <f aca="false">IF(M976=1,MONTH(C976),"")</f>
        <v>11</v>
      </c>
    </row>
    <row r="977" customFormat="false" ht="15" hidden="false" customHeight="false" outlineLevel="0" collapsed="false">
      <c r="A977" s="13" t="str">
        <f aca="false">TRIM(Raw_Data!A977)</f>
        <v>EMP0976</v>
      </c>
      <c r="B977" s="14" t="n">
        <f aca="false">Raw_Data!B977</f>
        <v>43815</v>
      </c>
      <c r="C977" s="14" t="str">
        <f aca="false">IF(Raw_Data!C977="","",Raw_Data!C977)</f>
        <v/>
      </c>
      <c r="D977" s="13" t="n">
        <f aca="false">IF(Raw_Data!D977="","",Raw_Data!D977)</f>
        <v>40</v>
      </c>
      <c r="E977" s="13" t="str">
        <f aca="false">IF(UPPER(LEFT(TRIM(Raw_Data!E977),1))="M","Male",IF(UPPER(LEFT(TRIM(Raw_Data!E977),1))="F","Female","Unknown"))</f>
        <v>Male</v>
      </c>
      <c r="F977" s="13" t="str">
        <f aca="false">PROPER(TRIM(SUBSTITUTE(Raw_Data!F977,"'","")))</f>
        <v>Bachelors</v>
      </c>
      <c r="G977" s="13" t="str">
        <f aca="false">PROPER(TRIM(Raw_Data!G977))</f>
        <v>Operations</v>
      </c>
      <c r="H977" s="13" t="str">
        <f aca="false">PROPER(TRIM(Raw_Data!H977))</f>
        <v>Manager</v>
      </c>
      <c r="I977" s="13" t="n">
        <f aca="false">IF(Raw_Data!I977="",DefaultPerf,Raw_Data!I977)</f>
        <v>3</v>
      </c>
      <c r="J977" s="13" t="n">
        <f aca="false">IF(Raw_Data!J977="",DefaultSat,Raw_Data!J977)</f>
        <v>3</v>
      </c>
      <c r="K977" s="15" t="n">
        <f aca="false">Raw_Data!K977</f>
        <v>193000</v>
      </c>
      <c r="L977" s="13" t="str">
        <f aca="false">PROPER(TRIM(Raw_Data!N977))</f>
        <v>No</v>
      </c>
      <c r="M977" s="13" t="n">
        <f aca="false">IF(C977="",0,1)</f>
        <v>0</v>
      </c>
      <c r="N977" s="13" t="str">
        <f aca="false">IF(M977=0,"Active",IF(TRIM(Raw_Data!L977)="","Unknown",PROPER(TRIM(Raw_Data!L977))))</f>
        <v>Active</v>
      </c>
      <c r="O977" s="13" t="str">
        <f aca="false">IF(M977=0,"",IF(TRIM(Raw_Data!M977)="","Not Recorded",TRIM(Raw_Data!M977)))</f>
        <v/>
      </c>
      <c r="P977" s="16" t="n">
        <f aca="false">ROUND((IF(C977="",AsOfDate,C977)-B977)/365.25,2)</f>
        <v>6.04</v>
      </c>
      <c r="Q977" s="13" t="str">
        <f aca="false">IF(D977="","Unknown",IF(D977&lt;25,"Under 25",IF(D977&lt;35,"25-34",IF(D977&lt;45,"35-44",IF(D977&lt;55,"45-54","55+")))))</f>
        <v>35-44</v>
      </c>
      <c r="R977" s="13" t="str">
        <f aca="false">IF(P977&lt;1,"0-1 yrs",IF(P977&lt;3,"1-3 yrs",IF(P977&lt;5,"3-5 yrs",IF(P977&lt;10,"5-10 yrs","10+ yrs"))))</f>
        <v>5-10 yrs</v>
      </c>
      <c r="S977" s="13" t="str">
        <f aca="false">IF(I977&gt;=4,"High",IF(I977=3,"Medium","Low"))</f>
        <v>Medium</v>
      </c>
      <c r="T977" s="13" t="str">
        <f aca="false">IF(M977=1,YEAR(C977),"")</f>
        <v/>
      </c>
      <c r="U977" s="13" t="str">
        <f aca="false">IF(M977=1,YEAR(C977)&amp;"-Q"&amp;ROUNDUP(MONTH(C977)/3,0),"")</f>
        <v/>
      </c>
      <c r="V977" s="13" t="str">
        <f aca="false">IF(M977=1,MONTH(C977),"")</f>
        <v/>
      </c>
    </row>
    <row r="978" customFormat="false" ht="15" hidden="false" customHeight="false" outlineLevel="0" collapsed="false">
      <c r="A978" s="13" t="str">
        <f aca="false">TRIM(Raw_Data!A978)</f>
        <v>EMP0977</v>
      </c>
      <c r="B978" s="14" t="n">
        <f aca="false">Raw_Data!B978</f>
        <v>43817</v>
      </c>
      <c r="C978" s="14" t="n">
        <f aca="false">IF(Raw_Data!C978="","",Raw_Data!C978)</f>
        <v>44998</v>
      </c>
      <c r="D978" s="13" t="n">
        <f aca="false">IF(Raw_Data!D978="","",Raw_Data!D978)</f>
        <v>24</v>
      </c>
      <c r="E978" s="13" t="str">
        <f aca="false">IF(UPPER(LEFT(TRIM(Raw_Data!E978),1))="M","Male",IF(UPPER(LEFT(TRIM(Raw_Data!E978),1))="F","Female","Unknown"))</f>
        <v>Male</v>
      </c>
      <c r="F978" s="13" t="str">
        <f aca="false">PROPER(TRIM(SUBSTITUTE(Raw_Data!F978,"'","")))</f>
        <v>Masters</v>
      </c>
      <c r="G978" s="13" t="str">
        <f aca="false">PROPER(TRIM(Raw_Data!G978))</f>
        <v>Sales</v>
      </c>
      <c r="H978" s="13" t="str">
        <f aca="false">PROPER(TRIM(Raw_Data!H978))</f>
        <v>Associate</v>
      </c>
      <c r="I978" s="13" t="n">
        <f aca="false">IF(Raw_Data!I978="",DefaultPerf,Raw_Data!I978)</f>
        <v>2</v>
      </c>
      <c r="J978" s="13" t="n">
        <f aca="false">IF(Raw_Data!J978="",DefaultSat,Raw_Data!J978)</f>
        <v>4</v>
      </c>
      <c r="K978" s="15" t="n">
        <f aca="false">Raw_Data!K978</f>
        <v>41500</v>
      </c>
      <c r="L978" s="13" t="str">
        <f aca="false">PROPER(TRIM(Raw_Data!N978))</f>
        <v>No</v>
      </c>
      <c r="M978" s="13" t="n">
        <f aca="false">IF(C978="",0,1)</f>
        <v>1</v>
      </c>
      <c r="N978" s="13" t="str">
        <f aca="false">IF(M978=0,"Active",IF(TRIM(Raw_Data!L978)="","Unknown",PROPER(TRIM(Raw_Data!L978))))</f>
        <v>Involuntary</v>
      </c>
      <c r="O978" s="13" t="str">
        <f aca="false">IF(M978=0,"",IF(TRIM(Raw_Data!M978)="","Not Recorded",TRIM(Raw_Data!M978)))</f>
        <v>Poor Performance</v>
      </c>
      <c r="P978" s="16" t="n">
        <f aca="false">ROUND((IF(C978="",AsOfDate,C978)-B978)/365.25,2)</f>
        <v>3.23</v>
      </c>
      <c r="Q978" s="13" t="str">
        <f aca="false">IF(D978="","Unknown",IF(D978&lt;25,"Under 25",IF(D978&lt;35,"25-34",IF(D978&lt;45,"35-44",IF(D978&lt;55,"45-54","55+")))))</f>
        <v>Under 25</v>
      </c>
      <c r="R978" s="13" t="str">
        <f aca="false">IF(P978&lt;1,"0-1 yrs",IF(P978&lt;3,"1-3 yrs",IF(P978&lt;5,"3-5 yrs",IF(P978&lt;10,"5-10 yrs","10+ yrs"))))</f>
        <v>3-5 yrs</v>
      </c>
      <c r="S978" s="13" t="str">
        <f aca="false">IF(I978&gt;=4,"High",IF(I978=3,"Medium","Low"))</f>
        <v>Low</v>
      </c>
      <c r="T978" s="13" t="n">
        <f aca="false">IF(M978=1,YEAR(C978),"")</f>
        <v>2023</v>
      </c>
      <c r="U978" s="13" t="str">
        <f aca="false">IF(M978=1,YEAR(C978)&amp;"-Q"&amp;ROUNDUP(MONTH(C978)/3,0),"")</f>
        <v>2023-Q1</v>
      </c>
      <c r="V978" s="13" t="n">
        <f aca="false">IF(M978=1,MONTH(C978),"")</f>
        <v>3</v>
      </c>
    </row>
    <row r="979" customFormat="false" ht="15" hidden="false" customHeight="false" outlineLevel="0" collapsed="false">
      <c r="A979" s="13" t="str">
        <f aca="false">TRIM(Raw_Data!A979)</f>
        <v>EMP0978</v>
      </c>
      <c r="B979" s="14" t="n">
        <f aca="false">Raw_Data!B979</f>
        <v>43819</v>
      </c>
      <c r="C979" s="14" t="n">
        <f aca="false">IF(Raw_Data!C979="","",Raw_Data!C979)</f>
        <v>44620</v>
      </c>
      <c r="D979" s="13" t="n">
        <f aca="false">IF(Raw_Data!D979="","",Raw_Data!D979)</f>
        <v>29</v>
      </c>
      <c r="E979" s="13" t="str">
        <f aca="false">IF(UPPER(LEFT(TRIM(Raw_Data!E979),1))="M","Male",IF(UPPER(LEFT(TRIM(Raw_Data!E979),1))="F","Female","Unknown"))</f>
        <v>Female</v>
      </c>
      <c r="F979" s="13" t="str">
        <f aca="false">PROPER(TRIM(SUBSTITUTE(Raw_Data!F979,"'","")))</f>
        <v>Bachelors</v>
      </c>
      <c r="G979" s="13" t="str">
        <f aca="false">PROPER(TRIM(Raw_Data!G979))</f>
        <v>Customer Support</v>
      </c>
      <c r="H979" s="13" t="str">
        <f aca="false">PROPER(TRIM(Raw_Data!H979))</f>
        <v>Team Lead</v>
      </c>
      <c r="I979" s="13" t="n">
        <f aca="false">IF(Raw_Data!I979="",DefaultPerf,Raw_Data!I979)</f>
        <v>3</v>
      </c>
      <c r="J979" s="13" t="n">
        <f aca="false">IF(Raw_Data!J979="",DefaultSat,Raw_Data!J979)</f>
        <v>3</v>
      </c>
      <c r="K979" s="15" t="n">
        <f aca="false">Raw_Data!K979</f>
        <v>148500</v>
      </c>
      <c r="L979" s="13" t="str">
        <f aca="false">PROPER(TRIM(Raw_Data!N979))</f>
        <v>Yes</v>
      </c>
      <c r="M979" s="13" t="n">
        <f aca="false">IF(C979="",0,1)</f>
        <v>1</v>
      </c>
      <c r="N979" s="13" t="str">
        <f aca="false">IF(M979=0,"Active",IF(TRIM(Raw_Data!L979)="","Unknown",PROPER(TRIM(Raw_Data!L979))))</f>
        <v>Voluntary</v>
      </c>
      <c r="O979" s="13" t="str">
        <f aca="false">IF(M979=0,"",IF(TRIM(Raw_Data!M979)="","Not Recorded",TRIM(Raw_Data!M979)))</f>
        <v>Work-Life Balance</v>
      </c>
      <c r="P979" s="16" t="n">
        <f aca="false">ROUND((IF(C979="",AsOfDate,C979)-B979)/365.25,2)</f>
        <v>2.19</v>
      </c>
      <c r="Q979" s="13" t="str">
        <f aca="false">IF(D979="","Unknown",IF(D979&lt;25,"Under 25",IF(D979&lt;35,"25-34",IF(D979&lt;45,"35-44",IF(D979&lt;55,"45-54","55+")))))</f>
        <v>25-34</v>
      </c>
      <c r="R979" s="13" t="str">
        <f aca="false">IF(P979&lt;1,"0-1 yrs",IF(P979&lt;3,"1-3 yrs",IF(P979&lt;5,"3-5 yrs",IF(P979&lt;10,"5-10 yrs","10+ yrs"))))</f>
        <v>1-3 yrs</v>
      </c>
      <c r="S979" s="13" t="str">
        <f aca="false">IF(I979&gt;=4,"High",IF(I979=3,"Medium","Low"))</f>
        <v>Medium</v>
      </c>
      <c r="T979" s="13" t="n">
        <f aca="false">IF(M979=1,YEAR(C979),"")</f>
        <v>2022</v>
      </c>
      <c r="U979" s="13" t="str">
        <f aca="false">IF(M979=1,YEAR(C979)&amp;"-Q"&amp;ROUNDUP(MONTH(C979)/3,0),"")</f>
        <v>2022-Q1</v>
      </c>
      <c r="V979" s="13" t="n">
        <f aca="false">IF(M979=1,MONTH(C979),"")</f>
        <v>2</v>
      </c>
    </row>
    <row r="980" customFormat="false" ht="15" hidden="false" customHeight="false" outlineLevel="0" collapsed="false">
      <c r="A980" s="13" t="str">
        <f aca="false">TRIM(Raw_Data!A980)</f>
        <v>EMP0979</v>
      </c>
      <c r="B980" s="14" t="n">
        <f aca="false">Raw_Data!B980</f>
        <v>43820</v>
      </c>
      <c r="C980" s="14" t="str">
        <f aca="false">IF(Raw_Data!C980="","",Raw_Data!C980)</f>
        <v/>
      </c>
      <c r="D980" s="13" t="n">
        <f aca="false">IF(Raw_Data!D980="","",Raw_Data!D980)</f>
        <v>43</v>
      </c>
      <c r="E980" s="13" t="str">
        <f aca="false">IF(UPPER(LEFT(TRIM(Raw_Data!E980),1))="M","Male",IF(UPPER(LEFT(TRIM(Raw_Data!E980),1))="F","Female","Unknown"))</f>
        <v>Male</v>
      </c>
      <c r="F980" s="13" t="str">
        <f aca="false">PROPER(TRIM(SUBSTITUTE(Raw_Data!F980,"'","")))</f>
        <v>Masters</v>
      </c>
      <c r="G980" s="13" t="str">
        <f aca="false">PROPER(TRIM(Raw_Data!G980))</f>
        <v>Sales</v>
      </c>
      <c r="H980" s="13" t="str">
        <f aca="false">PROPER(TRIM(Raw_Data!H980))</f>
        <v>Associate</v>
      </c>
      <c r="I980" s="13" t="n">
        <f aca="false">IF(Raw_Data!I980="",DefaultPerf,Raw_Data!I980)</f>
        <v>3</v>
      </c>
      <c r="J980" s="13" t="n">
        <f aca="false">IF(Raw_Data!J980="",DefaultSat,Raw_Data!J980)</f>
        <v>4</v>
      </c>
      <c r="K980" s="15" t="n">
        <f aca="false">Raw_Data!K980</f>
        <v>48000</v>
      </c>
      <c r="L980" s="13" t="str">
        <f aca="false">PROPER(TRIM(Raw_Data!N980))</f>
        <v>No</v>
      </c>
      <c r="M980" s="13" t="n">
        <f aca="false">IF(C980="",0,1)</f>
        <v>0</v>
      </c>
      <c r="N980" s="13" t="str">
        <f aca="false">IF(M980=0,"Active",IF(TRIM(Raw_Data!L980)="","Unknown",PROPER(TRIM(Raw_Data!L980))))</f>
        <v>Active</v>
      </c>
      <c r="O980" s="13" t="str">
        <f aca="false">IF(M980=0,"",IF(TRIM(Raw_Data!M980)="","Not Recorded",TRIM(Raw_Data!M980)))</f>
        <v/>
      </c>
      <c r="P980" s="16" t="n">
        <f aca="false">ROUND((IF(C980="",AsOfDate,C980)-B980)/365.25,2)</f>
        <v>6.03</v>
      </c>
      <c r="Q980" s="13" t="str">
        <f aca="false">IF(D980="","Unknown",IF(D980&lt;25,"Under 25",IF(D980&lt;35,"25-34",IF(D980&lt;45,"35-44",IF(D980&lt;55,"45-54","55+")))))</f>
        <v>35-44</v>
      </c>
      <c r="R980" s="13" t="str">
        <f aca="false">IF(P980&lt;1,"0-1 yrs",IF(P980&lt;3,"1-3 yrs",IF(P980&lt;5,"3-5 yrs",IF(P980&lt;10,"5-10 yrs","10+ yrs"))))</f>
        <v>5-10 yrs</v>
      </c>
      <c r="S980" s="13" t="str">
        <f aca="false">IF(I980&gt;=4,"High",IF(I980=3,"Medium","Low"))</f>
        <v>Medium</v>
      </c>
      <c r="T980" s="13" t="str">
        <f aca="false">IF(M980=1,YEAR(C980),"")</f>
        <v/>
      </c>
      <c r="U980" s="13" t="str">
        <f aca="false">IF(M980=1,YEAR(C980)&amp;"-Q"&amp;ROUNDUP(MONTH(C980)/3,0),"")</f>
        <v/>
      </c>
      <c r="V980" s="13" t="str">
        <f aca="false">IF(M980=1,MONTH(C980),"")</f>
        <v/>
      </c>
    </row>
    <row r="981" customFormat="false" ht="15" hidden="false" customHeight="false" outlineLevel="0" collapsed="false">
      <c r="A981" s="13" t="str">
        <f aca="false">TRIM(Raw_Data!A981)</f>
        <v>EMP0980</v>
      </c>
      <c r="B981" s="14" t="n">
        <f aca="false">Raw_Data!B981</f>
        <v>43821</v>
      </c>
      <c r="C981" s="14" t="n">
        <f aca="false">IF(Raw_Data!C981="","",Raw_Data!C981)</f>
        <v>44837</v>
      </c>
      <c r="D981" s="13" t="n">
        <f aca="false">IF(Raw_Data!D981="","",Raw_Data!D981)</f>
        <v>29</v>
      </c>
      <c r="E981" s="13" t="str">
        <f aca="false">IF(UPPER(LEFT(TRIM(Raw_Data!E981),1))="M","Male",IF(UPPER(LEFT(TRIM(Raw_Data!E981),1))="F","Female","Unknown"))</f>
        <v>Female</v>
      </c>
      <c r="F981" s="13" t="str">
        <f aca="false">PROPER(TRIM(SUBSTITUTE(Raw_Data!F981,"'","")))</f>
        <v>Bachelors</v>
      </c>
      <c r="G981" s="13" t="str">
        <f aca="false">PROPER(TRIM(Raw_Data!G981))</f>
        <v>Operations</v>
      </c>
      <c r="H981" s="13" t="str">
        <f aca="false">PROPER(TRIM(Raw_Data!H981))</f>
        <v>Manager</v>
      </c>
      <c r="I981" s="13" t="n">
        <f aca="false">IF(Raw_Data!I981="",DefaultPerf,Raw_Data!I981)</f>
        <v>4</v>
      </c>
      <c r="J981" s="13" t="n">
        <f aca="false">IF(Raw_Data!J981="",DefaultSat,Raw_Data!J981)</f>
        <v>1</v>
      </c>
      <c r="K981" s="15" t="n">
        <f aca="false">Raw_Data!K981</f>
        <v>182500</v>
      </c>
      <c r="L981" s="13" t="str">
        <f aca="false">PROPER(TRIM(Raw_Data!N981))</f>
        <v>No</v>
      </c>
      <c r="M981" s="13" t="n">
        <f aca="false">IF(C981="",0,1)</f>
        <v>1</v>
      </c>
      <c r="N981" s="13" t="str">
        <f aca="false">IF(M981=0,"Active",IF(TRIM(Raw_Data!L981)="","Unknown",PROPER(TRIM(Raw_Data!L981))))</f>
        <v>Voluntary</v>
      </c>
      <c r="O981" s="13" t="str">
        <f aca="false">IF(M981=0,"",IF(TRIM(Raw_Data!M981)="","Not Recorded",TRIM(Raw_Data!M981)))</f>
        <v>Job Dissatisfaction</v>
      </c>
      <c r="P981" s="16" t="n">
        <f aca="false">ROUND((IF(C981="",AsOfDate,C981)-B981)/365.25,2)</f>
        <v>2.78</v>
      </c>
      <c r="Q981" s="13" t="str">
        <f aca="false">IF(D981="","Unknown",IF(D981&lt;25,"Under 25",IF(D981&lt;35,"25-34",IF(D981&lt;45,"35-44",IF(D981&lt;55,"45-54","55+")))))</f>
        <v>25-34</v>
      </c>
      <c r="R981" s="13" t="str">
        <f aca="false">IF(P981&lt;1,"0-1 yrs",IF(P981&lt;3,"1-3 yrs",IF(P981&lt;5,"3-5 yrs",IF(P981&lt;10,"5-10 yrs","10+ yrs"))))</f>
        <v>1-3 yrs</v>
      </c>
      <c r="S981" s="13" t="str">
        <f aca="false">IF(I981&gt;=4,"High",IF(I981=3,"Medium","Low"))</f>
        <v>High</v>
      </c>
      <c r="T981" s="13" t="n">
        <f aca="false">IF(M981=1,YEAR(C981),"")</f>
        <v>2022</v>
      </c>
      <c r="U981" s="13" t="str">
        <f aca="false">IF(M981=1,YEAR(C981)&amp;"-Q"&amp;ROUNDUP(MONTH(C981)/3,0),"")</f>
        <v>2022-Q4</v>
      </c>
      <c r="V981" s="13" t="n">
        <f aca="false">IF(M981=1,MONTH(C981),"")</f>
        <v>10</v>
      </c>
    </row>
    <row r="982" customFormat="false" ht="15" hidden="false" customHeight="false" outlineLevel="0" collapsed="false">
      <c r="A982" s="13" t="str">
        <f aca="false">TRIM(Raw_Data!A982)</f>
        <v>EMP0981</v>
      </c>
      <c r="B982" s="14" t="n">
        <f aca="false">Raw_Data!B982</f>
        <v>43825</v>
      </c>
      <c r="C982" s="14" t="str">
        <f aca="false">IF(Raw_Data!C982="","",Raw_Data!C982)</f>
        <v/>
      </c>
      <c r="D982" s="13" t="n">
        <f aca="false">IF(Raw_Data!D982="","",Raw_Data!D982)</f>
        <v>27</v>
      </c>
      <c r="E982" s="13" t="str">
        <f aca="false">IF(UPPER(LEFT(TRIM(Raw_Data!E982),1))="M","Male",IF(UPPER(LEFT(TRIM(Raw_Data!E982),1))="F","Female","Unknown"))</f>
        <v>Female</v>
      </c>
      <c r="F982" s="13" t="str">
        <f aca="false">PROPER(TRIM(SUBSTITUTE(Raw_Data!F982,"'","")))</f>
        <v>Bachelors</v>
      </c>
      <c r="G982" s="13" t="str">
        <f aca="false">PROPER(TRIM(Raw_Data!G982))</f>
        <v>Engineering</v>
      </c>
      <c r="H982" s="13" t="str">
        <f aca="false">PROPER(TRIM(Raw_Data!H982))</f>
        <v>Associate</v>
      </c>
      <c r="I982" s="13" t="n">
        <f aca="false">IF(Raw_Data!I982="",DefaultPerf,Raw_Data!I982)</f>
        <v>5</v>
      </c>
      <c r="J982" s="13" t="n">
        <f aca="false">IF(Raw_Data!J982="",DefaultSat,Raw_Data!J982)</f>
        <v>4</v>
      </c>
      <c r="K982" s="15" t="n">
        <f aca="false">Raw_Data!K982</f>
        <v>39000</v>
      </c>
      <c r="L982" s="13" t="str">
        <f aca="false">PROPER(TRIM(Raw_Data!N982))</f>
        <v>Yes</v>
      </c>
      <c r="M982" s="13" t="n">
        <f aca="false">IF(C982="",0,1)</f>
        <v>0</v>
      </c>
      <c r="N982" s="13" t="str">
        <f aca="false">IF(M982=0,"Active",IF(TRIM(Raw_Data!L982)="","Unknown",PROPER(TRIM(Raw_Data!L982))))</f>
        <v>Active</v>
      </c>
      <c r="O982" s="13" t="str">
        <f aca="false">IF(M982=0,"",IF(TRIM(Raw_Data!M982)="","Not Recorded",TRIM(Raw_Data!M982)))</f>
        <v/>
      </c>
      <c r="P982" s="16" t="n">
        <f aca="false">ROUND((IF(C982="",AsOfDate,C982)-B982)/365.25,2)</f>
        <v>6.02</v>
      </c>
      <c r="Q982" s="13" t="str">
        <f aca="false">IF(D982="","Unknown",IF(D982&lt;25,"Under 25",IF(D982&lt;35,"25-34",IF(D982&lt;45,"35-44",IF(D982&lt;55,"45-54","55+")))))</f>
        <v>25-34</v>
      </c>
      <c r="R982" s="13" t="str">
        <f aca="false">IF(P982&lt;1,"0-1 yrs",IF(P982&lt;3,"1-3 yrs",IF(P982&lt;5,"3-5 yrs",IF(P982&lt;10,"5-10 yrs","10+ yrs"))))</f>
        <v>5-10 yrs</v>
      </c>
      <c r="S982" s="13" t="str">
        <f aca="false">IF(I982&gt;=4,"High",IF(I982=3,"Medium","Low"))</f>
        <v>High</v>
      </c>
      <c r="T982" s="13" t="str">
        <f aca="false">IF(M982=1,YEAR(C982),"")</f>
        <v/>
      </c>
      <c r="U982" s="13" t="str">
        <f aca="false">IF(M982=1,YEAR(C982)&amp;"-Q"&amp;ROUNDUP(MONTH(C982)/3,0),"")</f>
        <v/>
      </c>
      <c r="V982" s="13" t="str">
        <f aca="false">IF(M982=1,MONTH(C982),"")</f>
        <v/>
      </c>
    </row>
    <row r="983" customFormat="false" ht="15" hidden="false" customHeight="false" outlineLevel="0" collapsed="false">
      <c r="A983" s="13" t="str">
        <f aca="false">TRIM(Raw_Data!A983)</f>
        <v>EMP0982</v>
      </c>
      <c r="B983" s="14" t="n">
        <f aca="false">Raw_Data!B983</f>
        <v>43828</v>
      </c>
      <c r="C983" s="14" t="n">
        <f aca="false">IF(Raw_Data!C983="","",Raw_Data!C983)</f>
        <v>44657</v>
      </c>
      <c r="D983" s="13" t="n">
        <f aca="false">IF(Raw_Data!D983="","",Raw_Data!D983)</f>
        <v>31</v>
      </c>
      <c r="E983" s="13" t="str">
        <f aca="false">IF(UPPER(LEFT(TRIM(Raw_Data!E983),1))="M","Male",IF(UPPER(LEFT(TRIM(Raw_Data!E983),1))="F","Female","Unknown"))</f>
        <v>Male</v>
      </c>
      <c r="F983" s="13" t="str">
        <f aca="false">PROPER(TRIM(SUBSTITUTE(Raw_Data!F983,"'","")))</f>
        <v>Masters</v>
      </c>
      <c r="G983" s="13" t="str">
        <f aca="false">PROPER(TRIM(Raw_Data!G983))</f>
        <v>Engineering</v>
      </c>
      <c r="H983" s="13" t="str">
        <f aca="false">PROPER(TRIM(Raw_Data!H983))</f>
        <v>Specialist</v>
      </c>
      <c r="I983" s="13" t="n">
        <f aca="false">IF(Raw_Data!I983="",DefaultPerf,Raw_Data!I983)</f>
        <v>3</v>
      </c>
      <c r="J983" s="13" t="n">
        <f aca="false">IF(Raw_Data!J983="",DefaultSat,Raw_Data!J983)</f>
        <v>1</v>
      </c>
      <c r="K983" s="15" t="n">
        <f aca="false">Raw_Data!K983</f>
        <v>114500</v>
      </c>
      <c r="L983" s="13" t="str">
        <f aca="false">PROPER(TRIM(Raw_Data!N983))</f>
        <v>Yes</v>
      </c>
      <c r="M983" s="13" t="n">
        <f aca="false">IF(C983="",0,1)</f>
        <v>1</v>
      </c>
      <c r="N983" s="13" t="str">
        <f aca="false">IF(M983=0,"Active",IF(TRIM(Raw_Data!L983)="","Unknown",PROPER(TRIM(Raw_Data!L983))))</f>
        <v>Voluntary</v>
      </c>
      <c r="O983" s="13" t="str">
        <f aca="false">IF(M983=0,"",IF(TRIM(Raw_Data!M983)="","Not Recorded",TRIM(Raw_Data!M983)))</f>
        <v>Job Dissatisfaction</v>
      </c>
      <c r="P983" s="16" t="n">
        <f aca="false">ROUND((IF(C983="",AsOfDate,C983)-B983)/365.25,2)</f>
        <v>2.27</v>
      </c>
      <c r="Q983" s="13" t="str">
        <f aca="false">IF(D983="","Unknown",IF(D983&lt;25,"Under 25",IF(D983&lt;35,"25-34",IF(D983&lt;45,"35-44",IF(D983&lt;55,"45-54","55+")))))</f>
        <v>25-34</v>
      </c>
      <c r="R983" s="13" t="str">
        <f aca="false">IF(P983&lt;1,"0-1 yrs",IF(P983&lt;3,"1-3 yrs",IF(P983&lt;5,"3-5 yrs",IF(P983&lt;10,"5-10 yrs","10+ yrs"))))</f>
        <v>1-3 yrs</v>
      </c>
      <c r="S983" s="13" t="str">
        <f aca="false">IF(I983&gt;=4,"High",IF(I983=3,"Medium","Low"))</f>
        <v>Medium</v>
      </c>
      <c r="T983" s="13" t="n">
        <f aca="false">IF(M983=1,YEAR(C983),"")</f>
        <v>2022</v>
      </c>
      <c r="U983" s="13" t="str">
        <f aca="false">IF(M983=1,YEAR(C983)&amp;"-Q"&amp;ROUNDUP(MONTH(C983)/3,0),"")</f>
        <v>2022-Q2</v>
      </c>
      <c r="V983" s="13" t="n">
        <f aca="false">IF(M983=1,MONTH(C983),"")</f>
        <v>4</v>
      </c>
    </row>
    <row r="984" customFormat="false" ht="15" hidden="false" customHeight="false" outlineLevel="0" collapsed="false">
      <c r="A984" s="13" t="str">
        <f aca="false">TRIM(Raw_Data!A984)</f>
        <v>EMP0983</v>
      </c>
      <c r="B984" s="14" t="n">
        <f aca="false">Raw_Data!B984</f>
        <v>43830</v>
      </c>
      <c r="C984" s="14" t="str">
        <f aca="false">IF(Raw_Data!C984="","",Raw_Data!C984)</f>
        <v/>
      </c>
      <c r="D984" s="13" t="n">
        <f aca="false">IF(Raw_Data!D984="","",Raw_Data!D984)</f>
        <v>34</v>
      </c>
      <c r="E984" s="13" t="str">
        <f aca="false">IF(UPPER(LEFT(TRIM(Raw_Data!E984),1))="M","Male",IF(UPPER(LEFT(TRIM(Raw_Data!E984),1))="F","Female","Unknown"))</f>
        <v>Female</v>
      </c>
      <c r="F984" s="13" t="str">
        <f aca="false">PROPER(TRIM(SUBSTITUTE(Raw_Data!F984,"'","")))</f>
        <v>Bachelors</v>
      </c>
      <c r="G984" s="13" t="str">
        <f aca="false">PROPER(TRIM(Raw_Data!G984))</f>
        <v>Engineering</v>
      </c>
      <c r="H984" s="13" t="str">
        <f aca="false">PROPER(TRIM(Raw_Data!H984))</f>
        <v>Manager</v>
      </c>
      <c r="I984" s="13" t="n">
        <f aca="false">IF(Raw_Data!I984="",DefaultPerf,Raw_Data!I984)</f>
        <v>2</v>
      </c>
      <c r="J984" s="13" t="n">
        <f aca="false">IF(Raw_Data!J984="",DefaultSat,Raw_Data!J984)</f>
        <v>2</v>
      </c>
      <c r="K984" s="15" t="n">
        <f aca="false">Raw_Data!K984</f>
        <v>198000</v>
      </c>
      <c r="L984" s="13" t="str">
        <f aca="false">PROPER(TRIM(Raw_Data!N984))</f>
        <v>No</v>
      </c>
      <c r="M984" s="13" t="n">
        <f aca="false">IF(C984="",0,1)</f>
        <v>0</v>
      </c>
      <c r="N984" s="13" t="str">
        <f aca="false">IF(M984=0,"Active",IF(TRIM(Raw_Data!L984)="","Unknown",PROPER(TRIM(Raw_Data!L984))))</f>
        <v>Active</v>
      </c>
      <c r="O984" s="13" t="str">
        <f aca="false">IF(M984=0,"",IF(TRIM(Raw_Data!M984)="","Not Recorded",TRIM(Raw_Data!M984)))</f>
        <v/>
      </c>
      <c r="P984" s="16" t="n">
        <f aca="false">ROUND((IF(C984="",AsOfDate,C984)-B984)/365.25,2)</f>
        <v>6</v>
      </c>
      <c r="Q984" s="13" t="str">
        <f aca="false">IF(D984="","Unknown",IF(D984&lt;25,"Under 25",IF(D984&lt;35,"25-34",IF(D984&lt;45,"35-44",IF(D984&lt;55,"45-54","55+")))))</f>
        <v>25-34</v>
      </c>
      <c r="R984" s="13" t="str">
        <f aca="false">IF(P984&lt;1,"0-1 yrs",IF(P984&lt;3,"1-3 yrs",IF(P984&lt;5,"3-5 yrs",IF(P984&lt;10,"5-10 yrs","10+ yrs"))))</f>
        <v>5-10 yrs</v>
      </c>
      <c r="S984" s="13" t="str">
        <f aca="false">IF(I984&gt;=4,"High",IF(I984=3,"Medium","Low"))</f>
        <v>Low</v>
      </c>
      <c r="T984" s="13" t="str">
        <f aca="false">IF(M984=1,YEAR(C984),"")</f>
        <v/>
      </c>
      <c r="U984" s="13" t="str">
        <f aca="false">IF(M984=1,YEAR(C984)&amp;"-Q"&amp;ROUNDUP(MONTH(C984)/3,0),"")</f>
        <v/>
      </c>
      <c r="V984" s="13" t="str">
        <f aca="false">IF(M984=1,MONTH(C984),"")</f>
        <v/>
      </c>
    </row>
    <row r="985" customFormat="false" ht="15" hidden="false" customHeight="false" outlineLevel="0" collapsed="false">
      <c r="A985" s="13" t="str">
        <f aca="false">TRIM(Raw_Data!A985)</f>
        <v>EMP0984</v>
      </c>
      <c r="B985" s="14" t="n">
        <f aca="false">Raw_Data!B985</f>
        <v>43836</v>
      </c>
      <c r="C985" s="14" t="str">
        <f aca="false">IF(Raw_Data!C985="","",Raw_Data!C985)</f>
        <v/>
      </c>
      <c r="D985" s="13" t="n">
        <f aca="false">IF(Raw_Data!D985="","",Raw_Data!D985)</f>
        <v>37</v>
      </c>
      <c r="E985" s="13" t="str">
        <f aca="false">IF(UPPER(LEFT(TRIM(Raw_Data!E985),1))="M","Male",IF(UPPER(LEFT(TRIM(Raw_Data!E985),1))="F","Female","Unknown"))</f>
        <v>Female</v>
      </c>
      <c r="F985" s="13" t="str">
        <f aca="false">PROPER(TRIM(SUBSTITUTE(Raw_Data!F985,"'","")))</f>
        <v>Bachelors</v>
      </c>
      <c r="G985" s="13" t="str">
        <f aca="false">PROPER(TRIM(Raw_Data!G985))</f>
        <v>Finance</v>
      </c>
      <c r="H985" s="13" t="str">
        <f aca="false">PROPER(TRIM(Raw_Data!H985))</f>
        <v>Associate</v>
      </c>
      <c r="I985" s="13" t="n">
        <f aca="false">IF(Raw_Data!I985="",DefaultPerf,Raw_Data!I985)</f>
        <v>4</v>
      </c>
      <c r="J985" s="13" t="n">
        <f aca="false">IF(Raw_Data!J985="",DefaultSat,Raw_Data!J985)</f>
        <v>2</v>
      </c>
      <c r="K985" s="15" t="n">
        <f aca="false">Raw_Data!K985</f>
        <v>30500</v>
      </c>
      <c r="L985" s="13" t="str">
        <f aca="false">PROPER(TRIM(Raw_Data!N985))</f>
        <v>No</v>
      </c>
      <c r="M985" s="13" t="n">
        <f aca="false">IF(C985="",0,1)</f>
        <v>0</v>
      </c>
      <c r="N985" s="13" t="str">
        <f aca="false">IF(M985=0,"Active",IF(TRIM(Raw_Data!L985)="","Unknown",PROPER(TRIM(Raw_Data!L985))))</f>
        <v>Active</v>
      </c>
      <c r="O985" s="13" t="str">
        <f aca="false">IF(M985=0,"",IF(TRIM(Raw_Data!M985)="","Not Recorded",TRIM(Raw_Data!M985)))</f>
        <v/>
      </c>
      <c r="P985" s="16" t="n">
        <f aca="false">ROUND((IF(C985="",AsOfDate,C985)-B985)/365.25,2)</f>
        <v>5.98</v>
      </c>
      <c r="Q985" s="13" t="str">
        <f aca="false">IF(D985="","Unknown",IF(D985&lt;25,"Under 25",IF(D985&lt;35,"25-34",IF(D985&lt;45,"35-44",IF(D985&lt;55,"45-54","55+")))))</f>
        <v>35-44</v>
      </c>
      <c r="R985" s="13" t="str">
        <f aca="false">IF(P985&lt;1,"0-1 yrs",IF(P985&lt;3,"1-3 yrs",IF(P985&lt;5,"3-5 yrs",IF(P985&lt;10,"5-10 yrs","10+ yrs"))))</f>
        <v>5-10 yrs</v>
      </c>
      <c r="S985" s="13" t="str">
        <f aca="false">IF(I985&gt;=4,"High",IF(I985=3,"Medium","Low"))</f>
        <v>High</v>
      </c>
      <c r="T985" s="13" t="str">
        <f aca="false">IF(M985=1,YEAR(C985),"")</f>
        <v/>
      </c>
      <c r="U985" s="13" t="str">
        <f aca="false">IF(M985=1,YEAR(C985)&amp;"-Q"&amp;ROUNDUP(MONTH(C985)/3,0),"")</f>
        <v/>
      </c>
      <c r="V985" s="13" t="str">
        <f aca="false">IF(M985=1,MONTH(C985),"")</f>
        <v/>
      </c>
    </row>
    <row r="986" customFormat="false" ht="15" hidden="false" customHeight="false" outlineLevel="0" collapsed="false">
      <c r="A986" s="13" t="str">
        <f aca="false">TRIM(Raw_Data!A986)</f>
        <v>EMP0985</v>
      </c>
      <c r="B986" s="14" t="n">
        <f aca="false">Raw_Data!B986</f>
        <v>43837</v>
      </c>
      <c r="C986" s="14" t="n">
        <f aca="false">IF(Raw_Data!C986="","",Raw_Data!C986)</f>
        <v>44643</v>
      </c>
      <c r="D986" s="13" t="n">
        <f aca="false">IF(Raw_Data!D986="","",Raw_Data!D986)</f>
        <v>26</v>
      </c>
      <c r="E986" s="13" t="str">
        <f aca="false">IF(UPPER(LEFT(TRIM(Raw_Data!E986),1))="M","Male",IF(UPPER(LEFT(TRIM(Raw_Data!E986),1))="F","Female","Unknown"))</f>
        <v>Female</v>
      </c>
      <c r="F986" s="13" t="str">
        <f aca="false">PROPER(TRIM(SUBSTITUTE(Raw_Data!F986,"'","")))</f>
        <v>Bachelors</v>
      </c>
      <c r="G986" s="13" t="str">
        <f aca="false">PROPER(TRIM(Raw_Data!G986))</f>
        <v>Engineering</v>
      </c>
      <c r="H986" s="13" t="str">
        <f aca="false">PROPER(TRIM(Raw_Data!H986))</f>
        <v>Associate</v>
      </c>
      <c r="I986" s="13" t="n">
        <f aca="false">IF(Raw_Data!I986="",DefaultPerf,Raw_Data!I986)</f>
        <v>3</v>
      </c>
      <c r="J986" s="13" t="n">
        <f aca="false">IF(Raw_Data!J986="",DefaultSat,Raw_Data!J986)</f>
        <v>1</v>
      </c>
      <c r="K986" s="15" t="n">
        <f aca="false">Raw_Data!K986</f>
        <v>42500</v>
      </c>
      <c r="L986" s="13" t="str">
        <f aca="false">PROPER(TRIM(Raw_Data!N986))</f>
        <v>No</v>
      </c>
      <c r="M986" s="13" t="n">
        <f aca="false">IF(C986="",0,1)</f>
        <v>1</v>
      </c>
      <c r="N986" s="13" t="str">
        <f aca="false">IF(M986=0,"Active",IF(TRIM(Raw_Data!L986)="","Unknown",PROPER(TRIM(Raw_Data!L986))))</f>
        <v>Involuntary</v>
      </c>
      <c r="O986" s="13" t="str">
        <f aca="false">IF(M986=0,"",IF(TRIM(Raw_Data!M986)="","Not Recorded",TRIM(Raw_Data!M986)))</f>
        <v>Restructuring / Layoff</v>
      </c>
      <c r="P986" s="16" t="n">
        <f aca="false">ROUND((IF(C986="",AsOfDate,C986)-B986)/365.25,2)</f>
        <v>2.21</v>
      </c>
      <c r="Q986" s="13" t="str">
        <f aca="false">IF(D986="","Unknown",IF(D986&lt;25,"Under 25",IF(D986&lt;35,"25-34",IF(D986&lt;45,"35-44",IF(D986&lt;55,"45-54","55+")))))</f>
        <v>25-34</v>
      </c>
      <c r="R986" s="13" t="str">
        <f aca="false">IF(P986&lt;1,"0-1 yrs",IF(P986&lt;3,"1-3 yrs",IF(P986&lt;5,"3-5 yrs",IF(P986&lt;10,"5-10 yrs","10+ yrs"))))</f>
        <v>1-3 yrs</v>
      </c>
      <c r="S986" s="13" t="str">
        <f aca="false">IF(I986&gt;=4,"High",IF(I986=3,"Medium","Low"))</f>
        <v>Medium</v>
      </c>
      <c r="T986" s="13" t="n">
        <f aca="false">IF(M986=1,YEAR(C986),"")</f>
        <v>2022</v>
      </c>
      <c r="U986" s="13" t="str">
        <f aca="false">IF(M986=1,YEAR(C986)&amp;"-Q"&amp;ROUNDUP(MONTH(C986)/3,0),"")</f>
        <v>2022-Q1</v>
      </c>
      <c r="V986" s="13" t="n">
        <f aca="false">IF(M986=1,MONTH(C986),"")</f>
        <v>3</v>
      </c>
    </row>
    <row r="987" customFormat="false" ht="15" hidden="false" customHeight="false" outlineLevel="0" collapsed="false">
      <c r="A987" s="13" t="str">
        <f aca="false">TRIM(Raw_Data!A987)</f>
        <v>EMP0986</v>
      </c>
      <c r="B987" s="14" t="n">
        <f aca="false">Raw_Data!B987</f>
        <v>43842</v>
      </c>
      <c r="C987" s="14" t="n">
        <f aca="false">IF(Raw_Data!C987="","",Raw_Data!C987)</f>
        <v>44621</v>
      </c>
      <c r="D987" s="13" t="n">
        <f aca="false">IF(Raw_Data!D987="","",Raw_Data!D987)</f>
        <v>33</v>
      </c>
      <c r="E987" s="13" t="str">
        <f aca="false">IF(UPPER(LEFT(TRIM(Raw_Data!E987),1))="M","Male",IF(UPPER(LEFT(TRIM(Raw_Data!E987),1))="F","Female","Unknown"))</f>
        <v>Male</v>
      </c>
      <c r="F987" s="13" t="str">
        <f aca="false">PROPER(TRIM(SUBSTITUTE(Raw_Data!F987,"'","")))</f>
        <v>Bachelors</v>
      </c>
      <c r="G987" s="13" t="str">
        <f aca="false">PROPER(TRIM(Raw_Data!G987))</f>
        <v>Engineering</v>
      </c>
      <c r="H987" s="13" t="str">
        <f aca="false">PROPER(TRIM(Raw_Data!H987))</f>
        <v>Senior Analyst</v>
      </c>
      <c r="I987" s="13" t="n">
        <f aca="false">IF(Raw_Data!I987="",DefaultPerf,Raw_Data!I987)</f>
        <v>3</v>
      </c>
      <c r="J987" s="13" t="n">
        <f aca="false">IF(Raw_Data!J987="",DefaultSat,Raw_Data!J987)</f>
        <v>3</v>
      </c>
      <c r="K987" s="15" t="n">
        <f aca="false">Raw_Data!K987</f>
        <v>117500</v>
      </c>
      <c r="L987" s="13" t="str">
        <f aca="false">PROPER(TRIM(Raw_Data!N987))</f>
        <v>No</v>
      </c>
      <c r="M987" s="13" t="n">
        <f aca="false">IF(C987="",0,1)</f>
        <v>1</v>
      </c>
      <c r="N987" s="13" t="str">
        <f aca="false">IF(M987=0,"Active",IF(TRIM(Raw_Data!L987)="","Unknown",PROPER(TRIM(Raw_Data!L987))))</f>
        <v>Unknown</v>
      </c>
      <c r="O987" s="13" t="str">
        <f aca="false">IF(M987=0,"",IF(TRIM(Raw_Data!M987)="","Not Recorded",TRIM(Raw_Data!M987)))</f>
        <v>Career Growth</v>
      </c>
      <c r="P987" s="16" t="n">
        <f aca="false">ROUND((IF(C987="",AsOfDate,C987)-B987)/365.25,2)</f>
        <v>2.13</v>
      </c>
      <c r="Q987" s="13" t="str">
        <f aca="false">IF(D987="","Unknown",IF(D987&lt;25,"Under 25",IF(D987&lt;35,"25-34",IF(D987&lt;45,"35-44",IF(D987&lt;55,"45-54","55+")))))</f>
        <v>25-34</v>
      </c>
      <c r="R987" s="13" t="str">
        <f aca="false">IF(P987&lt;1,"0-1 yrs",IF(P987&lt;3,"1-3 yrs",IF(P987&lt;5,"3-5 yrs",IF(P987&lt;10,"5-10 yrs","10+ yrs"))))</f>
        <v>1-3 yrs</v>
      </c>
      <c r="S987" s="13" t="str">
        <f aca="false">IF(I987&gt;=4,"High",IF(I987=3,"Medium","Low"))</f>
        <v>Medium</v>
      </c>
      <c r="T987" s="13" t="n">
        <f aca="false">IF(M987=1,YEAR(C987),"")</f>
        <v>2022</v>
      </c>
      <c r="U987" s="13" t="str">
        <f aca="false">IF(M987=1,YEAR(C987)&amp;"-Q"&amp;ROUNDUP(MONTH(C987)/3,0),"")</f>
        <v>2022-Q1</v>
      </c>
      <c r="V987" s="13" t="n">
        <f aca="false">IF(M987=1,MONTH(C987),"")</f>
        <v>3</v>
      </c>
    </row>
    <row r="988" customFormat="false" ht="15" hidden="false" customHeight="false" outlineLevel="0" collapsed="false">
      <c r="A988" s="13" t="str">
        <f aca="false">TRIM(Raw_Data!A988)</f>
        <v>EMP0987</v>
      </c>
      <c r="B988" s="14" t="n">
        <f aca="false">Raw_Data!B988</f>
        <v>43847</v>
      </c>
      <c r="C988" s="14" t="str">
        <f aca="false">IF(Raw_Data!C988="","",Raw_Data!C988)</f>
        <v/>
      </c>
      <c r="D988" s="13" t="n">
        <f aca="false">IF(Raw_Data!D988="","",Raw_Data!D988)</f>
        <v>30</v>
      </c>
      <c r="E988" s="13" t="str">
        <f aca="false">IF(UPPER(LEFT(TRIM(Raw_Data!E988),1))="M","Male",IF(UPPER(LEFT(TRIM(Raw_Data!E988),1))="F","Female","Unknown"))</f>
        <v>Female</v>
      </c>
      <c r="F988" s="13" t="str">
        <f aca="false">PROPER(TRIM(SUBSTITUTE(Raw_Data!F988,"'","")))</f>
        <v>Bachelors</v>
      </c>
      <c r="G988" s="13" t="str">
        <f aca="false">PROPER(TRIM(Raw_Data!G988))</f>
        <v>Operations</v>
      </c>
      <c r="H988" s="13" t="str">
        <f aca="false">PROPER(TRIM(Raw_Data!H988))</f>
        <v>Analyst</v>
      </c>
      <c r="I988" s="13" t="n">
        <f aca="false">IF(Raw_Data!I988="",DefaultPerf,Raw_Data!I988)</f>
        <v>4</v>
      </c>
      <c r="J988" s="13" t="n">
        <f aca="false">IF(Raw_Data!J988="",DefaultSat,Raw_Data!J988)</f>
        <v>2</v>
      </c>
      <c r="K988" s="15" t="n">
        <f aca="false">Raw_Data!K988</f>
        <v>72000</v>
      </c>
      <c r="L988" s="13" t="str">
        <f aca="false">PROPER(TRIM(Raw_Data!N988))</f>
        <v>No</v>
      </c>
      <c r="M988" s="13" t="n">
        <f aca="false">IF(C988="",0,1)</f>
        <v>0</v>
      </c>
      <c r="N988" s="13" t="str">
        <f aca="false">IF(M988=0,"Active",IF(TRIM(Raw_Data!L988)="","Unknown",PROPER(TRIM(Raw_Data!L988))))</f>
        <v>Active</v>
      </c>
      <c r="O988" s="13" t="str">
        <f aca="false">IF(M988=0,"",IF(TRIM(Raw_Data!M988)="","Not Recorded",TRIM(Raw_Data!M988)))</f>
        <v/>
      </c>
      <c r="P988" s="16" t="n">
        <f aca="false">ROUND((IF(C988="",AsOfDate,C988)-B988)/365.25,2)</f>
        <v>5.95</v>
      </c>
      <c r="Q988" s="13" t="str">
        <f aca="false">IF(D988="","Unknown",IF(D988&lt;25,"Under 25",IF(D988&lt;35,"25-34",IF(D988&lt;45,"35-44",IF(D988&lt;55,"45-54","55+")))))</f>
        <v>25-34</v>
      </c>
      <c r="R988" s="13" t="str">
        <f aca="false">IF(P988&lt;1,"0-1 yrs",IF(P988&lt;3,"1-3 yrs",IF(P988&lt;5,"3-5 yrs",IF(P988&lt;10,"5-10 yrs","10+ yrs"))))</f>
        <v>5-10 yrs</v>
      </c>
      <c r="S988" s="13" t="str">
        <f aca="false">IF(I988&gt;=4,"High",IF(I988=3,"Medium","Low"))</f>
        <v>High</v>
      </c>
      <c r="T988" s="13" t="str">
        <f aca="false">IF(M988=1,YEAR(C988),"")</f>
        <v/>
      </c>
      <c r="U988" s="13" t="str">
        <f aca="false">IF(M988=1,YEAR(C988)&amp;"-Q"&amp;ROUNDUP(MONTH(C988)/3,0),"")</f>
        <v/>
      </c>
      <c r="V988" s="13" t="str">
        <f aca="false">IF(M988=1,MONTH(C988),"")</f>
        <v/>
      </c>
    </row>
    <row r="989" customFormat="false" ht="15" hidden="false" customHeight="false" outlineLevel="0" collapsed="false">
      <c r="A989" s="13" t="str">
        <f aca="false">TRIM(Raw_Data!A989)</f>
        <v>EMP0988</v>
      </c>
      <c r="B989" s="14" t="n">
        <f aca="false">Raw_Data!B989</f>
        <v>43849</v>
      </c>
      <c r="C989" s="14" t="str">
        <f aca="false">IF(Raw_Data!C989="","",Raw_Data!C989)</f>
        <v/>
      </c>
      <c r="D989" s="13" t="n">
        <f aca="false">IF(Raw_Data!D989="","",Raw_Data!D989)</f>
        <v>38</v>
      </c>
      <c r="E989" s="13" t="str">
        <f aca="false">IF(UPPER(LEFT(TRIM(Raw_Data!E989),1))="M","Male",IF(UPPER(LEFT(TRIM(Raw_Data!E989),1))="F","Female","Unknown"))</f>
        <v>Female</v>
      </c>
      <c r="F989" s="13" t="str">
        <f aca="false">PROPER(TRIM(SUBSTITUTE(Raw_Data!F989,"'","")))</f>
        <v>Masters</v>
      </c>
      <c r="G989" s="13" t="str">
        <f aca="false">PROPER(TRIM(Raw_Data!G989))</f>
        <v>Engineering</v>
      </c>
      <c r="H989" s="13" t="str">
        <f aca="false">PROPER(TRIM(Raw_Data!H989))</f>
        <v>Manager</v>
      </c>
      <c r="I989" s="13" t="n">
        <f aca="false">IF(Raw_Data!I989="",DefaultPerf,Raw_Data!I989)</f>
        <v>3</v>
      </c>
      <c r="J989" s="13" t="n">
        <f aca="false">IF(Raw_Data!J989="",DefaultSat,Raw_Data!J989)</f>
        <v>3</v>
      </c>
      <c r="K989" s="15" t="n">
        <f aca="false">Raw_Data!K989</f>
        <v>233000</v>
      </c>
      <c r="L989" s="13" t="str">
        <f aca="false">PROPER(TRIM(Raw_Data!N989))</f>
        <v>No</v>
      </c>
      <c r="M989" s="13" t="n">
        <f aca="false">IF(C989="",0,1)</f>
        <v>0</v>
      </c>
      <c r="N989" s="13" t="str">
        <f aca="false">IF(M989=0,"Active",IF(TRIM(Raw_Data!L989)="","Unknown",PROPER(TRIM(Raw_Data!L989))))</f>
        <v>Active</v>
      </c>
      <c r="O989" s="13" t="str">
        <f aca="false">IF(M989=0,"",IF(TRIM(Raw_Data!M989)="","Not Recorded",TRIM(Raw_Data!M989)))</f>
        <v/>
      </c>
      <c r="P989" s="16" t="n">
        <f aca="false">ROUND((IF(C989="",AsOfDate,C989)-B989)/365.25,2)</f>
        <v>5.95</v>
      </c>
      <c r="Q989" s="13" t="str">
        <f aca="false">IF(D989="","Unknown",IF(D989&lt;25,"Under 25",IF(D989&lt;35,"25-34",IF(D989&lt;45,"35-44",IF(D989&lt;55,"45-54","55+")))))</f>
        <v>35-44</v>
      </c>
      <c r="R989" s="13" t="str">
        <f aca="false">IF(P989&lt;1,"0-1 yrs",IF(P989&lt;3,"1-3 yrs",IF(P989&lt;5,"3-5 yrs",IF(P989&lt;10,"5-10 yrs","10+ yrs"))))</f>
        <v>5-10 yrs</v>
      </c>
      <c r="S989" s="13" t="str">
        <f aca="false">IF(I989&gt;=4,"High",IF(I989=3,"Medium","Low"))</f>
        <v>Medium</v>
      </c>
      <c r="T989" s="13" t="str">
        <f aca="false">IF(M989=1,YEAR(C989),"")</f>
        <v/>
      </c>
      <c r="U989" s="13" t="str">
        <f aca="false">IF(M989=1,YEAR(C989)&amp;"-Q"&amp;ROUNDUP(MONTH(C989)/3,0),"")</f>
        <v/>
      </c>
      <c r="V989" s="13" t="str">
        <f aca="false">IF(M989=1,MONTH(C989),"")</f>
        <v/>
      </c>
    </row>
    <row r="990" customFormat="false" ht="15" hidden="false" customHeight="false" outlineLevel="0" collapsed="false">
      <c r="A990" s="13" t="str">
        <f aca="false">TRIM(Raw_Data!A990)</f>
        <v>EMP0989</v>
      </c>
      <c r="B990" s="14" t="n">
        <f aca="false">Raw_Data!B990</f>
        <v>43850</v>
      </c>
      <c r="C990" s="14" t="n">
        <f aca="false">IF(Raw_Data!C990="","",Raw_Data!C990)</f>
        <v>45242</v>
      </c>
      <c r="D990" s="13" t="n">
        <f aca="false">IF(Raw_Data!D990="","",Raw_Data!D990)</f>
        <v>35</v>
      </c>
      <c r="E990" s="13" t="str">
        <f aca="false">IF(UPPER(LEFT(TRIM(Raw_Data!E990),1))="M","Male",IF(UPPER(LEFT(TRIM(Raw_Data!E990),1))="F","Female","Unknown"))</f>
        <v>Male</v>
      </c>
      <c r="F990" s="13" t="str">
        <f aca="false">PROPER(TRIM(SUBSTITUTE(Raw_Data!F990,"'","")))</f>
        <v>Diploma</v>
      </c>
      <c r="G990" s="13" t="str">
        <f aca="false">PROPER(TRIM(Raw_Data!G990))</f>
        <v>Operations</v>
      </c>
      <c r="H990" s="13" t="str">
        <f aca="false">PROPER(TRIM(Raw_Data!H990))</f>
        <v>Analyst</v>
      </c>
      <c r="I990" s="13" t="n">
        <f aca="false">IF(Raw_Data!I990="",DefaultPerf,Raw_Data!I990)</f>
        <v>3</v>
      </c>
      <c r="J990" s="13" t="n">
        <f aca="false">IF(Raw_Data!J990="",DefaultSat,Raw_Data!J990)</f>
        <v>2</v>
      </c>
      <c r="K990" s="15" t="n">
        <f aca="false">Raw_Data!K990</f>
        <v>66500</v>
      </c>
      <c r="L990" s="13" t="str">
        <f aca="false">PROPER(TRIM(Raw_Data!N990))</f>
        <v>No</v>
      </c>
      <c r="M990" s="13" t="n">
        <f aca="false">IF(C990="",0,1)</f>
        <v>1</v>
      </c>
      <c r="N990" s="13" t="str">
        <f aca="false">IF(M990=0,"Active",IF(TRIM(Raw_Data!L990)="","Unknown",PROPER(TRIM(Raw_Data!L990))))</f>
        <v>Voluntary</v>
      </c>
      <c r="O990" s="13" t="str">
        <f aca="false">IF(M990=0,"",IF(TRIM(Raw_Data!M990)="","Not Recorded",TRIM(Raw_Data!M990)))</f>
        <v>Career Growth</v>
      </c>
      <c r="P990" s="16" t="n">
        <f aca="false">ROUND((IF(C990="",AsOfDate,C990)-B990)/365.25,2)</f>
        <v>3.81</v>
      </c>
      <c r="Q990" s="13" t="str">
        <f aca="false">IF(D990="","Unknown",IF(D990&lt;25,"Under 25",IF(D990&lt;35,"25-34",IF(D990&lt;45,"35-44",IF(D990&lt;55,"45-54","55+")))))</f>
        <v>35-44</v>
      </c>
      <c r="R990" s="13" t="str">
        <f aca="false">IF(P990&lt;1,"0-1 yrs",IF(P990&lt;3,"1-3 yrs",IF(P990&lt;5,"3-5 yrs",IF(P990&lt;10,"5-10 yrs","10+ yrs"))))</f>
        <v>3-5 yrs</v>
      </c>
      <c r="S990" s="13" t="str">
        <f aca="false">IF(I990&gt;=4,"High",IF(I990=3,"Medium","Low"))</f>
        <v>Medium</v>
      </c>
      <c r="T990" s="13" t="n">
        <f aca="false">IF(M990=1,YEAR(C990),"")</f>
        <v>2023</v>
      </c>
      <c r="U990" s="13" t="str">
        <f aca="false">IF(M990=1,YEAR(C990)&amp;"-Q"&amp;ROUNDUP(MONTH(C990)/3,0),"")</f>
        <v>2023-Q4</v>
      </c>
      <c r="V990" s="13" t="n">
        <f aca="false">IF(M990=1,MONTH(C990),"")</f>
        <v>11</v>
      </c>
    </row>
    <row r="991" customFormat="false" ht="15" hidden="false" customHeight="false" outlineLevel="0" collapsed="false">
      <c r="A991" s="13" t="str">
        <f aca="false">TRIM(Raw_Data!A991)</f>
        <v>EMP0990</v>
      </c>
      <c r="B991" s="14" t="n">
        <f aca="false">Raw_Data!B991</f>
        <v>43854</v>
      </c>
      <c r="C991" s="14" t="n">
        <f aca="false">IF(Raw_Data!C991="","",Raw_Data!C991)</f>
        <v>45582</v>
      </c>
      <c r="D991" s="13" t="n">
        <f aca="false">IF(Raw_Data!D991="","",Raw_Data!D991)</f>
        <v>26</v>
      </c>
      <c r="E991" s="13" t="str">
        <f aca="false">IF(UPPER(LEFT(TRIM(Raw_Data!E991),1))="M","Male",IF(UPPER(LEFT(TRIM(Raw_Data!E991),1))="F","Female","Unknown"))</f>
        <v>Female</v>
      </c>
      <c r="F991" s="13" t="str">
        <f aca="false">PROPER(TRIM(SUBSTITUTE(Raw_Data!F991,"'","")))</f>
        <v>High School</v>
      </c>
      <c r="G991" s="13" t="str">
        <f aca="false">PROPER(TRIM(Raw_Data!G991))</f>
        <v>Operations</v>
      </c>
      <c r="H991" s="13" t="str">
        <f aca="false">PROPER(TRIM(Raw_Data!H991))</f>
        <v>Associate</v>
      </c>
      <c r="I991" s="13" t="n">
        <f aca="false">IF(Raw_Data!I991="",DefaultPerf,Raw_Data!I991)</f>
        <v>4</v>
      </c>
      <c r="J991" s="13" t="n">
        <f aca="false">IF(Raw_Data!J991="",DefaultSat,Raw_Data!J991)</f>
        <v>2</v>
      </c>
      <c r="K991" s="15" t="n">
        <f aca="false">Raw_Data!K991</f>
        <v>44000</v>
      </c>
      <c r="L991" s="13" t="str">
        <f aca="false">PROPER(TRIM(Raw_Data!N991))</f>
        <v>No</v>
      </c>
      <c r="M991" s="13" t="n">
        <f aca="false">IF(C991="",0,1)</f>
        <v>1</v>
      </c>
      <c r="N991" s="13" t="str">
        <f aca="false">IF(M991=0,"Active",IF(TRIM(Raw_Data!L991)="","Unknown",PROPER(TRIM(Raw_Data!L991))))</f>
        <v>Voluntary</v>
      </c>
      <c r="O991" s="13" t="str">
        <f aca="false">IF(M991=0,"",IF(TRIM(Raw_Data!M991)="","Not Recorded",TRIM(Raw_Data!M991)))</f>
        <v>Career Growth</v>
      </c>
      <c r="P991" s="16" t="n">
        <f aca="false">ROUND((IF(C991="",AsOfDate,C991)-B991)/365.25,2)</f>
        <v>4.73</v>
      </c>
      <c r="Q991" s="13" t="str">
        <f aca="false">IF(D991="","Unknown",IF(D991&lt;25,"Under 25",IF(D991&lt;35,"25-34",IF(D991&lt;45,"35-44",IF(D991&lt;55,"45-54","55+")))))</f>
        <v>25-34</v>
      </c>
      <c r="R991" s="13" t="str">
        <f aca="false">IF(P991&lt;1,"0-1 yrs",IF(P991&lt;3,"1-3 yrs",IF(P991&lt;5,"3-5 yrs",IF(P991&lt;10,"5-10 yrs","10+ yrs"))))</f>
        <v>3-5 yrs</v>
      </c>
      <c r="S991" s="13" t="str">
        <f aca="false">IF(I991&gt;=4,"High",IF(I991=3,"Medium","Low"))</f>
        <v>High</v>
      </c>
      <c r="T991" s="13" t="n">
        <f aca="false">IF(M991=1,YEAR(C991),"")</f>
        <v>2024</v>
      </c>
      <c r="U991" s="13" t="str">
        <f aca="false">IF(M991=1,YEAR(C991)&amp;"-Q"&amp;ROUNDUP(MONTH(C991)/3,0),"")</f>
        <v>2024-Q4</v>
      </c>
      <c r="V991" s="13" t="n">
        <f aca="false">IF(M991=1,MONTH(C991),"")</f>
        <v>10</v>
      </c>
    </row>
    <row r="992" customFormat="false" ht="15" hidden="false" customHeight="false" outlineLevel="0" collapsed="false">
      <c r="A992" s="13" t="str">
        <f aca="false">TRIM(Raw_Data!A992)</f>
        <v>EMP0991</v>
      </c>
      <c r="B992" s="14" t="n">
        <f aca="false">Raw_Data!B992</f>
        <v>43855</v>
      </c>
      <c r="C992" s="14" t="str">
        <f aca="false">IF(Raw_Data!C992="","",Raw_Data!C992)</f>
        <v/>
      </c>
      <c r="D992" s="13" t="n">
        <f aca="false">IF(Raw_Data!D992="","",Raw_Data!D992)</f>
        <v>30</v>
      </c>
      <c r="E992" s="13" t="str">
        <f aca="false">IF(UPPER(LEFT(TRIM(Raw_Data!E992),1))="M","Male",IF(UPPER(LEFT(TRIM(Raw_Data!E992),1))="F","Female","Unknown"))</f>
        <v>Male</v>
      </c>
      <c r="F992" s="13" t="str">
        <f aca="false">PROPER(TRIM(SUBSTITUTE(Raw_Data!F992,"'","")))</f>
        <v>Diploma</v>
      </c>
      <c r="G992" s="13" t="str">
        <f aca="false">PROPER(TRIM(Raw_Data!G992))</f>
        <v>Engineering</v>
      </c>
      <c r="H992" s="13" t="str">
        <f aca="false">PROPER(TRIM(Raw_Data!H992))</f>
        <v>Team Lead</v>
      </c>
      <c r="I992" s="13" t="n">
        <f aca="false">IF(Raw_Data!I992="",DefaultPerf,Raw_Data!I992)</f>
        <v>4</v>
      </c>
      <c r="J992" s="13" t="n">
        <f aca="false">IF(Raw_Data!J992="",DefaultSat,Raw_Data!J992)</f>
        <v>2</v>
      </c>
      <c r="K992" s="15" t="n">
        <f aca="false">Raw_Data!K992</f>
        <v>123500</v>
      </c>
      <c r="L992" s="13" t="str">
        <f aca="false">PROPER(TRIM(Raw_Data!N992))</f>
        <v>No</v>
      </c>
      <c r="M992" s="13" t="n">
        <f aca="false">IF(C992="",0,1)</f>
        <v>0</v>
      </c>
      <c r="N992" s="13" t="str">
        <f aca="false">IF(M992=0,"Active",IF(TRIM(Raw_Data!L992)="","Unknown",PROPER(TRIM(Raw_Data!L992))))</f>
        <v>Active</v>
      </c>
      <c r="O992" s="13" t="str">
        <f aca="false">IF(M992=0,"",IF(TRIM(Raw_Data!M992)="","Not Recorded",TRIM(Raw_Data!M992)))</f>
        <v/>
      </c>
      <c r="P992" s="16" t="n">
        <f aca="false">ROUND((IF(C992="",AsOfDate,C992)-B992)/365.25,2)</f>
        <v>5.93</v>
      </c>
      <c r="Q992" s="13" t="str">
        <f aca="false">IF(D992="","Unknown",IF(D992&lt;25,"Under 25",IF(D992&lt;35,"25-34",IF(D992&lt;45,"35-44",IF(D992&lt;55,"45-54","55+")))))</f>
        <v>25-34</v>
      </c>
      <c r="R992" s="13" t="str">
        <f aca="false">IF(P992&lt;1,"0-1 yrs",IF(P992&lt;3,"1-3 yrs",IF(P992&lt;5,"3-5 yrs",IF(P992&lt;10,"5-10 yrs","10+ yrs"))))</f>
        <v>5-10 yrs</v>
      </c>
      <c r="S992" s="13" t="str">
        <f aca="false">IF(I992&gt;=4,"High",IF(I992=3,"Medium","Low"))</f>
        <v>High</v>
      </c>
      <c r="T992" s="13" t="str">
        <f aca="false">IF(M992=1,YEAR(C992),"")</f>
        <v/>
      </c>
      <c r="U992" s="13" t="str">
        <f aca="false">IF(M992=1,YEAR(C992)&amp;"-Q"&amp;ROUNDUP(MONTH(C992)/3,0),"")</f>
        <v/>
      </c>
      <c r="V992" s="13" t="str">
        <f aca="false">IF(M992=1,MONTH(C992),"")</f>
        <v/>
      </c>
    </row>
    <row r="993" customFormat="false" ht="15" hidden="false" customHeight="false" outlineLevel="0" collapsed="false">
      <c r="A993" s="13" t="str">
        <f aca="false">TRIM(Raw_Data!A993)</f>
        <v>EMP0992</v>
      </c>
      <c r="B993" s="14" t="n">
        <f aca="false">Raw_Data!B993</f>
        <v>43857</v>
      </c>
      <c r="C993" s="14" t="str">
        <f aca="false">IF(Raw_Data!C993="","",Raw_Data!C993)</f>
        <v/>
      </c>
      <c r="D993" s="13" t="n">
        <f aca="false">IF(Raw_Data!D993="","",Raw_Data!D993)</f>
        <v>38</v>
      </c>
      <c r="E993" s="13" t="str">
        <f aca="false">IF(UPPER(LEFT(TRIM(Raw_Data!E993),1))="M","Male",IF(UPPER(LEFT(TRIM(Raw_Data!E993),1))="F","Female","Unknown"))</f>
        <v>Female</v>
      </c>
      <c r="F993" s="13" t="str">
        <f aca="false">PROPER(TRIM(SUBSTITUTE(Raw_Data!F993,"'","")))</f>
        <v>Diploma</v>
      </c>
      <c r="G993" s="13" t="str">
        <f aca="false">PROPER(TRIM(Raw_Data!G993))</f>
        <v>Sales</v>
      </c>
      <c r="H993" s="13" t="str">
        <f aca="false">PROPER(TRIM(Raw_Data!H993))</f>
        <v>Senior Analyst</v>
      </c>
      <c r="I993" s="13" t="n">
        <f aca="false">IF(Raw_Data!I993="",DefaultPerf,Raw_Data!I993)</f>
        <v>3</v>
      </c>
      <c r="J993" s="13" t="n">
        <f aca="false">IF(Raw_Data!J993="",DefaultSat,Raw_Data!J993)</f>
        <v>3</v>
      </c>
      <c r="K993" s="15" t="n">
        <f aca="false">Raw_Data!K993</f>
        <v>88000</v>
      </c>
      <c r="L993" s="13" t="str">
        <f aca="false">PROPER(TRIM(Raw_Data!N993))</f>
        <v>Yes</v>
      </c>
      <c r="M993" s="13" t="n">
        <f aca="false">IF(C993="",0,1)</f>
        <v>0</v>
      </c>
      <c r="N993" s="13" t="str">
        <f aca="false">IF(M993=0,"Active",IF(TRIM(Raw_Data!L993)="","Unknown",PROPER(TRIM(Raw_Data!L993))))</f>
        <v>Active</v>
      </c>
      <c r="O993" s="13" t="str">
        <f aca="false">IF(M993=0,"",IF(TRIM(Raw_Data!M993)="","Not Recorded",TRIM(Raw_Data!M993)))</f>
        <v/>
      </c>
      <c r="P993" s="16" t="n">
        <f aca="false">ROUND((IF(C993="",AsOfDate,C993)-B993)/365.25,2)</f>
        <v>5.93</v>
      </c>
      <c r="Q993" s="13" t="str">
        <f aca="false">IF(D993="","Unknown",IF(D993&lt;25,"Under 25",IF(D993&lt;35,"25-34",IF(D993&lt;45,"35-44",IF(D993&lt;55,"45-54","55+")))))</f>
        <v>35-44</v>
      </c>
      <c r="R993" s="13" t="str">
        <f aca="false">IF(P993&lt;1,"0-1 yrs",IF(P993&lt;3,"1-3 yrs",IF(P993&lt;5,"3-5 yrs",IF(P993&lt;10,"5-10 yrs","10+ yrs"))))</f>
        <v>5-10 yrs</v>
      </c>
      <c r="S993" s="13" t="str">
        <f aca="false">IF(I993&gt;=4,"High",IF(I993=3,"Medium","Low"))</f>
        <v>Medium</v>
      </c>
      <c r="T993" s="13" t="str">
        <f aca="false">IF(M993=1,YEAR(C993),"")</f>
        <v/>
      </c>
      <c r="U993" s="13" t="str">
        <f aca="false">IF(M993=1,YEAR(C993)&amp;"-Q"&amp;ROUNDUP(MONTH(C993)/3,0),"")</f>
        <v/>
      </c>
      <c r="V993" s="13" t="str">
        <f aca="false">IF(M993=1,MONTH(C993),"")</f>
        <v/>
      </c>
    </row>
    <row r="994" customFormat="false" ht="15" hidden="false" customHeight="false" outlineLevel="0" collapsed="false">
      <c r="A994" s="13" t="str">
        <f aca="false">TRIM(Raw_Data!A994)</f>
        <v>EMP0993</v>
      </c>
      <c r="B994" s="14" t="n">
        <f aca="false">Raw_Data!B994</f>
        <v>43858</v>
      </c>
      <c r="C994" s="14" t="str">
        <f aca="false">IF(Raw_Data!C994="","",Raw_Data!C994)</f>
        <v/>
      </c>
      <c r="D994" s="13" t="n">
        <f aca="false">IF(Raw_Data!D994="","",Raw_Data!D994)</f>
        <v>36</v>
      </c>
      <c r="E994" s="13" t="str">
        <f aca="false">IF(UPPER(LEFT(TRIM(Raw_Data!E994),1))="M","Male",IF(UPPER(LEFT(TRIM(Raw_Data!E994),1))="F","Female","Unknown"))</f>
        <v>Female</v>
      </c>
      <c r="F994" s="13" t="str">
        <f aca="false">PROPER(TRIM(SUBSTITUTE(Raw_Data!F994,"'","")))</f>
        <v>Bachelors</v>
      </c>
      <c r="G994" s="13" t="str">
        <f aca="false">PROPER(TRIM(Raw_Data!G994))</f>
        <v>Operations</v>
      </c>
      <c r="H994" s="13" t="str">
        <f aca="false">PROPER(TRIM(Raw_Data!H994))</f>
        <v>Analyst</v>
      </c>
      <c r="I994" s="13" t="n">
        <f aca="false">IF(Raw_Data!I994="",DefaultPerf,Raw_Data!I994)</f>
        <v>5</v>
      </c>
      <c r="J994" s="13" t="n">
        <f aca="false">IF(Raw_Data!J994="",DefaultSat,Raw_Data!J994)</f>
        <v>3</v>
      </c>
      <c r="K994" s="15" t="n">
        <f aca="false">Raw_Data!K994</f>
        <v>60500</v>
      </c>
      <c r="L994" s="13" t="str">
        <f aca="false">PROPER(TRIM(Raw_Data!N994))</f>
        <v>No</v>
      </c>
      <c r="M994" s="13" t="n">
        <f aca="false">IF(C994="",0,1)</f>
        <v>0</v>
      </c>
      <c r="N994" s="13" t="str">
        <f aca="false">IF(M994=0,"Active",IF(TRIM(Raw_Data!L994)="","Unknown",PROPER(TRIM(Raw_Data!L994))))</f>
        <v>Active</v>
      </c>
      <c r="O994" s="13" t="str">
        <f aca="false">IF(M994=0,"",IF(TRIM(Raw_Data!M994)="","Not Recorded",TRIM(Raw_Data!M994)))</f>
        <v/>
      </c>
      <c r="P994" s="16" t="n">
        <f aca="false">ROUND((IF(C994="",AsOfDate,C994)-B994)/365.25,2)</f>
        <v>5.92</v>
      </c>
      <c r="Q994" s="13" t="str">
        <f aca="false">IF(D994="","Unknown",IF(D994&lt;25,"Under 25",IF(D994&lt;35,"25-34",IF(D994&lt;45,"35-44",IF(D994&lt;55,"45-54","55+")))))</f>
        <v>35-44</v>
      </c>
      <c r="R994" s="13" t="str">
        <f aca="false">IF(P994&lt;1,"0-1 yrs",IF(P994&lt;3,"1-3 yrs",IF(P994&lt;5,"3-5 yrs",IF(P994&lt;10,"5-10 yrs","10+ yrs"))))</f>
        <v>5-10 yrs</v>
      </c>
      <c r="S994" s="13" t="str">
        <f aca="false">IF(I994&gt;=4,"High",IF(I994=3,"Medium","Low"))</f>
        <v>High</v>
      </c>
      <c r="T994" s="13" t="str">
        <f aca="false">IF(M994=1,YEAR(C994),"")</f>
        <v/>
      </c>
      <c r="U994" s="13" t="str">
        <f aca="false">IF(M994=1,YEAR(C994)&amp;"-Q"&amp;ROUNDUP(MONTH(C994)/3,0),"")</f>
        <v/>
      </c>
      <c r="V994" s="13" t="str">
        <f aca="false">IF(M994=1,MONTH(C994),"")</f>
        <v/>
      </c>
    </row>
    <row r="995" customFormat="false" ht="15" hidden="false" customHeight="false" outlineLevel="0" collapsed="false">
      <c r="A995" s="13" t="str">
        <f aca="false">TRIM(Raw_Data!A995)</f>
        <v>EMP0994</v>
      </c>
      <c r="B995" s="14" t="n">
        <f aca="false">Raw_Data!B995</f>
        <v>43860</v>
      </c>
      <c r="C995" s="14" t="str">
        <f aca="false">IF(Raw_Data!C995="","",Raw_Data!C995)</f>
        <v/>
      </c>
      <c r="D995" s="13" t="n">
        <f aca="false">IF(Raw_Data!D995="","",Raw_Data!D995)</f>
        <v>33</v>
      </c>
      <c r="E995" s="13" t="str">
        <f aca="false">IF(UPPER(LEFT(TRIM(Raw_Data!E995),1))="M","Male",IF(UPPER(LEFT(TRIM(Raw_Data!E995),1))="F","Female","Unknown"))</f>
        <v>Male</v>
      </c>
      <c r="F995" s="13" t="str">
        <f aca="false">PROPER(TRIM(SUBSTITUTE(Raw_Data!F995,"'","")))</f>
        <v>Masters</v>
      </c>
      <c r="G995" s="13" t="str">
        <f aca="false">PROPER(TRIM(Raw_Data!G995))</f>
        <v>Customer Support</v>
      </c>
      <c r="H995" s="13" t="str">
        <f aca="false">PROPER(TRIM(Raw_Data!H995))</f>
        <v>Senior Analyst</v>
      </c>
      <c r="I995" s="13" t="n">
        <f aca="false">IF(Raw_Data!I995="",DefaultPerf,Raw_Data!I995)</f>
        <v>3</v>
      </c>
      <c r="J995" s="13" t="n">
        <f aca="false">IF(Raw_Data!J995="",DefaultSat,Raw_Data!J995)</f>
        <v>2</v>
      </c>
      <c r="K995" s="15" t="n">
        <f aca="false">Raw_Data!K995</f>
        <v>77500</v>
      </c>
      <c r="L995" s="13" t="str">
        <f aca="false">PROPER(TRIM(Raw_Data!N995))</f>
        <v>No</v>
      </c>
      <c r="M995" s="13" t="n">
        <f aca="false">IF(C995="",0,1)</f>
        <v>0</v>
      </c>
      <c r="N995" s="13" t="str">
        <f aca="false">IF(M995=0,"Active",IF(TRIM(Raw_Data!L995)="","Unknown",PROPER(TRIM(Raw_Data!L995))))</f>
        <v>Active</v>
      </c>
      <c r="O995" s="13" t="str">
        <f aca="false">IF(M995=0,"",IF(TRIM(Raw_Data!M995)="","Not Recorded",TRIM(Raw_Data!M995)))</f>
        <v/>
      </c>
      <c r="P995" s="16" t="n">
        <f aca="false">ROUND((IF(C995="",AsOfDate,C995)-B995)/365.25,2)</f>
        <v>5.92</v>
      </c>
      <c r="Q995" s="13" t="str">
        <f aca="false">IF(D995="","Unknown",IF(D995&lt;25,"Under 25",IF(D995&lt;35,"25-34",IF(D995&lt;45,"35-44",IF(D995&lt;55,"45-54","55+")))))</f>
        <v>25-34</v>
      </c>
      <c r="R995" s="13" t="str">
        <f aca="false">IF(P995&lt;1,"0-1 yrs",IF(P995&lt;3,"1-3 yrs",IF(P995&lt;5,"3-5 yrs",IF(P995&lt;10,"5-10 yrs","10+ yrs"))))</f>
        <v>5-10 yrs</v>
      </c>
      <c r="S995" s="13" t="str">
        <f aca="false">IF(I995&gt;=4,"High",IF(I995=3,"Medium","Low"))</f>
        <v>Medium</v>
      </c>
      <c r="T995" s="13" t="str">
        <f aca="false">IF(M995=1,YEAR(C995),"")</f>
        <v/>
      </c>
      <c r="U995" s="13" t="str">
        <f aca="false">IF(M995=1,YEAR(C995)&amp;"-Q"&amp;ROUNDUP(MONTH(C995)/3,0),"")</f>
        <v/>
      </c>
      <c r="V995" s="13" t="str">
        <f aca="false">IF(M995=1,MONTH(C995),"")</f>
        <v/>
      </c>
    </row>
    <row r="996" customFormat="false" ht="15" hidden="false" customHeight="false" outlineLevel="0" collapsed="false">
      <c r="A996" s="13" t="str">
        <f aca="false">TRIM(Raw_Data!A996)</f>
        <v>EMP0995</v>
      </c>
      <c r="B996" s="14" t="n">
        <f aca="false">Raw_Data!B996</f>
        <v>43867</v>
      </c>
      <c r="C996" s="14" t="str">
        <f aca="false">IF(Raw_Data!C996="","",Raw_Data!C996)</f>
        <v/>
      </c>
      <c r="D996" s="13" t="n">
        <f aca="false">IF(Raw_Data!D996="","",Raw_Data!D996)</f>
        <v>32</v>
      </c>
      <c r="E996" s="13" t="str">
        <f aca="false">IF(UPPER(LEFT(TRIM(Raw_Data!E996),1))="M","Male",IF(UPPER(LEFT(TRIM(Raw_Data!E996),1))="F","Female","Unknown"))</f>
        <v>Female</v>
      </c>
      <c r="F996" s="13" t="str">
        <f aca="false">PROPER(TRIM(SUBSTITUTE(Raw_Data!F996,"'","")))</f>
        <v>Bachelors</v>
      </c>
      <c r="G996" s="13" t="str">
        <f aca="false">PROPER(TRIM(Raw_Data!G996))</f>
        <v>Engineering</v>
      </c>
      <c r="H996" s="13" t="str">
        <f aca="false">PROPER(TRIM(Raw_Data!H996))</f>
        <v>Team Lead</v>
      </c>
      <c r="I996" s="13" t="n">
        <f aca="false">IF(Raw_Data!I996="",DefaultPerf,Raw_Data!I996)</f>
        <v>3</v>
      </c>
      <c r="J996" s="13" t="n">
        <f aca="false">IF(Raw_Data!J996="",DefaultSat,Raw_Data!J996)</f>
        <v>3</v>
      </c>
      <c r="K996" s="15" t="n">
        <f aca="false">Raw_Data!K996</f>
        <v>145500</v>
      </c>
      <c r="L996" s="13" t="str">
        <f aca="false">PROPER(TRIM(Raw_Data!N996))</f>
        <v>No</v>
      </c>
      <c r="M996" s="13" t="n">
        <f aca="false">IF(C996="",0,1)</f>
        <v>0</v>
      </c>
      <c r="N996" s="13" t="str">
        <f aca="false">IF(M996=0,"Active",IF(TRIM(Raw_Data!L996)="","Unknown",PROPER(TRIM(Raw_Data!L996))))</f>
        <v>Active</v>
      </c>
      <c r="O996" s="13" t="str">
        <f aca="false">IF(M996=0,"",IF(TRIM(Raw_Data!M996)="","Not Recorded",TRIM(Raw_Data!M996)))</f>
        <v/>
      </c>
      <c r="P996" s="16" t="n">
        <f aca="false">ROUND((IF(C996="",AsOfDate,C996)-B996)/365.25,2)</f>
        <v>5.9</v>
      </c>
      <c r="Q996" s="13" t="str">
        <f aca="false">IF(D996="","Unknown",IF(D996&lt;25,"Under 25",IF(D996&lt;35,"25-34",IF(D996&lt;45,"35-44",IF(D996&lt;55,"45-54","55+")))))</f>
        <v>25-34</v>
      </c>
      <c r="R996" s="13" t="str">
        <f aca="false">IF(P996&lt;1,"0-1 yrs",IF(P996&lt;3,"1-3 yrs",IF(P996&lt;5,"3-5 yrs",IF(P996&lt;10,"5-10 yrs","10+ yrs"))))</f>
        <v>5-10 yrs</v>
      </c>
      <c r="S996" s="13" t="str">
        <f aca="false">IF(I996&gt;=4,"High",IF(I996=3,"Medium","Low"))</f>
        <v>Medium</v>
      </c>
      <c r="T996" s="13" t="str">
        <f aca="false">IF(M996=1,YEAR(C996),"")</f>
        <v/>
      </c>
      <c r="U996" s="13" t="str">
        <f aca="false">IF(M996=1,YEAR(C996)&amp;"-Q"&amp;ROUNDUP(MONTH(C996)/3,0),"")</f>
        <v/>
      </c>
      <c r="V996" s="13" t="str">
        <f aca="false">IF(M996=1,MONTH(C996),"")</f>
        <v/>
      </c>
    </row>
    <row r="997" customFormat="false" ht="15" hidden="false" customHeight="false" outlineLevel="0" collapsed="false">
      <c r="A997" s="13" t="str">
        <f aca="false">TRIM(Raw_Data!A997)</f>
        <v>EMP0996</v>
      </c>
      <c r="B997" s="14" t="n">
        <f aca="false">Raw_Data!B997</f>
        <v>43870</v>
      </c>
      <c r="C997" s="14" t="n">
        <f aca="false">IF(Raw_Data!C997="","",Raw_Data!C997)</f>
        <v>44679</v>
      </c>
      <c r="D997" s="13" t="n">
        <f aca="false">IF(Raw_Data!D997="","",Raw_Data!D997)</f>
        <v>32</v>
      </c>
      <c r="E997" s="13" t="str">
        <f aca="false">IF(UPPER(LEFT(TRIM(Raw_Data!E997),1))="M","Male",IF(UPPER(LEFT(TRIM(Raw_Data!E997),1))="F","Female","Unknown"))</f>
        <v>Female</v>
      </c>
      <c r="F997" s="13" t="str">
        <f aca="false">PROPER(TRIM(SUBSTITUTE(Raw_Data!F997,"'","")))</f>
        <v>Diploma</v>
      </c>
      <c r="G997" s="13" t="str">
        <f aca="false">PROPER(TRIM(Raw_Data!G997))</f>
        <v>Sales</v>
      </c>
      <c r="H997" s="13" t="str">
        <f aca="false">PROPER(TRIM(Raw_Data!H997))</f>
        <v>Associate</v>
      </c>
      <c r="I997" s="13" t="n">
        <f aca="false">IF(Raw_Data!I997="",DefaultPerf,Raw_Data!I997)</f>
        <v>3</v>
      </c>
      <c r="J997" s="13" t="n">
        <f aca="false">IF(Raw_Data!J997="",DefaultSat,Raw_Data!J997)</f>
        <v>3</v>
      </c>
      <c r="K997" s="15" t="n">
        <f aca="false">Raw_Data!K997</f>
        <v>39000</v>
      </c>
      <c r="L997" s="13" t="str">
        <f aca="false">PROPER(TRIM(Raw_Data!N997))</f>
        <v>Yes</v>
      </c>
      <c r="M997" s="13" t="n">
        <f aca="false">IF(C997="",0,1)</f>
        <v>1</v>
      </c>
      <c r="N997" s="13" t="str">
        <f aca="false">IF(M997=0,"Active",IF(TRIM(Raw_Data!L997)="","Unknown",PROPER(TRIM(Raw_Data!L997))))</f>
        <v>Voluntary</v>
      </c>
      <c r="O997" s="13" t="str">
        <f aca="false">IF(M997=0,"",IF(TRIM(Raw_Data!M997)="","Not Recorded",TRIM(Raw_Data!M997)))</f>
        <v>Work-Life Balance</v>
      </c>
      <c r="P997" s="16" t="n">
        <f aca="false">ROUND((IF(C997="",AsOfDate,C997)-B997)/365.25,2)</f>
        <v>2.21</v>
      </c>
      <c r="Q997" s="13" t="str">
        <f aca="false">IF(D997="","Unknown",IF(D997&lt;25,"Under 25",IF(D997&lt;35,"25-34",IF(D997&lt;45,"35-44",IF(D997&lt;55,"45-54","55+")))))</f>
        <v>25-34</v>
      </c>
      <c r="R997" s="13" t="str">
        <f aca="false">IF(P997&lt;1,"0-1 yrs",IF(P997&lt;3,"1-3 yrs",IF(P997&lt;5,"3-5 yrs",IF(P997&lt;10,"5-10 yrs","10+ yrs"))))</f>
        <v>1-3 yrs</v>
      </c>
      <c r="S997" s="13" t="str">
        <f aca="false">IF(I997&gt;=4,"High",IF(I997=3,"Medium","Low"))</f>
        <v>Medium</v>
      </c>
      <c r="T997" s="13" t="n">
        <f aca="false">IF(M997=1,YEAR(C997),"")</f>
        <v>2022</v>
      </c>
      <c r="U997" s="13" t="str">
        <f aca="false">IF(M997=1,YEAR(C997)&amp;"-Q"&amp;ROUNDUP(MONTH(C997)/3,0),"")</f>
        <v>2022-Q2</v>
      </c>
      <c r="V997" s="13" t="n">
        <f aca="false">IF(M997=1,MONTH(C997),"")</f>
        <v>4</v>
      </c>
    </row>
    <row r="998" customFormat="false" ht="15" hidden="false" customHeight="false" outlineLevel="0" collapsed="false">
      <c r="A998" s="13" t="str">
        <f aca="false">TRIM(Raw_Data!A998)</f>
        <v>EMP0997</v>
      </c>
      <c r="B998" s="14" t="n">
        <f aca="false">Raw_Data!B998</f>
        <v>43872</v>
      </c>
      <c r="C998" s="14" t="str">
        <f aca="false">IF(Raw_Data!C998="","",Raw_Data!C998)</f>
        <v/>
      </c>
      <c r="D998" s="13" t="n">
        <f aca="false">IF(Raw_Data!D998="","",Raw_Data!D998)</f>
        <v>42</v>
      </c>
      <c r="E998" s="13" t="str">
        <f aca="false">IF(UPPER(LEFT(TRIM(Raw_Data!E998),1))="M","Male",IF(UPPER(LEFT(TRIM(Raw_Data!E998),1))="F","Female","Unknown"))</f>
        <v>Female</v>
      </c>
      <c r="F998" s="13" t="str">
        <f aca="false">PROPER(TRIM(SUBSTITUTE(Raw_Data!F998,"'","")))</f>
        <v>Diploma</v>
      </c>
      <c r="G998" s="13" t="str">
        <f aca="false">PROPER(TRIM(Raw_Data!G998))</f>
        <v>Engineering</v>
      </c>
      <c r="H998" s="13" t="str">
        <f aca="false">PROPER(TRIM(Raw_Data!H998))</f>
        <v>Associate</v>
      </c>
      <c r="I998" s="13" t="n">
        <f aca="false">IF(Raw_Data!I998="",DefaultPerf,Raw_Data!I998)</f>
        <v>3</v>
      </c>
      <c r="J998" s="13" t="n">
        <f aca="false">IF(Raw_Data!J998="",DefaultSat,Raw_Data!J998)</f>
        <v>2</v>
      </c>
      <c r="K998" s="15" t="n">
        <f aca="false">Raw_Data!K998</f>
        <v>42000</v>
      </c>
      <c r="L998" s="13" t="str">
        <f aca="false">PROPER(TRIM(Raw_Data!N998))</f>
        <v>No</v>
      </c>
      <c r="M998" s="13" t="n">
        <f aca="false">IF(C998="",0,1)</f>
        <v>0</v>
      </c>
      <c r="N998" s="13" t="str">
        <f aca="false">IF(M998=0,"Active",IF(TRIM(Raw_Data!L998)="","Unknown",PROPER(TRIM(Raw_Data!L998))))</f>
        <v>Active</v>
      </c>
      <c r="O998" s="13" t="str">
        <f aca="false">IF(M998=0,"",IF(TRIM(Raw_Data!M998)="","Not Recorded",TRIM(Raw_Data!M998)))</f>
        <v/>
      </c>
      <c r="P998" s="16" t="n">
        <f aca="false">ROUND((IF(C998="",AsOfDate,C998)-B998)/365.25,2)</f>
        <v>5.89</v>
      </c>
      <c r="Q998" s="13" t="str">
        <f aca="false">IF(D998="","Unknown",IF(D998&lt;25,"Under 25",IF(D998&lt;35,"25-34",IF(D998&lt;45,"35-44",IF(D998&lt;55,"45-54","55+")))))</f>
        <v>35-44</v>
      </c>
      <c r="R998" s="13" t="str">
        <f aca="false">IF(P998&lt;1,"0-1 yrs",IF(P998&lt;3,"1-3 yrs",IF(P998&lt;5,"3-5 yrs",IF(P998&lt;10,"5-10 yrs","10+ yrs"))))</f>
        <v>5-10 yrs</v>
      </c>
      <c r="S998" s="13" t="str">
        <f aca="false">IF(I998&gt;=4,"High",IF(I998=3,"Medium","Low"))</f>
        <v>Medium</v>
      </c>
      <c r="T998" s="13" t="str">
        <f aca="false">IF(M998=1,YEAR(C998),"")</f>
        <v/>
      </c>
      <c r="U998" s="13" t="str">
        <f aca="false">IF(M998=1,YEAR(C998)&amp;"-Q"&amp;ROUNDUP(MONTH(C998)/3,0),"")</f>
        <v/>
      </c>
      <c r="V998" s="13" t="str">
        <f aca="false">IF(M998=1,MONTH(C998),"")</f>
        <v/>
      </c>
    </row>
    <row r="999" customFormat="false" ht="15" hidden="false" customHeight="false" outlineLevel="0" collapsed="false">
      <c r="A999" s="13" t="str">
        <f aca="false">TRIM(Raw_Data!A999)</f>
        <v>EMP0998</v>
      </c>
      <c r="B999" s="14" t="n">
        <f aca="false">Raw_Data!B999</f>
        <v>43873</v>
      </c>
      <c r="C999" s="14" t="str">
        <f aca="false">IF(Raw_Data!C999="","",Raw_Data!C999)</f>
        <v/>
      </c>
      <c r="D999" s="13" t="n">
        <f aca="false">IF(Raw_Data!D999="","",Raw_Data!D999)</f>
        <v>39</v>
      </c>
      <c r="E999" s="13" t="str">
        <f aca="false">IF(UPPER(LEFT(TRIM(Raw_Data!E999),1))="M","Male",IF(UPPER(LEFT(TRIM(Raw_Data!E999),1))="F","Female","Unknown"))</f>
        <v>Male</v>
      </c>
      <c r="F999" s="13" t="str">
        <f aca="false">PROPER(TRIM(SUBSTITUTE(Raw_Data!F999,"'","")))</f>
        <v>Masters</v>
      </c>
      <c r="G999" s="13" t="str">
        <f aca="false">PROPER(TRIM(Raw_Data!G999))</f>
        <v>Sales</v>
      </c>
      <c r="H999" s="13" t="str">
        <f aca="false">PROPER(TRIM(Raw_Data!H999))</f>
        <v>Manager</v>
      </c>
      <c r="I999" s="13" t="n">
        <f aca="false">IF(Raw_Data!I999="",DefaultPerf,Raw_Data!I999)</f>
        <v>4</v>
      </c>
      <c r="J999" s="13" t="n">
        <f aca="false">IF(Raw_Data!J999="",DefaultSat,Raw_Data!J999)</f>
        <v>1</v>
      </c>
      <c r="K999" s="15" t="n">
        <f aca="false">Raw_Data!K999</f>
        <v>203000</v>
      </c>
      <c r="L999" s="13" t="str">
        <f aca="false">PROPER(TRIM(Raw_Data!N999))</f>
        <v>No</v>
      </c>
      <c r="M999" s="13" t="n">
        <f aca="false">IF(C999="",0,1)</f>
        <v>0</v>
      </c>
      <c r="N999" s="13" t="str">
        <f aca="false">IF(M999=0,"Active",IF(TRIM(Raw_Data!L999)="","Unknown",PROPER(TRIM(Raw_Data!L999))))</f>
        <v>Active</v>
      </c>
      <c r="O999" s="13" t="str">
        <f aca="false">IF(M999=0,"",IF(TRIM(Raw_Data!M999)="","Not Recorded",TRIM(Raw_Data!M999)))</f>
        <v/>
      </c>
      <c r="P999" s="16" t="n">
        <f aca="false">ROUND((IF(C999="",AsOfDate,C999)-B999)/365.25,2)</f>
        <v>5.88</v>
      </c>
      <c r="Q999" s="13" t="str">
        <f aca="false">IF(D999="","Unknown",IF(D999&lt;25,"Under 25",IF(D999&lt;35,"25-34",IF(D999&lt;45,"35-44",IF(D999&lt;55,"45-54","55+")))))</f>
        <v>35-44</v>
      </c>
      <c r="R999" s="13" t="str">
        <f aca="false">IF(P999&lt;1,"0-1 yrs",IF(P999&lt;3,"1-3 yrs",IF(P999&lt;5,"3-5 yrs",IF(P999&lt;10,"5-10 yrs","10+ yrs"))))</f>
        <v>5-10 yrs</v>
      </c>
      <c r="S999" s="13" t="str">
        <f aca="false">IF(I999&gt;=4,"High",IF(I999=3,"Medium","Low"))</f>
        <v>High</v>
      </c>
      <c r="T999" s="13" t="str">
        <f aca="false">IF(M999=1,YEAR(C999),"")</f>
        <v/>
      </c>
      <c r="U999" s="13" t="str">
        <f aca="false">IF(M999=1,YEAR(C999)&amp;"-Q"&amp;ROUNDUP(MONTH(C999)/3,0),"")</f>
        <v/>
      </c>
      <c r="V999" s="13" t="str">
        <f aca="false">IF(M999=1,MONTH(C999),"")</f>
        <v/>
      </c>
    </row>
    <row r="1000" customFormat="false" ht="15" hidden="false" customHeight="false" outlineLevel="0" collapsed="false">
      <c r="A1000" s="13" t="str">
        <f aca="false">TRIM(Raw_Data!A1000)</f>
        <v>EMP0999</v>
      </c>
      <c r="B1000" s="14" t="n">
        <f aca="false">Raw_Data!B1000</f>
        <v>43876</v>
      </c>
      <c r="C1000" s="14" t="str">
        <f aca="false">IF(Raw_Data!C1000="","",Raw_Data!C1000)</f>
        <v/>
      </c>
      <c r="D1000" s="13" t="n">
        <f aca="false">IF(Raw_Data!D1000="","",Raw_Data!D1000)</f>
        <v>40</v>
      </c>
      <c r="E1000" s="13" t="str">
        <f aca="false">IF(UPPER(LEFT(TRIM(Raw_Data!E1000),1))="M","Male",IF(UPPER(LEFT(TRIM(Raw_Data!E1000),1))="F","Female","Unknown"))</f>
        <v>Female</v>
      </c>
      <c r="F1000" s="13" t="str">
        <f aca="false">PROPER(TRIM(SUBSTITUTE(Raw_Data!F1000,"'","")))</f>
        <v>Bachelors</v>
      </c>
      <c r="G1000" s="13" t="str">
        <f aca="false">PROPER(TRIM(Raw_Data!G1000))</f>
        <v>Customer Support</v>
      </c>
      <c r="H1000" s="13" t="str">
        <f aca="false">PROPER(TRIM(Raw_Data!H1000))</f>
        <v>Analyst</v>
      </c>
      <c r="I1000" s="13" t="n">
        <f aca="false">IF(Raw_Data!I1000="",DefaultPerf,Raw_Data!I1000)</f>
        <v>3</v>
      </c>
      <c r="J1000" s="13" t="n">
        <f aca="false">IF(Raw_Data!J1000="",DefaultSat,Raw_Data!J1000)</f>
        <v>4</v>
      </c>
      <c r="K1000" s="15" t="n">
        <f aca="false">Raw_Data!K1000</f>
        <v>67500</v>
      </c>
      <c r="L1000" s="13" t="str">
        <f aca="false">PROPER(TRIM(Raw_Data!N1000))</f>
        <v>No</v>
      </c>
      <c r="M1000" s="13" t="n">
        <f aca="false">IF(C1000="",0,1)</f>
        <v>0</v>
      </c>
      <c r="N1000" s="13" t="str">
        <f aca="false">IF(M1000=0,"Active",IF(TRIM(Raw_Data!L1000)="","Unknown",PROPER(TRIM(Raw_Data!L1000))))</f>
        <v>Active</v>
      </c>
      <c r="O1000" s="13" t="str">
        <f aca="false">IF(M1000=0,"",IF(TRIM(Raw_Data!M1000)="","Not Recorded",TRIM(Raw_Data!M1000)))</f>
        <v/>
      </c>
      <c r="P1000" s="16" t="n">
        <f aca="false">ROUND((IF(C1000="",AsOfDate,C1000)-B1000)/365.25,2)</f>
        <v>5.88</v>
      </c>
      <c r="Q1000" s="13" t="str">
        <f aca="false">IF(D1000="","Unknown",IF(D1000&lt;25,"Under 25",IF(D1000&lt;35,"25-34",IF(D1000&lt;45,"35-44",IF(D1000&lt;55,"45-54","55+")))))</f>
        <v>35-44</v>
      </c>
      <c r="R1000" s="13" t="str">
        <f aca="false">IF(P1000&lt;1,"0-1 yrs",IF(P1000&lt;3,"1-3 yrs",IF(P1000&lt;5,"3-5 yrs",IF(P1000&lt;10,"5-10 yrs","10+ yrs"))))</f>
        <v>5-10 yrs</v>
      </c>
      <c r="S1000" s="13" t="str">
        <f aca="false">IF(I1000&gt;=4,"High",IF(I1000=3,"Medium","Low"))</f>
        <v>Medium</v>
      </c>
      <c r="T1000" s="13" t="str">
        <f aca="false">IF(M1000=1,YEAR(C1000),"")</f>
        <v/>
      </c>
      <c r="U1000" s="13" t="str">
        <f aca="false">IF(M1000=1,YEAR(C1000)&amp;"-Q"&amp;ROUNDUP(MONTH(C1000)/3,0),"")</f>
        <v/>
      </c>
      <c r="V1000" s="13" t="str">
        <f aca="false">IF(M1000=1,MONTH(C1000),"")</f>
        <v/>
      </c>
    </row>
    <row r="1001" customFormat="false" ht="15" hidden="false" customHeight="false" outlineLevel="0" collapsed="false">
      <c r="A1001" s="13" t="str">
        <f aca="false">TRIM(Raw_Data!A1001)</f>
        <v>EMP1000</v>
      </c>
      <c r="B1001" s="14" t="n">
        <f aca="false">Raw_Data!B1001</f>
        <v>43882</v>
      </c>
      <c r="C1001" s="14" t="n">
        <f aca="false">IF(Raw_Data!C1001="","",Raw_Data!C1001)</f>
        <v>45887</v>
      </c>
      <c r="D1001" s="13" t="n">
        <f aca="false">IF(Raw_Data!D1001="","",Raw_Data!D1001)</f>
        <v>44</v>
      </c>
      <c r="E1001" s="13" t="str">
        <f aca="false">IF(UPPER(LEFT(TRIM(Raw_Data!E1001),1))="M","Male",IF(UPPER(LEFT(TRIM(Raw_Data!E1001),1))="F","Female","Unknown"))</f>
        <v>Female</v>
      </c>
      <c r="F1001" s="13" t="str">
        <f aca="false">PROPER(TRIM(SUBSTITUTE(Raw_Data!F1001,"'","")))</f>
        <v>High School</v>
      </c>
      <c r="G1001" s="13" t="str">
        <f aca="false">PROPER(TRIM(Raw_Data!G1001))</f>
        <v>Engineering</v>
      </c>
      <c r="H1001" s="13" t="str">
        <f aca="false">PROPER(TRIM(Raw_Data!H1001))</f>
        <v>Associate</v>
      </c>
      <c r="I1001" s="13" t="n">
        <f aca="false">IF(Raw_Data!I1001="",DefaultPerf,Raw_Data!I1001)</f>
        <v>2</v>
      </c>
      <c r="J1001" s="13" t="n">
        <f aca="false">IF(Raw_Data!J1001="",DefaultSat,Raw_Data!J1001)</f>
        <v>2</v>
      </c>
      <c r="K1001" s="15" t="n">
        <f aca="false">Raw_Data!K1001</f>
        <v>44500</v>
      </c>
      <c r="L1001" s="13" t="str">
        <f aca="false">PROPER(TRIM(Raw_Data!N1001))</f>
        <v>No</v>
      </c>
      <c r="M1001" s="13" t="n">
        <f aca="false">IF(C1001="",0,1)</f>
        <v>1</v>
      </c>
      <c r="N1001" s="13" t="str">
        <f aca="false">IF(M1001=0,"Active",IF(TRIM(Raw_Data!L1001)="","Unknown",PROPER(TRIM(Raw_Data!L1001))))</f>
        <v>Involuntary</v>
      </c>
      <c r="O1001" s="13" t="str">
        <f aca="false">IF(M1001=0,"",IF(TRIM(Raw_Data!M1001)="","Not Recorded",TRIM(Raw_Data!M1001)))</f>
        <v>Poor Performance</v>
      </c>
      <c r="P1001" s="16" t="n">
        <f aca="false">ROUND((IF(C1001="",AsOfDate,C1001)-B1001)/365.25,2)</f>
        <v>5.49</v>
      </c>
      <c r="Q1001" s="13" t="str">
        <f aca="false">IF(D1001="","Unknown",IF(D1001&lt;25,"Under 25",IF(D1001&lt;35,"25-34",IF(D1001&lt;45,"35-44",IF(D1001&lt;55,"45-54","55+")))))</f>
        <v>35-44</v>
      </c>
      <c r="R1001" s="13" t="str">
        <f aca="false">IF(P1001&lt;1,"0-1 yrs",IF(P1001&lt;3,"1-3 yrs",IF(P1001&lt;5,"3-5 yrs",IF(P1001&lt;10,"5-10 yrs","10+ yrs"))))</f>
        <v>5-10 yrs</v>
      </c>
      <c r="S1001" s="13" t="str">
        <f aca="false">IF(I1001&gt;=4,"High",IF(I1001=3,"Medium","Low"))</f>
        <v>Low</v>
      </c>
      <c r="T1001" s="13" t="n">
        <f aca="false">IF(M1001=1,YEAR(C1001),"")</f>
        <v>2025</v>
      </c>
      <c r="U1001" s="13" t="str">
        <f aca="false">IF(M1001=1,YEAR(C1001)&amp;"-Q"&amp;ROUNDUP(MONTH(C1001)/3,0),"")</f>
        <v>2025-Q3</v>
      </c>
      <c r="V1001" s="13" t="n">
        <f aca="false">IF(M1001=1,MONTH(C1001),"")</f>
        <v>8</v>
      </c>
    </row>
    <row r="1002" customFormat="false" ht="15" hidden="false" customHeight="false" outlineLevel="0" collapsed="false">
      <c r="A1002" s="13" t="str">
        <f aca="false">TRIM(Raw_Data!A1002)</f>
        <v>EMP1001</v>
      </c>
      <c r="B1002" s="14" t="n">
        <f aca="false">Raw_Data!B1002</f>
        <v>43883</v>
      </c>
      <c r="C1002" s="14" t="str">
        <f aca="false">IF(Raw_Data!C1002="","",Raw_Data!C1002)</f>
        <v/>
      </c>
      <c r="D1002" s="13" t="n">
        <f aca="false">IF(Raw_Data!D1002="","",Raw_Data!D1002)</f>
        <v>30</v>
      </c>
      <c r="E1002" s="13" t="str">
        <f aca="false">IF(UPPER(LEFT(TRIM(Raw_Data!E1002),1))="M","Male",IF(UPPER(LEFT(TRIM(Raw_Data!E1002),1))="F","Female","Unknown"))</f>
        <v>Female</v>
      </c>
      <c r="F1002" s="13" t="str">
        <f aca="false">PROPER(TRIM(SUBSTITUTE(Raw_Data!F1002,"'","")))</f>
        <v>Masters</v>
      </c>
      <c r="G1002" s="13" t="str">
        <f aca="false">PROPER(TRIM(Raw_Data!G1002))</f>
        <v>Engineering</v>
      </c>
      <c r="H1002" s="13" t="str">
        <f aca="false">PROPER(TRIM(Raw_Data!H1002))</f>
        <v>Specialist</v>
      </c>
      <c r="I1002" s="13" t="n">
        <f aca="false">IF(Raw_Data!I1002="",DefaultPerf,Raw_Data!I1002)</f>
        <v>3</v>
      </c>
      <c r="J1002" s="13" t="n">
        <f aca="false">IF(Raw_Data!J1002="",DefaultSat,Raw_Data!J1002)</f>
        <v>3</v>
      </c>
      <c r="K1002" s="15" t="n">
        <f aca="false">Raw_Data!K1002</f>
        <v>106000</v>
      </c>
      <c r="L1002" s="13" t="str">
        <f aca="false">PROPER(TRIM(Raw_Data!N1002))</f>
        <v>No</v>
      </c>
      <c r="M1002" s="13" t="n">
        <f aca="false">IF(C1002="",0,1)</f>
        <v>0</v>
      </c>
      <c r="N1002" s="13" t="str">
        <f aca="false">IF(M1002=0,"Active",IF(TRIM(Raw_Data!L1002)="","Unknown",PROPER(TRIM(Raw_Data!L1002))))</f>
        <v>Active</v>
      </c>
      <c r="O1002" s="13" t="str">
        <f aca="false">IF(M1002=0,"",IF(TRIM(Raw_Data!M1002)="","Not Recorded",TRIM(Raw_Data!M1002)))</f>
        <v/>
      </c>
      <c r="P1002" s="16" t="n">
        <f aca="false">ROUND((IF(C1002="",AsOfDate,C1002)-B1002)/365.25,2)</f>
        <v>5.86</v>
      </c>
      <c r="Q1002" s="13" t="str">
        <f aca="false">IF(D1002="","Unknown",IF(D1002&lt;25,"Under 25",IF(D1002&lt;35,"25-34",IF(D1002&lt;45,"35-44",IF(D1002&lt;55,"45-54","55+")))))</f>
        <v>25-34</v>
      </c>
      <c r="R1002" s="13" t="str">
        <f aca="false">IF(P1002&lt;1,"0-1 yrs",IF(P1002&lt;3,"1-3 yrs",IF(P1002&lt;5,"3-5 yrs",IF(P1002&lt;10,"5-10 yrs","10+ yrs"))))</f>
        <v>5-10 yrs</v>
      </c>
      <c r="S1002" s="13" t="str">
        <f aca="false">IF(I1002&gt;=4,"High",IF(I1002=3,"Medium","Low"))</f>
        <v>Medium</v>
      </c>
      <c r="T1002" s="13" t="str">
        <f aca="false">IF(M1002=1,YEAR(C1002),"")</f>
        <v/>
      </c>
      <c r="U1002" s="13" t="str">
        <f aca="false">IF(M1002=1,YEAR(C1002)&amp;"-Q"&amp;ROUNDUP(MONTH(C1002)/3,0),"")</f>
        <v/>
      </c>
      <c r="V1002" s="13" t="str">
        <f aca="false">IF(M1002=1,MONTH(C1002),"")</f>
        <v/>
      </c>
    </row>
    <row r="1003" customFormat="false" ht="15" hidden="false" customHeight="false" outlineLevel="0" collapsed="false">
      <c r="A1003" s="13" t="str">
        <f aca="false">TRIM(Raw_Data!A1003)</f>
        <v>EMP1002</v>
      </c>
      <c r="B1003" s="14" t="n">
        <f aca="false">Raw_Data!B1003</f>
        <v>43892</v>
      </c>
      <c r="C1003" s="14" t="str">
        <f aca="false">IF(Raw_Data!C1003="","",Raw_Data!C1003)</f>
        <v/>
      </c>
      <c r="D1003" s="13" t="n">
        <f aca="false">IF(Raw_Data!D1003="","",Raw_Data!D1003)</f>
        <v>29</v>
      </c>
      <c r="E1003" s="13" t="str">
        <f aca="false">IF(UPPER(LEFT(TRIM(Raw_Data!E1003),1))="M","Male",IF(UPPER(LEFT(TRIM(Raw_Data!E1003),1))="F","Female","Unknown"))</f>
        <v>Male</v>
      </c>
      <c r="F1003" s="13" t="str">
        <f aca="false">PROPER(TRIM(SUBSTITUTE(Raw_Data!F1003,"'","")))</f>
        <v>Masters</v>
      </c>
      <c r="G1003" s="13" t="str">
        <f aca="false">PROPER(TRIM(Raw_Data!G1003))</f>
        <v>Sales</v>
      </c>
      <c r="H1003" s="13" t="str">
        <f aca="false">PROPER(TRIM(Raw_Data!H1003))</f>
        <v>Senior Analyst</v>
      </c>
      <c r="I1003" s="13" t="n">
        <f aca="false">IF(Raw_Data!I1003="",DefaultPerf,Raw_Data!I1003)</f>
        <v>4</v>
      </c>
      <c r="J1003" s="13" t="n">
        <f aca="false">IF(Raw_Data!J1003="",DefaultSat,Raw_Data!J1003)</f>
        <v>1</v>
      </c>
      <c r="K1003" s="15" t="n">
        <f aca="false">Raw_Data!K1003</f>
        <v>92000</v>
      </c>
      <c r="L1003" s="13" t="str">
        <f aca="false">PROPER(TRIM(Raw_Data!N1003))</f>
        <v>No</v>
      </c>
      <c r="M1003" s="13" t="n">
        <f aca="false">IF(C1003="",0,1)</f>
        <v>0</v>
      </c>
      <c r="N1003" s="13" t="str">
        <f aca="false">IF(M1003=0,"Active",IF(TRIM(Raw_Data!L1003)="","Unknown",PROPER(TRIM(Raw_Data!L1003))))</f>
        <v>Active</v>
      </c>
      <c r="O1003" s="13" t="str">
        <f aca="false">IF(M1003=0,"",IF(TRIM(Raw_Data!M1003)="","Not Recorded",TRIM(Raw_Data!M1003)))</f>
        <v/>
      </c>
      <c r="P1003" s="16" t="n">
        <f aca="false">ROUND((IF(C1003="",AsOfDate,C1003)-B1003)/365.25,2)</f>
        <v>5.83</v>
      </c>
      <c r="Q1003" s="13" t="str">
        <f aca="false">IF(D1003="","Unknown",IF(D1003&lt;25,"Under 25",IF(D1003&lt;35,"25-34",IF(D1003&lt;45,"35-44",IF(D1003&lt;55,"45-54","55+")))))</f>
        <v>25-34</v>
      </c>
      <c r="R1003" s="13" t="str">
        <f aca="false">IF(P1003&lt;1,"0-1 yrs",IF(P1003&lt;3,"1-3 yrs",IF(P1003&lt;5,"3-5 yrs",IF(P1003&lt;10,"5-10 yrs","10+ yrs"))))</f>
        <v>5-10 yrs</v>
      </c>
      <c r="S1003" s="13" t="str">
        <f aca="false">IF(I1003&gt;=4,"High",IF(I1003=3,"Medium","Low"))</f>
        <v>High</v>
      </c>
      <c r="T1003" s="13" t="str">
        <f aca="false">IF(M1003=1,YEAR(C1003),"")</f>
        <v/>
      </c>
      <c r="U1003" s="13" t="str">
        <f aca="false">IF(M1003=1,YEAR(C1003)&amp;"-Q"&amp;ROUNDUP(MONTH(C1003)/3,0),"")</f>
        <v/>
      </c>
      <c r="V1003" s="13" t="str">
        <f aca="false">IF(M1003=1,MONTH(C1003),"")</f>
        <v/>
      </c>
    </row>
    <row r="1004" customFormat="false" ht="15" hidden="false" customHeight="false" outlineLevel="0" collapsed="false">
      <c r="A1004" s="13" t="str">
        <f aca="false">TRIM(Raw_Data!A1004)</f>
        <v>EMP1003</v>
      </c>
      <c r="B1004" s="14" t="n">
        <f aca="false">Raw_Data!B1004</f>
        <v>43895</v>
      </c>
      <c r="C1004" s="14" t="str">
        <f aca="false">IF(Raw_Data!C1004="","",Raw_Data!C1004)</f>
        <v/>
      </c>
      <c r="D1004" s="13" t="n">
        <f aca="false">IF(Raw_Data!D1004="","",Raw_Data!D1004)</f>
        <v>33</v>
      </c>
      <c r="E1004" s="13" t="str">
        <f aca="false">IF(UPPER(LEFT(TRIM(Raw_Data!E1004),1))="M","Male",IF(UPPER(LEFT(TRIM(Raw_Data!E1004),1))="F","Female","Unknown"))</f>
        <v>Female</v>
      </c>
      <c r="F1004" s="13" t="str">
        <f aca="false">PROPER(TRIM(SUBSTITUTE(Raw_Data!F1004,"'","")))</f>
        <v>Doctorate</v>
      </c>
      <c r="G1004" s="13" t="str">
        <f aca="false">PROPER(TRIM(Raw_Data!G1004))</f>
        <v>Finance</v>
      </c>
      <c r="H1004" s="13" t="str">
        <f aca="false">PROPER(TRIM(Raw_Data!H1004))</f>
        <v>Associate</v>
      </c>
      <c r="I1004" s="13" t="n">
        <f aca="false">IF(Raw_Data!I1004="",DefaultPerf,Raw_Data!I1004)</f>
        <v>4</v>
      </c>
      <c r="J1004" s="13" t="n">
        <f aca="false">IF(Raw_Data!J1004="",DefaultSat,Raw_Data!J1004)</f>
        <v>2</v>
      </c>
      <c r="K1004" s="15" t="n">
        <f aca="false">Raw_Data!K1004</f>
        <v>36500</v>
      </c>
      <c r="L1004" s="13" t="str">
        <f aca="false">PROPER(TRIM(Raw_Data!N1004))</f>
        <v>No</v>
      </c>
      <c r="M1004" s="13" t="n">
        <f aca="false">IF(C1004="",0,1)</f>
        <v>0</v>
      </c>
      <c r="N1004" s="13" t="str">
        <f aca="false">IF(M1004=0,"Active",IF(TRIM(Raw_Data!L1004)="","Unknown",PROPER(TRIM(Raw_Data!L1004))))</f>
        <v>Active</v>
      </c>
      <c r="O1004" s="13" t="str">
        <f aca="false">IF(M1004=0,"",IF(TRIM(Raw_Data!M1004)="","Not Recorded",TRIM(Raw_Data!M1004)))</f>
        <v/>
      </c>
      <c r="P1004" s="16" t="n">
        <f aca="false">ROUND((IF(C1004="",AsOfDate,C1004)-B1004)/365.25,2)</f>
        <v>5.82</v>
      </c>
      <c r="Q1004" s="13" t="str">
        <f aca="false">IF(D1004="","Unknown",IF(D1004&lt;25,"Under 25",IF(D1004&lt;35,"25-34",IF(D1004&lt;45,"35-44",IF(D1004&lt;55,"45-54","55+")))))</f>
        <v>25-34</v>
      </c>
      <c r="R1004" s="13" t="str">
        <f aca="false">IF(P1004&lt;1,"0-1 yrs",IF(P1004&lt;3,"1-3 yrs",IF(P1004&lt;5,"3-5 yrs",IF(P1004&lt;10,"5-10 yrs","10+ yrs"))))</f>
        <v>5-10 yrs</v>
      </c>
      <c r="S1004" s="13" t="str">
        <f aca="false">IF(I1004&gt;=4,"High",IF(I1004=3,"Medium","Low"))</f>
        <v>High</v>
      </c>
      <c r="T1004" s="13" t="str">
        <f aca="false">IF(M1004=1,YEAR(C1004),"")</f>
        <v/>
      </c>
      <c r="U1004" s="13" t="str">
        <f aca="false">IF(M1004=1,YEAR(C1004)&amp;"-Q"&amp;ROUNDUP(MONTH(C1004)/3,0),"")</f>
        <v/>
      </c>
      <c r="V1004" s="13" t="str">
        <f aca="false">IF(M1004=1,MONTH(C1004),"")</f>
        <v/>
      </c>
    </row>
    <row r="1005" customFormat="false" ht="15" hidden="false" customHeight="false" outlineLevel="0" collapsed="false">
      <c r="A1005" s="13" t="str">
        <f aca="false">TRIM(Raw_Data!A1005)</f>
        <v>EMP1004</v>
      </c>
      <c r="B1005" s="14" t="n">
        <f aca="false">Raw_Data!B1005</f>
        <v>43900</v>
      </c>
      <c r="C1005" s="14" t="n">
        <f aca="false">IF(Raw_Data!C1005="","",Raw_Data!C1005)</f>
        <v>45438</v>
      </c>
      <c r="D1005" s="13" t="n">
        <f aca="false">IF(Raw_Data!D1005="","",Raw_Data!D1005)</f>
        <v>36</v>
      </c>
      <c r="E1005" s="13" t="str">
        <f aca="false">IF(UPPER(LEFT(TRIM(Raw_Data!E1005),1))="M","Male",IF(UPPER(LEFT(TRIM(Raw_Data!E1005),1))="F","Female","Unknown"))</f>
        <v>Male</v>
      </c>
      <c r="F1005" s="13" t="str">
        <f aca="false">PROPER(TRIM(SUBSTITUTE(Raw_Data!F1005,"'","")))</f>
        <v>Masters</v>
      </c>
      <c r="G1005" s="13" t="str">
        <f aca="false">PROPER(TRIM(Raw_Data!G1005))</f>
        <v>Operations</v>
      </c>
      <c r="H1005" s="13" t="str">
        <f aca="false">PROPER(TRIM(Raw_Data!H1005))</f>
        <v>Analyst</v>
      </c>
      <c r="I1005" s="13" t="n">
        <f aca="false">IF(Raw_Data!I1005="",DefaultPerf,Raw_Data!I1005)</f>
        <v>3</v>
      </c>
      <c r="J1005" s="13" t="n">
        <f aca="false">IF(Raw_Data!J1005="",DefaultSat,Raw_Data!J1005)</f>
        <v>3</v>
      </c>
      <c r="K1005" s="15" t="n">
        <f aca="false">Raw_Data!K1005</f>
        <v>65500</v>
      </c>
      <c r="L1005" s="13" t="str">
        <f aca="false">PROPER(TRIM(Raw_Data!N1005))</f>
        <v>No</v>
      </c>
      <c r="M1005" s="13" t="n">
        <f aca="false">IF(C1005="",0,1)</f>
        <v>1</v>
      </c>
      <c r="N1005" s="13" t="str">
        <f aca="false">IF(M1005=0,"Active",IF(TRIM(Raw_Data!L1005)="","Unknown",PROPER(TRIM(Raw_Data!L1005))))</f>
        <v>Voluntary</v>
      </c>
      <c r="O1005" s="13" t="str">
        <f aca="false">IF(M1005=0,"",IF(TRIM(Raw_Data!M1005)="","Not Recorded",TRIM(Raw_Data!M1005)))</f>
        <v>Better Compensation</v>
      </c>
      <c r="P1005" s="16" t="n">
        <f aca="false">ROUND((IF(C1005="",AsOfDate,C1005)-B1005)/365.25,2)</f>
        <v>4.21</v>
      </c>
      <c r="Q1005" s="13" t="str">
        <f aca="false">IF(D1005="","Unknown",IF(D1005&lt;25,"Under 25",IF(D1005&lt;35,"25-34",IF(D1005&lt;45,"35-44",IF(D1005&lt;55,"45-54","55+")))))</f>
        <v>35-44</v>
      </c>
      <c r="R1005" s="13" t="str">
        <f aca="false">IF(P1005&lt;1,"0-1 yrs",IF(P1005&lt;3,"1-3 yrs",IF(P1005&lt;5,"3-5 yrs",IF(P1005&lt;10,"5-10 yrs","10+ yrs"))))</f>
        <v>3-5 yrs</v>
      </c>
      <c r="S1005" s="13" t="str">
        <f aca="false">IF(I1005&gt;=4,"High",IF(I1005=3,"Medium","Low"))</f>
        <v>Medium</v>
      </c>
      <c r="T1005" s="13" t="n">
        <f aca="false">IF(M1005=1,YEAR(C1005),"")</f>
        <v>2024</v>
      </c>
      <c r="U1005" s="13" t="str">
        <f aca="false">IF(M1005=1,YEAR(C1005)&amp;"-Q"&amp;ROUNDUP(MONTH(C1005)/3,0),"")</f>
        <v>2024-Q2</v>
      </c>
      <c r="V1005" s="13" t="n">
        <f aca="false">IF(M1005=1,MONTH(C1005),"")</f>
        <v>5</v>
      </c>
    </row>
    <row r="1006" customFormat="false" ht="15" hidden="false" customHeight="false" outlineLevel="0" collapsed="false">
      <c r="A1006" s="13" t="str">
        <f aca="false">TRIM(Raw_Data!A1006)</f>
        <v>EMP1005</v>
      </c>
      <c r="B1006" s="14" t="n">
        <f aca="false">Raw_Data!B1006</f>
        <v>43900</v>
      </c>
      <c r="C1006" s="14" t="str">
        <f aca="false">IF(Raw_Data!C1006="","",Raw_Data!C1006)</f>
        <v/>
      </c>
      <c r="D1006" s="13" t="n">
        <f aca="false">IF(Raw_Data!D1006="","",Raw_Data!D1006)</f>
        <v>28</v>
      </c>
      <c r="E1006" s="13" t="str">
        <f aca="false">IF(UPPER(LEFT(TRIM(Raw_Data!E1006),1))="M","Male",IF(UPPER(LEFT(TRIM(Raw_Data!E1006),1))="F","Female","Unknown"))</f>
        <v>Male</v>
      </c>
      <c r="F1006" s="13" t="str">
        <f aca="false">PROPER(TRIM(SUBSTITUTE(Raw_Data!F1006,"'","")))</f>
        <v>High School</v>
      </c>
      <c r="G1006" s="13" t="str">
        <f aca="false">PROPER(TRIM(Raw_Data!G1006))</f>
        <v>Sales</v>
      </c>
      <c r="H1006" s="13" t="str">
        <f aca="false">PROPER(TRIM(Raw_Data!H1006))</f>
        <v>Senior Analyst</v>
      </c>
      <c r="I1006" s="13" t="n">
        <f aca="false">IF(Raw_Data!I1006="",DefaultPerf,Raw_Data!I1006)</f>
        <v>2</v>
      </c>
      <c r="J1006" s="13" t="n">
        <f aca="false">IF(Raw_Data!J1006="",DefaultSat,Raw_Data!J1006)</f>
        <v>3</v>
      </c>
      <c r="K1006" s="15" t="n">
        <f aca="false">Raw_Data!K1006</f>
        <v>93500</v>
      </c>
      <c r="L1006" s="13" t="str">
        <f aca="false">PROPER(TRIM(Raw_Data!N1006))</f>
        <v>Yes</v>
      </c>
      <c r="M1006" s="13" t="n">
        <f aca="false">IF(C1006="",0,1)</f>
        <v>0</v>
      </c>
      <c r="N1006" s="13" t="str">
        <f aca="false">IF(M1006=0,"Active",IF(TRIM(Raw_Data!L1006)="","Unknown",PROPER(TRIM(Raw_Data!L1006))))</f>
        <v>Active</v>
      </c>
      <c r="O1006" s="13" t="str">
        <f aca="false">IF(M1006=0,"",IF(TRIM(Raw_Data!M1006)="","Not Recorded",TRIM(Raw_Data!M1006)))</f>
        <v/>
      </c>
      <c r="P1006" s="16" t="n">
        <f aca="false">ROUND((IF(C1006="",AsOfDate,C1006)-B1006)/365.25,2)</f>
        <v>5.81</v>
      </c>
      <c r="Q1006" s="13" t="str">
        <f aca="false">IF(D1006="","Unknown",IF(D1006&lt;25,"Under 25",IF(D1006&lt;35,"25-34",IF(D1006&lt;45,"35-44",IF(D1006&lt;55,"45-54","55+")))))</f>
        <v>25-34</v>
      </c>
      <c r="R1006" s="13" t="str">
        <f aca="false">IF(P1006&lt;1,"0-1 yrs",IF(P1006&lt;3,"1-3 yrs",IF(P1006&lt;5,"3-5 yrs",IF(P1006&lt;10,"5-10 yrs","10+ yrs"))))</f>
        <v>5-10 yrs</v>
      </c>
      <c r="S1006" s="13" t="str">
        <f aca="false">IF(I1006&gt;=4,"High",IF(I1006=3,"Medium","Low"))</f>
        <v>Low</v>
      </c>
      <c r="T1006" s="13" t="str">
        <f aca="false">IF(M1006=1,YEAR(C1006),"")</f>
        <v/>
      </c>
      <c r="U1006" s="13" t="str">
        <f aca="false">IF(M1006=1,YEAR(C1006)&amp;"-Q"&amp;ROUNDUP(MONTH(C1006)/3,0),"")</f>
        <v/>
      </c>
      <c r="V1006" s="13" t="str">
        <f aca="false">IF(M1006=1,MONTH(C1006),"")</f>
        <v/>
      </c>
    </row>
    <row r="1007" customFormat="false" ht="15" hidden="false" customHeight="false" outlineLevel="0" collapsed="false">
      <c r="A1007" s="13" t="str">
        <f aca="false">TRIM(Raw_Data!A1007)</f>
        <v>EMP1006</v>
      </c>
      <c r="B1007" s="14" t="n">
        <f aca="false">Raw_Data!B1007</f>
        <v>43909</v>
      </c>
      <c r="C1007" s="14" t="n">
        <f aca="false">IF(Raw_Data!C1007="","",Raw_Data!C1007)</f>
        <v>44841</v>
      </c>
      <c r="D1007" s="13" t="n">
        <f aca="false">IF(Raw_Data!D1007="","",Raw_Data!D1007)</f>
        <v>30</v>
      </c>
      <c r="E1007" s="13" t="str">
        <f aca="false">IF(UPPER(LEFT(TRIM(Raw_Data!E1007),1))="M","Male",IF(UPPER(LEFT(TRIM(Raw_Data!E1007),1))="F","Female","Unknown"))</f>
        <v>Male</v>
      </c>
      <c r="F1007" s="13" t="str">
        <f aca="false">PROPER(TRIM(SUBSTITUTE(Raw_Data!F1007,"'","")))</f>
        <v>Masters</v>
      </c>
      <c r="G1007" s="13" t="str">
        <f aca="false">PROPER(TRIM(Raw_Data!G1007))</f>
        <v>Customer Support</v>
      </c>
      <c r="H1007" s="13" t="str">
        <f aca="false">PROPER(TRIM(Raw_Data!H1007))</f>
        <v>Team Lead</v>
      </c>
      <c r="I1007" s="13" t="n">
        <f aca="false">IF(Raw_Data!I1007="",DefaultPerf,Raw_Data!I1007)</f>
        <v>3</v>
      </c>
      <c r="J1007" s="13" t="n">
        <f aca="false">IF(Raw_Data!J1007="",DefaultSat,Raw_Data!J1007)</f>
        <v>2</v>
      </c>
      <c r="K1007" s="15" t="n">
        <f aca="false">Raw_Data!K1007</f>
        <v>121500</v>
      </c>
      <c r="L1007" s="13" t="str">
        <f aca="false">PROPER(TRIM(Raw_Data!N1007))</f>
        <v>No</v>
      </c>
      <c r="M1007" s="13" t="n">
        <f aca="false">IF(C1007="",0,1)</f>
        <v>1</v>
      </c>
      <c r="N1007" s="13" t="str">
        <f aca="false">IF(M1007=0,"Active",IF(TRIM(Raw_Data!L1007)="","Unknown",PROPER(TRIM(Raw_Data!L1007))))</f>
        <v>Voluntary</v>
      </c>
      <c r="O1007" s="13" t="str">
        <f aca="false">IF(M1007=0,"",IF(TRIM(Raw_Data!M1007)="","Not Recorded",TRIM(Raw_Data!M1007)))</f>
        <v>Not Recorded</v>
      </c>
      <c r="P1007" s="16" t="n">
        <f aca="false">ROUND((IF(C1007="",AsOfDate,C1007)-B1007)/365.25,2)</f>
        <v>2.55</v>
      </c>
      <c r="Q1007" s="13" t="str">
        <f aca="false">IF(D1007="","Unknown",IF(D1007&lt;25,"Under 25",IF(D1007&lt;35,"25-34",IF(D1007&lt;45,"35-44",IF(D1007&lt;55,"45-54","55+")))))</f>
        <v>25-34</v>
      </c>
      <c r="R1007" s="13" t="str">
        <f aca="false">IF(P1007&lt;1,"0-1 yrs",IF(P1007&lt;3,"1-3 yrs",IF(P1007&lt;5,"3-5 yrs",IF(P1007&lt;10,"5-10 yrs","10+ yrs"))))</f>
        <v>1-3 yrs</v>
      </c>
      <c r="S1007" s="13" t="str">
        <f aca="false">IF(I1007&gt;=4,"High",IF(I1007=3,"Medium","Low"))</f>
        <v>Medium</v>
      </c>
      <c r="T1007" s="13" t="n">
        <f aca="false">IF(M1007=1,YEAR(C1007),"")</f>
        <v>2022</v>
      </c>
      <c r="U1007" s="13" t="str">
        <f aca="false">IF(M1007=1,YEAR(C1007)&amp;"-Q"&amp;ROUNDUP(MONTH(C1007)/3,0),"")</f>
        <v>2022-Q4</v>
      </c>
      <c r="V1007" s="13" t="n">
        <f aca="false">IF(M1007=1,MONTH(C1007),"")</f>
        <v>10</v>
      </c>
    </row>
    <row r="1008" customFormat="false" ht="15" hidden="false" customHeight="false" outlineLevel="0" collapsed="false">
      <c r="A1008" s="13" t="str">
        <f aca="false">TRIM(Raw_Data!A1008)</f>
        <v>EMP1007</v>
      </c>
      <c r="B1008" s="14" t="n">
        <f aca="false">Raw_Data!B1008</f>
        <v>43919</v>
      </c>
      <c r="C1008" s="14" t="n">
        <f aca="false">IF(Raw_Data!C1008="","",Raw_Data!C1008)</f>
        <v>44699</v>
      </c>
      <c r="D1008" s="13" t="n">
        <f aca="false">IF(Raw_Data!D1008="","",Raw_Data!D1008)</f>
        <v>31</v>
      </c>
      <c r="E1008" s="13" t="str">
        <f aca="false">IF(UPPER(LEFT(TRIM(Raw_Data!E1008),1))="M","Male",IF(UPPER(LEFT(TRIM(Raw_Data!E1008),1))="F","Female","Unknown"))</f>
        <v>Female</v>
      </c>
      <c r="F1008" s="13" t="str">
        <f aca="false">PROPER(TRIM(SUBSTITUTE(Raw_Data!F1008,"'","")))</f>
        <v>Bachelors</v>
      </c>
      <c r="G1008" s="13" t="str">
        <f aca="false">PROPER(TRIM(Raw_Data!G1008))</f>
        <v>Sales</v>
      </c>
      <c r="H1008" s="13" t="str">
        <f aca="false">PROPER(TRIM(Raw_Data!H1008))</f>
        <v>Senior Analyst</v>
      </c>
      <c r="I1008" s="13" t="n">
        <f aca="false">IF(Raw_Data!I1008="",DefaultPerf,Raw_Data!I1008)</f>
        <v>3</v>
      </c>
      <c r="J1008" s="13" t="n">
        <f aca="false">IF(Raw_Data!J1008="",DefaultSat,Raw_Data!J1008)</f>
        <v>1</v>
      </c>
      <c r="K1008" s="15" t="n">
        <f aca="false">Raw_Data!K1008</f>
        <v>96500</v>
      </c>
      <c r="L1008" s="13" t="str">
        <f aca="false">PROPER(TRIM(Raw_Data!N1008))</f>
        <v>Yes</v>
      </c>
      <c r="M1008" s="13" t="n">
        <f aca="false">IF(C1008="",0,1)</f>
        <v>1</v>
      </c>
      <c r="N1008" s="13" t="str">
        <f aca="false">IF(M1008=0,"Active",IF(TRIM(Raw_Data!L1008)="","Unknown",PROPER(TRIM(Raw_Data!L1008))))</f>
        <v>Involuntary</v>
      </c>
      <c r="O1008" s="13" t="str">
        <f aca="false">IF(M1008=0,"",IF(TRIM(Raw_Data!M1008)="","Not Recorded",TRIM(Raw_Data!M1008)))</f>
        <v>Poor Performance</v>
      </c>
      <c r="P1008" s="16" t="n">
        <f aca="false">ROUND((IF(C1008="",AsOfDate,C1008)-B1008)/365.25,2)</f>
        <v>2.14</v>
      </c>
      <c r="Q1008" s="13" t="str">
        <f aca="false">IF(D1008="","Unknown",IF(D1008&lt;25,"Under 25",IF(D1008&lt;35,"25-34",IF(D1008&lt;45,"35-44",IF(D1008&lt;55,"45-54","55+")))))</f>
        <v>25-34</v>
      </c>
      <c r="R1008" s="13" t="str">
        <f aca="false">IF(P1008&lt;1,"0-1 yrs",IF(P1008&lt;3,"1-3 yrs",IF(P1008&lt;5,"3-5 yrs",IF(P1008&lt;10,"5-10 yrs","10+ yrs"))))</f>
        <v>1-3 yrs</v>
      </c>
      <c r="S1008" s="13" t="str">
        <f aca="false">IF(I1008&gt;=4,"High",IF(I1008=3,"Medium","Low"))</f>
        <v>Medium</v>
      </c>
      <c r="T1008" s="13" t="n">
        <f aca="false">IF(M1008=1,YEAR(C1008),"")</f>
        <v>2022</v>
      </c>
      <c r="U1008" s="13" t="str">
        <f aca="false">IF(M1008=1,YEAR(C1008)&amp;"-Q"&amp;ROUNDUP(MONTH(C1008)/3,0),"")</f>
        <v>2022-Q2</v>
      </c>
      <c r="V1008" s="13" t="n">
        <f aca="false">IF(M1008=1,MONTH(C1008),"")</f>
        <v>5</v>
      </c>
    </row>
    <row r="1009" customFormat="false" ht="15" hidden="false" customHeight="false" outlineLevel="0" collapsed="false">
      <c r="A1009" s="13" t="str">
        <f aca="false">TRIM(Raw_Data!A1009)</f>
        <v>EMP1008</v>
      </c>
      <c r="B1009" s="14" t="n">
        <f aca="false">Raw_Data!B1009</f>
        <v>43927</v>
      </c>
      <c r="C1009" s="14" t="n">
        <f aca="false">IF(Raw_Data!C1009="","",Raw_Data!C1009)</f>
        <v>44930</v>
      </c>
      <c r="D1009" s="13" t="n">
        <f aca="false">IF(Raw_Data!D1009="","",Raw_Data!D1009)</f>
        <v>35</v>
      </c>
      <c r="E1009" s="13" t="str">
        <f aca="false">IF(UPPER(LEFT(TRIM(Raw_Data!E1009),1))="M","Male",IF(UPPER(LEFT(TRIM(Raw_Data!E1009),1))="F","Female","Unknown"))</f>
        <v>Female</v>
      </c>
      <c r="F1009" s="13" t="str">
        <f aca="false">PROPER(TRIM(SUBSTITUTE(Raw_Data!F1009,"'","")))</f>
        <v>Bachelors</v>
      </c>
      <c r="G1009" s="13" t="str">
        <f aca="false">PROPER(TRIM(Raw_Data!G1009))</f>
        <v>Sales</v>
      </c>
      <c r="H1009" s="13" t="str">
        <f aca="false">PROPER(TRIM(Raw_Data!H1009))</f>
        <v>Senior Analyst</v>
      </c>
      <c r="I1009" s="13" t="n">
        <f aca="false">IF(Raw_Data!I1009="",DefaultPerf,Raw_Data!I1009)</f>
        <v>2</v>
      </c>
      <c r="J1009" s="13" t="n">
        <f aca="false">IF(Raw_Data!J1009="",DefaultSat,Raw_Data!J1009)</f>
        <v>3</v>
      </c>
      <c r="K1009" s="15" t="n">
        <f aca="false">Raw_Data!K1009</f>
        <v>102000</v>
      </c>
      <c r="L1009" s="13" t="str">
        <f aca="false">PROPER(TRIM(Raw_Data!N1009))</f>
        <v>Yes</v>
      </c>
      <c r="M1009" s="13" t="n">
        <f aca="false">IF(C1009="",0,1)</f>
        <v>1</v>
      </c>
      <c r="N1009" s="13" t="str">
        <f aca="false">IF(M1009=0,"Active",IF(TRIM(Raw_Data!L1009)="","Unknown",PROPER(TRIM(Raw_Data!L1009))))</f>
        <v>Involuntary</v>
      </c>
      <c r="O1009" s="13" t="str">
        <f aca="false">IF(M1009=0,"",IF(TRIM(Raw_Data!M1009)="","Not Recorded",TRIM(Raw_Data!M1009)))</f>
        <v>Restructuring / Layoff</v>
      </c>
      <c r="P1009" s="16" t="n">
        <f aca="false">ROUND((IF(C1009="",AsOfDate,C1009)-B1009)/365.25,2)</f>
        <v>2.75</v>
      </c>
      <c r="Q1009" s="13" t="str">
        <f aca="false">IF(D1009="","Unknown",IF(D1009&lt;25,"Under 25",IF(D1009&lt;35,"25-34",IF(D1009&lt;45,"35-44",IF(D1009&lt;55,"45-54","55+")))))</f>
        <v>35-44</v>
      </c>
      <c r="R1009" s="13" t="str">
        <f aca="false">IF(P1009&lt;1,"0-1 yrs",IF(P1009&lt;3,"1-3 yrs",IF(P1009&lt;5,"3-5 yrs",IF(P1009&lt;10,"5-10 yrs","10+ yrs"))))</f>
        <v>1-3 yrs</v>
      </c>
      <c r="S1009" s="13" t="str">
        <f aca="false">IF(I1009&gt;=4,"High",IF(I1009=3,"Medium","Low"))</f>
        <v>Low</v>
      </c>
      <c r="T1009" s="13" t="n">
        <f aca="false">IF(M1009=1,YEAR(C1009),"")</f>
        <v>2023</v>
      </c>
      <c r="U1009" s="13" t="str">
        <f aca="false">IF(M1009=1,YEAR(C1009)&amp;"-Q"&amp;ROUNDUP(MONTH(C1009)/3,0),"")</f>
        <v>2023-Q1</v>
      </c>
      <c r="V1009" s="13" t="n">
        <f aca="false">IF(M1009=1,MONTH(C1009),"")</f>
        <v>1</v>
      </c>
    </row>
    <row r="1010" customFormat="false" ht="15" hidden="false" customHeight="false" outlineLevel="0" collapsed="false">
      <c r="A1010" s="13" t="str">
        <f aca="false">TRIM(Raw_Data!A1010)</f>
        <v>EMP1009</v>
      </c>
      <c r="B1010" s="14" t="n">
        <f aca="false">Raw_Data!B1010</f>
        <v>43930</v>
      </c>
      <c r="C1010" s="14" t="str">
        <f aca="false">IF(Raw_Data!C1010="","",Raw_Data!C1010)</f>
        <v/>
      </c>
      <c r="D1010" s="13" t="n">
        <f aca="false">IF(Raw_Data!D1010="","",Raw_Data!D1010)</f>
        <v>29</v>
      </c>
      <c r="E1010" s="13" t="str">
        <f aca="false">IF(UPPER(LEFT(TRIM(Raw_Data!E1010),1))="M","Male",IF(UPPER(LEFT(TRIM(Raw_Data!E1010),1))="F","Female","Unknown"))</f>
        <v>Male</v>
      </c>
      <c r="F1010" s="13" t="str">
        <f aca="false">PROPER(TRIM(SUBSTITUTE(Raw_Data!F1010,"'","")))</f>
        <v>Diploma</v>
      </c>
      <c r="G1010" s="13" t="str">
        <f aca="false">PROPER(TRIM(Raw_Data!G1010))</f>
        <v>Operations</v>
      </c>
      <c r="H1010" s="13" t="str">
        <f aca="false">PROPER(TRIM(Raw_Data!H1010))</f>
        <v>Specialist</v>
      </c>
      <c r="I1010" s="13" t="n">
        <f aca="false">IF(Raw_Data!I1010="",DefaultPerf,Raw_Data!I1010)</f>
        <v>3</v>
      </c>
      <c r="J1010" s="13" t="n">
        <f aca="false">IF(Raw_Data!J1010="",DefaultSat,Raw_Data!J1010)</f>
        <v>4</v>
      </c>
      <c r="K1010" s="15" t="n">
        <f aca="false">Raw_Data!K1010</f>
        <v>116000</v>
      </c>
      <c r="L1010" s="13" t="str">
        <f aca="false">PROPER(TRIM(Raw_Data!N1010))</f>
        <v>Yes</v>
      </c>
      <c r="M1010" s="13" t="n">
        <f aca="false">IF(C1010="",0,1)</f>
        <v>0</v>
      </c>
      <c r="N1010" s="13" t="str">
        <f aca="false">IF(M1010=0,"Active",IF(TRIM(Raw_Data!L1010)="","Unknown",PROPER(TRIM(Raw_Data!L1010))))</f>
        <v>Active</v>
      </c>
      <c r="O1010" s="13" t="str">
        <f aca="false">IF(M1010=0,"",IF(TRIM(Raw_Data!M1010)="","Not Recorded",TRIM(Raw_Data!M1010)))</f>
        <v/>
      </c>
      <c r="P1010" s="16" t="n">
        <f aca="false">ROUND((IF(C1010="",AsOfDate,C1010)-B1010)/365.25,2)</f>
        <v>5.73</v>
      </c>
      <c r="Q1010" s="13" t="str">
        <f aca="false">IF(D1010="","Unknown",IF(D1010&lt;25,"Under 25",IF(D1010&lt;35,"25-34",IF(D1010&lt;45,"35-44",IF(D1010&lt;55,"45-54","55+")))))</f>
        <v>25-34</v>
      </c>
      <c r="R1010" s="13" t="str">
        <f aca="false">IF(P1010&lt;1,"0-1 yrs",IF(P1010&lt;3,"1-3 yrs",IF(P1010&lt;5,"3-5 yrs",IF(P1010&lt;10,"5-10 yrs","10+ yrs"))))</f>
        <v>5-10 yrs</v>
      </c>
      <c r="S1010" s="13" t="str">
        <f aca="false">IF(I1010&gt;=4,"High",IF(I1010=3,"Medium","Low"))</f>
        <v>Medium</v>
      </c>
      <c r="T1010" s="13" t="str">
        <f aca="false">IF(M1010=1,YEAR(C1010),"")</f>
        <v/>
      </c>
      <c r="U1010" s="13" t="str">
        <f aca="false">IF(M1010=1,YEAR(C1010)&amp;"-Q"&amp;ROUNDUP(MONTH(C1010)/3,0),"")</f>
        <v/>
      </c>
      <c r="V1010" s="13" t="str">
        <f aca="false">IF(M1010=1,MONTH(C1010),"")</f>
        <v/>
      </c>
    </row>
    <row r="1011" customFormat="false" ht="15" hidden="false" customHeight="false" outlineLevel="0" collapsed="false">
      <c r="A1011" s="13" t="str">
        <f aca="false">TRIM(Raw_Data!A1011)</f>
        <v>EMP1010</v>
      </c>
      <c r="B1011" s="14" t="n">
        <f aca="false">Raw_Data!B1011</f>
        <v>43930</v>
      </c>
      <c r="C1011" s="14" t="n">
        <f aca="false">IF(Raw_Data!C1011="","",Raw_Data!C1011)</f>
        <v>44591</v>
      </c>
      <c r="D1011" s="13" t="n">
        <f aca="false">IF(Raw_Data!D1011="","",Raw_Data!D1011)</f>
        <v>45</v>
      </c>
      <c r="E1011" s="13" t="str">
        <f aca="false">IF(UPPER(LEFT(TRIM(Raw_Data!E1011),1))="M","Male",IF(UPPER(LEFT(TRIM(Raw_Data!E1011),1))="F","Female","Unknown"))</f>
        <v>Female</v>
      </c>
      <c r="F1011" s="13" t="str">
        <f aca="false">PROPER(TRIM(SUBSTITUTE(Raw_Data!F1011,"'","")))</f>
        <v>Diploma</v>
      </c>
      <c r="G1011" s="13" t="str">
        <f aca="false">PROPER(TRIM(Raw_Data!G1011))</f>
        <v>Engineering</v>
      </c>
      <c r="H1011" s="13" t="str">
        <f aca="false">PROPER(TRIM(Raw_Data!H1011))</f>
        <v>Analyst</v>
      </c>
      <c r="I1011" s="13" t="n">
        <f aca="false">IF(Raw_Data!I1011="",DefaultPerf,Raw_Data!I1011)</f>
        <v>4</v>
      </c>
      <c r="J1011" s="13" t="n">
        <f aca="false">IF(Raw_Data!J1011="",DefaultSat,Raw_Data!J1011)</f>
        <v>3</v>
      </c>
      <c r="K1011" s="15" t="n">
        <f aca="false">Raw_Data!K1011</f>
        <v>58500</v>
      </c>
      <c r="L1011" s="13" t="str">
        <f aca="false">PROPER(TRIM(Raw_Data!N1011))</f>
        <v>No</v>
      </c>
      <c r="M1011" s="13" t="n">
        <f aca="false">IF(C1011="",0,1)</f>
        <v>1</v>
      </c>
      <c r="N1011" s="13" t="str">
        <f aca="false">IF(M1011=0,"Active",IF(TRIM(Raw_Data!L1011)="","Unknown",PROPER(TRIM(Raw_Data!L1011))))</f>
        <v>Voluntary</v>
      </c>
      <c r="O1011" s="13" t="str">
        <f aca="false">IF(M1011=0,"",IF(TRIM(Raw_Data!M1011)="","Not Recorded",TRIM(Raw_Data!M1011)))</f>
        <v>Better Compensation</v>
      </c>
      <c r="P1011" s="16" t="n">
        <f aca="false">ROUND((IF(C1011="",AsOfDate,C1011)-B1011)/365.25,2)</f>
        <v>1.81</v>
      </c>
      <c r="Q1011" s="13" t="str">
        <f aca="false">IF(D1011="","Unknown",IF(D1011&lt;25,"Under 25",IF(D1011&lt;35,"25-34",IF(D1011&lt;45,"35-44",IF(D1011&lt;55,"45-54","55+")))))</f>
        <v>45-54</v>
      </c>
      <c r="R1011" s="13" t="str">
        <f aca="false">IF(P1011&lt;1,"0-1 yrs",IF(P1011&lt;3,"1-3 yrs",IF(P1011&lt;5,"3-5 yrs",IF(P1011&lt;10,"5-10 yrs","10+ yrs"))))</f>
        <v>1-3 yrs</v>
      </c>
      <c r="S1011" s="13" t="str">
        <f aca="false">IF(I1011&gt;=4,"High",IF(I1011=3,"Medium","Low"))</f>
        <v>High</v>
      </c>
      <c r="T1011" s="13" t="n">
        <f aca="false">IF(M1011=1,YEAR(C1011),"")</f>
        <v>2022</v>
      </c>
      <c r="U1011" s="13" t="str">
        <f aca="false">IF(M1011=1,YEAR(C1011)&amp;"-Q"&amp;ROUNDUP(MONTH(C1011)/3,0),"")</f>
        <v>2022-Q1</v>
      </c>
      <c r="V1011" s="13" t="n">
        <f aca="false">IF(M1011=1,MONTH(C1011),"")</f>
        <v>1</v>
      </c>
    </row>
    <row r="1012" customFormat="false" ht="15" hidden="false" customHeight="false" outlineLevel="0" collapsed="false">
      <c r="A1012" s="13" t="str">
        <f aca="false">TRIM(Raw_Data!A1012)</f>
        <v>EMP1011</v>
      </c>
      <c r="B1012" s="14" t="n">
        <f aca="false">Raw_Data!B1012</f>
        <v>43932</v>
      </c>
      <c r="C1012" s="14" t="n">
        <f aca="false">IF(Raw_Data!C1012="","",Raw_Data!C1012)</f>
        <v>44951</v>
      </c>
      <c r="D1012" s="13" t="n">
        <f aca="false">IF(Raw_Data!D1012="","",Raw_Data!D1012)</f>
        <v>35</v>
      </c>
      <c r="E1012" s="13" t="str">
        <f aca="false">IF(UPPER(LEFT(TRIM(Raw_Data!E1012),1))="M","Male",IF(UPPER(LEFT(TRIM(Raw_Data!E1012),1))="F","Female","Unknown"))</f>
        <v>Female</v>
      </c>
      <c r="F1012" s="13" t="str">
        <f aca="false">PROPER(TRIM(SUBSTITUTE(Raw_Data!F1012,"'","")))</f>
        <v>Masters</v>
      </c>
      <c r="G1012" s="13" t="str">
        <f aca="false">PROPER(TRIM(Raw_Data!G1012))</f>
        <v>Customer Support</v>
      </c>
      <c r="H1012" s="13" t="str">
        <f aca="false">PROPER(TRIM(Raw_Data!H1012))</f>
        <v>Specialist</v>
      </c>
      <c r="I1012" s="13" t="n">
        <f aca="false">IF(Raw_Data!I1012="",DefaultPerf,Raw_Data!I1012)</f>
        <v>3</v>
      </c>
      <c r="J1012" s="13" t="n">
        <f aca="false">IF(Raw_Data!J1012="",DefaultSat,Raw_Data!J1012)</f>
        <v>1</v>
      </c>
      <c r="K1012" s="15" t="n">
        <f aca="false">Raw_Data!K1012</f>
        <v>99000</v>
      </c>
      <c r="L1012" s="13" t="str">
        <f aca="false">PROPER(TRIM(Raw_Data!N1012))</f>
        <v>Yes</v>
      </c>
      <c r="M1012" s="13" t="n">
        <f aca="false">IF(C1012="",0,1)</f>
        <v>1</v>
      </c>
      <c r="N1012" s="13" t="str">
        <f aca="false">IF(M1012=0,"Active",IF(TRIM(Raw_Data!L1012)="","Unknown",PROPER(TRIM(Raw_Data!L1012))))</f>
        <v>Voluntary</v>
      </c>
      <c r="O1012" s="13" t="str">
        <f aca="false">IF(M1012=0,"",IF(TRIM(Raw_Data!M1012)="","Not Recorded",TRIM(Raw_Data!M1012)))</f>
        <v>Manager Issues</v>
      </c>
      <c r="P1012" s="16" t="n">
        <f aca="false">ROUND((IF(C1012="",AsOfDate,C1012)-B1012)/365.25,2)</f>
        <v>2.79</v>
      </c>
      <c r="Q1012" s="13" t="str">
        <f aca="false">IF(D1012="","Unknown",IF(D1012&lt;25,"Under 25",IF(D1012&lt;35,"25-34",IF(D1012&lt;45,"35-44",IF(D1012&lt;55,"45-54","55+")))))</f>
        <v>35-44</v>
      </c>
      <c r="R1012" s="13" t="str">
        <f aca="false">IF(P1012&lt;1,"0-1 yrs",IF(P1012&lt;3,"1-3 yrs",IF(P1012&lt;5,"3-5 yrs",IF(P1012&lt;10,"5-10 yrs","10+ yrs"))))</f>
        <v>1-3 yrs</v>
      </c>
      <c r="S1012" s="13" t="str">
        <f aca="false">IF(I1012&gt;=4,"High",IF(I1012=3,"Medium","Low"))</f>
        <v>Medium</v>
      </c>
      <c r="T1012" s="13" t="n">
        <f aca="false">IF(M1012=1,YEAR(C1012),"")</f>
        <v>2023</v>
      </c>
      <c r="U1012" s="13" t="str">
        <f aca="false">IF(M1012=1,YEAR(C1012)&amp;"-Q"&amp;ROUNDUP(MONTH(C1012)/3,0),"")</f>
        <v>2023-Q1</v>
      </c>
      <c r="V1012" s="13" t="n">
        <f aca="false">IF(M1012=1,MONTH(C1012),"")</f>
        <v>1</v>
      </c>
    </row>
    <row r="1013" customFormat="false" ht="15" hidden="false" customHeight="false" outlineLevel="0" collapsed="false">
      <c r="A1013" s="13" t="str">
        <f aca="false">TRIM(Raw_Data!A1013)</f>
        <v>EMP1012</v>
      </c>
      <c r="B1013" s="14" t="n">
        <f aca="false">Raw_Data!B1013</f>
        <v>43944</v>
      </c>
      <c r="C1013" s="14" t="str">
        <f aca="false">IF(Raw_Data!C1013="","",Raw_Data!C1013)</f>
        <v/>
      </c>
      <c r="D1013" s="13" t="n">
        <f aca="false">IF(Raw_Data!D1013="","",Raw_Data!D1013)</f>
        <v>39</v>
      </c>
      <c r="E1013" s="13" t="str">
        <f aca="false">IF(UPPER(LEFT(TRIM(Raw_Data!E1013),1))="M","Male",IF(UPPER(LEFT(TRIM(Raw_Data!E1013),1))="F","Female","Unknown"))</f>
        <v>Female</v>
      </c>
      <c r="F1013" s="13" t="str">
        <f aca="false">PROPER(TRIM(SUBSTITUTE(Raw_Data!F1013,"'","")))</f>
        <v>Bachelors</v>
      </c>
      <c r="G1013" s="13" t="str">
        <f aca="false">PROPER(TRIM(Raw_Data!G1013))</f>
        <v>Operations</v>
      </c>
      <c r="H1013" s="13" t="str">
        <f aca="false">PROPER(TRIM(Raw_Data!H1013))</f>
        <v>Specialist</v>
      </c>
      <c r="I1013" s="13" t="n">
        <f aca="false">IF(Raw_Data!I1013="",DefaultPerf,Raw_Data!I1013)</f>
        <v>1</v>
      </c>
      <c r="J1013" s="13" t="n">
        <f aca="false">IF(Raw_Data!J1013="",DefaultSat,Raw_Data!J1013)</f>
        <v>4</v>
      </c>
      <c r="K1013" s="15" t="n">
        <f aca="false">Raw_Data!K1013</f>
        <v>110000</v>
      </c>
      <c r="L1013" s="13" t="str">
        <f aca="false">PROPER(TRIM(Raw_Data!N1013))</f>
        <v>Yes</v>
      </c>
      <c r="M1013" s="13" t="n">
        <f aca="false">IF(C1013="",0,1)</f>
        <v>0</v>
      </c>
      <c r="N1013" s="13" t="str">
        <f aca="false">IF(M1013=0,"Active",IF(TRIM(Raw_Data!L1013)="","Unknown",PROPER(TRIM(Raw_Data!L1013))))</f>
        <v>Active</v>
      </c>
      <c r="O1013" s="13" t="str">
        <f aca="false">IF(M1013=0,"",IF(TRIM(Raw_Data!M1013)="","Not Recorded",TRIM(Raw_Data!M1013)))</f>
        <v/>
      </c>
      <c r="P1013" s="16" t="n">
        <f aca="false">ROUND((IF(C1013="",AsOfDate,C1013)-B1013)/365.25,2)</f>
        <v>5.69</v>
      </c>
      <c r="Q1013" s="13" t="str">
        <f aca="false">IF(D1013="","Unknown",IF(D1013&lt;25,"Under 25",IF(D1013&lt;35,"25-34",IF(D1013&lt;45,"35-44",IF(D1013&lt;55,"45-54","55+")))))</f>
        <v>35-44</v>
      </c>
      <c r="R1013" s="13" t="str">
        <f aca="false">IF(P1013&lt;1,"0-1 yrs",IF(P1013&lt;3,"1-3 yrs",IF(P1013&lt;5,"3-5 yrs",IF(P1013&lt;10,"5-10 yrs","10+ yrs"))))</f>
        <v>5-10 yrs</v>
      </c>
      <c r="S1013" s="13" t="str">
        <f aca="false">IF(I1013&gt;=4,"High",IF(I1013=3,"Medium","Low"))</f>
        <v>Low</v>
      </c>
      <c r="T1013" s="13" t="str">
        <f aca="false">IF(M1013=1,YEAR(C1013),"")</f>
        <v/>
      </c>
      <c r="U1013" s="13" t="str">
        <f aca="false">IF(M1013=1,YEAR(C1013)&amp;"-Q"&amp;ROUNDUP(MONTH(C1013)/3,0),"")</f>
        <v/>
      </c>
      <c r="V1013" s="13" t="str">
        <f aca="false">IF(M1013=1,MONTH(C1013),"")</f>
        <v/>
      </c>
    </row>
    <row r="1014" customFormat="false" ht="15" hidden="false" customHeight="false" outlineLevel="0" collapsed="false">
      <c r="A1014" s="13" t="str">
        <f aca="false">TRIM(Raw_Data!A1014)</f>
        <v>EMP1013</v>
      </c>
      <c r="B1014" s="14" t="n">
        <f aca="false">Raw_Data!B1014</f>
        <v>43945</v>
      </c>
      <c r="C1014" s="14" t="str">
        <f aca="false">IF(Raw_Data!C1014="","",Raw_Data!C1014)</f>
        <v/>
      </c>
      <c r="D1014" s="13" t="n">
        <f aca="false">IF(Raw_Data!D1014="","",Raw_Data!D1014)</f>
        <v>34</v>
      </c>
      <c r="E1014" s="13" t="str">
        <f aca="false">IF(UPPER(LEFT(TRIM(Raw_Data!E1014),1))="M","Male",IF(UPPER(LEFT(TRIM(Raw_Data!E1014),1))="F","Female","Unknown"))</f>
        <v>Male</v>
      </c>
      <c r="F1014" s="13" t="str">
        <f aca="false">PROPER(TRIM(SUBSTITUTE(Raw_Data!F1014,"'","")))</f>
        <v>Bachelors</v>
      </c>
      <c r="G1014" s="13" t="str">
        <f aca="false">PROPER(TRIM(Raw_Data!G1014))</f>
        <v>Customer Support</v>
      </c>
      <c r="H1014" s="13" t="str">
        <f aca="false">PROPER(TRIM(Raw_Data!H1014))</f>
        <v>Associate</v>
      </c>
      <c r="I1014" s="13" t="n">
        <f aca="false">IF(Raw_Data!I1014="",DefaultPerf,Raw_Data!I1014)</f>
        <v>3</v>
      </c>
      <c r="J1014" s="13" t="n">
        <f aca="false">IF(Raw_Data!J1014="",DefaultSat,Raw_Data!J1014)</f>
        <v>3</v>
      </c>
      <c r="K1014" s="15" t="n">
        <f aca="false">Raw_Data!K1014</f>
        <v>41000</v>
      </c>
      <c r="L1014" s="13" t="str">
        <f aca="false">PROPER(TRIM(Raw_Data!N1014))</f>
        <v>No</v>
      </c>
      <c r="M1014" s="13" t="n">
        <f aca="false">IF(C1014="",0,1)</f>
        <v>0</v>
      </c>
      <c r="N1014" s="13" t="str">
        <f aca="false">IF(M1014=0,"Active",IF(TRIM(Raw_Data!L1014)="","Unknown",PROPER(TRIM(Raw_Data!L1014))))</f>
        <v>Active</v>
      </c>
      <c r="O1014" s="13" t="str">
        <f aca="false">IF(M1014=0,"",IF(TRIM(Raw_Data!M1014)="","Not Recorded",TRIM(Raw_Data!M1014)))</f>
        <v/>
      </c>
      <c r="P1014" s="16" t="n">
        <f aca="false">ROUND((IF(C1014="",AsOfDate,C1014)-B1014)/365.25,2)</f>
        <v>5.69</v>
      </c>
      <c r="Q1014" s="13" t="str">
        <f aca="false">IF(D1014="","Unknown",IF(D1014&lt;25,"Under 25",IF(D1014&lt;35,"25-34",IF(D1014&lt;45,"35-44",IF(D1014&lt;55,"45-54","55+")))))</f>
        <v>25-34</v>
      </c>
      <c r="R1014" s="13" t="str">
        <f aca="false">IF(P1014&lt;1,"0-1 yrs",IF(P1014&lt;3,"1-3 yrs",IF(P1014&lt;5,"3-5 yrs",IF(P1014&lt;10,"5-10 yrs","10+ yrs"))))</f>
        <v>5-10 yrs</v>
      </c>
      <c r="S1014" s="13" t="str">
        <f aca="false">IF(I1014&gt;=4,"High",IF(I1014=3,"Medium","Low"))</f>
        <v>Medium</v>
      </c>
      <c r="T1014" s="13" t="str">
        <f aca="false">IF(M1014=1,YEAR(C1014),"")</f>
        <v/>
      </c>
      <c r="U1014" s="13" t="str">
        <f aca="false">IF(M1014=1,YEAR(C1014)&amp;"-Q"&amp;ROUNDUP(MONTH(C1014)/3,0),"")</f>
        <v/>
      </c>
      <c r="V1014" s="13" t="str">
        <f aca="false">IF(M1014=1,MONTH(C1014),"")</f>
        <v/>
      </c>
    </row>
    <row r="1015" customFormat="false" ht="15" hidden="false" customHeight="false" outlineLevel="0" collapsed="false">
      <c r="A1015" s="13" t="str">
        <f aca="false">TRIM(Raw_Data!A1015)</f>
        <v>EMP1014</v>
      </c>
      <c r="B1015" s="14" t="n">
        <f aca="false">Raw_Data!B1015</f>
        <v>43946</v>
      </c>
      <c r="C1015" s="14" t="n">
        <f aca="false">IF(Raw_Data!C1015="","",Raw_Data!C1015)</f>
        <v>45037</v>
      </c>
      <c r="D1015" s="13" t="n">
        <f aca="false">IF(Raw_Data!D1015="","",Raw_Data!D1015)</f>
        <v>35</v>
      </c>
      <c r="E1015" s="13" t="str">
        <f aca="false">IF(UPPER(LEFT(TRIM(Raw_Data!E1015),1))="M","Male",IF(UPPER(LEFT(TRIM(Raw_Data!E1015),1))="F","Female","Unknown"))</f>
        <v>Female</v>
      </c>
      <c r="F1015" s="13" t="str">
        <f aca="false">PROPER(TRIM(SUBSTITUTE(Raw_Data!F1015,"'","")))</f>
        <v>Bachelors</v>
      </c>
      <c r="G1015" s="13" t="str">
        <f aca="false">PROPER(TRIM(Raw_Data!G1015))</f>
        <v>Engineering</v>
      </c>
      <c r="H1015" s="13" t="str">
        <f aca="false">PROPER(TRIM(Raw_Data!H1015))</f>
        <v>Specialist</v>
      </c>
      <c r="I1015" s="13" t="n">
        <f aca="false">IF(Raw_Data!I1015="",DefaultPerf,Raw_Data!I1015)</f>
        <v>3</v>
      </c>
      <c r="J1015" s="13" t="n">
        <f aca="false">IF(Raw_Data!J1015="",DefaultSat,Raw_Data!J1015)</f>
        <v>2</v>
      </c>
      <c r="K1015" s="15" t="n">
        <f aca="false">Raw_Data!K1015</f>
        <v>104000</v>
      </c>
      <c r="L1015" s="13" t="str">
        <f aca="false">PROPER(TRIM(Raw_Data!N1015))</f>
        <v>Yes</v>
      </c>
      <c r="M1015" s="13" t="n">
        <f aca="false">IF(C1015="",0,1)</f>
        <v>1</v>
      </c>
      <c r="N1015" s="13" t="str">
        <f aca="false">IF(M1015=0,"Active",IF(TRIM(Raw_Data!L1015)="","Unknown",PROPER(TRIM(Raw_Data!L1015))))</f>
        <v>Voluntary</v>
      </c>
      <c r="O1015" s="13" t="str">
        <f aca="false">IF(M1015=0,"",IF(TRIM(Raw_Data!M1015)="","Not Recorded",TRIM(Raw_Data!M1015)))</f>
        <v>Career Growth</v>
      </c>
      <c r="P1015" s="16" t="n">
        <f aca="false">ROUND((IF(C1015="",AsOfDate,C1015)-B1015)/365.25,2)</f>
        <v>2.99</v>
      </c>
      <c r="Q1015" s="13" t="str">
        <f aca="false">IF(D1015="","Unknown",IF(D1015&lt;25,"Under 25",IF(D1015&lt;35,"25-34",IF(D1015&lt;45,"35-44",IF(D1015&lt;55,"45-54","55+")))))</f>
        <v>35-44</v>
      </c>
      <c r="R1015" s="13" t="str">
        <f aca="false">IF(P1015&lt;1,"0-1 yrs",IF(P1015&lt;3,"1-3 yrs",IF(P1015&lt;5,"3-5 yrs",IF(P1015&lt;10,"5-10 yrs","10+ yrs"))))</f>
        <v>1-3 yrs</v>
      </c>
      <c r="S1015" s="13" t="str">
        <f aca="false">IF(I1015&gt;=4,"High",IF(I1015=3,"Medium","Low"))</f>
        <v>Medium</v>
      </c>
      <c r="T1015" s="13" t="n">
        <f aca="false">IF(M1015=1,YEAR(C1015),"")</f>
        <v>2023</v>
      </c>
      <c r="U1015" s="13" t="str">
        <f aca="false">IF(M1015=1,YEAR(C1015)&amp;"-Q"&amp;ROUNDUP(MONTH(C1015)/3,0),"")</f>
        <v>2023-Q2</v>
      </c>
      <c r="V1015" s="13" t="n">
        <f aca="false">IF(M1015=1,MONTH(C1015),"")</f>
        <v>4</v>
      </c>
    </row>
    <row r="1016" customFormat="false" ht="15" hidden="false" customHeight="false" outlineLevel="0" collapsed="false">
      <c r="A1016" s="13" t="str">
        <f aca="false">TRIM(Raw_Data!A1016)</f>
        <v>EMP1015</v>
      </c>
      <c r="B1016" s="14" t="n">
        <f aca="false">Raw_Data!B1016</f>
        <v>43948</v>
      </c>
      <c r="C1016" s="14" t="str">
        <f aca="false">IF(Raw_Data!C1016="","",Raw_Data!C1016)</f>
        <v/>
      </c>
      <c r="D1016" s="13" t="n">
        <f aca="false">IF(Raw_Data!D1016="","",Raw_Data!D1016)</f>
        <v>45</v>
      </c>
      <c r="E1016" s="13" t="str">
        <f aca="false">IF(UPPER(LEFT(TRIM(Raw_Data!E1016),1))="M","Male",IF(UPPER(LEFT(TRIM(Raw_Data!E1016),1))="F","Female","Unknown"))</f>
        <v>Male</v>
      </c>
      <c r="F1016" s="13" t="str">
        <f aca="false">PROPER(TRIM(SUBSTITUTE(Raw_Data!F1016,"'","")))</f>
        <v>Masters</v>
      </c>
      <c r="G1016" s="13" t="str">
        <f aca="false">PROPER(TRIM(Raw_Data!G1016))</f>
        <v>Finance</v>
      </c>
      <c r="H1016" s="13" t="str">
        <f aca="false">PROPER(TRIM(Raw_Data!H1016))</f>
        <v>Team Lead</v>
      </c>
      <c r="I1016" s="13" t="n">
        <f aca="false">IF(Raw_Data!I1016="",DefaultPerf,Raw_Data!I1016)</f>
        <v>3</v>
      </c>
      <c r="J1016" s="13" t="n">
        <f aca="false">IF(Raw_Data!J1016="",DefaultSat,Raw_Data!J1016)</f>
        <v>1</v>
      </c>
      <c r="K1016" s="15" t="n">
        <f aca="false">Raw_Data!K1016</f>
        <v>146500</v>
      </c>
      <c r="L1016" s="13" t="str">
        <f aca="false">PROPER(TRIM(Raw_Data!N1016))</f>
        <v>No</v>
      </c>
      <c r="M1016" s="13" t="n">
        <f aca="false">IF(C1016="",0,1)</f>
        <v>0</v>
      </c>
      <c r="N1016" s="13" t="str">
        <f aca="false">IF(M1016=0,"Active",IF(TRIM(Raw_Data!L1016)="","Unknown",PROPER(TRIM(Raw_Data!L1016))))</f>
        <v>Active</v>
      </c>
      <c r="O1016" s="13" t="str">
        <f aca="false">IF(M1016=0,"",IF(TRIM(Raw_Data!M1016)="","Not Recorded",TRIM(Raw_Data!M1016)))</f>
        <v/>
      </c>
      <c r="P1016" s="16" t="n">
        <f aca="false">ROUND((IF(C1016="",AsOfDate,C1016)-B1016)/365.25,2)</f>
        <v>5.68</v>
      </c>
      <c r="Q1016" s="13" t="str">
        <f aca="false">IF(D1016="","Unknown",IF(D1016&lt;25,"Under 25",IF(D1016&lt;35,"25-34",IF(D1016&lt;45,"35-44",IF(D1016&lt;55,"45-54","55+")))))</f>
        <v>45-54</v>
      </c>
      <c r="R1016" s="13" t="str">
        <f aca="false">IF(P1016&lt;1,"0-1 yrs",IF(P1016&lt;3,"1-3 yrs",IF(P1016&lt;5,"3-5 yrs",IF(P1016&lt;10,"5-10 yrs","10+ yrs"))))</f>
        <v>5-10 yrs</v>
      </c>
      <c r="S1016" s="13" t="str">
        <f aca="false">IF(I1016&gt;=4,"High",IF(I1016=3,"Medium","Low"))</f>
        <v>Medium</v>
      </c>
      <c r="T1016" s="13" t="str">
        <f aca="false">IF(M1016=1,YEAR(C1016),"")</f>
        <v/>
      </c>
      <c r="U1016" s="13" t="str">
        <f aca="false">IF(M1016=1,YEAR(C1016)&amp;"-Q"&amp;ROUNDUP(MONTH(C1016)/3,0),"")</f>
        <v/>
      </c>
      <c r="V1016" s="13" t="str">
        <f aca="false">IF(M1016=1,MONTH(C1016),"")</f>
        <v/>
      </c>
    </row>
    <row r="1017" customFormat="false" ht="15" hidden="false" customHeight="false" outlineLevel="0" collapsed="false">
      <c r="A1017" s="13" t="str">
        <f aca="false">TRIM(Raw_Data!A1017)</f>
        <v>EMP1016</v>
      </c>
      <c r="B1017" s="14" t="n">
        <f aca="false">Raw_Data!B1017</f>
        <v>43951</v>
      </c>
      <c r="C1017" s="14" t="str">
        <f aca="false">IF(Raw_Data!C1017="","",Raw_Data!C1017)</f>
        <v/>
      </c>
      <c r="D1017" s="13" t="n">
        <f aca="false">IF(Raw_Data!D1017="","",Raw_Data!D1017)</f>
        <v>31</v>
      </c>
      <c r="E1017" s="13" t="str">
        <f aca="false">IF(UPPER(LEFT(TRIM(Raw_Data!E1017),1))="M","Male",IF(UPPER(LEFT(TRIM(Raw_Data!E1017),1))="F","Female","Unknown"))</f>
        <v>Female</v>
      </c>
      <c r="F1017" s="13" t="str">
        <f aca="false">PROPER(TRIM(SUBSTITUTE(Raw_Data!F1017,"'","")))</f>
        <v>Masters</v>
      </c>
      <c r="G1017" s="13" t="str">
        <f aca="false">PROPER(TRIM(Raw_Data!G1017))</f>
        <v>Human Resources</v>
      </c>
      <c r="H1017" s="13" t="str">
        <f aca="false">PROPER(TRIM(Raw_Data!H1017))</f>
        <v>Manager</v>
      </c>
      <c r="I1017" s="13" t="n">
        <f aca="false">IF(Raw_Data!I1017="",DefaultPerf,Raw_Data!I1017)</f>
        <v>3</v>
      </c>
      <c r="J1017" s="13" t="n">
        <f aca="false">IF(Raw_Data!J1017="",DefaultSat,Raw_Data!J1017)</f>
        <v>3</v>
      </c>
      <c r="K1017" s="15" t="n">
        <f aca="false">Raw_Data!K1017</f>
        <v>184500</v>
      </c>
      <c r="L1017" s="13" t="str">
        <f aca="false">PROPER(TRIM(Raw_Data!N1017))</f>
        <v>No</v>
      </c>
      <c r="M1017" s="13" t="n">
        <f aca="false">IF(C1017="",0,1)</f>
        <v>0</v>
      </c>
      <c r="N1017" s="13" t="str">
        <f aca="false">IF(M1017=0,"Active",IF(TRIM(Raw_Data!L1017)="","Unknown",PROPER(TRIM(Raw_Data!L1017))))</f>
        <v>Active</v>
      </c>
      <c r="O1017" s="13" t="str">
        <f aca="false">IF(M1017=0,"",IF(TRIM(Raw_Data!M1017)="","Not Recorded",TRIM(Raw_Data!M1017)))</f>
        <v/>
      </c>
      <c r="P1017" s="16" t="n">
        <f aca="false">ROUND((IF(C1017="",AsOfDate,C1017)-B1017)/365.25,2)</f>
        <v>5.67</v>
      </c>
      <c r="Q1017" s="13" t="str">
        <f aca="false">IF(D1017="","Unknown",IF(D1017&lt;25,"Under 25",IF(D1017&lt;35,"25-34",IF(D1017&lt;45,"35-44",IF(D1017&lt;55,"45-54","55+")))))</f>
        <v>25-34</v>
      </c>
      <c r="R1017" s="13" t="str">
        <f aca="false">IF(P1017&lt;1,"0-1 yrs",IF(P1017&lt;3,"1-3 yrs",IF(P1017&lt;5,"3-5 yrs",IF(P1017&lt;10,"5-10 yrs","10+ yrs"))))</f>
        <v>5-10 yrs</v>
      </c>
      <c r="S1017" s="13" t="str">
        <f aca="false">IF(I1017&gt;=4,"High",IF(I1017=3,"Medium","Low"))</f>
        <v>Medium</v>
      </c>
      <c r="T1017" s="13" t="str">
        <f aca="false">IF(M1017=1,YEAR(C1017),"")</f>
        <v/>
      </c>
      <c r="U1017" s="13" t="str">
        <f aca="false">IF(M1017=1,YEAR(C1017)&amp;"-Q"&amp;ROUNDUP(MONTH(C1017)/3,0),"")</f>
        <v/>
      </c>
      <c r="V1017" s="13" t="str">
        <f aca="false">IF(M1017=1,MONTH(C1017),"")</f>
        <v/>
      </c>
    </row>
    <row r="1018" customFormat="false" ht="15" hidden="false" customHeight="false" outlineLevel="0" collapsed="false">
      <c r="A1018" s="13" t="str">
        <f aca="false">TRIM(Raw_Data!A1018)</f>
        <v>EMP1017</v>
      </c>
      <c r="B1018" s="14" t="n">
        <f aca="false">Raw_Data!B1018</f>
        <v>43954</v>
      </c>
      <c r="C1018" s="14" t="n">
        <f aca="false">IF(Raw_Data!C1018="","",Raw_Data!C1018)</f>
        <v>44663</v>
      </c>
      <c r="D1018" s="13" t="n">
        <f aca="false">IF(Raw_Data!D1018="","",Raw_Data!D1018)</f>
        <v>30</v>
      </c>
      <c r="E1018" s="13" t="str">
        <f aca="false">IF(UPPER(LEFT(TRIM(Raw_Data!E1018),1))="M","Male",IF(UPPER(LEFT(TRIM(Raw_Data!E1018),1))="F","Female","Unknown"))</f>
        <v>Male</v>
      </c>
      <c r="F1018" s="13" t="str">
        <f aca="false">PROPER(TRIM(SUBSTITUTE(Raw_Data!F1018,"'","")))</f>
        <v>Bachelors</v>
      </c>
      <c r="G1018" s="13" t="str">
        <f aca="false">PROPER(TRIM(Raw_Data!G1018))</f>
        <v>Customer Support</v>
      </c>
      <c r="H1018" s="13" t="str">
        <f aca="false">PROPER(TRIM(Raw_Data!H1018))</f>
        <v>Analyst</v>
      </c>
      <c r="I1018" s="13" t="n">
        <f aca="false">IF(Raw_Data!I1018="",DefaultPerf,Raw_Data!I1018)</f>
        <v>3</v>
      </c>
      <c r="J1018" s="13" t="n">
        <f aca="false">IF(Raw_Data!J1018="",DefaultSat,Raw_Data!J1018)</f>
        <v>3</v>
      </c>
      <c r="K1018" s="15" t="n">
        <f aca="false">Raw_Data!K1018</f>
        <v>67500</v>
      </c>
      <c r="L1018" s="13" t="str">
        <f aca="false">PROPER(TRIM(Raw_Data!N1018))</f>
        <v>No</v>
      </c>
      <c r="M1018" s="13" t="n">
        <f aca="false">IF(C1018="",0,1)</f>
        <v>1</v>
      </c>
      <c r="N1018" s="13" t="str">
        <f aca="false">IF(M1018=0,"Active",IF(TRIM(Raw_Data!L1018)="","Unknown",PROPER(TRIM(Raw_Data!L1018))))</f>
        <v>Voluntary</v>
      </c>
      <c r="O1018" s="13" t="str">
        <f aca="false">IF(M1018=0,"",IF(TRIM(Raw_Data!M1018)="","Not Recorded",TRIM(Raw_Data!M1018)))</f>
        <v>Further Studies</v>
      </c>
      <c r="P1018" s="16" t="n">
        <f aca="false">ROUND((IF(C1018="",AsOfDate,C1018)-B1018)/365.25,2)</f>
        <v>1.94</v>
      </c>
      <c r="Q1018" s="13" t="str">
        <f aca="false">IF(D1018="","Unknown",IF(D1018&lt;25,"Under 25",IF(D1018&lt;35,"25-34",IF(D1018&lt;45,"35-44",IF(D1018&lt;55,"45-54","55+")))))</f>
        <v>25-34</v>
      </c>
      <c r="R1018" s="13" t="str">
        <f aca="false">IF(P1018&lt;1,"0-1 yrs",IF(P1018&lt;3,"1-3 yrs",IF(P1018&lt;5,"3-5 yrs",IF(P1018&lt;10,"5-10 yrs","10+ yrs"))))</f>
        <v>1-3 yrs</v>
      </c>
      <c r="S1018" s="13" t="str">
        <f aca="false">IF(I1018&gt;=4,"High",IF(I1018=3,"Medium","Low"))</f>
        <v>Medium</v>
      </c>
      <c r="T1018" s="13" t="n">
        <f aca="false">IF(M1018=1,YEAR(C1018),"")</f>
        <v>2022</v>
      </c>
      <c r="U1018" s="13" t="str">
        <f aca="false">IF(M1018=1,YEAR(C1018)&amp;"-Q"&amp;ROUNDUP(MONTH(C1018)/3,0),"")</f>
        <v>2022-Q2</v>
      </c>
      <c r="V1018" s="13" t="n">
        <f aca="false">IF(M1018=1,MONTH(C1018),"")</f>
        <v>4</v>
      </c>
    </row>
    <row r="1019" customFormat="false" ht="15" hidden="false" customHeight="false" outlineLevel="0" collapsed="false">
      <c r="A1019" s="13" t="str">
        <f aca="false">TRIM(Raw_Data!A1019)</f>
        <v>EMP1018</v>
      </c>
      <c r="B1019" s="14" t="n">
        <f aca="false">Raw_Data!B1019</f>
        <v>43965</v>
      </c>
      <c r="C1019" s="14" t="n">
        <f aca="false">IF(Raw_Data!C1019="","",Raw_Data!C1019)</f>
        <v>45774</v>
      </c>
      <c r="D1019" s="13" t="n">
        <f aca="false">IF(Raw_Data!D1019="","",Raw_Data!D1019)</f>
        <v>27</v>
      </c>
      <c r="E1019" s="13" t="str">
        <f aca="false">IF(UPPER(LEFT(TRIM(Raw_Data!E1019),1))="M","Male",IF(UPPER(LEFT(TRIM(Raw_Data!E1019),1))="F","Female","Unknown"))</f>
        <v>Female</v>
      </c>
      <c r="F1019" s="13" t="str">
        <f aca="false">PROPER(TRIM(SUBSTITUTE(Raw_Data!F1019,"'","")))</f>
        <v>Diploma</v>
      </c>
      <c r="G1019" s="13" t="str">
        <f aca="false">PROPER(TRIM(Raw_Data!G1019))</f>
        <v>Engineering</v>
      </c>
      <c r="H1019" s="13" t="str">
        <f aca="false">PROPER(TRIM(Raw_Data!H1019))</f>
        <v>Associate</v>
      </c>
      <c r="I1019" s="17" t="n">
        <f aca="false">IF(Raw_Data!I1019="",DefaultPerf,Raw_Data!I1019)</f>
        <v>3</v>
      </c>
      <c r="J1019" s="13" t="n">
        <f aca="false">IF(Raw_Data!J1019="",DefaultSat,Raw_Data!J1019)</f>
        <v>1</v>
      </c>
      <c r="K1019" s="15" t="n">
        <f aca="false">Raw_Data!K1019</f>
        <v>46000</v>
      </c>
      <c r="L1019" s="13" t="str">
        <f aca="false">PROPER(TRIM(Raw_Data!N1019))</f>
        <v>Yes</v>
      </c>
      <c r="M1019" s="13" t="n">
        <f aca="false">IF(C1019="",0,1)</f>
        <v>1</v>
      </c>
      <c r="N1019" s="13" t="str">
        <f aca="false">IF(M1019=0,"Active",IF(TRIM(Raw_Data!L1019)="","Unknown",PROPER(TRIM(Raw_Data!L1019))))</f>
        <v>Voluntary</v>
      </c>
      <c r="O1019" s="13" t="str">
        <f aca="false">IF(M1019=0,"",IF(TRIM(Raw_Data!M1019)="","Not Recorded",TRIM(Raw_Data!M1019)))</f>
        <v>Work-Life Balance</v>
      </c>
      <c r="P1019" s="16" t="n">
        <f aca="false">ROUND((IF(C1019="",AsOfDate,C1019)-B1019)/365.25,2)</f>
        <v>4.95</v>
      </c>
      <c r="Q1019" s="13" t="str">
        <f aca="false">IF(D1019="","Unknown",IF(D1019&lt;25,"Under 25",IF(D1019&lt;35,"25-34",IF(D1019&lt;45,"35-44",IF(D1019&lt;55,"45-54","55+")))))</f>
        <v>25-34</v>
      </c>
      <c r="R1019" s="13" t="str">
        <f aca="false">IF(P1019&lt;1,"0-1 yrs",IF(P1019&lt;3,"1-3 yrs",IF(P1019&lt;5,"3-5 yrs",IF(P1019&lt;10,"5-10 yrs","10+ yrs"))))</f>
        <v>3-5 yrs</v>
      </c>
      <c r="S1019" s="13" t="str">
        <f aca="false">IF(I1019&gt;=4,"High",IF(I1019=3,"Medium","Low"))</f>
        <v>Medium</v>
      </c>
      <c r="T1019" s="13" t="n">
        <f aca="false">IF(M1019=1,YEAR(C1019),"")</f>
        <v>2025</v>
      </c>
      <c r="U1019" s="13" t="str">
        <f aca="false">IF(M1019=1,YEAR(C1019)&amp;"-Q"&amp;ROUNDUP(MONTH(C1019)/3,0),"")</f>
        <v>2025-Q2</v>
      </c>
      <c r="V1019" s="13" t="n">
        <f aca="false">IF(M1019=1,MONTH(C1019),"")</f>
        <v>4</v>
      </c>
    </row>
    <row r="1020" customFormat="false" ht="15" hidden="false" customHeight="false" outlineLevel="0" collapsed="false">
      <c r="A1020" s="13" t="str">
        <f aca="false">TRIM(Raw_Data!A1020)</f>
        <v>EMP1019</v>
      </c>
      <c r="B1020" s="14" t="n">
        <f aca="false">Raw_Data!B1020</f>
        <v>43965</v>
      </c>
      <c r="C1020" s="14" t="n">
        <f aca="false">IF(Raw_Data!C1020="","",Raw_Data!C1020)</f>
        <v>44925</v>
      </c>
      <c r="D1020" s="13" t="n">
        <f aca="false">IF(Raw_Data!D1020="","",Raw_Data!D1020)</f>
        <v>28</v>
      </c>
      <c r="E1020" s="13" t="str">
        <f aca="false">IF(UPPER(LEFT(TRIM(Raw_Data!E1020),1))="M","Male",IF(UPPER(LEFT(TRIM(Raw_Data!E1020),1))="F","Female","Unknown"))</f>
        <v>Male</v>
      </c>
      <c r="F1020" s="13" t="str">
        <f aca="false">PROPER(TRIM(SUBSTITUTE(Raw_Data!F1020,"'","")))</f>
        <v>Bachelors</v>
      </c>
      <c r="G1020" s="13" t="str">
        <f aca="false">PROPER(TRIM(Raw_Data!G1020))</f>
        <v>Finance</v>
      </c>
      <c r="H1020" s="13" t="str">
        <f aca="false">PROPER(TRIM(Raw_Data!H1020))</f>
        <v>Senior Analyst</v>
      </c>
      <c r="I1020" s="13" t="n">
        <f aca="false">IF(Raw_Data!I1020="",DefaultPerf,Raw_Data!I1020)</f>
        <v>3</v>
      </c>
      <c r="J1020" s="13" t="n">
        <f aca="false">IF(Raw_Data!J1020="",DefaultSat,Raw_Data!J1020)</f>
        <v>1</v>
      </c>
      <c r="K1020" s="15" t="n">
        <f aca="false">Raw_Data!K1020</f>
        <v>87000</v>
      </c>
      <c r="L1020" s="13" t="str">
        <f aca="false">PROPER(TRIM(Raw_Data!N1020))</f>
        <v>No</v>
      </c>
      <c r="M1020" s="13" t="n">
        <f aca="false">IF(C1020="",0,1)</f>
        <v>1</v>
      </c>
      <c r="N1020" s="13" t="str">
        <f aca="false">IF(M1020=0,"Active",IF(TRIM(Raw_Data!L1020)="","Unknown",PROPER(TRIM(Raw_Data!L1020))))</f>
        <v>Voluntary</v>
      </c>
      <c r="O1020" s="13" t="str">
        <f aca="false">IF(M1020=0,"",IF(TRIM(Raw_Data!M1020)="","Not Recorded",TRIM(Raw_Data!M1020)))</f>
        <v>Better Compensation</v>
      </c>
      <c r="P1020" s="16" t="n">
        <f aca="false">ROUND((IF(C1020="",AsOfDate,C1020)-B1020)/365.25,2)</f>
        <v>2.63</v>
      </c>
      <c r="Q1020" s="13" t="str">
        <f aca="false">IF(D1020="","Unknown",IF(D1020&lt;25,"Under 25",IF(D1020&lt;35,"25-34",IF(D1020&lt;45,"35-44",IF(D1020&lt;55,"45-54","55+")))))</f>
        <v>25-34</v>
      </c>
      <c r="R1020" s="13" t="str">
        <f aca="false">IF(P1020&lt;1,"0-1 yrs",IF(P1020&lt;3,"1-3 yrs",IF(P1020&lt;5,"3-5 yrs",IF(P1020&lt;10,"5-10 yrs","10+ yrs"))))</f>
        <v>1-3 yrs</v>
      </c>
      <c r="S1020" s="13" t="str">
        <f aca="false">IF(I1020&gt;=4,"High",IF(I1020=3,"Medium","Low"))</f>
        <v>Medium</v>
      </c>
      <c r="T1020" s="13" t="n">
        <f aca="false">IF(M1020=1,YEAR(C1020),"")</f>
        <v>2022</v>
      </c>
      <c r="U1020" s="13" t="str">
        <f aca="false">IF(M1020=1,YEAR(C1020)&amp;"-Q"&amp;ROUNDUP(MONTH(C1020)/3,0),"")</f>
        <v>2022-Q4</v>
      </c>
      <c r="V1020" s="13" t="n">
        <f aca="false">IF(M1020=1,MONTH(C1020),"")</f>
        <v>12</v>
      </c>
    </row>
    <row r="1021" customFormat="false" ht="15" hidden="false" customHeight="false" outlineLevel="0" collapsed="false">
      <c r="A1021" s="13" t="str">
        <f aca="false">TRIM(Raw_Data!A1021)</f>
        <v>EMP1020</v>
      </c>
      <c r="B1021" s="14" t="n">
        <f aca="false">Raw_Data!B1021</f>
        <v>43967</v>
      </c>
      <c r="C1021" s="14" t="str">
        <f aca="false">IF(Raw_Data!C1021="","",Raw_Data!C1021)</f>
        <v/>
      </c>
      <c r="D1021" s="13" t="n">
        <f aca="false">IF(Raw_Data!D1021="","",Raw_Data!D1021)</f>
        <v>31</v>
      </c>
      <c r="E1021" s="13" t="str">
        <f aca="false">IF(UPPER(LEFT(TRIM(Raw_Data!E1021),1))="M","Male",IF(UPPER(LEFT(TRIM(Raw_Data!E1021),1))="F","Female","Unknown"))</f>
        <v>Female</v>
      </c>
      <c r="F1021" s="13" t="str">
        <f aca="false">PROPER(TRIM(SUBSTITUTE(Raw_Data!F1021,"'","")))</f>
        <v>Bachelors</v>
      </c>
      <c r="G1021" s="13" t="str">
        <f aca="false">PROPER(TRIM(Raw_Data!G1021))</f>
        <v>Engineering</v>
      </c>
      <c r="H1021" s="13" t="str">
        <f aca="false">PROPER(TRIM(Raw_Data!H1021))</f>
        <v>Associate</v>
      </c>
      <c r="I1021" s="13" t="n">
        <f aca="false">IF(Raw_Data!I1021="",DefaultPerf,Raw_Data!I1021)</f>
        <v>4</v>
      </c>
      <c r="J1021" s="13" t="n">
        <f aca="false">IF(Raw_Data!J1021="",DefaultSat,Raw_Data!J1021)</f>
        <v>4</v>
      </c>
      <c r="K1021" s="15" t="n">
        <f aca="false">Raw_Data!K1021</f>
        <v>43500</v>
      </c>
      <c r="L1021" s="13" t="str">
        <f aca="false">PROPER(TRIM(Raw_Data!N1021))</f>
        <v>Yes</v>
      </c>
      <c r="M1021" s="13" t="n">
        <f aca="false">IF(C1021="",0,1)</f>
        <v>0</v>
      </c>
      <c r="N1021" s="13" t="str">
        <f aca="false">IF(M1021=0,"Active",IF(TRIM(Raw_Data!L1021)="","Unknown",PROPER(TRIM(Raw_Data!L1021))))</f>
        <v>Active</v>
      </c>
      <c r="O1021" s="13" t="str">
        <f aca="false">IF(M1021=0,"",IF(TRIM(Raw_Data!M1021)="","Not Recorded",TRIM(Raw_Data!M1021)))</f>
        <v/>
      </c>
      <c r="P1021" s="16" t="n">
        <f aca="false">ROUND((IF(C1021="",AsOfDate,C1021)-B1021)/365.25,2)</f>
        <v>5.63</v>
      </c>
      <c r="Q1021" s="13" t="str">
        <f aca="false">IF(D1021="","Unknown",IF(D1021&lt;25,"Under 25",IF(D1021&lt;35,"25-34",IF(D1021&lt;45,"35-44",IF(D1021&lt;55,"45-54","55+")))))</f>
        <v>25-34</v>
      </c>
      <c r="R1021" s="13" t="str">
        <f aca="false">IF(P1021&lt;1,"0-1 yrs",IF(P1021&lt;3,"1-3 yrs",IF(P1021&lt;5,"3-5 yrs",IF(P1021&lt;10,"5-10 yrs","10+ yrs"))))</f>
        <v>5-10 yrs</v>
      </c>
      <c r="S1021" s="13" t="str">
        <f aca="false">IF(I1021&gt;=4,"High",IF(I1021=3,"Medium","Low"))</f>
        <v>High</v>
      </c>
      <c r="T1021" s="13" t="str">
        <f aca="false">IF(M1021=1,YEAR(C1021),"")</f>
        <v/>
      </c>
      <c r="U1021" s="13" t="str">
        <f aca="false">IF(M1021=1,YEAR(C1021)&amp;"-Q"&amp;ROUNDUP(MONTH(C1021)/3,0),"")</f>
        <v/>
      </c>
      <c r="V1021" s="13" t="str">
        <f aca="false">IF(M1021=1,MONTH(C1021),"")</f>
        <v/>
      </c>
    </row>
    <row r="1022" customFormat="false" ht="15" hidden="false" customHeight="false" outlineLevel="0" collapsed="false">
      <c r="A1022" s="13" t="str">
        <f aca="false">TRIM(Raw_Data!A1022)</f>
        <v>EMP1021</v>
      </c>
      <c r="B1022" s="14" t="n">
        <f aca="false">Raw_Data!B1022</f>
        <v>43979</v>
      </c>
      <c r="C1022" s="14" t="str">
        <f aca="false">IF(Raw_Data!C1022="","",Raw_Data!C1022)</f>
        <v/>
      </c>
      <c r="D1022" s="13" t="n">
        <f aca="false">IF(Raw_Data!D1022="","",Raw_Data!D1022)</f>
        <v>35</v>
      </c>
      <c r="E1022" s="13" t="str">
        <f aca="false">IF(UPPER(LEFT(TRIM(Raw_Data!E1022),1))="M","Male",IF(UPPER(LEFT(TRIM(Raw_Data!E1022),1))="F","Female","Unknown"))</f>
        <v>Female</v>
      </c>
      <c r="F1022" s="13" t="str">
        <f aca="false">PROPER(TRIM(SUBSTITUTE(Raw_Data!F1022,"'","")))</f>
        <v>Masters</v>
      </c>
      <c r="G1022" s="13" t="str">
        <f aca="false">PROPER(TRIM(Raw_Data!G1022))</f>
        <v>Engineering</v>
      </c>
      <c r="H1022" s="13" t="str">
        <f aca="false">PROPER(TRIM(Raw_Data!H1022))</f>
        <v>Senior Analyst</v>
      </c>
      <c r="I1022" s="13" t="n">
        <f aca="false">IF(Raw_Data!I1022="",DefaultPerf,Raw_Data!I1022)</f>
        <v>5</v>
      </c>
      <c r="J1022" s="13" t="n">
        <f aca="false">IF(Raw_Data!J1022="",DefaultSat,Raw_Data!J1022)</f>
        <v>3</v>
      </c>
      <c r="K1022" s="15" t="n">
        <f aca="false">Raw_Data!K1022</f>
        <v>100000</v>
      </c>
      <c r="L1022" s="13" t="str">
        <f aca="false">PROPER(TRIM(Raw_Data!N1022))</f>
        <v>No</v>
      </c>
      <c r="M1022" s="13" t="n">
        <f aca="false">IF(C1022="",0,1)</f>
        <v>0</v>
      </c>
      <c r="N1022" s="13" t="str">
        <f aca="false">IF(M1022=0,"Active",IF(TRIM(Raw_Data!L1022)="","Unknown",PROPER(TRIM(Raw_Data!L1022))))</f>
        <v>Active</v>
      </c>
      <c r="O1022" s="13" t="str">
        <f aca="false">IF(M1022=0,"",IF(TRIM(Raw_Data!M1022)="","Not Recorded",TRIM(Raw_Data!M1022)))</f>
        <v/>
      </c>
      <c r="P1022" s="16" t="n">
        <f aca="false">ROUND((IF(C1022="",AsOfDate,C1022)-B1022)/365.25,2)</f>
        <v>5.59</v>
      </c>
      <c r="Q1022" s="13" t="str">
        <f aca="false">IF(D1022="","Unknown",IF(D1022&lt;25,"Under 25",IF(D1022&lt;35,"25-34",IF(D1022&lt;45,"35-44",IF(D1022&lt;55,"45-54","55+")))))</f>
        <v>35-44</v>
      </c>
      <c r="R1022" s="13" t="str">
        <f aca="false">IF(P1022&lt;1,"0-1 yrs",IF(P1022&lt;3,"1-3 yrs",IF(P1022&lt;5,"3-5 yrs",IF(P1022&lt;10,"5-10 yrs","10+ yrs"))))</f>
        <v>5-10 yrs</v>
      </c>
      <c r="S1022" s="13" t="str">
        <f aca="false">IF(I1022&gt;=4,"High",IF(I1022=3,"Medium","Low"))</f>
        <v>High</v>
      </c>
      <c r="T1022" s="13" t="str">
        <f aca="false">IF(M1022=1,YEAR(C1022),"")</f>
        <v/>
      </c>
      <c r="U1022" s="13" t="str">
        <f aca="false">IF(M1022=1,YEAR(C1022)&amp;"-Q"&amp;ROUNDUP(MONTH(C1022)/3,0),"")</f>
        <v/>
      </c>
      <c r="V1022" s="13" t="str">
        <f aca="false">IF(M1022=1,MONTH(C1022),"")</f>
        <v/>
      </c>
    </row>
    <row r="1023" customFormat="false" ht="15" hidden="false" customHeight="false" outlineLevel="0" collapsed="false">
      <c r="A1023" s="13" t="str">
        <f aca="false">TRIM(Raw_Data!A1023)</f>
        <v>EMP1022</v>
      </c>
      <c r="B1023" s="14" t="n">
        <f aca="false">Raw_Data!B1023</f>
        <v>43989</v>
      </c>
      <c r="C1023" s="14" t="n">
        <f aca="false">IF(Raw_Data!C1023="","",Raw_Data!C1023)</f>
        <v>45038</v>
      </c>
      <c r="D1023" s="13" t="n">
        <f aca="false">IF(Raw_Data!D1023="","",Raw_Data!D1023)</f>
        <v>33</v>
      </c>
      <c r="E1023" s="13" t="str">
        <f aca="false">IF(UPPER(LEFT(TRIM(Raw_Data!E1023),1))="M","Male",IF(UPPER(LEFT(TRIM(Raw_Data!E1023),1))="F","Female","Unknown"))</f>
        <v>Female</v>
      </c>
      <c r="F1023" s="13" t="str">
        <f aca="false">PROPER(TRIM(SUBSTITUTE(Raw_Data!F1023,"'","")))</f>
        <v>Bachelors</v>
      </c>
      <c r="G1023" s="13" t="str">
        <f aca="false">PROPER(TRIM(Raw_Data!G1023))</f>
        <v>Engineering</v>
      </c>
      <c r="H1023" s="13" t="str">
        <f aca="false">PROPER(TRIM(Raw_Data!H1023))</f>
        <v>Specialist</v>
      </c>
      <c r="I1023" s="13" t="n">
        <f aca="false">IF(Raw_Data!I1023="",DefaultPerf,Raw_Data!I1023)</f>
        <v>3</v>
      </c>
      <c r="J1023" s="13" t="n">
        <f aca="false">IF(Raw_Data!J1023="",DefaultSat,Raw_Data!J1023)</f>
        <v>3</v>
      </c>
      <c r="K1023" s="15" t="n">
        <f aca="false">Raw_Data!K1023</f>
        <v>101000</v>
      </c>
      <c r="L1023" s="13" t="str">
        <f aca="false">PROPER(TRIM(Raw_Data!N1023))</f>
        <v>No</v>
      </c>
      <c r="M1023" s="13" t="n">
        <f aca="false">IF(C1023="",0,1)</f>
        <v>1</v>
      </c>
      <c r="N1023" s="13" t="str">
        <f aca="false">IF(M1023=0,"Active",IF(TRIM(Raw_Data!L1023)="","Unknown",PROPER(TRIM(Raw_Data!L1023))))</f>
        <v>Voluntary</v>
      </c>
      <c r="O1023" s="13" t="str">
        <f aca="false">IF(M1023=0,"",IF(TRIM(Raw_Data!M1023)="","Not Recorded",TRIM(Raw_Data!M1023)))</f>
        <v>Career Growth</v>
      </c>
      <c r="P1023" s="16" t="n">
        <f aca="false">ROUND((IF(C1023="",AsOfDate,C1023)-B1023)/365.25,2)</f>
        <v>2.87</v>
      </c>
      <c r="Q1023" s="13" t="str">
        <f aca="false">IF(D1023="","Unknown",IF(D1023&lt;25,"Under 25",IF(D1023&lt;35,"25-34",IF(D1023&lt;45,"35-44",IF(D1023&lt;55,"45-54","55+")))))</f>
        <v>25-34</v>
      </c>
      <c r="R1023" s="13" t="str">
        <f aca="false">IF(P1023&lt;1,"0-1 yrs",IF(P1023&lt;3,"1-3 yrs",IF(P1023&lt;5,"3-5 yrs",IF(P1023&lt;10,"5-10 yrs","10+ yrs"))))</f>
        <v>1-3 yrs</v>
      </c>
      <c r="S1023" s="13" t="str">
        <f aca="false">IF(I1023&gt;=4,"High",IF(I1023=3,"Medium","Low"))</f>
        <v>Medium</v>
      </c>
      <c r="T1023" s="13" t="n">
        <f aca="false">IF(M1023=1,YEAR(C1023),"")</f>
        <v>2023</v>
      </c>
      <c r="U1023" s="13" t="str">
        <f aca="false">IF(M1023=1,YEAR(C1023)&amp;"-Q"&amp;ROUNDUP(MONTH(C1023)/3,0),"")</f>
        <v>2023-Q2</v>
      </c>
      <c r="V1023" s="13" t="n">
        <f aca="false">IF(M1023=1,MONTH(C1023),"")</f>
        <v>4</v>
      </c>
    </row>
    <row r="1024" customFormat="false" ht="15" hidden="false" customHeight="false" outlineLevel="0" collapsed="false">
      <c r="A1024" s="13" t="str">
        <f aca="false">TRIM(Raw_Data!A1024)</f>
        <v>EMP1023</v>
      </c>
      <c r="B1024" s="14" t="n">
        <f aca="false">Raw_Data!B1024</f>
        <v>43995</v>
      </c>
      <c r="C1024" s="14" t="str">
        <f aca="false">IF(Raw_Data!C1024="","",Raw_Data!C1024)</f>
        <v/>
      </c>
      <c r="D1024" s="13" t="n">
        <f aca="false">IF(Raw_Data!D1024="","",Raw_Data!D1024)</f>
        <v>34</v>
      </c>
      <c r="E1024" s="13" t="str">
        <f aca="false">IF(UPPER(LEFT(TRIM(Raw_Data!E1024),1))="M","Male",IF(UPPER(LEFT(TRIM(Raw_Data!E1024),1))="F","Female","Unknown"))</f>
        <v>Female</v>
      </c>
      <c r="F1024" s="13" t="str">
        <f aca="false">PROPER(TRIM(SUBSTITUTE(Raw_Data!F1024,"'","")))</f>
        <v>Bachelors</v>
      </c>
      <c r="G1024" s="13" t="str">
        <f aca="false">PROPER(TRIM(Raw_Data!G1024))</f>
        <v>Operations</v>
      </c>
      <c r="H1024" s="13" t="str">
        <f aca="false">PROPER(TRIM(Raw_Data!H1024))</f>
        <v>Senior Analyst</v>
      </c>
      <c r="I1024" s="13" t="n">
        <f aca="false">IF(Raw_Data!I1024="",DefaultPerf,Raw_Data!I1024)</f>
        <v>4</v>
      </c>
      <c r="J1024" s="13" t="n">
        <f aca="false">IF(Raw_Data!J1024="",DefaultSat,Raw_Data!J1024)</f>
        <v>3</v>
      </c>
      <c r="K1024" s="15" t="n">
        <f aca="false">Raw_Data!K1024</f>
        <v>97000</v>
      </c>
      <c r="L1024" s="13" t="str">
        <f aca="false">PROPER(TRIM(Raw_Data!N1024))</f>
        <v>Yes</v>
      </c>
      <c r="M1024" s="13" t="n">
        <f aca="false">IF(C1024="",0,1)</f>
        <v>0</v>
      </c>
      <c r="N1024" s="13" t="str">
        <f aca="false">IF(M1024=0,"Active",IF(TRIM(Raw_Data!L1024)="","Unknown",PROPER(TRIM(Raw_Data!L1024))))</f>
        <v>Active</v>
      </c>
      <c r="O1024" s="13" t="str">
        <f aca="false">IF(M1024=0,"",IF(TRIM(Raw_Data!M1024)="","Not Recorded",TRIM(Raw_Data!M1024)))</f>
        <v/>
      </c>
      <c r="P1024" s="16" t="n">
        <f aca="false">ROUND((IF(C1024="",AsOfDate,C1024)-B1024)/365.25,2)</f>
        <v>5.55</v>
      </c>
      <c r="Q1024" s="13" t="str">
        <f aca="false">IF(D1024="","Unknown",IF(D1024&lt;25,"Under 25",IF(D1024&lt;35,"25-34",IF(D1024&lt;45,"35-44",IF(D1024&lt;55,"45-54","55+")))))</f>
        <v>25-34</v>
      </c>
      <c r="R1024" s="13" t="str">
        <f aca="false">IF(P1024&lt;1,"0-1 yrs",IF(P1024&lt;3,"1-3 yrs",IF(P1024&lt;5,"3-5 yrs",IF(P1024&lt;10,"5-10 yrs","10+ yrs"))))</f>
        <v>5-10 yrs</v>
      </c>
      <c r="S1024" s="13" t="str">
        <f aca="false">IF(I1024&gt;=4,"High",IF(I1024=3,"Medium","Low"))</f>
        <v>High</v>
      </c>
      <c r="T1024" s="13" t="str">
        <f aca="false">IF(M1024=1,YEAR(C1024),"")</f>
        <v/>
      </c>
      <c r="U1024" s="13" t="str">
        <f aca="false">IF(M1024=1,YEAR(C1024)&amp;"-Q"&amp;ROUNDUP(MONTH(C1024)/3,0),"")</f>
        <v/>
      </c>
      <c r="V1024" s="13" t="str">
        <f aca="false">IF(M1024=1,MONTH(C1024),"")</f>
        <v/>
      </c>
    </row>
    <row r="1025" customFormat="false" ht="15" hidden="false" customHeight="false" outlineLevel="0" collapsed="false">
      <c r="A1025" s="13" t="str">
        <f aca="false">TRIM(Raw_Data!A1025)</f>
        <v>EMP1024</v>
      </c>
      <c r="B1025" s="14" t="n">
        <f aca="false">Raw_Data!B1025</f>
        <v>43997</v>
      </c>
      <c r="C1025" s="14" t="n">
        <f aca="false">IF(Raw_Data!C1025="","",Raw_Data!C1025)</f>
        <v>45743</v>
      </c>
      <c r="D1025" s="13" t="n">
        <f aca="false">IF(Raw_Data!D1025="","",Raw_Data!D1025)</f>
        <v>29</v>
      </c>
      <c r="E1025" s="13" t="str">
        <f aca="false">IF(UPPER(LEFT(TRIM(Raw_Data!E1025),1))="M","Male",IF(UPPER(LEFT(TRIM(Raw_Data!E1025),1))="F","Female","Unknown"))</f>
        <v>Male</v>
      </c>
      <c r="F1025" s="13" t="str">
        <f aca="false">PROPER(TRIM(SUBSTITUTE(Raw_Data!F1025,"'","")))</f>
        <v>Masters</v>
      </c>
      <c r="G1025" s="13" t="str">
        <f aca="false">PROPER(TRIM(Raw_Data!G1025))</f>
        <v>Sales</v>
      </c>
      <c r="H1025" s="13" t="str">
        <f aca="false">PROPER(TRIM(Raw_Data!H1025))</f>
        <v>Specialist</v>
      </c>
      <c r="I1025" s="13" t="n">
        <f aca="false">IF(Raw_Data!I1025="",DefaultPerf,Raw_Data!I1025)</f>
        <v>4</v>
      </c>
      <c r="J1025" s="13" t="n">
        <f aca="false">IF(Raw_Data!J1025="",DefaultSat,Raw_Data!J1025)</f>
        <v>2</v>
      </c>
      <c r="K1025" s="15" t="n">
        <f aca="false">Raw_Data!K1025</f>
        <v>119000</v>
      </c>
      <c r="L1025" s="13" t="str">
        <f aca="false">PROPER(TRIM(Raw_Data!N1025))</f>
        <v>Yes</v>
      </c>
      <c r="M1025" s="13" t="n">
        <f aca="false">IF(C1025="",0,1)</f>
        <v>1</v>
      </c>
      <c r="N1025" s="13" t="str">
        <f aca="false">IF(M1025=0,"Active",IF(TRIM(Raw_Data!L1025)="","Unknown",PROPER(TRIM(Raw_Data!L1025))))</f>
        <v>Voluntary</v>
      </c>
      <c r="O1025" s="13" t="str">
        <f aca="false">IF(M1025=0,"",IF(TRIM(Raw_Data!M1025)="","Not Recorded",TRIM(Raw_Data!M1025)))</f>
        <v>Career Growth</v>
      </c>
      <c r="P1025" s="16" t="n">
        <f aca="false">ROUND((IF(C1025="",AsOfDate,C1025)-B1025)/365.25,2)</f>
        <v>4.78</v>
      </c>
      <c r="Q1025" s="13" t="str">
        <f aca="false">IF(D1025="","Unknown",IF(D1025&lt;25,"Under 25",IF(D1025&lt;35,"25-34",IF(D1025&lt;45,"35-44",IF(D1025&lt;55,"45-54","55+")))))</f>
        <v>25-34</v>
      </c>
      <c r="R1025" s="13" t="str">
        <f aca="false">IF(P1025&lt;1,"0-1 yrs",IF(P1025&lt;3,"1-3 yrs",IF(P1025&lt;5,"3-5 yrs",IF(P1025&lt;10,"5-10 yrs","10+ yrs"))))</f>
        <v>3-5 yrs</v>
      </c>
      <c r="S1025" s="13" t="str">
        <f aca="false">IF(I1025&gt;=4,"High",IF(I1025=3,"Medium","Low"))</f>
        <v>High</v>
      </c>
      <c r="T1025" s="13" t="n">
        <f aca="false">IF(M1025=1,YEAR(C1025),"")</f>
        <v>2025</v>
      </c>
      <c r="U1025" s="13" t="str">
        <f aca="false">IF(M1025=1,YEAR(C1025)&amp;"-Q"&amp;ROUNDUP(MONTH(C1025)/3,0),"")</f>
        <v>2025-Q1</v>
      </c>
      <c r="V1025" s="13" t="n">
        <f aca="false">IF(M1025=1,MONTH(C1025),"")</f>
        <v>3</v>
      </c>
    </row>
    <row r="1026" customFormat="false" ht="15" hidden="false" customHeight="false" outlineLevel="0" collapsed="false">
      <c r="A1026" s="13" t="str">
        <f aca="false">TRIM(Raw_Data!A1026)</f>
        <v>EMP1025</v>
      </c>
      <c r="B1026" s="14" t="n">
        <f aca="false">Raw_Data!B1026</f>
        <v>43997</v>
      </c>
      <c r="C1026" s="14" t="str">
        <f aca="false">IF(Raw_Data!C1026="","",Raw_Data!C1026)</f>
        <v/>
      </c>
      <c r="D1026" s="13" t="n">
        <f aca="false">IF(Raw_Data!D1026="","",Raw_Data!D1026)</f>
        <v>29</v>
      </c>
      <c r="E1026" s="13" t="str">
        <f aca="false">IF(UPPER(LEFT(TRIM(Raw_Data!E1026),1))="M","Male",IF(UPPER(LEFT(TRIM(Raw_Data!E1026),1))="F","Female","Unknown"))</f>
        <v>Female</v>
      </c>
      <c r="F1026" s="13" t="str">
        <f aca="false">PROPER(TRIM(SUBSTITUTE(Raw_Data!F1026,"'","")))</f>
        <v>Masters</v>
      </c>
      <c r="G1026" s="13" t="str">
        <f aca="false">PROPER(TRIM(Raw_Data!G1026))</f>
        <v>Sales</v>
      </c>
      <c r="H1026" s="13" t="str">
        <f aca="false">PROPER(TRIM(Raw_Data!H1026))</f>
        <v>Specialist</v>
      </c>
      <c r="I1026" s="13" t="n">
        <f aca="false">IF(Raw_Data!I1026="",DefaultPerf,Raw_Data!I1026)</f>
        <v>4</v>
      </c>
      <c r="J1026" s="13" t="n">
        <f aca="false">IF(Raw_Data!J1026="",DefaultSat,Raw_Data!J1026)</f>
        <v>4</v>
      </c>
      <c r="K1026" s="15" t="n">
        <f aca="false">Raw_Data!K1026</f>
        <v>122000</v>
      </c>
      <c r="L1026" s="13" t="str">
        <f aca="false">PROPER(TRIM(Raw_Data!N1026))</f>
        <v>No</v>
      </c>
      <c r="M1026" s="13" t="n">
        <f aca="false">IF(C1026="",0,1)</f>
        <v>0</v>
      </c>
      <c r="N1026" s="13" t="str">
        <f aca="false">IF(M1026=0,"Active",IF(TRIM(Raw_Data!L1026)="","Unknown",PROPER(TRIM(Raw_Data!L1026))))</f>
        <v>Active</v>
      </c>
      <c r="O1026" s="13" t="str">
        <f aca="false">IF(M1026=0,"",IF(TRIM(Raw_Data!M1026)="","Not Recorded",TRIM(Raw_Data!M1026)))</f>
        <v/>
      </c>
      <c r="P1026" s="16" t="n">
        <f aca="false">ROUND((IF(C1026="",AsOfDate,C1026)-B1026)/365.25,2)</f>
        <v>5.54</v>
      </c>
      <c r="Q1026" s="13" t="str">
        <f aca="false">IF(D1026="","Unknown",IF(D1026&lt;25,"Under 25",IF(D1026&lt;35,"25-34",IF(D1026&lt;45,"35-44",IF(D1026&lt;55,"45-54","55+")))))</f>
        <v>25-34</v>
      </c>
      <c r="R1026" s="13" t="str">
        <f aca="false">IF(P1026&lt;1,"0-1 yrs",IF(P1026&lt;3,"1-3 yrs",IF(P1026&lt;5,"3-5 yrs",IF(P1026&lt;10,"5-10 yrs","10+ yrs"))))</f>
        <v>5-10 yrs</v>
      </c>
      <c r="S1026" s="13" t="str">
        <f aca="false">IF(I1026&gt;=4,"High",IF(I1026=3,"Medium","Low"))</f>
        <v>High</v>
      </c>
      <c r="T1026" s="13" t="str">
        <f aca="false">IF(M1026=1,YEAR(C1026),"")</f>
        <v/>
      </c>
      <c r="U1026" s="13" t="str">
        <f aca="false">IF(M1026=1,YEAR(C1026)&amp;"-Q"&amp;ROUNDUP(MONTH(C1026)/3,0),"")</f>
        <v/>
      </c>
      <c r="V1026" s="13" t="str">
        <f aca="false">IF(M1026=1,MONTH(C1026),"")</f>
        <v/>
      </c>
    </row>
    <row r="1027" customFormat="false" ht="15" hidden="false" customHeight="false" outlineLevel="0" collapsed="false">
      <c r="A1027" s="13" t="str">
        <f aca="false">TRIM(Raw_Data!A1027)</f>
        <v>EMP1026</v>
      </c>
      <c r="B1027" s="14" t="n">
        <f aca="false">Raw_Data!B1027</f>
        <v>44000</v>
      </c>
      <c r="C1027" s="14" t="str">
        <f aca="false">IF(Raw_Data!C1027="","",Raw_Data!C1027)</f>
        <v/>
      </c>
      <c r="D1027" s="13" t="n">
        <f aca="false">IF(Raw_Data!D1027="","",Raw_Data!D1027)</f>
        <v>34</v>
      </c>
      <c r="E1027" s="13" t="str">
        <f aca="false">IF(UPPER(LEFT(TRIM(Raw_Data!E1027),1))="M","Male",IF(UPPER(LEFT(TRIM(Raw_Data!E1027),1))="F","Female","Unknown"))</f>
        <v>Male</v>
      </c>
      <c r="F1027" s="13" t="str">
        <f aca="false">PROPER(TRIM(SUBSTITUTE(Raw_Data!F1027,"'","")))</f>
        <v>Bachelors</v>
      </c>
      <c r="G1027" s="13" t="str">
        <f aca="false">PROPER(TRIM(Raw_Data!G1027))</f>
        <v>Engineering</v>
      </c>
      <c r="H1027" s="13" t="str">
        <f aca="false">PROPER(TRIM(Raw_Data!H1027))</f>
        <v>Analyst</v>
      </c>
      <c r="I1027" s="13" t="n">
        <f aca="false">IF(Raw_Data!I1027="",DefaultPerf,Raw_Data!I1027)</f>
        <v>2</v>
      </c>
      <c r="J1027" s="13" t="n">
        <f aca="false">IF(Raw_Data!J1027="",DefaultSat,Raw_Data!J1027)</f>
        <v>1</v>
      </c>
      <c r="K1027" s="15" t="n">
        <f aca="false">Raw_Data!K1027</f>
        <v>62000</v>
      </c>
      <c r="L1027" s="13" t="str">
        <f aca="false">PROPER(TRIM(Raw_Data!N1027))</f>
        <v>No</v>
      </c>
      <c r="M1027" s="13" t="n">
        <f aca="false">IF(C1027="",0,1)</f>
        <v>0</v>
      </c>
      <c r="N1027" s="13" t="str">
        <f aca="false">IF(M1027=0,"Active",IF(TRIM(Raw_Data!L1027)="","Unknown",PROPER(TRIM(Raw_Data!L1027))))</f>
        <v>Active</v>
      </c>
      <c r="O1027" s="13" t="str">
        <f aca="false">IF(M1027=0,"",IF(TRIM(Raw_Data!M1027)="","Not Recorded",TRIM(Raw_Data!M1027)))</f>
        <v/>
      </c>
      <c r="P1027" s="16" t="n">
        <f aca="false">ROUND((IF(C1027="",AsOfDate,C1027)-B1027)/365.25,2)</f>
        <v>5.54</v>
      </c>
      <c r="Q1027" s="13" t="str">
        <f aca="false">IF(D1027="","Unknown",IF(D1027&lt;25,"Under 25",IF(D1027&lt;35,"25-34",IF(D1027&lt;45,"35-44",IF(D1027&lt;55,"45-54","55+")))))</f>
        <v>25-34</v>
      </c>
      <c r="R1027" s="13" t="str">
        <f aca="false">IF(P1027&lt;1,"0-1 yrs",IF(P1027&lt;3,"1-3 yrs",IF(P1027&lt;5,"3-5 yrs",IF(P1027&lt;10,"5-10 yrs","10+ yrs"))))</f>
        <v>5-10 yrs</v>
      </c>
      <c r="S1027" s="13" t="str">
        <f aca="false">IF(I1027&gt;=4,"High",IF(I1027=3,"Medium","Low"))</f>
        <v>Low</v>
      </c>
      <c r="T1027" s="13" t="str">
        <f aca="false">IF(M1027=1,YEAR(C1027),"")</f>
        <v/>
      </c>
      <c r="U1027" s="13" t="str">
        <f aca="false">IF(M1027=1,YEAR(C1027)&amp;"-Q"&amp;ROUNDUP(MONTH(C1027)/3,0),"")</f>
        <v/>
      </c>
      <c r="V1027" s="13" t="str">
        <f aca="false">IF(M1027=1,MONTH(C1027),"")</f>
        <v/>
      </c>
    </row>
    <row r="1028" customFormat="false" ht="15" hidden="false" customHeight="false" outlineLevel="0" collapsed="false">
      <c r="A1028" s="13" t="str">
        <f aca="false">TRIM(Raw_Data!A1028)</f>
        <v>EMP1027</v>
      </c>
      <c r="B1028" s="14" t="n">
        <f aca="false">Raw_Data!B1028</f>
        <v>44003</v>
      </c>
      <c r="C1028" s="14" t="n">
        <f aca="false">IF(Raw_Data!C1028="","",Raw_Data!C1028)</f>
        <v>45396</v>
      </c>
      <c r="D1028" s="13" t="n">
        <f aca="false">IF(Raw_Data!D1028="","",Raw_Data!D1028)</f>
        <v>31</v>
      </c>
      <c r="E1028" s="13" t="str">
        <f aca="false">IF(UPPER(LEFT(TRIM(Raw_Data!E1028),1))="M","Male",IF(UPPER(LEFT(TRIM(Raw_Data!E1028),1))="F","Female","Unknown"))</f>
        <v>Male</v>
      </c>
      <c r="F1028" s="13" t="str">
        <f aca="false">PROPER(TRIM(SUBSTITUTE(Raw_Data!F1028,"'","")))</f>
        <v>Masters</v>
      </c>
      <c r="G1028" s="13" t="str">
        <f aca="false">PROPER(TRIM(Raw_Data!G1028))</f>
        <v>Sales</v>
      </c>
      <c r="H1028" s="13" t="str">
        <f aca="false">PROPER(TRIM(Raw_Data!H1028))</f>
        <v>Associate</v>
      </c>
      <c r="I1028" s="13" t="n">
        <f aca="false">IF(Raw_Data!I1028="",DefaultPerf,Raw_Data!I1028)</f>
        <v>3</v>
      </c>
      <c r="J1028" s="13" t="n">
        <f aca="false">IF(Raw_Data!J1028="",DefaultSat,Raw_Data!J1028)</f>
        <v>1</v>
      </c>
      <c r="K1028" s="15" t="n">
        <f aca="false">Raw_Data!K1028</f>
        <v>40000</v>
      </c>
      <c r="L1028" s="13" t="str">
        <f aca="false">PROPER(TRIM(Raw_Data!N1028))</f>
        <v>Yes</v>
      </c>
      <c r="M1028" s="13" t="n">
        <f aca="false">IF(C1028="",0,1)</f>
        <v>1</v>
      </c>
      <c r="N1028" s="13" t="str">
        <f aca="false">IF(M1028=0,"Active",IF(TRIM(Raw_Data!L1028)="","Unknown",PROPER(TRIM(Raw_Data!L1028))))</f>
        <v>Voluntary</v>
      </c>
      <c r="O1028" s="13" t="str">
        <f aca="false">IF(M1028=0,"",IF(TRIM(Raw_Data!M1028)="","Not Recorded",TRIM(Raw_Data!M1028)))</f>
        <v>Work-Life Balance</v>
      </c>
      <c r="P1028" s="16" t="n">
        <f aca="false">ROUND((IF(C1028="",AsOfDate,C1028)-B1028)/365.25,2)</f>
        <v>3.81</v>
      </c>
      <c r="Q1028" s="13" t="str">
        <f aca="false">IF(D1028="","Unknown",IF(D1028&lt;25,"Under 25",IF(D1028&lt;35,"25-34",IF(D1028&lt;45,"35-44",IF(D1028&lt;55,"45-54","55+")))))</f>
        <v>25-34</v>
      </c>
      <c r="R1028" s="13" t="str">
        <f aca="false">IF(P1028&lt;1,"0-1 yrs",IF(P1028&lt;3,"1-3 yrs",IF(P1028&lt;5,"3-5 yrs",IF(P1028&lt;10,"5-10 yrs","10+ yrs"))))</f>
        <v>3-5 yrs</v>
      </c>
      <c r="S1028" s="13" t="str">
        <f aca="false">IF(I1028&gt;=4,"High",IF(I1028=3,"Medium","Low"))</f>
        <v>Medium</v>
      </c>
      <c r="T1028" s="13" t="n">
        <f aca="false">IF(M1028=1,YEAR(C1028),"")</f>
        <v>2024</v>
      </c>
      <c r="U1028" s="13" t="str">
        <f aca="false">IF(M1028=1,YEAR(C1028)&amp;"-Q"&amp;ROUNDUP(MONTH(C1028)/3,0),"")</f>
        <v>2024-Q2</v>
      </c>
      <c r="V1028" s="13" t="n">
        <f aca="false">IF(M1028=1,MONTH(C1028),"")</f>
        <v>4</v>
      </c>
    </row>
    <row r="1029" customFormat="false" ht="15" hidden="false" customHeight="false" outlineLevel="0" collapsed="false">
      <c r="A1029" s="13" t="str">
        <f aca="false">TRIM(Raw_Data!A1029)</f>
        <v>EMP1028</v>
      </c>
      <c r="B1029" s="14" t="n">
        <f aca="false">Raw_Data!B1029</f>
        <v>44003</v>
      </c>
      <c r="C1029" s="14" t="n">
        <f aca="false">IF(Raw_Data!C1029="","",Raw_Data!C1029)</f>
        <v>45743</v>
      </c>
      <c r="D1029" s="13" t="n">
        <f aca="false">IF(Raw_Data!D1029="","",Raw_Data!D1029)</f>
        <v>28</v>
      </c>
      <c r="E1029" s="13" t="str">
        <f aca="false">IF(UPPER(LEFT(TRIM(Raw_Data!E1029),1))="M","Male",IF(UPPER(LEFT(TRIM(Raw_Data!E1029),1))="F","Female","Unknown"))</f>
        <v>Male</v>
      </c>
      <c r="F1029" s="13" t="str">
        <f aca="false">PROPER(TRIM(SUBSTITUTE(Raw_Data!F1029,"'","")))</f>
        <v>Masters</v>
      </c>
      <c r="G1029" s="13" t="str">
        <f aca="false">PROPER(TRIM(Raw_Data!G1029))</f>
        <v>Engineering</v>
      </c>
      <c r="H1029" s="13" t="str">
        <f aca="false">PROPER(TRIM(Raw_Data!H1029))</f>
        <v>Specialist</v>
      </c>
      <c r="I1029" s="13" t="n">
        <f aca="false">IF(Raw_Data!I1029="",DefaultPerf,Raw_Data!I1029)</f>
        <v>3</v>
      </c>
      <c r="J1029" s="13" t="n">
        <f aca="false">IF(Raw_Data!J1029="",DefaultSat,Raw_Data!J1029)</f>
        <v>4</v>
      </c>
      <c r="K1029" s="15" t="n">
        <f aca="false">Raw_Data!K1029</f>
        <v>132500</v>
      </c>
      <c r="L1029" s="13" t="str">
        <f aca="false">PROPER(TRIM(Raw_Data!N1029))</f>
        <v>Yes</v>
      </c>
      <c r="M1029" s="13" t="n">
        <f aca="false">IF(C1029="",0,1)</f>
        <v>1</v>
      </c>
      <c r="N1029" s="13" t="str">
        <f aca="false">IF(M1029=0,"Active",IF(TRIM(Raw_Data!L1029)="","Unknown",PROPER(TRIM(Raw_Data!L1029))))</f>
        <v>Voluntary</v>
      </c>
      <c r="O1029" s="13" t="str">
        <f aca="false">IF(M1029=0,"",IF(TRIM(Raw_Data!M1029)="","Not Recorded",TRIM(Raw_Data!M1029)))</f>
        <v>Manager Issues</v>
      </c>
      <c r="P1029" s="16" t="n">
        <f aca="false">ROUND((IF(C1029="",AsOfDate,C1029)-B1029)/365.25,2)</f>
        <v>4.76</v>
      </c>
      <c r="Q1029" s="13" t="str">
        <f aca="false">IF(D1029="","Unknown",IF(D1029&lt;25,"Under 25",IF(D1029&lt;35,"25-34",IF(D1029&lt;45,"35-44",IF(D1029&lt;55,"45-54","55+")))))</f>
        <v>25-34</v>
      </c>
      <c r="R1029" s="13" t="str">
        <f aca="false">IF(P1029&lt;1,"0-1 yrs",IF(P1029&lt;3,"1-3 yrs",IF(P1029&lt;5,"3-5 yrs",IF(P1029&lt;10,"5-10 yrs","10+ yrs"))))</f>
        <v>3-5 yrs</v>
      </c>
      <c r="S1029" s="13" t="str">
        <f aca="false">IF(I1029&gt;=4,"High",IF(I1029=3,"Medium","Low"))</f>
        <v>Medium</v>
      </c>
      <c r="T1029" s="13" t="n">
        <f aca="false">IF(M1029=1,YEAR(C1029),"")</f>
        <v>2025</v>
      </c>
      <c r="U1029" s="13" t="str">
        <f aca="false">IF(M1029=1,YEAR(C1029)&amp;"-Q"&amp;ROUNDUP(MONTH(C1029)/3,0),"")</f>
        <v>2025-Q1</v>
      </c>
      <c r="V1029" s="13" t="n">
        <f aca="false">IF(M1029=1,MONTH(C1029),"")</f>
        <v>3</v>
      </c>
    </row>
    <row r="1030" customFormat="false" ht="15" hidden="false" customHeight="false" outlineLevel="0" collapsed="false">
      <c r="A1030" s="13" t="str">
        <f aca="false">TRIM(Raw_Data!A1030)</f>
        <v>EMP1029</v>
      </c>
      <c r="B1030" s="14" t="n">
        <f aca="false">Raw_Data!B1030</f>
        <v>44008</v>
      </c>
      <c r="C1030" s="14" t="str">
        <f aca="false">IF(Raw_Data!C1030="","",Raw_Data!C1030)</f>
        <v/>
      </c>
      <c r="D1030" s="13" t="n">
        <f aca="false">IF(Raw_Data!D1030="","",Raw_Data!D1030)</f>
        <v>37</v>
      </c>
      <c r="E1030" s="13" t="str">
        <f aca="false">IF(UPPER(LEFT(TRIM(Raw_Data!E1030),1))="M","Male",IF(UPPER(LEFT(TRIM(Raw_Data!E1030),1))="F","Female","Unknown"))</f>
        <v>Male</v>
      </c>
      <c r="F1030" s="13" t="str">
        <f aca="false">PROPER(TRIM(SUBSTITUTE(Raw_Data!F1030,"'","")))</f>
        <v>Masters</v>
      </c>
      <c r="G1030" s="13" t="str">
        <f aca="false">PROPER(TRIM(Raw_Data!G1030))</f>
        <v>Operations</v>
      </c>
      <c r="H1030" s="13" t="str">
        <f aca="false">PROPER(TRIM(Raw_Data!H1030))</f>
        <v>Analyst</v>
      </c>
      <c r="I1030" s="17" t="n">
        <f aca="false">IF(Raw_Data!I1030="",DefaultPerf,Raw_Data!I1030)</f>
        <v>3</v>
      </c>
      <c r="J1030" s="13" t="n">
        <f aca="false">IF(Raw_Data!J1030="",DefaultSat,Raw_Data!J1030)</f>
        <v>4</v>
      </c>
      <c r="K1030" s="15" t="n">
        <f aca="false">Raw_Data!K1030</f>
        <v>67000</v>
      </c>
      <c r="L1030" s="13" t="str">
        <f aca="false">PROPER(TRIM(Raw_Data!N1030))</f>
        <v>Yes</v>
      </c>
      <c r="M1030" s="13" t="n">
        <f aca="false">IF(C1030="",0,1)</f>
        <v>0</v>
      </c>
      <c r="N1030" s="13" t="str">
        <f aca="false">IF(M1030=0,"Active",IF(TRIM(Raw_Data!L1030)="","Unknown",PROPER(TRIM(Raw_Data!L1030))))</f>
        <v>Active</v>
      </c>
      <c r="O1030" s="13" t="str">
        <f aca="false">IF(M1030=0,"",IF(TRIM(Raw_Data!M1030)="","Not Recorded",TRIM(Raw_Data!M1030)))</f>
        <v/>
      </c>
      <c r="P1030" s="16" t="n">
        <f aca="false">ROUND((IF(C1030="",AsOfDate,C1030)-B1030)/365.25,2)</f>
        <v>5.51</v>
      </c>
      <c r="Q1030" s="13" t="str">
        <f aca="false">IF(D1030="","Unknown",IF(D1030&lt;25,"Under 25",IF(D1030&lt;35,"25-34",IF(D1030&lt;45,"35-44",IF(D1030&lt;55,"45-54","55+")))))</f>
        <v>35-44</v>
      </c>
      <c r="R1030" s="13" t="str">
        <f aca="false">IF(P1030&lt;1,"0-1 yrs",IF(P1030&lt;3,"1-3 yrs",IF(P1030&lt;5,"3-5 yrs",IF(P1030&lt;10,"5-10 yrs","10+ yrs"))))</f>
        <v>5-10 yrs</v>
      </c>
      <c r="S1030" s="13" t="str">
        <f aca="false">IF(I1030&gt;=4,"High",IF(I1030=3,"Medium","Low"))</f>
        <v>Medium</v>
      </c>
      <c r="T1030" s="13" t="str">
        <f aca="false">IF(M1030=1,YEAR(C1030),"")</f>
        <v/>
      </c>
      <c r="U1030" s="13" t="str">
        <f aca="false">IF(M1030=1,YEAR(C1030)&amp;"-Q"&amp;ROUNDUP(MONTH(C1030)/3,0),"")</f>
        <v/>
      </c>
      <c r="V1030" s="13" t="str">
        <f aca="false">IF(M1030=1,MONTH(C1030),"")</f>
        <v/>
      </c>
    </row>
    <row r="1031" customFormat="false" ht="15" hidden="false" customHeight="false" outlineLevel="0" collapsed="false">
      <c r="A1031" s="13" t="str">
        <f aca="false">TRIM(Raw_Data!A1031)</f>
        <v>EMP1030</v>
      </c>
      <c r="B1031" s="14" t="n">
        <f aca="false">Raw_Data!B1031</f>
        <v>44016</v>
      </c>
      <c r="C1031" s="14" t="n">
        <f aca="false">IF(Raw_Data!C1031="","",Raw_Data!C1031)</f>
        <v>44771</v>
      </c>
      <c r="D1031" s="13" t="n">
        <f aca="false">IF(Raw_Data!D1031="","",Raw_Data!D1031)</f>
        <v>35</v>
      </c>
      <c r="E1031" s="13" t="str">
        <f aca="false">IF(UPPER(LEFT(TRIM(Raw_Data!E1031),1))="M","Male",IF(UPPER(LEFT(TRIM(Raw_Data!E1031),1))="F","Female","Unknown"))</f>
        <v>Male</v>
      </c>
      <c r="F1031" s="13" t="str">
        <f aca="false">PROPER(TRIM(SUBSTITUTE(Raw_Data!F1031,"'","")))</f>
        <v>High School</v>
      </c>
      <c r="G1031" s="13" t="str">
        <f aca="false">PROPER(TRIM(Raw_Data!G1031))</f>
        <v>Operations</v>
      </c>
      <c r="H1031" s="13" t="str">
        <f aca="false">PROPER(TRIM(Raw_Data!H1031))</f>
        <v>Specialist</v>
      </c>
      <c r="I1031" s="13" t="n">
        <f aca="false">IF(Raw_Data!I1031="",DefaultPerf,Raw_Data!I1031)</f>
        <v>3</v>
      </c>
      <c r="J1031" s="13" t="n">
        <f aca="false">IF(Raw_Data!J1031="",DefaultSat,Raw_Data!J1031)</f>
        <v>3</v>
      </c>
      <c r="K1031" s="15" t="n">
        <f aca="false">Raw_Data!K1031</f>
        <v>110000</v>
      </c>
      <c r="L1031" s="13" t="str">
        <f aca="false">PROPER(TRIM(Raw_Data!N1031))</f>
        <v>Yes</v>
      </c>
      <c r="M1031" s="13" t="n">
        <f aca="false">IF(C1031="",0,1)</f>
        <v>1</v>
      </c>
      <c r="N1031" s="13" t="str">
        <f aca="false">IF(M1031=0,"Active",IF(TRIM(Raw_Data!L1031)="","Unknown",PROPER(TRIM(Raw_Data!L1031))))</f>
        <v>Voluntary</v>
      </c>
      <c r="O1031" s="13" t="str">
        <f aca="false">IF(M1031=0,"",IF(TRIM(Raw_Data!M1031)="","Not Recorded",TRIM(Raw_Data!M1031)))</f>
        <v>Job Dissatisfaction</v>
      </c>
      <c r="P1031" s="16" t="n">
        <f aca="false">ROUND((IF(C1031="",AsOfDate,C1031)-B1031)/365.25,2)</f>
        <v>2.07</v>
      </c>
      <c r="Q1031" s="13" t="str">
        <f aca="false">IF(D1031="","Unknown",IF(D1031&lt;25,"Under 25",IF(D1031&lt;35,"25-34",IF(D1031&lt;45,"35-44",IF(D1031&lt;55,"45-54","55+")))))</f>
        <v>35-44</v>
      </c>
      <c r="R1031" s="13" t="str">
        <f aca="false">IF(P1031&lt;1,"0-1 yrs",IF(P1031&lt;3,"1-3 yrs",IF(P1031&lt;5,"3-5 yrs",IF(P1031&lt;10,"5-10 yrs","10+ yrs"))))</f>
        <v>1-3 yrs</v>
      </c>
      <c r="S1031" s="13" t="str">
        <f aca="false">IF(I1031&gt;=4,"High",IF(I1031=3,"Medium","Low"))</f>
        <v>Medium</v>
      </c>
      <c r="T1031" s="13" t="n">
        <f aca="false">IF(M1031=1,YEAR(C1031),"")</f>
        <v>2022</v>
      </c>
      <c r="U1031" s="13" t="str">
        <f aca="false">IF(M1031=1,YEAR(C1031)&amp;"-Q"&amp;ROUNDUP(MONTH(C1031)/3,0),"")</f>
        <v>2022-Q3</v>
      </c>
      <c r="V1031" s="13" t="n">
        <f aca="false">IF(M1031=1,MONTH(C1031),"")</f>
        <v>7</v>
      </c>
    </row>
    <row r="1032" customFormat="false" ht="15" hidden="false" customHeight="false" outlineLevel="0" collapsed="false">
      <c r="A1032" s="13" t="str">
        <f aca="false">TRIM(Raw_Data!A1032)</f>
        <v>EMP1031</v>
      </c>
      <c r="B1032" s="14" t="n">
        <f aca="false">Raw_Data!B1032</f>
        <v>44018</v>
      </c>
      <c r="C1032" s="14" t="str">
        <f aca="false">IF(Raw_Data!C1032="","",Raw_Data!C1032)</f>
        <v/>
      </c>
      <c r="D1032" s="13" t="n">
        <f aca="false">IF(Raw_Data!D1032="","",Raw_Data!D1032)</f>
        <v>35</v>
      </c>
      <c r="E1032" s="13" t="str">
        <f aca="false">IF(UPPER(LEFT(TRIM(Raw_Data!E1032),1))="M","Male",IF(UPPER(LEFT(TRIM(Raw_Data!E1032),1))="F","Female","Unknown"))</f>
        <v>Male</v>
      </c>
      <c r="F1032" s="13" t="str">
        <f aca="false">PROPER(TRIM(SUBSTITUTE(Raw_Data!F1032,"'","")))</f>
        <v>Masters</v>
      </c>
      <c r="G1032" s="13" t="str">
        <f aca="false">PROPER(TRIM(Raw_Data!G1032))</f>
        <v>Sales</v>
      </c>
      <c r="H1032" s="13" t="str">
        <f aca="false">PROPER(TRIM(Raw_Data!H1032))</f>
        <v>Analyst</v>
      </c>
      <c r="I1032" s="13" t="n">
        <f aca="false">IF(Raw_Data!I1032="",DefaultPerf,Raw_Data!I1032)</f>
        <v>5</v>
      </c>
      <c r="J1032" s="13" t="n">
        <f aca="false">IF(Raw_Data!J1032="",DefaultSat,Raw_Data!J1032)</f>
        <v>2</v>
      </c>
      <c r="K1032" s="15" t="n">
        <f aca="false">Raw_Data!K1032</f>
        <v>67000</v>
      </c>
      <c r="L1032" s="13" t="str">
        <f aca="false">PROPER(TRIM(Raw_Data!N1032))</f>
        <v>No</v>
      </c>
      <c r="M1032" s="13" t="n">
        <f aca="false">IF(C1032="",0,1)</f>
        <v>0</v>
      </c>
      <c r="N1032" s="13" t="str">
        <f aca="false">IF(M1032=0,"Active",IF(TRIM(Raw_Data!L1032)="","Unknown",PROPER(TRIM(Raw_Data!L1032))))</f>
        <v>Active</v>
      </c>
      <c r="O1032" s="13" t="str">
        <f aca="false">IF(M1032=0,"",IF(TRIM(Raw_Data!M1032)="","Not Recorded",TRIM(Raw_Data!M1032)))</f>
        <v/>
      </c>
      <c r="P1032" s="16" t="n">
        <f aca="false">ROUND((IF(C1032="",AsOfDate,C1032)-B1032)/365.25,2)</f>
        <v>5.49</v>
      </c>
      <c r="Q1032" s="13" t="str">
        <f aca="false">IF(D1032="","Unknown",IF(D1032&lt;25,"Under 25",IF(D1032&lt;35,"25-34",IF(D1032&lt;45,"35-44",IF(D1032&lt;55,"45-54","55+")))))</f>
        <v>35-44</v>
      </c>
      <c r="R1032" s="13" t="str">
        <f aca="false">IF(P1032&lt;1,"0-1 yrs",IF(P1032&lt;3,"1-3 yrs",IF(P1032&lt;5,"3-5 yrs",IF(P1032&lt;10,"5-10 yrs","10+ yrs"))))</f>
        <v>5-10 yrs</v>
      </c>
      <c r="S1032" s="13" t="str">
        <f aca="false">IF(I1032&gt;=4,"High",IF(I1032=3,"Medium","Low"))</f>
        <v>High</v>
      </c>
      <c r="T1032" s="13" t="str">
        <f aca="false">IF(M1032=1,YEAR(C1032),"")</f>
        <v/>
      </c>
      <c r="U1032" s="13" t="str">
        <f aca="false">IF(M1032=1,YEAR(C1032)&amp;"-Q"&amp;ROUNDUP(MONTH(C1032)/3,0),"")</f>
        <v/>
      </c>
      <c r="V1032" s="13" t="str">
        <f aca="false">IF(M1032=1,MONTH(C1032),"")</f>
        <v/>
      </c>
    </row>
    <row r="1033" customFormat="false" ht="15" hidden="false" customHeight="false" outlineLevel="0" collapsed="false">
      <c r="A1033" s="13" t="str">
        <f aca="false">TRIM(Raw_Data!A1033)</f>
        <v>EMP1032</v>
      </c>
      <c r="B1033" s="14" t="n">
        <f aca="false">Raw_Data!B1033</f>
        <v>44018</v>
      </c>
      <c r="C1033" s="14" t="n">
        <f aca="false">IF(Raw_Data!C1033="","",Raw_Data!C1033)</f>
        <v>44707</v>
      </c>
      <c r="D1033" s="13" t="n">
        <f aca="false">IF(Raw_Data!D1033="","",Raw_Data!D1033)</f>
        <v>29</v>
      </c>
      <c r="E1033" s="13" t="str">
        <f aca="false">IF(UPPER(LEFT(TRIM(Raw_Data!E1033),1))="M","Male",IF(UPPER(LEFT(TRIM(Raw_Data!E1033),1))="F","Female","Unknown"))</f>
        <v>Male</v>
      </c>
      <c r="F1033" s="13" t="str">
        <f aca="false">PROPER(TRIM(SUBSTITUTE(Raw_Data!F1033,"'","")))</f>
        <v>Bachelors</v>
      </c>
      <c r="G1033" s="13" t="str">
        <f aca="false">PROPER(TRIM(Raw_Data!G1033))</f>
        <v>Engineering</v>
      </c>
      <c r="H1033" s="13" t="str">
        <f aca="false">PROPER(TRIM(Raw_Data!H1033))</f>
        <v>Team Lead</v>
      </c>
      <c r="I1033" s="13" t="n">
        <f aca="false">IF(Raw_Data!I1033="",DefaultPerf,Raw_Data!I1033)</f>
        <v>4</v>
      </c>
      <c r="J1033" s="13" t="n">
        <f aca="false">IF(Raw_Data!J1033="",DefaultSat,Raw_Data!J1033)</f>
        <v>1</v>
      </c>
      <c r="K1033" s="15" t="n">
        <f aca="false">Raw_Data!K1033</f>
        <v>150500</v>
      </c>
      <c r="L1033" s="13" t="str">
        <f aca="false">PROPER(TRIM(Raw_Data!N1033))</f>
        <v>No</v>
      </c>
      <c r="M1033" s="13" t="n">
        <f aca="false">IF(C1033="",0,1)</f>
        <v>1</v>
      </c>
      <c r="N1033" s="13" t="str">
        <f aca="false">IF(M1033=0,"Active",IF(TRIM(Raw_Data!L1033)="","Unknown",PROPER(TRIM(Raw_Data!L1033))))</f>
        <v>Voluntary</v>
      </c>
      <c r="O1033" s="13" t="str">
        <f aca="false">IF(M1033=0,"",IF(TRIM(Raw_Data!M1033)="","Not Recorded",TRIM(Raw_Data!M1033)))</f>
        <v>Work-Life Balance</v>
      </c>
      <c r="P1033" s="16" t="n">
        <f aca="false">ROUND((IF(C1033="",AsOfDate,C1033)-B1033)/365.25,2)</f>
        <v>1.89</v>
      </c>
      <c r="Q1033" s="13" t="str">
        <f aca="false">IF(D1033="","Unknown",IF(D1033&lt;25,"Under 25",IF(D1033&lt;35,"25-34",IF(D1033&lt;45,"35-44",IF(D1033&lt;55,"45-54","55+")))))</f>
        <v>25-34</v>
      </c>
      <c r="R1033" s="13" t="str">
        <f aca="false">IF(P1033&lt;1,"0-1 yrs",IF(P1033&lt;3,"1-3 yrs",IF(P1033&lt;5,"3-5 yrs",IF(P1033&lt;10,"5-10 yrs","10+ yrs"))))</f>
        <v>1-3 yrs</v>
      </c>
      <c r="S1033" s="13" t="str">
        <f aca="false">IF(I1033&gt;=4,"High",IF(I1033=3,"Medium","Low"))</f>
        <v>High</v>
      </c>
      <c r="T1033" s="13" t="n">
        <f aca="false">IF(M1033=1,YEAR(C1033),"")</f>
        <v>2022</v>
      </c>
      <c r="U1033" s="13" t="str">
        <f aca="false">IF(M1033=1,YEAR(C1033)&amp;"-Q"&amp;ROUNDUP(MONTH(C1033)/3,0),"")</f>
        <v>2022-Q2</v>
      </c>
      <c r="V1033" s="13" t="n">
        <f aca="false">IF(M1033=1,MONTH(C1033),"")</f>
        <v>5</v>
      </c>
    </row>
    <row r="1034" customFormat="false" ht="15" hidden="false" customHeight="false" outlineLevel="0" collapsed="false">
      <c r="A1034" s="13" t="str">
        <f aca="false">TRIM(Raw_Data!A1034)</f>
        <v>EMP1033</v>
      </c>
      <c r="B1034" s="14" t="n">
        <f aca="false">Raw_Data!B1034</f>
        <v>44022</v>
      </c>
      <c r="C1034" s="14" t="str">
        <f aca="false">IF(Raw_Data!C1034="","",Raw_Data!C1034)</f>
        <v/>
      </c>
      <c r="D1034" s="13" t="n">
        <f aca="false">IF(Raw_Data!D1034="","",Raw_Data!D1034)</f>
        <v>33</v>
      </c>
      <c r="E1034" s="13" t="str">
        <f aca="false">IF(UPPER(LEFT(TRIM(Raw_Data!E1034),1))="M","Male",IF(UPPER(LEFT(TRIM(Raw_Data!E1034),1))="F","Female","Unknown"))</f>
        <v>Male</v>
      </c>
      <c r="F1034" s="13" t="str">
        <f aca="false">PROPER(TRIM(SUBSTITUTE(Raw_Data!F1034,"'","")))</f>
        <v>Bachelors</v>
      </c>
      <c r="G1034" s="13" t="str">
        <f aca="false">PROPER(TRIM(Raw_Data!G1034))</f>
        <v>Engineering</v>
      </c>
      <c r="H1034" s="13" t="str">
        <f aca="false">PROPER(TRIM(Raw_Data!H1034))</f>
        <v>Analyst</v>
      </c>
      <c r="I1034" s="13" t="n">
        <f aca="false">IF(Raw_Data!I1034="",DefaultPerf,Raw_Data!I1034)</f>
        <v>3</v>
      </c>
      <c r="J1034" s="13" t="n">
        <f aca="false">IF(Raw_Data!J1034="",DefaultSat,Raw_Data!J1034)</f>
        <v>3</v>
      </c>
      <c r="K1034" s="15" t="n">
        <f aca="false">Raw_Data!K1034</f>
        <v>61500</v>
      </c>
      <c r="L1034" s="13" t="str">
        <f aca="false">PROPER(TRIM(Raw_Data!N1034))</f>
        <v>No</v>
      </c>
      <c r="M1034" s="13" t="n">
        <f aca="false">IF(C1034="",0,1)</f>
        <v>0</v>
      </c>
      <c r="N1034" s="13" t="str">
        <f aca="false">IF(M1034=0,"Active",IF(TRIM(Raw_Data!L1034)="","Unknown",PROPER(TRIM(Raw_Data!L1034))))</f>
        <v>Active</v>
      </c>
      <c r="O1034" s="13" t="str">
        <f aca="false">IF(M1034=0,"",IF(TRIM(Raw_Data!M1034)="","Not Recorded",TRIM(Raw_Data!M1034)))</f>
        <v/>
      </c>
      <c r="P1034" s="16" t="n">
        <f aca="false">ROUND((IF(C1034="",AsOfDate,C1034)-B1034)/365.25,2)</f>
        <v>5.48</v>
      </c>
      <c r="Q1034" s="13" t="str">
        <f aca="false">IF(D1034="","Unknown",IF(D1034&lt;25,"Under 25",IF(D1034&lt;35,"25-34",IF(D1034&lt;45,"35-44",IF(D1034&lt;55,"45-54","55+")))))</f>
        <v>25-34</v>
      </c>
      <c r="R1034" s="13" t="str">
        <f aca="false">IF(P1034&lt;1,"0-1 yrs",IF(P1034&lt;3,"1-3 yrs",IF(P1034&lt;5,"3-5 yrs",IF(P1034&lt;10,"5-10 yrs","10+ yrs"))))</f>
        <v>5-10 yrs</v>
      </c>
      <c r="S1034" s="13" t="str">
        <f aca="false">IF(I1034&gt;=4,"High",IF(I1034=3,"Medium","Low"))</f>
        <v>Medium</v>
      </c>
      <c r="T1034" s="13" t="str">
        <f aca="false">IF(M1034=1,YEAR(C1034),"")</f>
        <v/>
      </c>
      <c r="U1034" s="13" t="str">
        <f aca="false">IF(M1034=1,YEAR(C1034)&amp;"-Q"&amp;ROUNDUP(MONTH(C1034)/3,0),"")</f>
        <v/>
      </c>
      <c r="V1034" s="13" t="str">
        <f aca="false">IF(M1034=1,MONTH(C1034),"")</f>
        <v/>
      </c>
    </row>
    <row r="1035" customFormat="false" ht="15" hidden="false" customHeight="false" outlineLevel="0" collapsed="false">
      <c r="A1035" s="13" t="str">
        <f aca="false">TRIM(Raw_Data!A1035)</f>
        <v>EMP1034</v>
      </c>
      <c r="B1035" s="14" t="n">
        <f aca="false">Raw_Data!B1035</f>
        <v>44034</v>
      </c>
      <c r="C1035" s="14" t="n">
        <f aca="false">IF(Raw_Data!C1035="","",Raw_Data!C1035)</f>
        <v>45458</v>
      </c>
      <c r="D1035" s="13" t="n">
        <f aca="false">IF(Raw_Data!D1035="","",Raw_Data!D1035)</f>
        <v>30</v>
      </c>
      <c r="E1035" s="13" t="str">
        <f aca="false">IF(UPPER(LEFT(TRIM(Raw_Data!E1035),1))="M","Male",IF(UPPER(LEFT(TRIM(Raw_Data!E1035),1))="F","Female","Unknown"))</f>
        <v>Female</v>
      </c>
      <c r="F1035" s="13" t="str">
        <f aca="false">PROPER(TRIM(SUBSTITUTE(Raw_Data!F1035,"'","")))</f>
        <v>Masters</v>
      </c>
      <c r="G1035" s="13" t="str">
        <f aca="false">PROPER(TRIM(Raw_Data!G1035))</f>
        <v>Operations</v>
      </c>
      <c r="H1035" s="13" t="str">
        <f aca="false">PROPER(TRIM(Raw_Data!H1035))</f>
        <v>Senior Analyst</v>
      </c>
      <c r="I1035" s="13" t="n">
        <f aca="false">IF(Raw_Data!I1035="",DefaultPerf,Raw_Data!I1035)</f>
        <v>3</v>
      </c>
      <c r="J1035" s="13" t="n">
        <f aca="false">IF(Raw_Data!J1035="",DefaultSat,Raw_Data!J1035)</f>
        <v>3</v>
      </c>
      <c r="K1035" s="15" t="n">
        <f aca="false">Raw_Data!K1035</f>
        <v>87500</v>
      </c>
      <c r="L1035" s="13" t="str">
        <f aca="false">PROPER(TRIM(Raw_Data!N1035))</f>
        <v>Yes</v>
      </c>
      <c r="M1035" s="13" t="n">
        <f aca="false">IF(C1035="",0,1)</f>
        <v>1</v>
      </c>
      <c r="N1035" s="13" t="str">
        <f aca="false">IF(M1035=0,"Active",IF(TRIM(Raw_Data!L1035)="","Unknown",PROPER(TRIM(Raw_Data!L1035))))</f>
        <v>Voluntary</v>
      </c>
      <c r="O1035" s="13" t="str">
        <f aca="false">IF(M1035=0,"",IF(TRIM(Raw_Data!M1035)="","Not Recorded",TRIM(Raw_Data!M1035)))</f>
        <v>Better Compensation</v>
      </c>
      <c r="P1035" s="16" t="n">
        <f aca="false">ROUND((IF(C1035="",AsOfDate,C1035)-B1035)/365.25,2)</f>
        <v>3.9</v>
      </c>
      <c r="Q1035" s="13" t="str">
        <f aca="false">IF(D1035="","Unknown",IF(D1035&lt;25,"Under 25",IF(D1035&lt;35,"25-34",IF(D1035&lt;45,"35-44",IF(D1035&lt;55,"45-54","55+")))))</f>
        <v>25-34</v>
      </c>
      <c r="R1035" s="13" t="str">
        <f aca="false">IF(P1035&lt;1,"0-1 yrs",IF(P1035&lt;3,"1-3 yrs",IF(P1035&lt;5,"3-5 yrs",IF(P1035&lt;10,"5-10 yrs","10+ yrs"))))</f>
        <v>3-5 yrs</v>
      </c>
      <c r="S1035" s="13" t="str">
        <f aca="false">IF(I1035&gt;=4,"High",IF(I1035=3,"Medium","Low"))</f>
        <v>Medium</v>
      </c>
      <c r="T1035" s="13" t="n">
        <f aca="false">IF(M1035=1,YEAR(C1035),"")</f>
        <v>2024</v>
      </c>
      <c r="U1035" s="13" t="str">
        <f aca="false">IF(M1035=1,YEAR(C1035)&amp;"-Q"&amp;ROUNDUP(MONTH(C1035)/3,0),"")</f>
        <v>2024-Q2</v>
      </c>
      <c r="V1035" s="13" t="n">
        <f aca="false">IF(M1035=1,MONTH(C1035),"")</f>
        <v>6</v>
      </c>
    </row>
    <row r="1036" customFormat="false" ht="15" hidden="false" customHeight="false" outlineLevel="0" collapsed="false">
      <c r="A1036" s="13" t="str">
        <f aca="false">TRIM(Raw_Data!A1036)</f>
        <v>EMP1035</v>
      </c>
      <c r="B1036" s="14" t="n">
        <f aca="false">Raw_Data!B1036</f>
        <v>44038</v>
      </c>
      <c r="C1036" s="14" t="n">
        <f aca="false">IF(Raw_Data!C1036="","",Raw_Data!C1036)</f>
        <v>44913</v>
      </c>
      <c r="D1036" s="13" t="n">
        <f aca="false">IF(Raw_Data!D1036="","",Raw_Data!D1036)</f>
        <v>35</v>
      </c>
      <c r="E1036" s="13" t="str">
        <f aca="false">IF(UPPER(LEFT(TRIM(Raw_Data!E1036),1))="M","Male",IF(UPPER(LEFT(TRIM(Raw_Data!E1036),1))="F","Female","Unknown"))</f>
        <v>Male</v>
      </c>
      <c r="F1036" s="13" t="str">
        <f aca="false">PROPER(TRIM(SUBSTITUTE(Raw_Data!F1036,"'","")))</f>
        <v>Masters</v>
      </c>
      <c r="G1036" s="13" t="str">
        <f aca="false">PROPER(TRIM(Raw_Data!G1036))</f>
        <v>Engineering</v>
      </c>
      <c r="H1036" s="13" t="str">
        <f aca="false">PROPER(TRIM(Raw_Data!H1036))</f>
        <v>Senior Analyst</v>
      </c>
      <c r="I1036" s="13" t="n">
        <f aca="false">IF(Raw_Data!I1036="",DefaultPerf,Raw_Data!I1036)</f>
        <v>4</v>
      </c>
      <c r="J1036" s="13" t="n">
        <f aca="false">IF(Raw_Data!J1036="",DefaultSat,Raw_Data!J1036)</f>
        <v>1</v>
      </c>
      <c r="K1036" s="15" t="n">
        <f aca="false">Raw_Data!K1036</f>
        <v>85000</v>
      </c>
      <c r="L1036" s="13" t="str">
        <f aca="false">PROPER(TRIM(Raw_Data!N1036))</f>
        <v>Yes</v>
      </c>
      <c r="M1036" s="13" t="n">
        <f aca="false">IF(C1036="",0,1)</f>
        <v>1</v>
      </c>
      <c r="N1036" s="13" t="str">
        <f aca="false">IF(M1036=0,"Active",IF(TRIM(Raw_Data!L1036)="","Unknown",PROPER(TRIM(Raw_Data!L1036))))</f>
        <v>Voluntary</v>
      </c>
      <c r="O1036" s="13" t="str">
        <f aca="false">IF(M1036=0,"",IF(TRIM(Raw_Data!M1036)="","Not Recorded",TRIM(Raw_Data!M1036)))</f>
        <v>Manager Issues</v>
      </c>
      <c r="P1036" s="16" t="n">
        <f aca="false">ROUND((IF(C1036="",AsOfDate,C1036)-B1036)/365.25,2)</f>
        <v>2.4</v>
      </c>
      <c r="Q1036" s="13" t="str">
        <f aca="false">IF(D1036="","Unknown",IF(D1036&lt;25,"Under 25",IF(D1036&lt;35,"25-34",IF(D1036&lt;45,"35-44",IF(D1036&lt;55,"45-54","55+")))))</f>
        <v>35-44</v>
      </c>
      <c r="R1036" s="13" t="str">
        <f aca="false">IF(P1036&lt;1,"0-1 yrs",IF(P1036&lt;3,"1-3 yrs",IF(P1036&lt;5,"3-5 yrs",IF(P1036&lt;10,"5-10 yrs","10+ yrs"))))</f>
        <v>1-3 yrs</v>
      </c>
      <c r="S1036" s="13" t="str">
        <f aca="false">IF(I1036&gt;=4,"High",IF(I1036=3,"Medium","Low"))</f>
        <v>High</v>
      </c>
      <c r="T1036" s="13" t="n">
        <f aca="false">IF(M1036=1,YEAR(C1036),"")</f>
        <v>2022</v>
      </c>
      <c r="U1036" s="13" t="str">
        <f aca="false">IF(M1036=1,YEAR(C1036)&amp;"-Q"&amp;ROUNDUP(MONTH(C1036)/3,0),"")</f>
        <v>2022-Q4</v>
      </c>
      <c r="V1036" s="13" t="n">
        <f aca="false">IF(M1036=1,MONTH(C1036),"")</f>
        <v>12</v>
      </c>
    </row>
    <row r="1037" customFormat="false" ht="15" hidden="false" customHeight="false" outlineLevel="0" collapsed="false">
      <c r="A1037" s="13" t="str">
        <f aca="false">TRIM(Raw_Data!A1037)</f>
        <v>EMP1036</v>
      </c>
      <c r="B1037" s="14" t="n">
        <f aca="false">Raw_Data!B1037</f>
        <v>44049</v>
      </c>
      <c r="C1037" s="14" t="n">
        <f aca="false">IF(Raw_Data!C1037="","",Raw_Data!C1037)</f>
        <v>45294</v>
      </c>
      <c r="D1037" s="13" t="n">
        <f aca="false">IF(Raw_Data!D1037="","",Raw_Data!D1037)</f>
        <v>28</v>
      </c>
      <c r="E1037" s="13" t="str">
        <f aca="false">IF(UPPER(LEFT(TRIM(Raw_Data!E1037),1))="M","Male",IF(UPPER(LEFT(TRIM(Raw_Data!E1037),1))="F","Female","Unknown"))</f>
        <v>Female</v>
      </c>
      <c r="F1037" s="13" t="str">
        <f aca="false">PROPER(TRIM(SUBSTITUTE(Raw_Data!F1037,"'","")))</f>
        <v>Masters</v>
      </c>
      <c r="G1037" s="13" t="str">
        <f aca="false">PROPER(TRIM(Raw_Data!G1037))</f>
        <v>Human Resources</v>
      </c>
      <c r="H1037" s="13" t="str">
        <f aca="false">PROPER(TRIM(Raw_Data!H1037))</f>
        <v>Senior Analyst</v>
      </c>
      <c r="I1037" s="13" t="n">
        <f aca="false">IF(Raw_Data!I1037="",DefaultPerf,Raw_Data!I1037)</f>
        <v>3</v>
      </c>
      <c r="J1037" s="13" t="n">
        <f aca="false">IF(Raw_Data!J1037="",DefaultSat,Raw_Data!J1037)</f>
        <v>2</v>
      </c>
      <c r="K1037" s="15" t="n">
        <f aca="false">Raw_Data!K1037</f>
        <v>105000</v>
      </c>
      <c r="L1037" s="13" t="str">
        <f aca="false">PROPER(TRIM(Raw_Data!N1037))</f>
        <v>No</v>
      </c>
      <c r="M1037" s="13" t="n">
        <f aca="false">IF(C1037="",0,1)</f>
        <v>1</v>
      </c>
      <c r="N1037" s="13" t="str">
        <f aca="false">IF(M1037=0,"Active",IF(TRIM(Raw_Data!L1037)="","Unknown",PROPER(TRIM(Raw_Data!L1037))))</f>
        <v>Voluntary</v>
      </c>
      <c r="O1037" s="13" t="str">
        <f aca="false">IF(M1037=0,"",IF(TRIM(Raw_Data!M1037)="","Not Recorded",TRIM(Raw_Data!M1037)))</f>
        <v>Better Compensation</v>
      </c>
      <c r="P1037" s="16" t="n">
        <f aca="false">ROUND((IF(C1037="",AsOfDate,C1037)-B1037)/365.25,2)</f>
        <v>3.41</v>
      </c>
      <c r="Q1037" s="13" t="str">
        <f aca="false">IF(D1037="","Unknown",IF(D1037&lt;25,"Under 25",IF(D1037&lt;35,"25-34",IF(D1037&lt;45,"35-44",IF(D1037&lt;55,"45-54","55+")))))</f>
        <v>25-34</v>
      </c>
      <c r="R1037" s="13" t="str">
        <f aca="false">IF(P1037&lt;1,"0-1 yrs",IF(P1037&lt;3,"1-3 yrs",IF(P1037&lt;5,"3-5 yrs",IF(P1037&lt;10,"5-10 yrs","10+ yrs"))))</f>
        <v>3-5 yrs</v>
      </c>
      <c r="S1037" s="13" t="str">
        <f aca="false">IF(I1037&gt;=4,"High",IF(I1037=3,"Medium","Low"))</f>
        <v>Medium</v>
      </c>
      <c r="T1037" s="13" t="n">
        <f aca="false">IF(M1037=1,YEAR(C1037),"")</f>
        <v>2024</v>
      </c>
      <c r="U1037" s="13" t="str">
        <f aca="false">IF(M1037=1,YEAR(C1037)&amp;"-Q"&amp;ROUNDUP(MONTH(C1037)/3,0),"")</f>
        <v>2024-Q1</v>
      </c>
      <c r="V1037" s="13" t="n">
        <f aca="false">IF(M1037=1,MONTH(C1037),"")</f>
        <v>1</v>
      </c>
    </row>
    <row r="1038" customFormat="false" ht="15" hidden="false" customHeight="false" outlineLevel="0" collapsed="false">
      <c r="A1038" s="13" t="str">
        <f aca="false">TRIM(Raw_Data!A1038)</f>
        <v>EMP1037</v>
      </c>
      <c r="B1038" s="14" t="n">
        <f aca="false">Raw_Data!B1038</f>
        <v>44054</v>
      </c>
      <c r="C1038" s="14" t="n">
        <f aca="false">IF(Raw_Data!C1038="","",Raw_Data!C1038)</f>
        <v>44569</v>
      </c>
      <c r="D1038" s="13" t="n">
        <f aca="false">IF(Raw_Data!D1038="","",Raw_Data!D1038)</f>
        <v>36</v>
      </c>
      <c r="E1038" s="13" t="str">
        <f aca="false">IF(UPPER(LEFT(TRIM(Raw_Data!E1038),1))="M","Male",IF(UPPER(LEFT(TRIM(Raw_Data!E1038),1))="F","Female","Unknown"))</f>
        <v>Female</v>
      </c>
      <c r="F1038" s="13" t="str">
        <f aca="false">PROPER(TRIM(SUBSTITUTE(Raw_Data!F1038,"'","")))</f>
        <v>High School</v>
      </c>
      <c r="G1038" s="13" t="str">
        <f aca="false">PROPER(TRIM(Raw_Data!G1038))</f>
        <v>Customer Support</v>
      </c>
      <c r="H1038" s="13" t="str">
        <f aca="false">PROPER(TRIM(Raw_Data!H1038))</f>
        <v>Specialist</v>
      </c>
      <c r="I1038" s="13" t="n">
        <f aca="false">IF(Raw_Data!I1038="",DefaultPerf,Raw_Data!I1038)</f>
        <v>4</v>
      </c>
      <c r="J1038" s="13" t="n">
        <f aca="false">IF(Raw_Data!J1038="",DefaultSat,Raw_Data!J1038)</f>
        <v>2</v>
      </c>
      <c r="K1038" s="15" t="n">
        <f aca="false">Raw_Data!K1038</f>
        <v>101500</v>
      </c>
      <c r="L1038" s="13" t="str">
        <f aca="false">PROPER(TRIM(Raw_Data!N1038))</f>
        <v>No</v>
      </c>
      <c r="M1038" s="13" t="n">
        <f aca="false">IF(C1038="",0,1)</f>
        <v>1</v>
      </c>
      <c r="N1038" s="13" t="str">
        <f aca="false">IF(M1038=0,"Active",IF(TRIM(Raw_Data!L1038)="","Unknown",PROPER(TRIM(Raw_Data!L1038))))</f>
        <v>Voluntary</v>
      </c>
      <c r="O1038" s="13" t="str">
        <f aca="false">IF(M1038=0,"",IF(TRIM(Raw_Data!M1038)="","Not Recorded",TRIM(Raw_Data!M1038)))</f>
        <v>Manager Issues</v>
      </c>
      <c r="P1038" s="16" t="n">
        <f aca="false">ROUND((IF(C1038="",AsOfDate,C1038)-B1038)/365.25,2)</f>
        <v>1.41</v>
      </c>
      <c r="Q1038" s="13" t="str">
        <f aca="false">IF(D1038="","Unknown",IF(D1038&lt;25,"Under 25",IF(D1038&lt;35,"25-34",IF(D1038&lt;45,"35-44",IF(D1038&lt;55,"45-54","55+")))))</f>
        <v>35-44</v>
      </c>
      <c r="R1038" s="13" t="str">
        <f aca="false">IF(P1038&lt;1,"0-1 yrs",IF(P1038&lt;3,"1-3 yrs",IF(P1038&lt;5,"3-5 yrs",IF(P1038&lt;10,"5-10 yrs","10+ yrs"))))</f>
        <v>1-3 yrs</v>
      </c>
      <c r="S1038" s="13" t="str">
        <f aca="false">IF(I1038&gt;=4,"High",IF(I1038=3,"Medium","Low"))</f>
        <v>High</v>
      </c>
      <c r="T1038" s="13" t="n">
        <f aca="false">IF(M1038=1,YEAR(C1038),"")</f>
        <v>2022</v>
      </c>
      <c r="U1038" s="13" t="str">
        <f aca="false">IF(M1038=1,YEAR(C1038)&amp;"-Q"&amp;ROUNDUP(MONTH(C1038)/3,0),"")</f>
        <v>2022-Q1</v>
      </c>
      <c r="V1038" s="13" t="n">
        <f aca="false">IF(M1038=1,MONTH(C1038),"")</f>
        <v>1</v>
      </c>
    </row>
    <row r="1039" customFormat="false" ht="15" hidden="false" customHeight="false" outlineLevel="0" collapsed="false">
      <c r="A1039" s="13" t="str">
        <f aca="false">TRIM(Raw_Data!A1039)</f>
        <v>EMP1038</v>
      </c>
      <c r="B1039" s="14" t="n">
        <f aca="false">Raw_Data!B1039</f>
        <v>44057</v>
      </c>
      <c r="C1039" s="14" t="n">
        <f aca="false">IF(Raw_Data!C1039="","",Raw_Data!C1039)</f>
        <v>45450</v>
      </c>
      <c r="D1039" s="13" t="n">
        <f aca="false">IF(Raw_Data!D1039="","",Raw_Data!D1039)</f>
        <v>34</v>
      </c>
      <c r="E1039" s="13" t="str">
        <f aca="false">IF(UPPER(LEFT(TRIM(Raw_Data!E1039),1))="M","Male",IF(UPPER(LEFT(TRIM(Raw_Data!E1039),1))="F","Female","Unknown"))</f>
        <v>Male</v>
      </c>
      <c r="F1039" s="13" t="str">
        <f aca="false">PROPER(TRIM(SUBSTITUTE(Raw_Data!F1039,"'","")))</f>
        <v>Masters</v>
      </c>
      <c r="G1039" s="13" t="str">
        <f aca="false">PROPER(TRIM(Raw_Data!G1039))</f>
        <v>Operations</v>
      </c>
      <c r="H1039" s="13" t="str">
        <f aca="false">PROPER(TRIM(Raw_Data!H1039))</f>
        <v>Associate</v>
      </c>
      <c r="I1039" s="13" t="n">
        <f aca="false">IF(Raw_Data!I1039="",DefaultPerf,Raw_Data!I1039)</f>
        <v>4</v>
      </c>
      <c r="J1039" s="13" t="n">
        <f aca="false">IF(Raw_Data!J1039="",DefaultSat,Raw_Data!J1039)</f>
        <v>3</v>
      </c>
      <c r="K1039" s="15" t="n">
        <f aca="false">Raw_Data!K1039</f>
        <v>35000</v>
      </c>
      <c r="L1039" s="13" t="str">
        <f aca="false">PROPER(TRIM(Raw_Data!N1039))</f>
        <v>No</v>
      </c>
      <c r="M1039" s="13" t="n">
        <f aca="false">IF(C1039="",0,1)</f>
        <v>1</v>
      </c>
      <c r="N1039" s="13" t="str">
        <f aca="false">IF(M1039=0,"Active",IF(TRIM(Raw_Data!L1039)="","Unknown",PROPER(TRIM(Raw_Data!L1039))))</f>
        <v>Voluntary</v>
      </c>
      <c r="O1039" s="13" t="str">
        <f aca="false">IF(M1039=0,"",IF(TRIM(Raw_Data!M1039)="","Not Recorded",TRIM(Raw_Data!M1039)))</f>
        <v>Better Compensation</v>
      </c>
      <c r="P1039" s="16" t="n">
        <f aca="false">ROUND((IF(C1039="",AsOfDate,C1039)-B1039)/365.25,2)</f>
        <v>3.81</v>
      </c>
      <c r="Q1039" s="13" t="str">
        <f aca="false">IF(D1039="","Unknown",IF(D1039&lt;25,"Under 25",IF(D1039&lt;35,"25-34",IF(D1039&lt;45,"35-44",IF(D1039&lt;55,"45-54","55+")))))</f>
        <v>25-34</v>
      </c>
      <c r="R1039" s="13" t="str">
        <f aca="false">IF(P1039&lt;1,"0-1 yrs",IF(P1039&lt;3,"1-3 yrs",IF(P1039&lt;5,"3-5 yrs",IF(P1039&lt;10,"5-10 yrs","10+ yrs"))))</f>
        <v>3-5 yrs</v>
      </c>
      <c r="S1039" s="13" t="str">
        <f aca="false">IF(I1039&gt;=4,"High",IF(I1039=3,"Medium","Low"))</f>
        <v>High</v>
      </c>
      <c r="T1039" s="13" t="n">
        <f aca="false">IF(M1039=1,YEAR(C1039),"")</f>
        <v>2024</v>
      </c>
      <c r="U1039" s="13" t="str">
        <f aca="false">IF(M1039=1,YEAR(C1039)&amp;"-Q"&amp;ROUNDUP(MONTH(C1039)/3,0),"")</f>
        <v>2024-Q2</v>
      </c>
      <c r="V1039" s="13" t="n">
        <f aca="false">IF(M1039=1,MONTH(C1039),"")</f>
        <v>6</v>
      </c>
    </row>
    <row r="1040" customFormat="false" ht="15" hidden="false" customHeight="false" outlineLevel="0" collapsed="false">
      <c r="A1040" s="13" t="str">
        <f aca="false">TRIM(Raw_Data!A1040)</f>
        <v>EMP1039</v>
      </c>
      <c r="B1040" s="14" t="n">
        <f aca="false">Raw_Data!B1040</f>
        <v>44060</v>
      </c>
      <c r="C1040" s="14" t="n">
        <f aca="false">IF(Raw_Data!C1040="","",Raw_Data!C1040)</f>
        <v>45844</v>
      </c>
      <c r="D1040" s="13" t="n">
        <f aca="false">IF(Raw_Data!D1040="","",Raw_Data!D1040)</f>
        <v>26</v>
      </c>
      <c r="E1040" s="13" t="str">
        <f aca="false">IF(UPPER(LEFT(TRIM(Raw_Data!E1040),1))="M","Male",IF(UPPER(LEFT(TRIM(Raw_Data!E1040),1))="F","Female","Unknown"))</f>
        <v>Female</v>
      </c>
      <c r="F1040" s="13" t="str">
        <f aca="false">PROPER(TRIM(SUBSTITUTE(Raw_Data!F1040,"'","")))</f>
        <v>Diploma</v>
      </c>
      <c r="G1040" s="13" t="str">
        <f aca="false">PROPER(TRIM(Raw_Data!G1040))</f>
        <v>Engineering</v>
      </c>
      <c r="H1040" s="13" t="str">
        <f aca="false">PROPER(TRIM(Raw_Data!H1040))</f>
        <v>Associate</v>
      </c>
      <c r="I1040" s="13" t="n">
        <f aca="false">IF(Raw_Data!I1040="",DefaultPerf,Raw_Data!I1040)</f>
        <v>3</v>
      </c>
      <c r="J1040" s="13" t="n">
        <f aca="false">IF(Raw_Data!J1040="",DefaultSat,Raw_Data!J1040)</f>
        <v>4</v>
      </c>
      <c r="K1040" s="15" t="n">
        <f aca="false">Raw_Data!K1040</f>
        <v>34500</v>
      </c>
      <c r="L1040" s="13" t="str">
        <f aca="false">PROPER(TRIM(Raw_Data!N1040))</f>
        <v>No</v>
      </c>
      <c r="M1040" s="13" t="n">
        <f aca="false">IF(C1040="",0,1)</f>
        <v>1</v>
      </c>
      <c r="N1040" s="13" t="str">
        <f aca="false">IF(M1040=0,"Active",IF(TRIM(Raw_Data!L1040)="","Unknown",PROPER(TRIM(Raw_Data!L1040))))</f>
        <v>Voluntary</v>
      </c>
      <c r="O1040" s="13" t="str">
        <f aca="false">IF(M1040=0,"",IF(TRIM(Raw_Data!M1040)="","Not Recorded",TRIM(Raw_Data!M1040)))</f>
        <v>Better Compensation</v>
      </c>
      <c r="P1040" s="16" t="n">
        <f aca="false">ROUND((IF(C1040="",AsOfDate,C1040)-B1040)/365.25,2)</f>
        <v>4.88</v>
      </c>
      <c r="Q1040" s="13" t="str">
        <f aca="false">IF(D1040="","Unknown",IF(D1040&lt;25,"Under 25",IF(D1040&lt;35,"25-34",IF(D1040&lt;45,"35-44",IF(D1040&lt;55,"45-54","55+")))))</f>
        <v>25-34</v>
      </c>
      <c r="R1040" s="13" t="str">
        <f aca="false">IF(P1040&lt;1,"0-1 yrs",IF(P1040&lt;3,"1-3 yrs",IF(P1040&lt;5,"3-5 yrs",IF(P1040&lt;10,"5-10 yrs","10+ yrs"))))</f>
        <v>3-5 yrs</v>
      </c>
      <c r="S1040" s="13" t="str">
        <f aca="false">IF(I1040&gt;=4,"High",IF(I1040=3,"Medium","Low"))</f>
        <v>Medium</v>
      </c>
      <c r="T1040" s="13" t="n">
        <f aca="false">IF(M1040=1,YEAR(C1040),"")</f>
        <v>2025</v>
      </c>
      <c r="U1040" s="13" t="str">
        <f aca="false">IF(M1040=1,YEAR(C1040)&amp;"-Q"&amp;ROUNDUP(MONTH(C1040)/3,0),"")</f>
        <v>2025-Q3</v>
      </c>
      <c r="V1040" s="13" t="n">
        <f aca="false">IF(M1040=1,MONTH(C1040),"")</f>
        <v>7</v>
      </c>
    </row>
    <row r="1041" customFormat="false" ht="15" hidden="false" customHeight="false" outlineLevel="0" collapsed="false">
      <c r="A1041" s="13" t="str">
        <f aca="false">TRIM(Raw_Data!A1041)</f>
        <v>EMP1040</v>
      </c>
      <c r="B1041" s="14" t="n">
        <f aca="false">Raw_Data!B1041</f>
        <v>44060</v>
      </c>
      <c r="C1041" s="14" t="n">
        <f aca="false">IF(Raw_Data!C1041="","",Raw_Data!C1041)</f>
        <v>44660</v>
      </c>
      <c r="D1041" s="13" t="n">
        <f aca="false">IF(Raw_Data!D1041="","",Raw_Data!D1041)</f>
        <v>41</v>
      </c>
      <c r="E1041" s="13" t="str">
        <f aca="false">IF(UPPER(LEFT(TRIM(Raw_Data!E1041),1))="M","Male",IF(UPPER(LEFT(TRIM(Raw_Data!E1041),1))="F","Female","Unknown"))</f>
        <v>Female</v>
      </c>
      <c r="F1041" s="13" t="str">
        <f aca="false">PROPER(TRIM(SUBSTITUTE(Raw_Data!F1041,"'","")))</f>
        <v>Bachelors</v>
      </c>
      <c r="G1041" s="13" t="str">
        <f aca="false">PROPER(TRIM(Raw_Data!G1041))</f>
        <v>Operations</v>
      </c>
      <c r="H1041" s="13" t="str">
        <f aca="false">PROPER(TRIM(Raw_Data!H1041))</f>
        <v>Associate</v>
      </c>
      <c r="I1041" s="13" t="n">
        <f aca="false">IF(Raw_Data!I1041="",DefaultPerf,Raw_Data!I1041)</f>
        <v>3</v>
      </c>
      <c r="J1041" s="13" t="n">
        <f aca="false">IF(Raw_Data!J1041="",DefaultSat,Raw_Data!J1041)</f>
        <v>2</v>
      </c>
      <c r="K1041" s="15" t="n">
        <f aca="false">Raw_Data!K1041</f>
        <v>46500</v>
      </c>
      <c r="L1041" s="13" t="str">
        <f aca="false">PROPER(TRIM(Raw_Data!N1041))</f>
        <v>No</v>
      </c>
      <c r="M1041" s="13" t="n">
        <f aca="false">IF(C1041="",0,1)</f>
        <v>1</v>
      </c>
      <c r="N1041" s="13" t="str">
        <f aca="false">IF(M1041=0,"Active",IF(TRIM(Raw_Data!L1041)="","Unknown",PROPER(TRIM(Raw_Data!L1041))))</f>
        <v>Voluntary</v>
      </c>
      <c r="O1041" s="13" t="str">
        <f aca="false">IF(M1041=0,"",IF(TRIM(Raw_Data!M1041)="","Not Recorded",TRIM(Raw_Data!M1041)))</f>
        <v>Career Growth</v>
      </c>
      <c r="P1041" s="16" t="n">
        <f aca="false">ROUND((IF(C1041="",AsOfDate,C1041)-B1041)/365.25,2)</f>
        <v>1.64</v>
      </c>
      <c r="Q1041" s="13" t="str">
        <f aca="false">IF(D1041="","Unknown",IF(D1041&lt;25,"Under 25",IF(D1041&lt;35,"25-34",IF(D1041&lt;45,"35-44",IF(D1041&lt;55,"45-54","55+")))))</f>
        <v>35-44</v>
      </c>
      <c r="R1041" s="13" t="str">
        <f aca="false">IF(P1041&lt;1,"0-1 yrs",IF(P1041&lt;3,"1-3 yrs",IF(P1041&lt;5,"3-5 yrs",IF(P1041&lt;10,"5-10 yrs","10+ yrs"))))</f>
        <v>1-3 yrs</v>
      </c>
      <c r="S1041" s="13" t="str">
        <f aca="false">IF(I1041&gt;=4,"High",IF(I1041=3,"Medium","Low"))</f>
        <v>Medium</v>
      </c>
      <c r="T1041" s="13" t="n">
        <f aca="false">IF(M1041=1,YEAR(C1041),"")</f>
        <v>2022</v>
      </c>
      <c r="U1041" s="13" t="str">
        <f aca="false">IF(M1041=1,YEAR(C1041)&amp;"-Q"&amp;ROUNDUP(MONTH(C1041)/3,0),"")</f>
        <v>2022-Q2</v>
      </c>
      <c r="V1041" s="13" t="n">
        <f aca="false">IF(M1041=1,MONTH(C1041),"")</f>
        <v>4</v>
      </c>
    </row>
    <row r="1042" customFormat="false" ht="15" hidden="false" customHeight="false" outlineLevel="0" collapsed="false">
      <c r="A1042" s="13" t="str">
        <f aca="false">TRIM(Raw_Data!A1042)</f>
        <v>EMP1041</v>
      </c>
      <c r="B1042" s="14" t="n">
        <f aca="false">Raw_Data!B1042</f>
        <v>44064</v>
      </c>
      <c r="C1042" s="14" t="str">
        <f aca="false">IF(Raw_Data!C1042="","",Raw_Data!C1042)</f>
        <v/>
      </c>
      <c r="D1042" s="13" t="n">
        <f aca="false">IF(Raw_Data!D1042="","",Raw_Data!D1042)</f>
        <v>31</v>
      </c>
      <c r="E1042" s="13" t="str">
        <f aca="false">IF(UPPER(LEFT(TRIM(Raw_Data!E1042),1))="M","Male",IF(UPPER(LEFT(TRIM(Raw_Data!E1042),1))="F","Female","Unknown"))</f>
        <v>Male</v>
      </c>
      <c r="F1042" s="13" t="str">
        <f aca="false">PROPER(TRIM(SUBSTITUTE(Raw_Data!F1042,"'","")))</f>
        <v>Masters</v>
      </c>
      <c r="G1042" s="13" t="str">
        <f aca="false">PROPER(TRIM(Raw_Data!G1042))</f>
        <v>Operations</v>
      </c>
      <c r="H1042" s="13" t="str">
        <f aca="false">PROPER(TRIM(Raw_Data!H1042))</f>
        <v>Analyst</v>
      </c>
      <c r="I1042" s="13" t="n">
        <f aca="false">IF(Raw_Data!I1042="",DefaultPerf,Raw_Data!I1042)</f>
        <v>3</v>
      </c>
      <c r="J1042" s="13" t="n">
        <f aca="false">IF(Raw_Data!J1042="",DefaultSat,Raw_Data!J1042)</f>
        <v>3</v>
      </c>
      <c r="K1042" s="15" t="n">
        <f aca="false">Raw_Data!K1042</f>
        <v>75000</v>
      </c>
      <c r="L1042" s="13" t="str">
        <f aca="false">PROPER(TRIM(Raw_Data!N1042))</f>
        <v>Yes</v>
      </c>
      <c r="M1042" s="13" t="n">
        <f aca="false">IF(C1042="",0,1)</f>
        <v>0</v>
      </c>
      <c r="N1042" s="13" t="str">
        <f aca="false">IF(M1042=0,"Active",IF(TRIM(Raw_Data!L1042)="","Unknown",PROPER(TRIM(Raw_Data!L1042))))</f>
        <v>Active</v>
      </c>
      <c r="O1042" s="13" t="str">
        <f aca="false">IF(M1042=0,"",IF(TRIM(Raw_Data!M1042)="","Not Recorded",TRIM(Raw_Data!M1042)))</f>
        <v/>
      </c>
      <c r="P1042" s="16" t="n">
        <f aca="false">ROUND((IF(C1042="",AsOfDate,C1042)-B1042)/365.25,2)</f>
        <v>5.36</v>
      </c>
      <c r="Q1042" s="13" t="str">
        <f aca="false">IF(D1042="","Unknown",IF(D1042&lt;25,"Under 25",IF(D1042&lt;35,"25-34",IF(D1042&lt;45,"35-44",IF(D1042&lt;55,"45-54","55+")))))</f>
        <v>25-34</v>
      </c>
      <c r="R1042" s="13" t="str">
        <f aca="false">IF(P1042&lt;1,"0-1 yrs",IF(P1042&lt;3,"1-3 yrs",IF(P1042&lt;5,"3-5 yrs",IF(P1042&lt;10,"5-10 yrs","10+ yrs"))))</f>
        <v>5-10 yrs</v>
      </c>
      <c r="S1042" s="13" t="str">
        <f aca="false">IF(I1042&gt;=4,"High",IF(I1042=3,"Medium","Low"))</f>
        <v>Medium</v>
      </c>
      <c r="T1042" s="13" t="str">
        <f aca="false">IF(M1042=1,YEAR(C1042),"")</f>
        <v/>
      </c>
      <c r="U1042" s="13" t="str">
        <f aca="false">IF(M1042=1,YEAR(C1042)&amp;"-Q"&amp;ROUNDUP(MONTH(C1042)/3,0),"")</f>
        <v/>
      </c>
      <c r="V1042" s="13" t="str">
        <f aca="false">IF(M1042=1,MONTH(C1042),"")</f>
        <v/>
      </c>
    </row>
    <row r="1043" customFormat="false" ht="15" hidden="false" customHeight="false" outlineLevel="0" collapsed="false">
      <c r="A1043" s="13" t="str">
        <f aca="false">TRIM(Raw_Data!A1043)</f>
        <v>EMP1042</v>
      </c>
      <c r="B1043" s="14" t="n">
        <f aca="false">Raw_Data!B1043</f>
        <v>44067</v>
      </c>
      <c r="C1043" s="14" t="str">
        <f aca="false">IF(Raw_Data!C1043="","",Raw_Data!C1043)</f>
        <v/>
      </c>
      <c r="D1043" s="13" t="n">
        <f aca="false">IF(Raw_Data!D1043="","",Raw_Data!D1043)</f>
        <v>36</v>
      </c>
      <c r="E1043" s="13" t="str">
        <f aca="false">IF(UPPER(LEFT(TRIM(Raw_Data!E1043),1))="M","Male",IF(UPPER(LEFT(TRIM(Raw_Data!E1043),1))="F","Female","Unknown"))</f>
        <v>Female</v>
      </c>
      <c r="F1043" s="13" t="str">
        <f aca="false">PROPER(TRIM(SUBSTITUTE(Raw_Data!F1043,"'","")))</f>
        <v>Diploma</v>
      </c>
      <c r="G1043" s="13" t="str">
        <f aca="false">PROPER(TRIM(Raw_Data!G1043))</f>
        <v>Engineering</v>
      </c>
      <c r="H1043" s="13" t="str">
        <f aca="false">PROPER(TRIM(Raw_Data!H1043))</f>
        <v>Specialist</v>
      </c>
      <c r="I1043" s="13" t="n">
        <f aca="false">IF(Raw_Data!I1043="",DefaultPerf,Raw_Data!I1043)</f>
        <v>3</v>
      </c>
      <c r="J1043" s="13" t="n">
        <f aca="false">IF(Raw_Data!J1043="",DefaultSat,Raw_Data!J1043)</f>
        <v>1</v>
      </c>
      <c r="K1043" s="15" t="n">
        <f aca="false">Raw_Data!K1043</f>
        <v>110500</v>
      </c>
      <c r="L1043" s="13" t="str">
        <f aca="false">PROPER(TRIM(Raw_Data!N1043))</f>
        <v>Yes</v>
      </c>
      <c r="M1043" s="13" t="n">
        <f aca="false">IF(C1043="",0,1)</f>
        <v>0</v>
      </c>
      <c r="N1043" s="13" t="str">
        <f aca="false">IF(M1043=0,"Active",IF(TRIM(Raw_Data!L1043)="","Unknown",PROPER(TRIM(Raw_Data!L1043))))</f>
        <v>Active</v>
      </c>
      <c r="O1043" s="13" t="str">
        <f aca="false">IF(M1043=0,"",IF(TRIM(Raw_Data!M1043)="","Not Recorded",TRIM(Raw_Data!M1043)))</f>
        <v/>
      </c>
      <c r="P1043" s="16" t="n">
        <f aca="false">ROUND((IF(C1043="",AsOfDate,C1043)-B1043)/365.25,2)</f>
        <v>5.35</v>
      </c>
      <c r="Q1043" s="13" t="str">
        <f aca="false">IF(D1043="","Unknown",IF(D1043&lt;25,"Under 25",IF(D1043&lt;35,"25-34",IF(D1043&lt;45,"35-44",IF(D1043&lt;55,"45-54","55+")))))</f>
        <v>35-44</v>
      </c>
      <c r="R1043" s="13" t="str">
        <f aca="false">IF(P1043&lt;1,"0-1 yrs",IF(P1043&lt;3,"1-3 yrs",IF(P1043&lt;5,"3-5 yrs",IF(P1043&lt;10,"5-10 yrs","10+ yrs"))))</f>
        <v>5-10 yrs</v>
      </c>
      <c r="S1043" s="13" t="str">
        <f aca="false">IF(I1043&gt;=4,"High",IF(I1043=3,"Medium","Low"))</f>
        <v>Medium</v>
      </c>
      <c r="T1043" s="13" t="str">
        <f aca="false">IF(M1043=1,YEAR(C1043),"")</f>
        <v/>
      </c>
      <c r="U1043" s="13" t="str">
        <f aca="false">IF(M1043=1,YEAR(C1043)&amp;"-Q"&amp;ROUNDUP(MONTH(C1043)/3,0),"")</f>
        <v/>
      </c>
      <c r="V1043" s="13" t="str">
        <f aca="false">IF(M1043=1,MONTH(C1043),"")</f>
        <v/>
      </c>
    </row>
    <row r="1044" customFormat="false" ht="15" hidden="false" customHeight="false" outlineLevel="0" collapsed="false">
      <c r="A1044" s="13" t="str">
        <f aca="false">TRIM(Raw_Data!A1044)</f>
        <v>EMP1043</v>
      </c>
      <c r="B1044" s="14" t="n">
        <f aca="false">Raw_Data!B1044</f>
        <v>44067</v>
      </c>
      <c r="C1044" s="14" t="n">
        <f aca="false">IF(Raw_Data!C1044="","",Raw_Data!C1044)</f>
        <v>45338</v>
      </c>
      <c r="D1044" s="13" t="n">
        <f aca="false">IF(Raw_Data!D1044="","",Raw_Data!D1044)</f>
        <v>30</v>
      </c>
      <c r="E1044" s="13" t="str">
        <f aca="false">IF(UPPER(LEFT(TRIM(Raw_Data!E1044),1))="M","Male",IF(UPPER(LEFT(TRIM(Raw_Data!E1044),1))="F","Female","Unknown"))</f>
        <v>Male</v>
      </c>
      <c r="F1044" s="13" t="str">
        <f aca="false">PROPER(TRIM(SUBSTITUTE(Raw_Data!F1044,"'","")))</f>
        <v>Masters</v>
      </c>
      <c r="G1044" s="13" t="str">
        <f aca="false">PROPER(TRIM(Raw_Data!G1044))</f>
        <v>Operations</v>
      </c>
      <c r="H1044" s="13" t="str">
        <f aca="false">PROPER(TRIM(Raw_Data!H1044))</f>
        <v>Associate</v>
      </c>
      <c r="I1044" s="13" t="n">
        <f aca="false">IF(Raw_Data!I1044="",DefaultPerf,Raw_Data!I1044)</f>
        <v>5</v>
      </c>
      <c r="J1044" s="13" t="n">
        <f aca="false">IF(Raw_Data!J1044="",DefaultSat,Raw_Data!J1044)</f>
        <v>3</v>
      </c>
      <c r="K1044" s="15" t="n">
        <f aca="false">Raw_Data!K1044</f>
        <v>45000</v>
      </c>
      <c r="L1044" s="13" t="str">
        <f aca="false">PROPER(TRIM(Raw_Data!N1044))</f>
        <v>No</v>
      </c>
      <c r="M1044" s="13" t="n">
        <f aca="false">IF(C1044="",0,1)</f>
        <v>1</v>
      </c>
      <c r="N1044" s="13" t="str">
        <f aca="false">IF(M1044=0,"Active",IF(TRIM(Raw_Data!L1044)="","Unknown",PROPER(TRIM(Raw_Data!L1044))))</f>
        <v>Voluntary</v>
      </c>
      <c r="O1044" s="13" t="str">
        <f aca="false">IF(M1044=0,"",IF(TRIM(Raw_Data!M1044)="","Not Recorded",TRIM(Raw_Data!M1044)))</f>
        <v>Relocation</v>
      </c>
      <c r="P1044" s="16" t="n">
        <f aca="false">ROUND((IF(C1044="",AsOfDate,C1044)-B1044)/365.25,2)</f>
        <v>3.48</v>
      </c>
      <c r="Q1044" s="13" t="str">
        <f aca="false">IF(D1044="","Unknown",IF(D1044&lt;25,"Under 25",IF(D1044&lt;35,"25-34",IF(D1044&lt;45,"35-44",IF(D1044&lt;55,"45-54","55+")))))</f>
        <v>25-34</v>
      </c>
      <c r="R1044" s="13" t="str">
        <f aca="false">IF(P1044&lt;1,"0-1 yrs",IF(P1044&lt;3,"1-3 yrs",IF(P1044&lt;5,"3-5 yrs",IF(P1044&lt;10,"5-10 yrs","10+ yrs"))))</f>
        <v>3-5 yrs</v>
      </c>
      <c r="S1044" s="13" t="str">
        <f aca="false">IF(I1044&gt;=4,"High",IF(I1044=3,"Medium","Low"))</f>
        <v>High</v>
      </c>
      <c r="T1044" s="13" t="n">
        <f aca="false">IF(M1044=1,YEAR(C1044),"")</f>
        <v>2024</v>
      </c>
      <c r="U1044" s="13" t="str">
        <f aca="false">IF(M1044=1,YEAR(C1044)&amp;"-Q"&amp;ROUNDUP(MONTH(C1044)/3,0),"")</f>
        <v>2024-Q1</v>
      </c>
      <c r="V1044" s="13" t="n">
        <f aca="false">IF(M1044=1,MONTH(C1044),"")</f>
        <v>2</v>
      </c>
    </row>
    <row r="1045" customFormat="false" ht="15" hidden="false" customHeight="false" outlineLevel="0" collapsed="false">
      <c r="A1045" s="13" t="str">
        <f aca="false">TRIM(Raw_Data!A1045)</f>
        <v>EMP1044</v>
      </c>
      <c r="B1045" s="14" t="n">
        <f aca="false">Raw_Data!B1045</f>
        <v>44069</v>
      </c>
      <c r="C1045" s="14" t="n">
        <f aca="false">IF(Raw_Data!C1045="","",Raw_Data!C1045)</f>
        <v>45407</v>
      </c>
      <c r="D1045" s="13" t="n">
        <f aca="false">IF(Raw_Data!D1045="","",Raw_Data!D1045)</f>
        <v>28</v>
      </c>
      <c r="E1045" s="13" t="str">
        <f aca="false">IF(UPPER(LEFT(TRIM(Raw_Data!E1045),1))="M","Male",IF(UPPER(LEFT(TRIM(Raw_Data!E1045),1))="F","Female","Unknown"))</f>
        <v>Female</v>
      </c>
      <c r="F1045" s="13" t="str">
        <f aca="false">PROPER(TRIM(SUBSTITUTE(Raw_Data!F1045,"'","")))</f>
        <v>Bachelors</v>
      </c>
      <c r="G1045" s="13" t="str">
        <f aca="false">PROPER(TRIM(Raw_Data!G1045))</f>
        <v>Finance</v>
      </c>
      <c r="H1045" s="13" t="str">
        <f aca="false">PROPER(TRIM(Raw_Data!H1045))</f>
        <v>Analyst</v>
      </c>
      <c r="I1045" s="13" t="n">
        <f aca="false">IF(Raw_Data!I1045="",DefaultPerf,Raw_Data!I1045)</f>
        <v>3</v>
      </c>
      <c r="J1045" s="13" t="n">
        <f aca="false">IF(Raw_Data!J1045="",DefaultSat,Raw_Data!J1045)</f>
        <v>4</v>
      </c>
      <c r="K1045" s="15" t="n">
        <f aca="false">Raw_Data!K1045</f>
        <v>68500</v>
      </c>
      <c r="L1045" s="13" t="str">
        <f aca="false">PROPER(TRIM(Raw_Data!N1045))</f>
        <v>No</v>
      </c>
      <c r="M1045" s="13" t="n">
        <f aca="false">IF(C1045="",0,1)</f>
        <v>1</v>
      </c>
      <c r="N1045" s="13" t="str">
        <f aca="false">IF(M1045=0,"Active",IF(TRIM(Raw_Data!L1045)="","Unknown",PROPER(TRIM(Raw_Data!L1045))))</f>
        <v>Unknown</v>
      </c>
      <c r="O1045" s="13" t="str">
        <f aca="false">IF(M1045=0,"",IF(TRIM(Raw_Data!M1045)="","Not Recorded",TRIM(Raw_Data!M1045)))</f>
        <v>Personal Reasons</v>
      </c>
      <c r="P1045" s="16" t="n">
        <f aca="false">ROUND((IF(C1045="",AsOfDate,C1045)-B1045)/365.25,2)</f>
        <v>3.66</v>
      </c>
      <c r="Q1045" s="13" t="str">
        <f aca="false">IF(D1045="","Unknown",IF(D1045&lt;25,"Under 25",IF(D1045&lt;35,"25-34",IF(D1045&lt;45,"35-44",IF(D1045&lt;55,"45-54","55+")))))</f>
        <v>25-34</v>
      </c>
      <c r="R1045" s="13" t="str">
        <f aca="false">IF(P1045&lt;1,"0-1 yrs",IF(P1045&lt;3,"1-3 yrs",IF(P1045&lt;5,"3-5 yrs",IF(P1045&lt;10,"5-10 yrs","10+ yrs"))))</f>
        <v>3-5 yrs</v>
      </c>
      <c r="S1045" s="13" t="str">
        <f aca="false">IF(I1045&gt;=4,"High",IF(I1045=3,"Medium","Low"))</f>
        <v>Medium</v>
      </c>
      <c r="T1045" s="13" t="n">
        <f aca="false">IF(M1045=1,YEAR(C1045),"")</f>
        <v>2024</v>
      </c>
      <c r="U1045" s="13" t="str">
        <f aca="false">IF(M1045=1,YEAR(C1045)&amp;"-Q"&amp;ROUNDUP(MONTH(C1045)/3,0),"")</f>
        <v>2024-Q2</v>
      </c>
      <c r="V1045" s="13" t="n">
        <f aca="false">IF(M1045=1,MONTH(C1045),"")</f>
        <v>4</v>
      </c>
    </row>
    <row r="1046" customFormat="false" ht="15" hidden="false" customHeight="false" outlineLevel="0" collapsed="false">
      <c r="A1046" s="13" t="str">
        <f aca="false">TRIM(Raw_Data!A1046)</f>
        <v>EMP1045</v>
      </c>
      <c r="B1046" s="14" t="n">
        <f aca="false">Raw_Data!B1046</f>
        <v>44072</v>
      </c>
      <c r="C1046" s="14" t="n">
        <f aca="false">IF(Raw_Data!C1046="","",Raw_Data!C1046)</f>
        <v>44701</v>
      </c>
      <c r="D1046" s="13" t="n">
        <f aca="false">IF(Raw_Data!D1046="","",Raw_Data!D1046)</f>
        <v>35</v>
      </c>
      <c r="E1046" s="13" t="str">
        <f aca="false">IF(UPPER(LEFT(TRIM(Raw_Data!E1046),1))="M","Male",IF(UPPER(LEFT(TRIM(Raw_Data!E1046),1))="F","Female","Unknown"))</f>
        <v>Female</v>
      </c>
      <c r="F1046" s="13" t="str">
        <f aca="false">PROPER(TRIM(SUBSTITUTE(Raw_Data!F1046,"'","")))</f>
        <v>Diploma</v>
      </c>
      <c r="G1046" s="13" t="str">
        <f aca="false">PROPER(TRIM(Raw_Data!G1046))</f>
        <v>Sales</v>
      </c>
      <c r="H1046" s="13" t="str">
        <f aca="false">PROPER(TRIM(Raw_Data!H1046))</f>
        <v>Senior Analyst</v>
      </c>
      <c r="I1046" s="13" t="n">
        <f aca="false">IF(Raw_Data!I1046="",DefaultPerf,Raw_Data!I1046)</f>
        <v>2</v>
      </c>
      <c r="J1046" s="13" t="n">
        <f aca="false">IF(Raw_Data!J1046="",DefaultSat,Raw_Data!J1046)</f>
        <v>2</v>
      </c>
      <c r="K1046" s="15" t="n">
        <f aca="false">Raw_Data!K1046</f>
        <v>85000</v>
      </c>
      <c r="L1046" s="13" t="str">
        <f aca="false">PROPER(TRIM(Raw_Data!N1046))</f>
        <v>No</v>
      </c>
      <c r="M1046" s="13" t="n">
        <f aca="false">IF(C1046="",0,1)</f>
        <v>1</v>
      </c>
      <c r="N1046" s="13" t="str">
        <f aca="false">IF(M1046=0,"Active",IF(TRIM(Raw_Data!L1046)="","Unknown",PROPER(TRIM(Raw_Data!L1046))))</f>
        <v>Voluntary</v>
      </c>
      <c r="O1046" s="13" t="str">
        <f aca="false">IF(M1046=0,"",IF(TRIM(Raw_Data!M1046)="","Not Recorded",TRIM(Raw_Data!M1046)))</f>
        <v>Work-Life Balance</v>
      </c>
      <c r="P1046" s="16" t="n">
        <f aca="false">ROUND((IF(C1046="",AsOfDate,C1046)-B1046)/365.25,2)</f>
        <v>1.72</v>
      </c>
      <c r="Q1046" s="13" t="str">
        <f aca="false">IF(D1046="","Unknown",IF(D1046&lt;25,"Under 25",IF(D1046&lt;35,"25-34",IF(D1046&lt;45,"35-44",IF(D1046&lt;55,"45-54","55+")))))</f>
        <v>35-44</v>
      </c>
      <c r="R1046" s="13" t="str">
        <f aca="false">IF(P1046&lt;1,"0-1 yrs",IF(P1046&lt;3,"1-3 yrs",IF(P1046&lt;5,"3-5 yrs",IF(P1046&lt;10,"5-10 yrs","10+ yrs"))))</f>
        <v>1-3 yrs</v>
      </c>
      <c r="S1046" s="13" t="str">
        <f aca="false">IF(I1046&gt;=4,"High",IF(I1046=3,"Medium","Low"))</f>
        <v>Low</v>
      </c>
      <c r="T1046" s="13" t="n">
        <f aca="false">IF(M1046=1,YEAR(C1046),"")</f>
        <v>2022</v>
      </c>
      <c r="U1046" s="13" t="str">
        <f aca="false">IF(M1046=1,YEAR(C1046)&amp;"-Q"&amp;ROUNDUP(MONTH(C1046)/3,0),"")</f>
        <v>2022-Q2</v>
      </c>
      <c r="V1046" s="13" t="n">
        <f aca="false">IF(M1046=1,MONTH(C1046),"")</f>
        <v>5</v>
      </c>
    </row>
    <row r="1047" customFormat="false" ht="15" hidden="false" customHeight="false" outlineLevel="0" collapsed="false">
      <c r="A1047" s="13" t="str">
        <f aca="false">TRIM(Raw_Data!A1047)</f>
        <v>EMP1046</v>
      </c>
      <c r="B1047" s="14" t="n">
        <f aca="false">Raw_Data!B1047</f>
        <v>44072</v>
      </c>
      <c r="C1047" s="14" t="n">
        <f aca="false">IF(Raw_Data!C1047="","",Raw_Data!C1047)</f>
        <v>45585</v>
      </c>
      <c r="D1047" s="13" t="n">
        <f aca="false">IF(Raw_Data!D1047="","",Raw_Data!D1047)</f>
        <v>36</v>
      </c>
      <c r="E1047" s="13" t="str">
        <f aca="false">IF(UPPER(LEFT(TRIM(Raw_Data!E1047),1))="M","Male",IF(UPPER(LEFT(TRIM(Raw_Data!E1047),1))="F","Female","Unknown"))</f>
        <v>Female</v>
      </c>
      <c r="F1047" s="13" t="str">
        <f aca="false">PROPER(TRIM(SUBSTITUTE(Raw_Data!F1047,"'","")))</f>
        <v>Masters</v>
      </c>
      <c r="G1047" s="13" t="str">
        <f aca="false">PROPER(TRIM(Raw_Data!G1047))</f>
        <v>Engineering</v>
      </c>
      <c r="H1047" s="13" t="str">
        <f aca="false">PROPER(TRIM(Raw_Data!H1047))</f>
        <v>Associate</v>
      </c>
      <c r="I1047" s="13" t="n">
        <f aca="false">IF(Raw_Data!I1047="",DefaultPerf,Raw_Data!I1047)</f>
        <v>3</v>
      </c>
      <c r="J1047" s="13" t="n">
        <f aca="false">IF(Raw_Data!J1047="",DefaultSat,Raw_Data!J1047)</f>
        <v>1</v>
      </c>
      <c r="K1047" s="15" t="n">
        <f aca="false">Raw_Data!K1047</f>
        <v>43500</v>
      </c>
      <c r="L1047" s="13" t="str">
        <f aca="false">PROPER(TRIM(Raw_Data!N1047))</f>
        <v>No</v>
      </c>
      <c r="M1047" s="13" t="n">
        <f aca="false">IF(C1047="",0,1)</f>
        <v>1</v>
      </c>
      <c r="N1047" s="13" t="str">
        <f aca="false">IF(M1047=0,"Active",IF(TRIM(Raw_Data!L1047)="","Unknown",PROPER(TRIM(Raw_Data!L1047))))</f>
        <v>Involuntary</v>
      </c>
      <c r="O1047" s="13" t="str">
        <f aca="false">IF(M1047=0,"",IF(TRIM(Raw_Data!M1047)="","Not Recorded",TRIM(Raw_Data!M1047)))</f>
        <v>Restructuring / Layoff</v>
      </c>
      <c r="P1047" s="16" t="n">
        <f aca="false">ROUND((IF(C1047="",AsOfDate,C1047)-B1047)/365.25,2)</f>
        <v>4.14</v>
      </c>
      <c r="Q1047" s="13" t="str">
        <f aca="false">IF(D1047="","Unknown",IF(D1047&lt;25,"Under 25",IF(D1047&lt;35,"25-34",IF(D1047&lt;45,"35-44",IF(D1047&lt;55,"45-54","55+")))))</f>
        <v>35-44</v>
      </c>
      <c r="R1047" s="13" t="str">
        <f aca="false">IF(P1047&lt;1,"0-1 yrs",IF(P1047&lt;3,"1-3 yrs",IF(P1047&lt;5,"3-5 yrs",IF(P1047&lt;10,"5-10 yrs","10+ yrs"))))</f>
        <v>3-5 yrs</v>
      </c>
      <c r="S1047" s="13" t="str">
        <f aca="false">IF(I1047&gt;=4,"High",IF(I1047=3,"Medium","Low"))</f>
        <v>Medium</v>
      </c>
      <c r="T1047" s="13" t="n">
        <f aca="false">IF(M1047=1,YEAR(C1047),"")</f>
        <v>2024</v>
      </c>
      <c r="U1047" s="13" t="str">
        <f aca="false">IF(M1047=1,YEAR(C1047)&amp;"-Q"&amp;ROUNDUP(MONTH(C1047)/3,0),"")</f>
        <v>2024-Q4</v>
      </c>
      <c r="V1047" s="13" t="n">
        <f aca="false">IF(M1047=1,MONTH(C1047),"")</f>
        <v>10</v>
      </c>
    </row>
    <row r="1048" customFormat="false" ht="15" hidden="false" customHeight="false" outlineLevel="0" collapsed="false">
      <c r="A1048" s="13" t="str">
        <f aca="false">TRIM(Raw_Data!A1048)</f>
        <v>EMP1047</v>
      </c>
      <c r="B1048" s="14" t="n">
        <f aca="false">Raw_Data!B1048</f>
        <v>44073</v>
      </c>
      <c r="C1048" s="14" t="str">
        <f aca="false">IF(Raw_Data!C1048="","",Raw_Data!C1048)</f>
        <v/>
      </c>
      <c r="D1048" s="13" t="n">
        <f aca="false">IF(Raw_Data!D1048="","",Raw_Data!D1048)</f>
        <v>36</v>
      </c>
      <c r="E1048" s="13" t="str">
        <f aca="false">IF(UPPER(LEFT(TRIM(Raw_Data!E1048),1))="M","Male",IF(UPPER(LEFT(TRIM(Raw_Data!E1048),1))="F","Female","Unknown"))</f>
        <v>Female</v>
      </c>
      <c r="F1048" s="13" t="str">
        <f aca="false">PROPER(TRIM(SUBSTITUTE(Raw_Data!F1048,"'","")))</f>
        <v>Masters</v>
      </c>
      <c r="G1048" s="13" t="str">
        <f aca="false">PROPER(TRIM(Raw_Data!G1048))</f>
        <v>Engineering</v>
      </c>
      <c r="H1048" s="13" t="str">
        <f aca="false">PROPER(TRIM(Raw_Data!H1048))</f>
        <v>Senior Analyst</v>
      </c>
      <c r="I1048" s="17" t="n">
        <f aca="false">IF(Raw_Data!I1048="",DefaultPerf,Raw_Data!I1048)</f>
        <v>3</v>
      </c>
      <c r="J1048" s="13" t="n">
        <f aca="false">IF(Raw_Data!J1048="",DefaultSat,Raw_Data!J1048)</f>
        <v>3</v>
      </c>
      <c r="K1048" s="15" t="n">
        <f aca="false">Raw_Data!K1048</f>
        <v>101000</v>
      </c>
      <c r="L1048" s="13" t="str">
        <f aca="false">PROPER(TRIM(Raw_Data!N1048))</f>
        <v>No</v>
      </c>
      <c r="M1048" s="13" t="n">
        <f aca="false">IF(C1048="",0,1)</f>
        <v>0</v>
      </c>
      <c r="N1048" s="13" t="str">
        <f aca="false">IF(M1048=0,"Active",IF(TRIM(Raw_Data!L1048)="","Unknown",PROPER(TRIM(Raw_Data!L1048))))</f>
        <v>Active</v>
      </c>
      <c r="O1048" s="13" t="str">
        <f aca="false">IF(M1048=0,"",IF(TRIM(Raw_Data!M1048)="","Not Recorded",TRIM(Raw_Data!M1048)))</f>
        <v/>
      </c>
      <c r="P1048" s="16" t="n">
        <f aca="false">ROUND((IF(C1048="",AsOfDate,C1048)-B1048)/365.25,2)</f>
        <v>5.34</v>
      </c>
      <c r="Q1048" s="13" t="str">
        <f aca="false">IF(D1048="","Unknown",IF(D1048&lt;25,"Under 25",IF(D1048&lt;35,"25-34",IF(D1048&lt;45,"35-44",IF(D1048&lt;55,"45-54","55+")))))</f>
        <v>35-44</v>
      </c>
      <c r="R1048" s="13" t="str">
        <f aca="false">IF(P1048&lt;1,"0-1 yrs",IF(P1048&lt;3,"1-3 yrs",IF(P1048&lt;5,"3-5 yrs",IF(P1048&lt;10,"5-10 yrs","10+ yrs"))))</f>
        <v>5-10 yrs</v>
      </c>
      <c r="S1048" s="13" t="str">
        <f aca="false">IF(I1048&gt;=4,"High",IF(I1048=3,"Medium","Low"))</f>
        <v>Medium</v>
      </c>
      <c r="T1048" s="13" t="str">
        <f aca="false">IF(M1048=1,YEAR(C1048),"")</f>
        <v/>
      </c>
      <c r="U1048" s="13" t="str">
        <f aca="false">IF(M1048=1,YEAR(C1048)&amp;"-Q"&amp;ROUNDUP(MONTH(C1048)/3,0),"")</f>
        <v/>
      </c>
      <c r="V1048" s="13" t="str">
        <f aca="false">IF(M1048=1,MONTH(C1048),"")</f>
        <v/>
      </c>
    </row>
    <row r="1049" customFormat="false" ht="15" hidden="false" customHeight="false" outlineLevel="0" collapsed="false">
      <c r="A1049" s="13" t="str">
        <f aca="false">TRIM(Raw_Data!A1049)</f>
        <v>EMP1048</v>
      </c>
      <c r="B1049" s="14" t="n">
        <f aca="false">Raw_Data!B1049</f>
        <v>44084</v>
      </c>
      <c r="C1049" s="14" t="n">
        <f aca="false">IF(Raw_Data!C1049="","",Raw_Data!C1049)</f>
        <v>45601</v>
      </c>
      <c r="D1049" s="13" t="n">
        <f aca="false">IF(Raw_Data!D1049="","",Raw_Data!D1049)</f>
        <v>34</v>
      </c>
      <c r="E1049" s="13" t="str">
        <f aca="false">IF(UPPER(LEFT(TRIM(Raw_Data!E1049),1))="M","Male",IF(UPPER(LEFT(TRIM(Raw_Data!E1049),1))="F","Female","Unknown"))</f>
        <v>Female</v>
      </c>
      <c r="F1049" s="13" t="str">
        <f aca="false">PROPER(TRIM(SUBSTITUTE(Raw_Data!F1049,"'","")))</f>
        <v>Masters</v>
      </c>
      <c r="G1049" s="13" t="str">
        <f aca="false">PROPER(TRIM(Raw_Data!G1049))</f>
        <v>Operations</v>
      </c>
      <c r="H1049" s="13" t="str">
        <f aca="false">PROPER(TRIM(Raw_Data!H1049))</f>
        <v>Senior Analyst</v>
      </c>
      <c r="I1049" s="13" t="n">
        <f aca="false">IF(Raw_Data!I1049="",DefaultPerf,Raw_Data!I1049)</f>
        <v>3</v>
      </c>
      <c r="J1049" s="13" t="n">
        <f aca="false">IF(Raw_Data!J1049="",DefaultSat,Raw_Data!J1049)</f>
        <v>4</v>
      </c>
      <c r="K1049" s="15" t="n">
        <f aca="false">Raw_Data!K1049</f>
        <v>98500</v>
      </c>
      <c r="L1049" s="13" t="str">
        <f aca="false">PROPER(TRIM(Raw_Data!N1049))</f>
        <v>No</v>
      </c>
      <c r="M1049" s="13" t="n">
        <f aca="false">IF(C1049="",0,1)</f>
        <v>1</v>
      </c>
      <c r="N1049" s="13" t="str">
        <f aca="false">IF(M1049=0,"Active",IF(TRIM(Raw_Data!L1049)="","Unknown",PROPER(TRIM(Raw_Data!L1049))))</f>
        <v>Voluntary</v>
      </c>
      <c r="O1049" s="13" t="str">
        <f aca="false">IF(M1049=0,"",IF(TRIM(Raw_Data!M1049)="","Not Recorded",TRIM(Raw_Data!M1049)))</f>
        <v>Work-Life Balance</v>
      </c>
      <c r="P1049" s="16" t="n">
        <f aca="false">ROUND((IF(C1049="",AsOfDate,C1049)-B1049)/365.25,2)</f>
        <v>4.15</v>
      </c>
      <c r="Q1049" s="13" t="str">
        <f aca="false">IF(D1049="","Unknown",IF(D1049&lt;25,"Under 25",IF(D1049&lt;35,"25-34",IF(D1049&lt;45,"35-44",IF(D1049&lt;55,"45-54","55+")))))</f>
        <v>25-34</v>
      </c>
      <c r="R1049" s="13" t="str">
        <f aca="false">IF(P1049&lt;1,"0-1 yrs",IF(P1049&lt;3,"1-3 yrs",IF(P1049&lt;5,"3-5 yrs",IF(P1049&lt;10,"5-10 yrs","10+ yrs"))))</f>
        <v>3-5 yrs</v>
      </c>
      <c r="S1049" s="13" t="str">
        <f aca="false">IF(I1049&gt;=4,"High",IF(I1049=3,"Medium","Low"))</f>
        <v>Medium</v>
      </c>
      <c r="T1049" s="13" t="n">
        <f aca="false">IF(M1049=1,YEAR(C1049),"")</f>
        <v>2024</v>
      </c>
      <c r="U1049" s="13" t="str">
        <f aca="false">IF(M1049=1,YEAR(C1049)&amp;"-Q"&amp;ROUNDUP(MONTH(C1049)/3,0),"")</f>
        <v>2024-Q4</v>
      </c>
      <c r="V1049" s="13" t="n">
        <f aca="false">IF(M1049=1,MONTH(C1049),"")</f>
        <v>11</v>
      </c>
    </row>
    <row r="1050" customFormat="false" ht="15" hidden="false" customHeight="false" outlineLevel="0" collapsed="false">
      <c r="A1050" s="13" t="str">
        <f aca="false">TRIM(Raw_Data!A1050)</f>
        <v>EMP1049</v>
      </c>
      <c r="B1050" s="14" t="n">
        <f aca="false">Raw_Data!B1050</f>
        <v>44092</v>
      </c>
      <c r="C1050" s="14" t="n">
        <f aca="false">IF(Raw_Data!C1050="","",Raw_Data!C1050)</f>
        <v>44654</v>
      </c>
      <c r="D1050" s="13" t="n">
        <f aca="false">IF(Raw_Data!D1050="","",Raw_Data!D1050)</f>
        <v>30</v>
      </c>
      <c r="E1050" s="13" t="str">
        <f aca="false">IF(UPPER(LEFT(TRIM(Raw_Data!E1050),1))="M","Male",IF(UPPER(LEFT(TRIM(Raw_Data!E1050),1))="F","Female","Unknown"))</f>
        <v>Female</v>
      </c>
      <c r="F1050" s="13" t="str">
        <f aca="false">PROPER(TRIM(SUBSTITUTE(Raw_Data!F1050,"'","")))</f>
        <v>High School</v>
      </c>
      <c r="G1050" s="13" t="str">
        <f aca="false">PROPER(TRIM(Raw_Data!G1050))</f>
        <v>Sales</v>
      </c>
      <c r="H1050" s="13" t="str">
        <f aca="false">PROPER(TRIM(Raw_Data!H1050))</f>
        <v>Associate</v>
      </c>
      <c r="I1050" s="13" t="n">
        <f aca="false">IF(Raw_Data!I1050="",DefaultPerf,Raw_Data!I1050)</f>
        <v>4</v>
      </c>
      <c r="J1050" s="13" t="n">
        <f aca="false">IF(Raw_Data!J1050="",DefaultSat,Raw_Data!J1050)</f>
        <v>1</v>
      </c>
      <c r="K1050" s="15" t="n">
        <f aca="false">Raw_Data!K1050</f>
        <v>40500</v>
      </c>
      <c r="L1050" s="13" t="str">
        <f aca="false">PROPER(TRIM(Raw_Data!N1050))</f>
        <v>Yes</v>
      </c>
      <c r="M1050" s="13" t="n">
        <f aca="false">IF(C1050="",0,1)</f>
        <v>1</v>
      </c>
      <c r="N1050" s="13" t="str">
        <f aca="false">IF(M1050=0,"Active",IF(TRIM(Raw_Data!L1050)="","Unknown",PROPER(TRIM(Raw_Data!L1050))))</f>
        <v>Voluntary</v>
      </c>
      <c r="O1050" s="13" t="str">
        <f aca="false">IF(M1050=0,"",IF(TRIM(Raw_Data!M1050)="","Not Recorded",TRIM(Raw_Data!M1050)))</f>
        <v>Personal Reasons</v>
      </c>
      <c r="P1050" s="16" t="n">
        <f aca="false">ROUND((IF(C1050="",AsOfDate,C1050)-B1050)/365.25,2)</f>
        <v>1.54</v>
      </c>
      <c r="Q1050" s="13" t="str">
        <f aca="false">IF(D1050="","Unknown",IF(D1050&lt;25,"Under 25",IF(D1050&lt;35,"25-34",IF(D1050&lt;45,"35-44",IF(D1050&lt;55,"45-54","55+")))))</f>
        <v>25-34</v>
      </c>
      <c r="R1050" s="13" t="str">
        <f aca="false">IF(P1050&lt;1,"0-1 yrs",IF(P1050&lt;3,"1-3 yrs",IF(P1050&lt;5,"3-5 yrs",IF(P1050&lt;10,"5-10 yrs","10+ yrs"))))</f>
        <v>1-3 yrs</v>
      </c>
      <c r="S1050" s="13" t="str">
        <f aca="false">IF(I1050&gt;=4,"High",IF(I1050=3,"Medium","Low"))</f>
        <v>High</v>
      </c>
      <c r="T1050" s="13" t="n">
        <f aca="false">IF(M1050=1,YEAR(C1050),"")</f>
        <v>2022</v>
      </c>
      <c r="U1050" s="13" t="str">
        <f aca="false">IF(M1050=1,YEAR(C1050)&amp;"-Q"&amp;ROUNDUP(MONTH(C1050)/3,0),"")</f>
        <v>2022-Q2</v>
      </c>
      <c r="V1050" s="13" t="n">
        <f aca="false">IF(M1050=1,MONTH(C1050),"")</f>
        <v>4</v>
      </c>
    </row>
    <row r="1051" customFormat="false" ht="15" hidden="false" customHeight="false" outlineLevel="0" collapsed="false">
      <c r="A1051" s="13" t="str">
        <f aca="false">TRIM(Raw_Data!A1051)</f>
        <v>EMP1050</v>
      </c>
      <c r="B1051" s="14" t="n">
        <f aca="false">Raw_Data!B1051</f>
        <v>44097</v>
      </c>
      <c r="C1051" s="14" t="str">
        <f aca="false">IF(Raw_Data!C1051="","",Raw_Data!C1051)</f>
        <v/>
      </c>
      <c r="D1051" s="13" t="n">
        <f aca="false">IF(Raw_Data!D1051="","",Raw_Data!D1051)</f>
        <v>31</v>
      </c>
      <c r="E1051" s="13" t="str">
        <f aca="false">IF(UPPER(LEFT(TRIM(Raw_Data!E1051),1))="M","Male",IF(UPPER(LEFT(TRIM(Raw_Data!E1051),1))="F","Female","Unknown"))</f>
        <v>Male</v>
      </c>
      <c r="F1051" s="13" t="str">
        <f aca="false">PROPER(TRIM(SUBSTITUTE(Raw_Data!F1051,"'","")))</f>
        <v>Diploma</v>
      </c>
      <c r="G1051" s="13" t="str">
        <f aca="false">PROPER(TRIM(Raw_Data!G1051))</f>
        <v>Operations</v>
      </c>
      <c r="H1051" s="13" t="str">
        <f aca="false">PROPER(TRIM(Raw_Data!H1051))</f>
        <v>Team Lead</v>
      </c>
      <c r="I1051" s="13" t="n">
        <f aca="false">IF(Raw_Data!I1051="",DefaultPerf,Raw_Data!I1051)</f>
        <v>3</v>
      </c>
      <c r="J1051" s="13" t="n">
        <f aca="false">IF(Raw_Data!J1051="",DefaultSat,Raw_Data!J1051)</f>
        <v>4</v>
      </c>
      <c r="K1051" s="15" t="n">
        <f aca="false">Raw_Data!K1051</f>
        <v>122000</v>
      </c>
      <c r="L1051" s="13" t="str">
        <f aca="false">PROPER(TRIM(Raw_Data!N1051))</f>
        <v>No</v>
      </c>
      <c r="M1051" s="13" t="n">
        <f aca="false">IF(C1051="",0,1)</f>
        <v>0</v>
      </c>
      <c r="N1051" s="13" t="str">
        <f aca="false">IF(M1051=0,"Active",IF(TRIM(Raw_Data!L1051)="","Unknown",PROPER(TRIM(Raw_Data!L1051))))</f>
        <v>Active</v>
      </c>
      <c r="O1051" s="13" t="str">
        <f aca="false">IF(M1051=0,"",IF(TRIM(Raw_Data!M1051)="","Not Recorded",TRIM(Raw_Data!M1051)))</f>
        <v/>
      </c>
      <c r="P1051" s="16" t="n">
        <f aca="false">ROUND((IF(C1051="",AsOfDate,C1051)-B1051)/365.25,2)</f>
        <v>5.27</v>
      </c>
      <c r="Q1051" s="13" t="str">
        <f aca="false">IF(D1051="","Unknown",IF(D1051&lt;25,"Under 25",IF(D1051&lt;35,"25-34",IF(D1051&lt;45,"35-44",IF(D1051&lt;55,"45-54","55+")))))</f>
        <v>25-34</v>
      </c>
      <c r="R1051" s="13" t="str">
        <f aca="false">IF(P1051&lt;1,"0-1 yrs",IF(P1051&lt;3,"1-3 yrs",IF(P1051&lt;5,"3-5 yrs",IF(P1051&lt;10,"5-10 yrs","10+ yrs"))))</f>
        <v>5-10 yrs</v>
      </c>
      <c r="S1051" s="13" t="str">
        <f aca="false">IF(I1051&gt;=4,"High",IF(I1051=3,"Medium","Low"))</f>
        <v>Medium</v>
      </c>
      <c r="T1051" s="13" t="str">
        <f aca="false">IF(M1051=1,YEAR(C1051),"")</f>
        <v/>
      </c>
      <c r="U1051" s="13" t="str">
        <f aca="false">IF(M1051=1,YEAR(C1051)&amp;"-Q"&amp;ROUNDUP(MONTH(C1051)/3,0),"")</f>
        <v/>
      </c>
      <c r="V1051" s="13" t="str">
        <f aca="false">IF(M1051=1,MONTH(C1051),"")</f>
        <v/>
      </c>
    </row>
    <row r="1052" customFormat="false" ht="15" hidden="false" customHeight="false" outlineLevel="0" collapsed="false">
      <c r="A1052" s="13" t="str">
        <f aca="false">TRIM(Raw_Data!A1052)</f>
        <v>EMP1051</v>
      </c>
      <c r="B1052" s="14" t="n">
        <f aca="false">Raw_Data!B1052</f>
        <v>44102</v>
      </c>
      <c r="C1052" s="14" t="n">
        <f aca="false">IF(Raw_Data!C1052="","",Raw_Data!C1052)</f>
        <v>44783</v>
      </c>
      <c r="D1052" s="13" t="n">
        <f aca="false">IF(Raw_Data!D1052="","",Raw_Data!D1052)</f>
        <v>27</v>
      </c>
      <c r="E1052" s="13" t="str">
        <f aca="false">IF(UPPER(LEFT(TRIM(Raw_Data!E1052),1))="M","Male",IF(UPPER(LEFT(TRIM(Raw_Data!E1052),1))="F","Female","Unknown"))</f>
        <v>Male</v>
      </c>
      <c r="F1052" s="13" t="str">
        <f aca="false">PROPER(TRIM(SUBSTITUTE(Raw_Data!F1052,"'","")))</f>
        <v>High School</v>
      </c>
      <c r="G1052" s="13" t="str">
        <f aca="false">PROPER(TRIM(Raw_Data!G1052))</f>
        <v>Engineering</v>
      </c>
      <c r="H1052" s="13" t="str">
        <f aca="false">PROPER(TRIM(Raw_Data!H1052))</f>
        <v>Manager</v>
      </c>
      <c r="I1052" s="13" t="n">
        <f aca="false">IF(Raw_Data!I1052="",DefaultPerf,Raw_Data!I1052)</f>
        <v>4</v>
      </c>
      <c r="J1052" s="13" t="n">
        <f aca="false">IF(Raw_Data!J1052="",DefaultSat,Raw_Data!J1052)</f>
        <v>3</v>
      </c>
      <c r="K1052" s="15" t="n">
        <f aca="false">Raw_Data!K1052</f>
        <v>217500</v>
      </c>
      <c r="L1052" s="13" t="str">
        <f aca="false">PROPER(TRIM(Raw_Data!N1052))</f>
        <v>No</v>
      </c>
      <c r="M1052" s="13" t="n">
        <f aca="false">IF(C1052="",0,1)</f>
        <v>1</v>
      </c>
      <c r="N1052" s="13" t="str">
        <f aca="false">IF(M1052=0,"Active",IF(TRIM(Raw_Data!L1052)="","Unknown",PROPER(TRIM(Raw_Data!L1052))))</f>
        <v>Voluntary</v>
      </c>
      <c r="O1052" s="13" t="str">
        <f aca="false">IF(M1052=0,"",IF(TRIM(Raw_Data!M1052)="","Not Recorded",TRIM(Raw_Data!M1052)))</f>
        <v>Job Dissatisfaction</v>
      </c>
      <c r="P1052" s="16" t="n">
        <f aca="false">ROUND((IF(C1052="",AsOfDate,C1052)-B1052)/365.25,2)</f>
        <v>1.86</v>
      </c>
      <c r="Q1052" s="13" t="str">
        <f aca="false">IF(D1052="","Unknown",IF(D1052&lt;25,"Under 25",IF(D1052&lt;35,"25-34",IF(D1052&lt;45,"35-44",IF(D1052&lt;55,"45-54","55+")))))</f>
        <v>25-34</v>
      </c>
      <c r="R1052" s="13" t="str">
        <f aca="false">IF(P1052&lt;1,"0-1 yrs",IF(P1052&lt;3,"1-3 yrs",IF(P1052&lt;5,"3-5 yrs",IF(P1052&lt;10,"5-10 yrs","10+ yrs"))))</f>
        <v>1-3 yrs</v>
      </c>
      <c r="S1052" s="13" t="str">
        <f aca="false">IF(I1052&gt;=4,"High",IF(I1052=3,"Medium","Low"))</f>
        <v>High</v>
      </c>
      <c r="T1052" s="13" t="n">
        <f aca="false">IF(M1052=1,YEAR(C1052),"")</f>
        <v>2022</v>
      </c>
      <c r="U1052" s="13" t="str">
        <f aca="false">IF(M1052=1,YEAR(C1052)&amp;"-Q"&amp;ROUNDUP(MONTH(C1052)/3,0),"")</f>
        <v>2022-Q3</v>
      </c>
      <c r="V1052" s="13" t="n">
        <f aca="false">IF(M1052=1,MONTH(C1052),"")</f>
        <v>8</v>
      </c>
    </row>
    <row r="1053" customFormat="false" ht="15" hidden="false" customHeight="false" outlineLevel="0" collapsed="false">
      <c r="A1053" s="13" t="str">
        <f aca="false">TRIM(Raw_Data!A1053)</f>
        <v>EMP1052</v>
      </c>
      <c r="B1053" s="14" t="n">
        <f aca="false">Raw_Data!B1053</f>
        <v>44106</v>
      </c>
      <c r="C1053" s="14" t="str">
        <f aca="false">IF(Raw_Data!C1053="","",Raw_Data!C1053)</f>
        <v/>
      </c>
      <c r="D1053" s="13" t="n">
        <f aca="false">IF(Raw_Data!D1053="","",Raw_Data!D1053)</f>
        <v>31</v>
      </c>
      <c r="E1053" s="13" t="str">
        <f aca="false">IF(UPPER(LEFT(TRIM(Raw_Data!E1053),1))="M","Male",IF(UPPER(LEFT(TRIM(Raw_Data!E1053),1))="F","Female","Unknown"))</f>
        <v>Male</v>
      </c>
      <c r="F1053" s="13" t="str">
        <f aca="false">PROPER(TRIM(SUBSTITUTE(Raw_Data!F1053,"'","")))</f>
        <v>High School</v>
      </c>
      <c r="G1053" s="13" t="str">
        <f aca="false">PROPER(TRIM(Raw_Data!G1053))</f>
        <v>Operations</v>
      </c>
      <c r="H1053" s="13" t="str">
        <f aca="false">PROPER(TRIM(Raw_Data!H1053))</f>
        <v>Manager</v>
      </c>
      <c r="I1053" s="13" t="n">
        <f aca="false">IF(Raw_Data!I1053="",DefaultPerf,Raw_Data!I1053)</f>
        <v>3</v>
      </c>
      <c r="J1053" s="13" t="n">
        <f aca="false">IF(Raw_Data!J1053="",DefaultSat,Raw_Data!J1053)</f>
        <v>2</v>
      </c>
      <c r="K1053" s="15" t="n">
        <f aca="false">Raw_Data!K1053</f>
        <v>209500</v>
      </c>
      <c r="L1053" s="13" t="str">
        <f aca="false">PROPER(TRIM(Raw_Data!N1053))</f>
        <v>Yes</v>
      </c>
      <c r="M1053" s="13" t="n">
        <f aca="false">IF(C1053="",0,1)</f>
        <v>0</v>
      </c>
      <c r="N1053" s="13" t="str">
        <f aca="false">IF(M1053=0,"Active",IF(TRIM(Raw_Data!L1053)="","Unknown",PROPER(TRIM(Raw_Data!L1053))))</f>
        <v>Active</v>
      </c>
      <c r="O1053" s="13" t="str">
        <f aca="false">IF(M1053=0,"",IF(TRIM(Raw_Data!M1053)="","Not Recorded",TRIM(Raw_Data!M1053)))</f>
        <v/>
      </c>
      <c r="P1053" s="16" t="n">
        <f aca="false">ROUND((IF(C1053="",AsOfDate,C1053)-B1053)/365.25,2)</f>
        <v>5.25</v>
      </c>
      <c r="Q1053" s="13" t="str">
        <f aca="false">IF(D1053="","Unknown",IF(D1053&lt;25,"Under 25",IF(D1053&lt;35,"25-34",IF(D1053&lt;45,"35-44",IF(D1053&lt;55,"45-54","55+")))))</f>
        <v>25-34</v>
      </c>
      <c r="R1053" s="13" t="str">
        <f aca="false">IF(P1053&lt;1,"0-1 yrs",IF(P1053&lt;3,"1-3 yrs",IF(P1053&lt;5,"3-5 yrs",IF(P1053&lt;10,"5-10 yrs","10+ yrs"))))</f>
        <v>5-10 yrs</v>
      </c>
      <c r="S1053" s="13" t="str">
        <f aca="false">IF(I1053&gt;=4,"High",IF(I1053=3,"Medium","Low"))</f>
        <v>Medium</v>
      </c>
      <c r="T1053" s="13" t="str">
        <f aca="false">IF(M1053=1,YEAR(C1053),"")</f>
        <v/>
      </c>
      <c r="U1053" s="13" t="str">
        <f aca="false">IF(M1053=1,YEAR(C1053)&amp;"-Q"&amp;ROUNDUP(MONTH(C1053)/3,0),"")</f>
        <v/>
      </c>
      <c r="V1053" s="13" t="str">
        <f aca="false">IF(M1053=1,MONTH(C1053),"")</f>
        <v/>
      </c>
    </row>
    <row r="1054" customFormat="false" ht="15" hidden="false" customHeight="false" outlineLevel="0" collapsed="false">
      <c r="A1054" s="13" t="str">
        <f aca="false">TRIM(Raw_Data!A1054)</f>
        <v>EMP1053</v>
      </c>
      <c r="B1054" s="14" t="n">
        <f aca="false">Raw_Data!B1054</f>
        <v>44110</v>
      </c>
      <c r="C1054" s="14" t="n">
        <f aca="false">IF(Raw_Data!C1054="","",Raw_Data!C1054)</f>
        <v>44679</v>
      </c>
      <c r="D1054" s="13" t="n">
        <f aca="false">IF(Raw_Data!D1054="","",Raw_Data!D1054)</f>
        <v>32</v>
      </c>
      <c r="E1054" s="13" t="str">
        <f aca="false">IF(UPPER(LEFT(TRIM(Raw_Data!E1054),1))="M","Male",IF(UPPER(LEFT(TRIM(Raw_Data!E1054),1))="F","Female","Unknown"))</f>
        <v>Male</v>
      </c>
      <c r="F1054" s="13" t="str">
        <f aca="false">PROPER(TRIM(SUBSTITUTE(Raw_Data!F1054,"'","")))</f>
        <v>Bachelors</v>
      </c>
      <c r="G1054" s="13" t="str">
        <f aca="false">PROPER(TRIM(Raw_Data!G1054))</f>
        <v>Human Resources</v>
      </c>
      <c r="H1054" s="13" t="str">
        <f aca="false">PROPER(TRIM(Raw_Data!H1054))</f>
        <v>Associate</v>
      </c>
      <c r="I1054" s="13" t="n">
        <f aca="false">IF(Raw_Data!I1054="",DefaultPerf,Raw_Data!I1054)</f>
        <v>3</v>
      </c>
      <c r="J1054" s="13" t="n">
        <f aca="false">IF(Raw_Data!J1054="",DefaultSat,Raw_Data!J1054)</f>
        <v>1</v>
      </c>
      <c r="K1054" s="15" t="n">
        <f aca="false">Raw_Data!K1054</f>
        <v>39000</v>
      </c>
      <c r="L1054" s="13" t="str">
        <f aca="false">PROPER(TRIM(Raw_Data!N1054))</f>
        <v>Yes</v>
      </c>
      <c r="M1054" s="13" t="n">
        <f aca="false">IF(C1054="",0,1)</f>
        <v>1</v>
      </c>
      <c r="N1054" s="13" t="str">
        <f aca="false">IF(M1054=0,"Active",IF(TRIM(Raw_Data!L1054)="","Unknown",PROPER(TRIM(Raw_Data!L1054))))</f>
        <v>Unknown</v>
      </c>
      <c r="O1054" s="13" t="str">
        <f aca="false">IF(M1054=0,"",IF(TRIM(Raw_Data!M1054)="","Not Recorded",TRIM(Raw_Data!M1054)))</f>
        <v>Better Compensation</v>
      </c>
      <c r="P1054" s="16" t="n">
        <f aca="false">ROUND((IF(C1054="",AsOfDate,C1054)-B1054)/365.25,2)</f>
        <v>1.56</v>
      </c>
      <c r="Q1054" s="13" t="str">
        <f aca="false">IF(D1054="","Unknown",IF(D1054&lt;25,"Under 25",IF(D1054&lt;35,"25-34",IF(D1054&lt;45,"35-44",IF(D1054&lt;55,"45-54","55+")))))</f>
        <v>25-34</v>
      </c>
      <c r="R1054" s="13" t="str">
        <f aca="false">IF(P1054&lt;1,"0-1 yrs",IF(P1054&lt;3,"1-3 yrs",IF(P1054&lt;5,"3-5 yrs",IF(P1054&lt;10,"5-10 yrs","10+ yrs"))))</f>
        <v>1-3 yrs</v>
      </c>
      <c r="S1054" s="13" t="str">
        <f aca="false">IF(I1054&gt;=4,"High",IF(I1054=3,"Medium","Low"))</f>
        <v>Medium</v>
      </c>
      <c r="T1054" s="13" t="n">
        <f aca="false">IF(M1054=1,YEAR(C1054),"")</f>
        <v>2022</v>
      </c>
      <c r="U1054" s="13" t="str">
        <f aca="false">IF(M1054=1,YEAR(C1054)&amp;"-Q"&amp;ROUNDUP(MONTH(C1054)/3,0),"")</f>
        <v>2022-Q2</v>
      </c>
      <c r="V1054" s="13" t="n">
        <f aca="false">IF(M1054=1,MONTH(C1054),"")</f>
        <v>4</v>
      </c>
    </row>
    <row r="1055" customFormat="false" ht="15" hidden="false" customHeight="false" outlineLevel="0" collapsed="false">
      <c r="A1055" s="13" t="str">
        <f aca="false">TRIM(Raw_Data!A1055)</f>
        <v>EMP1054</v>
      </c>
      <c r="B1055" s="14" t="n">
        <f aca="false">Raw_Data!B1055</f>
        <v>44114</v>
      </c>
      <c r="C1055" s="14" t="str">
        <f aca="false">IF(Raw_Data!C1055="","",Raw_Data!C1055)</f>
        <v/>
      </c>
      <c r="D1055" s="13" t="n">
        <f aca="false">IF(Raw_Data!D1055="","",Raw_Data!D1055)</f>
        <v>34</v>
      </c>
      <c r="E1055" s="13" t="str">
        <f aca="false">IF(UPPER(LEFT(TRIM(Raw_Data!E1055),1))="M","Male",IF(UPPER(LEFT(TRIM(Raw_Data!E1055),1))="F","Female","Unknown"))</f>
        <v>Male</v>
      </c>
      <c r="F1055" s="13" t="str">
        <f aca="false">PROPER(TRIM(SUBSTITUTE(Raw_Data!F1055,"'","")))</f>
        <v>Masters</v>
      </c>
      <c r="G1055" s="13" t="str">
        <f aca="false">PROPER(TRIM(Raw_Data!G1055))</f>
        <v>Finance</v>
      </c>
      <c r="H1055" s="13" t="str">
        <f aca="false">PROPER(TRIM(Raw_Data!H1055))</f>
        <v>Analyst</v>
      </c>
      <c r="I1055" s="13" t="n">
        <f aca="false">IF(Raw_Data!I1055="",DefaultPerf,Raw_Data!I1055)</f>
        <v>3</v>
      </c>
      <c r="J1055" s="13" t="n">
        <f aca="false">IF(Raw_Data!J1055="",DefaultSat,Raw_Data!J1055)</f>
        <v>2</v>
      </c>
      <c r="K1055" s="15" t="n">
        <f aca="false">Raw_Data!K1055</f>
        <v>62000</v>
      </c>
      <c r="L1055" s="13" t="str">
        <f aca="false">PROPER(TRIM(Raw_Data!N1055))</f>
        <v>No</v>
      </c>
      <c r="M1055" s="13" t="n">
        <f aca="false">IF(C1055="",0,1)</f>
        <v>0</v>
      </c>
      <c r="N1055" s="13" t="str">
        <f aca="false">IF(M1055=0,"Active",IF(TRIM(Raw_Data!L1055)="","Unknown",PROPER(TRIM(Raw_Data!L1055))))</f>
        <v>Active</v>
      </c>
      <c r="O1055" s="13" t="str">
        <f aca="false">IF(M1055=0,"",IF(TRIM(Raw_Data!M1055)="","Not Recorded",TRIM(Raw_Data!M1055)))</f>
        <v/>
      </c>
      <c r="P1055" s="16" t="n">
        <f aca="false">ROUND((IF(C1055="",AsOfDate,C1055)-B1055)/365.25,2)</f>
        <v>5.22</v>
      </c>
      <c r="Q1055" s="13" t="str">
        <f aca="false">IF(D1055="","Unknown",IF(D1055&lt;25,"Under 25",IF(D1055&lt;35,"25-34",IF(D1055&lt;45,"35-44",IF(D1055&lt;55,"45-54","55+")))))</f>
        <v>25-34</v>
      </c>
      <c r="R1055" s="13" t="str">
        <f aca="false">IF(P1055&lt;1,"0-1 yrs",IF(P1055&lt;3,"1-3 yrs",IF(P1055&lt;5,"3-5 yrs",IF(P1055&lt;10,"5-10 yrs","10+ yrs"))))</f>
        <v>5-10 yrs</v>
      </c>
      <c r="S1055" s="13" t="str">
        <f aca="false">IF(I1055&gt;=4,"High",IF(I1055=3,"Medium","Low"))</f>
        <v>Medium</v>
      </c>
      <c r="T1055" s="13" t="str">
        <f aca="false">IF(M1055=1,YEAR(C1055),"")</f>
        <v/>
      </c>
      <c r="U1055" s="13" t="str">
        <f aca="false">IF(M1055=1,YEAR(C1055)&amp;"-Q"&amp;ROUNDUP(MONTH(C1055)/3,0),"")</f>
        <v/>
      </c>
      <c r="V1055" s="13" t="str">
        <f aca="false">IF(M1055=1,MONTH(C1055),"")</f>
        <v/>
      </c>
    </row>
    <row r="1056" customFormat="false" ht="15" hidden="false" customHeight="false" outlineLevel="0" collapsed="false">
      <c r="A1056" s="13" t="str">
        <f aca="false">TRIM(Raw_Data!A1056)</f>
        <v>EMP1055</v>
      </c>
      <c r="B1056" s="14" t="n">
        <f aca="false">Raw_Data!B1056</f>
        <v>44114</v>
      </c>
      <c r="C1056" s="14" t="n">
        <f aca="false">IF(Raw_Data!C1056="","",Raw_Data!C1056)</f>
        <v>45738</v>
      </c>
      <c r="D1056" s="13" t="n">
        <f aca="false">IF(Raw_Data!D1056="","",Raw_Data!D1056)</f>
        <v>36</v>
      </c>
      <c r="E1056" s="13" t="str">
        <f aca="false">IF(UPPER(LEFT(TRIM(Raw_Data!E1056),1))="M","Male",IF(UPPER(LEFT(TRIM(Raw_Data!E1056),1))="F","Female","Unknown"))</f>
        <v>Male</v>
      </c>
      <c r="F1056" s="13" t="str">
        <f aca="false">PROPER(TRIM(SUBSTITUTE(Raw_Data!F1056,"'","")))</f>
        <v>Masters</v>
      </c>
      <c r="G1056" s="13" t="str">
        <f aca="false">PROPER(TRIM(Raw_Data!G1056))</f>
        <v>Engineering</v>
      </c>
      <c r="H1056" s="13" t="str">
        <f aca="false">PROPER(TRIM(Raw_Data!H1056))</f>
        <v>Senior Analyst</v>
      </c>
      <c r="I1056" s="13" t="n">
        <f aca="false">IF(Raw_Data!I1056="",DefaultPerf,Raw_Data!I1056)</f>
        <v>4</v>
      </c>
      <c r="J1056" s="13" t="n">
        <f aca="false">IF(Raw_Data!J1056="",DefaultSat,Raw_Data!J1056)</f>
        <v>3</v>
      </c>
      <c r="K1056" s="15" t="n">
        <f aca="false">Raw_Data!K1056</f>
        <v>86000</v>
      </c>
      <c r="L1056" s="13" t="str">
        <f aca="false">PROPER(TRIM(Raw_Data!N1056))</f>
        <v>Yes</v>
      </c>
      <c r="M1056" s="13" t="n">
        <f aca="false">IF(C1056="",0,1)</f>
        <v>1</v>
      </c>
      <c r="N1056" s="13" t="str">
        <f aca="false">IF(M1056=0,"Active",IF(TRIM(Raw_Data!L1056)="","Unknown",PROPER(TRIM(Raw_Data!L1056))))</f>
        <v>Voluntary</v>
      </c>
      <c r="O1056" s="13" t="str">
        <f aca="false">IF(M1056=0,"",IF(TRIM(Raw_Data!M1056)="","Not Recorded",TRIM(Raw_Data!M1056)))</f>
        <v>Better Compensation</v>
      </c>
      <c r="P1056" s="16" t="n">
        <f aca="false">ROUND((IF(C1056="",AsOfDate,C1056)-B1056)/365.25,2)</f>
        <v>4.45</v>
      </c>
      <c r="Q1056" s="13" t="str">
        <f aca="false">IF(D1056="","Unknown",IF(D1056&lt;25,"Under 25",IF(D1056&lt;35,"25-34",IF(D1056&lt;45,"35-44",IF(D1056&lt;55,"45-54","55+")))))</f>
        <v>35-44</v>
      </c>
      <c r="R1056" s="13" t="str">
        <f aca="false">IF(P1056&lt;1,"0-1 yrs",IF(P1056&lt;3,"1-3 yrs",IF(P1056&lt;5,"3-5 yrs",IF(P1056&lt;10,"5-10 yrs","10+ yrs"))))</f>
        <v>3-5 yrs</v>
      </c>
      <c r="S1056" s="13" t="str">
        <f aca="false">IF(I1056&gt;=4,"High",IF(I1056=3,"Medium","Low"))</f>
        <v>High</v>
      </c>
      <c r="T1056" s="13" t="n">
        <f aca="false">IF(M1056=1,YEAR(C1056),"")</f>
        <v>2025</v>
      </c>
      <c r="U1056" s="13" t="str">
        <f aca="false">IF(M1056=1,YEAR(C1056)&amp;"-Q"&amp;ROUNDUP(MONTH(C1056)/3,0),"")</f>
        <v>2025-Q1</v>
      </c>
      <c r="V1056" s="13" t="n">
        <f aca="false">IF(M1056=1,MONTH(C1056),"")</f>
        <v>3</v>
      </c>
    </row>
    <row r="1057" customFormat="false" ht="15" hidden="false" customHeight="false" outlineLevel="0" collapsed="false">
      <c r="A1057" s="13" t="str">
        <f aca="false">TRIM(Raw_Data!A1057)</f>
        <v>EMP1056</v>
      </c>
      <c r="B1057" s="14" t="n">
        <f aca="false">Raw_Data!B1057</f>
        <v>44116</v>
      </c>
      <c r="C1057" s="14" t="str">
        <f aca="false">IF(Raw_Data!C1057="","",Raw_Data!C1057)</f>
        <v/>
      </c>
      <c r="D1057" s="13" t="n">
        <f aca="false">IF(Raw_Data!D1057="","",Raw_Data!D1057)</f>
        <v>30</v>
      </c>
      <c r="E1057" s="13" t="str">
        <f aca="false">IF(UPPER(LEFT(TRIM(Raw_Data!E1057),1))="M","Male",IF(UPPER(LEFT(TRIM(Raw_Data!E1057),1))="F","Female","Unknown"))</f>
        <v>Male</v>
      </c>
      <c r="F1057" s="13" t="str">
        <f aca="false">PROPER(TRIM(SUBSTITUTE(Raw_Data!F1057,"'","")))</f>
        <v>High School</v>
      </c>
      <c r="G1057" s="13" t="str">
        <f aca="false">PROPER(TRIM(Raw_Data!G1057))</f>
        <v>Finance</v>
      </c>
      <c r="H1057" s="13" t="str">
        <f aca="false">PROPER(TRIM(Raw_Data!H1057))</f>
        <v>Specialist</v>
      </c>
      <c r="I1057" s="13" t="n">
        <f aca="false">IF(Raw_Data!I1057="",DefaultPerf,Raw_Data!I1057)</f>
        <v>3</v>
      </c>
      <c r="J1057" s="13" t="n">
        <f aca="false">IF(Raw_Data!J1057="",DefaultSat,Raw_Data!J1057)</f>
        <v>3</v>
      </c>
      <c r="K1057" s="15" t="n">
        <f aca="false">Raw_Data!K1057</f>
        <v>122000</v>
      </c>
      <c r="L1057" s="13" t="str">
        <f aca="false">PROPER(TRIM(Raw_Data!N1057))</f>
        <v>No</v>
      </c>
      <c r="M1057" s="13" t="n">
        <f aca="false">IF(C1057="",0,1)</f>
        <v>0</v>
      </c>
      <c r="N1057" s="13" t="str">
        <f aca="false">IF(M1057=0,"Active",IF(TRIM(Raw_Data!L1057)="","Unknown",PROPER(TRIM(Raw_Data!L1057))))</f>
        <v>Active</v>
      </c>
      <c r="O1057" s="13" t="str">
        <f aca="false">IF(M1057=0,"",IF(TRIM(Raw_Data!M1057)="","Not Recorded",TRIM(Raw_Data!M1057)))</f>
        <v/>
      </c>
      <c r="P1057" s="16" t="n">
        <f aca="false">ROUND((IF(C1057="",AsOfDate,C1057)-B1057)/365.25,2)</f>
        <v>5.22</v>
      </c>
      <c r="Q1057" s="13" t="str">
        <f aca="false">IF(D1057="","Unknown",IF(D1057&lt;25,"Under 25",IF(D1057&lt;35,"25-34",IF(D1057&lt;45,"35-44",IF(D1057&lt;55,"45-54","55+")))))</f>
        <v>25-34</v>
      </c>
      <c r="R1057" s="13" t="str">
        <f aca="false">IF(P1057&lt;1,"0-1 yrs",IF(P1057&lt;3,"1-3 yrs",IF(P1057&lt;5,"3-5 yrs",IF(P1057&lt;10,"5-10 yrs","10+ yrs"))))</f>
        <v>5-10 yrs</v>
      </c>
      <c r="S1057" s="13" t="str">
        <f aca="false">IF(I1057&gt;=4,"High",IF(I1057=3,"Medium","Low"))</f>
        <v>Medium</v>
      </c>
      <c r="T1057" s="13" t="str">
        <f aca="false">IF(M1057=1,YEAR(C1057),"")</f>
        <v/>
      </c>
      <c r="U1057" s="13" t="str">
        <f aca="false">IF(M1057=1,YEAR(C1057)&amp;"-Q"&amp;ROUNDUP(MONTH(C1057)/3,0),"")</f>
        <v/>
      </c>
      <c r="V1057" s="13" t="str">
        <f aca="false">IF(M1057=1,MONTH(C1057),"")</f>
        <v/>
      </c>
    </row>
    <row r="1058" customFormat="false" ht="15" hidden="false" customHeight="false" outlineLevel="0" collapsed="false">
      <c r="A1058" s="13" t="str">
        <f aca="false">TRIM(Raw_Data!A1058)</f>
        <v>EMP1057</v>
      </c>
      <c r="B1058" s="14" t="n">
        <f aca="false">Raw_Data!B1058</f>
        <v>44118</v>
      </c>
      <c r="C1058" s="14" t="n">
        <f aca="false">IF(Raw_Data!C1058="","",Raw_Data!C1058)</f>
        <v>45161</v>
      </c>
      <c r="D1058" s="13" t="n">
        <f aca="false">IF(Raw_Data!D1058="","",Raw_Data!D1058)</f>
        <v>36</v>
      </c>
      <c r="E1058" s="13" t="str">
        <f aca="false">IF(UPPER(LEFT(TRIM(Raw_Data!E1058),1))="M","Male",IF(UPPER(LEFT(TRIM(Raw_Data!E1058),1))="F","Female","Unknown"))</f>
        <v>Female</v>
      </c>
      <c r="F1058" s="13" t="str">
        <f aca="false">PROPER(TRIM(SUBSTITUTE(Raw_Data!F1058,"'","")))</f>
        <v>Bachelors</v>
      </c>
      <c r="G1058" s="13" t="str">
        <f aca="false">PROPER(TRIM(Raw_Data!G1058))</f>
        <v>Customer Support</v>
      </c>
      <c r="H1058" s="13" t="str">
        <f aca="false">PROPER(TRIM(Raw_Data!H1058))</f>
        <v>Associate</v>
      </c>
      <c r="I1058" s="13" t="n">
        <f aca="false">IF(Raw_Data!I1058="",DefaultPerf,Raw_Data!I1058)</f>
        <v>3</v>
      </c>
      <c r="J1058" s="13" t="n">
        <f aca="false">IF(Raw_Data!J1058="",DefaultSat,Raw_Data!J1058)</f>
        <v>4</v>
      </c>
      <c r="K1058" s="15" t="n">
        <f aca="false">Raw_Data!K1058</f>
        <v>41500</v>
      </c>
      <c r="L1058" s="13" t="str">
        <f aca="false">PROPER(TRIM(Raw_Data!N1058))</f>
        <v>Yes</v>
      </c>
      <c r="M1058" s="13" t="n">
        <f aca="false">IF(C1058="",0,1)</f>
        <v>1</v>
      </c>
      <c r="N1058" s="13" t="str">
        <f aca="false">IF(M1058=0,"Active",IF(TRIM(Raw_Data!L1058)="","Unknown",PROPER(TRIM(Raw_Data!L1058))))</f>
        <v>Voluntary</v>
      </c>
      <c r="O1058" s="13" t="str">
        <f aca="false">IF(M1058=0,"",IF(TRIM(Raw_Data!M1058)="","Not Recorded",TRIM(Raw_Data!M1058)))</f>
        <v>Career Growth</v>
      </c>
      <c r="P1058" s="16" t="n">
        <f aca="false">ROUND((IF(C1058="",AsOfDate,C1058)-B1058)/365.25,2)</f>
        <v>2.86</v>
      </c>
      <c r="Q1058" s="13" t="str">
        <f aca="false">IF(D1058="","Unknown",IF(D1058&lt;25,"Under 25",IF(D1058&lt;35,"25-34",IF(D1058&lt;45,"35-44",IF(D1058&lt;55,"45-54","55+")))))</f>
        <v>35-44</v>
      </c>
      <c r="R1058" s="13" t="str">
        <f aca="false">IF(P1058&lt;1,"0-1 yrs",IF(P1058&lt;3,"1-3 yrs",IF(P1058&lt;5,"3-5 yrs",IF(P1058&lt;10,"5-10 yrs","10+ yrs"))))</f>
        <v>1-3 yrs</v>
      </c>
      <c r="S1058" s="13" t="str">
        <f aca="false">IF(I1058&gt;=4,"High",IF(I1058=3,"Medium","Low"))</f>
        <v>Medium</v>
      </c>
      <c r="T1058" s="13" t="n">
        <f aca="false">IF(M1058=1,YEAR(C1058),"")</f>
        <v>2023</v>
      </c>
      <c r="U1058" s="13" t="str">
        <f aca="false">IF(M1058=1,YEAR(C1058)&amp;"-Q"&amp;ROUNDUP(MONTH(C1058)/3,0),"")</f>
        <v>2023-Q3</v>
      </c>
      <c r="V1058" s="13" t="n">
        <f aca="false">IF(M1058=1,MONTH(C1058),"")</f>
        <v>8</v>
      </c>
    </row>
    <row r="1059" customFormat="false" ht="15" hidden="false" customHeight="false" outlineLevel="0" collapsed="false">
      <c r="A1059" s="13" t="str">
        <f aca="false">TRIM(Raw_Data!A1059)</f>
        <v>EMP1058</v>
      </c>
      <c r="B1059" s="14" t="n">
        <f aca="false">Raw_Data!B1059</f>
        <v>44128</v>
      </c>
      <c r="C1059" s="14" t="n">
        <f aca="false">IF(Raw_Data!C1059="","",Raw_Data!C1059)</f>
        <v>44616</v>
      </c>
      <c r="D1059" s="13" t="n">
        <f aca="false">IF(Raw_Data!D1059="","",Raw_Data!D1059)</f>
        <v>32</v>
      </c>
      <c r="E1059" s="13" t="str">
        <f aca="false">IF(UPPER(LEFT(TRIM(Raw_Data!E1059),1))="M","Male",IF(UPPER(LEFT(TRIM(Raw_Data!E1059),1))="F","Female","Unknown"))</f>
        <v>Female</v>
      </c>
      <c r="F1059" s="13" t="str">
        <f aca="false">PROPER(TRIM(SUBSTITUTE(Raw_Data!F1059,"'","")))</f>
        <v>Bachelors</v>
      </c>
      <c r="G1059" s="13" t="str">
        <f aca="false">PROPER(TRIM(Raw_Data!G1059))</f>
        <v>Engineering</v>
      </c>
      <c r="H1059" s="13" t="str">
        <f aca="false">PROPER(TRIM(Raw_Data!H1059))</f>
        <v>Associate</v>
      </c>
      <c r="I1059" s="13" t="n">
        <f aca="false">IF(Raw_Data!I1059="",DefaultPerf,Raw_Data!I1059)</f>
        <v>4</v>
      </c>
      <c r="J1059" s="13" t="n">
        <f aca="false">IF(Raw_Data!J1059="",DefaultSat,Raw_Data!J1059)</f>
        <v>1</v>
      </c>
      <c r="K1059" s="15" t="n">
        <f aca="false">Raw_Data!K1059</f>
        <v>42500</v>
      </c>
      <c r="L1059" s="13" t="str">
        <f aca="false">PROPER(TRIM(Raw_Data!N1059))</f>
        <v>Yes</v>
      </c>
      <c r="M1059" s="13" t="n">
        <f aca="false">IF(C1059="",0,1)</f>
        <v>1</v>
      </c>
      <c r="N1059" s="13" t="str">
        <f aca="false">IF(M1059=0,"Active",IF(TRIM(Raw_Data!L1059)="","Unknown",PROPER(TRIM(Raw_Data!L1059))))</f>
        <v>Voluntary</v>
      </c>
      <c r="O1059" s="13" t="str">
        <f aca="false">IF(M1059=0,"",IF(TRIM(Raw_Data!M1059)="","Not Recorded",TRIM(Raw_Data!M1059)))</f>
        <v>Work-Life Balance</v>
      </c>
      <c r="P1059" s="16" t="n">
        <f aca="false">ROUND((IF(C1059="",AsOfDate,C1059)-B1059)/365.25,2)</f>
        <v>1.34</v>
      </c>
      <c r="Q1059" s="13" t="str">
        <f aca="false">IF(D1059="","Unknown",IF(D1059&lt;25,"Under 25",IF(D1059&lt;35,"25-34",IF(D1059&lt;45,"35-44",IF(D1059&lt;55,"45-54","55+")))))</f>
        <v>25-34</v>
      </c>
      <c r="R1059" s="13" t="str">
        <f aca="false">IF(P1059&lt;1,"0-1 yrs",IF(P1059&lt;3,"1-3 yrs",IF(P1059&lt;5,"3-5 yrs",IF(P1059&lt;10,"5-10 yrs","10+ yrs"))))</f>
        <v>1-3 yrs</v>
      </c>
      <c r="S1059" s="13" t="str">
        <f aca="false">IF(I1059&gt;=4,"High",IF(I1059=3,"Medium","Low"))</f>
        <v>High</v>
      </c>
      <c r="T1059" s="13" t="n">
        <f aca="false">IF(M1059=1,YEAR(C1059),"")</f>
        <v>2022</v>
      </c>
      <c r="U1059" s="13" t="str">
        <f aca="false">IF(M1059=1,YEAR(C1059)&amp;"-Q"&amp;ROUNDUP(MONTH(C1059)/3,0),"")</f>
        <v>2022-Q1</v>
      </c>
      <c r="V1059" s="13" t="n">
        <f aca="false">IF(M1059=1,MONTH(C1059),"")</f>
        <v>2</v>
      </c>
    </row>
    <row r="1060" customFormat="false" ht="15" hidden="false" customHeight="false" outlineLevel="0" collapsed="false">
      <c r="A1060" s="13" t="str">
        <f aca="false">TRIM(Raw_Data!A1060)</f>
        <v>EMP1059</v>
      </c>
      <c r="B1060" s="14" t="n">
        <f aca="false">Raw_Data!B1060</f>
        <v>44128</v>
      </c>
      <c r="C1060" s="14" t="n">
        <f aca="false">IF(Raw_Data!C1060="","",Raw_Data!C1060)</f>
        <v>45314</v>
      </c>
      <c r="D1060" s="13" t="n">
        <f aca="false">IF(Raw_Data!D1060="","",Raw_Data!D1060)</f>
        <v>24</v>
      </c>
      <c r="E1060" s="13" t="str">
        <f aca="false">IF(UPPER(LEFT(TRIM(Raw_Data!E1060),1))="M","Male",IF(UPPER(LEFT(TRIM(Raw_Data!E1060),1))="F","Female","Unknown"))</f>
        <v>Female</v>
      </c>
      <c r="F1060" s="13" t="str">
        <f aca="false">PROPER(TRIM(SUBSTITUTE(Raw_Data!F1060,"'","")))</f>
        <v>Doctorate</v>
      </c>
      <c r="G1060" s="13" t="str">
        <f aca="false">PROPER(TRIM(Raw_Data!G1060))</f>
        <v>Operations</v>
      </c>
      <c r="H1060" s="13" t="str">
        <f aca="false">PROPER(TRIM(Raw_Data!H1060))</f>
        <v>Senior Analyst</v>
      </c>
      <c r="I1060" s="13" t="n">
        <f aca="false">IF(Raw_Data!I1060="",DefaultPerf,Raw_Data!I1060)</f>
        <v>3</v>
      </c>
      <c r="J1060" s="17" t="n">
        <f aca="false">IF(Raw_Data!J1060="",DefaultSat,Raw_Data!J1060)</f>
        <v>3</v>
      </c>
      <c r="K1060" s="15" t="n">
        <f aca="false">Raw_Data!K1060</f>
        <v>100000</v>
      </c>
      <c r="L1060" s="13" t="str">
        <f aca="false">PROPER(TRIM(Raw_Data!N1060))</f>
        <v>Yes</v>
      </c>
      <c r="M1060" s="13" t="n">
        <f aca="false">IF(C1060="",0,1)</f>
        <v>1</v>
      </c>
      <c r="N1060" s="13" t="str">
        <f aca="false">IF(M1060=0,"Active",IF(TRIM(Raw_Data!L1060)="","Unknown",PROPER(TRIM(Raw_Data!L1060))))</f>
        <v>Voluntary</v>
      </c>
      <c r="O1060" s="13" t="str">
        <f aca="false">IF(M1060=0,"",IF(TRIM(Raw_Data!M1060)="","Not Recorded",TRIM(Raw_Data!M1060)))</f>
        <v>Personal Reasons</v>
      </c>
      <c r="P1060" s="16" t="n">
        <f aca="false">ROUND((IF(C1060="",AsOfDate,C1060)-B1060)/365.25,2)</f>
        <v>3.25</v>
      </c>
      <c r="Q1060" s="13" t="str">
        <f aca="false">IF(D1060="","Unknown",IF(D1060&lt;25,"Under 25",IF(D1060&lt;35,"25-34",IF(D1060&lt;45,"35-44",IF(D1060&lt;55,"45-54","55+")))))</f>
        <v>Under 25</v>
      </c>
      <c r="R1060" s="13" t="str">
        <f aca="false">IF(P1060&lt;1,"0-1 yrs",IF(P1060&lt;3,"1-3 yrs",IF(P1060&lt;5,"3-5 yrs",IF(P1060&lt;10,"5-10 yrs","10+ yrs"))))</f>
        <v>3-5 yrs</v>
      </c>
      <c r="S1060" s="13" t="str">
        <f aca="false">IF(I1060&gt;=4,"High",IF(I1060=3,"Medium","Low"))</f>
        <v>Medium</v>
      </c>
      <c r="T1060" s="13" t="n">
        <f aca="false">IF(M1060=1,YEAR(C1060),"")</f>
        <v>2024</v>
      </c>
      <c r="U1060" s="13" t="str">
        <f aca="false">IF(M1060=1,YEAR(C1060)&amp;"-Q"&amp;ROUNDUP(MONTH(C1060)/3,0),"")</f>
        <v>2024-Q1</v>
      </c>
      <c r="V1060" s="13" t="n">
        <f aca="false">IF(M1060=1,MONTH(C1060),"")</f>
        <v>1</v>
      </c>
    </row>
    <row r="1061" customFormat="false" ht="15" hidden="false" customHeight="false" outlineLevel="0" collapsed="false">
      <c r="A1061" s="13" t="str">
        <f aca="false">TRIM(Raw_Data!A1061)</f>
        <v>EMP1060</v>
      </c>
      <c r="B1061" s="14" t="n">
        <f aca="false">Raw_Data!B1061</f>
        <v>44131</v>
      </c>
      <c r="C1061" s="14" t="str">
        <f aca="false">IF(Raw_Data!C1061="","",Raw_Data!C1061)</f>
        <v/>
      </c>
      <c r="D1061" s="13" t="n">
        <f aca="false">IF(Raw_Data!D1061="","",Raw_Data!D1061)</f>
        <v>34</v>
      </c>
      <c r="E1061" s="13" t="str">
        <f aca="false">IF(UPPER(LEFT(TRIM(Raw_Data!E1061),1))="M","Male",IF(UPPER(LEFT(TRIM(Raw_Data!E1061),1))="F","Female","Unknown"))</f>
        <v>Female</v>
      </c>
      <c r="F1061" s="13" t="str">
        <f aca="false">PROPER(TRIM(SUBSTITUTE(Raw_Data!F1061,"'","")))</f>
        <v>Bachelors</v>
      </c>
      <c r="G1061" s="13" t="str">
        <f aca="false">PROPER(TRIM(Raw_Data!G1061))</f>
        <v>Operations</v>
      </c>
      <c r="H1061" s="13" t="str">
        <f aca="false">PROPER(TRIM(Raw_Data!H1061))</f>
        <v>Associate</v>
      </c>
      <c r="I1061" s="13" t="n">
        <f aca="false">IF(Raw_Data!I1061="",DefaultPerf,Raw_Data!I1061)</f>
        <v>3</v>
      </c>
      <c r="J1061" s="13" t="n">
        <f aca="false">IF(Raw_Data!J1061="",DefaultSat,Raw_Data!J1061)</f>
        <v>3</v>
      </c>
      <c r="K1061" s="15" t="n">
        <f aca="false">Raw_Data!K1061</f>
        <v>43500</v>
      </c>
      <c r="L1061" s="13" t="str">
        <f aca="false">PROPER(TRIM(Raw_Data!N1061))</f>
        <v>No</v>
      </c>
      <c r="M1061" s="13" t="n">
        <f aca="false">IF(C1061="",0,1)</f>
        <v>0</v>
      </c>
      <c r="N1061" s="13" t="str">
        <f aca="false">IF(M1061=0,"Active",IF(TRIM(Raw_Data!L1061)="","Unknown",PROPER(TRIM(Raw_Data!L1061))))</f>
        <v>Active</v>
      </c>
      <c r="O1061" s="13" t="str">
        <f aca="false">IF(M1061=0,"",IF(TRIM(Raw_Data!M1061)="","Not Recorded",TRIM(Raw_Data!M1061)))</f>
        <v/>
      </c>
      <c r="P1061" s="16" t="n">
        <f aca="false">ROUND((IF(C1061="",AsOfDate,C1061)-B1061)/365.25,2)</f>
        <v>5.18</v>
      </c>
      <c r="Q1061" s="13" t="str">
        <f aca="false">IF(D1061="","Unknown",IF(D1061&lt;25,"Under 25",IF(D1061&lt;35,"25-34",IF(D1061&lt;45,"35-44",IF(D1061&lt;55,"45-54","55+")))))</f>
        <v>25-34</v>
      </c>
      <c r="R1061" s="13" t="str">
        <f aca="false">IF(P1061&lt;1,"0-1 yrs",IF(P1061&lt;3,"1-3 yrs",IF(P1061&lt;5,"3-5 yrs",IF(P1061&lt;10,"5-10 yrs","10+ yrs"))))</f>
        <v>5-10 yrs</v>
      </c>
      <c r="S1061" s="13" t="str">
        <f aca="false">IF(I1061&gt;=4,"High",IF(I1061=3,"Medium","Low"))</f>
        <v>Medium</v>
      </c>
      <c r="T1061" s="13" t="str">
        <f aca="false">IF(M1061=1,YEAR(C1061),"")</f>
        <v/>
      </c>
      <c r="U1061" s="13" t="str">
        <f aca="false">IF(M1061=1,YEAR(C1061)&amp;"-Q"&amp;ROUNDUP(MONTH(C1061)/3,0),"")</f>
        <v/>
      </c>
      <c r="V1061" s="13" t="str">
        <f aca="false">IF(M1061=1,MONTH(C1061),"")</f>
        <v/>
      </c>
    </row>
    <row r="1062" customFormat="false" ht="15" hidden="false" customHeight="false" outlineLevel="0" collapsed="false">
      <c r="A1062" s="13" t="str">
        <f aca="false">TRIM(Raw_Data!A1062)</f>
        <v>EMP1061</v>
      </c>
      <c r="B1062" s="14" t="n">
        <f aca="false">Raw_Data!B1062</f>
        <v>44132</v>
      </c>
      <c r="C1062" s="14" t="n">
        <f aca="false">IF(Raw_Data!C1062="","",Raw_Data!C1062)</f>
        <v>44931</v>
      </c>
      <c r="D1062" s="13" t="n">
        <f aca="false">IF(Raw_Data!D1062="","",Raw_Data!D1062)</f>
        <v>41</v>
      </c>
      <c r="E1062" s="13" t="str">
        <f aca="false">IF(UPPER(LEFT(TRIM(Raw_Data!E1062),1))="M","Male",IF(UPPER(LEFT(TRIM(Raw_Data!E1062),1))="F","Female","Unknown"))</f>
        <v>Male</v>
      </c>
      <c r="F1062" s="13" t="str">
        <f aca="false">PROPER(TRIM(SUBSTITUTE(Raw_Data!F1062,"'","")))</f>
        <v>Masters</v>
      </c>
      <c r="G1062" s="13" t="str">
        <f aca="false">PROPER(TRIM(Raw_Data!G1062))</f>
        <v>Customer Support</v>
      </c>
      <c r="H1062" s="13" t="str">
        <f aca="false">PROPER(TRIM(Raw_Data!H1062))</f>
        <v>Associate</v>
      </c>
      <c r="I1062" s="13" t="n">
        <f aca="false">IF(Raw_Data!I1062="",DefaultPerf,Raw_Data!I1062)</f>
        <v>3</v>
      </c>
      <c r="J1062" s="13" t="n">
        <f aca="false">IF(Raw_Data!J1062="",DefaultSat,Raw_Data!J1062)</f>
        <v>2</v>
      </c>
      <c r="K1062" s="15" t="n">
        <f aca="false">Raw_Data!K1062</f>
        <v>45500</v>
      </c>
      <c r="L1062" s="13" t="str">
        <f aca="false">PROPER(TRIM(Raw_Data!N1062))</f>
        <v>No</v>
      </c>
      <c r="M1062" s="13" t="n">
        <f aca="false">IF(C1062="",0,1)</f>
        <v>1</v>
      </c>
      <c r="N1062" s="13" t="str">
        <f aca="false">IF(M1062=0,"Active",IF(TRIM(Raw_Data!L1062)="","Unknown",PROPER(TRIM(Raw_Data!L1062))))</f>
        <v>Involuntary</v>
      </c>
      <c r="O1062" s="13" t="str">
        <f aca="false">IF(M1062=0,"",IF(TRIM(Raw_Data!M1062)="","Not Recorded",TRIM(Raw_Data!M1062)))</f>
        <v>End of Contract</v>
      </c>
      <c r="P1062" s="16" t="n">
        <f aca="false">ROUND((IF(C1062="",AsOfDate,C1062)-B1062)/365.25,2)</f>
        <v>2.19</v>
      </c>
      <c r="Q1062" s="13" t="str">
        <f aca="false">IF(D1062="","Unknown",IF(D1062&lt;25,"Under 25",IF(D1062&lt;35,"25-34",IF(D1062&lt;45,"35-44",IF(D1062&lt;55,"45-54","55+")))))</f>
        <v>35-44</v>
      </c>
      <c r="R1062" s="13" t="str">
        <f aca="false">IF(P1062&lt;1,"0-1 yrs",IF(P1062&lt;3,"1-3 yrs",IF(P1062&lt;5,"3-5 yrs",IF(P1062&lt;10,"5-10 yrs","10+ yrs"))))</f>
        <v>1-3 yrs</v>
      </c>
      <c r="S1062" s="13" t="str">
        <f aca="false">IF(I1062&gt;=4,"High",IF(I1062=3,"Medium","Low"))</f>
        <v>Medium</v>
      </c>
      <c r="T1062" s="13" t="n">
        <f aca="false">IF(M1062=1,YEAR(C1062),"")</f>
        <v>2023</v>
      </c>
      <c r="U1062" s="13" t="str">
        <f aca="false">IF(M1062=1,YEAR(C1062)&amp;"-Q"&amp;ROUNDUP(MONTH(C1062)/3,0),"")</f>
        <v>2023-Q1</v>
      </c>
      <c r="V1062" s="13" t="n">
        <f aca="false">IF(M1062=1,MONTH(C1062),"")</f>
        <v>1</v>
      </c>
    </row>
    <row r="1063" customFormat="false" ht="15" hidden="false" customHeight="false" outlineLevel="0" collapsed="false">
      <c r="A1063" s="13" t="str">
        <f aca="false">TRIM(Raw_Data!A1063)</f>
        <v>EMP1062</v>
      </c>
      <c r="B1063" s="14" t="n">
        <f aca="false">Raw_Data!B1063</f>
        <v>44135</v>
      </c>
      <c r="C1063" s="14" t="n">
        <f aca="false">IF(Raw_Data!C1063="","",Raw_Data!C1063)</f>
        <v>44868</v>
      </c>
      <c r="D1063" s="13" t="n">
        <f aca="false">IF(Raw_Data!D1063="","",Raw_Data!D1063)</f>
        <v>30</v>
      </c>
      <c r="E1063" s="13" t="str">
        <f aca="false">IF(UPPER(LEFT(TRIM(Raw_Data!E1063),1))="M","Male",IF(UPPER(LEFT(TRIM(Raw_Data!E1063),1))="F","Female","Unknown"))</f>
        <v>Male</v>
      </c>
      <c r="F1063" s="13" t="str">
        <f aca="false">PROPER(TRIM(SUBSTITUTE(Raw_Data!F1063,"'","")))</f>
        <v>Diploma</v>
      </c>
      <c r="G1063" s="13" t="str">
        <f aca="false">PROPER(TRIM(Raw_Data!G1063))</f>
        <v>Operations</v>
      </c>
      <c r="H1063" s="13" t="str">
        <f aca="false">PROPER(TRIM(Raw_Data!H1063))</f>
        <v>Manager</v>
      </c>
      <c r="I1063" s="13" t="n">
        <f aca="false">IF(Raw_Data!I1063="",DefaultPerf,Raw_Data!I1063)</f>
        <v>5</v>
      </c>
      <c r="J1063" s="13" t="n">
        <f aca="false">IF(Raw_Data!J1063="",DefaultSat,Raw_Data!J1063)</f>
        <v>4</v>
      </c>
      <c r="K1063" s="15" t="n">
        <f aca="false">Raw_Data!K1063</f>
        <v>227500</v>
      </c>
      <c r="L1063" s="13" t="str">
        <f aca="false">PROPER(TRIM(Raw_Data!N1063))</f>
        <v>No</v>
      </c>
      <c r="M1063" s="13" t="n">
        <f aca="false">IF(C1063="",0,1)</f>
        <v>1</v>
      </c>
      <c r="N1063" s="13" t="str">
        <f aca="false">IF(M1063=0,"Active",IF(TRIM(Raw_Data!L1063)="","Unknown",PROPER(TRIM(Raw_Data!L1063))))</f>
        <v>Voluntary</v>
      </c>
      <c r="O1063" s="13" t="str">
        <f aca="false">IF(M1063=0,"",IF(TRIM(Raw_Data!M1063)="","Not Recorded",TRIM(Raw_Data!M1063)))</f>
        <v>Job Dissatisfaction</v>
      </c>
      <c r="P1063" s="16" t="n">
        <f aca="false">ROUND((IF(C1063="",AsOfDate,C1063)-B1063)/365.25,2)</f>
        <v>2.01</v>
      </c>
      <c r="Q1063" s="13" t="str">
        <f aca="false">IF(D1063="","Unknown",IF(D1063&lt;25,"Under 25",IF(D1063&lt;35,"25-34",IF(D1063&lt;45,"35-44",IF(D1063&lt;55,"45-54","55+")))))</f>
        <v>25-34</v>
      </c>
      <c r="R1063" s="13" t="str">
        <f aca="false">IF(P1063&lt;1,"0-1 yrs",IF(P1063&lt;3,"1-3 yrs",IF(P1063&lt;5,"3-5 yrs",IF(P1063&lt;10,"5-10 yrs","10+ yrs"))))</f>
        <v>1-3 yrs</v>
      </c>
      <c r="S1063" s="13" t="str">
        <f aca="false">IF(I1063&gt;=4,"High",IF(I1063=3,"Medium","Low"))</f>
        <v>High</v>
      </c>
      <c r="T1063" s="13" t="n">
        <f aca="false">IF(M1063=1,YEAR(C1063),"")</f>
        <v>2022</v>
      </c>
      <c r="U1063" s="13" t="str">
        <f aca="false">IF(M1063=1,YEAR(C1063)&amp;"-Q"&amp;ROUNDUP(MONTH(C1063)/3,0),"")</f>
        <v>2022-Q4</v>
      </c>
      <c r="V1063" s="13" t="n">
        <f aca="false">IF(M1063=1,MONTH(C1063),"")</f>
        <v>11</v>
      </c>
    </row>
    <row r="1064" customFormat="false" ht="15" hidden="false" customHeight="false" outlineLevel="0" collapsed="false">
      <c r="A1064" s="13" t="str">
        <f aca="false">TRIM(Raw_Data!A1064)</f>
        <v>EMP1063</v>
      </c>
      <c r="B1064" s="14" t="n">
        <f aca="false">Raw_Data!B1064</f>
        <v>44135</v>
      </c>
      <c r="C1064" s="14" t="str">
        <f aca="false">IF(Raw_Data!C1064="","",Raw_Data!C1064)</f>
        <v/>
      </c>
      <c r="D1064" s="13" t="n">
        <f aca="false">IF(Raw_Data!D1064="","",Raw_Data!D1064)</f>
        <v>32</v>
      </c>
      <c r="E1064" s="13" t="str">
        <f aca="false">IF(UPPER(LEFT(TRIM(Raw_Data!E1064),1))="M","Male",IF(UPPER(LEFT(TRIM(Raw_Data!E1064),1))="F","Female","Unknown"))</f>
        <v>Male</v>
      </c>
      <c r="F1064" s="13" t="str">
        <f aca="false">PROPER(TRIM(SUBSTITUTE(Raw_Data!F1064,"'","")))</f>
        <v>Diploma</v>
      </c>
      <c r="G1064" s="13" t="str">
        <f aca="false">PROPER(TRIM(Raw_Data!G1064))</f>
        <v>Engineering</v>
      </c>
      <c r="H1064" s="13" t="str">
        <f aca="false">PROPER(TRIM(Raw_Data!H1064))</f>
        <v>Senior Analyst</v>
      </c>
      <c r="I1064" s="13" t="n">
        <f aca="false">IF(Raw_Data!I1064="",DefaultPerf,Raw_Data!I1064)</f>
        <v>3</v>
      </c>
      <c r="J1064" s="13" t="n">
        <f aca="false">IF(Raw_Data!J1064="",DefaultSat,Raw_Data!J1064)</f>
        <v>3</v>
      </c>
      <c r="K1064" s="15" t="n">
        <f aca="false">Raw_Data!K1064</f>
        <v>100500</v>
      </c>
      <c r="L1064" s="13" t="str">
        <f aca="false">PROPER(TRIM(Raw_Data!N1064))</f>
        <v>No</v>
      </c>
      <c r="M1064" s="13" t="n">
        <f aca="false">IF(C1064="",0,1)</f>
        <v>0</v>
      </c>
      <c r="N1064" s="13" t="str">
        <f aca="false">IF(M1064=0,"Active",IF(TRIM(Raw_Data!L1064)="","Unknown",PROPER(TRIM(Raw_Data!L1064))))</f>
        <v>Active</v>
      </c>
      <c r="O1064" s="13" t="str">
        <f aca="false">IF(M1064=0,"",IF(TRIM(Raw_Data!M1064)="","Not Recorded",TRIM(Raw_Data!M1064)))</f>
        <v/>
      </c>
      <c r="P1064" s="16" t="n">
        <f aca="false">ROUND((IF(C1064="",AsOfDate,C1064)-B1064)/365.25,2)</f>
        <v>5.17</v>
      </c>
      <c r="Q1064" s="13" t="str">
        <f aca="false">IF(D1064="","Unknown",IF(D1064&lt;25,"Under 25",IF(D1064&lt;35,"25-34",IF(D1064&lt;45,"35-44",IF(D1064&lt;55,"45-54","55+")))))</f>
        <v>25-34</v>
      </c>
      <c r="R1064" s="13" t="str">
        <f aca="false">IF(P1064&lt;1,"0-1 yrs",IF(P1064&lt;3,"1-3 yrs",IF(P1064&lt;5,"3-5 yrs",IF(P1064&lt;10,"5-10 yrs","10+ yrs"))))</f>
        <v>5-10 yrs</v>
      </c>
      <c r="S1064" s="13" t="str">
        <f aca="false">IF(I1064&gt;=4,"High",IF(I1064=3,"Medium","Low"))</f>
        <v>Medium</v>
      </c>
      <c r="T1064" s="13" t="str">
        <f aca="false">IF(M1064=1,YEAR(C1064),"")</f>
        <v/>
      </c>
      <c r="U1064" s="13" t="str">
        <f aca="false">IF(M1064=1,YEAR(C1064)&amp;"-Q"&amp;ROUNDUP(MONTH(C1064)/3,0),"")</f>
        <v/>
      </c>
      <c r="V1064" s="13" t="str">
        <f aca="false">IF(M1064=1,MONTH(C1064),"")</f>
        <v/>
      </c>
    </row>
    <row r="1065" customFormat="false" ht="15" hidden="false" customHeight="false" outlineLevel="0" collapsed="false">
      <c r="A1065" s="13" t="str">
        <f aca="false">TRIM(Raw_Data!A1065)</f>
        <v>EMP1064</v>
      </c>
      <c r="B1065" s="14" t="n">
        <f aca="false">Raw_Data!B1065</f>
        <v>44136</v>
      </c>
      <c r="C1065" s="14" t="str">
        <f aca="false">IF(Raw_Data!C1065="","",Raw_Data!C1065)</f>
        <v/>
      </c>
      <c r="D1065" s="13" t="n">
        <f aca="false">IF(Raw_Data!D1065="","",Raw_Data!D1065)</f>
        <v>31</v>
      </c>
      <c r="E1065" s="13" t="str">
        <f aca="false">IF(UPPER(LEFT(TRIM(Raw_Data!E1065),1))="M","Male",IF(UPPER(LEFT(TRIM(Raw_Data!E1065),1))="F","Female","Unknown"))</f>
        <v>Male</v>
      </c>
      <c r="F1065" s="13" t="str">
        <f aca="false">PROPER(TRIM(SUBSTITUTE(Raw_Data!F1065,"'","")))</f>
        <v>Bachelors</v>
      </c>
      <c r="G1065" s="13" t="str">
        <f aca="false">PROPER(TRIM(Raw_Data!G1065))</f>
        <v>Sales</v>
      </c>
      <c r="H1065" s="13" t="str">
        <f aca="false">PROPER(TRIM(Raw_Data!H1065))</f>
        <v>Specialist</v>
      </c>
      <c r="I1065" s="13" t="n">
        <f aca="false">IF(Raw_Data!I1065="",DefaultPerf,Raw_Data!I1065)</f>
        <v>3</v>
      </c>
      <c r="J1065" s="13" t="n">
        <f aca="false">IF(Raw_Data!J1065="",DefaultSat,Raw_Data!J1065)</f>
        <v>1</v>
      </c>
      <c r="K1065" s="15" t="n">
        <f aca="false">Raw_Data!K1065</f>
        <v>102500</v>
      </c>
      <c r="L1065" s="13" t="str">
        <f aca="false">PROPER(TRIM(Raw_Data!N1065))</f>
        <v>Yes</v>
      </c>
      <c r="M1065" s="13" t="n">
        <f aca="false">IF(C1065="",0,1)</f>
        <v>0</v>
      </c>
      <c r="N1065" s="13" t="str">
        <f aca="false">IF(M1065=0,"Active",IF(TRIM(Raw_Data!L1065)="","Unknown",PROPER(TRIM(Raw_Data!L1065))))</f>
        <v>Active</v>
      </c>
      <c r="O1065" s="13" t="str">
        <f aca="false">IF(M1065=0,"",IF(TRIM(Raw_Data!M1065)="","Not Recorded",TRIM(Raw_Data!M1065)))</f>
        <v/>
      </c>
      <c r="P1065" s="16" t="n">
        <f aca="false">ROUND((IF(C1065="",AsOfDate,C1065)-B1065)/365.25,2)</f>
        <v>5.16</v>
      </c>
      <c r="Q1065" s="13" t="str">
        <f aca="false">IF(D1065="","Unknown",IF(D1065&lt;25,"Under 25",IF(D1065&lt;35,"25-34",IF(D1065&lt;45,"35-44",IF(D1065&lt;55,"45-54","55+")))))</f>
        <v>25-34</v>
      </c>
      <c r="R1065" s="13" t="str">
        <f aca="false">IF(P1065&lt;1,"0-1 yrs",IF(P1065&lt;3,"1-3 yrs",IF(P1065&lt;5,"3-5 yrs",IF(P1065&lt;10,"5-10 yrs","10+ yrs"))))</f>
        <v>5-10 yrs</v>
      </c>
      <c r="S1065" s="13" t="str">
        <f aca="false">IF(I1065&gt;=4,"High",IF(I1065=3,"Medium","Low"))</f>
        <v>Medium</v>
      </c>
      <c r="T1065" s="13" t="str">
        <f aca="false">IF(M1065=1,YEAR(C1065),"")</f>
        <v/>
      </c>
      <c r="U1065" s="13" t="str">
        <f aca="false">IF(M1065=1,YEAR(C1065)&amp;"-Q"&amp;ROUNDUP(MONTH(C1065)/3,0),"")</f>
        <v/>
      </c>
      <c r="V1065" s="13" t="str">
        <f aca="false">IF(M1065=1,MONTH(C1065),"")</f>
        <v/>
      </c>
    </row>
    <row r="1066" customFormat="false" ht="15" hidden="false" customHeight="false" outlineLevel="0" collapsed="false">
      <c r="A1066" s="13" t="str">
        <f aca="false">TRIM(Raw_Data!A1066)</f>
        <v>EMP1065</v>
      </c>
      <c r="B1066" s="14" t="n">
        <f aca="false">Raw_Data!B1066</f>
        <v>44138</v>
      </c>
      <c r="C1066" s="14" t="n">
        <f aca="false">IF(Raw_Data!C1066="","",Raw_Data!C1066)</f>
        <v>45260</v>
      </c>
      <c r="D1066" s="13" t="n">
        <f aca="false">IF(Raw_Data!D1066="","",Raw_Data!D1066)</f>
        <v>34</v>
      </c>
      <c r="E1066" s="13" t="str">
        <f aca="false">IF(UPPER(LEFT(TRIM(Raw_Data!E1066),1))="M","Male",IF(UPPER(LEFT(TRIM(Raw_Data!E1066),1))="F","Female","Unknown"))</f>
        <v>Male</v>
      </c>
      <c r="F1066" s="13" t="str">
        <f aca="false">PROPER(TRIM(SUBSTITUTE(Raw_Data!F1066,"'","")))</f>
        <v>Bachelors</v>
      </c>
      <c r="G1066" s="13" t="str">
        <f aca="false">PROPER(TRIM(Raw_Data!G1066))</f>
        <v>Engineering</v>
      </c>
      <c r="H1066" s="13" t="str">
        <f aca="false">PROPER(TRIM(Raw_Data!H1066))</f>
        <v>Associate</v>
      </c>
      <c r="I1066" s="13" t="n">
        <f aca="false">IF(Raw_Data!I1066="",DefaultPerf,Raw_Data!I1066)</f>
        <v>3</v>
      </c>
      <c r="J1066" s="13" t="n">
        <f aca="false">IF(Raw_Data!J1066="",DefaultSat,Raw_Data!J1066)</f>
        <v>2</v>
      </c>
      <c r="K1066" s="15" t="n">
        <f aca="false">Raw_Data!K1066</f>
        <v>36000</v>
      </c>
      <c r="L1066" s="13" t="str">
        <f aca="false">PROPER(TRIM(Raw_Data!N1066))</f>
        <v>No</v>
      </c>
      <c r="M1066" s="13" t="n">
        <f aca="false">IF(C1066="",0,1)</f>
        <v>1</v>
      </c>
      <c r="N1066" s="13" t="str">
        <f aca="false">IF(M1066=0,"Active",IF(TRIM(Raw_Data!L1066)="","Unknown",PROPER(TRIM(Raw_Data!L1066))))</f>
        <v>Voluntary</v>
      </c>
      <c r="O1066" s="13" t="str">
        <f aca="false">IF(M1066=0,"",IF(TRIM(Raw_Data!M1066)="","Not Recorded",TRIM(Raw_Data!M1066)))</f>
        <v>Better Compensation</v>
      </c>
      <c r="P1066" s="16" t="n">
        <f aca="false">ROUND((IF(C1066="",AsOfDate,C1066)-B1066)/365.25,2)</f>
        <v>3.07</v>
      </c>
      <c r="Q1066" s="13" t="str">
        <f aca="false">IF(D1066="","Unknown",IF(D1066&lt;25,"Under 25",IF(D1066&lt;35,"25-34",IF(D1066&lt;45,"35-44",IF(D1066&lt;55,"45-54","55+")))))</f>
        <v>25-34</v>
      </c>
      <c r="R1066" s="13" t="str">
        <f aca="false">IF(P1066&lt;1,"0-1 yrs",IF(P1066&lt;3,"1-3 yrs",IF(P1066&lt;5,"3-5 yrs",IF(P1066&lt;10,"5-10 yrs","10+ yrs"))))</f>
        <v>3-5 yrs</v>
      </c>
      <c r="S1066" s="13" t="str">
        <f aca="false">IF(I1066&gt;=4,"High",IF(I1066=3,"Medium","Low"))</f>
        <v>Medium</v>
      </c>
      <c r="T1066" s="13" t="n">
        <f aca="false">IF(M1066=1,YEAR(C1066),"")</f>
        <v>2023</v>
      </c>
      <c r="U1066" s="13" t="str">
        <f aca="false">IF(M1066=1,YEAR(C1066)&amp;"-Q"&amp;ROUNDUP(MONTH(C1066)/3,0),"")</f>
        <v>2023-Q4</v>
      </c>
      <c r="V1066" s="13" t="n">
        <f aca="false">IF(M1066=1,MONTH(C1066),"")</f>
        <v>11</v>
      </c>
    </row>
    <row r="1067" customFormat="false" ht="15" hidden="false" customHeight="false" outlineLevel="0" collapsed="false">
      <c r="A1067" s="13" t="str">
        <f aca="false">TRIM(Raw_Data!A1067)</f>
        <v>EMP1066</v>
      </c>
      <c r="B1067" s="14" t="n">
        <f aca="false">Raw_Data!B1067</f>
        <v>44140</v>
      </c>
      <c r="C1067" s="14" t="str">
        <f aca="false">IF(Raw_Data!C1067="","",Raw_Data!C1067)</f>
        <v/>
      </c>
      <c r="D1067" s="13" t="n">
        <f aca="false">IF(Raw_Data!D1067="","",Raw_Data!D1067)</f>
        <v>34</v>
      </c>
      <c r="E1067" s="13" t="str">
        <f aca="false">IF(UPPER(LEFT(TRIM(Raw_Data!E1067),1))="M","Male",IF(UPPER(LEFT(TRIM(Raw_Data!E1067),1))="F","Female","Unknown"))</f>
        <v>Female</v>
      </c>
      <c r="F1067" s="13" t="str">
        <f aca="false">PROPER(TRIM(SUBSTITUTE(Raw_Data!F1067,"'","")))</f>
        <v>Bachelors</v>
      </c>
      <c r="G1067" s="13" t="str">
        <f aca="false">PROPER(TRIM(Raw_Data!G1067))</f>
        <v>Customer Support</v>
      </c>
      <c r="H1067" s="13" t="str">
        <f aca="false">PROPER(TRIM(Raw_Data!H1067))</f>
        <v>Analyst</v>
      </c>
      <c r="I1067" s="13" t="n">
        <f aca="false">IF(Raw_Data!I1067="",DefaultPerf,Raw_Data!I1067)</f>
        <v>3</v>
      </c>
      <c r="J1067" s="13" t="n">
        <f aca="false">IF(Raw_Data!J1067="",DefaultSat,Raw_Data!J1067)</f>
        <v>3</v>
      </c>
      <c r="K1067" s="15" t="n">
        <f aca="false">Raw_Data!K1067</f>
        <v>69500</v>
      </c>
      <c r="L1067" s="13" t="str">
        <f aca="false">PROPER(TRIM(Raw_Data!N1067))</f>
        <v>No</v>
      </c>
      <c r="M1067" s="13" t="n">
        <f aca="false">IF(C1067="",0,1)</f>
        <v>0</v>
      </c>
      <c r="N1067" s="13" t="str">
        <f aca="false">IF(M1067=0,"Active",IF(TRIM(Raw_Data!L1067)="","Unknown",PROPER(TRIM(Raw_Data!L1067))))</f>
        <v>Active</v>
      </c>
      <c r="O1067" s="13" t="str">
        <f aca="false">IF(M1067=0,"",IF(TRIM(Raw_Data!M1067)="","Not Recorded",TRIM(Raw_Data!M1067)))</f>
        <v/>
      </c>
      <c r="P1067" s="16" t="n">
        <f aca="false">ROUND((IF(C1067="",AsOfDate,C1067)-B1067)/365.25,2)</f>
        <v>5.15</v>
      </c>
      <c r="Q1067" s="13" t="str">
        <f aca="false">IF(D1067="","Unknown",IF(D1067&lt;25,"Under 25",IF(D1067&lt;35,"25-34",IF(D1067&lt;45,"35-44",IF(D1067&lt;55,"45-54","55+")))))</f>
        <v>25-34</v>
      </c>
      <c r="R1067" s="13" t="str">
        <f aca="false">IF(P1067&lt;1,"0-1 yrs",IF(P1067&lt;3,"1-3 yrs",IF(P1067&lt;5,"3-5 yrs",IF(P1067&lt;10,"5-10 yrs","10+ yrs"))))</f>
        <v>5-10 yrs</v>
      </c>
      <c r="S1067" s="13" t="str">
        <f aca="false">IF(I1067&gt;=4,"High",IF(I1067=3,"Medium","Low"))</f>
        <v>Medium</v>
      </c>
      <c r="T1067" s="13" t="str">
        <f aca="false">IF(M1067=1,YEAR(C1067),"")</f>
        <v/>
      </c>
      <c r="U1067" s="13" t="str">
        <f aca="false">IF(M1067=1,YEAR(C1067)&amp;"-Q"&amp;ROUNDUP(MONTH(C1067)/3,0),"")</f>
        <v/>
      </c>
      <c r="V1067" s="13" t="str">
        <f aca="false">IF(M1067=1,MONTH(C1067),"")</f>
        <v/>
      </c>
    </row>
    <row r="1068" customFormat="false" ht="15" hidden="false" customHeight="false" outlineLevel="0" collapsed="false">
      <c r="A1068" s="13" t="str">
        <f aca="false">TRIM(Raw_Data!A1068)</f>
        <v>EMP1067</v>
      </c>
      <c r="B1068" s="14" t="n">
        <f aca="false">Raw_Data!B1068</f>
        <v>44143</v>
      </c>
      <c r="C1068" s="14" t="n">
        <f aca="false">IF(Raw_Data!C1068="","",Raw_Data!C1068)</f>
        <v>45007</v>
      </c>
      <c r="D1068" s="13" t="n">
        <f aca="false">IF(Raw_Data!D1068="","",Raw_Data!D1068)</f>
        <v>33</v>
      </c>
      <c r="E1068" s="13" t="str">
        <f aca="false">IF(UPPER(LEFT(TRIM(Raw_Data!E1068),1))="M","Male",IF(UPPER(LEFT(TRIM(Raw_Data!E1068),1))="F","Female","Unknown"))</f>
        <v>Female</v>
      </c>
      <c r="F1068" s="13" t="str">
        <f aca="false">PROPER(TRIM(SUBSTITUTE(Raw_Data!F1068,"'","")))</f>
        <v>Diploma</v>
      </c>
      <c r="G1068" s="13" t="str">
        <f aca="false">PROPER(TRIM(Raw_Data!G1068))</f>
        <v>Operations</v>
      </c>
      <c r="H1068" s="13" t="str">
        <f aca="false">PROPER(TRIM(Raw_Data!H1068))</f>
        <v>Associate</v>
      </c>
      <c r="I1068" s="13" t="n">
        <f aca="false">IF(Raw_Data!I1068="",DefaultPerf,Raw_Data!I1068)</f>
        <v>4</v>
      </c>
      <c r="J1068" s="13" t="n">
        <f aca="false">IF(Raw_Data!J1068="",DefaultSat,Raw_Data!J1068)</f>
        <v>2</v>
      </c>
      <c r="K1068" s="15" t="n">
        <f aca="false">Raw_Data!K1068</f>
        <v>42000</v>
      </c>
      <c r="L1068" s="13" t="str">
        <f aca="false">PROPER(TRIM(Raw_Data!N1068))</f>
        <v>No</v>
      </c>
      <c r="M1068" s="13" t="n">
        <f aca="false">IF(C1068="",0,1)</f>
        <v>1</v>
      </c>
      <c r="N1068" s="13" t="str">
        <f aca="false">IF(M1068=0,"Active",IF(TRIM(Raw_Data!L1068)="","Unknown",PROPER(TRIM(Raw_Data!L1068))))</f>
        <v>Voluntary</v>
      </c>
      <c r="O1068" s="13" t="str">
        <f aca="false">IF(M1068=0,"",IF(TRIM(Raw_Data!M1068)="","Not Recorded",TRIM(Raw_Data!M1068)))</f>
        <v>Job Dissatisfaction</v>
      </c>
      <c r="P1068" s="16" t="n">
        <f aca="false">ROUND((IF(C1068="",AsOfDate,C1068)-B1068)/365.25,2)</f>
        <v>2.37</v>
      </c>
      <c r="Q1068" s="13" t="str">
        <f aca="false">IF(D1068="","Unknown",IF(D1068&lt;25,"Under 25",IF(D1068&lt;35,"25-34",IF(D1068&lt;45,"35-44",IF(D1068&lt;55,"45-54","55+")))))</f>
        <v>25-34</v>
      </c>
      <c r="R1068" s="13" t="str">
        <f aca="false">IF(P1068&lt;1,"0-1 yrs",IF(P1068&lt;3,"1-3 yrs",IF(P1068&lt;5,"3-5 yrs",IF(P1068&lt;10,"5-10 yrs","10+ yrs"))))</f>
        <v>1-3 yrs</v>
      </c>
      <c r="S1068" s="13" t="str">
        <f aca="false">IF(I1068&gt;=4,"High",IF(I1068=3,"Medium","Low"))</f>
        <v>High</v>
      </c>
      <c r="T1068" s="13" t="n">
        <f aca="false">IF(M1068=1,YEAR(C1068),"")</f>
        <v>2023</v>
      </c>
      <c r="U1068" s="13" t="str">
        <f aca="false">IF(M1068=1,YEAR(C1068)&amp;"-Q"&amp;ROUNDUP(MONTH(C1068)/3,0),"")</f>
        <v>2023-Q1</v>
      </c>
      <c r="V1068" s="13" t="n">
        <f aca="false">IF(M1068=1,MONTH(C1068),"")</f>
        <v>3</v>
      </c>
    </row>
    <row r="1069" customFormat="false" ht="15" hidden="false" customHeight="false" outlineLevel="0" collapsed="false">
      <c r="A1069" s="13" t="str">
        <f aca="false">TRIM(Raw_Data!A1069)</f>
        <v>EMP1068</v>
      </c>
      <c r="B1069" s="14" t="n">
        <f aca="false">Raw_Data!B1069</f>
        <v>44163</v>
      </c>
      <c r="C1069" s="14" t="str">
        <f aca="false">IF(Raw_Data!C1069="","",Raw_Data!C1069)</f>
        <v/>
      </c>
      <c r="D1069" s="13" t="n">
        <f aca="false">IF(Raw_Data!D1069="","",Raw_Data!D1069)</f>
        <v>35</v>
      </c>
      <c r="E1069" s="13" t="str">
        <f aca="false">IF(UPPER(LEFT(TRIM(Raw_Data!E1069),1))="M","Male",IF(UPPER(LEFT(TRIM(Raw_Data!E1069),1))="F","Female","Unknown"))</f>
        <v>Female</v>
      </c>
      <c r="F1069" s="13" t="str">
        <f aca="false">PROPER(TRIM(SUBSTITUTE(Raw_Data!F1069,"'","")))</f>
        <v>Masters</v>
      </c>
      <c r="G1069" s="13" t="str">
        <f aca="false">PROPER(TRIM(Raw_Data!G1069))</f>
        <v>Operations</v>
      </c>
      <c r="H1069" s="13" t="str">
        <f aca="false">PROPER(TRIM(Raw_Data!H1069))</f>
        <v>Associate</v>
      </c>
      <c r="I1069" s="13" t="n">
        <f aca="false">IF(Raw_Data!I1069="",DefaultPerf,Raw_Data!I1069)</f>
        <v>4</v>
      </c>
      <c r="J1069" s="13" t="n">
        <f aca="false">IF(Raw_Data!J1069="",DefaultSat,Raw_Data!J1069)</f>
        <v>2</v>
      </c>
      <c r="K1069" s="15" t="n">
        <f aca="false">Raw_Data!K1069</f>
        <v>49500</v>
      </c>
      <c r="L1069" s="13" t="str">
        <f aca="false">PROPER(TRIM(Raw_Data!N1069))</f>
        <v>No</v>
      </c>
      <c r="M1069" s="13" t="n">
        <f aca="false">IF(C1069="",0,1)</f>
        <v>0</v>
      </c>
      <c r="N1069" s="13" t="str">
        <f aca="false">IF(M1069=0,"Active",IF(TRIM(Raw_Data!L1069)="","Unknown",PROPER(TRIM(Raw_Data!L1069))))</f>
        <v>Active</v>
      </c>
      <c r="O1069" s="13" t="str">
        <f aca="false">IF(M1069=0,"",IF(TRIM(Raw_Data!M1069)="","Not Recorded",TRIM(Raw_Data!M1069)))</f>
        <v/>
      </c>
      <c r="P1069" s="16" t="n">
        <f aca="false">ROUND((IF(C1069="",AsOfDate,C1069)-B1069)/365.25,2)</f>
        <v>5.09</v>
      </c>
      <c r="Q1069" s="13" t="str">
        <f aca="false">IF(D1069="","Unknown",IF(D1069&lt;25,"Under 25",IF(D1069&lt;35,"25-34",IF(D1069&lt;45,"35-44",IF(D1069&lt;55,"45-54","55+")))))</f>
        <v>35-44</v>
      </c>
      <c r="R1069" s="13" t="str">
        <f aca="false">IF(P1069&lt;1,"0-1 yrs",IF(P1069&lt;3,"1-3 yrs",IF(P1069&lt;5,"3-5 yrs",IF(P1069&lt;10,"5-10 yrs","10+ yrs"))))</f>
        <v>5-10 yrs</v>
      </c>
      <c r="S1069" s="13" t="str">
        <f aca="false">IF(I1069&gt;=4,"High",IF(I1069=3,"Medium","Low"))</f>
        <v>High</v>
      </c>
      <c r="T1069" s="13" t="str">
        <f aca="false">IF(M1069=1,YEAR(C1069),"")</f>
        <v/>
      </c>
      <c r="U1069" s="13" t="str">
        <f aca="false">IF(M1069=1,YEAR(C1069)&amp;"-Q"&amp;ROUNDUP(MONTH(C1069)/3,0),"")</f>
        <v/>
      </c>
      <c r="V1069" s="13" t="str">
        <f aca="false">IF(M1069=1,MONTH(C1069),"")</f>
        <v/>
      </c>
    </row>
    <row r="1070" customFormat="false" ht="15" hidden="false" customHeight="false" outlineLevel="0" collapsed="false">
      <c r="A1070" s="13" t="str">
        <f aca="false">TRIM(Raw_Data!A1070)</f>
        <v>EMP1069</v>
      </c>
      <c r="B1070" s="14" t="n">
        <f aca="false">Raw_Data!B1070</f>
        <v>44165</v>
      </c>
      <c r="C1070" s="14" t="str">
        <f aca="false">IF(Raw_Data!C1070="","",Raw_Data!C1070)</f>
        <v/>
      </c>
      <c r="D1070" s="13" t="n">
        <f aca="false">IF(Raw_Data!D1070="","",Raw_Data!D1070)</f>
        <v>29</v>
      </c>
      <c r="E1070" s="13" t="str">
        <f aca="false">IF(UPPER(LEFT(TRIM(Raw_Data!E1070),1))="M","Male",IF(UPPER(LEFT(TRIM(Raw_Data!E1070),1))="F","Female","Unknown"))</f>
        <v>Male</v>
      </c>
      <c r="F1070" s="13" t="str">
        <f aca="false">PROPER(TRIM(SUBSTITUTE(Raw_Data!F1070,"'","")))</f>
        <v>Masters</v>
      </c>
      <c r="G1070" s="13" t="str">
        <f aca="false">PROPER(TRIM(Raw_Data!G1070))</f>
        <v>Engineering</v>
      </c>
      <c r="H1070" s="13" t="str">
        <f aca="false">PROPER(TRIM(Raw_Data!H1070))</f>
        <v>Associate</v>
      </c>
      <c r="I1070" s="13" t="n">
        <f aca="false">IF(Raw_Data!I1070="",DefaultPerf,Raw_Data!I1070)</f>
        <v>4</v>
      </c>
      <c r="J1070" s="13" t="n">
        <f aca="false">IF(Raw_Data!J1070="",DefaultSat,Raw_Data!J1070)</f>
        <v>4</v>
      </c>
      <c r="K1070" s="15" t="n">
        <f aca="false">Raw_Data!K1070</f>
        <v>42500</v>
      </c>
      <c r="L1070" s="13" t="str">
        <f aca="false">PROPER(TRIM(Raw_Data!N1070))</f>
        <v>No</v>
      </c>
      <c r="M1070" s="13" t="n">
        <f aca="false">IF(C1070="",0,1)</f>
        <v>0</v>
      </c>
      <c r="N1070" s="13" t="str">
        <f aca="false">IF(M1070=0,"Active",IF(TRIM(Raw_Data!L1070)="","Unknown",PROPER(TRIM(Raw_Data!L1070))))</f>
        <v>Active</v>
      </c>
      <c r="O1070" s="13" t="str">
        <f aca="false">IF(M1070=0,"",IF(TRIM(Raw_Data!M1070)="","Not Recorded",TRIM(Raw_Data!M1070)))</f>
        <v/>
      </c>
      <c r="P1070" s="16" t="n">
        <f aca="false">ROUND((IF(C1070="",AsOfDate,C1070)-B1070)/365.25,2)</f>
        <v>5.08</v>
      </c>
      <c r="Q1070" s="13" t="str">
        <f aca="false">IF(D1070="","Unknown",IF(D1070&lt;25,"Under 25",IF(D1070&lt;35,"25-34",IF(D1070&lt;45,"35-44",IF(D1070&lt;55,"45-54","55+")))))</f>
        <v>25-34</v>
      </c>
      <c r="R1070" s="13" t="str">
        <f aca="false">IF(P1070&lt;1,"0-1 yrs",IF(P1070&lt;3,"1-3 yrs",IF(P1070&lt;5,"3-5 yrs",IF(P1070&lt;10,"5-10 yrs","10+ yrs"))))</f>
        <v>5-10 yrs</v>
      </c>
      <c r="S1070" s="13" t="str">
        <f aca="false">IF(I1070&gt;=4,"High",IF(I1070=3,"Medium","Low"))</f>
        <v>High</v>
      </c>
      <c r="T1070" s="13" t="str">
        <f aca="false">IF(M1070=1,YEAR(C1070),"")</f>
        <v/>
      </c>
      <c r="U1070" s="13" t="str">
        <f aca="false">IF(M1070=1,YEAR(C1070)&amp;"-Q"&amp;ROUNDUP(MONTH(C1070)/3,0),"")</f>
        <v/>
      </c>
      <c r="V1070" s="13" t="str">
        <f aca="false">IF(M1070=1,MONTH(C1070),"")</f>
        <v/>
      </c>
    </row>
    <row r="1071" customFormat="false" ht="15" hidden="false" customHeight="false" outlineLevel="0" collapsed="false">
      <c r="A1071" s="13" t="str">
        <f aca="false">TRIM(Raw_Data!A1071)</f>
        <v>EMP1070</v>
      </c>
      <c r="B1071" s="14" t="n">
        <f aca="false">Raw_Data!B1071</f>
        <v>44168</v>
      </c>
      <c r="C1071" s="14" t="str">
        <f aca="false">IF(Raw_Data!C1071="","",Raw_Data!C1071)</f>
        <v/>
      </c>
      <c r="D1071" s="13" t="n">
        <f aca="false">IF(Raw_Data!D1071="","",Raw_Data!D1071)</f>
        <v>32</v>
      </c>
      <c r="E1071" s="13" t="str">
        <f aca="false">IF(UPPER(LEFT(TRIM(Raw_Data!E1071),1))="M","Male",IF(UPPER(LEFT(TRIM(Raw_Data!E1071),1))="F","Female","Unknown"))</f>
        <v>Female</v>
      </c>
      <c r="F1071" s="13" t="str">
        <f aca="false">PROPER(TRIM(SUBSTITUTE(Raw_Data!F1071,"'","")))</f>
        <v>Bachelors</v>
      </c>
      <c r="G1071" s="13" t="str">
        <f aca="false">PROPER(TRIM(Raw_Data!G1071))</f>
        <v>Operations</v>
      </c>
      <c r="H1071" s="13" t="str">
        <f aca="false">PROPER(TRIM(Raw_Data!H1071))</f>
        <v>Associate</v>
      </c>
      <c r="I1071" s="13" t="n">
        <f aca="false">IF(Raw_Data!I1071="",DefaultPerf,Raw_Data!I1071)</f>
        <v>3</v>
      </c>
      <c r="J1071" s="13" t="n">
        <f aca="false">IF(Raw_Data!J1071="",DefaultSat,Raw_Data!J1071)</f>
        <v>4</v>
      </c>
      <c r="K1071" s="15" t="n">
        <f aca="false">Raw_Data!K1071</f>
        <v>35500</v>
      </c>
      <c r="L1071" s="13" t="str">
        <f aca="false">PROPER(TRIM(Raw_Data!N1071))</f>
        <v>No</v>
      </c>
      <c r="M1071" s="13" t="n">
        <f aca="false">IF(C1071="",0,1)</f>
        <v>0</v>
      </c>
      <c r="N1071" s="13" t="str">
        <f aca="false">IF(M1071=0,"Active",IF(TRIM(Raw_Data!L1071)="","Unknown",PROPER(TRIM(Raw_Data!L1071))))</f>
        <v>Active</v>
      </c>
      <c r="O1071" s="13" t="str">
        <f aca="false">IF(M1071=0,"",IF(TRIM(Raw_Data!M1071)="","Not Recorded",TRIM(Raw_Data!M1071)))</f>
        <v/>
      </c>
      <c r="P1071" s="16" t="n">
        <f aca="false">ROUND((IF(C1071="",AsOfDate,C1071)-B1071)/365.25,2)</f>
        <v>5.08</v>
      </c>
      <c r="Q1071" s="13" t="str">
        <f aca="false">IF(D1071="","Unknown",IF(D1071&lt;25,"Under 25",IF(D1071&lt;35,"25-34",IF(D1071&lt;45,"35-44",IF(D1071&lt;55,"45-54","55+")))))</f>
        <v>25-34</v>
      </c>
      <c r="R1071" s="13" t="str">
        <f aca="false">IF(P1071&lt;1,"0-1 yrs",IF(P1071&lt;3,"1-3 yrs",IF(P1071&lt;5,"3-5 yrs",IF(P1071&lt;10,"5-10 yrs","10+ yrs"))))</f>
        <v>5-10 yrs</v>
      </c>
      <c r="S1071" s="13" t="str">
        <f aca="false">IF(I1071&gt;=4,"High",IF(I1071=3,"Medium","Low"))</f>
        <v>Medium</v>
      </c>
      <c r="T1071" s="13" t="str">
        <f aca="false">IF(M1071=1,YEAR(C1071),"")</f>
        <v/>
      </c>
      <c r="U1071" s="13" t="str">
        <f aca="false">IF(M1071=1,YEAR(C1071)&amp;"-Q"&amp;ROUNDUP(MONTH(C1071)/3,0),"")</f>
        <v/>
      </c>
      <c r="V1071" s="13" t="str">
        <f aca="false">IF(M1071=1,MONTH(C1071),"")</f>
        <v/>
      </c>
    </row>
    <row r="1072" customFormat="false" ht="15" hidden="false" customHeight="false" outlineLevel="0" collapsed="false">
      <c r="A1072" s="13" t="str">
        <f aca="false">TRIM(Raw_Data!A1072)</f>
        <v>EMP1071</v>
      </c>
      <c r="B1072" s="14" t="n">
        <f aca="false">Raw_Data!B1072</f>
        <v>44174</v>
      </c>
      <c r="C1072" s="14" t="str">
        <f aca="false">IF(Raw_Data!C1072="","",Raw_Data!C1072)</f>
        <v/>
      </c>
      <c r="D1072" s="13" t="n">
        <f aca="false">IF(Raw_Data!D1072="","",Raw_Data!D1072)</f>
        <v>37</v>
      </c>
      <c r="E1072" s="13" t="str">
        <f aca="false">IF(UPPER(LEFT(TRIM(Raw_Data!E1072),1))="M","Male",IF(UPPER(LEFT(TRIM(Raw_Data!E1072),1))="F","Female","Unknown"))</f>
        <v>Male</v>
      </c>
      <c r="F1072" s="13" t="str">
        <f aca="false">PROPER(TRIM(SUBSTITUTE(Raw_Data!F1072,"'","")))</f>
        <v>Bachelors</v>
      </c>
      <c r="G1072" s="13" t="str">
        <f aca="false">PROPER(TRIM(Raw_Data!G1072))</f>
        <v>Operations</v>
      </c>
      <c r="H1072" s="13" t="str">
        <f aca="false">PROPER(TRIM(Raw_Data!H1072))</f>
        <v>Specialist</v>
      </c>
      <c r="I1072" s="13" t="n">
        <f aca="false">IF(Raw_Data!I1072="",DefaultPerf,Raw_Data!I1072)</f>
        <v>3</v>
      </c>
      <c r="J1072" s="13" t="n">
        <f aca="false">IF(Raw_Data!J1072="",DefaultSat,Raw_Data!J1072)</f>
        <v>2</v>
      </c>
      <c r="K1072" s="15" t="n">
        <f aca="false">Raw_Data!K1072</f>
        <v>116500</v>
      </c>
      <c r="L1072" s="13" t="str">
        <f aca="false">PROPER(TRIM(Raw_Data!N1072))</f>
        <v>No</v>
      </c>
      <c r="M1072" s="13" t="n">
        <f aca="false">IF(C1072="",0,1)</f>
        <v>0</v>
      </c>
      <c r="N1072" s="13" t="str">
        <f aca="false">IF(M1072=0,"Active",IF(TRIM(Raw_Data!L1072)="","Unknown",PROPER(TRIM(Raw_Data!L1072))))</f>
        <v>Active</v>
      </c>
      <c r="O1072" s="13" t="str">
        <f aca="false">IF(M1072=0,"",IF(TRIM(Raw_Data!M1072)="","Not Recorded",TRIM(Raw_Data!M1072)))</f>
        <v/>
      </c>
      <c r="P1072" s="16" t="n">
        <f aca="false">ROUND((IF(C1072="",AsOfDate,C1072)-B1072)/365.25,2)</f>
        <v>5.06</v>
      </c>
      <c r="Q1072" s="13" t="str">
        <f aca="false">IF(D1072="","Unknown",IF(D1072&lt;25,"Under 25",IF(D1072&lt;35,"25-34",IF(D1072&lt;45,"35-44",IF(D1072&lt;55,"45-54","55+")))))</f>
        <v>35-44</v>
      </c>
      <c r="R1072" s="13" t="str">
        <f aca="false">IF(P1072&lt;1,"0-1 yrs",IF(P1072&lt;3,"1-3 yrs",IF(P1072&lt;5,"3-5 yrs",IF(P1072&lt;10,"5-10 yrs","10+ yrs"))))</f>
        <v>5-10 yrs</v>
      </c>
      <c r="S1072" s="13" t="str">
        <f aca="false">IF(I1072&gt;=4,"High",IF(I1072=3,"Medium","Low"))</f>
        <v>Medium</v>
      </c>
      <c r="T1072" s="13" t="str">
        <f aca="false">IF(M1072=1,YEAR(C1072),"")</f>
        <v/>
      </c>
      <c r="U1072" s="13" t="str">
        <f aca="false">IF(M1072=1,YEAR(C1072)&amp;"-Q"&amp;ROUNDUP(MONTH(C1072)/3,0),"")</f>
        <v/>
      </c>
      <c r="V1072" s="13" t="str">
        <f aca="false">IF(M1072=1,MONTH(C1072),"")</f>
        <v/>
      </c>
    </row>
    <row r="1073" customFormat="false" ht="15" hidden="false" customHeight="false" outlineLevel="0" collapsed="false">
      <c r="A1073" s="13" t="str">
        <f aca="false">TRIM(Raw_Data!A1073)</f>
        <v>EMP1072</v>
      </c>
      <c r="B1073" s="14" t="n">
        <f aca="false">Raw_Data!B1073</f>
        <v>44178</v>
      </c>
      <c r="C1073" s="14" t="str">
        <f aca="false">IF(Raw_Data!C1073="","",Raw_Data!C1073)</f>
        <v/>
      </c>
      <c r="D1073" s="13" t="n">
        <f aca="false">IF(Raw_Data!D1073="","",Raw_Data!D1073)</f>
        <v>29</v>
      </c>
      <c r="E1073" s="13" t="str">
        <f aca="false">IF(UPPER(LEFT(TRIM(Raw_Data!E1073),1))="M","Male",IF(UPPER(LEFT(TRIM(Raw_Data!E1073),1))="F","Female","Unknown"))</f>
        <v>Male</v>
      </c>
      <c r="F1073" s="13" t="str">
        <f aca="false">PROPER(TRIM(SUBSTITUTE(Raw_Data!F1073,"'","")))</f>
        <v>Bachelors</v>
      </c>
      <c r="G1073" s="13" t="str">
        <f aca="false">PROPER(TRIM(Raw_Data!G1073))</f>
        <v>Customer Support</v>
      </c>
      <c r="H1073" s="13" t="str">
        <f aca="false">PROPER(TRIM(Raw_Data!H1073))</f>
        <v>Associate</v>
      </c>
      <c r="I1073" s="13" t="n">
        <f aca="false">IF(Raw_Data!I1073="",DefaultPerf,Raw_Data!I1073)</f>
        <v>4</v>
      </c>
      <c r="J1073" s="13" t="n">
        <f aca="false">IF(Raw_Data!J1073="",DefaultSat,Raw_Data!J1073)</f>
        <v>3</v>
      </c>
      <c r="K1073" s="15" t="n">
        <f aca="false">Raw_Data!K1073</f>
        <v>39000</v>
      </c>
      <c r="L1073" s="13" t="str">
        <f aca="false">PROPER(TRIM(Raw_Data!N1073))</f>
        <v>No</v>
      </c>
      <c r="M1073" s="13" t="n">
        <f aca="false">IF(C1073="",0,1)</f>
        <v>0</v>
      </c>
      <c r="N1073" s="13" t="str">
        <f aca="false">IF(M1073=0,"Active",IF(TRIM(Raw_Data!L1073)="","Unknown",PROPER(TRIM(Raw_Data!L1073))))</f>
        <v>Active</v>
      </c>
      <c r="O1073" s="13" t="str">
        <f aca="false">IF(M1073=0,"",IF(TRIM(Raw_Data!M1073)="","Not Recorded",TRIM(Raw_Data!M1073)))</f>
        <v/>
      </c>
      <c r="P1073" s="16" t="n">
        <f aca="false">ROUND((IF(C1073="",AsOfDate,C1073)-B1073)/365.25,2)</f>
        <v>5.05</v>
      </c>
      <c r="Q1073" s="13" t="str">
        <f aca="false">IF(D1073="","Unknown",IF(D1073&lt;25,"Under 25",IF(D1073&lt;35,"25-34",IF(D1073&lt;45,"35-44",IF(D1073&lt;55,"45-54","55+")))))</f>
        <v>25-34</v>
      </c>
      <c r="R1073" s="13" t="str">
        <f aca="false">IF(P1073&lt;1,"0-1 yrs",IF(P1073&lt;3,"1-3 yrs",IF(P1073&lt;5,"3-5 yrs",IF(P1073&lt;10,"5-10 yrs","10+ yrs"))))</f>
        <v>5-10 yrs</v>
      </c>
      <c r="S1073" s="13" t="str">
        <f aca="false">IF(I1073&gt;=4,"High",IF(I1073=3,"Medium","Low"))</f>
        <v>High</v>
      </c>
      <c r="T1073" s="13" t="str">
        <f aca="false">IF(M1073=1,YEAR(C1073),"")</f>
        <v/>
      </c>
      <c r="U1073" s="13" t="str">
        <f aca="false">IF(M1073=1,YEAR(C1073)&amp;"-Q"&amp;ROUNDUP(MONTH(C1073)/3,0),"")</f>
        <v/>
      </c>
      <c r="V1073" s="13" t="str">
        <f aca="false">IF(M1073=1,MONTH(C1073),"")</f>
        <v/>
      </c>
    </row>
    <row r="1074" customFormat="false" ht="15" hidden="false" customHeight="false" outlineLevel="0" collapsed="false">
      <c r="A1074" s="13" t="str">
        <f aca="false">TRIM(Raw_Data!A1074)</f>
        <v>EMP1073</v>
      </c>
      <c r="B1074" s="14" t="n">
        <f aca="false">Raw_Data!B1074</f>
        <v>44180</v>
      </c>
      <c r="C1074" s="14" t="n">
        <f aca="false">IF(Raw_Data!C1074="","",Raw_Data!C1074)</f>
        <v>45551</v>
      </c>
      <c r="D1074" s="13" t="n">
        <f aca="false">IF(Raw_Data!D1074="","",Raw_Data!D1074)</f>
        <v>33</v>
      </c>
      <c r="E1074" s="13" t="str">
        <f aca="false">IF(UPPER(LEFT(TRIM(Raw_Data!E1074),1))="M","Male",IF(UPPER(LEFT(TRIM(Raw_Data!E1074),1))="F","Female","Unknown"))</f>
        <v>Male</v>
      </c>
      <c r="F1074" s="13" t="str">
        <f aca="false">PROPER(TRIM(SUBSTITUTE(Raw_Data!F1074,"'","")))</f>
        <v>Diploma</v>
      </c>
      <c r="G1074" s="13" t="str">
        <f aca="false">PROPER(TRIM(Raw_Data!G1074))</f>
        <v>Engineering</v>
      </c>
      <c r="H1074" s="13" t="str">
        <f aca="false">PROPER(TRIM(Raw_Data!H1074))</f>
        <v>Team Lead</v>
      </c>
      <c r="I1074" s="13" t="n">
        <f aca="false">IF(Raw_Data!I1074="",DefaultPerf,Raw_Data!I1074)</f>
        <v>5</v>
      </c>
      <c r="J1074" s="13" t="n">
        <f aca="false">IF(Raw_Data!J1074="",DefaultSat,Raw_Data!J1074)</f>
        <v>1</v>
      </c>
      <c r="K1074" s="15" t="n">
        <f aca="false">Raw_Data!K1074</f>
        <v>148500</v>
      </c>
      <c r="L1074" s="13" t="str">
        <f aca="false">PROPER(TRIM(Raw_Data!N1074))</f>
        <v>No</v>
      </c>
      <c r="M1074" s="13" t="n">
        <f aca="false">IF(C1074="",0,1)</f>
        <v>1</v>
      </c>
      <c r="N1074" s="13" t="str">
        <f aca="false">IF(M1074=0,"Active",IF(TRIM(Raw_Data!L1074)="","Unknown",PROPER(TRIM(Raw_Data!L1074))))</f>
        <v>Voluntary</v>
      </c>
      <c r="O1074" s="13" t="str">
        <f aca="false">IF(M1074=0,"",IF(TRIM(Raw_Data!M1074)="","Not Recorded",TRIM(Raw_Data!M1074)))</f>
        <v>Work-Life Balance</v>
      </c>
      <c r="P1074" s="16" t="n">
        <f aca="false">ROUND((IF(C1074="",AsOfDate,C1074)-B1074)/365.25,2)</f>
        <v>3.75</v>
      </c>
      <c r="Q1074" s="13" t="str">
        <f aca="false">IF(D1074="","Unknown",IF(D1074&lt;25,"Under 25",IF(D1074&lt;35,"25-34",IF(D1074&lt;45,"35-44",IF(D1074&lt;55,"45-54","55+")))))</f>
        <v>25-34</v>
      </c>
      <c r="R1074" s="13" t="str">
        <f aca="false">IF(P1074&lt;1,"0-1 yrs",IF(P1074&lt;3,"1-3 yrs",IF(P1074&lt;5,"3-5 yrs",IF(P1074&lt;10,"5-10 yrs","10+ yrs"))))</f>
        <v>3-5 yrs</v>
      </c>
      <c r="S1074" s="13" t="str">
        <f aca="false">IF(I1074&gt;=4,"High",IF(I1074=3,"Medium","Low"))</f>
        <v>High</v>
      </c>
      <c r="T1074" s="13" t="n">
        <f aca="false">IF(M1074=1,YEAR(C1074),"")</f>
        <v>2024</v>
      </c>
      <c r="U1074" s="13" t="str">
        <f aca="false">IF(M1074=1,YEAR(C1074)&amp;"-Q"&amp;ROUNDUP(MONTH(C1074)/3,0),"")</f>
        <v>2024-Q3</v>
      </c>
      <c r="V1074" s="13" t="n">
        <f aca="false">IF(M1074=1,MONTH(C1074),"")</f>
        <v>9</v>
      </c>
    </row>
    <row r="1075" customFormat="false" ht="15" hidden="false" customHeight="false" outlineLevel="0" collapsed="false">
      <c r="A1075" s="13" t="str">
        <f aca="false">TRIM(Raw_Data!A1075)</f>
        <v>EMP1074</v>
      </c>
      <c r="B1075" s="14" t="n">
        <f aca="false">Raw_Data!B1075</f>
        <v>44181</v>
      </c>
      <c r="C1075" s="14" t="n">
        <f aca="false">IF(Raw_Data!C1075="","",Raw_Data!C1075)</f>
        <v>45403</v>
      </c>
      <c r="D1075" s="13" t="n">
        <f aca="false">IF(Raw_Data!D1075="","",Raw_Data!D1075)</f>
        <v>36</v>
      </c>
      <c r="E1075" s="13" t="str">
        <f aca="false">IF(UPPER(LEFT(TRIM(Raw_Data!E1075),1))="M","Male",IF(UPPER(LEFT(TRIM(Raw_Data!E1075),1))="F","Female","Unknown"))</f>
        <v>Female</v>
      </c>
      <c r="F1075" s="13" t="str">
        <f aca="false">PROPER(TRIM(SUBSTITUTE(Raw_Data!F1075,"'","")))</f>
        <v>Masters</v>
      </c>
      <c r="G1075" s="13" t="str">
        <f aca="false">PROPER(TRIM(Raw_Data!G1075))</f>
        <v>Engineering</v>
      </c>
      <c r="H1075" s="13" t="str">
        <f aca="false">PROPER(TRIM(Raw_Data!H1075))</f>
        <v>Associate</v>
      </c>
      <c r="I1075" s="13" t="n">
        <f aca="false">IF(Raw_Data!I1075="",DefaultPerf,Raw_Data!I1075)</f>
        <v>3</v>
      </c>
      <c r="J1075" s="13" t="n">
        <f aca="false">IF(Raw_Data!J1075="",DefaultSat,Raw_Data!J1075)</f>
        <v>2</v>
      </c>
      <c r="K1075" s="15" t="n">
        <f aca="false">Raw_Data!K1075</f>
        <v>36500</v>
      </c>
      <c r="L1075" s="13" t="str">
        <f aca="false">PROPER(TRIM(Raw_Data!N1075))</f>
        <v>No</v>
      </c>
      <c r="M1075" s="13" t="n">
        <f aca="false">IF(C1075="",0,1)</f>
        <v>1</v>
      </c>
      <c r="N1075" s="13" t="str">
        <f aca="false">IF(M1075=0,"Active",IF(TRIM(Raw_Data!L1075)="","Unknown",PROPER(TRIM(Raw_Data!L1075))))</f>
        <v>Voluntary</v>
      </c>
      <c r="O1075" s="13" t="str">
        <f aca="false">IF(M1075=0,"",IF(TRIM(Raw_Data!M1075)="","Not Recorded",TRIM(Raw_Data!M1075)))</f>
        <v>Better Compensation</v>
      </c>
      <c r="P1075" s="16" t="n">
        <f aca="false">ROUND((IF(C1075="",AsOfDate,C1075)-B1075)/365.25,2)</f>
        <v>3.35</v>
      </c>
      <c r="Q1075" s="13" t="str">
        <f aca="false">IF(D1075="","Unknown",IF(D1075&lt;25,"Under 25",IF(D1075&lt;35,"25-34",IF(D1075&lt;45,"35-44",IF(D1075&lt;55,"45-54","55+")))))</f>
        <v>35-44</v>
      </c>
      <c r="R1075" s="13" t="str">
        <f aca="false">IF(P1075&lt;1,"0-1 yrs",IF(P1075&lt;3,"1-3 yrs",IF(P1075&lt;5,"3-5 yrs",IF(P1075&lt;10,"5-10 yrs","10+ yrs"))))</f>
        <v>3-5 yrs</v>
      </c>
      <c r="S1075" s="13" t="str">
        <f aca="false">IF(I1075&gt;=4,"High",IF(I1075=3,"Medium","Low"))</f>
        <v>Medium</v>
      </c>
      <c r="T1075" s="13" t="n">
        <f aca="false">IF(M1075=1,YEAR(C1075),"")</f>
        <v>2024</v>
      </c>
      <c r="U1075" s="13" t="str">
        <f aca="false">IF(M1075=1,YEAR(C1075)&amp;"-Q"&amp;ROUNDUP(MONTH(C1075)/3,0),"")</f>
        <v>2024-Q2</v>
      </c>
      <c r="V1075" s="13" t="n">
        <f aca="false">IF(M1075=1,MONTH(C1075),"")</f>
        <v>4</v>
      </c>
    </row>
    <row r="1076" customFormat="false" ht="15" hidden="false" customHeight="false" outlineLevel="0" collapsed="false">
      <c r="A1076" s="13" t="str">
        <f aca="false">TRIM(Raw_Data!A1076)</f>
        <v>EMP1075</v>
      </c>
      <c r="B1076" s="14" t="n">
        <f aca="false">Raw_Data!B1076</f>
        <v>44182</v>
      </c>
      <c r="C1076" s="14" t="str">
        <f aca="false">IF(Raw_Data!C1076="","",Raw_Data!C1076)</f>
        <v/>
      </c>
      <c r="D1076" s="13" t="n">
        <f aca="false">IF(Raw_Data!D1076="","",Raw_Data!D1076)</f>
        <v>32</v>
      </c>
      <c r="E1076" s="13" t="str">
        <f aca="false">IF(UPPER(LEFT(TRIM(Raw_Data!E1076),1))="M","Male",IF(UPPER(LEFT(TRIM(Raw_Data!E1076),1))="F","Female","Unknown"))</f>
        <v>Male</v>
      </c>
      <c r="F1076" s="13" t="str">
        <f aca="false">PROPER(TRIM(SUBSTITUTE(Raw_Data!F1076,"'","")))</f>
        <v>Bachelors</v>
      </c>
      <c r="G1076" s="13" t="str">
        <f aca="false">PROPER(TRIM(Raw_Data!G1076))</f>
        <v>Sales</v>
      </c>
      <c r="H1076" s="13" t="str">
        <f aca="false">PROPER(TRIM(Raw_Data!H1076))</f>
        <v>Analyst</v>
      </c>
      <c r="I1076" s="13" t="n">
        <f aca="false">IF(Raw_Data!I1076="",DefaultPerf,Raw_Data!I1076)</f>
        <v>5</v>
      </c>
      <c r="J1076" s="13" t="n">
        <f aca="false">IF(Raw_Data!J1076="",DefaultSat,Raw_Data!J1076)</f>
        <v>4</v>
      </c>
      <c r="K1076" s="15" t="n">
        <f aca="false">Raw_Data!K1076</f>
        <v>64000</v>
      </c>
      <c r="L1076" s="13" t="str">
        <f aca="false">PROPER(TRIM(Raw_Data!N1076))</f>
        <v>No</v>
      </c>
      <c r="M1076" s="13" t="n">
        <f aca="false">IF(C1076="",0,1)</f>
        <v>0</v>
      </c>
      <c r="N1076" s="13" t="str">
        <f aca="false">IF(M1076=0,"Active",IF(TRIM(Raw_Data!L1076)="","Unknown",PROPER(TRIM(Raw_Data!L1076))))</f>
        <v>Active</v>
      </c>
      <c r="O1076" s="13" t="str">
        <f aca="false">IF(M1076=0,"",IF(TRIM(Raw_Data!M1076)="","Not Recorded",TRIM(Raw_Data!M1076)))</f>
        <v/>
      </c>
      <c r="P1076" s="16" t="n">
        <f aca="false">ROUND((IF(C1076="",AsOfDate,C1076)-B1076)/365.25,2)</f>
        <v>5.04</v>
      </c>
      <c r="Q1076" s="13" t="str">
        <f aca="false">IF(D1076="","Unknown",IF(D1076&lt;25,"Under 25",IF(D1076&lt;35,"25-34",IF(D1076&lt;45,"35-44",IF(D1076&lt;55,"45-54","55+")))))</f>
        <v>25-34</v>
      </c>
      <c r="R1076" s="13" t="str">
        <f aca="false">IF(P1076&lt;1,"0-1 yrs",IF(P1076&lt;3,"1-3 yrs",IF(P1076&lt;5,"3-5 yrs",IF(P1076&lt;10,"5-10 yrs","10+ yrs"))))</f>
        <v>5-10 yrs</v>
      </c>
      <c r="S1076" s="13" t="str">
        <f aca="false">IF(I1076&gt;=4,"High",IF(I1076=3,"Medium","Low"))</f>
        <v>High</v>
      </c>
      <c r="T1076" s="13" t="str">
        <f aca="false">IF(M1076=1,YEAR(C1076),"")</f>
        <v/>
      </c>
      <c r="U1076" s="13" t="str">
        <f aca="false">IF(M1076=1,YEAR(C1076)&amp;"-Q"&amp;ROUNDUP(MONTH(C1076)/3,0),"")</f>
        <v/>
      </c>
      <c r="V1076" s="13" t="str">
        <f aca="false">IF(M1076=1,MONTH(C1076),"")</f>
        <v/>
      </c>
    </row>
    <row r="1077" customFormat="false" ht="15" hidden="false" customHeight="false" outlineLevel="0" collapsed="false">
      <c r="A1077" s="13" t="str">
        <f aca="false">TRIM(Raw_Data!A1077)</f>
        <v>EMP1076</v>
      </c>
      <c r="B1077" s="14" t="n">
        <f aca="false">Raw_Data!B1077</f>
        <v>44186</v>
      </c>
      <c r="C1077" s="14" t="n">
        <f aca="false">IF(Raw_Data!C1077="","",Raw_Data!C1077)</f>
        <v>45059</v>
      </c>
      <c r="D1077" s="13" t="n">
        <f aca="false">IF(Raw_Data!D1077="","",Raw_Data!D1077)</f>
        <v>34</v>
      </c>
      <c r="E1077" s="13" t="str">
        <f aca="false">IF(UPPER(LEFT(TRIM(Raw_Data!E1077),1))="M","Male",IF(UPPER(LEFT(TRIM(Raw_Data!E1077),1))="F","Female","Unknown"))</f>
        <v>Male</v>
      </c>
      <c r="F1077" s="13" t="str">
        <f aca="false">PROPER(TRIM(SUBSTITUTE(Raw_Data!F1077,"'","")))</f>
        <v>High School</v>
      </c>
      <c r="G1077" s="13" t="str">
        <f aca="false">PROPER(TRIM(Raw_Data!G1077))</f>
        <v>Engineering</v>
      </c>
      <c r="H1077" s="13" t="str">
        <f aca="false">PROPER(TRIM(Raw_Data!H1077))</f>
        <v>Analyst</v>
      </c>
      <c r="I1077" s="13" t="n">
        <f aca="false">IF(Raw_Data!I1077="",DefaultPerf,Raw_Data!I1077)</f>
        <v>4</v>
      </c>
      <c r="J1077" s="13" t="n">
        <f aca="false">IF(Raw_Data!J1077="",DefaultSat,Raw_Data!J1077)</f>
        <v>2</v>
      </c>
      <c r="K1077" s="15" t="n">
        <f aca="false">Raw_Data!K1077</f>
        <v>62500</v>
      </c>
      <c r="L1077" s="13" t="str">
        <f aca="false">PROPER(TRIM(Raw_Data!N1077))</f>
        <v>No</v>
      </c>
      <c r="M1077" s="13" t="n">
        <f aca="false">IF(C1077="",0,1)</f>
        <v>1</v>
      </c>
      <c r="N1077" s="13" t="str">
        <f aca="false">IF(M1077=0,"Active",IF(TRIM(Raw_Data!L1077)="","Unknown",PROPER(TRIM(Raw_Data!L1077))))</f>
        <v>Voluntary</v>
      </c>
      <c r="O1077" s="13" t="str">
        <f aca="false">IF(M1077=0,"",IF(TRIM(Raw_Data!M1077)="","Not Recorded",TRIM(Raw_Data!M1077)))</f>
        <v>Not Recorded</v>
      </c>
      <c r="P1077" s="16" t="n">
        <f aca="false">ROUND((IF(C1077="",AsOfDate,C1077)-B1077)/365.25,2)</f>
        <v>2.39</v>
      </c>
      <c r="Q1077" s="13" t="str">
        <f aca="false">IF(D1077="","Unknown",IF(D1077&lt;25,"Under 25",IF(D1077&lt;35,"25-34",IF(D1077&lt;45,"35-44",IF(D1077&lt;55,"45-54","55+")))))</f>
        <v>25-34</v>
      </c>
      <c r="R1077" s="13" t="str">
        <f aca="false">IF(P1077&lt;1,"0-1 yrs",IF(P1077&lt;3,"1-3 yrs",IF(P1077&lt;5,"3-5 yrs",IF(P1077&lt;10,"5-10 yrs","10+ yrs"))))</f>
        <v>1-3 yrs</v>
      </c>
      <c r="S1077" s="13" t="str">
        <f aca="false">IF(I1077&gt;=4,"High",IF(I1077=3,"Medium","Low"))</f>
        <v>High</v>
      </c>
      <c r="T1077" s="13" t="n">
        <f aca="false">IF(M1077=1,YEAR(C1077),"")</f>
        <v>2023</v>
      </c>
      <c r="U1077" s="13" t="str">
        <f aca="false">IF(M1077=1,YEAR(C1077)&amp;"-Q"&amp;ROUNDUP(MONTH(C1077)/3,0),"")</f>
        <v>2023-Q2</v>
      </c>
      <c r="V1077" s="13" t="n">
        <f aca="false">IF(M1077=1,MONTH(C1077),"")</f>
        <v>5</v>
      </c>
    </row>
    <row r="1078" customFormat="false" ht="15" hidden="false" customHeight="false" outlineLevel="0" collapsed="false">
      <c r="A1078" s="13" t="str">
        <f aca="false">TRIM(Raw_Data!A1078)</f>
        <v>EMP1077</v>
      </c>
      <c r="B1078" s="14" t="n">
        <f aca="false">Raw_Data!B1078</f>
        <v>44186</v>
      </c>
      <c r="C1078" s="14" t="n">
        <f aca="false">IF(Raw_Data!C1078="","",Raw_Data!C1078)</f>
        <v>44908</v>
      </c>
      <c r="D1078" s="13" t="n">
        <f aca="false">IF(Raw_Data!D1078="","",Raw_Data!D1078)</f>
        <v>26</v>
      </c>
      <c r="E1078" s="13" t="str">
        <f aca="false">IF(UPPER(LEFT(TRIM(Raw_Data!E1078),1))="M","Male",IF(UPPER(LEFT(TRIM(Raw_Data!E1078),1))="F","Female","Unknown"))</f>
        <v>Male</v>
      </c>
      <c r="F1078" s="13" t="str">
        <f aca="false">PROPER(TRIM(SUBSTITUTE(Raw_Data!F1078,"'","")))</f>
        <v>Bachelors</v>
      </c>
      <c r="G1078" s="13" t="str">
        <f aca="false">PROPER(TRIM(Raw_Data!G1078))</f>
        <v>Customer Support</v>
      </c>
      <c r="H1078" s="13" t="str">
        <f aca="false">PROPER(TRIM(Raw_Data!H1078))</f>
        <v>Analyst</v>
      </c>
      <c r="I1078" s="13" t="n">
        <f aca="false">IF(Raw_Data!I1078="",DefaultPerf,Raw_Data!I1078)</f>
        <v>4</v>
      </c>
      <c r="J1078" s="13" t="n">
        <f aca="false">IF(Raw_Data!J1078="",DefaultSat,Raw_Data!J1078)</f>
        <v>2</v>
      </c>
      <c r="K1078" s="15" t="n">
        <f aca="false">Raw_Data!K1078</f>
        <v>60000</v>
      </c>
      <c r="L1078" s="13" t="str">
        <f aca="false">PROPER(TRIM(Raw_Data!N1078))</f>
        <v>Yes</v>
      </c>
      <c r="M1078" s="13" t="n">
        <f aca="false">IF(C1078="",0,1)</f>
        <v>1</v>
      </c>
      <c r="N1078" s="13" t="str">
        <f aca="false">IF(M1078=0,"Active",IF(TRIM(Raw_Data!L1078)="","Unknown",PROPER(TRIM(Raw_Data!L1078))))</f>
        <v>Voluntary</v>
      </c>
      <c r="O1078" s="13" t="str">
        <f aca="false">IF(M1078=0,"",IF(TRIM(Raw_Data!M1078)="","Not Recorded",TRIM(Raw_Data!M1078)))</f>
        <v>Personal Reasons</v>
      </c>
      <c r="P1078" s="16" t="n">
        <f aca="false">ROUND((IF(C1078="",AsOfDate,C1078)-B1078)/365.25,2)</f>
        <v>1.98</v>
      </c>
      <c r="Q1078" s="13" t="str">
        <f aca="false">IF(D1078="","Unknown",IF(D1078&lt;25,"Under 25",IF(D1078&lt;35,"25-34",IF(D1078&lt;45,"35-44",IF(D1078&lt;55,"45-54","55+")))))</f>
        <v>25-34</v>
      </c>
      <c r="R1078" s="13" t="str">
        <f aca="false">IF(P1078&lt;1,"0-1 yrs",IF(P1078&lt;3,"1-3 yrs",IF(P1078&lt;5,"3-5 yrs",IF(P1078&lt;10,"5-10 yrs","10+ yrs"))))</f>
        <v>1-3 yrs</v>
      </c>
      <c r="S1078" s="13" t="str">
        <f aca="false">IF(I1078&gt;=4,"High",IF(I1078=3,"Medium","Low"))</f>
        <v>High</v>
      </c>
      <c r="T1078" s="13" t="n">
        <f aca="false">IF(M1078=1,YEAR(C1078),"")</f>
        <v>2022</v>
      </c>
      <c r="U1078" s="13" t="str">
        <f aca="false">IF(M1078=1,YEAR(C1078)&amp;"-Q"&amp;ROUNDUP(MONTH(C1078)/3,0),"")</f>
        <v>2022-Q4</v>
      </c>
      <c r="V1078" s="13" t="n">
        <f aca="false">IF(M1078=1,MONTH(C1078),"")</f>
        <v>12</v>
      </c>
    </row>
    <row r="1079" customFormat="false" ht="15" hidden="false" customHeight="false" outlineLevel="0" collapsed="false">
      <c r="A1079" s="13" t="str">
        <f aca="false">TRIM(Raw_Data!A1079)</f>
        <v>EMP1078</v>
      </c>
      <c r="B1079" s="14" t="n">
        <f aca="false">Raw_Data!B1079</f>
        <v>44192</v>
      </c>
      <c r="C1079" s="14" t="str">
        <f aca="false">IF(Raw_Data!C1079="","",Raw_Data!C1079)</f>
        <v/>
      </c>
      <c r="D1079" s="13" t="n">
        <f aca="false">IF(Raw_Data!D1079="","",Raw_Data!D1079)</f>
        <v>28</v>
      </c>
      <c r="E1079" s="13" t="str">
        <f aca="false">IF(UPPER(LEFT(TRIM(Raw_Data!E1079),1))="M","Male",IF(UPPER(LEFT(TRIM(Raw_Data!E1079),1))="F","Female","Unknown"))</f>
        <v>Female</v>
      </c>
      <c r="F1079" s="13" t="str">
        <f aca="false">PROPER(TRIM(SUBSTITUTE(Raw_Data!F1079,"'","")))</f>
        <v>Bachelors</v>
      </c>
      <c r="G1079" s="13" t="str">
        <f aca="false">PROPER(TRIM(Raw_Data!G1079))</f>
        <v>Customer Support</v>
      </c>
      <c r="H1079" s="13" t="str">
        <f aca="false">PROPER(TRIM(Raw_Data!H1079))</f>
        <v>Senior Analyst</v>
      </c>
      <c r="I1079" s="13" t="n">
        <f aca="false">IF(Raw_Data!I1079="",DefaultPerf,Raw_Data!I1079)</f>
        <v>3</v>
      </c>
      <c r="J1079" s="13" t="n">
        <f aca="false">IF(Raw_Data!J1079="",DefaultSat,Raw_Data!J1079)</f>
        <v>2</v>
      </c>
      <c r="K1079" s="15" t="n">
        <f aca="false">Raw_Data!K1079</f>
        <v>86000</v>
      </c>
      <c r="L1079" s="13" t="str">
        <f aca="false">PROPER(TRIM(Raw_Data!N1079))</f>
        <v>No</v>
      </c>
      <c r="M1079" s="13" t="n">
        <f aca="false">IF(C1079="",0,1)</f>
        <v>0</v>
      </c>
      <c r="N1079" s="13" t="str">
        <f aca="false">IF(M1079=0,"Active",IF(TRIM(Raw_Data!L1079)="","Unknown",PROPER(TRIM(Raw_Data!L1079))))</f>
        <v>Active</v>
      </c>
      <c r="O1079" s="13" t="str">
        <f aca="false">IF(M1079=0,"",IF(TRIM(Raw_Data!M1079)="","Not Recorded",TRIM(Raw_Data!M1079)))</f>
        <v/>
      </c>
      <c r="P1079" s="16" t="n">
        <f aca="false">ROUND((IF(C1079="",AsOfDate,C1079)-B1079)/365.25,2)</f>
        <v>5.01</v>
      </c>
      <c r="Q1079" s="13" t="str">
        <f aca="false">IF(D1079="","Unknown",IF(D1079&lt;25,"Under 25",IF(D1079&lt;35,"25-34",IF(D1079&lt;45,"35-44",IF(D1079&lt;55,"45-54","55+")))))</f>
        <v>25-34</v>
      </c>
      <c r="R1079" s="13" t="str">
        <f aca="false">IF(P1079&lt;1,"0-1 yrs",IF(P1079&lt;3,"1-3 yrs",IF(P1079&lt;5,"3-5 yrs",IF(P1079&lt;10,"5-10 yrs","10+ yrs"))))</f>
        <v>5-10 yrs</v>
      </c>
      <c r="S1079" s="13" t="str">
        <f aca="false">IF(I1079&gt;=4,"High",IF(I1079=3,"Medium","Low"))</f>
        <v>Medium</v>
      </c>
      <c r="T1079" s="13" t="str">
        <f aca="false">IF(M1079=1,YEAR(C1079),"")</f>
        <v/>
      </c>
      <c r="U1079" s="13" t="str">
        <f aca="false">IF(M1079=1,YEAR(C1079)&amp;"-Q"&amp;ROUNDUP(MONTH(C1079)/3,0),"")</f>
        <v/>
      </c>
      <c r="V1079" s="13" t="str">
        <f aca="false">IF(M1079=1,MONTH(C1079),"")</f>
        <v/>
      </c>
    </row>
    <row r="1080" customFormat="false" ht="15" hidden="false" customHeight="false" outlineLevel="0" collapsed="false">
      <c r="A1080" s="13" t="str">
        <f aca="false">TRIM(Raw_Data!A1080)</f>
        <v>EMP1079</v>
      </c>
      <c r="B1080" s="14" t="n">
        <f aca="false">Raw_Data!B1080</f>
        <v>44193</v>
      </c>
      <c r="C1080" s="14" t="str">
        <f aca="false">IF(Raw_Data!C1080="","",Raw_Data!C1080)</f>
        <v/>
      </c>
      <c r="D1080" s="13" t="n">
        <f aca="false">IF(Raw_Data!D1080="","",Raw_Data!D1080)</f>
        <v>27</v>
      </c>
      <c r="E1080" s="13" t="str">
        <f aca="false">IF(UPPER(LEFT(TRIM(Raw_Data!E1080),1))="M","Male",IF(UPPER(LEFT(TRIM(Raw_Data!E1080),1))="F","Female","Unknown"))</f>
        <v>Female</v>
      </c>
      <c r="F1080" s="13" t="str">
        <f aca="false">PROPER(TRIM(SUBSTITUTE(Raw_Data!F1080,"'","")))</f>
        <v>Doctorate</v>
      </c>
      <c r="G1080" s="13" t="str">
        <f aca="false">PROPER(TRIM(Raw_Data!G1080))</f>
        <v>Customer Support</v>
      </c>
      <c r="H1080" s="13" t="str">
        <f aca="false">PROPER(TRIM(Raw_Data!H1080))</f>
        <v>Analyst</v>
      </c>
      <c r="I1080" s="13" t="n">
        <f aca="false">IF(Raw_Data!I1080="",DefaultPerf,Raw_Data!I1080)</f>
        <v>3</v>
      </c>
      <c r="J1080" s="13" t="n">
        <f aca="false">IF(Raw_Data!J1080="",DefaultSat,Raw_Data!J1080)</f>
        <v>3</v>
      </c>
      <c r="K1080" s="15" t="n">
        <f aca="false">Raw_Data!K1080</f>
        <v>66000</v>
      </c>
      <c r="L1080" s="13" t="str">
        <f aca="false">PROPER(TRIM(Raw_Data!N1080))</f>
        <v>No</v>
      </c>
      <c r="M1080" s="13" t="n">
        <f aca="false">IF(C1080="",0,1)</f>
        <v>0</v>
      </c>
      <c r="N1080" s="13" t="str">
        <f aca="false">IF(M1080=0,"Active",IF(TRIM(Raw_Data!L1080)="","Unknown",PROPER(TRIM(Raw_Data!L1080))))</f>
        <v>Active</v>
      </c>
      <c r="O1080" s="13" t="str">
        <f aca="false">IF(M1080=0,"",IF(TRIM(Raw_Data!M1080)="","Not Recorded",TRIM(Raw_Data!M1080)))</f>
        <v/>
      </c>
      <c r="P1080" s="16" t="n">
        <f aca="false">ROUND((IF(C1080="",AsOfDate,C1080)-B1080)/365.25,2)</f>
        <v>5.01</v>
      </c>
      <c r="Q1080" s="13" t="str">
        <f aca="false">IF(D1080="","Unknown",IF(D1080&lt;25,"Under 25",IF(D1080&lt;35,"25-34",IF(D1080&lt;45,"35-44",IF(D1080&lt;55,"45-54","55+")))))</f>
        <v>25-34</v>
      </c>
      <c r="R1080" s="13" t="str">
        <f aca="false">IF(P1080&lt;1,"0-1 yrs",IF(P1080&lt;3,"1-3 yrs",IF(P1080&lt;5,"3-5 yrs",IF(P1080&lt;10,"5-10 yrs","10+ yrs"))))</f>
        <v>5-10 yrs</v>
      </c>
      <c r="S1080" s="13" t="str">
        <f aca="false">IF(I1080&gt;=4,"High",IF(I1080=3,"Medium","Low"))</f>
        <v>Medium</v>
      </c>
      <c r="T1080" s="13" t="str">
        <f aca="false">IF(M1080=1,YEAR(C1080),"")</f>
        <v/>
      </c>
      <c r="U1080" s="13" t="str">
        <f aca="false">IF(M1080=1,YEAR(C1080)&amp;"-Q"&amp;ROUNDUP(MONTH(C1080)/3,0),"")</f>
        <v/>
      </c>
      <c r="V1080" s="13" t="str">
        <f aca="false">IF(M1080=1,MONTH(C1080),"")</f>
        <v/>
      </c>
    </row>
    <row r="1081" customFormat="false" ht="15" hidden="false" customHeight="false" outlineLevel="0" collapsed="false">
      <c r="A1081" s="13" t="str">
        <f aca="false">TRIM(Raw_Data!A1081)</f>
        <v>EMP1080</v>
      </c>
      <c r="B1081" s="14" t="n">
        <f aca="false">Raw_Data!B1081</f>
        <v>44199</v>
      </c>
      <c r="C1081" s="14" t="n">
        <f aca="false">IF(Raw_Data!C1081="","",Raw_Data!C1081)</f>
        <v>44688</v>
      </c>
      <c r="D1081" s="13" t="n">
        <f aca="false">IF(Raw_Data!D1081="","",Raw_Data!D1081)</f>
        <v>34</v>
      </c>
      <c r="E1081" s="13" t="str">
        <f aca="false">IF(UPPER(LEFT(TRIM(Raw_Data!E1081),1))="M","Male",IF(UPPER(LEFT(TRIM(Raw_Data!E1081),1))="F","Female","Unknown"))</f>
        <v>Female</v>
      </c>
      <c r="F1081" s="13" t="str">
        <f aca="false">PROPER(TRIM(SUBSTITUTE(Raw_Data!F1081,"'","")))</f>
        <v>Bachelors</v>
      </c>
      <c r="G1081" s="13" t="str">
        <f aca="false">PROPER(TRIM(Raw_Data!G1081))</f>
        <v>Engineering</v>
      </c>
      <c r="H1081" s="13" t="str">
        <f aca="false">PROPER(TRIM(Raw_Data!H1081))</f>
        <v>Analyst</v>
      </c>
      <c r="I1081" s="13" t="n">
        <f aca="false">IF(Raw_Data!I1081="",DefaultPerf,Raw_Data!I1081)</f>
        <v>3</v>
      </c>
      <c r="J1081" s="13" t="n">
        <f aca="false">IF(Raw_Data!J1081="",DefaultSat,Raw_Data!J1081)</f>
        <v>1</v>
      </c>
      <c r="K1081" s="15" t="n">
        <f aca="false">Raw_Data!K1081</f>
        <v>57500</v>
      </c>
      <c r="L1081" s="13" t="str">
        <f aca="false">PROPER(TRIM(Raw_Data!N1081))</f>
        <v>Yes</v>
      </c>
      <c r="M1081" s="13" t="n">
        <f aca="false">IF(C1081="",0,1)</f>
        <v>1</v>
      </c>
      <c r="N1081" s="13" t="str">
        <f aca="false">IF(M1081=0,"Active",IF(TRIM(Raw_Data!L1081)="","Unknown",PROPER(TRIM(Raw_Data!L1081))))</f>
        <v>Voluntary</v>
      </c>
      <c r="O1081" s="13" t="str">
        <f aca="false">IF(M1081=0,"",IF(TRIM(Raw_Data!M1081)="","Not Recorded",TRIM(Raw_Data!M1081)))</f>
        <v>Better Compensation</v>
      </c>
      <c r="P1081" s="16" t="n">
        <f aca="false">ROUND((IF(C1081="",AsOfDate,C1081)-B1081)/365.25,2)</f>
        <v>1.34</v>
      </c>
      <c r="Q1081" s="13" t="str">
        <f aca="false">IF(D1081="","Unknown",IF(D1081&lt;25,"Under 25",IF(D1081&lt;35,"25-34",IF(D1081&lt;45,"35-44",IF(D1081&lt;55,"45-54","55+")))))</f>
        <v>25-34</v>
      </c>
      <c r="R1081" s="13" t="str">
        <f aca="false">IF(P1081&lt;1,"0-1 yrs",IF(P1081&lt;3,"1-3 yrs",IF(P1081&lt;5,"3-5 yrs",IF(P1081&lt;10,"5-10 yrs","10+ yrs"))))</f>
        <v>1-3 yrs</v>
      </c>
      <c r="S1081" s="13" t="str">
        <f aca="false">IF(I1081&gt;=4,"High",IF(I1081=3,"Medium","Low"))</f>
        <v>Medium</v>
      </c>
      <c r="T1081" s="13" t="n">
        <f aca="false">IF(M1081=1,YEAR(C1081),"")</f>
        <v>2022</v>
      </c>
      <c r="U1081" s="13" t="str">
        <f aca="false">IF(M1081=1,YEAR(C1081)&amp;"-Q"&amp;ROUNDUP(MONTH(C1081)/3,0),"")</f>
        <v>2022-Q2</v>
      </c>
      <c r="V1081" s="13" t="n">
        <f aca="false">IF(M1081=1,MONTH(C1081),"")</f>
        <v>5</v>
      </c>
    </row>
    <row r="1082" customFormat="false" ht="15" hidden="false" customHeight="false" outlineLevel="0" collapsed="false">
      <c r="A1082" s="13" t="str">
        <f aca="false">TRIM(Raw_Data!A1082)</f>
        <v>EMP1081</v>
      </c>
      <c r="B1082" s="14" t="n">
        <f aca="false">Raw_Data!B1082</f>
        <v>44202</v>
      </c>
      <c r="C1082" s="14" t="str">
        <f aca="false">IF(Raw_Data!C1082="","",Raw_Data!C1082)</f>
        <v/>
      </c>
      <c r="D1082" s="13" t="n">
        <f aca="false">IF(Raw_Data!D1082="","",Raw_Data!D1082)</f>
        <v>32</v>
      </c>
      <c r="E1082" s="13" t="str">
        <f aca="false">IF(UPPER(LEFT(TRIM(Raw_Data!E1082),1))="M","Male",IF(UPPER(LEFT(TRIM(Raw_Data!E1082),1))="F","Female","Unknown"))</f>
        <v>Male</v>
      </c>
      <c r="F1082" s="13" t="str">
        <f aca="false">PROPER(TRIM(SUBSTITUTE(Raw_Data!F1082,"'","")))</f>
        <v>Bachelors</v>
      </c>
      <c r="G1082" s="13" t="str">
        <f aca="false">PROPER(TRIM(Raw_Data!G1082))</f>
        <v>Operations</v>
      </c>
      <c r="H1082" s="13" t="str">
        <f aca="false">PROPER(TRIM(Raw_Data!H1082))</f>
        <v>Analyst</v>
      </c>
      <c r="I1082" s="13" t="n">
        <f aca="false">IF(Raw_Data!I1082="",DefaultPerf,Raw_Data!I1082)</f>
        <v>3</v>
      </c>
      <c r="J1082" s="13" t="n">
        <f aca="false">IF(Raw_Data!J1082="",DefaultSat,Raw_Data!J1082)</f>
        <v>2</v>
      </c>
      <c r="K1082" s="15" t="n">
        <f aca="false">Raw_Data!K1082</f>
        <v>52000</v>
      </c>
      <c r="L1082" s="13" t="str">
        <f aca="false">PROPER(TRIM(Raw_Data!N1082))</f>
        <v>No</v>
      </c>
      <c r="M1082" s="13" t="n">
        <f aca="false">IF(C1082="",0,1)</f>
        <v>0</v>
      </c>
      <c r="N1082" s="13" t="str">
        <f aca="false">IF(M1082=0,"Active",IF(TRIM(Raw_Data!L1082)="","Unknown",PROPER(TRIM(Raw_Data!L1082))))</f>
        <v>Active</v>
      </c>
      <c r="O1082" s="13" t="str">
        <f aca="false">IF(M1082=0,"",IF(TRIM(Raw_Data!M1082)="","Not Recorded",TRIM(Raw_Data!M1082)))</f>
        <v/>
      </c>
      <c r="P1082" s="16" t="n">
        <f aca="false">ROUND((IF(C1082="",AsOfDate,C1082)-B1082)/365.25,2)</f>
        <v>4.98</v>
      </c>
      <c r="Q1082" s="13" t="str">
        <f aca="false">IF(D1082="","Unknown",IF(D1082&lt;25,"Under 25",IF(D1082&lt;35,"25-34",IF(D1082&lt;45,"35-44",IF(D1082&lt;55,"45-54","55+")))))</f>
        <v>25-34</v>
      </c>
      <c r="R1082" s="13" t="str">
        <f aca="false">IF(P1082&lt;1,"0-1 yrs",IF(P1082&lt;3,"1-3 yrs",IF(P1082&lt;5,"3-5 yrs",IF(P1082&lt;10,"5-10 yrs","10+ yrs"))))</f>
        <v>3-5 yrs</v>
      </c>
      <c r="S1082" s="13" t="str">
        <f aca="false">IF(I1082&gt;=4,"High",IF(I1082=3,"Medium","Low"))</f>
        <v>Medium</v>
      </c>
      <c r="T1082" s="13" t="str">
        <f aca="false">IF(M1082=1,YEAR(C1082),"")</f>
        <v/>
      </c>
      <c r="U1082" s="13" t="str">
        <f aca="false">IF(M1082=1,YEAR(C1082)&amp;"-Q"&amp;ROUNDUP(MONTH(C1082)/3,0),"")</f>
        <v/>
      </c>
      <c r="V1082" s="13" t="str">
        <f aca="false">IF(M1082=1,MONTH(C1082),"")</f>
        <v/>
      </c>
    </row>
    <row r="1083" customFormat="false" ht="15" hidden="false" customHeight="false" outlineLevel="0" collapsed="false">
      <c r="A1083" s="13" t="str">
        <f aca="false">TRIM(Raw_Data!A1083)</f>
        <v>EMP1082</v>
      </c>
      <c r="B1083" s="14" t="n">
        <f aca="false">Raw_Data!B1083</f>
        <v>44203</v>
      </c>
      <c r="C1083" s="14" t="n">
        <f aca="false">IF(Raw_Data!C1083="","",Raw_Data!C1083)</f>
        <v>45920</v>
      </c>
      <c r="D1083" s="13" t="n">
        <f aca="false">IF(Raw_Data!D1083="","",Raw_Data!D1083)</f>
        <v>36</v>
      </c>
      <c r="E1083" s="13" t="str">
        <f aca="false">IF(UPPER(LEFT(TRIM(Raw_Data!E1083),1))="M","Male",IF(UPPER(LEFT(TRIM(Raw_Data!E1083),1))="F","Female","Unknown"))</f>
        <v>Male</v>
      </c>
      <c r="F1083" s="13" t="str">
        <f aca="false">PROPER(TRIM(SUBSTITUTE(Raw_Data!F1083,"'","")))</f>
        <v>Bachelors</v>
      </c>
      <c r="G1083" s="13" t="str">
        <f aca="false">PROPER(TRIM(Raw_Data!G1083))</f>
        <v>Sales</v>
      </c>
      <c r="H1083" s="13" t="str">
        <f aca="false">PROPER(TRIM(Raw_Data!H1083))</f>
        <v>Specialist</v>
      </c>
      <c r="I1083" s="13" t="n">
        <f aca="false">IF(Raw_Data!I1083="",DefaultPerf,Raw_Data!I1083)</f>
        <v>3</v>
      </c>
      <c r="J1083" s="13" t="n">
        <f aca="false">IF(Raw_Data!J1083="",DefaultSat,Raw_Data!J1083)</f>
        <v>1</v>
      </c>
      <c r="K1083" s="15" t="n">
        <f aca="false">Raw_Data!K1083</f>
        <v>97000</v>
      </c>
      <c r="L1083" s="13" t="str">
        <f aca="false">PROPER(TRIM(Raw_Data!N1083))</f>
        <v>No</v>
      </c>
      <c r="M1083" s="13" t="n">
        <f aca="false">IF(C1083="",0,1)</f>
        <v>1</v>
      </c>
      <c r="N1083" s="13" t="str">
        <f aca="false">IF(M1083=0,"Active",IF(TRIM(Raw_Data!L1083)="","Unknown",PROPER(TRIM(Raw_Data!L1083))))</f>
        <v>Voluntary</v>
      </c>
      <c r="O1083" s="13" t="str">
        <f aca="false">IF(M1083=0,"",IF(TRIM(Raw_Data!M1083)="","Not Recorded",TRIM(Raw_Data!M1083)))</f>
        <v>Career Growth</v>
      </c>
      <c r="P1083" s="16" t="n">
        <f aca="false">ROUND((IF(C1083="",AsOfDate,C1083)-B1083)/365.25,2)</f>
        <v>4.7</v>
      </c>
      <c r="Q1083" s="13" t="str">
        <f aca="false">IF(D1083="","Unknown",IF(D1083&lt;25,"Under 25",IF(D1083&lt;35,"25-34",IF(D1083&lt;45,"35-44",IF(D1083&lt;55,"45-54","55+")))))</f>
        <v>35-44</v>
      </c>
      <c r="R1083" s="13" t="str">
        <f aca="false">IF(P1083&lt;1,"0-1 yrs",IF(P1083&lt;3,"1-3 yrs",IF(P1083&lt;5,"3-5 yrs",IF(P1083&lt;10,"5-10 yrs","10+ yrs"))))</f>
        <v>3-5 yrs</v>
      </c>
      <c r="S1083" s="13" t="str">
        <f aca="false">IF(I1083&gt;=4,"High",IF(I1083=3,"Medium","Low"))</f>
        <v>Medium</v>
      </c>
      <c r="T1083" s="13" t="n">
        <f aca="false">IF(M1083=1,YEAR(C1083),"")</f>
        <v>2025</v>
      </c>
      <c r="U1083" s="13" t="str">
        <f aca="false">IF(M1083=1,YEAR(C1083)&amp;"-Q"&amp;ROUNDUP(MONTH(C1083)/3,0),"")</f>
        <v>2025-Q3</v>
      </c>
      <c r="V1083" s="13" t="n">
        <f aca="false">IF(M1083=1,MONTH(C1083),"")</f>
        <v>9</v>
      </c>
    </row>
    <row r="1084" customFormat="false" ht="15" hidden="false" customHeight="false" outlineLevel="0" collapsed="false">
      <c r="A1084" s="13" t="str">
        <f aca="false">TRIM(Raw_Data!A1084)</f>
        <v>EMP1083</v>
      </c>
      <c r="B1084" s="14" t="n">
        <f aca="false">Raw_Data!B1084</f>
        <v>44215</v>
      </c>
      <c r="C1084" s="14" t="str">
        <f aca="false">IF(Raw_Data!C1084="","",Raw_Data!C1084)</f>
        <v/>
      </c>
      <c r="D1084" s="13" t="n">
        <f aca="false">IF(Raw_Data!D1084="","",Raw_Data!D1084)</f>
        <v>28</v>
      </c>
      <c r="E1084" s="13" t="str">
        <f aca="false">IF(UPPER(LEFT(TRIM(Raw_Data!E1084),1))="M","Male",IF(UPPER(LEFT(TRIM(Raw_Data!E1084),1))="F","Female","Unknown"))</f>
        <v>Male</v>
      </c>
      <c r="F1084" s="13" t="str">
        <f aca="false">PROPER(TRIM(SUBSTITUTE(Raw_Data!F1084,"'","")))</f>
        <v>Diploma</v>
      </c>
      <c r="G1084" s="13" t="str">
        <f aca="false">PROPER(TRIM(Raw_Data!G1084))</f>
        <v>Sales</v>
      </c>
      <c r="H1084" s="13" t="str">
        <f aca="false">PROPER(TRIM(Raw_Data!H1084))</f>
        <v>Analyst</v>
      </c>
      <c r="I1084" s="13" t="n">
        <f aca="false">IF(Raw_Data!I1084="",DefaultPerf,Raw_Data!I1084)</f>
        <v>5</v>
      </c>
      <c r="J1084" s="13" t="n">
        <f aca="false">IF(Raw_Data!J1084="",DefaultSat,Raw_Data!J1084)</f>
        <v>4</v>
      </c>
      <c r="K1084" s="15" t="n">
        <f aca="false">Raw_Data!K1084</f>
        <v>60500</v>
      </c>
      <c r="L1084" s="13" t="str">
        <f aca="false">PROPER(TRIM(Raw_Data!N1084))</f>
        <v>No</v>
      </c>
      <c r="M1084" s="13" t="n">
        <f aca="false">IF(C1084="",0,1)</f>
        <v>0</v>
      </c>
      <c r="N1084" s="13" t="str">
        <f aca="false">IF(M1084=0,"Active",IF(TRIM(Raw_Data!L1084)="","Unknown",PROPER(TRIM(Raw_Data!L1084))))</f>
        <v>Active</v>
      </c>
      <c r="O1084" s="13" t="str">
        <f aca="false">IF(M1084=0,"",IF(TRIM(Raw_Data!M1084)="","Not Recorded",TRIM(Raw_Data!M1084)))</f>
        <v/>
      </c>
      <c r="P1084" s="16" t="n">
        <f aca="false">ROUND((IF(C1084="",AsOfDate,C1084)-B1084)/365.25,2)</f>
        <v>4.95</v>
      </c>
      <c r="Q1084" s="13" t="str">
        <f aca="false">IF(D1084="","Unknown",IF(D1084&lt;25,"Under 25",IF(D1084&lt;35,"25-34",IF(D1084&lt;45,"35-44",IF(D1084&lt;55,"45-54","55+")))))</f>
        <v>25-34</v>
      </c>
      <c r="R1084" s="13" t="str">
        <f aca="false">IF(P1084&lt;1,"0-1 yrs",IF(P1084&lt;3,"1-3 yrs",IF(P1084&lt;5,"3-5 yrs",IF(P1084&lt;10,"5-10 yrs","10+ yrs"))))</f>
        <v>3-5 yrs</v>
      </c>
      <c r="S1084" s="13" t="str">
        <f aca="false">IF(I1084&gt;=4,"High",IF(I1084=3,"Medium","Low"))</f>
        <v>High</v>
      </c>
      <c r="T1084" s="13" t="str">
        <f aca="false">IF(M1084=1,YEAR(C1084),"")</f>
        <v/>
      </c>
      <c r="U1084" s="13" t="str">
        <f aca="false">IF(M1084=1,YEAR(C1084)&amp;"-Q"&amp;ROUNDUP(MONTH(C1084)/3,0),"")</f>
        <v/>
      </c>
      <c r="V1084" s="13" t="str">
        <f aca="false">IF(M1084=1,MONTH(C1084),"")</f>
        <v/>
      </c>
    </row>
    <row r="1085" customFormat="false" ht="15" hidden="false" customHeight="false" outlineLevel="0" collapsed="false">
      <c r="A1085" s="13" t="str">
        <f aca="false">TRIM(Raw_Data!A1085)</f>
        <v>EMP1084</v>
      </c>
      <c r="B1085" s="14" t="n">
        <f aca="false">Raw_Data!B1085</f>
        <v>44217</v>
      </c>
      <c r="C1085" s="14" t="n">
        <f aca="false">IF(Raw_Data!C1085="","",Raw_Data!C1085)</f>
        <v>45833</v>
      </c>
      <c r="D1085" s="13" t="n">
        <f aca="false">IF(Raw_Data!D1085="","",Raw_Data!D1085)</f>
        <v>37</v>
      </c>
      <c r="E1085" s="13" t="str">
        <f aca="false">IF(UPPER(LEFT(TRIM(Raw_Data!E1085),1))="M","Male",IF(UPPER(LEFT(TRIM(Raw_Data!E1085),1))="F","Female","Unknown"))</f>
        <v>Male</v>
      </c>
      <c r="F1085" s="13" t="str">
        <f aca="false">PROPER(TRIM(SUBSTITUTE(Raw_Data!F1085,"'","")))</f>
        <v>Masters</v>
      </c>
      <c r="G1085" s="13" t="str">
        <f aca="false">PROPER(TRIM(Raw_Data!G1085))</f>
        <v>Operations</v>
      </c>
      <c r="H1085" s="13" t="str">
        <f aca="false">PROPER(TRIM(Raw_Data!H1085))</f>
        <v>Specialist</v>
      </c>
      <c r="I1085" s="13" t="n">
        <f aca="false">IF(Raw_Data!I1085="",DefaultPerf,Raw_Data!I1085)</f>
        <v>3</v>
      </c>
      <c r="J1085" s="13" t="n">
        <f aca="false">IF(Raw_Data!J1085="",DefaultSat,Raw_Data!J1085)</f>
        <v>4</v>
      </c>
      <c r="K1085" s="15" t="n">
        <f aca="false">Raw_Data!K1085</f>
        <v>109000</v>
      </c>
      <c r="L1085" s="13" t="str">
        <f aca="false">PROPER(TRIM(Raw_Data!N1085))</f>
        <v>Yes</v>
      </c>
      <c r="M1085" s="13" t="n">
        <f aca="false">IF(C1085="",0,1)</f>
        <v>1</v>
      </c>
      <c r="N1085" s="13" t="str">
        <f aca="false">IF(M1085=0,"Active",IF(TRIM(Raw_Data!L1085)="","Unknown",PROPER(TRIM(Raw_Data!L1085))))</f>
        <v>Voluntary</v>
      </c>
      <c r="O1085" s="13" t="str">
        <f aca="false">IF(M1085=0,"",IF(TRIM(Raw_Data!M1085)="","Not Recorded",TRIM(Raw_Data!M1085)))</f>
        <v>Career Growth</v>
      </c>
      <c r="P1085" s="16" t="n">
        <f aca="false">ROUND((IF(C1085="",AsOfDate,C1085)-B1085)/365.25,2)</f>
        <v>4.42</v>
      </c>
      <c r="Q1085" s="13" t="str">
        <f aca="false">IF(D1085="","Unknown",IF(D1085&lt;25,"Under 25",IF(D1085&lt;35,"25-34",IF(D1085&lt;45,"35-44",IF(D1085&lt;55,"45-54","55+")))))</f>
        <v>35-44</v>
      </c>
      <c r="R1085" s="13" t="str">
        <f aca="false">IF(P1085&lt;1,"0-1 yrs",IF(P1085&lt;3,"1-3 yrs",IF(P1085&lt;5,"3-5 yrs",IF(P1085&lt;10,"5-10 yrs","10+ yrs"))))</f>
        <v>3-5 yrs</v>
      </c>
      <c r="S1085" s="13" t="str">
        <f aca="false">IF(I1085&gt;=4,"High",IF(I1085=3,"Medium","Low"))</f>
        <v>Medium</v>
      </c>
      <c r="T1085" s="13" t="n">
        <f aca="false">IF(M1085=1,YEAR(C1085),"")</f>
        <v>2025</v>
      </c>
      <c r="U1085" s="13" t="str">
        <f aca="false">IF(M1085=1,YEAR(C1085)&amp;"-Q"&amp;ROUNDUP(MONTH(C1085)/3,0),"")</f>
        <v>2025-Q2</v>
      </c>
      <c r="V1085" s="13" t="n">
        <f aca="false">IF(M1085=1,MONTH(C1085),"")</f>
        <v>6</v>
      </c>
    </row>
    <row r="1086" customFormat="false" ht="15" hidden="false" customHeight="false" outlineLevel="0" collapsed="false">
      <c r="A1086" s="13" t="str">
        <f aca="false">TRIM(Raw_Data!A1086)</f>
        <v>EMP1085</v>
      </c>
      <c r="B1086" s="14" t="n">
        <f aca="false">Raw_Data!B1086</f>
        <v>44220</v>
      </c>
      <c r="C1086" s="14" t="str">
        <f aca="false">IF(Raw_Data!C1086="","",Raw_Data!C1086)</f>
        <v/>
      </c>
      <c r="D1086" s="13" t="n">
        <f aca="false">IF(Raw_Data!D1086="","",Raw_Data!D1086)</f>
        <v>31</v>
      </c>
      <c r="E1086" s="13" t="str">
        <f aca="false">IF(UPPER(LEFT(TRIM(Raw_Data!E1086),1))="M","Male",IF(UPPER(LEFT(TRIM(Raw_Data!E1086),1))="F","Female","Unknown"))</f>
        <v>Female</v>
      </c>
      <c r="F1086" s="13" t="str">
        <f aca="false">PROPER(TRIM(SUBSTITUTE(Raw_Data!F1086,"'","")))</f>
        <v>Masters</v>
      </c>
      <c r="G1086" s="13" t="str">
        <f aca="false">PROPER(TRIM(Raw_Data!G1086))</f>
        <v>Customer Support</v>
      </c>
      <c r="H1086" s="13" t="str">
        <f aca="false">PROPER(TRIM(Raw_Data!H1086))</f>
        <v>Analyst</v>
      </c>
      <c r="I1086" s="13" t="n">
        <f aca="false">IF(Raw_Data!I1086="",DefaultPerf,Raw_Data!I1086)</f>
        <v>4</v>
      </c>
      <c r="J1086" s="13" t="n">
        <f aca="false">IF(Raw_Data!J1086="",DefaultSat,Raw_Data!J1086)</f>
        <v>2</v>
      </c>
      <c r="K1086" s="15" t="n">
        <f aca="false">Raw_Data!K1086</f>
        <v>60500</v>
      </c>
      <c r="L1086" s="13" t="str">
        <f aca="false">PROPER(TRIM(Raw_Data!N1086))</f>
        <v>No</v>
      </c>
      <c r="M1086" s="13" t="n">
        <f aca="false">IF(C1086="",0,1)</f>
        <v>0</v>
      </c>
      <c r="N1086" s="13" t="str">
        <f aca="false">IF(M1086=0,"Active",IF(TRIM(Raw_Data!L1086)="","Unknown",PROPER(TRIM(Raw_Data!L1086))))</f>
        <v>Active</v>
      </c>
      <c r="O1086" s="13" t="str">
        <f aca="false">IF(M1086=0,"",IF(TRIM(Raw_Data!M1086)="","Not Recorded",TRIM(Raw_Data!M1086)))</f>
        <v/>
      </c>
      <c r="P1086" s="16" t="n">
        <f aca="false">ROUND((IF(C1086="",AsOfDate,C1086)-B1086)/365.25,2)</f>
        <v>4.93</v>
      </c>
      <c r="Q1086" s="13" t="str">
        <f aca="false">IF(D1086="","Unknown",IF(D1086&lt;25,"Under 25",IF(D1086&lt;35,"25-34",IF(D1086&lt;45,"35-44",IF(D1086&lt;55,"45-54","55+")))))</f>
        <v>25-34</v>
      </c>
      <c r="R1086" s="13" t="str">
        <f aca="false">IF(P1086&lt;1,"0-1 yrs",IF(P1086&lt;3,"1-3 yrs",IF(P1086&lt;5,"3-5 yrs",IF(P1086&lt;10,"5-10 yrs","10+ yrs"))))</f>
        <v>3-5 yrs</v>
      </c>
      <c r="S1086" s="13" t="str">
        <f aca="false">IF(I1086&gt;=4,"High",IF(I1086=3,"Medium","Low"))</f>
        <v>High</v>
      </c>
      <c r="T1086" s="13" t="str">
        <f aca="false">IF(M1086=1,YEAR(C1086),"")</f>
        <v/>
      </c>
      <c r="U1086" s="13" t="str">
        <f aca="false">IF(M1086=1,YEAR(C1086)&amp;"-Q"&amp;ROUNDUP(MONTH(C1086)/3,0),"")</f>
        <v/>
      </c>
      <c r="V1086" s="13" t="str">
        <f aca="false">IF(M1086=1,MONTH(C1086),"")</f>
        <v/>
      </c>
    </row>
    <row r="1087" customFormat="false" ht="15" hidden="false" customHeight="false" outlineLevel="0" collapsed="false">
      <c r="A1087" s="13" t="str">
        <f aca="false">TRIM(Raw_Data!A1087)</f>
        <v>EMP1086</v>
      </c>
      <c r="B1087" s="14" t="n">
        <f aca="false">Raw_Data!B1087</f>
        <v>44222</v>
      </c>
      <c r="C1087" s="14" t="n">
        <f aca="false">IF(Raw_Data!C1087="","",Raw_Data!C1087)</f>
        <v>45307</v>
      </c>
      <c r="D1087" s="13" t="n">
        <f aca="false">IF(Raw_Data!D1087="","",Raw_Data!D1087)</f>
        <v>33</v>
      </c>
      <c r="E1087" s="13" t="str">
        <f aca="false">IF(UPPER(LEFT(TRIM(Raw_Data!E1087),1))="M","Male",IF(UPPER(LEFT(TRIM(Raw_Data!E1087),1))="F","Female","Unknown"))</f>
        <v>Female</v>
      </c>
      <c r="F1087" s="13" t="str">
        <f aca="false">PROPER(TRIM(SUBSTITUTE(Raw_Data!F1087,"'","")))</f>
        <v>Masters</v>
      </c>
      <c r="G1087" s="13" t="str">
        <f aca="false">PROPER(TRIM(Raw_Data!G1087))</f>
        <v>Customer Support</v>
      </c>
      <c r="H1087" s="13" t="str">
        <f aca="false">PROPER(TRIM(Raw_Data!H1087))</f>
        <v>Associate</v>
      </c>
      <c r="I1087" s="13" t="n">
        <f aca="false">IF(Raw_Data!I1087="",DefaultPerf,Raw_Data!I1087)</f>
        <v>4</v>
      </c>
      <c r="J1087" s="13" t="n">
        <f aca="false">IF(Raw_Data!J1087="",DefaultSat,Raw_Data!J1087)</f>
        <v>3</v>
      </c>
      <c r="K1087" s="15" t="n">
        <f aca="false">Raw_Data!K1087</f>
        <v>41000</v>
      </c>
      <c r="L1087" s="13" t="str">
        <f aca="false">PROPER(TRIM(Raw_Data!N1087))</f>
        <v>No</v>
      </c>
      <c r="M1087" s="13" t="n">
        <f aca="false">IF(C1087="",0,1)</f>
        <v>1</v>
      </c>
      <c r="N1087" s="13" t="str">
        <f aca="false">IF(M1087=0,"Active",IF(TRIM(Raw_Data!L1087)="","Unknown",PROPER(TRIM(Raw_Data!L1087))))</f>
        <v>Voluntary</v>
      </c>
      <c r="O1087" s="13" t="str">
        <f aca="false">IF(M1087=0,"",IF(TRIM(Raw_Data!M1087)="","Not Recorded",TRIM(Raw_Data!M1087)))</f>
        <v>Career Growth</v>
      </c>
      <c r="P1087" s="16" t="n">
        <f aca="false">ROUND((IF(C1087="",AsOfDate,C1087)-B1087)/365.25,2)</f>
        <v>2.97</v>
      </c>
      <c r="Q1087" s="13" t="str">
        <f aca="false">IF(D1087="","Unknown",IF(D1087&lt;25,"Under 25",IF(D1087&lt;35,"25-34",IF(D1087&lt;45,"35-44",IF(D1087&lt;55,"45-54","55+")))))</f>
        <v>25-34</v>
      </c>
      <c r="R1087" s="13" t="str">
        <f aca="false">IF(P1087&lt;1,"0-1 yrs",IF(P1087&lt;3,"1-3 yrs",IF(P1087&lt;5,"3-5 yrs",IF(P1087&lt;10,"5-10 yrs","10+ yrs"))))</f>
        <v>1-3 yrs</v>
      </c>
      <c r="S1087" s="13" t="str">
        <f aca="false">IF(I1087&gt;=4,"High",IF(I1087=3,"Medium","Low"))</f>
        <v>High</v>
      </c>
      <c r="T1087" s="13" t="n">
        <f aca="false">IF(M1087=1,YEAR(C1087),"")</f>
        <v>2024</v>
      </c>
      <c r="U1087" s="13" t="str">
        <f aca="false">IF(M1087=1,YEAR(C1087)&amp;"-Q"&amp;ROUNDUP(MONTH(C1087)/3,0),"")</f>
        <v>2024-Q1</v>
      </c>
      <c r="V1087" s="13" t="n">
        <f aca="false">IF(M1087=1,MONTH(C1087),"")</f>
        <v>1</v>
      </c>
    </row>
    <row r="1088" customFormat="false" ht="15" hidden="false" customHeight="false" outlineLevel="0" collapsed="false">
      <c r="A1088" s="13" t="str">
        <f aca="false">TRIM(Raw_Data!A1088)</f>
        <v>EMP1087</v>
      </c>
      <c r="B1088" s="14" t="n">
        <f aca="false">Raw_Data!B1088</f>
        <v>44223</v>
      </c>
      <c r="C1088" s="14" t="str">
        <f aca="false">IF(Raw_Data!C1088="","",Raw_Data!C1088)</f>
        <v/>
      </c>
      <c r="D1088" s="13" t="n">
        <f aca="false">IF(Raw_Data!D1088="","",Raw_Data!D1088)</f>
        <v>34</v>
      </c>
      <c r="E1088" s="13" t="str">
        <f aca="false">IF(UPPER(LEFT(TRIM(Raw_Data!E1088),1))="M","Male",IF(UPPER(LEFT(TRIM(Raw_Data!E1088),1))="F","Female","Unknown"))</f>
        <v>Female</v>
      </c>
      <c r="F1088" s="13" t="str">
        <f aca="false">PROPER(TRIM(SUBSTITUTE(Raw_Data!F1088,"'","")))</f>
        <v>Masters</v>
      </c>
      <c r="G1088" s="13" t="str">
        <f aca="false">PROPER(TRIM(Raw_Data!G1088))</f>
        <v>Engineering</v>
      </c>
      <c r="H1088" s="13" t="str">
        <f aca="false">PROPER(TRIM(Raw_Data!H1088))</f>
        <v>Specialist</v>
      </c>
      <c r="I1088" s="13" t="n">
        <f aca="false">IF(Raw_Data!I1088="",DefaultPerf,Raw_Data!I1088)</f>
        <v>3</v>
      </c>
      <c r="J1088" s="13" t="n">
        <f aca="false">IF(Raw_Data!J1088="",DefaultSat,Raw_Data!J1088)</f>
        <v>3</v>
      </c>
      <c r="K1088" s="15" t="n">
        <f aca="false">Raw_Data!K1088</f>
        <v>111500</v>
      </c>
      <c r="L1088" s="13" t="str">
        <f aca="false">PROPER(TRIM(Raw_Data!N1088))</f>
        <v>Yes</v>
      </c>
      <c r="M1088" s="13" t="n">
        <f aca="false">IF(C1088="",0,1)</f>
        <v>0</v>
      </c>
      <c r="N1088" s="13" t="str">
        <f aca="false">IF(M1088=0,"Active",IF(TRIM(Raw_Data!L1088)="","Unknown",PROPER(TRIM(Raw_Data!L1088))))</f>
        <v>Active</v>
      </c>
      <c r="O1088" s="13" t="str">
        <f aca="false">IF(M1088=0,"",IF(TRIM(Raw_Data!M1088)="","Not Recorded",TRIM(Raw_Data!M1088)))</f>
        <v/>
      </c>
      <c r="P1088" s="16" t="n">
        <f aca="false">ROUND((IF(C1088="",AsOfDate,C1088)-B1088)/365.25,2)</f>
        <v>4.93</v>
      </c>
      <c r="Q1088" s="13" t="str">
        <f aca="false">IF(D1088="","Unknown",IF(D1088&lt;25,"Under 25",IF(D1088&lt;35,"25-34",IF(D1088&lt;45,"35-44",IF(D1088&lt;55,"45-54","55+")))))</f>
        <v>25-34</v>
      </c>
      <c r="R1088" s="13" t="str">
        <f aca="false">IF(P1088&lt;1,"0-1 yrs",IF(P1088&lt;3,"1-3 yrs",IF(P1088&lt;5,"3-5 yrs",IF(P1088&lt;10,"5-10 yrs","10+ yrs"))))</f>
        <v>3-5 yrs</v>
      </c>
      <c r="S1088" s="13" t="str">
        <f aca="false">IF(I1088&gt;=4,"High",IF(I1088=3,"Medium","Low"))</f>
        <v>Medium</v>
      </c>
      <c r="T1088" s="13" t="str">
        <f aca="false">IF(M1088=1,YEAR(C1088),"")</f>
        <v/>
      </c>
      <c r="U1088" s="13" t="str">
        <f aca="false">IF(M1088=1,YEAR(C1088)&amp;"-Q"&amp;ROUNDUP(MONTH(C1088)/3,0),"")</f>
        <v/>
      </c>
      <c r="V1088" s="13" t="str">
        <f aca="false">IF(M1088=1,MONTH(C1088),"")</f>
        <v/>
      </c>
    </row>
    <row r="1089" customFormat="false" ht="15" hidden="false" customHeight="false" outlineLevel="0" collapsed="false">
      <c r="A1089" s="13" t="str">
        <f aca="false">TRIM(Raw_Data!A1089)</f>
        <v>EMP1088</v>
      </c>
      <c r="B1089" s="14" t="n">
        <f aca="false">Raw_Data!B1089</f>
        <v>44228</v>
      </c>
      <c r="C1089" s="14" t="n">
        <f aca="false">IF(Raw_Data!C1089="","",Raw_Data!C1089)</f>
        <v>44939</v>
      </c>
      <c r="D1089" s="13" t="n">
        <f aca="false">IF(Raw_Data!D1089="","",Raw_Data!D1089)</f>
        <v>30</v>
      </c>
      <c r="E1089" s="13" t="str">
        <f aca="false">IF(UPPER(LEFT(TRIM(Raw_Data!E1089),1))="M","Male",IF(UPPER(LEFT(TRIM(Raw_Data!E1089),1))="F","Female","Unknown"))</f>
        <v>Female</v>
      </c>
      <c r="F1089" s="13" t="str">
        <f aca="false">PROPER(TRIM(SUBSTITUTE(Raw_Data!F1089,"'","")))</f>
        <v>Bachelors</v>
      </c>
      <c r="G1089" s="13" t="str">
        <f aca="false">PROPER(TRIM(Raw_Data!G1089))</f>
        <v>Engineering</v>
      </c>
      <c r="H1089" s="13" t="str">
        <f aca="false">PROPER(TRIM(Raw_Data!H1089))</f>
        <v>Senior Analyst</v>
      </c>
      <c r="I1089" s="13" t="n">
        <f aca="false">IF(Raw_Data!I1089="",DefaultPerf,Raw_Data!I1089)</f>
        <v>3</v>
      </c>
      <c r="J1089" s="13" t="n">
        <f aca="false">IF(Raw_Data!J1089="",DefaultSat,Raw_Data!J1089)</f>
        <v>3</v>
      </c>
      <c r="K1089" s="15" t="n">
        <f aca="false">Raw_Data!K1089</f>
        <v>99000</v>
      </c>
      <c r="L1089" s="13" t="str">
        <f aca="false">PROPER(TRIM(Raw_Data!N1089))</f>
        <v>Yes</v>
      </c>
      <c r="M1089" s="13" t="n">
        <f aca="false">IF(C1089="",0,1)</f>
        <v>1</v>
      </c>
      <c r="N1089" s="13" t="str">
        <f aca="false">IF(M1089=0,"Active",IF(TRIM(Raw_Data!L1089)="","Unknown",PROPER(TRIM(Raw_Data!L1089))))</f>
        <v>Voluntary</v>
      </c>
      <c r="O1089" s="13" t="str">
        <f aca="false">IF(M1089=0,"",IF(TRIM(Raw_Data!M1089)="","Not Recorded",TRIM(Raw_Data!M1089)))</f>
        <v>Work-Life Balance</v>
      </c>
      <c r="P1089" s="16" t="n">
        <f aca="false">ROUND((IF(C1089="",AsOfDate,C1089)-B1089)/365.25,2)</f>
        <v>1.95</v>
      </c>
      <c r="Q1089" s="13" t="str">
        <f aca="false">IF(D1089="","Unknown",IF(D1089&lt;25,"Under 25",IF(D1089&lt;35,"25-34",IF(D1089&lt;45,"35-44",IF(D1089&lt;55,"45-54","55+")))))</f>
        <v>25-34</v>
      </c>
      <c r="R1089" s="13" t="str">
        <f aca="false">IF(P1089&lt;1,"0-1 yrs",IF(P1089&lt;3,"1-3 yrs",IF(P1089&lt;5,"3-5 yrs",IF(P1089&lt;10,"5-10 yrs","10+ yrs"))))</f>
        <v>1-3 yrs</v>
      </c>
      <c r="S1089" s="13" t="str">
        <f aca="false">IF(I1089&gt;=4,"High",IF(I1089=3,"Medium","Low"))</f>
        <v>Medium</v>
      </c>
      <c r="T1089" s="13" t="n">
        <f aca="false">IF(M1089=1,YEAR(C1089),"")</f>
        <v>2023</v>
      </c>
      <c r="U1089" s="13" t="str">
        <f aca="false">IF(M1089=1,YEAR(C1089)&amp;"-Q"&amp;ROUNDUP(MONTH(C1089)/3,0),"")</f>
        <v>2023-Q1</v>
      </c>
      <c r="V1089" s="13" t="n">
        <f aca="false">IF(M1089=1,MONTH(C1089),"")</f>
        <v>1</v>
      </c>
    </row>
    <row r="1090" customFormat="false" ht="15" hidden="false" customHeight="false" outlineLevel="0" collapsed="false">
      <c r="A1090" s="13" t="str">
        <f aca="false">TRIM(Raw_Data!A1090)</f>
        <v>EMP1089</v>
      </c>
      <c r="B1090" s="14" t="n">
        <f aca="false">Raw_Data!B1090</f>
        <v>44229</v>
      </c>
      <c r="C1090" s="14" t="str">
        <f aca="false">IF(Raw_Data!C1090="","",Raw_Data!C1090)</f>
        <v/>
      </c>
      <c r="D1090" s="13" t="n">
        <f aca="false">IF(Raw_Data!D1090="","",Raw_Data!D1090)</f>
        <v>30</v>
      </c>
      <c r="E1090" s="13" t="str">
        <f aca="false">IF(UPPER(LEFT(TRIM(Raw_Data!E1090),1))="M","Male",IF(UPPER(LEFT(TRIM(Raw_Data!E1090),1))="F","Female","Unknown"))</f>
        <v>Male</v>
      </c>
      <c r="F1090" s="13" t="str">
        <f aca="false">PROPER(TRIM(SUBSTITUTE(Raw_Data!F1090,"'","")))</f>
        <v>Bachelors</v>
      </c>
      <c r="G1090" s="13" t="str">
        <f aca="false">PROPER(TRIM(Raw_Data!G1090))</f>
        <v>Engineering</v>
      </c>
      <c r="H1090" s="13" t="str">
        <f aca="false">PROPER(TRIM(Raw_Data!H1090))</f>
        <v>Senior Analyst</v>
      </c>
      <c r="I1090" s="13" t="n">
        <f aca="false">IF(Raw_Data!I1090="",DefaultPerf,Raw_Data!I1090)</f>
        <v>1</v>
      </c>
      <c r="J1090" s="13" t="n">
        <f aca="false">IF(Raw_Data!J1090="",DefaultSat,Raw_Data!J1090)</f>
        <v>4</v>
      </c>
      <c r="K1090" s="15" t="n">
        <f aca="false">Raw_Data!K1090</f>
        <v>96500</v>
      </c>
      <c r="L1090" s="13" t="str">
        <f aca="false">PROPER(TRIM(Raw_Data!N1090))</f>
        <v>No</v>
      </c>
      <c r="M1090" s="13" t="n">
        <f aca="false">IF(C1090="",0,1)</f>
        <v>0</v>
      </c>
      <c r="N1090" s="13" t="str">
        <f aca="false">IF(M1090=0,"Active",IF(TRIM(Raw_Data!L1090)="","Unknown",PROPER(TRIM(Raw_Data!L1090))))</f>
        <v>Active</v>
      </c>
      <c r="O1090" s="13" t="str">
        <f aca="false">IF(M1090=0,"",IF(TRIM(Raw_Data!M1090)="","Not Recorded",TRIM(Raw_Data!M1090)))</f>
        <v/>
      </c>
      <c r="P1090" s="16" t="n">
        <f aca="false">ROUND((IF(C1090="",AsOfDate,C1090)-B1090)/365.25,2)</f>
        <v>4.91</v>
      </c>
      <c r="Q1090" s="13" t="str">
        <f aca="false">IF(D1090="","Unknown",IF(D1090&lt;25,"Under 25",IF(D1090&lt;35,"25-34",IF(D1090&lt;45,"35-44",IF(D1090&lt;55,"45-54","55+")))))</f>
        <v>25-34</v>
      </c>
      <c r="R1090" s="13" t="str">
        <f aca="false">IF(P1090&lt;1,"0-1 yrs",IF(P1090&lt;3,"1-3 yrs",IF(P1090&lt;5,"3-5 yrs",IF(P1090&lt;10,"5-10 yrs","10+ yrs"))))</f>
        <v>3-5 yrs</v>
      </c>
      <c r="S1090" s="13" t="str">
        <f aca="false">IF(I1090&gt;=4,"High",IF(I1090=3,"Medium","Low"))</f>
        <v>Low</v>
      </c>
      <c r="T1090" s="13" t="str">
        <f aca="false">IF(M1090=1,YEAR(C1090),"")</f>
        <v/>
      </c>
      <c r="U1090" s="13" t="str">
        <f aca="false">IF(M1090=1,YEAR(C1090)&amp;"-Q"&amp;ROUNDUP(MONTH(C1090)/3,0),"")</f>
        <v/>
      </c>
      <c r="V1090" s="13" t="str">
        <f aca="false">IF(M1090=1,MONTH(C1090),"")</f>
        <v/>
      </c>
    </row>
    <row r="1091" customFormat="false" ht="15" hidden="false" customHeight="false" outlineLevel="0" collapsed="false">
      <c r="A1091" s="13" t="str">
        <f aca="false">TRIM(Raw_Data!A1091)</f>
        <v>EMP1090</v>
      </c>
      <c r="B1091" s="14" t="n">
        <f aca="false">Raw_Data!B1091</f>
        <v>44232</v>
      </c>
      <c r="C1091" s="14" t="str">
        <f aca="false">IF(Raw_Data!C1091="","",Raw_Data!C1091)</f>
        <v/>
      </c>
      <c r="D1091" s="13" t="n">
        <f aca="false">IF(Raw_Data!D1091="","",Raw_Data!D1091)</f>
        <v>34</v>
      </c>
      <c r="E1091" s="13" t="str">
        <f aca="false">IF(UPPER(LEFT(TRIM(Raw_Data!E1091),1))="M","Male",IF(UPPER(LEFT(TRIM(Raw_Data!E1091),1))="F","Female","Unknown"))</f>
        <v>Male</v>
      </c>
      <c r="F1091" s="13" t="str">
        <f aca="false">PROPER(TRIM(SUBSTITUTE(Raw_Data!F1091,"'","")))</f>
        <v>Masters</v>
      </c>
      <c r="G1091" s="13" t="str">
        <f aca="false">PROPER(TRIM(Raw_Data!G1091))</f>
        <v>Customer Support</v>
      </c>
      <c r="H1091" s="13" t="str">
        <f aca="false">PROPER(TRIM(Raw_Data!H1091))</f>
        <v>Associate</v>
      </c>
      <c r="I1091" s="17" t="n">
        <f aca="false">IF(Raw_Data!I1091="",DefaultPerf,Raw_Data!I1091)</f>
        <v>3</v>
      </c>
      <c r="J1091" s="13" t="n">
        <f aca="false">IF(Raw_Data!J1091="",DefaultSat,Raw_Data!J1091)</f>
        <v>3</v>
      </c>
      <c r="K1091" s="15" t="n">
        <f aca="false">Raw_Data!K1091</f>
        <v>42000</v>
      </c>
      <c r="L1091" s="13" t="str">
        <f aca="false">PROPER(TRIM(Raw_Data!N1091))</f>
        <v>Yes</v>
      </c>
      <c r="M1091" s="13" t="n">
        <f aca="false">IF(C1091="",0,1)</f>
        <v>0</v>
      </c>
      <c r="N1091" s="13" t="str">
        <f aca="false">IF(M1091=0,"Active",IF(TRIM(Raw_Data!L1091)="","Unknown",PROPER(TRIM(Raw_Data!L1091))))</f>
        <v>Active</v>
      </c>
      <c r="O1091" s="13" t="str">
        <f aca="false">IF(M1091=0,"",IF(TRIM(Raw_Data!M1091)="","Not Recorded",TRIM(Raw_Data!M1091)))</f>
        <v/>
      </c>
      <c r="P1091" s="16" t="n">
        <f aca="false">ROUND((IF(C1091="",AsOfDate,C1091)-B1091)/365.25,2)</f>
        <v>4.9</v>
      </c>
      <c r="Q1091" s="13" t="str">
        <f aca="false">IF(D1091="","Unknown",IF(D1091&lt;25,"Under 25",IF(D1091&lt;35,"25-34",IF(D1091&lt;45,"35-44",IF(D1091&lt;55,"45-54","55+")))))</f>
        <v>25-34</v>
      </c>
      <c r="R1091" s="13" t="str">
        <f aca="false">IF(P1091&lt;1,"0-1 yrs",IF(P1091&lt;3,"1-3 yrs",IF(P1091&lt;5,"3-5 yrs",IF(P1091&lt;10,"5-10 yrs","10+ yrs"))))</f>
        <v>3-5 yrs</v>
      </c>
      <c r="S1091" s="13" t="str">
        <f aca="false">IF(I1091&gt;=4,"High",IF(I1091=3,"Medium","Low"))</f>
        <v>Medium</v>
      </c>
      <c r="T1091" s="13" t="str">
        <f aca="false">IF(M1091=1,YEAR(C1091),"")</f>
        <v/>
      </c>
      <c r="U1091" s="13" t="str">
        <f aca="false">IF(M1091=1,YEAR(C1091)&amp;"-Q"&amp;ROUNDUP(MONTH(C1091)/3,0),"")</f>
        <v/>
      </c>
      <c r="V1091" s="13" t="str">
        <f aca="false">IF(M1091=1,MONTH(C1091),"")</f>
        <v/>
      </c>
    </row>
    <row r="1092" customFormat="false" ht="15" hidden="false" customHeight="false" outlineLevel="0" collapsed="false">
      <c r="A1092" s="13" t="str">
        <f aca="false">TRIM(Raw_Data!A1092)</f>
        <v>EMP1091</v>
      </c>
      <c r="B1092" s="14" t="n">
        <f aca="false">Raw_Data!B1092</f>
        <v>44233</v>
      </c>
      <c r="C1092" s="14" t="str">
        <f aca="false">IF(Raw_Data!C1092="","",Raw_Data!C1092)</f>
        <v/>
      </c>
      <c r="D1092" s="13" t="n">
        <f aca="false">IF(Raw_Data!D1092="","",Raw_Data!D1092)</f>
        <v>29</v>
      </c>
      <c r="E1092" s="13" t="str">
        <f aca="false">IF(UPPER(LEFT(TRIM(Raw_Data!E1092),1))="M","Male",IF(UPPER(LEFT(TRIM(Raw_Data!E1092),1))="F","Female","Unknown"))</f>
        <v>Male</v>
      </c>
      <c r="F1092" s="13" t="str">
        <f aca="false">PROPER(TRIM(SUBSTITUTE(Raw_Data!F1092,"'","")))</f>
        <v>Bachelors</v>
      </c>
      <c r="G1092" s="13" t="str">
        <f aca="false">PROPER(TRIM(Raw_Data!G1092))</f>
        <v>Operations</v>
      </c>
      <c r="H1092" s="13" t="str">
        <f aca="false">PROPER(TRIM(Raw_Data!H1092))</f>
        <v>Analyst</v>
      </c>
      <c r="I1092" s="13" t="n">
        <f aca="false">IF(Raw_Data!I1092="",DefaultPerf,Raw_Data!I1092)</f>
        <v>4</v>
      </c>
      <c r="J1092" s="13" t="n">
        <f aca="false">IF(Raw_Data!J1092="",DefaultSat,Raw_Data!J1092)</f>
        <v>4</v>
      </c>
      <c r="K1092" s="15" t="n">
        <f aca="false">Raw_Data!K1092</f>
        <v>73500</v>
      </c>
      <c r="L1092" s="13" t="str">
        <f aca="false">PROPER(TRIM(Raw_Data!N1092))</f>
        <v>No</v>
      </c>
      <c r="M1092" s="13" t="n">
        <f aca="false">IF(C1092="",0,1)</f>
        <v>0</v>
      </c>
      <c r="N1092" s="13" t="str">
        <f aca="false">IF(M1092=0,"Active",IF(TRIM(Raw_Data!L1092)="","Unknown",PROPER(TRIM(Raw_Data!L1092))))</f>
        <v>Active</v>
      </c>
      <c r="O1092" s="13" t="str">
        <f aca="false">IF(M1092=0,"",IF(TRIM(Raw_Data!M1092)="","Not Recorded",TRIM(Raw_Data!M1092)))</f>
        <v/>
      </c>
      <c r="P1092" s="16" t="n">
        <f aca="false">ROUND((IF(C1092="",AsOfDate,C1092)-B1092)/365.25,2)</f>
        <v>4.9</v>
      </c>
      <c r="Q1092" s="13" t="str">
        <f aca="false">IF(D1092="","Unknown",IF(D1092&lt;25,"Under 25",IF(D1092&lt;35,"25-34",IF(D1092&lt;45,"35-44",IF(D1092&lt;55,"45-54","55+")))))</f>
        <v>25-34</v>
      </c>
      <c r="R1092" s="13" t="str">
        <f aca="false">IF(P1092&lt;1,"0-1 yrs",IF(P1092&lt;3,"1-3 yrs",IF(P1092&lt;5,"3-5 yrs",IF(P1092&lt;10,"5-10 yrs","10+ yrs"))))</f>
        <v>3-5 yrs</v>
      </c>
      <c r="S1092" s="13" t="str">
        <f aca="false">IF(I1092&gt;=4,"High",IF(I1092=3,"Medium","Low"))</f>
        <v>High</v>
      </c>
      <c r="T1092" s="13" t="str">
        <f aca="false">IF(M1092=1,YEAR(C1092),"")</f>
        <v/>
      </c>
      <c r="U1092" s="13" t="str">
        <f aca="false">IF(M1092=1,YEAR(C1092)&amp;"-Q"&amp;ROUNDUP(MONTH(C1092)/3,0),"")</f>
        <v/>
      </c>
      <c r="V1092" s="13" t="str">
        <f aca="false">IF(M1092=1,MONTH(C1092),"")</f>
        <v/>
      </c>
    </row>
    <row r="1093" customFormat="false" ht="15" hidden="false" customHeight="false" outlineLevel="0" collapsed="false">
      <c r="A1093" s="13" t="str">
        <f aca="false">TRIM(Raw_Data!A1093)</f>
        <v>EMP1092</v>
      </c>
      <c r="B1093" s="14" t="n">
        <f aca="false">Raw_Data!B1093</f>
        <v>44234</v>
      </c>
      <c r="C1093" s="14" t="str">
        <f aca="false">IF(Raw_Data!C1093="","",Raw_Data!C1093)</f>
        <v/>
      </c>
      <c r="D1093" s="13" t="n">
        <f aca="false">IF(Raw_Data!D1093="","",Raw_Data!D1093)</f>
        <v>45</v>
      </c>
      <c r="E1093" s="13" t="str">
        <f aca="false">IF(UPPER(LEFT(TRIM(Raw_Data!E1093),1))="M","Male",IF(UPPER(LEFT(TRIM(Raw_Data!E1093),1))="F","Female","Unknown"))</f>
        <v>Female</v>
      </c>
      <c r="F1093" s="13" t="str">
        <f aca="false">PROPER(TRIM(SUBSTITUTE(Raw_Data!F1093,"'","")))</f>
        <v>Masters</v>
      </c>
      <c r="G1093" s="13" t="str">
        <f aca="false">PROPER(TRIM(Raw_Data!G1093))</f>
        <v>Sales</v>
      </c>
      <c r="H1093" s="13" t="str">
        <f aca="false">PROPER(TRIM(Raw_Data!H1093))</f>
        <v>Analyst</v>
      </c>
      <c r="I1093" s="13" t="n">
        <f aca="false">IF(Raw_Data!I1093="",DefaultPerf,Raw_Data!I1093)</f>
        <v>3</v>
      </c>
      <c r="J1093" s="13" t="n">
        <f aca="false">IF(Raw_Data!J1093="",DefaultSat,Raw_Data!J1093)</f>
        <v>3</v>
      </c>
      <c r="K1093" s="15" t="n">
        <f aca="false">Raw_Data!K1093</f>
        <v>65500</v>
      </c>
      <c r="L1093" s="13" t="str">
        <f aca="false">PROPER(TRIM(Raw_Data!N1093))</f>
        <v>No</v>
      </c>
      <c r="M1093" s="13" t="n">
        <f aca="false">IF(C1093="",0,1)</f>
        <v>0</v>
      </c>
      <c r="N1093" s="13" t="str">
        <f aca="false">IF(M1093=0,"Active",IF(TRIM(Raw_Data!L1093)="","Unknown",PROPER(TRIM(Raw_Data!L1093))))</f>
        <v>Active</v>
      </c>
      <c r="O1093" s="13" t="str">
        <f aca="false">IF(M1093=0,"",IF(TRIM(Raw_Data!M1093)="","Not Recorded",TRIM(Raw_Data!M1093)))</f>
        <v/>
      </c>
      <c r="P1093" s="16" t="n">
        <f aca="false">ROUND((IF(C1093="",AsOfDate,C1093)-B1093)/365.25,2)</f>
        <v>4.9</v>
      </c>
      <c r="Q1093" s="13" t="str">
        <f aca="false">IF(D1093="","Unknown",IF(D1093&lt;25,"Under 25",IF(D1093&lt;35,"25-34",IF(D1093&lt;45,"35-44",IF(D1093&lt;55,"45-54","55+")))))</f>
        <v>45-54</v>
      </c>
      <c r="R1093" s="13" t="str">
        <f aca="false">IF(P1093&lt;1,"0-1 yrs",IF(P1093&lt;3,"1-3 yrs",IF(P1093&lt;5,"3-5 yrs",IF(P1093&lt;10,"5-10 yrs","10+ yrs"))))</f>
        <v>3-5 yrs</v>
      </c>
      <c r="S1093" s="13" t="str">
        <f aca="false">IF(I1093&gt;=4,"High",IF(I1093=3,"Medium","Low"))</f>
        <v>Medium</v>
      </c>
      <c r="T1093" s="13" t="str">
        <f aca="false">IF(M1093=1,YEAR(C1093),"")</f>
        <v/>
      </c>
      <c r="U1093" s="13" t="str">
        <f aca="false">IF(M1093=1,YEAR(C1093)&amp;"-Q"&amp;ROUNDUP(MONTH(C1093)/3,0),"")</f>
        <v/>
      </c>
      <c r="V1093" s="13" t="str">
        <f aca="false">IF(M1093=1,MONTH(C1093),"")</f>
        <v/>
      </c>
    </row>
    <row r="1094" customFormat="false" ht="15" hidden="false" customHeight="false" outlineLevel="0" collapsed="false">
      <c r="A1094" s="13" t="str">
        <f aca="false">TRIM(Raw_Data!A1094)</f>
        <v>EMP1093</v>
      </c>
      <c r="B1094" s="14" t="n">
        <f aca="false">Raw_Data!B1094</f>
        <v>44234</v>
      </c>
      <c r="C1094" s="14" t="n">
        <f aca="false">IF(Raw_Data!C1094="","",Raw_Data!C1094)</f>
        <v>44649</v>
      </c>
      <c r="D1094" s="13" t="n">
        <f aca="false">IF(Raw_Data!D1094="","",Raw_Data!D1094)</f>
        <v>38</v>
      </c>
      <c r="E1094" s="13" t="str">
        <f aca="false">IF(UPPER(LEFT(TRIM(Raw_Data!E1094),1))="M","Male",IF(UPPER(LEFT(TRIM(Raw_Data!E1094),1))="F","Female","Unknown"))</f>
        <v>Female</v>
      </c>
      <c r="F1094" s="13" t="str">
        <f aca="false">PROPER(TRIM(SUBSTITUTE(Raw_Data!F1094,"'","")))</f>
        <v>Diploma</v>
      </c>
      <c r="G1094" s="13" t="str">
        <f aca="false">PROPER(TRIM(Raw_Data!G1094))</f>
        <v>Operations</v>
      </c>
      <c r="H1094" s="13" t="str">
        <f aca="false">PROPER(TRIM(Raw_Data!H1094))</f>
        <v>Analyst</v>
      </c>
      <c r="I1094" s="13" t="n">
        <f aca="false">IF(Raw_Data!I1094="",DefaultPerf,Raw_Data!I1094)</f>
        <v>3</v>
      </c>
      <c r="J1094" s="13" t="n">
        <f aca="false">IF(Raw_Data!J1094="",DefaultSat,Raw_Data!J1094)</f>
        <v>1</v>
      </c>
      <c r="K1094" s="15" t="n">
        <f aca="false">Raw_Data!K1094</f>
        <v>64500</v>
      </c>
      <c r="L1094" s="13" t="str">
        <f aca="false">PROPER(TRIM(Raw_Data!N1094))</f>
        <v>Yes</v>
      </c>
      <c r="M1094" s="13" t="n">
        <f aca="false">IF(C1094="",0,1)</f>
        <v>1</v>
      </c>
      <c r="N1094" s="13" t="str">
        <f aca="false">IF(M1094=0,"Active",IF(TRIM(Raw_Data!L1094)="","Unknown",PROPER(TRIM(Raw_Data!L1094))))</f>
        <v>Voluntary</v>
      </c>
      <c r="O1094" s="13" t="str">
        <f aca="false">IF(M1094=0,"",IF(TRIM(Raw_Data!M1094)="","Not Recorded",TRIM(Raw_Data!M1094)))</f>
        <v>Career Growth</v>
      </c>
      <c r="P1094" s="16" t="n">
        <f aca="false">ROUND((IF(C1094="",AsOfDate,C1094)-B1094)/365.25,2)</f>
        <v>1.14</v>
      </c>
      <c r="Q1094" s="13" t="str">
        <f aca="false">IF(D1094="","Unknown",IF(D1094&lt;25,"Under 25",IF(D1094&lt;35,"25-34",IF(D1094&lt;45,"35-44",IF(D1094&lt;55,"45-54","55+")))))</f>
        <v>35-44</v>
      </c>
      <c r="R1094" s="13" t="str">
        <f aca="false">IF(P1094&lt;1,"0-1 yrs",IF(P1094&lt;3,"1-3 yrs",IF(P1094&lt;5,"3-5 yrs",IF(P1094&lt;10,"5-10 yrs","10+ yrs"))))</f>
        <v>1-3 yrs</v>
      </c>
      <c r="S1094" s="13" t="str">
        <f aca="false">IF(I1094&gt;=4,"High",IF(I1094=3,"Medium","Low"))</f>
        <v>Medium</v>
      </c>
      <c r="T1094" s="13" t="n">
        <f aca="false">IF(M1094=1,YEAR(C1094),"")</f>
        <v>2022</v>
      </c>
      <c r="U1094" s="13" t="str">
        <f aca="false">IF(M1094=1,YEAR(C1094)&amp;"-Q"&amp;ROUNDUP(MONTH(C1094)/3,0),"")</f>
        <v>2022-Q1</v>
      </c>
      <c r="V1094" s="13" t="n">
        <f aca="false">IF(M1094=1,MONTH(C1094),"")</f>
        <v>3</v>
      </c>
    </row>
    <row r="1095" customFormat="false" ht="15" hidden="false" customHeight="false" outlineLevel="0" collapsed="false">
      <c r="A1095" s="13" t="str">
        <f aca="false">TRIM(Raw_Data!A1095)</f>
        <v>EMP1094</v>
      </c>
      <c r="B1095" s="14" t="n">
        <f aca="false">Raw_Data!B1095</f>
        <v>44239</v>
      </c>
      <c r="C1095" s="14" t="str">
        <f aca="false">IF(Raw_Data!C1095="","",Raw_Data!C1095)</f>
        <v/>
      </c>
      <c r="D1095" s="13" t="n">
        <f aca="false">IF(Raw_Data!D1095="","",Raw_Data!D1095)</f>
        <v>46</v>
      </c>
      <c r="E1095" s="13" t="str">
        <f aca="false">IF(UPPER(LEFT(TRIM(Raw_Data!E1095),1))="M","Male",IF(UPPER(LEFT(TRIM(Raw_Data!E1095),1))="F","Female","Unknown"))</f>
        <v>Female</v>
      </c>
      <c r="F1095" s="13" t="str">
        <f aca="false">PROPER(TRIM(SUBSTITUTE(Raw_Data!F1095,"'","")))</f>
        <v>Bachelors</v>
      </c>
      <c r="G1095" s="13" t="str">
        <f aca="false">PROPER(TRIM(Raw_Data!G1095))</f>
        <v>Sales</v>
      </c>
      <c r="H1095" s="13" t="str">
        <f aca="false">PROPER(TRIM(Raw_Data!H1095))</f>
        <v>Analyst</v>
      </c>
      <c r="I1095" s="13" t="n">
        <f aca="false">IF(Raw_Data!I1095="",DefaultPerf,Raw_Data!I1095)</f>
        <v>4</v>
      </c>
      <c r="J1095" s="13" t="n">
        <f aca="false">IF(Raw_Data!J1095="",DefaultSat,Raw_Data!J1095)</f>
        <v>4</v>
      </c>
      <c r="K1095" s="15" t="n">
        <f aca="false">Raw_Data!K1095</f>
        <v>64000</v>
      </c>
      <c r="L1095" s="13" t="str">
        <f aca="false">PROPER(TRIM(Raw_Data!N1095))</f>
        <v>Yes</v>
      </c>
      <c r="M1095" s="13" t="n">
        <f aca="false">IF(C1095="",0,1)</f>
        <v>0</v>
      </c>
      <c r="N1095" s="13" t="str">
        <f aca="false">IF(M1095=0,"Active",IF(TRIM(Raw_Data!L1095)="","Unknown",PROPER(TRIM(Raw_Data!L1095))))</f>
        <v>Active</v>
      </c>
      <c r="O1095" s="13" t="str">
        <f aca="false">IF(M1095=0,"",IF(TRIM(Raw_Data!M1095)="","Not Recorded",TRIM(Raw_Data!M1095)))</f>
        <v/>
      </c>
      <c r="P1095" s="16" t="n">
        <f aca="false">ROUND((IF(C1095="",AsOfDate,C1095)-B1095)/365.25,2)</f>
        <v>4.88</v>
      </c>
      <c r="Q1095" s="13" t="str">
        <f aca="false">IF(D1095="","Unknown",IF(D1095&lt;25,"Under 25",IF(D1095&lt;35,"25-34",IF(D1095&lt;45,"35-44",IF(D1095&lt;55,"45-54","55+")))))</f>
        <v>45-54</v>
      </c>
      <c r="R1095" s="13" t="str">
        <f aca="false">IF(P1095&lt;1,"0-1 yrs",IF(P1095&lt;3,"1-3 yrs",IF(P1095&lt;5,"3-5 yrs",IF(P1095&lt;10,"5-10 yrs","10+ yrs"))))</f>
        <v>3-5 yrs</v>
      </c>
      <c r="S1095" s="13" t="str">
        <f aca="false">IF(I1095&gt;=4,"High",IF(I1095=3,"Medium","Low"))</f>
        <v>High</v>
      </c>
      <c r="T1095" s="13" t="str">
        <f aca="false">IF(M1095=1,YEAR(C1095),"")</f>
        <v/>
      </c>
      <c r="U1095" s="13" t="str">
        <f aca="false">IF(M1095=1,YEAR(C1095)&amp;"-Q"&amp;ROUNDUP(MONTH(C1095)/3,0),"")</f>
        <v/>
      </c>
      <c r="V1095" s="13" t="str">
        <f aca="false">IF(M1095=1,MONTH(C1095),"")</f>
        <v/>
      </c>
    </row>
    <row r="1096" customFormat="false" ht="15" hidden="false" customHeight="false" outlineLevel="0" collapsed="false">
      <c r="A1096" s="13" t="str">
        <f aca="false">TRIM(Raw_Data!A1096)</f>
        <v>EMP1095</v>
      </c>
      <c r="B1096" s="14" t="n">
        <f aca="false">Raw_Data!B1096</f>
        <v>44240</v>
      </c>
      <c r="C1096" s="14" t="n">
        <f aca="false">IF(Raw_Data!C1096="","",Raw_Data!C1096)</f>
        <v>45457</v>
      </c>
      <c r="D1096" s="13" t="n">
        <f aca="false">IF(Raw_Data!D1096="","",Raw_Data!D1096)</f>
        <v>28</v>
      </c>
      <c r="E1096" s="13" t="str">
        <f aca="false">IF(UPPER(LEFT(TRIM(Raw_Data!E1096),1))="M","Male",IF(UPPER(LEFT(TRIM(Raw_Data!E1096),1))="F","Female","Unknown"))</f>
        <v>Female</v>
      </c>
      <c r="F1096" s="13" t="str">
        <f aca="false">PROPER(TRIM(SUBSTITUTE(Raw_Data!F1096,"'","")))</f>
        <v>Masters</v>
      </c>
      <c r="G1096" s="13" t="str">
        <f aca="false">PROPER(TRIM(Raw_Data!G1096))</f>
        <v>Engineering</v>
      </c>
      <c r="H1096" s="13" t="str">
        <f aca="false">PROPER(TRIM(Raw_Data!H1096))</f>
        <v>Associate</v>
      </c>
      <c r="I1096" s="13" t="n">
        <f aca="false">IF(Raw_Data!I1096="",DefaultPerf,Raw_Data!I1096)</f>
        <v>4</v>
      </c>
      <c r="J1096" s="13" t="n">
        <f aca="false">IF(Raw_Data!J1096="",DefaultSat,Raw_Data!J1096)</f>
        <v>3</v>
      </c>
      <c r="K1096" s="15" t="n">
        <f aca="false">Raw_Data!K1096</f>
        <v>43500</v>
      </c>
      <c r="L1096" s="13" t="str">
        <f aca="false">PROPER(TRIM(Raw_Data!N1096))</f>
        <v>No</v>
      </c>
      <c r="M1096" s="13" t="n">
        <f aca="false">IF(C1096="",0,1)</f>
        <v>1</v>
      </c>
      <c r="N1096" s="13" t="str">
        <f aca="false">IF(M1096=0,"Active",IF(TRIM(Raw_Data!L1096)="","Unknown",PROPER(TRIM(Raw_Data!L1096))))</f>
        <v>Voluntary</v>
      </c>
      <c r="O1096" s="13" t="str">
        <f aca="false">IF(M1096=0,"",IF(TRIM(Raw_Data!M1096)="","Not Recorded",TRIM(Raw_Data!M1096)))</f>
        <v>Manager Issues</v>
      </c>
      <c r="P1096" s="16" t="n">
        <f aca="false">ROUND((IF(C1096="",AsOfDate,C1096)-B1096)/365.25,2)</f>
        <v>3.33</v>
      </c>
      <c r="Q1096" s="13" t="str">
        <f aca="false">IF(D1096="","Unknown",IF(D1096&lt;25,"Under 25",IF(D1096&lt;35,"25-34",IF(D1096&lt;45,"35-44",IF(D1096&lt;55,"45-54","55+")))))</f>
        <v>25-34</v>
      </c>
      <c r="R1096" s="13" t="str">
        <f aca="false">IF(P1096&lt;1,"0-1 yrs",IF(P1096&lt;3,"1-3 yrs",IF(P1096&lt;5,"3-5 yrs",IF(P1096&lt;10,"5-10 yrs","10+ yrs"))))</f>
        <v>3-5 yrs</v>
      </c>
      <c r="S1096" s="13" t="str">
        <f aca="false">IF(I1096&gt;=4,"High",IF(I1096=3,"Medium","Low"))</f>
        <v>High</v>
      </c>
      <c r="T1096" s="13" t="n">
        <f aca="false">IF(M1096=1,YEAR(C1096),"")</f>
        <v>2024</v>
      </c>
      <c r="U1096" s="13" t="str">
        <f aca="false">IF(M1096=1,YEAR(C1096)&amp;"-Q"&amp;ROUNDUP(MONTH(C1096)/3,0),"")</f>
        <v>2024-Q2</v>
      </c>
      <c r="V1096" s="13" t="n">
        <f aca="false">IF(M1096=1,MONTH(C1096),"")</f>
        <v>6</v>
      </c>
    </row>
    <row r="1097" customFormat="false" ht="15" hidden="false" customHeight="false" outlineLevel="0" collapsed="false">
      <c r="A1097" s="13" t="str">
        <f aca="false">TRIM(Raw_Data!A1097)</f>
        <v>EMP1096</v>
      </c>
      <c r="B1097" s="14" t="n">
        <f aca="false">Raw_Data!B1097</f>
        <v>44241</v>
      </c>
      <c r="C1097" s="14" t="n">
        <f aca="false">IF(Raw_Data!C1097="","",Raw_Data!C1097)</f>
        <v>44674</v>
      </c>
      <c r="D1097" s="13" t="n">
        <f aca="false">IF(Raw_Data!D1097="","",Raw_Data!D1097)</f>
        <v>29</v>
      </c>
      <c r="E1097" s="13" t="str">
        <f aca="false">IF(UPPER(LEFT(TRIM(Raw_Data!E1097),1))="M","Male",IF(UPPER(LEFT(TRIM(Raw_Data!E1097),1))="F","Female","Unknown"))</f>
        <v>Female</v>
      </c>
      <c r="F1097" s="13" t="str">
        <f aca="false">PROPER(TRIM(SUBSTITUTE(Raw_Data!F1097,"'","")))</f>
        <v>Diploma</v>
      </c>
      <c r="G1097" s="13" t="str">
        <f aca="false">PROPER(TRIM(Raw_Data!G1097))</f>
        <v>Operations</v>
      </c>
      <c r="H1097" s="13" t="str">
        <f aca="false">PROPER(TRIM(Raw_Data!H1097))</f>
        <v>Analyst</v>
      </c>
      <c r="I1097" s="13" t="n">
        <f aca="false">IF(Raw_Data!I1097="",DefaultPerf,Raw_Data!I1097)</f>
        <v>4</v>
      </c>
      <c r="J1097" s="13" t="n">
        <f aca="false">IF(Raw_Data!J1097="",DefaultSat,Raw_Data!J1097)</f>
        <v>4</v>
      </c>
      <c r="K1097" s="15" t="n">
        <f aca="false">Raw_Data!K1097</f>
        <v>58000</v>
      </c>
      <c r="L1097" s="13" t="str">
        <f aca="false">PROPER(TRIM(Raw_Data!N1097))</f>
        <v>No</v>
      </c>
      <c r="M1097" s="13" t="n">
        <f aca="false">IF(C1097="",0,1)</f>
        <v>1</v>
      </c>
      <c r="N1097" s="13" t="str">
        <f aca="false">IF(M1097=0,"Active",IF(TRIM(Raw_Data!L1097)="","Unknown",PROPER(TRIM(Raw_Data!L1097))))</f>
        <v>Voluntary</v>
      </c>
      <c r="O1097" s="13" t="str">
        <f aca="false">IF(M1097=0,"",IF(TRIM(Raw_Data!M1097)="","Not Recorded",TRIM(Raw_Data!M1097)))</f>
        <v>Career Growth</v>
      </c>
      <c r="P1097" s="16" t="n">
        <f aca="false">ROUND((IF(C1097="",AsOfDate,C1097)-B1097)/365.25,2)</f>
        <v>1.19</v>
      </c>
      <c r="Q1097" s="13" t="str">
        <f aca="false">IF(D1097="","Unknown",IF(D1097&lt;25,"Under 25",IF(D1097&lt;35,"25-34",IF(D1097&lt;45,"35-44",IF(D1097&lt;55,"45-54","55+")))))</f>
        <v>25-34</v>
      </c>
      <c r="R1097" s="13" t="str">
        <f aca="false">IF(P1097&lt;1,"0-1 yrs",IF(P1097&lt;3,"1-3 yrs",IF(P1097&lt;5,"3-5 yrs",IF(P1097&lt;10,"5-10 yrs","10+ yrs"))))</f>
        <v>1-3 yrs</v>
      </c>
      <c r="S1097" s="13" t="str">
        <f aca="false">IF(I1097&gt;=4,"High",IF(I1097=3,"Medium","Low"))</f>
        <v>High</v>
      </c>
      <c r="T1097" s="13" t="n">
        <f aca="false">IF(M1097=1,YEAR(C1097),"")</f>
        <v>2022</v>
      </c>
      <c r="U1097" s="13" t="str">
        <f aca="false">IF(M1097=1,YEAR(C1097)&amp;"-Q"&amp;ROUNDUP(MONTH(C1097)/3,0),"")</f>
        <v>2022-Q2</v>
      </c>
      <c r="V1097" s="13" t="n">
        <f aca="false">IF(M1097=1,MONTH(C1097),"")</f>
        <v>4</v>
      </c>
    </row>
    <row r="1098" customFormat="false" ht="15" hidden="false" customHeight="false" outlineLevel="0" collapsed="false">
      <c r="A1098" s="13" t="str">
        <f aca="false">TRIM(Raw_Data!A1098)</f>
        <v>EMP1097</v>
      </c>
      <c r="B1098" s="14" t="n">
        <f aca="false">Raw_Data!B1098</f>
        <v>44245</v>
      </c>
      <c r="C1098" s="14" t="n">
        <f aca="false">IF(Raw_Data!C1098="","",Raw_Data!C1098)</f>
        <v>45347</v>
      </c>
      <c r="D1098" s="13" t="n">
        <f aca="false">IF(Raw_Data!D1098="","",Raw_Data!D1098)</f>
        <v>26</v>
      </c>
      <c r="E1098" s="13" t="str">
        <f aca="false">IF(UPPER(LEFT(TRIM(Raw_Data!E1098),1))="M","Male",IF(UPPER(LEFT(TRIM(Raw_Data!E1098),1))="F","Female","Unknown"))</f>
        <v>Female</v>
      </c>
      <c r="F1098" s="13" t="str">
        <f aca="false">PROPER(TRIM(SUBSTITUTE(Raw_Data!F1098,"'","")))</f>
        <v>High School</v>
      </c>
      <c r="G1098" s="13" t="str">
        <f aca="false">PROPER(TRIM(Raw_Data!G1098))</f>
        <v>Sales</v>
      </c>
      <c r="H1098" s="13" t="str">
        <f aca="false">PROPER(TRIM(Raw_Data!H1098))</f>
        <v>Specialist</v>
      </c>
      <c r="I1098" s="13" t="n">
        <f aca="false">IF(Raw_Data!I1098="",DefaultPerf,Raw_Data!I1098)</f>
        <v>4</v>
      </c>
      <c r="J1098" s="13" t="n">
        <f aca="false">IF(Raw_Data!J1098="",DefaultSat,Raw_Data!J1098)</f>
        <v>3</v>
      </c>
      <c r="K1098" s="15" t="n">
        <f aca="false">Raw_Data!K1098</f>
        <v>101500</v>
      </c>
      <c r="L1098" s="13" t="str">
        <f aca="false">PROPER(TRIM(Raw_Data!N1098))</f>
        <v>No</v>
      </c>
      <c r="M1098" s="13" t="n">
        <f aca="false">IF(C1098="",0,1)</f>
        <v>1</v>
      </c>
      <c r="N1098" s="13" t="str">
        <f aca="false">IF(M1098=0,"Active",IF(TRIM(Raw_Data!L1098)="","Unknown",PROPER(TRIM(Raw_Data!L1098))))</f>
        <v>Voluntary</v>
      </c>
      <c r="O1098" s="13" t="str">
        <f aca="false">IF(M1098=0,"",IF(TRIM(Raw_Data!M1098)="","Not Recorded",TRIM(Raw_Data!M1098)))</f>
        <v>Manager Issues</v>
      </c>
      <c r="P1098" s="16" t="n">
        <f aca="false">ROUND((IF(C1098="",AsOfDate,C1098)-B1098)/365.25,2)</f>
        <v>3.02</v>
      </c>
      <c r="Q1098" s="13" t="str">
        <f aca="false">IF(D1098="","Unknown",IF(D1098&lt;25,"Under 25",IF(D1098&lt;35,"25-34",IF(D1098&lt;45,"35-44",IF(D1098&lt;55,"45-54","55+")))))</f>
        <v>25-34</v>
      </c>
      <c r="R1098" s="13" t="str">
        <f aca="false">IF(P1098&lt;1,"0-1 yrs",IF(P1098&lt;3,"1-3 yrs",IF(P1098&lt;5,"3-5 yrs",IF(P1098&lt;10,"5-10 yrs","10+ yrs"))))</f>
        <v>3-5 yrs</v>
      </c>
      <c r="S1098" s="13" t="str">
        <f aca="false">IF(I1098&gt;=4,"High",IF(I1098=3,"Medium","Low"))</f>
        <v>High</v>
      </c>
      <c r="T1098" s="13" t="n">
        <f aca="false">IF(M1098=1,YEAR(C1098),"")</f>
        <v>2024</v>
      </c>
      <c r="U1098" s="13" t="str">
        <f aca="false">IF(M1098=1,YEAR(C1098)&amp;"-Q"&amp;ROUNDUP(MONTH(C1098)/3,0),"")</f>
        <v>2024-Q1</v>
      </c>
      <c r="V1098" s="13" t="n">
        <f aca="false">IF(M1098=1,MONTH(C1098),"")</f>
        <v>2</v>
      </c>
    </row>
    <row r="1099" customFormat="false" ht="15" hidden="false" customHeight="false" outlineLevel="0" collapsed="false">
      <c r="A1099" s="13" t="str">
        <f aca="false">TRIM(Raw_Data!A1099)</f>
        <v>EMP1098</v>
      </c>
      <c r="B1099" s="14" t="n">
        <f aca="false">Raw_Data!B1099</f>
        <v>44246</v>
      </c>
      <c r="C1099" s="14" t="str">
        <f aca="false">IF(Raw_Data!C1099="","",Raw_Data!C1099)</f>
        <v/>
      </c>
      <c r="D1099" s="13" t="n">
        <f aca="false">IF(Raw_Data!D1099="","",Raw_Data!D1099)</f>
        <v>36</v>
      </c>
      <c r="E1099" s="13" t="str">
        <f aca="false">IF(UPPER(LEFT(TRIM(Raw_Data!E1099),1))="M","Male",IF(UPPER(LEFT(TRIM(Raw_Data!E1099),1))="F","Female","Unknown"))</f>
        <v>Male</v>
      </c>
      <c r="F1099" s="13" t="str">
        <f aca="false">PROPER(TRIM(SUBSTITUTE(Raw_Data!F1099,"'","")))</f>
        <v>Bachelors</v>
      </c>
      <c r="G1099" s="13" t="str">
        <f aca="false">PROPER(TRIM(Raw_Data!G1099))</f>
        <v>Customer Support</v>
      </c>
      <c r="H1099" s="13" t="str">
        <f aca="false">PROPER(TRIM(Raw_Data!H1099))</f>
        <v>Senior Analyst</v>
      </c>
      <c r="I1099" s="13" t="n">
        <f aca="false">IF(Raw_Data!I1099="",DefaultPerf,Raw_Data!I1099)</f>
        <v>4</v>
      </c>
      <c r="J1099" s="13" t="n">
        <f aca="false">IF(Raw_Data!J1099="",DefaultSat,Raw_Data!J1099)</f>
        <v>4</v>
      </c>
      <c r="K1099" s="15" t="n">
        <f aca="false">Raw_Data!K1099</f>
        <v>100000</v>
      </c>
      <c r="L1099" s="13" t="str">
        <f aca="false">PROPER(TRIM(Raw_Data!N1099))</f>
        <v>No</v>
      </c>
      <c r="M1099" s="13" t="n">
        <f aca="false">IF(C1099="",0,1)</f>
        <v>0</v>
      </c>
      <c r="N1099" s="13" t="str">
        <f aca="false">IF(M1099=0,"Active",IF(TRIM(Raw_Data!L1099)="","Unknown",PROPER(TRIM(Raw_Data!L1099))))</f>
        <v>Active</v>
      </c>
      <c r="O1099" s="13" t="str">
        <f aca="false">IF(M1099=0,"",IF(TRIM(Raw_Data!M1099)="","Not Recorded",TRIM(Raw_Data!M1099)))</f>
        <v/>
      </c>
      <c r="P1099" s="16" t="n">
        <f aca="false">ROUND((IF(C1099="",AsOfDate,C1099)-B1099)/365.25,2)</f>
        <v>4.86</v>
      </c>
      <c r="Q1099" s="13" t="str">
        <f aca="false">IF(D1099="","Unknown",IF(D1099&lt;25,"Under 25",IF(D1099&lt;35,"25-34",IF(D1099&lt;45,"35-44",IF(D1099&lt;55,"45-54","55+")))))</f>
        <v>35-44</v>
      </c>
      <c r="R1099" s="13" t="str">
        <f aca="false">IF(P1099&lt;1,"0-1 yrs",IF(P1099&lt;3,"1-3 yrs",IF(P1099&lt;5,"3-5 yrs",IF(P1099&lt;10,"5-10 yrs","10+ yrs"))))</f>
        <v>3-5 yrs</v>
      </c>
      <c r="S1099" s="13" t="str">
        <f aca="false">IF(I1099&gt;=4,"High",IF(I1099=3,"Medium","Low"))</f>
        <v>High</v>
      </c>
      <c r="T1099" s="13" t="str">
        <f aca="false">IF(M1099=1,YEAR(C1099),"")</f>
        <v/>
      </c>
      <c r="U1099" s="13" t="str">
        <f aca="false">IF(M1099=1,YEAR(C1099)&amp;"-Q"&amp;ROUNDUP(MONTH(C1099)/3,0),"")</f>
        <v/>
      </c>
      <c r="V1099" s="13" t="str">
        <f aca="false">IF(M1099=1,MONTH(C1099),"")</f>
        <v/>
      </c>
    </row>
    <row r="1100" customFormat="false" ht="15" hidden="false" customHeight="false" outlineLevel="0" collapsed="false">
      <c r="A1100" s="13" t="str">
        <f aca="false">TRIM(Raw_Data!A1100)</f>
        <v>EMP1099</v>
      </c>
      <c r="B1100" s="14" t="n">
        <f aca="false">Raw_Data!B1100</f>
        <v>44247</v>
      </c>
      <c r="C1100" s="14" t="str">
        <f aca="false">IF(Raw_Data!C1100="","",Raw_Data!C1100)</f>
        <v/>
      </c>
      <c r="D1100" s="13" t="n">
        <f aca="false">IF(Raw_Data!D1100="","",Raw_Data!D1100)</f>
        <v>36</v>
      </c>
      <c r="E1100" s="13" t="str">
        <f aca="false">IF(UPPER(LEFT(TRIM(Raw_Data!E1100),1))="M","Male",IF(UPPER(LEFT(TRIM(Raw_Data!E1100),1))="F","Female","Unknown"))</f>
        <v>Female</v>
      </c>
      <c r="F1100" s="13" t="str">
        <f aca="false">PROPER(TRIM(SUBSTITUTE(Raw_Data!F1100,"'","")))</f>
        <v>Masters</v>
      </c>
      <c r="G1100" s="13" t="str">
        <f aca="false">PROPER(TRIM(Raw_Data!G1100))</f>
        <v>Customer Support</v>
      </c>
      <c r="H1100" s="13" t="str">
        <f aca="false">PROPER(TRIM(Raw_Data!H1100))</f>
        <v>Analyst</v>
      </c>
      <c r="I1100" s="13" t="n">
        <f aca="false">IF(Raw_Data!I1100="",DefaultPerf,Raw_Data!I1100)</f>
        <v>3</v>
      </c>
      <c r="J1100" s="13" t="n">
        <f aca="false">IF(Raw_Data!J1100="",DefaultSat,Raw_Data!J1100)</f>
        <v>3</v>
      </c>
      <c r="K1100" s="15" t="n">
        <f aca="false">Raw_Data!K1100</f>
        <v>56000</v>
      </c>
      <c r="L1100" s="13" t="str">
        <f aca="false">PROPER(TRIM(Raw_Data!N1100))</f>
        <v>No</v>
      </c>
      <c r="M1100" s="13" t="n">
        <f aca="false">IF(C1100="",0,1)</f>
        <v>0</v>
      </c>
      <c r="N1100" s="13" t="str">
        <f aca="false">IF(M1100=0,"Active",IF(TRIM(Raw_Data!L1100)="","Unknown",PROPER(TRIM(Raw_Data!L1100))))</f>
        <v>Active</v>
      </c>
      <c r="O1100" s="13" t="str">
        <f aca="false">IF(M1100=0,"",IF(TRIM(Raw_Data!M1100)="","Not Recorded",TRIM(Raw_Data!M1100)))</f>
        <v/>
      </c>
      <c r="P1100" s="16" t="n">
        <f aca="false">ROUND((IF(C1100="",AsOfDate,C1100)-B1100)/365.25,2)</f>
        <v>4.86</v>
      </c>
      <c r="Q1100" s="13" t="str">
        <f aca="false">IF(D1100="","Unknown",IF(D1100&lt;25,"Under 25",IF(D1100&lt;35,"25-34",IF(D1100&lt;45,"35-44",IF(D1100&lt;55,"45-54","55+")))))</f>
        <v>35-44</v>
      </c>
      <c r="R1100" s="13" t="str">
        <f aca="false">IF(P1100&lt;1,"0-1 yrs",IF(P1100&lt;3,"1-3 yrs",IF(P1100&lt;5,"3-5 yrs",IF(P1100&lt;10,"5-10 yrs","10+ yrs"))))</f>
        <v>3-5 yrs</v>
      </c>
      <c r="S1100" s="13" t="str">
        <f aca="false">IF(I1100&gt;=4,"High",IF(I1100=3,"Medium","Low"))</f>
        <v>Medium</v>
      </c>
      <c r="T1100" s="13" t="str">
        <f aca="false">IF(M1100=1,YEAR(C1100),"")</f>
        <v/>
      </c>
      <c r="U1100" s="13" t="str">
        <f aca="false">IF(M1100=1,YEAR(C1100)&amp;"-Q"&amp;ROUNDUP(MONTH(C1100)/3,0),"")</f>
        <v/>
      </c>
      <c r="V1100" s="13" t="str">
        <f aca="false">IF(M1100=1,MONTH(C1100),"")</f>
        <v/>
      </c>
    </row>
    <row r="1101" customFormat="false" ht="15" hidden="false" customHeight="false" outlineLevel="0" collapsed="false">
      <c r="A1101" s="13" t="str">
        <f aca="false">TRIM(Raw_Data!A1101)</f>
        <v>EMP1100</v>
      </c>
      <c r="B1101" s="14" t="n">
        <f aca="false">Raw_Data!B1101</f>
        <v>44247</v>
      </c>
      <c r="C1101" s="14" t="n">
        <f aca="false">IF(Raw_Data!C1101="","",Raw_Data!C1101)</f>
        <v>45048</v>
      </c>
      <c r="D1101" s="13" t="n">
        <f aca="false">IF(Raw_Data!D1101="","",Raw_Data!D1101)</f>
        <v>36</v>
      </c>
      <c r="E1101" s="13" t="str">
        <f aca="false">IF(UPPER(LEFT(TRIM(Raw_Data!E1101),1))="M","Male",IF(UPPER(LEFT(TRIM(Raw_Data!E1101),1))="F","Female","Unknown"))</f>
        <v>Female</v>
      </c>
      <c r="F1101" s="13" t="str">
        <f aca="false">PROPER(TRIM(SUBSTITUTE(Raw_Data!F1101,"'","")))</f>
        <v>Bachelors</v>
      </c>
      <c r="G1101" s="13" t="str">
        <f aca="false">PROPER(TRIM(Raw_Data!G1101))</f>
        <v>Customer Support</v>
      </c>
      <c r="H1101" s="13" t="str">
        <f aca="false">PROPER(TRIM(Raw_Data!H1101))</f>
        <v>Associate</v>
      </c>
      <c r="I1101" s="13" t="n">
        <f aca="false">IF(Raw_Data!I1101="",DefaultPerf,Raw_Data!I1101)</f>
        <v>3</v>
      </c>
      <c r="J1101" s="13" t="n">
        <f aca="false">IF(Raw_Data!J1101="",DefaultSat,Raw_Data!J1101)</f>
        <v>1</v>
      </c>
      <c r="K1101" s="15" t="n">
        <f aca="false">Raw_Data!K1101</f>
        <v>43000</v>
      </c>
      <c r="L1101" s="13" t="str">
        <f aca="false">PROPER(TRIM(Raw_Data!N1101))</f>
        <v>No</v>
      </c>
      <c r="M1101" s="13" t="n">
        <f aca="false">IF(C1101="",0,1)</f>
        <v>1</v>
      </c>
      <c r="N1101" s="13" t="str">
        <f aca="false">IF(M1101=0,"Active",IF(TRIM(Raw_Data!L1101)="","Unknown",PROPER(TRIM(Raw_Data!L1101))))</f>
        <v>Voluntary</v>
      </c>
      <c r="O1101" s="13" t="str">
        <f aca="false">IF(M1101=0,"",IF(TRIM(Raw_Data!M1101)="","Not Recorded",TRIM(Raw_Data!M1101)))</f>
        <v>Job Dissatisfaction</v>
      </c>
      <c r="P1101" s="16" t="n">
        <f aca="false">ROUND((IF(C1101="",AsOfDate,C1101)-B1101)/365.25,2)</f>
        <v>2.19</v>
      </c>
      <c r="Q1101" s="13" t="str">
        <f aca="false">IF(D1101="","Unknown",IF(D1101&lt;25,"Under 25",IF(D1101&lt;35,"25-34",IF(D1101&lt;45,"35-44",IF(D1101&lt;55,"45-54","55+")))))</f>
        <v>35-44</v>
      </c>
      <c r="R1101" s="13" t="str">
        <f aca="false">IF(P1101&lt;1,"0-1 yrs",IF(P1101&lt;3,"1-3 yrs",IF(P1101&lt;5,"3-5 yrs",IF(P1101&lt;10,"5-10 yrs","10+ yrs"))))</f>
        <v>1-3 yrs</v>
      </c>
      <c r="S1101" s="13" t="str">
        <f aca="false">IF(I1101&gt;=4,"High",IF(I1101=3,"Medium","Low"))</f>
        <v>Medium</v>
      </c>
      <c r="T1101" s="13" t="n">
        <f aca="false">IF(M1101=1,YEAR(C1101),"")</f>
        <v>2023</v>
      </c>
      <c r="U1101" s="13" t="str">
        <f aca="false">IF(M1101=1,YEAR(C1101)&amp;"-Q"&amp;ROUNDUP(MONTH(C1101)/3,0),"")</f>
        <v>2023-Q2</v>
      </c>
      <c r="V1101" s="13" t="n">
        <f aca="false">IF(M1101=1,MONTH(C1101),"")</f>
        <v>5</v>
      </c>
    </row>
    <row r="1102" customFormat="false" ht="15" hidden="false" customHeight="false" outlineLevel="0" collapsed="false">
      <c r="A1102" s="13" t="str">
        <f aca="false">TRIM(Raw_Data!A1102)</f>
        <v>EMP1101</v>
      </c>
      <c r="B1102" s="14" t="n">
        <f aca="false">Raw_Data!B1102</f>
        <v>44250</v>
      </c>
      <c r="C1102" s="14" t="n">
        <f aca="false">IF(Raw_Data!C1102="","",Raw_Data!C1102)</f>
        <v>44732</v>
      </c>
      <c r="D1102" s="13" t="n">
        <f aca="false">IF(Raw_Data!D1102="","",Raw_Data!D1102)</f>
        <v>33</v>
      </c>
      <c r="E1102" s="13" t="str">
        <f aca="false">IF(UPPER(LEFT(TRIM(Raw_Data!E1102),1))="M","Male",IF(UPPER(LEFT(TRIM(Raw_Data!E1102),1))="F","Female","Unknown"))</f>
        <v>Male</v>
      </c>
      <c r="F1102" s="13" t="str">
        <f aca="false">PROPER(TRIM(SUBSTITUTE(Raw_Data!F1102,"'","")))</f>
        <v>Diploma</v>
      </c>
      <c r="G1102" s="13" t="str">
        <f aca="false">PROPER(TRIM(Raw_Data!G1102))</f>
        <v>Operations</v>
      </c>
      <c r="H1102" s="13" t="str">
        <f aca="false">PROPER(TRIM(Raw_Data!H1102))</f>
        <v>Analyst</v>
      </c>
      <c r="I1102" s="13" t="n">
        <f aca="false">IF(Raw_Data!I1102="",DefaultPerf,Raw_Data!I1102)</f>
        <v>3</v>
      </c>
      <c r="J1102" s="13" t="n">
        <f aca="false">IF(Raw_Data!J1102="",DefaultSat,Raw_Data!J1102)</f>
        <v>2</v>
      </c>
      <c r="K1102" s="15" t="n">
        <f aca="false">Raw_Data!K1102</f>
        <v>60500</v>
      </c>
      <c r="L1102" s="13" t="str">
        <f aca="false">PROPER(TRIM(Raw_Data!N1102))</f>
        <v>Yes</v>
      </c>
      <c r="M1102" s="13" t="n">
        <f aca="false">IF(C1102="",0,1)</f>
        <v>1</v>
      </c>
      <c r="N1102" s="13" t="str">
        <f aca="false">IF(M1102=0,"Active",IF(TRIM(Raw_Data!L1102)="","Unknown",PROPER(TRIM(Raw_Data!L1102))))</f>
        <v>Involuntary</v>
      </c>
      <c r="O1102" s="13" t="str">
        <f aca="false">IF(M1102=0,"",IF(TRIM(Raw_Data!M1102)="","Not Recorded",TRIM(Raw_Data!M1102)))</f>
        <v>Poor Performance</v>
      </c>
      <c r="P1102" s="16" t="n">
        <f aca="false">ROUND((IF(C1102="",AsOfDate,C1102)-B1102)/365.25,2)</f>
        <v>1.32</v>
      </c>
      <c r="Q1102" s="13" t="str">
        <f aca="false">IF(D1102="","Unknown",IF(D1102&lt;25,"Under 25",IF(D1102&lt;35,"25-34",IF(D1102&lt;45,"35-44",IF(D1102&lt;55,"45-54","55+")))))</f>
        <v>25-34</v>
      </c>
      <c r="R1102" s="13" t="str">
        <f aca="false">IF(P1102&lt;1,"0-1 yrs",IF(P1102&lt;3,"1-3 yrs",IF(P1102&lt;5,"3-5 yrs",IF(P1102&lt;10,"5-10 yrs","10+ yrs"))))</f>
        <v>1-3 yrs</v>
      </c>
      <c r="S1102" s="13" t="str">
        <f aca="false">IF(I1102&gt;=4,"High",IF(I1102=3,"Medium","Low"))</f>
        <v>Medium</v>
      </c>
      <c r="T1102" s="13" t="n">
        <f aca="false">IF(M1102=1,YEAR(C1102),"")</f>
        <v>2022</v>
      </c>
      <c r="U1102" s="13" t="str">
        <f aca="false">IF(M1102=1,YEAR(C1102)&amp;"-Q"&amp;ROUNDUP(MONTH(C1102)/3,0),"")</f>
        <v>2022-Q2</v>
      </c>
      <c r="V1102" s="13" t="n">
        <f aca="false">IF(M1102=1,MONTH(C1102),"")</f>
        <v>6</v>
      </c>
    </row>
    <row r="1103" customFormat="false" ht="15" hidden="false" customHeight="false" outlineLevel="0" collapsed="false">
      <c r="A1103" s="13" t="str">
        <f aca="false">TRIM(Raw_Data!A1103)</f>
        <v>EMP1102</v>
      </c>
      <c r="B1103" s="14" t="n">
        <f aca="false">Raw_Data!B1103</f>
        <v>44250</v>
      </c>
      <c r="C1103" s="14" t="n">
        <f aca="false">IF(Raw_Data!C1103="","",Raw_Data!C1103)</f>
        <v>44894</v>
      </c>
      <c r="D1103" s="13" t="n">
        <f aca="false">IF(Raw_Data!D1103="","",Raw_Data!D1103)</f>
        <v>23</v>
      </c>
      <c r="E1103" s="13" t="str">
        <f aca="false">IF(UPPER(LEFT(TRIM(Raw_Data!E1103),1))="M","Male",IF(UPPER(LEFT(TRIM(Raw_Data!E1103),1))="F","Female","Unknown"))</f>
        <v>Female</v>
      </c>
      <c r="F1103" s="13" t="str">
        <f aca="false">PROPER(TRIM(SUBSTITUTE(Raw_Data!F1103,"'","")))</f>
        <v>Masters</v>
      </c>
      <c r="G1103" s="13" t="str">
        <f aca="false">PROPER(TRIM(Raw_Data!G1103))</f>
        <v>Sales</v>
      </c>
      <c r="H1103" s="13" t="str">
        <f aca="false">PROPER(TRIM(Raw_Data!H1103))</f>
        <v>Analyst</v>
      </c>
      <c r="I1103" s="13" t="n">
        <f aca="false">IF(Raw_Data!I1103="",DefaultPerf,Raw_Data!I1103)</f>
        <v>5</v>
      </c>
      <c r="J1103" s="13" t="n">
        <f aca="false">IF(Raw_Data!J1103="",DefaultSat,Raw_Data!J1103)</f>
        <v>2</v>
      </c>
      <c r="K1103" s="15" t="n">
        <f aca="false">Raw_Data!K1103</f>
        <v>59000</v>
      </c>
      <c r="L1103" s="13" t="str">
        <f aca="false">PROPER(TRIM(Raw_Data!N1103))</f>
        <v>No</v>
      </c>
      <c r="M1103" s="13" t="n">
        <f aca="false">IF(C1103="",0,1)</f>
        <v>1</v>
      </c>
      <c r="N1103" s="13" t="str">
        <f aca="false">IF(M1103=0,"Active",IF(TRIM(Raw_Data!L1103)="","Unknown",PROPER(TRIM(Raw_Data!L1103))))</f>
        <v>Voluntary</v>
      </c>
      <c r="O1103" s="13" t="str">
        <f aca="false">IF(M1103=0,"",IF(TRIM(Raw_Data!M1103)="","Not Recorded",TRIM(Raw_Data!M1103)))</f>
        <v>Job Dissatisfaction</v>
      </c>
      <c r="P1103" s="16" t="n">
        <f aca="false">ROUND((IF(C1103="",AsOfDate,C1103)-B1103)/365.25,2)</f>
        <v>1.76</v>
      </c>
      <c r="Q1103" s="13" t="str">
        <f aca="false">IF(D1103="","Unknown",IF(D1103&lt;25,"Under 25",IF(D1103&lt;35,"25-34",IF(D1103&lt;45,"35-44",IF(D1103&lt;55,"45-54","55+")))))</f>
        <v>Under 25</v>
      </c>
      <c r="R1103" s="13" t="str">
        <f aca="false">IF(P1103&lt;1,"0-1 yrs",IF(P1103&lt;3,"1-3 yrs",IF(P1103&lt;5,"3-5 yrs",IF(P1103&lt;10,"5-10 yrs","10+ yrs"))))</f>
        <v>1-3 yrs</v>
      </c>
      <c r="S1103" s="13" t="str">
        <f aca="false">IF(I1103&gt;=4,"High",IF(I1103=3,"Medium","Low"))</f>
        <v>High</v>
      </c>
      <c r="T1103" s="13" t="n">
        <f aca="false">IF(M1103=1,YEAR(C1103),"")</f>
        <v>2022</v>
      </c>
      <c r="U1103" s="13" t="str">
        <f aca="false">IF(M1103=1,YEAR(C1103)&amp;"-Q"&amp;ROUNDUP(MONTH(C1103)/3,0),"")</f>
        <v>2022-Q4</v>
      </c>
      <c r="V1103" s="13" t="n">
        <f aca="false">IF(M1103=1,MONTH(C1103),"")</f>
        <v>11</v>
      </c>
    </row>
    <row r="1104" customFormat="false" ht="15" hidden="false" customHeight="false" outlineLevel="0" collapsed="false">
      <c r="A1104" s="13" t="str">
        <f aca="false">TRIM(Raw_Data!A1104)</f>
        <v>EMP1103</v>
      </c>
      <c r="B1104" s="14" t="n">
        <f aca="false">Raw_Data!B1104</f>
        <v>44252</v>
      </c>
      <c r="C1104" s="14" t="n">
        <f aca="false">IF(Raw_Data!C1104="","",Raw_Data!C1104)</f>
        <v>45022</v>
      </c>
      <c r="D1104" s="13" t="n">
        <f aca="false">IF(Raw_Data!D1104="","",Raw_Data!D1104)</f>
        <v>30</v>
      </c>
      <c r="E1104" s="13" t="str">
        <f aca="false">IF(UPPER(LEFT(TRIM(Raw_Data!E1104),1))="M","Male",IF(UPPER(LEFT(TRIM(Raw_Data!E1104),1))="F","Female","Unknown"))</f>
        <v>Female</v>
      </c>
      <c r="F1104" s="13" t="str">
        <f aca="false">PROPER(TRIM(SUBSTITUTE(Raw_Data!F1104,"'","")))</f>
        <v>Masters</v>
      </c>
      <c r="G1104" s="13" t="str">
        <f aca="false">PROPER(TRIM(Raw_Data!G1104))</f>
        <v>Sales</v>
      </c>
      <c r="H1104" s="13" t="str">
        <f aca="false">PROPER(TRIM(Raw_Data!H1104))</f>
        <v>Associate</v>
      </c>
      <c r="I1104" s="13" t="n">
        <f aca="false">IF(Raw_Data!I1104="",DefaultPerf,Raw_Data!I1104)</f>
        <v>4</v>
      </c>
      <c r="J1104" s="13" t="n">
        <f aca="false">IF(Raw_Data!J1104="",DefaultSat,Raw_Data!J1104)</f>
        <v>2</v>
      </c>
      <c r="K1104" s="15" t="n">
        <f aca="false">Raw_Data!K1104</f>
        <v>36500</v>
      </c>
      <c r="L1104" s="13" t="str">
        <f aca="false">PROPER(TRIM(Raw_Data!N1104))</f>
        <v>No</v>
      </c>
      <c r="M1104" s="13" t="n">
        <f aca="false">IF(C1104="",0,1)</f>
        <v>1</v>
      </c>
      <c r="N1104" s="13" t="str">
        <f aca="false">IF(M1104=0,"Active",IF(TRIM(Raw_Data!L1104)="","Unknown",PROPER(TRIM(Raw_Data!L1104))))</f>
        <v>Voluntary</v>
      </c>
      <c r="O1104" s="13" t="str">
        <f aca="false">IF(M1104=0,"",IF(TRIM(Raw_Data!M1104)="","Not Recorded",TRIM(Raw_Data!M1104)))</f>
        <v>Career Growth</v>
      </c>
      <c r="P1104" s="16" t="n">
        <f aca="false">ROUND((IF(C1104="",AsOfDate,C1104)-B1104)/365.25,2)</f>
        <v>2.11</v>
      </c>
      <c r="Q1104" s="13" t="str">
        <f aca="false">IF(D1104="","Unknown",IF(D1104&lt;25,"Under 25",IF(D1104&lt;35,"25-34",IF(D1104&lt;45,"35-44",IF(D1104&lt;55,"45-54","55+")))))</f>
        <v>25-34</v>
      </c>
      <c r="R1104" s="13" t="str">
        <f aca="false">IF(P1104&lt;1,"0-1 yrs",IF(P1104&lt;3,"1-3 yrs",IF(P1104&lt;5,"3-5 yrs",IF(P1104&lt;10,"5-10 yrs","10+ yrs"))))</f>
        <v>1-3 yrs</v>
      </c>
      <c r="S1104" s="13" t="str">
        <f aca="false">IF(I1104&gt;=4,"High",IF(I1104=3,"Medium","Low"))</f>
        <v>High</v>
      </c>
      <c r="T1104" s="13" t="n">
        <f aca="false">IF(M1104=1,YEAR(C1104),"")</f>
        <v>2023</v>
      </c>
      <c r="U1104" s="13" t="str">
        <f aca="false">IF(M1104=1,YEAR(C1104)&amp;"-Q"&amp;ROUNDUP(MONTH(C1104)/3,0),"")</f>
        <v>2023-Q2</v>
      </c>
      <c r="V1104" s="13" t="n">
        <f aca="false">IF(M1104=1,MONTH(C1104),"")</f>
        <v>4</v>
      </c>
    </row>
    <row r="1105" customFormat="false" ht="15" hidden="false" customHeight="false" outlineLevel="0" collapsed="false">
      <c r="A1105" s="13" t="str">
        <f aca="false">TRIM(Raw_Data!A1105)</f>
        <v>EMP1104</v>
      </c>
      <c r="B1105" s="14" t="n">
        <f aca="false">Raw_Data!B1105</f>
        <v>44253</v>
      </c>
      <c r="C1105" s="14" t="str">
        <f aca="false">IF(Raw_Data!C1105="","",Raw_Data!C1105)</f>
        <v/>
      </c>
      <c r="D1105" s="13" t="n">
        <f aca="false">IF(Raw_Data!D1105="","",Raw_Data!D1105)</f>
        <v>45</v>
      </c>
      <c r="E1105" s="13" t="str">
        <f aca="false">IF(UPPER(LEFT(TRIM(Raw_Data!E1105),1))="M","Male",IF(UPPER(LEFT(TRIM(Raw_Data!E1105),1))="F","Female","Unknown"))</f>
        <v>Female</v>
      </c>
      <c r="F1105" s="13" t="str">
        <f aca="false">PROPER(TRIM(SUBSTITUTE(Raw_Data!F1105,"'","")))</f>
        <v>Bachelors</v>
      </c>
      <c r="G1105" s="13" t="str">
        <f aca="false">PROPER(TRIM(Raw_Data!G1105))</f>
        <v>Operations</v>
      </c>
      <c r="H1105" s="13" t="str">
        <f aca="false">PROPER(TRIM(Raw_Data!H1105))</f>
        <v>Analyst</v>
      </c>
      <c r="I1105" s="13" t="n">
        <f aca="false">IF(Raw_Data!I1105="",DefaultPerf,Raw_Data!I1105)</f>
        <v>4</v>
      </c>
      <c r="J1105" s="13" t="n">
        <f aca="false">IF(Raw_Data!J1105="",DefaultSat,Raw_Data!J1105)</f>
        <v>4</v>
      </c>
      <c r="K1105" s="15" t="n">
        <f aca="false">Raw_Data!K1105</f>
        <v>52500</v>
      </c>
      <c r="L1105" s="13" t="str">
        <f aca="false">PROPER(TRIM(Raw_Data!N1105))</f>
        <v>No</v>
      </c>
      <c r="M1105" s="13" t="n">
        <f aca="false">IF(C1105="",0,1)</f>
        <v>0</v>
      </c>
      <c r="N1105" s="13" t="str">
        <f aca="false">IF(M1105=0,"Active",IF(TRIM(Raw_Data!L1105)="","Unknown",PROPER(TRIM(Raw_Data!L1105))))</f>
        <v>Active</v>
      </c>
      <c r="O1105" s="13" t="str">
        <f aca="false">IF(M1105=0,"",IF(TRIM(Raw_Data!M1105)="","Not Recorded",TRIM(Raw_Data!M1105)))</f>
        <v/>
      </c>
      <c r="P1105" s="16" t="n">
        <f aca="false">ROUND((IF(C1105="",AsOfDate,C1105)-B1105)/365.25,2)</f>
        <v>4.84</v>
      </c>
      <c r="Q1105" s="13" t="str">
        <f aca="false">IF(D1105="","Unknown",IF(D1105&lt;25,"Under 25",IF(D1105&lt;35,"25-34",IF(D1105&lt;45,"35-44",IF(D1105&lt;55,"45-54","55+")))))</f>
        <v>45-54</v>
      </c>
      <c r="R1105" s="13" t="str">
        <f aca="false">IF(P1105&lt;1,"0-1 yrs",IF(P1105&lt;3,"1-3 yrs",IF(P1105&lt;5,"3-5 yrs",IF(P1105&lt;10,"5-10 yrs","10+ yrs"))))</f>
        <v>3-5 yrs</v>
      </c>
      <c r="S1105" s="13" t="str">
        <f aca="false">IF(I1105&gt;=4,"High",IF(I1105=3,"Medium","Low"))</f>
        <v>High</v>
      </c>
      <c r="T1105" s="13" t="str">
        <f aca="false">IF(M1105=1,YEAR(C1105),"")</f>
        <v/>
      </c>
      <c r="U1105" s="13" t="str">
        <f aca="false">IF(M1105=1,YEAR(C1105)&amp;"-Q"&amp;ROUNDUP(MONTH(C1105)/3,0),"")</f>
        <v/>
      </c>
      <c r="V1105" s="13" t="str">
        <f aca="false">IF(M1105=1,MONTH(C1105),"")</f>
        <v/>
      </c>
    </row>
    <row r="1106" customFormat="false" ht="15" hidden="false" customHeight="false" outlineLevel="0" collapsed="false">
      <c r="A1106" s="13" t="str">
        <f aca="false">TRIM(Raw_Data!A1106)</f>
        <v>EMP1105</v>
      </c>
      <c r="B1106" s="14" t="n">
        <f aca="false">Raw_Data!B1106</f>
        <v>44264</v>
      </c>
      <c r="C1106" s="14" t="str">
        <f aca="false">IF(Raw_Data!C1106="","",Raw_Data!C1106)</f>
        <v/>
      </c>
      <c r="D1106" s="13" t="n">
        <f aca="false">IF(Raw_Data!D1106="","",Raw_Data!D1106)</f>
        <v>32</v>
      </c>
      <c r="E1106" s="13" t="str">
        <f aca="false">IF(UPPER(LEFT(TRIM(Raw_Data!E1106),1))="M","Male",IF(UPPER(LEFT(TRIM(Raw_Data!E1106),1))="F","Female","Unknown"))</f>
        <v>Female</v>
      </c>
      <c r="F1106" s="13" t="str">
        <f aca="false">PROPER(TRIM(SUBSTITUTE(Raw_Data!F1106,"'","")))</f>
        <v>Diploma</v>
      </c>
      <c r="G1106" s="13" t="str">
        <f aca="false">PROPER(TRIM(Raw_Data!G1106))</f>
        <v>Operations</v>
      </c>
      <c r="H1106" s="13" t="str">
        <f aca="false">PROPER(TRIM(Raw_Data!H1106))</f>
        <v>Analyst</v>
      </c>
      <c r="I1106" s="13" t="n">
        <f aca="false">IF(Raw_Data!I1106="",DefaultPerf,Raw_Data!I1106)</f>
        <v>2</v>
      </c>
      <c r="J1106" s="13" t="n">
        <f aca="false">IF(Raw_Data!J1106="",DefaultSat,Raw_Data!J1106)</f>
        <v>4</v>
      </c>
      <c r="K1106" s="15" t="n">
        <f aca="false">Raw_Data!K1106</f>
        <v>58000</v>
      </c>
      <c r="L1106" s="13" t="str">
        <f aca="false">PROPER(TRIM(Raw_Data!N1106))</f>
        <v>No</v>
      </c>
      <c r="M1106" s="13" t="n">
        <f aca="false">IF(C1106="",0,1)</f>
        <v>0</v>
      </c>
      <c r="N1106" s="13" t="str">
        <f aca="false">IF(M1106=0,"Active",IF(TRIM(Raw_Data!L1106)="","Unknown",PROPER(TRIM(Raw_Data!L1106))))</f>
        <v>Active</v>
      </c>
      <c r="O1106" s="13" t="str">
        <f aca="false">IF(M1106=0,"",IF(TRIM(Raw_Data!M1106)="","Not Recorded",TRIM(Raw_Data!M1106)))</f>
        <v/>
      </c>
      <c r="P1106" s="16" t="n">
        <f aca="false">ROUND((IF(C1106="",AsOfDate,C1106)-B1106)/365.25,2)</f>
        <v>4.81</v>
      </c>
      <c r="Q1106" s="13" t="str">
        <f aca="false">IF(D1106="","Unknown",IF(D1106&lt;25,"Under 25",IF(D1106&lt;35,"25-34",IF(D1106&lt;45,"35-44",IF(D1106&lt;55,"45-54","55+")))))</f>
        <v>25-34</v>
      </c>
      <c r="R1106" s="13" t="str">
        <f aca="false">IF(P1106&lt;1,"0-1 yrs",IF(P1106&lt;3,"1-3 yrs",IF(P1106&lt;5,"3-5 yrs",IF(P1106&lt;10,"5-10 yrs","10+ yrs"))))</f>
        <v>3-5 yrs</v>
      </c>
      <c r="S1106" s="13" t="str">
        <f aca="false">IF(I1106&gt;=4,"High",IF(I1106=3,"Medium","Low"))</f>
        <v>Low</v>
      </c>
      <c r="T1106" s="13" t="str">
        <f aca="false">IF(M1106=1,YEAR(C1106),"")</f>
        <v/>
      </c>
      <c r="U1106" s="13" t="str">
        <f aca="false">IF(M1106=1,YEAR(C1106)&amp;"-Q"&amp;ROUNDUP(MONTH(C1106)/3,0),"")</f>
        <v/>
      </c>
      <c r="V1106" s="13" t="str">
        <f aca="false">IF(M1106=1,MONTH(C1106),"")</f>
        <v/>
      </c>
    </row>
    <row r="1107" customFormat="false" ht="15" hidden="false" customHeight="false" outlineLevel="0" collapsed="false">
      <c r="A1107" s="13" t="str">
        <f aca="false">TRIM(Raw_Data!A1107)</f>
        <v>EMP1106</v>
      </c>
      <c r="B1107" s="14" t="n">
        <f aca="false">Raw_Data!B1107</f>
        <v>44265</v>
      </c>
      <c r="C1107" s="14" t="n">
        <f aca="false">IF(Raw_Data!C1107="","",Raw_Data!C1107)</f>
        <v>44681</v>
      </c>
      <c r="D1107" s="13" t="n">
        <f aca="false">IF(Raw_Data!D1107="","",Raw_Data!D1107)</f>
        <v>33</v>
      </c>
      <c r="E1107" s="13" t="str">
        <f aca="false">IF(UPPER(LEFT(TRIM(Raw_Data!E1107),1))="M","Male",IF(UPPER(LEFT(TRIM(Raw_Data!E1107),1))="F","Female","Unknown"))</f>
        <v>Female</v>
      </c>
      <c r="F1107" s="13" t="str">
        <f aca="false">PROPER(TRIM(SUBSTITUTE(Raw_Data!F1107,"'","")))</f>
        <v>Bachelors</v>
      </c>
      <c r="G1107" s="13" t="str">
        <f aca="false">PROPER(TRIM(Raw_Data!G1107))</f>
        <v>Sales</v>
      </c>
      <c r="H1107" s="13" t="str">
        <f aca="false">PROPER(TRIM(Raw_Data!H1107))</f>
        <v>Senior Analyst</v>
      </c>
      <c r="I1107" s="13" t="n">
        <f aca="false">IF(Raw_Data!I1107="",DefaultPerf,Raw_Data!I1107)</f>
        <v>3</v>
      </c>
      <c r="J1107" s="13" t="n">
        <f aca="false">IF(Raw_Data!J1107="",DefaultSat,Raw_Data!J1107)</f>
        <v>2</v>
      </c>
      <c r="K1107" s="15" t="n">
        <f aca="false">Raw_Data!K1107</f>
        <v>81500</v>
      </c>
      <c r="L1107" s="13" t="str">
        <f aca="false">PROPER(TRIM(Raw_Data!N1107))</f>
        <v>No</v>
      </c>
      <c r="M1107" s="13" t="n">
        <f aca="false">IF(C1107="",0,1)</f>
        <v>1</v>
      </c>
      <c r="N1107" s="13" t="str">
        <f aca="false">IF(M1107=0,"Active",IF(TRIM(Raw_Data!L1107)="","Unknown",PROPER(TRIM(Raw_Data!L1107))))</f>
        <v>Voluntary</v>
      </c>
      <c r="O1107" s="13" t="str">
        <f aca="false">IF(M1107=0,"",IF(TRIM(Raw_Data!M1107)="","Not Recorded",TRIM(Raw_Data!M1107)))</f>
        <v>Job Dissatisfaction</v>
      </c>
      <c r="P1107" s="16" t="n">
        <f aca="false">ROUND((IF(C1107="",AsOfDate,C1107)-B1107)/365.25,2)</f>
        <v>1.14</v>
      </c>
      <c r="Q1107" s="13" t="str">
        <f aca="false">IF(D1107="","Unknown",IF(D1107&lt;25,"Under 25",IF(D1107&lt;35,"25-34",IF(D1107&lt;45,"35-44",IF(D1107&lt;55,"45-54","55+")))))</f>
        <v>25-34</v>
      </c>
      <c r="R1107" s="13" t="str">
        <f aca="false">IF(P1107&lt;1,"0-1 yrs",IF(P1107&lt;3,"1-3 yrs",IF(P1107&lt;5,"3-5 yrs",IF(P1107&lt;10,"5-10 yrs","10+ yrs"))))</f>
        <v>1-3 yrs</v>
      </c>
      <c r="S1107" s="13" t="str">
        <f aca="false">IF(I1107&gt;=4,"High",IF(I1107=3,"Medium","Low"))</f>
        <v>Medium</v>
      </c>
      <c r="T1107" s="13" t="n">
        <f aca="false">IF(M1107=1,YEAR(C1107),"")</f>
        <v>2022</v>
      </c>
      <c r="U1107" s="13" t="str">
        <f aca="false">IF(M1107=1,YEAR(C1107)&amp;"-Q"&amp;ROUNDUP(MONTH(C1107)/3,0),"")</f>
        <v>2022-Q2</v>
      </c>
      <c r="V1107" s="13" t="n">
        <f aca="false">IF(M1107=1,MONTH(C1107),"")</f>
        <v>4</v>
      </c>
    </row>
    <row r="1108" customFormat="false" ht="15" hidden="false" customHeight="false" outlineLevel="0" collapsed="false">
      <c r="A1108" s="13" t="str">
        <f aca="false">TRIM(Raw_Data!A1108)</f>
        <v>EMP1107</v>
      </c>
      <c r="B1108" s="14" t="n">
        <f aca="false">Raw_Data!B1108</f>
        <v>44269</v>
      </c>
      <c r="C1108" s="14" t="n">
        <f aca="false">IF(Raw_Data!C1108="","",Raw_Data!C1108)</f>
        <v>44687</v>
      </c>
      <c r="D1108" s="13" t="n">
        <f aca="false">IF(Raw_Data!D1108="","",Raw_Data!D1108)</f>
        <v>28</v>
      </c>
      <c r="E1108" s="13" t="str">
        <f aca="false">IF(UPPER(LEFT(TRIM(Raw_Data!E1108),1))="M","Male",IF(UPPER(LEFT(TRIM(Raw_Data!E1108),1))="F","Female","Unknown"))</f>
        <v>Female</v>
      </c>
      <c r="F1108" s="13" t="str">
        <f aca="false">PROPER(TRIM(SUBSTITUTE(Raw_Data!F1108,"'","")))</f>
        <v>Diploma</v>
      </c>
      <c r="G1108" s="13" t="str">
        <f aca="false">PROPER(TRIM(Raw_Data!G1108))</f>
        <v>Customer Support</v>
      </c>
      <c r="H1108" s="13" t="str">
        <f aca="false">PROPER(TRIM(Raw_Data!H1108))</f>
        <v>Team Lead</v>
      </c>
      <c r="I1108" s="13" t="n">
        <f aca="false">IF(Raw_Data!I1108="",DefaultPerf,Raw_Data!I1108)</f>
        <v>4</v>
      </c>
      <c r="J1108" s="13" t="n">
        <f aca="false">IF(Raw_Data!J1108="",DefaultSat,Raw_Data!J1108)</f>
        <v>3</v>
      </c>
      <c r="K1108" s="15" t="n">
        <f aca="false">Raw_Data!K1108</f>
        <v>119500</v>
      </c>
      <c r="L1108" s="13" t="str">
        <f aca="false">PROPER(TRIM(Raw_Data!N1108))</f>
        <v>No</v>
      </c>
      <c r="M1108" s="13" t="n">
        <f aca="false">IF(C1108="",0,1)</f>
        <v>1</v>
      </c>
      <c r="N1108" s="13" t="str">
        <f aca="false">IF(M1108=0,"Active",IF(TRIM(Raw_Data!L1108)="","Unknown",PROPER(TRIM(Raw_Data!L1108))))</f>
        <v>Voluntary</v>
      </c>
      <c r="O1108" s="13" t="str">
        <f aca="false">IF(M1108=0,"",IF(TRIM(Raw_Data!M1108)="","Not Recorded",TRIM(Raw_Data!M1108)))</f>
        <v>Better Compensation</v>
      </c>
      <c r="P1108" s="16" t="n">
        <f aca="false">ROUND((IF(C1108="",AsOfDate,C1108)-B1108)/365.25,2)</f>
        <v>1.14</v>
      </c>
      <c r="Q1108" s="13" t="str">
        <f aca="false">IF(D1108="","Unknown",IF(D1108&lt;25,"Under 25",IF(D1108&lt;35,"25-34",IF(D1108&lt;45,"35-44",IF(D1108&lt;55,"45-54","55+")))))</f>
        <v>25-34</v>
      </c>
      <c r="R1108" s="13" t="str">
        <f aca="false">IF(P1108&lt;1,"0-1 yrs",IF(P1108&lt;3,"1-3 yrs",IF(P1108&lt;5,"3-5 yrs",IF(P1108&lt;10,"5-10 yrs","10+ yrs"))))</f>
        <v>1-3 yrs</v>
      </c>
      <c r="S1108" s="13" t="str">
        <f aca="false">IF(I1108&gt;=4,"High",IF(I1108=3,"Medium","Low"))</f>
        <v>High</v>
      </c>
      <c r="T1108" s="13" t="n">
        <f aca="false">IF(M1108=1,YEAR(C1108),"")</f>
        <v>2022</v>
      </c>
      <c r="U1108" s="13" t="str">
        <f aca="false">IF(M1108=1,YEAR(C1108)&amp;"-Q"&amp;ROUNDUP(MONTH(C1108)/3,0),"")</f>
        <v>2022-Q2</v>
      </c>
      <c r="V1108" s="13" t="n">
        <f aca="false">IF(M1108=1,MONTH(C1108),"")</f>
        <v>5</v>
      </c>
    </row>
    <row r="1109" customFormat="false" ht="15" hidden="false" customHeight="false" outlineLevel="0" collapsed="false">
      <c r="A1109" s="13" t="str">
        <f aca="false">TRIM(Raw_Data!A1109)</f>
        <v>EMP1108</v>
      </c>
      <c r="B1109" s="14" t="n">
        <f aca="false">Raw_Data!B1109</f>
        <v>44272</v>
      </c>
      <c r="C1109" s="14" t="n">
        <f aca="false">IF(Raw_Data!C1109="","",Raw_Data!C1109)</f>
        <v>45300</v>
      </c>
      <c r="D1109" s="13" t="n">
        <f aca="false">IF(Raw_Data!D1109="","",Raw_Data!D1109)</f>
        <v>36</v>
      </c>
      <c r="E1109" s="13" t="str">
        <f aca="false">IF(UPPER(LEFT(TRIM(Raw_Data!E1109),1))="M","Male",IF(UPPER(LEFT(TRIM(Raw_Data!E1109),1))="F","Female","Unknown"))</f>
        <v>Male</v>
      </c>
      <c r="F1109" s="13" t="str">
        <f aca="false">PROPER(TRIM(SUBSTITUTE(Raw_Data!F1109,"'","")))</f>
        <v>High School</v>
      </c>
      <c r="G1109" s="13" t="str">
        <f aca="false">PROPER(TRIM(Raw_Data!G1109))</f>
        <v>Sales</v>
      </c>
      <c r="H1109" s="13" t="str">
        <f aca="false">PROPER(TRIM(Raw_Data!H1109))</f>
        <v>Analyst</v>
      </c>
      <c r="I1109" s="13" t="n">
        <f aca="false">IF(Raw_Data!I1109="",DefaultPerf,Raw_Data!I1109)</f>
        <v>3</v>
      </c>
      <c r="J1109" s="13" t="n">
        <f aca="false">IF(Raw_Data!J1109="",DefaultSat,Raw_Data!J1109)</f>
        <v>1</v>
      </c>
      <c r="K1109" s="15" t="n">
        <f aca="false">Raw_Data!K1109</f>
        <v>55500</v>
      </c>
      <c r="L1109" s="13" t="str">
        <f aca="false">PROPER(TRIM(Raw_Data!N1109))</f>
        <v>No</v>
      </c>
      <c r="M1109" s="13" t="n">
        <f aca="false">IF(C1109="",0,1)</f>
        <v>1</v>
      </c>
      <c r="N1109" s="13" t="str">
        <f aca="false">IF(M1109=0,"Active",IF(TRIM(Raw_Data!L1109)="","Unknown",PROPER(TRIM(Raw_Data!L1109))))</f>
        <v>Involuntary</v>
      </c>
      <c r="O1109" s="13" t="str">
        <f aca="false">IF(M1109=0,"",IF(TRIM(Raw_Data!M1109)="","Not Recorded",TRIM(Raw_Data!M1109)))</f>
        <v>Policy Violation</v>
      </c>
      <c r="P1109" s="16" t="n">
        <f aca="false">ROUND((IF(C1109="",AsOfDate,C1109)-B1109)/365.25,2)</f>
        <v>2.81</v>
      </c>
      <c r="Q1109" s="13" t="str">
        <f aca="false">IF(D1109="","Unknown",IF(D1109&lt;25,"Under 25",IF(D1109&lt;35,"25-34",IF(D1109&lt;45,"35-44",IF(D1109&lt;55,"45-54","55+")))))</f>
        <v>35-44</v>
      </c>
      <c r="R1109" s="13" t="str">
        <f aca="false">IF(P1109&lt;1,"0-1 yrs",IF(P1109&lt;3,"1-3 yrs",IF(P1109&lt;5,"3-5 yrs",IF(P1109&lt;10,"5-10 yrs","10+ yrs"))))</f>
        <v>1-3 yrs</v>
      </c>
      <c r="S1109" s="13" t="str">
        <f aca="false">IF(I1109&gt;=4,"High",IF(I1109=3,"Medium","Low"))</f>
        <v>Medium</v>
      </c>
      <c r="T1109" s="13" t="n">
        <f aca="false">IF(M1109=1,YEAR(C1109),"")</f>
        <v>2024</v>
      </c>
      <c r="U1109" s="13" t="str">
        <f aca="false">IF(M1109=1,YEAR(C1109)&amp;"-Q"&amp;ROUNDUP(MONTH(C1109)/3,0),"")</f>
        <v>2024-Q1</v>
      </c>
      <c r="V1109" s="13" t="n">
        <f aca="false">IF(M1109=1,MONTH(C1109),"")</f>
        <v>1</v>
      </c>
    </row>
    <row r="1110" customFormat="false" ht="15" hidden="false" customHeight="false" outlineLevel="0" collapsed="false">
      <c r="A1110" s="13" t="str">
        <f aca="false">TRIM(Raw_Data!A1110)</f>
        <v>EMP1109</v>
      </c>
      <c r="B1110" s="14" t="n">
        <f aca="false">Raw_Data!B1110</f>
        <v>44274</v>
      </c>
      <c r="C1110" s="14" t="str">
        <f aca="false">IF(Raw_Data!C1110="","",Raw_Data!C1110)</f>
        <v/>
      </c>
      <c r="D1110" s="13" t="n">
        <f aca="false">IF(Raw_Data!D1110="","",Raw_Data!D1110)</f>
        <v>35</v>
      </c>
      <c r="E1110" s="13" t="str">
        <f aca="false">IF(UPPER(LEFT(TRIM(Raw_Data!E1110),1))="M","Male",IF(UPPER(LEFT(TRIM(Raw_Data!E1110),1))="F","Female","Unknown"))</f>
        <v>Male</v>
      </c>
      <c r="F1110" s="13" t="str">
        <f aca="false">PROPER(TRIM(SUBSTITUTE(Raw_Data!F1110,"'","")))</f>
        <v>Masters</v>
      </c>
      <c r="G1110" s="13" t="str">
        <f aca="false">PROPER(TRIM(Raw_Data!G1110))</f>
        <v>Operations</v>
      </c>
      <c r="H1110" s="13" t="str">
        <f aca="false">PROPER(TRIM(Raw_Data!H1110))</f>
        <v>Senior Analyst</v>
      </c>
      <c r="I1110" s="13" t="n">
        <f aca="false">IF(Raw_Data!I1110="",DefaultPerf,Raw_Data!I1110)</f>
        <v>3</v>
      </c>
      <c r="J1110" s="13" t="n">
        <f aca="false">IF(Raw_Data!J1110="",DefaultSat,Raw_Data!J1110)</f>
        <v>4</v>
      </c>
      <c r="K1110" s="15" t="n">
        <f aca="false">Raw_Data!K1110</f>
        <v>96500</v>
      </c>
      <c r="L1110" s="13" t="str">
        <f aca="false">PROPER(TRIM(Raw_Data!N1110))</f>
        <v>No</v>
      </c>
      <c r="M1110" s="13" t="n">
        <f aca="false">IF(C1110="",0,1)</f>
        <v>0</v>
      </c>
      <c r="N1110" s="13" t="str">
        <f aca="false">IF(M1110=0,"Active",IF(TRIM(Raw_Data!L1110)="","Unknown",PROPER(TRIM(Raw_Data!L1110))))</f>
        <v>Active</v>
      </c>
      <c r="O1110" s="13" t="str">
        <f aca="false">IF(M1110=0,"",IF(TRIM(Raw_Data!M1110)="","Not Recorded",TRIM(Raw_Data!M1110)))</f>
        <v/>
      </c>
      <c r="P1110" s="16" t="n">
        <f aca="false">ROUND((IF(C1110="",AsOfDate,C1110)-B1110)/365.25,2)</f>
        <v>4.79</v>
      </c>
      <c r="Q1110" s="13" t="str">
        <f aca="false">IF(D1110="","Unknown",IF(D1110&lt;25,"Under 25",IF(D1110&lt;35,"25-34",IF(D1110&lt;45,"35-44",IF(D1110&lt;55,"45-54","55+")))))</f>
        <v>35-44</v>
      </c>
      <c r="R1110" s="13" t="str">
        <f aca="false">IF(P1110&lt;1,"0-1 yrs",IF(P1110&lt;3,"1-3 yrs",IF(P1110&lt;5,"3-5 yrs",IF(P1110&lt;10,"5-10 yrs","10+ yrs"))))</f>
        <v>3-5 yrs</v>
      </c>
      <c r="S1110" s="13" t="str">
        <f aca="false">IF(I1110&gt;=4,"High",IF(I1110=3,"Medium","Low"))</f>
        <v>Medium</v>
      </c>
      <c r="T1110" s="13" t="str">
        <f aca="false">IF(M1110=1,YEAR(C1110),"")</f>
        <v/>
      </c>
      <c r="U1110" s="13" t="str">
        <f aca="false">IF(M1110=1,YEAR(C1110)&amp;"-Q"&amp;ROUNDUP(MONTH(C1110)/3,0),"")</f>
        <v/>
      </c>
      <c r="V1110" s="13" t="str">
        <f aca="false">IF(M1110=1,MONTH(C1110),"")</f>
        <v/>
      </c>
    </row>
    <row r="1111" customFormat="false" ht="15" hidden="false" customHeight="false" outlineLevel="0" collapsed="false">
      <c r="A1111" s="13" t="str">
        <f aca="false">TRIM(Raw_Data!A1111)</f>
        <v>EMP1110</v>
      </c>
      <c r="B1111" s="14" t="n">
        <f aca="false">Raw_Data!B1111</f>
        <v>44278</v>
      </c>
      <c r="C1111" s="14" t="n">
        <f aca="false">IF(Raw_Data!C1111="","",Raw_Data!C1111)</f>
        <v>44890</v>
      </c>
      <c r="D1111" s="13" t="n">
        <f aca="false">IF(Raw_Data!D1111="","",Raw_Data!D1111)</f>
        <v>31</v>
      </c>
      <c r="E1111" s="13" t="str">
        <f aca="false">IF(UPPER(LEFT(TRIM(Raw_Data!E1111),1))="M","Male",IF(UPPER(LEFT(TRIM(Raw_Data!E1111),1))="F","Female","Unknown"))</f>
        <v>Female</v>
      </c>
      <c r="F1111" s="13" t="str">
        <f aca="false">PROPER(TRIM(SUBSTITUTE(Raw_Data!F1111,"'","")))</f>
        <v>Bachelors</v>
      </c>
      <c r="G1111" s="13" t="str">
        <f aca="false">PROPER(TRIM(Raw_Data!G1111))</f>
        <v>Operations</v>
      </c>
      <c r="H1111" s="13" t="str">
        <f aca="false">PROPER(TRIM(Raw_Data!H1111))</f>
        <v>Associate</v>
      </c>
      <c r="I1111" s="13" t="n">
        <f aca="false">IF(Raw_Data!I1111="",DefaultPerf,Raw_Data!I1111)</f>
        <v>4</v>
      </c>
      <c r="J1111" s="13" t="n">
        <f aca="false">IF(Raw_Data!J1111="",DefaultSat,Raw_Data!J1111)</f>
        <v>1</v>
      </c>
      <c r="K1111" s="15" t="n">
        <f aca="false">Raw_Data!K1111</f>
        <v>38000</v>
      </c>
      <c r="L1111" s="13" t="str">
        <f aca="false">PROPER(TRIM(Raw_Data!N1111))</f>
        <v>Yes</v>
      </c>
      <c r="M1111" s="13" t="n">
        <f aca="false">IF(C1111="",0,1)</f>
        <v>1</v>
      </c>
      <c r="N1111" s="13" t="str">
        <f aca="false">IF(M1111=0,"Active",IF(TRIM(Raw_Data!L1111)="","Unknown",PROPER(TRIM(Raw_Data!L1111))))</f>
        <v>Voluntary</v>
      </c>
      <c r="O1111" s="13" t="str">
        <f aca="false">IF(M1111=0,"",IF(TRIM(Raw_Data!M1111)="","Not Recorded",TRIM(Raw_Data!M1111)))</f>
        <v>Personal Reasons</v>
      </c>
      <c r="P1111" s="16" t="n">
        <f aca="false">ROUND((IF(C1111="",AsOfDate,C1111)-B1111)/365.25,2)</f>
        <v>1.68</v>
      </c>
      <c r="Q1111" s="13" t="str">
        <f aca="false">IF(D1111="","Unknown",IF(D1111&lt;25,"Under 25",IF(D1111&lt;35,"25-34",IF(D1111&lt;45,"35-44",IF(D1111&lt;55,"45-54","55+")))))</f>
        <v>25-34</v>
      </c>
      <c r="R1111" s="13" t="str">
        <f aca="false">IF(P1111&lt;1,"0-1 yrs",IF(P1111&lt;3,"1-3 yrs",IF(P1111&lt;5,"3-5 yrs",IF(P1111&lt;10,"5-10 yrs","10+ yrs"))))</f>
        <v>1-3 yrs</v>
      </c>
      <c r="S1111" s="13" t="str">
        <f aca="false">IF(I1111&gt;=4,"High",IF(I1111=3,"Medium","Low"))</f>
        <v>High</v>
      </c>
      <c r="T1111" s="13" t="n">
        <f aca="false">IF(M1111=1,YEAR(C1111),"")</f>
        <v>2022</v>
      </c>
      <c r="U1111" s="13" t="str">
        <f aca="false">IF(M1111=1,YEAR(C1111)&amp;"-Q"&amp;ROUNDUP(MONTH(C1111)/3,0),"")</f>
        <v>2022-Q4</v>
      </c>
      <c r="V1111" s="13" t="n">
        <f aca="false">IF(M1111=1,MONTH(C1111),"")</f>
        <v>11</v>
      </c>
    </row>
    <row r="1112" customFormat="false" ht="15" hidden="false" customHeight="false" outlineLevel="0" collapsed="false">
      <c r="A1112" s="13" t="str">
        <f aca="false">TRIM(Raw_Data!A1112)</f>
        <v>EMP1111</v>
      </c>
      <c r="B1112" s="14" t="n">
        <f aca="false">Raw_Data!B1112</f>
        <v>44280</v>
      </c>
      <c r="C1112" s="14" t="str">
        <f aca="false">IF(Raw_Data!C1112="","",Raw_Data!C1112)</f>
        <v/>
      </c>
      <c r="D1112" s="13" t="n">
        <f aca="false">IF(Raw_Data!D1112="","",Raw_Data!D1112)</f>
        <v>37</v>
      </c>
      <c r="E1112" s="13" t="str">
        <f aca="false">IF(UPPER(LEFT(TRIM(Raw_Data!E1112),1))="M","Male",IF(UPPER(LEFT(TRIM(Raw_Data!E1112),1))="F","Female","Unknown"))</f>
        <v>Male</v>
      </c>
      <c r="F1112" s="13" t="str">
        <f aca="false">PROPER(TRIM(SUBSTITUTE(Raw_Data!F1112,"'","")))</f>
        <v>Diploma</v>
      </c>
      <c r="G1112" s="13" t="str">
        <f aca="false">PROPER(TRIM(Raw_Data!G1112))</f>
        <v>Finance</v>
      </c>
      <c r="H1112" s="13" t="str">
        <f aca="false">PROPER(TRIM(Raw_Data!H1112))</f>
        <v>Associate</v>
      </c>
      <c r="I1112" s="13" t="n">
        <f aca="false">IF(Raw_Data!I1112="",DefaultPerf,Raw_Data!I1112)</f>
        <v>3</v>
      </c>
      <c r="J1112" s="13" t="n">
        <f aca="false">IF(Raw_Data!J1112="",DefaultSat,Raw_Data!J1112)</f>
        <v>4</v>
      </c>
      <c r="K1112" s="15" t="n">
        <f aca="false">Raw_Data!K1112</f>
        <v>41000</v>
      </c>
      <c r="L1112" s="13" t="str">
        <f aca="false">PROPER(TRIM(Raw_Data!N1112))</f>
        <v>No</v>
      </c>
      <c r="M1112" s="13" t="n">
        <f aca="false">IF(C1112="",0,1)</f>
        <v>0</v>
      </c>
      <c r="N1112" s="13" t="str">
        <f aca="false">IF(M1112=0,"Active",IF(TRIM(Raw_Data!L1112)="","Unknown",PROPER(TRIM(Raw_Data!L1112))))</f>
        <v>Active</v>
      </c>
      <c r="O1112" s="13" t="str">
        <f aca="false">IF(M1112=0,"",IF(TRIM(Raw_Data!M1112)="","Not Recorded",TRIM(Raw_Data!M1112)))</f>
        <v/>
      </c>
      <c r="P1112" s="16" t="n">
        <f aca="false">ROUND((IF(C1112="",AsOfDate,C1112)-B1112)/365.25,2)</f>
        <v>4.77</v>
      </c>
      <c r="Q1112" s="13" t="str">
        <f aca="false">IF(D1112="","Unknown",IF(D1112&lt;25,"Under 25",IF(D1112&lt;35,"25-34",IF(D1112&lt;45,"35-44",IF(D1112&lt;55,"45-54","55+")))))</f>
        <v>35-44</v>
      </c>
      <c r="R1112" s="13" t="str">
        <f aca="false">IF(P1112&lt;1,"0-1 yrs",IF(P1112&lt;3,"1-3 yrs",IF(P1112&lt;5,"3-5 yrs",IF(P1112&lt;10,"5-10 yrs","10+ yrs"))))</f>
        <v>3-5 yrs</v>
      </c>
      <c r="S1112" s="13" t="str">
        <f aca="false">IF(I1112&gt;=4,"High",IF(I1112=3,"Medium","Low"))</f>
        <v>Medium</v>
      </c>
      <c r="T1112" s="13" t="str">
        <f aca="false">IF(M1112=1,YEAR(C1112),"")</f>
        <v/>
      </c>
      <c r="U1112" s="13" t="str">
        <f aca="false">IF(M1112=1,YEAR(C1112)&amp;"-Q"&amp;ROUNDUP(MONTH(C1112)/3,0),"")</f>
        <v/>
      </c>
      <c r="V1112" s="13" t="str">
        <f aca="false">IF(M1112=1,MONTH(C1112),"")</f>
        <v/>
      </c>
    </row>
    <row r="1113" customFormat="false" ht="15" hidden="false" customHeight="false" outlineLevel="0" collapsed="false">
      <c r="A1113" s="13" t="str">
        <f aca="false">TRIM(Raw_Data!A1113)</f>
        <v>EMP1112</v>
      </c>
      <c r="B1113" s="14" t="n">
        <f aca="false">Raw_Data!B1113</f>
        <v>44281</v>
      </c>
      <c r="C1113" s="14" t="n">
        <f aca="false">IF(Raw_Data!C1113="","",Raw_Data!C1113)</f>
        <v>44677</v>
      </c>
      <c r="D1113" s="13" t="n">
        <f aca="false">IF(Raw_Data!D1113="","",Raw_Data!D1113)</f>
        <v>28</v>
      </c>
      <c r="E1113" s="13" t="str">
        <f aca="false">IF(UPPER(LEFT(TRIM(Raw_Data!E1113),1))="M","Male",IF(UPPER(LEFT(TRIM(Raw_Data!E1113),1))="F","Female","Unknown"))</f>
        <v>Male</v>
      </c>
      <c r="F1113" s="13" t="str">
        <f aca="false">PROPER(TRIM(SUBSTITUTE(Raw_Data!F1113,"'","")))</f>
        <v>Bachelors</v>
      </c>
      <c r="G1113" s="13" t="str">
        <f aca="false">PROPER(TRIM(Raw_Data!G1113))</f>
        <v>Engineering</v>
      </c>
      <c r="H1113" s="13" t="str">
        <f aca="false">PROPER(TRIM(Raw_Data!H1113))</f>
        <v>Team Lead</v>
      </c>
      <c r="I1113" s="13" t="n">
        <f aca="false">IF(Raw_Data!I1113="",DefaultPerf,Raw_Data!I1113)</f>
        <v>3</v>
      </c>
      <c r="J1113" s="13" t="n">
        <f aca="false">IF(Raw_Data!J1113="",DefaultSat,Raw_Data!J1113)</f>
        <v>2</v>
      </c>
      <c r="K1113" s="15" t="n">
        <f aca="false">Raw_Data!K1113</f>
        <v>120000</v>
      </c>
      <c r="L1113" s="13" t="str">
        <f aca="false">PROPER(TRIM(Raw_Data!N1113))</f>
        <v>No</v>
      </c>
      <c r="M1113" s="13" t="n">
        <f aca="false">IF(C1113="",0,1)</f>
        <v>1</v>
      </c>
      <c r="N1113" s="13" t="str">
        <f aca="false">IF(M1113=0,"Active",IF(TRIM(Raw_Data!L1113)="","Unknown",PROPER(TRIM(Raw_Data!L1113))))</f>
        <v>Voluntary</v>
      </c>
      <c r="O1113" s="13" t="str">
        <f aca="false">IF(M1113=0,"",IF(TRIM(Raw_Data!M1113)="","Not Recorded",TRIM(Raw_Data!M1113)))</f>
        <v>Job Dissatisfaction</v>
      </c>
      <c r="P1113" s="16" t="n">
        <f aca="false">ROUND((IF(C1113="",AsOfDate,C1113)-B1113)/365.25,2)</f>
        <v>1.08</v>
      </c>
      <c r="Q1113" s="13" t="str">
        <f aca="false">IF(D1113="","Unknown",IF(D1113&lt;25,"Under 25",IF(D1113&lt;35,"25-34",IF(D1113&lt;45,"35-44",IF(D1113&lt;55,"45-54","55+")))))</f>
        <v>25-34</v>
      </c>
      <c r="R1113" s="13" t="str">
        <f aca="false">IF(P1113&lt;1,"0-1 yrs",IF(P1113&lt;3,"1-3 yrs",IF(P1113&lt;5,"3-5 yrs",IF(P1113&lt;10,"5-10 yrs","10+ yrs"))))</f>
        <v>1-3 yrs</v>
      </c>
      <c r="S1113" s="13" t="str">
        <f aca="false">IF(I1113&gt;=4,"High",IF(I1113=3,"Medium","Low"))</f>
        <v>Medium</v>
      </c>
      <c r="T1113" s="13" t="n">
        <f aca="false">IF(M1113=1,YEAR(C1113),"")</f>
        <v>2022</v>
      </c>
      <c r="U1113" s="13" t="str">
        <f aca="false">IF(M1113=1,YEAR(C1113)&amp;"-Q"&amp;ROUNDUP(MONTH(C1113)/3,0),"")</f>
        <v>2022-Q2</v>
      </c>
      <c r="V1113" s="13" t="n">
        <f aca="false">IF(M1113=1,MONTH(C1113),"")</f>
        <v>4</v>
      </c>
    </row>
    <row r="1114" customFormat="false" ht="15" hidden="false" customHeight="false" outlineLevel="0" collapsed="false">
      <c r="A1114" s="13" t="str">
        <f aca="false">TRIM(Raw_Data!A1114)</f>
        <v>EMP1113</v>
      </c>
      <c r="B1114" s="14" t="n">
        <f aca="false">Raw_Data!B1114</f>
        <v>44282</v>
      </c>
      <c r="C1114" s="14" t="n">
        <f aca="false">IF(Raw_Data!C1114="","",Raw_Data!C1114)</f>
        <v>45611</v>
      </c>
      <c r="D1114" s="13" t="n">
        <f aca="false">IF(Raw_Data!D1114="","",Raw_Data!D1114)</f>
        <v>35</v>
      </c>
      <c r="E1114" s="13" t="str">
        <f aca="false">IF(UPPER(LEFT(TRIM(Raw_Data!E1114),1))="M","Male",IF(UPPER(LEFT(TRIM(Raw_Data!E1114),1))="F","Female","Unknown"))</f>
        <v>Female</v>
      </c>
      <c r="F1114" s="13" t="str">
        <f aca="false">PROPER(TRIM(SUBSTITUTE(Raw_Data!F1114,"'","")))</f>
        <v>Bachelors</v>
      </c>
      <c r="G1114" s="13" t="str">
        <f aca="false">PROPER(TRIM(Raw_Data!G1114))</f>
        <v>Customer Support</v>
      </c>
      <c r="H1114" s="13" t="str">
        <f aca="false">PROPER(TRIM(Raw_Data!H1114))</f>
        <v>Specialist</v>
      </c>
      <c r="I1114" s="13" t="n">
        <f aca="false">IF(Raw_Data!I1114="",DefaultPerf,Raw_Data!I1114)</f>
        <v>3</v>
      </c>
      <c r="J1114" s="13" t="n">
        <f aca="false">IF(Raw_Data!J1114="",DefaultSat,Raw_Data!J1114)</f>
        <v>2</v>
      </c>
      <c r="K1114" s="15" t="n">
        <f aca="false">Raw_Data!K1114</f>
        <v>105000</v>
      </c>
      <c r="L1114" s="13" t="str">
        <f aca="false">PROPER(TRIM(Raw_Data!N1114))</f>
        <v>No</v>
      </c>
      <c r="M1114" s="13" t="n">
        <f aca="false">IF(C1114="",0,1)</f>
        <v>1</v>
      </c>
      <c r="N1114" s="13" t="str">
        <f aca="false">IF(M1114=0,"Active",IF(TRIM(Raw_Data!L1114)="","Unknown",PROPER(TRIM(Raw_Data!L1114))))</f>
        <v>Voluntary</v>
      </c>
      <c r="O1114" s="13" t="str">
        <f aca="false">IF(M1114=0,"",IF(TRIM(Raw_Data!M1114)="","Not Recorded",TRIM(Raw_Data!M1114)))</f>
        <v>Job Dissatisfaction</v>
      </c>
      <c r="P1114" s="16" t="n">
        <f aca="false">ROUND((IF(C1114="",AsOfDate,C1114)-B1114)/365.25,2)</f>
        <v>3.64</v>
      </c>
      <c r="Q1114" s="13" t="str">
        <f aca="false">IF(D1114="","Unknown",IF(D1114&lt;25,"Under 25",IF(D1114&lt;35,"25-34",IF(D1114&lt;45,"35-44",IF(D1114&lt;55,"45-54","55+")))))</f>
        <v>35-44</v>
      </c>
      <c r="R1114" s="13" t="str">
        <f aca="false">IF(P1114&lt;1,"0-1 yrs",IF(P1114&lt;3,"1-3 yrs",IF(P1114&lt;5,"3-5 yrs",IF(P1114&lt;10,"5-10 yrs","10+ yrs"))))</f>
        <v>3-5 yrs</v>
      </c>
      <c r="S1114" s="13" t="str">
        <f aca="false">IF(I1114&gt;=4,"High",IF(I1114=3,"Medium","Low"))</f>
        <v>Medium</v>
      </c>
      <c r="T1114" s="13" t="n">
        <f aca="false">IF(M1114=1,YEAR(C1114),"")</f>
        <v>2024</v>
      </c>
      <c r="U1114" s="13" t="str">
        <f aca="false">IF(M1114=1,YEAR(C1114)&amp;"-Q"&amp;ROUNDUP(MONTH(C1114)/3,0),"")</f>
        <v>2024-Q4</v>
      </c>
      <c r="V1114" s="13" t="n">
        <f aca="false">IF(M1114=1,MONTH(C1114),"")</f>
        <v>11</v>
      </c>
    </row>
    <row r="1115" customFormat="false" ht="15" hidden="false" customHeight="false" outlineLevel="0" collapsed="false">
      <c r="A1115" s="13" t="str">
        <f aca="false">TRIM(Raw_Data!A1115)</f>
        <v>EMP1114</v>
      </c>
      <c r="B1115" s="14" t="n">
        <f aca="false">Raw_Data!B1115</f>
        <v>44287</v>
      </c>
      <c r="C1115" s="14" t="n">
        <f aca="false">IF(Raw_Data!C1115="","",Raw_Data!C1115)</f>
        <v>44644</v>
      </c>
      <c r="D1115" s="13" t="n">
        <f aca="false">IF(Raw_Data!D1115="","",Raw_Data!D1115)</f>
        <v>30</v>
      </c>
      <c r="E1115" s="13" t="str">
        <f aca="false">IF(UPPER(LEFT(TRIM(Raw_Data!E1115),1))="M","Male",IF(UPPER(LEFT(TRIM(Raw_Data!E1115),1))="F","Female","Unknown"))</f>
        <v>Male</v>
      </c>
      <c r="F1115" s="13" t="str">
        <f aca="false">PROPER(TRIM(SUBSTITUTE(Raw_Data!F1115,"'","")))</f>
        <v>Bachelors</v>
      </c>
      <c r="G1115" s="13" t="str">
        <f aca="false">PROPER(TRIM(Raw_Data!G1115))</f>
        <v>Customer Support</v>
      </c>
      <c r="H1115" s="13" t="str">
        <f aca="false">PROPER(TRIM(Raw_Data!H1115))</f>
        <v>Specialist</v>
      </c>
      <c r="I1115" s="13" t="n">
        <f aca="false">IF(Raw_Data!I1115="",DefaultPerf,Raw_Data!I1115)</f>
        <v>3</v>
      </c>
      <c r="J1115" s="13" t="n">
        <f aca="false">IF(Raw_Data!J1115="",DefaultSat,Raw_Data!J1115)</f>
        <v>2</v>
      </c>
      <c r="K1115" s="15" t="n">
        <f aca="false">Raw_Data!K1115</f>
        <v>103500</v>
      </c>
      <c r="L1115" s="13" t="str">
        <f aca="false">PROPER(TRIM(Raw_Data!N1115))</f>
        <v>No</v>
      </c>
      <c r="M1115" s="13" t="n">
        <f aca="false">IF(C1115="",0,1)</f>
        <v>1</v>
      </c>
      <c r="N1115" s="13" t="str">
        <f aca="false">IF(M1115=0,"Active",IF(TRIM(Raw_Data!L1115)="","Unknown",PROPER(TRIM(Raw_Data!L1115))))</f>
        <v>Voluntary</v>
      </c>
      <c r="O1115" s="13" t="str">
        <f aca="false">IF(M1115=0,"",IF(TRIM(Raw_Data!M1115)="","Not Recorded",TRIM(Raw_Data!M1115)))</f>
        <v>Career Growth</v>
      </c>
      <c r="P1115" s="16" t="n">
        <f aca="false">ROUND((IF(C1115="",AsOfDate,C1115)-B1115)/365.25,2)</f>
        <v>0.98</v>
      </c>
      <c r="Q1115" s="13" t="str">
        <f aca="false">IF(D1115="","Unknown",IF(D1115&lt;25,"Under 25",IF(D1115&lt;35,"25-34",IF(D1115&lt;45,"35-44",IF(D1115&lt;55,"45-54","55+")))))</f>
        <v>25-34</v>
      </c>
      <c r="R1115" s="13" t="str">
        <f aca="false">IF(P1115&lt;1,"0-1 yrs",IF(P1115&lt;3,"1-3 yrs",IF(P1115&lt;5,"3-5 yrs",IF(P1115&lt;10,"5-10 yrs","10+ yrs"))))</f>
        <v>0-1 yrs</v>
      </c>
      <c r="S1115" s="13" t="str">
        <f aca="false">IF(I1115&gt;=4,"High",IF(I1115=3,"Medium","Low"))</f>
        <v>Medium</v>
      </c>
      <c r="T1115" s="13" t="n">
        <f aca="false">IF(M1115=1,YEAR(C1115),"")</f>
        <v>2022</v>
      </c>
      <c r="U1115" s="13" t="str">
        <f aca="false">IF(M1115=1,YEAR(C1115)&amp;"-Q"&amp;ROUNDUP(MONTH(C1115)/3,0),"")</f>
        <v>2022-Q1</v>
      </c>
      <c r="V1115" s="13" t="n">
        <f aca="false">IF(M1115=1,MONTH(C1115),"")</f>
        <v>3</v>
      </c>
    </row>
    <row r="1116" customFormat="false" ht="15" hidden="false" customHeight="false" outlineLevel="0" collapsed="false">
      <c r="A1116" s="13" t="str">
        <f aca="false">TRIM(Raw_Data!A1116)</f>
        <v>EMP1115</v>
      </c>
      <c r="B1116" s="14" t="n">
        <f aca="false">Raw_Data!B1116</f>
        <v>44293</v>
      </c>
      <c r="C1116" s="14" t="str">
        <f aca="false">IF(Raw_Data!C1116="","",Raw_Data!C1116)</f>
        <v/>
      </c>
      <c r="D1116" s="13" t="n">
        <f aca="false">IF(Raw_Data!D1116="","",Raw_Data!D1116)</f>
        <v>37</v>
      </c>
      <c r="E1116" s="13" t="str">
        <f aca="false">IF(UPPER(LEFT(TRIM(Raw_Data!E1116),1))="M","Male",IF(UPPER(LEFT(TRIM(Raw_Data!E1116),1))="F","Female","Unknown"))</f>
        <v>Male</v>
      </c>
      <c r="F1116" s="13" t="str">
        <f aca="false">PROPER(TRIM(SUBSTITUTE(Raw_Data!F1116,"'","")))</f>
        <v>Masters</v>
      </c>
      <c r="G1116" s="13" t="str">
        <f aca="false">PROPER(TRIM(Raw_Data!G1116))</f>
        <v>Operations</v>
      </c>
      <c r="H1116" s="13" t="str">
        <f aca="false">PROPER(TRIM(Raw_Data!H1116))</f>
        <v>Team Lead</v>
      </c>
      <c r="I1116" s="13" t="n">
        <f aca="false">IF(Raw_Data!I1116="",DefaultPerf,Raw_Data!I1116)</f>
        <v>5</v>
      </c>
      <c r="J1116" s="13" t="n">
        <f aca="false">IF(Raw_Data!J1116="",DefaultSat,Raw_Data!J1116)</f>
        <v>3</v>
      </c>
      <c r="K1116" s="15" t="n">
        <f aca="false">Raw_Data!K1116</f>
        <v>138500</v>
      </c>
      <c r="L1116" s="13" t="str">
        <f aca="false">PROPER(TRIM(Raw_Data!N1116))</f>
        <v>No</v>
      </c>
      <c r="M1116" s="13" t="n">
        <f aca="false">IF(C1116="",0,1)</f>
        <v>0</v>
      </c>
      <c r="N1116" s="13" t="str">
        <f aca="false">IF(M1116=0,"Active",IF(TRIM(Raw_Data!L1116)="","Unknown",PROPER(TRIM(Raw_Data!L1116))))</f>
        <v>Active</v>
      </c>
      <c r="O1116" s="13" t="str">
        <f aca="false">IF(M1116=0,"",IF(TRIM(Raw_Data!M1116)="","Not Recorded",TRIM(Raw_Data!M1116)))</f>
        <v/>
      </c>
      <c r="P1116" s="16" t="n">
        <f aca="false">ROUND((IF(C1116="",AsOfDate,C1116)-B1116)/365.25,2)</f>
        <v>4.73</v>
      </c>
      <c r="Q1116" s="13" t="str">
        <f aca="false">IF(D1116="","Unknown",IF(D1116&lt;25,"Under 25",IF(D1116&lt;35,"25-34",IF(D1116&lt;45,"35-44",IF(D1116&lt;55,"45-54","55+")))))</f>
        <v>35-44</v>
      </c>
      <c r="R1116" s="13" t="str">
        <f aca="false">IF(P1116&lt;1,"0-1 yrs",IF(P1116&lt;3,"1-3 yrs",IF(P1116&lt;5,"3-5 yrs",IF(P1116&lt;10,"5-10 yrs","10+ yrs"))))</f>
        <v>3-5 yrs</v>
      </c>
      <c r="S1116" s="13" t="str">
        <f aca="false">IF(I1116&gt;=4,"High",IF(I1116=3,"Medium","Low"))</f>
        <v>High</v>
      </c>
      <c r="T1116" s="13" t="str">
        <f aca="false">IF(M1116=1,YEAR(C1116),"")</f>
        <v/>
      </c>
      <c r="U1116" s="13" t="str">
        <f aca="false">IF(M1116=1,YEAR(C1116)&amp;"-Q"&amp;ROUNDUP(MONTH(C1116)/3,0),"")</f>
        <v/>
      </c>
      <c r="V1116" s="13" t="str">
        <f aca="false">IF(M1116=1,MONTH(C1116),"")</f>
        <v/>
      </c>
    </row>
    <row r="1117" customFormat="false" ht="15" hidden="false" customHeight="false" outlineLevel="0" collapsed="false">
      <c r="A1117" s="13" t="str">
        <f aca="false">TRIM(Raw_Data!A1117)</f>
        <v>EMP1116</v>
      </c>
      <c r="B1117" s="14" t="n">
        <f aca="false">Raw_Data!B1117</f>
        <v>44297</v>
      </c>
      <c r="C1117" s="14" t="str">
        <f aca="false">IF(Raw_Data!C1117="","",Raw_Data!C1117)</f>
        <v/>
      </c>
      <c r="D1117" s="13" t="n">
        <f aca="false">IF(Raw_Data!D1117="","",Raw_Data!D1117)</f>
        <v>33</v>
      </c>
      <c r="E1117" s="13" t="str">
        <f aca="false">IF(UPPER(LEFT(TRIM(Raw_Data!E1117),1))="M","Male",IF(UPPER(LEFT(TRIM(Raw_Data!E1117),1))="F","Female","Unknown"))</f>
        <v>Male</v>
      </c>
      <c r="F1117" s="13" t="str">
        <f aca="false">PROPER(TRIM(SUBSTITUTE(Raw_Data!F1117,"'","")))</f>
        <v>Masters</v>
      </c>
      <c r="G1117" s="13" t="str">
        <f aca="false">PROPER(TRIM(Raw_Data!G1117))</f>
        <v>Operations</v>
      </c>
      <c r="H1117" s="13" t="str">
        <f aca="false">PROPER(TRIM(Raw_Data!H1117))</f>
        <v>Team Lead</v>
      </c>
      <c r="I1117" s="13" t="n">
        <f aca="false">IF(Raw_Data!I1117="",DefaultPerf,Raw_Data!I1117)</f>
        <v>3</v>
      </c>
      <c r="J1117" s="13" t="n">
        <f aca="false">IF(Raw_Data!J1117="",DefaultSat,Raw_Data!J1117)</f>
        <v>2</v>
      </c>
      <c r="K1117" s="15" t="n">
        <f aca="false">Raw_Data!K1117</f>
        <v>130500</v>
      </c>
      <c r="L1117" s="13" t="str">
        <f aca="false">PROPER(TRIM(Raw_Data!N1117))</f>
        <v>No</v>
      </c>
      <c r="M1117" s="13" t="n">
        <f aca="false">IF(C1117="",0,1)</f>
        <v>0</v>
      </c>
      <c r="N1117" s="13" t="str">
        <f aca="false">IF(M1117=0,"Active",IF(TRIM(Raw_Data!L1117)="","Unknown",PROPER(TRIM(Raw_Data!L1117))))</f>
        <v>Active</v>
      </c>
      <c r="O1117" s="13" t="str">
        <f aca="false">IF(M1117=0,"",IF(TRIM(Raw_Data!M1117)="","Not Recorded",TRIM(Raw_Data!M1117)))</f>
        <v/>
      </c>
      <c r="P1117" s="16" t="n">
        <f aca="false">ROUND((IF(C1117="",AsOfDate,C1117)-B1117)/365.25,2)</f>
        <v>4.72</v>
      </c>
      <c r="Q1117" s="13" t="str">
        <f aca="false">IF(D1117="","Unknown",IF(D1117&lt;25,"Under 25",IF(D1117&lt;35,"25-34",IF(D1117&lt;45,"35-44",IF(D1117&lt;55,"45-54","55+")))))</f>
        <v>25-34</v>
      </c>
      <c r="R1117" s="13" t="str">
        <f aca="false">IF(P1117&lt;1,"0-1 yrs",IF(P1117&lt;3,"1-3 yrs",IF(P1117&lt;5,"3-5 yrs",IF(P1117&lt;10,"5-10 yrs","10+ yrs"))))</f>
        <v>3-5 yrs</v>
      </c>
      <c r="S1117" s="13" t="str">
        <f aca="false">IF(I1117&gt;=4,"High",IF(I1117=3,"Medium","Low"))</f>
        <v>Medium</v>
      </c>
      <c r="T1117" s="13" t="str">
        <f aca="false">IF(M1117=1,YEAR(C1117),"")</f>
        <v/>
      </c>
      <c r="U1117" s="13" t="str">
        <f aca="false">IF(M1117=1,YEAR(C1117)&amp;"-Q"&amp;ROUNDUP(MONTH(C1117)/3,0),"")</f>
        <v/>
      </c>
      <c r="V1117" s="13" t="str">
        <f aca="false">IF(M1117=1,MONTH(C1117),"")</f>
        <v/>
      </c>
    </row>
    <row r="1118" customFormat="false" ht="15" hidden="false" customHeight="false" outlineLevel="0" collapsed="false">
      <c r="A1118" s="13" t="str">
        <f aca="false">TRIM(Raw_Data!A1118)</f>
        <v>EMP1117</v>
      </c>
      <c r="B1118" s="14" t="n">
        <f aca="false">Raw_Data!B1118</f>
        <v>44299</v>
      </c>
      <c r="C1118" s="14" t="str">
        <f aca="false">IF(Raw_Data!C1118="","",Raw_Data!C1118)</f>
        <v/>
      </c>
      <c r="D1118" s="13" t="n">
        <f aca="false">IF(Raw_Data!D1118="","",Raw_Data!D1118)</f>
        <v>26</v>
      </c>
      <c r="E1118" s="13" t="str">
        <f aca="false">IF(UPPER(LEFT(TRIM(Raw_Data!E1118),1))="M","Male",IF(UPPER(LEFT(TRIM(Raw_Data!E1118),1))="F","Female","Unknown"))</f>
        <v>Male</v>
      </c>
      <c r="F1118" s="13" t="str">
        <f aca="false">PROPER(TRIM(SUBSTITUTE(Raw_Data!F1118,"'","")))</f>
        <v>Diploma</v>
      </c>
      <c r="G1118" s="13" t="str">
        <f aca="false">PROPER(TRIM(Raw_Data!G1118))</f>
        <v>Operations</v>
      </c>
      <c r="H1118" s="13" t="str">
        <f aca="false">PROPER(TRIM(Raw_Data!H1118))</f>
        <v>Manager</v>
      </c>
      <c r="I1118" s="13" t="n">
        <f aca="false">IF(Raw_Data!I1118="",DefaultPerf,Raw_Data!I1118)</f>
        <v>4</v>
      </c>
      <c r="J1118" s="13" t="n">
        <f aca="false">IF(Raw_Data!J1118="",DefaultSat,Raw_Data!J1118)</f>
        <v>2</v>
      </c>
      <c r="K1118" s="15" t="n">
        <f aca="false">Raw_Data!K1118</f>
        <v>201000</v>
      </c>
      <c r="L1118" s="13" t="str">
        <f aca="false">PROPER(TRIM(Raw_Data!N1118))</f>
        <v>No</v>
      </c>
      <c r="M1118" s="13" t="n">
        <f aca="false">IF(C1118="",0,1)</f>
        <v>0</v>
      </c>
      <c r="N1118" s="13" t="str">
        <f aca="false">IF(M1118=0,"Active",IF(TRIM(Raw_Data!L1118)="","Unknown",PROPER(TRIM(Raw_Data!L1118))))</f>
        <v>Active</v>
      </c>
      <c r="O1118" s="13" t="str">
        <f aca="false">IF(M1118=0,"",IF(TRIM(Raw_Data!M1118)="","Not Recorded",TRIM(Raw_Data!M1118)))</f>
        <v/>
      </c>
      <c r="P1118" s="16" t="n">
        <f aca="false">ROUND((IF(C1118="",AsOfDate,C1118)-B1118)/365.25,2)</f>
        <v>4.72</v>
      </c>
      <c r="Q1118" s="13" t="str">
        <f aca="false">IF(D1118="","Unknown",IF(D1118&lt;25,"Under 25",IF(D1118&lt;35,"25-34",IF(D1118&lt;45,"35-44",IF(D1118&lt;55,"45-54","55+")))))</f>
        <v>25-34</v>
      </c>
      <c r="R1118" s="13" t="str">
        <f aca="false">IF(P1118&lt;1,"0-1 yrs",IF(P1118&lt;3,"1-3 yrs",IF(P1118&lt;5,"3-5 yrs",IF(P1118&lt;10,"5-10 yrs","10+ yrs"))))</f>
        <v>3-5 yrs</v>
      </c>
      <c r="S1118" s="13" t="str">
        <f aca="false">IF(I1118&gt;=4,"High",IF(I1118=3,"Medium","Low"))</f>
        <v>High</v>
      </c>
      <c r="T1118" s="13" t="str">
        <f aca="false">IF(M1118=1,YEAR(C1118),"")</f>
        <v/>
      </c>
      <c r="U1118" s="13" t="str">
        <f aca="false">IF(M1118=1,YEAR(C1118)&amp;"-Q"&amp;ROUNDUP(MONTH(C1118)/3,0),"")</f>
        <v/>
      </c>
      <c r="V1118" s="13" t="str">
        <f aca="false">IF(M1118=1,MONTH(C1118),"")</f>
        <v/>
      </c>
    </row>
    <row r="1119" customFormat="false" ht="15" hidden="false" customHeight="false" outlineLevel="0" collapsed="false">
      <c r="A1119" s="13" t="str">
        <f aca="false">TRIM(Raw_Data!A1119)</f>
        <v>EMP1118</v>
      </c>
      <c r="B1119" s="14" t="n">
        <f aca="false">Raw_Data!B1119</f>
        <v>44301</v>
      </c>
      <c r="C1119" s="14" t="str">
        <f aca="false">IF(Raw_Data!C1119="","",Raw_Data!C1119)</f>
        <v/>
      </c>
      <c r="D1119" s="13" t="n">
        <f aca="false">IF(Raw_Data!D1119="","",Raw_Data!D1119)</f>
        <v>32</v>
      </c>
      <c r="E1119" s="13" t="str">
        <f aca="false">IF(UPPER(LEFT(TRIM(Raw_Data!E1119),1))="M","Male",IF(UPPER(LEFT(TRIM(Raw_Data!E1119),1))="F","Female","Unknown"))</f>
        <v>Male</v>
      </c>
      <c r="F1119" s="13" t="str">
        <f aca="false">PROPER(TRIM(SUBSTITUTE(Raw_Data!F1119,"'","")))</f>
        <v>Masters</v>
      </c>
      <c r="G1119" s="13" t="str">
        <f aca="false">PROPER(TRIM(Raw_Data!G1119))</f>
        <v>Operations</v>
      </c>
      <c r="H1119" s="13" t="str">
        <f aca="false">PROPER(TRIM(Raw_Data!H1119))</f>
        <v>Specialist</v>
      </c>
      <c r="I1119" s="13" t="n">
        <f aca="false">IF(Raw_Data!I1119="",DefaultPerf,Raw_Data!I1119)</f>
        <v>3</v>
      </c>
      <c r="J1119" s="13" t="n">
        <f aca="false">IF(Raw_Data!J1119="",DefaultSat,Raw_Data!J1119)</f>
        <v>1</v>
      </c>
      <c r="K1119" s="15" t="n">
        <f aca="false">Raw_Data!K1119</f>
        <v>101500</v>
      </c>
      <c r="L1119" s="13" t="str">
        <f aca="false">PROPER(TRIM(Raw_Data!N1119))</f>
        <v>No</v>
      </c>
      <c r="M1119" s="13" t="n">
        <f aca="false">IF(C1119="",0,1)</f>
        <v>0</v>
      </c>
      <c r="N1119" s="13" t="str">
        <f aca="false">IF(M1119=0,"Active",IF(TRIM(Raw_Data!L1119)="","Unknown",PROPER(TRIM(Raw_Data!L1119))))</f>
        <v>Active</v>
      </c>
      <c r="O1119" s="13" t="str">
        <f aca="false">IF(M1119=0,"",IF(TRIM(Raw_Data!M1119)="","Not Recorded",TRIM(Raw_Data!M1119)))</f>
        <v/>
      </c>
      <c r="P1119" s="16" t="n">
        <f aca="false">ROUND((IF(C1119="",AsOfDate,C1119)-B1119)/365.25,2)</f>
        <v>4.71</v>
      </c>
      <c r="Q1119" s="13" t="str">
        <f aca="false">IF(D1119="","Unknown",IF(D1119&lt;25,"Under 25",IF(D1119&lt;35,"25-34",IF(D1119&lt;45,"35-44",IF(D1119&lt;55,"45-54","55+")))))</f>
        <v>25-34</v>
      </c>
      <c r="R1119" s="13" t="str">
        <f aca="false">IF(P1119&lt;1,"0-1 yrs",IF(P1119&lt;3,"1-3 yrs",IF(P1119&lt;5,"3-5 yrs",IF(P1119&lt;10,"5-10 yrs","10+ yrs"))))</f>
        <v>3-5 yrs</v>
      </c>
      <c r="S1119" s="13" t="str">
        <f aca="false">IF(I1119&gt;=4,"High",IF(I1119=3,"Medium","Low"))</f>
        <v>Medium</v>
      </c>
      <c r="T1119" s="13" t="str">
        <f aca="false">IF(M1119=1,YEAR(C1119),"")</f>
        <v/>
      </c>
      <c r="U1119" s="13" t="str">
        <f aca="false">IF(M1119=1,YEAR(C1119)&amp;"-Q"&amp;ROUNDUP(MONTH(C1119)/3,0),"")</f>
        <v/>
      </c>
      <c r="V1119" s="13" t="str">
        <f aca="false">IF(M1119=1,MONTH(C1119),"")</f>
        <v/>
      </c>
    </row>
    <row r="1120" customFormat="false" ht="15" hidden="false" customHeight="false" outlineLevel="0" collapsed="false">
      <c r="A1120" s="13" t="str">
        <f aca="false">TRIM(Raw_Data!A1120)</f>
        <v>EMP1119</v>
      </c>
      <c r="B1120" s="14" t="n">
        <f aca="false">Raw_Data!B1120</f>
        <v>44302</v>
      </c>
      <c r="C1120" s="14" t="str">
        <f aca="false">IF(Raw_Data!C1120="","",Raw_Data!C1120)</f>
        <v/>
      </c>
      <c r="D1120" s="13" t="n">
        <f aca="false">IF(Raw_Data!D1120="","",Raw_Data!D1120)</f>
        <v>30</v>
      </c>
      <c r="E1120" s="13" t="str">
        <f aca="false">IF(UPPER(LEFT(TRIM(Raw_Data!E1120),1))="M","Male",IF(UPPER(LEFT(TRIM(Raw_Data!E1120),1))="F","Female","Unknown"))</f>
        <v>Female</v>
      </c>
      <c r="F1120" s="13" t="str">
        <f aca="false">PROPER(TRIM(SUBSTITUTE(Raw_Data!F1120,"'","")))</f>
        <v>Bachelors</v>
      </c>
      <c r="G1120" s="13" t="str">
        <f aca="false">PROPER(TRIM(Raw_Data!G1120))</f>
        <v>Sales</v>
      </c>
      <c r="H1120" s="13" t="str">
        <f aca="false">PROPER(TRIM(Raw_Data!H1120))</f>
        <v>Manager</v>
      </c>
      <c r="I1120" s="13" t="n">
        <f aca="false">IF(Raw_Data!I1120="",DefaultPerf,Raw_Data!I1120)</f>
        <v>3</v>
      </c>
      <c r="J1120" s="13" t="n">
        <f aca="false">IF(Raw_Data!J1120="",DefaultSat,Raw_Data!J1120)</f>
        <v>2</v>
      </c>
      <c r="K1120" s="15" t="n">
        <f aca="false">Raw_Data!K1120</f>
        <v>206500</v>
      </c>
      <c r="L1120" s="13" t="str">
        <f aca="false">PROPER(TRIM(Raw_Data!N1120))</f>
        <v>Yes</v>
      </c>
      <c r="M1120" s="13" t="n">
        <f aca="false">IF(C1120="",0,1)</f>
        <v>0</v>
      </c>
      <c r="N1120" s="13" t="str">
        <f aca="false">IF(M1120=0,"Active",IF(TRIM(Raw_Data!L1120)="","Unknown",PROPER(TRIM(Raw_Data!L1120))))</f>
        <v>Active</v>
      </c>
      <c r="O1120" s="13" t="str">
        <f aca="false">IF(M1120=0,"",IF(TRIM(Raw_Data!M1120)="","Not Recorded",TRIM(Raw_Data!M1120)))</f>
        <v/>
      </c>
      <c r="P1120" s="16" t="n">
        <f aca="false">ROUND((IF(C1120="",AsOfDate,C1120)-B1120)/365.25,2)</f>
        <v>4.71</v>
      </c>
      <c r="Q1120" s="13" t="str">
        <f aca="false">IF(D1120="","Unknown",IF(D1120&lt;25,"Under 25",IF(D1120&lt;35,"25-34",IF(D1120&lt;45,"35-44",IF(D1120&lt;55,"45-54","55+")))))</f>
        <v>25-34</v>
      </c>
      <c r="R1120" s="13" t="str">
        <f aca="false">IF(P1120&lt;1,"0-1 yrs",IF(P1120&lt;3,"1-3 yrs",IF(P1120&lt;5,"3-5 yrs",IF(P1120&lt;10,"5-10 yrs","10+ yrs"))))</f>
        <v>3-5 yrs</v>
      </c>
      <c r="S1120" s="13" t="str">
        <f aca="false">IF(I1120&gt;=4,"High",IF(I1120=3,"Medium","Low"))</f>
        <v>Medium</v>
      </c>
      <c r="T1120" s="13" t="str">
        <f aca="false">IF(M1120=1,YEAR(C1120),"")</f>
        <v/>
      </c>
      <c r="U1120" s="13" t="str">
        <f aca="false">IF(M1120=1,YEAR(C1120)&amp;"-Q"&amp;ROUNDUP(MONTH(C1120)/3,0),"")</f>
        <v/>
      </c>
      <c r="V1120" s="13" t="str">
        <f aca="false">IF(M1120=1,MONTH(C1120),"")</f>
        <v/>
      </c>
    </row>
    <row r="1121" customFormat="false" ht="15" hidden="false" customHeight="false" outlineLevel="0" collapsed="false">
      <c r="A1121" s="13" t="str">
        <f aca="false">TRIM(Raw_Data!A1121)</f>
        <v>EMP1120</v>
      </c>
      <c r="B1121" s="14" t="n">
        <f aca="false">Raw_Data!B1121</f>
        <v>44305</v>
      </c>
      <c r="C1121" s="14" t="n">
        <f aca="false">IF(Raw_Data!C1121="","",Raw_Data!C1121)</f>
        <v>44884</v>
      </c>
      <c r="D1121" s="13" t="n">
        <f aca="false">IF(Raw_Data!D1121="","",Raw_Data!D1121)</f>
        <v>26</v>
      </c>
      <c r="E1121" s="13" t="str">
        <f aca="false">IF(UPPER(LEFT(TRIM(Raw_Data!E1121),1))="M","Male",IF(UPPER(LEFT(TRIM(Raw_Data!E1121),1))="F","Female","Unknown"))</f>
        <v>Female</v>
      </c>
      <c r="F1121" s="13" t="str">
        <f aca="false">PROPER(TRIM(SUBSTITUTE(Raw_Data!F1121,"'","")))</f>
        <v>Bachelors</v>
      </c>
      <c r="G1121" s="13" t="str">
        <f aca="false">PROPER(TRIM(Raw_Data!G1121))</f>
        <v>Sales</v>
      </c>
      <c r="H1121" s="13" t="str">
        <f aca="false">PROPER(TRIM(Raw_Data!H1121))</f>
        <v>Associate</v>
      </c>
      <c r="I1121" s="13" t="n">
        <f aca="false">IF(Raw_Data!I1121="",DefaultPerf,Raw_Data!I1121)</f>
        <v>3</v>
      </c>
      <c r="J1121" s="13" t="n">
        <f aca="false">IF(Raw_Data!J1121="",DefaultSat,Raw_Data!J1121)</f>
        <v>3</v>
      </c>
      <c r="K1121" s="15" t="n">
        <f aca="false">Raw_Data!K1121</f>
        <v>46000</v>
      </c>
      <c r="L1121" s="13" t="str">
        <f aca="false">PROPER(TRIM(Raw_Data!N1121))</f>
        <v>No</v>
      </c>
      <c r="M1121" s="13" t="n">
        <f aca="false">IF(C1121="",0,1)</f>
        <v>1</v>
      </c>
      <c r="N1121" s="13" t="str">
        <f aca="false">IF(M1121=0,"Active",IF(TRIM(Raw_Data!L1121)="","Unknown",PROPER(TRIM(Raw_Data!L1121))))</f>
        <v>Involuntary</v>
      </c>
      <c r="O1121" s="13" t="str">
        <f aca="false">IF(M1121=0,"",IF(TRIM(Raw_Data!M1121)="","Not Recorded",TRIM(Raw_Data!M1121)))</f>
        <v>Restructuring / Layoff</v>
      </c>
      <c r="P1121" s="16" t="n">
        <f aca="false">ROUND((IF(C1121="",AsOfDate,C1121)-B1121)/365.25,2)</f>
        <v>1.59</v>
      </c>
      <c r="Q1121" s="13" t="str">
        <f aca="false">IF(D1121="","Unknown",IF(D1121&lt;25,"Under 25",IF(D1121&lt;35,"25-34",IF(D1121&lt;45,"35-44",IF(D1121&lt;55,"45-54","55+")))))</f>
        <v>25-34</v>
      </c>
      <c r="R1121" s="13" t="str">
        <f aca="false">IF(P1121&lt;1,"0-1 yrs",IF(P1121&lt;3,"1-3 yrs",IF(P1121&lt;5,"3-5 yrs",IF(P1121&lt;10,"5-10 yrs","10+ yrs"))))</f>
        <v>1-3 yrs</v>
      </c>
      <c r="S1121" s="13" t="str">
        <f aca="false">IF(I1121&gt;=4,"High",IF(I1121=3,"Medium","Low"))</f>
        <v>Medium</v>
      </c>
      <c r="T1121" s="13" t="n">
        <f aca="false">IF(M1121=1,YEAR(C1121),"")</f>
        <v>2022</v>
      </c>
      <c r="U1121" s="13" t="str">
        <f aca="false">IF(M1121=1,YEAR(C1121)&amp;"-Q"&amp;ROUNDUP(MONTH(C1121)/3,0),"")</f>
        <v>2022-Q4</v>
      </c>
      <c r="V1121" s="13" t="n">
        <f aca="false">IF(M1121=1,MONTH(C1121),"")</f>
        <v>11</v>
      </c>
    </row>
    <row r="1122" customFormat="false" ht="15" hidden="false" customHeight="false" outlineLevel="0" collapsed="false">
      <c r="A1122" s="13" t="str">
        <f aca="false">TRIM(Raw_Data!A1122)</f>
        <v>EMP1121</v>
      </c>
      <c r="B1122" s="14" t="n">
        <f aca="false">Raw_Data!B1122</f>
        <v>44306</v>
      </c>
      <c r="C1122" s="14" t="str">
        <f aca="false">IF(Raw_Data!C1122="","",Raw_Data!C1122)</f>
        <v/>
      </c>
      <c r="D1122" s="13" t="n">
        <f aca="false">IF(Raw_Data!D1122="","",Raw_Data!D1122)</f>
        <v>37</v>
      </c>
      <c r="E1122" s="13" t="str">
        <f aca="false">IF(UPPER(LEFT(TRIM(Raw_Data!E1122),1))="M","Male",IF(UPPER(LEFT(TRIM(Raw_Data!E1122),1))="F","Female","Unknown"))</f>
        <v>Female</v>
      </c>
      <c r="F1122" s="13" t="str">
        <f aca="false">PROPER(TRIM(SUBSTITUTE(Raw_Data!F1122,"'","")))</f>
        <v>High School</v>
      </c>
      <c r="G1122" s="13" t="str">
        <f aca="false">PROPER(TRIM(Raw_Data!G1122))</f>
        <v>Finance</v>
      </c>
      <c r="H1122" s="13" t="str">
        <f aca="false">PROPER(TRIM(Raw_Data!H1122))</f>
        <v>Analyst</v>
      </c>
      <c r="I1122" s="13" t="n">
        <f aca="false">IF(Raw_Data!I1122="",DefaultPerf,Raw_Data!I1122)</f>
        <v>3</v>
      </c>
      <c r="J1122" s="13" t="n">
        <f aca="false">IF(Raw_Data!J1122="",DefaultSat,Raw_Data!J1122)</f>
        <v>4</v>
      </c>
      <c r="K1122" s="15" t="n">
        <f aca="false">Raw_Data!K1122</f>
        <v>68500</v>
      </c>
      <c r="L1122" s="13" t="str">
        <f aca="false">PROPER(TRIM(Raw_Data!N1122))</f>
        <v>No</v>
      </c>
      <c r="M1122" s="13" t="n">
        <f aca="false">IF(C1122="",0,1)</f>
        <v>0</v>
      </c>
      <c r="N1122" s="13" t="str">
        <f aca="false">IF(M1122=0,"Active",IF(TRIM(Raw_Data!L1122)="","Unknown",PROPER(TRIM(Raw_Data!L1122))))</f>
        <v>Active</v>
      </c>
      <c r="O1122" s="13" t="str">
        <f aca="false">IF(M1122=0,"",IF(TRIM(Raw_Data!M1122)="","Not Recorded",TRIM(Raw_Data!M1122)))</f>
        <v/>
      </c>
      <c r="P1122" s="16" t="n">
        <f aca="false">ROUND((IF(C1122="",AsOfDate,C1122)-B1122)/365.25,2)</f>
        <v>4.7</v>
      </c>
      <c r="Q1122" s="13" t="str">
        <f aca="false">IF(D1122="","Unknown",IF(D1122&lt;25,"Under 25",IF(D1122&lt;35,"25-34",IF(D1122&lt;45,"35-44",IF(D1122&lt;55,"45-54","55+")))))</f>
        <v>35-44</v>
      </c>
      <c r="R1122" s="13" t="str">
        <f aca="false">IF(P1122&lt;1,"0-1 yrs",IF(P1122&lt;3,"1-3 yrs",IF(P1122&lt;5,"3-5 yrs",IF(P1122&lt;10,"5-10 yrs","10+ yrs"))))</f>
        <v>3-5 yrs</v>
      </c>
      <c r="S1122" s="13" t="str">
        <f aca="false">IF(I1122&gt;=4,"High",IF(I1122=3,"Medium","Low"))</f>
        <v>Medium</v>
      </c>
      <c r="T1122" s="13" t="str">
        <f aca="false">IF(M1122=1,YEAR(C1122),"")</f>
        <v/>
      </c>
      <c r="U1122" s="13" t="str">
        <f aca="false">IF(M1122=1,YEAR(C1122)&amp;"-Q"&amp;ROUNDUP(MONTH(C1122)/3,0),"")</f>
        <v/>
      </c>
      <c r="V1122" s="13" t="str">
        <f aca="false">IF(M1122=1,MONTH(C1122),"")</f>
        <v/>
      </c>
    </row>
    <row r="1123" customFormat="false" ht="15" hidden="false" customHeight="false" outlineLevel="0" collapsed="false">
      <c r="A1123" s="13" t="str">
        <f aca="false">TRIM(Raw_Data!A1123)</f>
        <v>EMP1122</v>
      </c>
      <c r="B1123" s="14" t="n">
        <f aca="false">Raw_Data!B1123</f>
        <v>44307</v>
      </c>
      <c r="C1123" s="14" t="str">
        <f aca="false">IF(Raw_Data!C1123="","",Raw_Data!C1123)</f>
        <v/>
      </c>
      <c r="D1123" s="13" t="n">
        <f aca="false">IF(Raw_Data!D1123="","",Raw_Data!D1123)</f>
        <v>26</v>
      </c>
      <c r="E1123" s="13" t="str">
        <f aca="false">IF(UPPER(LEFT(TRIM(Raw_Data!E1123),1))="M","Male",IF(UPPER(LEFT(TRIM(Raw_Data!E1123),1))="F","Female","Unknown"))</f>
        <v>Male</v>
      </c>
      <c r="F1123" s="13" t="str">
        <f aca="false">PROPER(TRIM(SUBSTITUTE(Raw_Data!F1123,"'","")))</f>
        <v>Bachelors</v>
      </c>
      <c r="G1123" s="13" t="str">
        <f aca="false">PROPER(TRIM(Raw_Data!G1123))</f>
        <v>Customer Support</v>
      </c>
      <c r="H1123" s="13" t="str">
        <f aca="false">PROPER(TRIM(Raw_Data!H1123))</f>
        <v>Associate</v>
      </c>
      <c r="I1123" s="13" t="n">
        <f aca="false">IF(Raw_Data!I1123="",DefaultPerf,Raw_Data!I1123)</f>
        <v>4</v>
      </c>
      <c r="J1123" s="13" t="n">
        <f aca="false">IF(Raw_Data!J1123="",DefaultSat,Raw_Data!J1123)</f>
        <v>3</v>
      </c>
      <c r="K1123" s="15" t="n">
        <f aca="false">Raw_Data!K1123</f>
        <v>40000</v>
      </c>
      <c r="L1123" s="13" t="str">
        <f aca="false">PROPER(TRIM(Raw_Data!N1123))</f>
        <v>No</v>
      </c>
      <c r="M1123" s="13" t="n">
        <f aca="false">IF(C1123="",0,1)</f>
        <v>0</v>
      </c>
      <c r="N1123" s="13" t="str">
        <f aca="false">IF(M1123=0,"Active",IF(TRIM(Raw_Data!L1123)="","Unknown",PROPER(TRIM(Raw_Data!L1123))))</f>
        <v>Active</v>
      </c>
      <c r="O1123" s="13" t="str">
        <f aca="false">IF(M1123=0,"",IF(TRIM(Raw_Data!M1123)="","Not Recorded",TRIM(Raw_Data!M1123)))</f>
        <v/>
      </c>
      <c r="P1123" s="16" t="n">
        <f aca="false">ROUND((IF(C1123="",AsOfDate,C1123)-B1123)/365.25,2)</f>
        <v>4.7</v>
      </c>
      <c r="Q1123" s="13" t="str">
        <f aca="false">IF(D1123="","Unknown",IF(D1123&lt;25,"Under 25",IF(D1123&lt;35,"25-34",IF(D1123&lt;45,"35-44",IF(D1123&lt;55,"45-54","55+")))))</f>
        <v>25-34</v>
      </c>
      <c r="R1123" s="13" t="str">
        <f aca="false">IF(P1123&lt;1,"0-1 yrs",IF(P1123&lt;3,"1-3 yrs",IF(P1123&lt;5,"3-5 yrs",IF(P1123&lt;10,"5-10 yrs","10+ yrs"))))</f>
        <v>3-5 yrs</v>
      </c>
      <c r="S1123" s="13" t="str">
        <f aca="false">IF(I1123&gt;=4,"High",IF(I1123=3,"Medium","Low"))</f>
        <v>High</v>
      </c>
      <c r="T1123" s="13" t="str">
        <f aca="false">IF(M1123=1,YEAR(C1123),"")</f>
        <v/>
      </c>
      <c r="U1123" s="13" t="str">
        <f aca="false">IF(M1123=1,YEAR(C1123)&amp;"-Q"&amp;ROUNDUP(MONTH(C1123)/3,0),"")</f>
        <v/>
      </c>
      <c r="V1123" s="13" t="str">
        <f aca="false">IF(M1123=1,MONTH(C1123),"")</f>
        <v/>
      </c>
    </row>
    <row r="1124" customFormat="false" ht="15" hidden="false" customHeight="false" outlineLevel="0" collapsed="false">
      <c r="A1124" s="13" t="str">
        <f aca="false">TRIM(Raw_Data!A1124)</f>
        <v>EMP1123</v>
      </c>
      <c r="B1124" s="14" t="n">
        <f aca="false">Raw_Data!B1124</f>
        <v>44313</v>
      </c>
      <c r="C1124" s="14" t="n">
        <f aca="false">IF(Raw_Data!C1124="","",Raw_Data!C1124)</f>
        <v>44838</v>
      </c>
      <c r="D1124" s="13" t="n">
        <f aca="false">IF(Raw_Data!D1124="","",Raw_Data!D1124)</f>
        <v>31</v>
      </c>
      <c r="E1124" s="13" t="str">
        <f aca="false">IF(UPPER(LEFT(TRIM(Raw_Data!E1124),1))="M","Male",IF(UPPER(LEFT(TRIM(Raw_Data!E1124),1))="F","Female","Unknown"))</f>
        <v>Female</v>
      </c>
      <c r="F1124" s="13" t="str">
        <f aca="false">PROPER(TRIM(SUBSTITUTE(Raw_Data!F1124,"'","")))</f>
        <v>Doctorate</v>
      </c>
      <c r="G1124" s="13" t="str">
        <f aca="false">PROPER(TRIM(Raw_Data!G1124))</f>
        <v>Operations</v>
      </c>
      <c r="H1124" s="13" t="str">
        <f aca="false">PROPER(TRIM(Raw_Data!H1124))</f>
        <v>Associate</v>
      </c>
      <c r="I1124" s="13" t="n">
        <f aca="false">IF(Raw_Data!I1124="",DefaultPerf,Raw_Data!I1124)</f>
        <v>3</v>
      </c>
      <c r="J1124" s="13" t="n">
        <f aca="false">IF(Raw_Data!J1124="",DefaultSat,Raw_Data!J1124)</f>
        <v>1</v>
      </c>
      <c r="K1124" s="15" t="n">
        <f aca="false">Raw_Data!K1124</f>
        <v>40000</v>
      </c>
      <c r="L1124" s="13" t="str">
        <f aca="false">PROPER(TRIM(Raw_Data!N1124))</f>
        <v>No</v>
      </c>
      <c r="M1124" s="13" t="n">
        <f aca="false">IF(C1124="",0,1)</f>
        <v>1</v>
      </c>
      <c r="N1124" s="13" t="str">
        <f aca="false">IF(M1124=0,"Active",IF(TRIM(Raw_Data!L1124)="","Unknown",PROPER(TRIM(Raw_Data!L1124))))</f>
        <v>Voluntary</v>
      </c>
      <c r="O1124" s="13" t="str">
        <f aca="false">IF(M1124=0,"",IF(TRIM(Raw_Data!M1124)="","Not Recorded",TRIM(Raw_Data!M1124)))</f>
        <v>Further Studies</v>
      </c>
      <c r="P1124" s="16" t="n">
        <f aca="false">ROUND((IF(C1124="",AsOfDate,C1124)-B1124)/365.25,2)</f>
        <v>1.44</v>
      </c>
      <c r="Q1124" s="13" t="str">
        <f aca="false">IF(D1124="","Unknown",IF(D1124&lt;25,"Under 25",IF(D1124&lt;35,"25-34",IF(D1124&lt;45,"35-44",IF(D1124&lt;55,"45-54","55+")))))</f>
        <v>25-34</v>
      </c>
      <c r="R1124" s="13" t="str">
        <f aca="false">IF(P1124&lt;1,"0-1 yrs",IF(P1124&lt;3,"1-3 yrs",IF(P1124&lt;5,"3-5 yrs",IF(P1124&lt;10,"5-10 yrs","10+ yrs"))))</f>
        <v>1-3 yrs</v>
      </c>
      <c r="S1124" s="13" t="str">
        <f aca="false">IF(I1124&gt;=4,"High",IF(I1124=3,"Medium","Low"))</f>
        <v>Medium</v>
      </c>
      <c r="T1124" s="13" t="n">
        <f aca="false">IF(M1124=1,YEAR(C1124),"")</f>
        <v>2022</v>
      </c>
      <c r="U1124" s="13" t="str">
        <f aca="false">IF(M1124=1,YEAR(C1124)&amp;"-Q"&amp;ROUNDUP(MONTH(C1124)/3,0),"")</f>
        <v>2022-Q4</v>
      </c>
      <c r="V1124" s="13" t="n">
        <f aca="false">IF(M1124=1,MONTH(C1124),"")</f>
        <v>10</v>
      </c>
    </row>
    <row r="1125" customFormat="false" ht="15" hidden="false" customHeight="false" outlineLevel="0" collapsed="false">
      <c r="A1125" s="13" t="str">
        <f aca="false">TRIM(Raw_Data!A1125)</f>
        <v>EMP1124</v>
      </c>
      <c r="B1125" s="14" t="n">
        <f aca="false">Raw_Data!B1125</f>
        <v>44314</v>
      </c>
      <c r="C1125" s="14" t="n">
        <f aca="false">IF(Raw_Data!C1125="","",Raw_Data!C1125)</f>
        <v>44947</v>
      </c>
      <c r="D1125" s="13" t="n">
        <f aca="false">IF(Raw_Data!D1125="","",Raw_Data!D1125)</f>
        <v>33</v>
      </c>
      <c r="E1125" s="13" t="str">
        <f aca="false">IF(UPPER(LEFT(TRIM(Raw_Data!E1125),1))="M","Male",IF(UPPER(LEFT(TRIM(Raw_Data!E1125),1))="F","Female","Unknown"))</f>
        <v>Male</v>
      </c>
      <c r="F1125" s="13" t="str">
        <f aca="false">PROPER(TRIM(SUBSTITUTE(Raw_Data!F1125,"'","")))</f>
        <v>High School</v>
      </c>
      <c r="G1125" s="13" t="str">
        <f aca="false">PROPER(TRIM(Raw_Data!G1125))</f>
        <v>Sales</v>
      </c>
      <c r="H1125" s="13" t="str">
        <f aca="false">PROPER(TRIM(Raw_Data!H1125))</f>
        <v>Analyst</v>
      </c>
      <c r="I1125" s="13" t="n">
        <f aca="false">IF(Raw_Data!I1125="",DefaultPerf,Raw_Data!I1125)</f>
        <v>4</v>
      </c>
      <c r="J1125" s="13" t="n">
        <f aca="false">IF(Raw_Data!J1125="",DefaultSat,Raw_Data!J1125)</f>
        <v>1</v>
      </c>
      <c r="K1125" s="15" t="n">
        <f aca="false">Raw_Data!K1125</f>
        <v>66000</v>
      </c>
      <c r="L1125" s="13" t="str">
        <f aca="false">PROPER(TRIM(Raw_Data!N1125))</f>
        <v>Yes</v>
      </c>
      <c r="M1125" s="13" t="n">
        <f aca="false">IF(C1125="",0,1)</f>
        <v>1</v>
      </c>
      <c r="N1125" s="13" t="str">
        <f aca="false">IF(M1125=0,"Active",IF(TRIM(Raw_Data!L1125)="","Unknown",PROPER(TRIM(Raw_Data!L1125))))</f>
        <v>Voluntary</v>
      </c>
      <c r="O1125" s="13" t="str">
        <f aca="false">IF(M1125=0,"",IF(TRIM(Raw_Data!M1125)="","Not Recorded",TRIM(Raw_Data!M1125)))</f>
        <v>Work-Life Balance</v>
      </c>
      <c r="P1125" s="16" t="n">
        <f aca="false">ROUND((IF(C1125="",AsOfDate,C1125)-B1125)/365.25,2)</f>
        <v>1.73</v>
      </c>
      <c r="Q1125" s="13" t="str">
        <f aca="false">IF(D1125="","Unknown",IF(D1125&lt;25,"Under 25",IF(D1125&lt;35,"25-34",IF(D1125&lt;45,"35-44",IF(D1125&lt;55,"45-54","55+")))))</f>
        <v>25-34</v>
      </c>
      <c r="R1125" s="13" t="str">
        <f aca="false">IF(P1125&lt;1,"0-1 yrs",IF(P1125&lt;3,"1-3 yrs",IF(P1125&lt;5,"3-5 yrs",IF(P1125&lt;10,"5-10 yrs","10+ yrs"))))</f>
        <v>1-3 yrs</v>
      </c>
      <c r="S1125" s="13" t="str">
        <f aca="false">IF(I1125&gt;=4,"High",IF(I1125=3,"Medium","Low"))</f>
        <v>High</v>
      </c>
      <c r="T1125" s="13" t="n">
        <f aca="false">IF(M1125=1,YEAR(C1125),"")</f>
        <v>2023</v>
      </c>
      <c r="U1125" s="13" t="str">
        <f aca="false">IF(M1125=1,YEAR(C1125)&amp;"-Q"&amp;ROUNDUP(MONTH(C1125)/3,0),"")</f>
        <v>2023-Q1</v>
      </c>
      <c r="V1125" s="13" t="n">
        <f aca="false">IF(M1125=1,MONTH(C1125),"")</f>
        <v>1</v>
      </c>
    </row>
    <row r="1126" customFormat="false" ht="15" hidden="false" customHeight="false" outlineLevel="0" collapsed="false">
      <c r="A1126" s="13" t="str">
        <f aca="false">TRIM(Raw_Data!A1126)</f>
        <v>EMP1125</v>
      </c>
      <c r="B1126" s="14" t="n">
        <f aca="false">Raw_Data!B1126</f>
        <v>44314</v>
      </c>
      <c r="C1126" s="14" t="str">
        <f aca="false">IF(Raw_Data!C1126="","",Raw_Data!C1126)</f>
        <v/>
      </c>
      <c r="D1126" s="13" t="n">
        <f aca="false">IF(Raw_Data!D1126="","",Raw_Data!D1126)</f>
        <v>36</v>
      </c>
      <c r="E1126" s="13" t="str">
        <f aca="false">IF(UPPER(LEFT(TRIM(Raw_Data!E1126),1))="M","Male",IF(UPPER(LEFT(TRIM(Raw_Data!E1126),1))="F","Female","Unknown"))</f>
        <v>Male</v>
      </c>
      <c r="F1126" s="13" t="str">
        <f aca="false">PROPER(TRIM(SUBSTITUTE(Raw_Data!F1126,"'","")))</f>
        <v>Masters</v>
      </c>
      <c r="G1126" s="13" t="str">
        <f aca="false">PROPER(TRIM(Raw_Data!G1126))</f>
        <v>Engineering</v>
      </c>
      <c r="H1126" s="13" t="str">
        <f aca="false">PROPER(TRIM(Raw_Data!H1126))</f>
        <v>Analyst</v>
      </c>
      <c r="I1126" s="13" t="n">
        <f aca="false">IF(Raw_Data!I1126="",DefaultPerf,Raw_Data!I1126)</f>
        <v>5</v>
      </c>
      <c r="J1126" s="13" t="n">
        <f aca="false">IF(Raw_Data!J1126="",DefaultSat,Raw_Data!J1126)</f>
        <v>3</v>
      </c>
      <c r="K1126" s="15" t="n">
        <f aca="false">Raw_Data!K1126</f>
        <v>60000</v>
      </c>
      <c r="L1126" s="13" t="str">
        <f aca="false">PROPER(TRIM(Raw_Data!N1126))</f>
        <v>No</v>
      </c>
      <c r="M1126" s="13" t="n">
        <f aca="false">IF(C1126="",0,1)</f>
        <v>0</v>
      </c>
      <c r="N1126" s="13" t="str">
        <f aca="false">IF(M1126=0,"Active",IF(TRIM(Raw_Data!L1126)="","Unknown",PROPER(TRIM(Raw_Data!L1126))))</f>
        <v>Active</v>
      </c>
      <c r="O1126" s="13" t="str">
        <f aca="false">IF(M1126=0,"",IF(TRIM(Raw_Data!M1126)="","Not Recorded",TRIM(Raw_Data!M1126)))</f>
        <v/>
      </c>
      <c r="P1126" s="16" t="n">
        <f aca="false">ROUND((IF(C1126="",AsOfDate,C1126)-B1126)/365.25,2)</f>
        <v>4.68</v>
      </c>
      <c r="Q1126" s="13" t="str">
        <f aca="false">IF(D1126="","Unknown",IF(D1126&lt;25,"Under 25",IF(D1126&lt;35,"25-34",IF(D1126&lt;45,"35-44",IF(D1126&lt;55,"45-54","55+")))))</f>
        <v>35-44</v>
      </c>
      <c r="R1126" s="13" t="str">
        <f aca="false">IF(P1126&lt;1,"0-1 yrs",IF(P1126&lt;3,"1-3 yrs",IF(P1126&lt;5,"3-5 yrs",IF(P1126&lt;10,"5-10 yrs","10+ yrs"))))</f>
        <v>3-5 yrs</v>
      </c>
      <c r="S1126" s="13" t="str">
        <f aca="false">IF(I1126&gt;=4,"High",IF(I1126=3,"Medium","Low"))</f>
        <v>High</v>
      </c>
      <c r="T1126" s="13" t="str">
        <f aca="false">IF(M1126=1,YEAR(C1126),"")</f>
        <v/>
      </c>
      <c r="U1126" s="13" t="str">
        <f aca="false">IF(M1126=1,YEAR(C1126)&amp;"-Q"&amp;ROUNDUP(MONTH(C1126)/3,0),"")</f>
        <v/>
      </c>
      <c r="V1126" s="13" t="str">
        <f aca="false">IF(M1126=1,MONTH(C1126),"")</f>
        <v/>
      </c>
    </row>
    <row r="1127" customFormat="false" ht="15" hidden="false" customHeight="false" outlineLevel="0" collapsed="false">
      <c r="A1127" s="13" t="str">
        <f aca="false">TRIM(Raw_Data!A1127)</f>
        <v>EMP1126</v>
      </c>
      <c r="B1127" s="14" t="n">
        <f aca="false">Raw_Data!B1127</f>
        <v>44315</v>
      </c>
      <c r="C1127" s="14" t="str">
        <f aca="false">IF(Raw_Data!C1127="","",Raw_Data!C1127)</f>
        <v/>
      </c>
      <c r="D1127" s="13" t="n">
        <f aca="false">IF(Raw_Data!D1127="","",Raw_Data!D1127)</f>
        <v>38</v>
      </c>
      <c r="E1127" s="13" t="str">
        <f aca="false">IF(UPPER(LEFT(TRIM(Raw_Data!E1127),1))="M","Male",IF(UPPER(LEFT(TRIM(Raw_Data!E1127),1))="F","Female","Unknown"))</f>
        <v>Male</v>
      </c>
      <c r="F1127" s="13" t="str">
        <f aca="false">PROPER(TRIM(SUBSTITUTE(Raw_Data!F1127,"'","")))</f>
        <v>Masters</v>
      </c>
      <c r="G1127" s="13" t="str">
        <f aca="false">PROPER(TRIM(Raw_Data!G1127))</f>
        <v>Operations</v>
      </c>
      <c r="H1127" s="13" t="str">
        <f aca="false">PROPER(TRIM(Raw_Data!H1127))</f>
        <v>Senior Analyst</v>
      </c>
      <c r="I1127" s="13" t="n">
        <f aca="false">IF(Raw_Data!I1127="",DefaultPerf,Raw_Data!I1127)</f>
        <v>4</v>
      </c>
      <c r="J1127" s="13" t="n">
        <f aca="false">IF(Raw_Data!J1127="",DefaultSat,Raw_Data!J1127)</f>
        <v>1</v>
      </c>
      <c r="K1127" s="15" t="n">
        <f aca="false">Raw_Data!K1127</f>
        <v>88500</v>
      </c>
      <c r="L1127" s="13" t="str">
        <f aca="false">PROPER(TRIM(Raw_Data!N1127))</f>
        <v>No</v>
      </c>
      <c r="M1127" s="13" t="n">
        <f aca="false">IF(C1127="",0,1)</f>
        <v>0</v>
      </c>
      <c r="N1127" s="13" t="str">
        <f aca="false">IF(M1127=0,"Active",IF(TRIM(Raw_Data!L1127)="","Unknown",PROPER(TRIM(Raw_Data!L1127))))</f>
        <v>Active</v>
      </c>
      <c r="O1127" s="13" t="str">
        <f aca="false">IF(M1127=0,"",IF(TRIM(Raw_Data!M1127)="","Not Recorded",TRIM(Raw_Data!M1127)))</f>
        <v/>
      </c>
      <c r="P1127" s="16" t="n">
        <f aca="false">ROUND((IF(C1127="",AsOfDate,C1127)-B1127)/365.25,2)</f>
        <v>4.67</v>
      </c>
      <c r="Q1127" s="13" t="str">
        <f aca="false">IF(D1127="","Unknown",IF(D1127&lt;25,"Under 25",IF(D1127&lt;35,"25-34",IF(D1127&lt;45,"35-44",IF(D1127&lt;55,"45-54","55+")))))</f>
        <v>35-44</v>
      </c>
      <c r="R1127" s="13" t="str">
        <f aca="false">IF(P1127&lt;1,"0-1 yrs",IF(P1127&lt;3,"1-3 yrs",IF(P1127&lt;5,"3-5 yrs",IF(P1127&lt;10,"5-10 yrs","10+ yrs"))))</f>
        <v>3-5 yrs</v>
      </c>
      <c r="S1127" s="13" t="str">
        <f aca="false">IF(I1127&gt;=4,"High",IF(I1127=3,"Medium","Low"))</f>
        <v>High</v>
      </c>
      <c r="T1127" s="13" t="str">
        <f aca="false">IF(M1127=1,YEAR(C1127),"")</f>
        <v/>
      </c>
      <c r="U1127" s="13" t="str">
        <f aca="false">IF(M1127=1,YEAR(C1127)&amp;"-Q"&amp;ROUNDUP(MONTH(C1127)/3,0),"")</f>
        <v/>
      </c>
      <c r="V1127" s="13" t="str">
        <f aca="false">IF(M1127=1,MONTH(C1127),"")</f>
        <v/>
      </c>
    </row>
    <row r="1128" customFormat="false" ht="15" hidden="false" customHeight="false" outlineLevel="0" collapsed="false">
      <c r="A1128" s="13" t="str">
        <f aca="false">TRIM(Raw_Data!A1128)</f>
        <v>EMP1127</v>
      </c>
      <c r="B1128" s="14" t="n">
        <f aca="false">Raw_Data!B1128</f>
        <v>44315</v>
      </c>
      <c r="C1128" s="14" t="str">
        <f aca="false">IF(Raw_Data!C1128="","",Raw_Data!C1128)</f>
        <v/>
      </c>
      <c r="D1128" s="13" t="n">
        <f aca="false">IF(Raw_Data!D1128="","",Raw_Data!D1128)</f>
        <v>34</v>
      </c>
      <c r="E1128" s="13" t="str">
        <f aca="false">IF(UPPER(LEFT(TRIM(Raw_Data!E1128),1))="M","Male",IF(UPPER(LEFT(TRIM(Raw_Data!E1128),1))="F","Female","Unknown"))</f>
        <v>Male</v>
      </c>
      <c r="F1128" s="13" t="str">
        <f aca="false">PROPER(TRIM(SUBSTITUTE(Raw_Data!F1128,"'","")))</f>
        <v>Bachelors</v>
      </c>
      <c r="G1128" s="13" t="str">
        <f aca="false">PROPER(TRIM(Raw_Data!G1128))</f>
        <v>Engineering</v>
      </c>
      <c r="H1128" s="13" t="str">
        <f aca="false">PROPER(TRIM(Raw_Data!H1128))</f>
        <v>Analyst</v>
      </c>
      <c r="I1128" s="13" t="n">
        <f aca="false">IF(Raw_Data!I1128="",DefaultPerf,Raw_Data!I1128)</f>
        <v>4</v>
      </c>
      <c r="J1128" s="13" t="n">
        <f aca="false">IF(Raw_Data!J1128="",DefaultSat,Raw_Data!J1128)</f>
        <v>3</v>
      </c>
      <c r="K1128" s="15" t="n">
        <f aca="false">Raw_Data!K1128</f>
        <v>60000</v>
      </c>
      <c r="L1128" s="13" t="str">
        <f aca="false">PROPER(TRIM(Raw_Data!N1128))</f>
        <v>No</v>
      </c>
      <c r="M1128" s="13" t="n">
        <f aca="false">IF(C1128="",0,1)</f>
        <v>0</v>
      </c>
      <c r="N1128" s="13" t="str">
        <f aca="false">IF(M1128=0,"Active",IF(TRIM(Raw_Data!L1128)="","Unknown",PROPER(TRIM(Raw_Data!L1128))))</f>
        <v>Active</v>
      </c>
      <c r="O1128" s="13" t="str">
        <f aca="false">IF(M1128=0,"",IF(TRIM(Raw_Data!M1128)="","Not Recorded",TRIM(Raw_Data!M1128)))</f>
        <v/>
      </c>
      <c r="P1128" s="16" t="n">
        <f aca="false">ROUND((IF(C1128="",AsOfDate,C1128)-B1128)/365.25,2)</f>
        <v>4.67</v>
      </c>
      <c r="Q1128" s="13" t="str">
        <f aca="false">IF(D1128="","Unknown",IF(D1128&lt;25,"Under 25",IF(D1128&lt;35,"25-34",IF(D1128&lt;45,"35-44",IF(D1128&lt;55,"45-54","55+")))))</f>
        <v>25-34</v>
      </c>
      <c r="R1128" s="13" t="str">
        <f aca="false">IF(P1128&lt;1,"0-1 yrs",IF(P1128&lt;3,"1-3 yrs",IF(P1128&lt;5,"3-5 yrs",IF(P1128&lt;10,"5-10 yrs","10+ yrs"))))</f>
        <v>3-5 yrs</v>
      </c>
      <c r="S1128" s="13" t="str">
        <f aca="false">IF(I1128&gt;=4,"High",IF(I1128=3,"Medium","Low"))</f>
        <v>High</v>
      </c>
      <c r="T1128" s="13" t="str">
        <f aca="false">IF(M1128=1,YEAR(C1128),"")</f>
        <v/>
      </c>
      <c r="U1128" s="13" t="str">
        <f aca="false">IF(M1128=1,YEAR(C1128)&amp;"-Q"&amp;ROUNDUP(MONTH(C1128)/3,0),"")</f>
        <v/>
      </c>
      <c r="V1128" s="13" t="str">
        <f aca="false">IF(M1128=1,MONTH(C1128),"")</f>
        <v/>
      </c>
    </row>
    <row r="1129" customFormat="false" ht="15" hidden="false" customHeight="false" outlineLevel="0" collapsed="false">
      <c r="A1129" s="13" t="str">
        <f aca="false">TRIM(Raw_Data!A1129)</f>
        <v>EMP1128</v>
      </c>
      <c r="B1129" s="14" t="n">
        <f aca="false">Raw_Data!B1129</f>
        <v>44321</v>
      </c>
      <c r="C1129" s="14" t="n">
        <f aca="false">IF(Raw_Data!C1129="","",Raw_Data!C1129)</f>
        <v>45035</v>
      </c>
      <c r="D1129" s="13" t="n">
        <f aca="false">IF(Raw_Data!D1129="","",Raw_Data!D1129)</f>
        <v>27</v>
      </c>
      <c r="E1129" s="13" t="str">
        <f aca="false">IF(UPPER(LEFT(TRIM(Raw_Data!E1129),1))="M","Male",IF(UPPER(LEFT(TRIM(Raw_Data!E1129),1))="F","Female","Unknown"))</f>
        <v>Female</v>
      </c>
      <c r="F1129" s="13" t="str">
        <f aca="false">PROPER(TRIM(SUBSTITUTE(Raw_Data!F1129,"'","")))</f>
        <v>Masters</v>
      </c>
      <c r="G1129" s="13" t="str">
        <f aca="false">PROPER(TRIM(Raw_Data!G1129))</f>
        <v>Sales</v>
      </c>
      <c r="H1129" s="13" t="str">
        <f aca="false">PROPER(TRIM(Raw_Data!H1129))</f>
        <v>Associate</v>
      </c>
      <c r="I1129" s="13" t="n">
        <f aca="false">IF(Raw_Data!I1129="",DefaultPerf,Raw_Data!I1129)</f>
        <v>4</v>
      </c>
      <c r="J1129" s="13" t="n">
        <f aca="false">IF(Raw_Data!J1129="",DefaultSat,Raw_Data!J1129)</f>
        <v>3</v>
      </c>
      <c r="K1129" s="15" t="n">
        <f aca="false">Raw_Data!K1129</f>
        <v>38000</v>
      </c>
      <c r="L1129" s="13" t="str">
        <f aca="false">PROPER(TRIM(Raw_Data!N1129))</f>
        <v>No</v>
      </c>
      <c r="M1129" s="13" t="n">
        <f aca="false">IF(C1129="",0,1)</f>
        <v>1</v>
      </c>
      <c r="N1129" s="13" t="str">
        <f aca="false">IF(M1129=0,"Active",IF(TRIM(Raw_Data!L1129)="","Unknown",PROPER(TRIM(Raw_Data!L1129))))</f>
        <v>Voluntary</v>
      </c>
      <c r="O1129" s="13" t="str">
        <f aca="false">IF(M1129=0,"",IF(TRIM(Raw_Data!M1129)="","Not Recorded",TRIM(Raw_Data!M1129)))</f>
        <v>Better Compensation</v>
      </c>
      <c r="P1129" s="16" t="n">
        <f aca="false">ROUND((IF(C1129="",AsOfDate,C1129)-B1129)/365.25,2)</f>
        <v>1.95</v>
      </c>
      <c r="Q1129" s="13" t="str">
        <f aca="false">IF(D1129="","Unknown",IF(D1129&lt;25,"Under 25",IF(D1129&lt;35,"25-34",IF(D1129&lt;45,"35-44",IF(D1129&lt;55,"45-54","55+")))))</f>
        <v>25-34</v>
      </c>
      <c r="R1129" s="13" t="str">
        <f aca="false">IF(P1129&lt;1,"0-1 yrs",IF(P1129&lt;3,"1-3 yrs",IF(P1129&lt;5,"3-5 yrs",IF(P1129&lt;10,"5-10 yrs","10+ yrs"))))</f>
        <v>1-3 yrs</v>
      </c>
      <c r="S1129" s="13" t="str">
        <f aca="false">IF(I1129&gt;=4,"High",IF(I1129=3,"Medium","Low"))</f>
        <v>High</v>
      </c>
      <c r="T1129" s="13" t="n">
        <f aca="false">IF(M1129=1,YEAR(C1129),"")</f>
        <v>2023</v>
      </c>
      <c r="U1129" s="13" t="str">
        <f aca="false">IF(M1129=1,YEAR(C1129)&amp;"-Q"&amp;ROUNDUP(MONTH(C1129)/3,0),"")</f>
        <v>2023-Q2</v>
      </c>
      <c r="V1129" s="13" t="n">
        <f aca="false">IF(M1129=1,MONTH(C1129),"")</f>
        <v>4</v>
      </c>
    </row>
    <row r="1130" customFormat="false" ht="15" hidden="false" customHeight="false" outlineLevel="0" collapsed="false">
      <c r="A1130" s="13" t="str">
        <f aca="false">TRIM(Raw_Data!A1130)</f>
        <v>EMP1129</v>
      </c>
      <c r="B1130" s="14" t="n">
        <f aca="false">Raw_Data!B1130</f>
        <v>44327</v>
      </c>
      <c r="C1130" s="14" t="str">
        <f aca="false">IF(Raw_Data!C1130="","",Raw_Data!C1130)</f>
        <v/>
      </c>
      <c r="D1130" s="13" t="n">
        <f aca="false">IF(Raw_Data!D1130="","",Raw_Data!D1130)</f>
        <v>39</v>
      </c>
      <c r="E1130" s="13" t="str">
        <f aca="false">IF(UPPER(LEFT(TRIM(Raw_Data!E1130),1))="M","Male",IF(UPPER(LEFT(TRIM(Raw_Data!E1130),1))="F","Female","Unknown"))</f>
        <v>Male</v>
      </c>
      <c r="F1130" s="13" t="str">
        <f aca="false">PROPER(TRIM(SUBSTITUTE(Raw_Data!F1130,"'","")))</f>
        <v>Masters</v>
      </c>
      <c r="G1130" s="13" t="str">
        <f aca="false">PROPER(TRIM(Raw_Data!G1130))</f>
        <v>Engineering</v>
      </c>
      <c r="H1130" s="13" t="str">
        <f aca="false">PROPER(TRIM(Raw_Data!H1130))</f>
        <v>Analyst</v>
      </c>
      <c r="I1130" s="13" t="n">
        <f aca="false">IF(Raw_Data!I1130="",DefaultPerf,Raw_Data!I1130)</f>
        <v>3</v>
      </c>
      <c r="J1130" s="13" t="n">
        <f aca="false">IF(Raw_Data!J1130="",DefaultSat,Raw_Data!J1130)</f>
        <v>1</v>
      </c>
      <c r="K1130" s="15" t="n">
        <f aca="false">Raw_Data!K1130</f>
        <v>60000</v>
      </c>
      <c r="L1130" s="13" t="str">
        <f aca="false">PROPER(TRIM(Raw_Data!N1130))</f>
        <v>No</v>
      </c>
      <c r="M1130" s="13" t="n">
        <f aca="false">IF(C1130="",0,1)</f>
        <v>0</v>
      </c>
      <c r="N1130" s="13" t="str">
        <f aca="false">IF(M1130=0,"Active",IF(TRIM(Raw_Data!L1130)="","Unknown",PROPER(TRIM(Raw_Data!L1130))))</f>
        <v>Active</v>
      </c>
      <c r="O1130" s="13" t="str">
        <f aca="false">IF(M1130=0,"",IF(TRIM(Raw_Data!M1130)="","Not Recorded",TRIM(Raw_Data!M1130)))</f>
        <v/>
      </c>
      <c r="P1130" s="16" t="n">
        <f aca="false">ROUND((IF(C1130="",AsOfDate,C1130)-B1130)/365.25,2)</f>
        <v>4.64</v>
      </c>
      <c r="Q1130" s="13" t="str">
        <f aca="false">IF(D1130="","Unknown",IF(D1130&lt;25,"Under 25",IF(D1130&lt;35,"25-34",IF(D1130&lt;45,"35-44",IF(D1130&lt;55,"45-54","55+")))))</f>
        <v>35-44</v>
      </c>
      <c r="R1130" s="13" t="str">
        <f aca="false">IF(P1130&lt;1,"0-1 yrs",IF(P1130&lt;3,"1-3 yrs",IF(P1130&lt;5,"3-5 yrs",IF(P1130&lt;10,"5-10 yrs","10+ yrs"))))</f>
        <v>3-5 yrs</v>
      </c>
      <c r="S1130" s="13" t="str">
        <f aca="false">IF(I1130&gt;=4,"High",IF(I1130=3,"Medium","Low"))</f>
        <v>Medium</v>
      </c>
      <c r="T1130" s="13" t="str">
        <f aca="false">IF(M1130=1,YEAR(C1130),"")</f>
        <v/>
      </c>
      <c r="U1130" s="13" t="str">
        <f aca="false">IF(M1130=1,YEAR(C1130)&amp;"-Q"&amp;ROUNDUP(MONTH(C1130)/3,0),"")</f>
        <v/>
      </c>
      <c r="V1130" s="13" t="str">
        <f aca="false">IF(M1130=1,MONTH(C1130),"")</f>
        <v/>
      </c>
    </row>
    <row r="1131" customFormat="false" ht="15" hidden="false" customHeight="false" outlineLevel="0" collapsed="false">
      <c r="A1131" s="13" t="str">
        <f aca="false">TRIM(Raw_Data!A1131)</f>
        <v>EMP1130</v>
      </c>
      <c r="B1131" s="14" t="n">
        <f aca="false">Raw_Data!B1131</f>
        <v>44327</v>
      </c>
      <c r="C1131" s="14" t="n">
        <f aca="false">IF(Raw_Data!C1131="","",Raw_Data!C1131)</f>
        <v>44678</v>
      </c>
      <c r="D1131" s="13" t="n">
        <f aca="false">IF(Raw_Data!D1131="","",Raw_Data!D1131)</f>
        <v>31</v>
      </c>
      <c r="E1131" s="13" t="str">
        <f aca="false">IF(UPPER(LEFT(TRIM(Raw_Data!E1131),1))="M","Male",IF(UPPER(LEFT(TRIM(Raw_Data!E1131),1))="F","Female","Unknown"))</f>
        <v>Female</v>
      </c>
      <c r="F1131" s="13" t="str">
        <f aca="false">PROPER(TRIM(SUBSTITUTE(Raw_Data!F1131,"'","")))</f>
        <v>Masters</v>
      </c>
      <c r="G1131" s="13" t="str">
        <f aca="false">PROPER(TRIM(Raw_Data!G1131))</f>
        <v>Operations</v>
      </c>
      <c r="H1131" s="13" t="str">
        <f aca="false">PROPER(TRIM(Raw_Data!H1131))</f>
        <v>Analyst</v>
      </c>
      <c r="I1131" s="13" t="n">
        <f aca="false">IF(Raw_Data!I1131="",DefaultPerf,Raw_Data!I1131)</f>
        <v>3</v>
      </c>
      <c r="J1131" s="13" t="n">
        <f aca="false">IF(Raw_Data!J1131="",DefaultSat,Raw_Data!J1131)</f>
        <v>2</v>
      </c>
      <c r="K1131" s="15" t="n">
        <f aca="false">Raw_Data!K1131</f>
        <v>73000</v>
      </c>
      <c r="L1131" s="13" t="str">
        <f aca="false">PROPER(TRIM(Raw_Data!N1131))</f>
        <v>Yes</v>
      </c>
      <c r="M1131" s="13" t="n">
        <f aca="false">IF(C1131="",0,1)</f>
        <v>1</v>
      </c>
      <c r="N1131" s="13" t="str">
        <f aca="false">IF(M1131=0,"Active",IF(TRIM(Raw_Data!L1131)="","Unknown",PROPER(TRIM(Raw_Data!L1131))))</f>
        <v>Involuntary</v>
      </c>
      <c r="O1131" s="13" t="str">
        <f aca="false">IF(M1131=0,"",IF(TRIM(Raw_Data!M1131)="","Not Recorded",TRIM(Raw_Data!M1131)))</f>
        <v>End of Contract</v>
      </c>
      <c r="P1131" s="16" t="n">
        <f aca="false">ROUND((IF(C1131="",AsOfDate,C1131)-B1131)/365.25,2)</f>
        <v>0.96</v>
      </c>
      <c r="Q1131" s="13" t="str">
        <f aca="false">IF(D1131="","Unknown",IF(D1131&lt;25,"Under 25",IF(D1131&lt;35,"25-34",IF(D1131&lt;45,"35-44",IF(D1131&lt;55,"45-54","55+")))))</f>
        <v>25-34</v>
      </c>
      <c r="R1131" s="13" t="str">
        <f aca="false">IF(P1131&lt;1,"0-1 yrs",IF(P1131&lt;3,"1-3 yrs",IF(P1131&lt;5,"3-5 yrs",IF(P1131&lt;10,"5-10 yrs","10+ yrs"))))</f>
        <v>0-1 yrs</v>
      </c>
      <c r="S1131" s="13" t="str">
        <f aca="false">IF(I1131&gt;=4,"High",IF(I1131=3,"Medium","Low"))</f>
        <v>Medium</v>
      </c>
      <c r="T1131" s="13" t="n">
        <f aca="false">IF(M1131=1,YEAR(C1131),"")</f>
        <v>2022</v>
      </c>
      <c r="U1131" s="13" t="str">
        <f aca="false">IF(M1131=1,YEAR(C1131)&amp;"-Q"&amp;ROUNDUP(MONTH(C1131)/3,0),"")</f>
        <v>2022-Q2</v>
      </c>
      <c r="V1131" s="13" t="n">
        <f aca="false">IF(M1131=1,MONTH(C1131),"")</f>
        <v>4</v>
      </c>
    </row>
    <row r="1132" customFormat="false" ht="15" hidden="false" customHeight="false" outlineLevel="0" collapsed="false">
      <c r="A1132" s="13" t="str">
        <f aca="false">TRIM(Raw_Data!A1132)</f>
        <v>EMP1131</v>
      </c>
      <c r="B1132" s="14" t="n">
        <f aca="false">Raw_Data!B1132</f>
        <v>44331</v>
      </c>
      <c r="C1132" s="14" t="str">
        <f aca="false">IF(Raw_Data!C1132="","",Raw_Data!C1132)</f>
        <v/>
      </c>
      <c r="D1132" s="13" t="n">
        <f aca="false">IF(Raw_Data!D1132="","",Raw_Data!D1132)</f>
        <v>35</v>
      </c>
      <c r="E1132" s="13" t="str">
        <f aca="false">IF(UPPER(LEFT(TRIM(Raw_Data!E1132),1))="M","Male",IF(UPPER(LEFT(TRIM(Raw_Data!E1132),1))="F","Female","Unknown"))</f>
        <v>Male</v>
      </c>
      <c r="F1132" s="13" t="str">
        <f aca="false">PROPER(TRIM(SUBSTITUTE(Raw_Data!F1132,"'","")))</f>
        <v>Bachelors</v>
      </c>
      <c r="G1132" s="13" t="str">
        <f aca="false">PROPER(TRIM(Raw_Data!G1132))</f>
        <v>Human Resources</v>
      </c>
      <c r="H1132" s="13" t="str">
        <f aca="false">PROPER(TRIM(Raw_Data!H1132))</f>
        <v>Specialist</v>
      </c>
      <c r="I1132" s="13" t="n">
        <f aca="false">IF(Raw_Data!I1132="",DefaultPerf,Raw_Data!I1132)</f>
        <v>5</v>
      </c>
      <c r="J1132" s="13" t="n">
        <f aca="false">IF(Raw_Data!J1132="",DefaultSat,Raw_Data!J1132)</f>
        <v>3</v>
      </c>
      <c r="K1132" s="15" t="n">
        <f aca="false">Raw_Data!K1132</f>
        <v>136500</v>
      </c>
      <c r="L1132" s="13" t="str">
        <f aca="false">PROPER(TRIM(Raw_Data!N1132))</f>
        <v>No</v>
      </c>
      <c r="M1132" s="13" t="n">
        <f aca="false">IF(C1132="",0,1)</f>
        <v>0</v>
      </c>
      <c r="N1132" s="13" t="str">
        <f aca="false">IF(M1132=0,"Active",IF(TRIM(Raw_Data!L1132)="","Unknown",PROPER(TRIM(Raw_Data!L1132))))</f>
        <v>Active</v>
      </c>
      <c r="O1132" s="13" t="str">
        <f aca="false">IF(M1132=0,"",IF(TRIM(Raw_Data!M1132)="","Not Recorded",TRIM(Raw_Data!M1132)))</f>
        <v/>
      </c>
      <c r="P1132" s="16" t="n">
        <f aca="false">ROUND((IF(C1132="",AsOfDate,C1132)-B1132)/365.25,2)</f>
        <v>4.63</v>
      </c>
      <c r="Q1132" s="13" t="str">
        <f aca="false">IF(D1132="","Unknown",IF(D1132&lt;25,"Under 25",IF(D1132&lt;35,"25-34",IF(D1132&lt;45,"35-44",IF(D1132&lt;55,"45-54","55+")))))</f>
        <v>35-44</v>
      </c>
      <c r="R1132" s="13" t="str">
        <f aca="false">IF(P1132&lt;1,"0-1 yrs",IF(P1132&lt;3,"1-3 yrs",IF(P1132&lt;5,"3-5 yrs",IF(P1132&lt;10,"5-10 yrs","10+ yrs"))))</f>
        <v>3-5 yrs</v>
      </c>
      <c r="S1132" s="13" t="str">
        <f aca="false">IF(I1132&gt;=4,"High",IF(I1132=3,"Medium","Low"))</f>
        <v>High</v>
      </c>
      <c r="T1132" s="13" t="str">
        <f aca="false">IF(M1132=1,YEAR(C1132),"")</f>
        <v/>
      </c>
      <c r="U1132" s="13" t="str">
        <f aca="false">IF(M1132=1,YEAR(C1132)&amp;"-Q"&amp;ROUNDUP(MONTH(C1132)/3,0),"")</f>
        <v/>
      </c>
      <c r="V1132" s="13" t="str">
        <f aca="false">IF(M1132=1,MONTH(C1132),"")</f>
        <v/>
      </c>
    </row>
    <row r="1133" customFormat="false" ht="15" hidden="false" customHeight="false" outlineLevel="0" collapsed="false">
      <c r="A1133" s="13" t="str">
        <f aca="false">TRIM(Raw_Data!A1133)</f>
        <v>EMP1132</v>
      </c>
      <c r="B1133" s="14" t="n">
        <f aca="false">Raw_Data!B1133</f>
        <v>44331</v>
      </c>
      <c r="C1133" s="14" t="n">
        <f aca="false">IF(Raw_Data!C1133="","",Raw_Data!C1133)</f>
        <v>45355</v>
      </c>
      <c r="D1133" s="13" t="n">
        <f aca="false">IF(Raw_Data!D1133="","",Raw_Data!D1133)</f>
        <v>31</v>
      </c>
      <c r="E1133" s="13" t="str">
        <f aca="false">IF(UPPER(LEFT(TRIM(Raw_Data!E1133),1))="M","Male",IF(UPPER(LEFT(TRIM(Raw_Data!E1133),1))="F","Female","Unknown"))</f>
        <v>Male</v>
      </c>
      <c r="F1133" s="13" t="str">
        <f aca="false">PROPER(TRIM(SUBSTITUTE(Raw_Data!F1133,"'","")))</f>
        <v>Masters</v>
      </c>
      <c r="G1133" s="13" t="str">
        <f aca="false">PROPER(TRIM(Raw_Data!G1133))</f>
        <v>Operations</v>
      </c>
      <c r="H1133" s="13" t="str">
        <f aca="false">PROPER(TRIM(Raw_Data!H1133))</f>
        <v>Specialist</v>
      </c>
      <c r="I1133" s="13" t="n">
        <f aca="false">IF(Raw_Data!I1133="",DefaultPerf,Raw_Data!I1133)</f>
        <v>3</v>
      </c>
      <c r="J1133" s="13" t="n">
        <f aca="false">IF(Raw_Data!J1133="",DefaultSat,Raw_Data!J1133)</f>
        <v>2</v>
      </c>
      <c r="K1133" s="15" t="n">
        <f aca="false">Raw_Data!K1133</f>
        <v>110000</v>
      </c>
      <c r="L1133" s="13" t="str">
        <f aca="false">PROPER(TRIM(Raw_Data!N1133))</f>
        <v>Yes</v>
      </c>
      <c r="M1133" s="13" t="n">
        <f aca="false">IF(C1133="",0,1)</f>
        <v>1</v>
      </c>
      <c r="N1133" s="13" t="str">
        <f aca="false">IF(M1133=0,"Active",IF(TRIM(Raw_Data!L1133)="","Unknown",PROPER(TRIM(Raw_Data!L1133))))</f>
        <v>Voluntary</v>
      </c>
      <c r="O1133" s="13" t="str">
        <f aca="false">IF(M1133=0,"",IF(TRIM(Raw_Data!M1133)="","Not Recorded",TRIM(Raw_Data!M1133)))</f>
        <v>Personal Reasons</v>
      </c>
      <c r="P1133" s="16" t="n">
        <f aca="false">ROUND((IF(C1133="",AsOfDate,C1133)-B1133)/365.25,2)</f>
        <v>2.8</v>
      </c>
      <c r="Q1133" s="13" t="str">
        <f aca="false">IF(D1133="","Unknown",IF(D1133&lt;25,"Under 25",IF(D1133&lt;35,"25-34",IF(D1133&lt;45,"35-44",IF(D1133&lt;55,"45-54","55+")))))</f>
        <v>25-34</v>
      </c>
      <c r="R1133" s="13" t="str">
        <f aca="false">IF(P1133&lt;1,"0-1 yrs",IF(P1133&lt;3,"1-3 yrs",IF(P1133&lt;5,"3-5 yrs",IF(P1133&lt;10,"5-10 yrs","10+ yrs"))))</f>
        <v>1-3 yrs</v>
      </c>
      <c r="S1133" s="13" t="str">
        <f aca="false">IF(I1133&gt;=4,"High",IF(I1133=3,"Medium","Low"))</f>
        <v>Medium</v>
      </c>
      <c r="T1133" s="13" t="n">
        <f aca="false">IF(M1133=1,YEAR(C1133),"")</f>
        <v>2024</v>
      </c>
      <c r="U1133" s="13" t="str">
        <f aca="false">IF(M1133=1,YEAR(C1133)&amp;"-Q"&amp;ROUNDUP(MONTH(C1133)/3,0),"")</f>
        <v>2024-Q1</v>
      </c>
      <c r="V1133" s="13" t="n">
        <f aca="false">IF(M1133=1,MONTH(C1133),"")</f>
        <v>3</v>
      </c>
    </row>
    <row r="1134" customFormat="false" ht="15" hidden="false" customHeight="false" outlineLevel="0" collapsed="false">
      <c r="A1134" s="13" t="str">
        <f aca="false">TRIM(Raw_Data!A1134)</f>
        <v>EMP1133</v>
      </c>
      <c r="B1134" s="14" t="n">
        <f aca="false">Raw_Data!B1134</f>
        <v>44334</v>
      </c>
      <c r="C1134" s="14" t="str">
        <f aca="false">IF(Raw_Data!C1134="","",Raw_Data!C1134)</f>
        <v/>
      </c>
      <c r="D1134" s="13" t="n">
        <f aca="false">IF(Raw_Data!D1134="","",Raw_Data!D1134)</f>
        <v>34</v>
      </c>
      <c r="E1134" s="13" t="str">
        <f aca="false">IF(UPPER(LEFT(TRIM(Raw_Data!E1134),1))="M","Male",IF(UPPER(LEFT(TRIM(Raw_Data!E1134),1))="F","Female","Unknown"))</f>
        <v>Male</v>
      </c>
      <c r="F1134" s="13" t="str">
        <f aca="false">PROPER(TRIM(SUBSTITUTE(Raw_Data!F1134,"'","")))</f>
        <v>Masters</v>
      </c>
      <c r="G1134" s="13" t="str">
        <f aca="false">PROPER(TRIM(Raw_Data!G1134))</f>
        <v>Engineering</v>
      </c>
      <c r="H1134" s="13" t="str">
        <f aca="false">PROPER(TRIM(Raw_Data!H1134))</f>
        <v>Manager</v>
      </c>
      <c r="I1134" s="13" t="n">
        <f aca="false">IF(Raw_Data!I1134="",DefaultPerf,Raw_Data!I1134)</f>
        <v>4</v>
      </c>
      <c r="J1134" s="13" t="n">
        <f aca="false">IF(Raw_Data!J1134="",DefaultSat,Raw_Data!J1134)</f>
        <v>4</v>
      </c>
      <c r="K1134" s="15" t="n">
        <f aca="false">Raw_Data!K1134</f>
        <v>168500</v>
      </c>
      <c r="L1134" s="13" t="str">
        <f aca="false">PROPER(TRIM(Raw_Data!N1134))</f>
        <v>No</v>
      </c>
      <c r="M1134" s="13" t="n">
        <f aca="false">IF(C1134="",0,1)</f>
        <v>0</v>
      </c>
      <c r="N1134" s="13" t="str">
        <f aca="false">IF(M1134=0,"Active",IF(TRIM(Raw_Data!L1134)="","Unknown",PROPER(TRIM(Raw_Data!L1134))))</f>
        <v>Active</v>
      </c>
      <c r="O1134" s="13" t="str">
        <f aca="false">IF(M1134=0,"",IF(TRIM(Raw_Data!M1134)="","Not Recorded",TRIM(Raw_Data!M1134)))</f>
        <v/>
      </c>
      <c r="P1134" s="16" t="n">
        <f aca="false">ROUND((IF(C1134="",AsOfDate,C1134)-B1134)/365.25,2)</f>
        <v>4.62</v>
      </c>
      <c r="Q1134" s="13" t="str">
        <f aca="false">IF(D1134="","Unknown",IF(D1134&lt;25,"Under 25",IF(D1134&lt;35,"25-34",IF(D1134&lt;45,"35-44",IF(D1134&lt;55,"45-54","55+")))))</f>
        <v>25-34</v>
      </c>
      <c r="R1134" s="13" t="str">
        <f aca="false">IF(P1134&lt;1,"0-1 yrs",IF(P1134&lt;3,"1-3 yrs",IF(P1134&lt;5,"3-5 yrs",IF(P1134&lt;10,"5-10 yrs","10+ yrs"))))</f>
        <v>3-5 yrs</v>
      </c>
      <c r="S1134" s="13" t="str">
        <f aca="false">IF(I1134&gt;=4,"High",IF(I1134=3,"Medium","Low"))</f>
        <v>High</v>
      </c>
      <c r="T1134" s="13" t="str">
        <f aca="false">IF(M1134=1,YEAR(C1134),"")</f>
        <v/>
      </c>
      <c r="U1134" s="13" t="str">
        <f aca="false">IF(M1134=1,YEAR(C1134)&amp;"-Q"&amp;ROUNDUP(MONTH(C1134)/3,0),"")</f>
        <v/>
      </c>
      <c r="V1134" s="13" t="str">
        <f aca="false">IF(M1134=1,MONTH(C1134),"")</f>
        <v/>
      </c>
    </row>
    <row r="1135" customFormat="false" ht="15" hidden="false" customHeight="false" outlineLevel="0" collapsed="false">
      <c r="A1135" s="13" t="str">
        <f aca="false">TRIM(Raw_Data!A1135)</f>
        <v>EMP1134</v>
      </c>
      <c r="B1135" s="14" t="n">
        <f aca="false">Raw_Data!B1135</f>
        <v>44341</v>
      </c>
      <c r="C1135" s="14" t="str">
        <f aca="false">IF(Raw_Data!C1135="","",Raw_Data!C1135)</f>
        <v/>
      </c>
      <c r="D1135" s="13" t="n">
        <f aca="false">IF(Raw_Data!D1135="","",Raw_Data!D1135)</f>
        <v>38</v>
      </c>
      <c r="E1135" s="13" t="str">
        <f aca="false">IF(UPPER(LEFT(TRIM(Raw_Data!E1135),1))="M","Male",IF(UPPER(LEFT(TRIM(Raw_Data!E1135),1))="F","Female","Unknown"))</f>
        <v>Male</v>
      </c>
      <c r="F1135" s="13" t="str">
        <f aca="false">PROPER(TRIM(SUBSTITUTE(Raw_Data!F1135,"'","")))</f>
        <v>Bachelors</v>
      </c>
      <c r="G1135" s="13" t="str">
        <f aca="false">PROPER(TRIM(Raw_Data!G1135))</f>
        <v>Human Resources</v>
      </c>
      <c r="H1135" s="13" t="str">
        <f aca="false">PROPER(TRIM(Raw_Data!H1135))</f>
        <v>Manager</v>
      </c>
      <c r="I1135" s="13" t="n">
        <f aca="false">IF(Raw_Data!I1135="",DefaultPerf,Raw_Data!I1135)</f>
        <v>3</v>
      </c>
      <c r="J1135" s="13" t="n">
        <f aca="false">IF(Raw_Data!J1135="",DefaultSat,Raw_Data!J1135)</f>
        <v>3</v>
      </c>
      <c r="K1135" s="15" t="n">
        <f aca="false">Raw_Data!K1135</f>
        <v>197000</v>
      </c>
      <c r="L1135" s="13" t="str">
        <f aca="false">PROPER(TRIM(Raw_Data!N1135))</f>
        <v>No</v>
      </c>
      <c r="M1135" s="13" t="n">
        <f aca="false">IF(C1135="",0,1)</f>
        <v>0</v>
      </c>
      <c r="N1135" s="13" t="str">
        <f aca="false">IF(M1135=0,"Active",IF(TRIM(Raw_Data!L1135)="","Unknown",PROPER(TRIM(Raw_Data!L1135))))</f>
        <v>Active</v>
      </c>
      <c r="O1135" s="13" t="str">
        <f aca="false">IF(M1135=0,"",IF(TRIM(Raw_Data!M1135)="","Not Recorded",TRIM(Raw_Data!M1135)))</f>
        <v/>
      </c>
      <c r="P1135" s="16" t="n">
        <f aca="false">ROUND((IF(C1135="",AsOfDate,C1135)-B1135)/365.25,2)</f>
        <v>4.6</v>
      </c>
      <c r="Q1135" s="13" t="str">
        <f aca="false">IF(D1135="","Unknown",IF(D1135&lt;25,"Under 25",IF(D1135&lt;35,"25-34",IF(D1135&lt;45,"35-44",IF(D1135&lt;55,"45-54","55+")))))</f>
        <v>35-44</v>
      </c>
      <c r="R1135" s="13" t="str">
        <f aca="false">IF(P1135&lt;1,"0-1 yrs",IF(P1135&lt;3,"1-3 yrs",IF(P1135&lt;5,"3-5 yrs",IF(P1135&lt;10,"5-10 yrs","10+ yrs"))))</f>
        <v>3-5 yrs</v>
      </c>
      <c r="S1135" s="13" t="str">
        <f aca="false">IF(I1135&gt;=4,"High",IF(I1135=3,"Medium","Low"))</f>
        <v>Medium</v>
      </c>
      <c r="T1135" s="13" t="str">
        <f aca="false">IF(M1135=1,YEAR(C1135),"")</f>
        <v/>
      </c>
      <c r="U1135" s="13" t="str">
        <f aca="false">IF(M1135=1,YEAR(C1135)&amp;"-Q"&amp;ROUNDUP(MONTH(C1135)/3,0),"")</f>
        <v/>
      </c>
      <c r="V1135" s="13" t="str">
        <f aca="false">IF(M1135=1,MONTH(C1135),"")</f>
        <v/>
      </c>
    </row>
    <row r="1136" customFormat="false" ht="15" hidden="false" customHeight="false" outlineLevel="0" collapsed="false">
      <c r="A1136" s="13" t="str">
        <f aca="false">TRIM(Raw_Data!A1136)</f>
        <v>EMP1135</v>
      </c>
      <c r="B1136" s="14" t="n">
        <f aca="false">Raw_Data!B1136</f>
        <v>44341</v>
      </c>
      <c r="C1136" s="14" t="n">
        <f aca="false">IF(Raw_Data!C1136="","",Raw_Data!C1136)</f>
        <v>44786</v>
      </c>
      <c r="D1136" s="13" t="n">
        <f aca="false">IF(Raw_Data!D1136="","",Raw_Data!D1136)</f>
        <v>32</v>
      </c>
      <c r="E1136" s="13" t="str">
        <f aca="false">IF(UPPER(LEFT(TRIM(Raw_Data!E1136),1))="M","Male",IF(UPPER(LEFT(TRIM(Raw_Data!E1136),1))="F","Female","Unknown"))</f>
        <v>Female</v>
      </c>
      <c r="F1136" s="13" t="str">
        <f aca="false">PROPER(TRIM(SUBSTITUTE(Raw_Data!F1136,"'","")))</f>
        <v>Bachelors</v>
      </c>
      <c r="G1136" s="13" t="str">
        <f aca="false">PROPER(TRIM(Raw_Data!G1136))</f>
        <v>Sales</v>
      </c>
      <c r="H1136" s="13" t="str">
        <f aca="false">PROPER(TRIM(Raw_Data!H1136))</f>
        <v>Senior Analyst</v>
      </c>
      <c r="I1136" s="13" t="n">
        <f aca="false">IF(Raw_Data!I1136="",DefaultPerf,Raw_Data!I1136)</f>
        <v>3</v>
      </c>
      <c r="J1136" s="13" t="n">
        <f aca="false">IF(Raw_Data!J1136="",DefaultSat,Raw_Data!J1136)</f>
        <v>3</v>
      </c>
      <c r="K1136" s="15" t="n">
        <f aca="false">Raw_Data!K1136</f>
        <v>95500</v>
      </c>
      <c r="L1136" s="13" t="str">
        <f aca="false">PROPER(TRIM(Raw_Data!N1136))</f>
        <v>Yes</v>
      </c>
      <c r="M1136" s="13" t="n">
        <f aca="false">IF(C1136="",0,1)</f>
        <v>1</v>
      </c>
      <c r="N1136" s="13" t="str">
        <f aca="false">IF(M1136=0,"Active",IF(TRIM(Raw_Data!L1136)="","Unknown",PROPER(TRIM(Raw_Data!L1136))))</f>
        <v>Voluntary</v>
      </c>
      <c r="O1136" s="13" t="str">
        <f aca="false">IF(M1136=0,"",IF(TRIM(Raw_Data!M1136)="","Not Recorded",TRIM(Raw_Data!M1136)))</f>
        <v>Job Dissatisfaction</v>
      </c>
      <c r="P1136" s="16" t="n">
        <f aca="false">ROUND((IF(C1136="",AsOfDate,C1136)-B1136)/365.25,2)</f>
        <v>1.22</v>
      </c>
      <c r="Q1136" s="13" t="str">
        <f aca="false">IF(D1136="","Unknown",IF(D1136&lt;25,"Under 25",IF(D1136&lt;35,"25-34",IF(D1136&lt;45,"35-44",IF(D1136&lt;55,"45-54","55+")))))</f>
        <v>25-34</v>
      </c>
      <c r="R1136" s="13" t="str">
        <f aca="false">IF(P1136&lt;1,"0-1 yrs",IF(P1136&lt;3,"1-3 yrs",IF(P1136&lt;5,"3-5 yrs",IF(P1136&lt;10,"5-10 yrs","10+ yrs"))))</f>
        <v>1-3 yrs</v>
      </c>
      <c r="S1136" s="13" t="str">
        <f aca="false">IF(I1136&gt;=4,"High",IF(I1136=3,"Medium","Low"))</f>
        <v>Medium</v>
      </c>
      <c r="T1136" s="13" t="n">
        <f aca="false">IF(M1136=1,YEAR(C1136),"")</f>
        <v>2022</v>
      </c>
      <c r="U1136" s="13" t="str">
        <f aca="false">IF(M1136=1,YEAR(C1136)&amp;"-Q"&amp;ROUNDUP(MONTH(C1136)/3,0),"")</f>
        <v>2022-Q3</v>
      </c>
      <c r="V1136" s="13" t="n">
        <f aca="false">IF(M1136=1,MONTH(C1136),"")</f>
        <v>8</v>
      </c>
    </row>
    <row r="1137" customFormat="false" ht="15" hidden="false" customHeight="false" outlineLevel="0" collapsed="false">
      <c r="A1137" s="13" t="str">
        <f aca="false">TRIM(Raw_Data!A1137)</f>
        <v>EMP1136</v>
      </c>
      <c r="B1137" s="14" t="n">
        <f aca="false">Raw_Data!B1137</f>
        <v>44342</v>
      </c>
      <c r="C1137" s="14" t="n">
        <f aca="false">IF(Raw_Data!C1137="","",Raw_Data!C1137)</f>
        <v>44732</v>
      </c>
      <c r="D1137" s="13" t="n">
        <f aca="false">IF(Raw_Data!D1137="","",Raw_Data!D1137)</f>
        <v>29</v>
      </c>
      <c r="E1137" s="13" t="str">
        <f aca="false">IF(UPPER(LEFT(TRIM(Raw_Data!E1137),1))="M","Male",IF(UPPER(LEFT(TRIM(Raw_Data!E1137),1))="F","Female","Unknown"))</f>
        <v>Female</v>
      </c>
      <c r="F1137" s="13" t="str">
        <f aca="false">PROPER(TRIM(SUBSTITUTE(Raw_Data!F1137,"'","")))</f>
        <v>Masters</v>
      </c>
      <c r="G1137" s="13" t="str">
        <f aca="false">PROPER(TRIM(Raw_Data!G1137))</f>
        <v>Sales</v>
      </c>
      <c r="H1137" s="13" t="str">
        <f aca="false">PROPER(TRIM(Raw_Data!H1137))</f>
        <v>Associate</v>
      </c>
      <c r="I1137" s="13" t="n">
        <f aca="false">IF(Raw_Data!I1137="",DefaultPerf,Raw_Data!I1137)</f>
        <v>4</v>
      </c>
      <c r="J1137" s="13" t="n">
        <f aca="false">IF(Raw_Data!J1137="",DefaultSat,Raw_Data!J1137)</f>
        <v>1</v>
      </c>
      <c r="K1137" s="15" t="n">
        <f aca="false">Raw_Data!K1137</f>
        <v>35000</v>
      </c>
      <c r="L1137" s="13" t="str">
        <f aca="false">PROPER(TRIM(Raw_Data!N1137))</f>
        <v>Yes</v>
      </c>
      <c r="M1137" s="13" t="n">
        <f aca="false">IF(C1137="",0,1)</f>
        <v>1</v>
      </c>
      <c r="N1137" s="13" t="str">
        <f aca="false">IF(M1137=0,"Active",IF(TRIM(Raw_Data!L1137)="","Unknown",PROPER(TRIM(Raw_Data!L1137))))</f>
        <v>Voluntary</v>
      </c>
      <c r="O1137" s="13" t="str">
        <f aca="false">IF(M1137=0,"",IF(TRIM(Raw_Data!M1137)="","Not Recorded",TRIM(Raw_Data!M1137)))</f>
        <v>Better Compensation</v>
      </c>
      <c r="P1137" s="16" t="n">
        <f aca="false">ROUND((IF(C1137="",AsOfDate,C1137)-B1137)/365.25,2)</f>
        <v>1.07</v>
      </c>
      <c r="Q1137" s="13" t="str">
        <f aca="false">IF(D1137="","Unknown",IF(D1137&lt;25,"Under 25",IF(D1137&lt;35,"25-34",IF(D1137&lt;45,"35-44",IF(D1137&lt;55,"45-54","55+")))))</f>
        <v>25-34</v>
      </c>
      <c r="R1137" s="13" t="str">
        <f aca="false">IF(P1137&lt;1,"0-1 yrs",IF(P1137&lt;3,"1-3 yrs",IF(P1137&lt;5,"3-5 yrs",IF(P1137&lt;10,"5-10 yrs","10+ yrs"))))</f>
        <v>1-3 yrs</v>
      </c>
      <c r="S1137" s="13" t="str">
        <f aca="false">IF(I1137&gt;=4,"High",IF(I1137=3,"Medium","Low"))</f>
        <v>High</v>
      </c>
      <c r="T1137" s="13" t="n">
        <f aca="false">IF(M1137=1,YEAR(C1137),"")</f>
        <v>2022</v>
      </c>
      <c r="U1137" s="13" t="str">
        <f aca="false">IF(M1137=1,YEAR(C1137)&amp;"-Q"&amp;ROUNDUP(MONTH(C1137)/3,0),"")</f>
        <v>2022-Q2</v>
      </c>
      <c r="V1137" s="13" t="n">
        <f aca="false">IF(M1137=1,MONTH(C1137),"")</f>
        <v>6</v>
      </c>
    </row>
    <row r="1138" customFormat="false" ht="15" hidden="false" customHeight="false" outlineLevel="0" collapsed="false">
      <c r="A1138" s="13" t="str">
        <f aca="false">TRIM(Raw_Data!A1138)</f>
        <v>EMP1137</v>
      </c>
      <c r="B1138" s="14" t="n">
        <f aca="false">Raw_Data!B1138</f>
        <v>44342</v>
      </c>
      <c r="C1138" s="14" t="n">
        <f aca="false">IF(Raw_Data!C1138="","",Raw_Data!C1138)</f>
        <v>44821</v>
      </c>
      <c r="D1138" s="13" t="n">
        <f aca="false">IF(Raw_Data!D1138="","",Raw_Data!D1138)</f>
        <v>36</v>
      </c>
      <c r="E1138" s="13" t="str">
        <f aca="false">IF(UPPER(LEFT(TRIM(Raw_Data!E1138),1))="M","Male",IF(UPPER(LEFT(TRIM(Raw_Data!E1138),1))="F","Female","Unknown"))</f>
        <v>Male</v>
      </c>
      <c r="F1138" s="13" t="str">
        <f aca="false">PROPER(TRIM(SUBSTITUTE(Raw_Data!F1138,"'","")))</f>
        <v>High School</v>
      </c>
      <c r="G1138" s="13" t="str">
        <f aca="false">PROPER(TRIM(Raw_Data!G1138))</f>
        <v>Customer Support</v>
      </c>
      <c r="H1138" s="13" t="str">
        <f aca="false">PROPER(TRIM(Raw_Data!H1138))</f>
        <v>Senior Analyst</v>
      </c>
      <c r="I1138" s="13" t="n">
        <f aca="false">IF(Raw_Data!I1138="",DefaultPerf,Raw_Data!I1138)</f>
        <v>5</v>
      </c>
      <c r="J1138" s="13" t="n">
        <f aca="false">IF(Raw_Data!J1138="",DefaultSat,Raw_Data!J1138)</f>
        <v>3</v>
      </c>
      <c r="K1138" s="15" t="n">
        <f aca="false">Raw_Data!K1138</f>
        <v>101000</v>
      </c>
      <c r="L1138" s="13" t="str">
        <f aca="false">PROPER(TRIM(Raw_Data!N1138))</f>
        <v>Yes</v>
      </c>
      <c r="M1138" s="13" t="n">
        <f aca="false">IF(C1138="",0,1)</f>
        <v>1</v>
      </c>
      <c r="N1138" s="13" t="str">
        <f aca="false">IF(M1138=0,"Active",IF(TRIM(Raw_Data!L1138)="","Unknown",PROPER(TRIM(Raw_Data!L1138))))</f>
        <v>Voluntary</v>
      </c>
      <c r="O1138" s="13" t="str">
        <f aca="false">IF(M1138=0,"",IF(TRIM(Raw_Data!M1138)="","Not Recorded",TRIM(Raw_Data!M1138)))</f>
        <v>Career Growth</v>
      </c>
      <c r="P1138" s="16" t="n">
        <f aca="false">ROUND((IF(C1138="",AsOfDate,C1138)-B1138)/365.25,2)</f>
        <v>1.31</v>
      </c>
      <c r="Q1138" s="13" t="str">
        <f aca="false">IF(D1138="","Unknown",IF(D1138&lt;25,"Under 25",IF(D1138&lt;35,"25-34",IF(D1138&lt;45,"35-44",IF(D1138&lt;55,"45-54","55+")))))</f>
        <v>35-44</v>
      </c>
      <c r="R1138" s="13" t="str">
        <f aca="false">IF(P1138&lt;1,"0-1 yrs",IF(P1138&lt;3,"1-3 yrs",IF(P1138&lt;5,"3-5 yrs",IF(P1138&lt;10,"5-10 yrs","10+ yrs"))))</f>
        <v>1-3 yrs</v>
      </c>
      <c r="S1138" s="13" t="str">
        <f aca="false">IF(I1138&gt;=4,"High",IF(I1138=3,"Medium","Low"))</f>
        <v>High</v>
      </c>
      <c r="T1138" s="13" t="n">
        <f aca="false">IF(M1138=1,YEAR(C1138),"")</f>
        <v>2022</v>
      </c>
      <c r="U1138" s="13" t="str">
        <f aca="false">IF(M1138=1,YEAR(C1138)&amp;"-Q"&amp;ROUNDUP(MONTH(C1138)/3,0),"")</f>
        <v>2022-Q3</v>
      </c>
      <c r="V1138" s="13" t="n">
        <f aca="false">IF(M1138=1,MONTH(C1138),"")</f>
        <v>9</v>
      </c>
    </row>
    <row r="1139" customFormat="false" ht="15" hidden="false" customHeight="false" outlineLevel="0" collapsed="false">
      <c r="A1139" s="13" t="str">
        <f aca="false">TRIM(Raw_Data!A1139)</f>
        <v>EMP1138</v>
      </c>
      <c r="B1139" s="14" t="n">
        <f aca="false">Raw_Data!B1139</f>
        <v>44342</v>
      </c>
      <c r="C1139" s="14" t="str">
        <f aca="false">IF(Raw_Data!C1139="","",Raw_Data!C1139)</f>
        <v/>
      </c>
      <c r="D1139" s="13" t="n">
        <f aca="false">IF(Raw_Data!D1139="","",Raw_Data!D1139)</f>
        <v>37</v>
      </c>
      <c r="E1139" s="13" t="str">
        <f aca="false">IF(UPPER(LEFT(TRIM(Raw_Data!E1139),1))="M","Male",IF(UPPER(LEFT(TRIM(Raw_Data!E1139),1))="F","Female","Unknown"))</f>
        <v>Female</v>
      </c>
      <c r="F1139" s="13" t="str">
        <f aca="false">PROPER(TRIM(SUBSTITUTE(Raw_Data!F1139,"'","")))</f>
        <v>Bachelors</v>
      </c>
      <c r="G1139" s="13" t="str">
        <f aca="false">PROPER(TRIM(Raw_Data!G1139))</f>
        <v>Customer Support</v>
      </c>
      <c r="H1139" s="13" t="str">
        <f aca="false">PROPER(TRIM(Raw_Data!H1139))</f>
        <v>Analyst</v>
      </c>
      <c r="I1139" s="13" t="n">
        <f aca="false">IF(Raw_Data!I1139="",DefaultPerf,Raw_Data!I1139)</f>
        <v>3</v>
      </c>
      <c r="J1139" s="13" t="n">
        <f aca="false">IF(Raw_Data!J1139="",DefaultSat,Raw_Data!J1139)</f>
        <v>4</v>
      </c>
      <c r="K1139" s="15" t="n">
        <f aca="false">Raw_Data!K1139</f>
        <v>61500</v>
      </c>
      <c r="L1139" s="13" t="str">
        <f aca="false">PROPER(TRIM(Raw_Data!N1139))</f>
        <v>No</v>
      </c>
      <c r="M1139" s="13" t="n">
        <f aca="false">IF(C1139="",0,1)</f>
        <v>0</v>
      </c>
      <c r="N1139" s="13" t="str">
        <f aca="false">IF(M1139=0,"Active",IF(TRIM(Raw_Data!L1139)="","Unknown",PROPER(TRIM(Raw_Data!L1139))))</f>
        <v>Active</v>
      </c>
      <c r="O1139" s="13" t="str">
        <f aca="false">IF(M1139=0,"",IF(TRIM(Raw_Data!M1139)="","Not Recorded",TRIM(Raw_Data!M1139)))</f>
        <v/>
      </c>
      <c r="P1139" s="16" t="n">
        <f aca="false">ROUND((IF(C1139="",AsOfDate,C1139)-B1139)/365.25,2)</f>
        <v>4.6</v>
      </c>
      <c r="Q1139" s="13" t="str">
        <f aca="false">IF(D1139="","Unknown",IF(D1139&lt;25,"Under 25",IF(D1139&lt;35,"25-34",IF(D1139&lt;45,"35-44",IF(D1139&lt;55,"45-54","55+")))))</f>
        <v>35-44</v>
      </c>
      <c r="R1139" s="13" t="str">
        <f aca="false">IF(P1139&lt;1,"0-1 yrs",IF(P1139&lt;3,"1-3 yrs",IF(P1139&lt;5,"3-5 yrs",IF(P1139&lt;10,"5-10 yrs","10+ yrs"))))</f>
        <v>3-5 yrs</v>
      </c>
      <c r="S1139" s="13" t="str">
        <f aca="false">IF(I1139&gt;=4,"High",IF(I1139=3,"Medium","Low"))</f>
        <v>Medium</v>
      </c>
      <c r="T1139" s="13" t="str">
        <f aca="false">IF(M1139=1,YEAR(C1139),"")</f>
        <v/>
      </c>
      <c r="U1139" s="13" t="str">
        <f aca="false">IF(M1139=1,YEAR(C1139)&amp;"-Q"&amp;ROUNDUP(MONTH(C1139)/3,0),"")</f>
        <v/>
      </c>
      <c r="V1139" s="13" t="str">
        <f aca="false">IF(M1139=1,MONTH(C1139),"")</f>
        <v/>
      </c>
    </row>
    <row r="1140" customFormat="false" ht="15" hidden="false" customHeight="false" outlineLevel="0" collapsed="false">
      <c r="A1140" s="13" t="str">
        <f aca="false">TRIM(Raw_Data!A1140)</f>
        <v>EMP1139</v>
      </c>
      <c r="B1140" s="14" t="n">
        <f aca="false">Raw_Data!B1140</f>
        <v>44348</v>
      </c>
      <c r="C1140" s="14" t="n">
        <f aca="false">IF(Raw_Data!C1140="","",Raw_Data!C1140)</f>
        <v>45738</v>
      </c>
      <c r="D1140" s="13" t="n">
        <f aca="false">IF(Raw_Data!D1140="","",Raw_Data!D1140)</f>
        <v>34</v>
      </c>
      <c r="E1140" s="13" t="str">
        <f aca="false">IF(UPPER(LEFT(TRIM(Raw_Data!E1140),1))="M","Male",IF(UPPER(LEFT(TRIM(Raw_Data!E1140),1))="F","Female","Unknown"))</f>
        <v>Male</v>
      </c>
      <c r="F1140" s="13" t="str">
        <f aca="false">PROPER(TRIM(SUBSTITUTE(Raw_Data!F1140,"'","")))</f>
        <v>Masters</v>
      </c>
      <c r="G1140" s="13" t="str">
        <f aca="false">PROPER(TRIM(Raw_Data!G1140))</f>
        <v>Engineering</v>
      </c>
      <c r="H1140" s="13" t="str">
        <f aca="false">PROPER(TRIM(Raw_Data!H1140))</f>
        <v>Senior Analyst</v>
      </c>
      <c r="I1140" s="13" t="n">
        <f aca="false">IF(Raw_Data!I1140="",DefaultPerf,Raw_Data!I1140)</f>
        <v>3</v>
      </c>
      <c r="J1140" s="13" t="n">
        <f aca="false">IF(Raw_Data!J1140="",DefaultSat,Raw_Data!J1140)</f>
        <v>3</v>
      </c>
      <c r="K1140" s="15" t="n">
        <f aca="false">Raw_Data!K1140</f>
        <v>87500</v>
      </c>
      <c r="L1140" s="13" t="str">
        <f aca="false">PROPER(TRIM(Raw_Data!N1140))</f>
        <v>No</v>
      </c>
      <c r="M1140" s="13" t="n">
        <f aca="false">IF(C1140="",0,1)</f>
        <v>1</v>
      </c>
      <c r="N1140" s="13" t="str">
        <f aca="false">IF(M1140=0,"Active",IF(TRIM(Raw_Data!L1140)="","Unknown",PROPER(TRIM(Raw_Data!L1140))))</f>
        <v>Voluntary</v>
      </c>
      <c r="O1140" s="13" t="str">
        <f aca="false">IF(M1140=0,"",IF(TRIM(Raw_Data!M1140)="","Not Recorded",TRIM(Raw_Data!M1140)))</f>
        <v>Not Recorded</v>
      </c>
      <c r="P1140" s="16" t="n">
        <f aca="false">ROUND((IF(C1140="",AsOfDate,C1140)-B1140)/365.25,2)</f>
        <v>3.81</v>
      </c>
      <c r="Q1140" s="13" t="str">
        <f aca="false">IF(D1140="","Unknown",IF(D1140&lt;25,"Under 25",IF(D1140&lt;35,"25-34",IF(D1140&lt;45,"35-44",IF(D1140&lt;55,"45-54","55+")))))</f>
        <v>25-34</v>
      </c>
      <c r="R1140" s="13" t="str">
        <f aca="false">IF(P1140&lt;1,"0-1 yrs",IF(P1140&lt;3,"1-3 yrs",IF(P1140&lt;5,"3-5 yrs",IF(P1140&lt;10,"5-10 yrs","10+ yrs"))))</f>
        <v>3-5 yrs</v>
      </c>
      <c r="S1140" s="13" t="str">
        <f aca="false">IF(I1140&gt;=4,"High",IF(I1140=3,"Medium","Low"))</f>
        <v>Medium</v>
      </c>
      <c r="T1140" s="13" t="n">
        <f aca="false">IF(M1140=1,YEAR(C1140),"")</f>
        <v>2025</v>
      </c>
      <c r="U1140" s="13" t="str">
        <f aca="false">IF(M1140=1,YEAR(C1140)&amp;"-Q"&amp;ROUNDUP(MONTH(C1140)/3,0),"")</f>
        <v>2025-Q1</v>
      </c>
      <c r="V1140" s="13" t="n">
        <f aca="false">IF(M1140=1,MONTH(C1140),"")</f>
        <v>3</v>
      </c>
    </row>
    <row r="1141" customFormat="false" ht="15" hidden="false" customHeight="false" outlineLevel="0" collapsed="false">
      <c r="A1141" s="13" t="str">
        <f aca="false">TRIM(Raw_Data!A1141)</f>
        <v>EMP1140</v>
      </c>
      <c r="B1141" s="14" t="n">
        <f aca="false">Raw_Data!B1141</f>
        <v>44350</v>
      </c>
      <c r="C1141" s="14" t="str">
        <f aca="false">IF(Raw_Data!C1141="","",Raw_Data!C1141)</f>
        <v/>
      </c>
      <c r="D1141" s="13" t="n">
        <f aca="false">IF(Raw_Data!D1141="","",Raw_Data!D1141)</f>
        <v>34</v>
      </c>
      <c r="E1141" s="13" t="str">
        <f aca="false">IF(UPPER(LEFT(TRIM(Raw_Data!E1141),1))="M","Male",IF(UPPER(LEFT(TRIM(Raw_Data!E1141),1))="F","Female","Unknown"))</f>
        <v>Female</v>
      </c>
      <c r="F1141" s="13" t="str">
        <f aca="false">PROPER(TRIM(SUBSTITUTE(Raw_Data!F1141,"'","")))</f>
        <v>Masters</v>
      </c>
      <c r="G1141" s="13" t="str">
        <f aca="false">PROPER(TRIM(Raw_Data!G1141))</f>
        <v>Operations</v>
      </c>
      <c r="H1141" s="13" t="str">
        <f aca="false">PROPER(TRIM(Raw_Data!H1141))</f>
        <v>Specialist</v>
      </c>
      <c r="I1141" s="13" t="n">
        <f aca="false">IF(Raw_Data!I1141="",DefaultPerf,Raw_Data!I1141)</f>
        <v>3</v>
      </c>
      <c r="J1141" s="13" t="n">
        <f aca="false">IF(Raw_Data!J1141="",DefaultSat,Raw_Data!J1141)</f>
        <v>3</v>
      </c>
      <c r="K1141" s="15" t="n">
        <f aca="false">Raw_Data!K1141</f>
        <v>100000</v>
      </c>
      <c r="L1141" s="13" t="str">
        <f aca="false">PROPER(TRIM(Raw_Data!N1141))</f>
        <v>No</v>
      </c>
      <c r="M1141" s="13" t="n">
        <f aca="false">IF(C1141="",0,1)</f>
        <v>0</v>
      </c>
      <c r="N1141" s="13" t="str">
        <f aca="false">IF(M1141=0,"Active",IF(TRIM(Raw_Data!L1141)="","Unknown",PROPER(TRIM(Raw_Data!L1141))))</f>
        <v>Active</v>
      </c>
      <c r="O1141" s="13" t="str">
        <f aca="false">IF(M1141=0,"",IF(TRIM(Raw_Data!M1141)="","Not Recorded",TRIM(Raw_Data!M1141)))</f>
        <v/>
      </c>
      <c r="P1141" s="16" t="n">
        <f aca="false">ROUND((IF(C1141="",AsOfDate,C1141)-B1141)/365.25,2)</f>
        <v>4.58</v>
      </c>
      <c r="Q1141" s="13" t="str">
        <f aca="false">IF(D1141="","Unknown",IF(D1141&lt;25,"Under 25",IF(D1141&lt;35,"25-34",IF(D1141&lt;45,"35-44",IF(D1141&lt;55,"45-54","55+")))))</f>
        <v>25-34</v>
      </c>
      <c r="R1141" s="13" t="str">
        <f aca="false">IF(P1141&lt;1,"0-1 yrs",IF(P1141&lt;3,"1-3 yrs",IF(P1141&lt;5,"3-5 yrs",IF(P1141&lt;10,"5-10 yrs","10+ yrs"))))</f>
        <v>3-5 yrs</v>
      </c>
      <c r="S1141" s="13" t="str">
        <f aca="false">IF(I1141&gt;=4,"High",IF(I1141=3,"Medium","Low"))</f>
        <v>Medium</v>
      </c>
      <c r="T1141" s="13" t="str">
        <f aca="false">IF(M1141=1,YEAR(C1141),"")</f>
        <v/>
      </c>
      <c r="U1141" s="13" t="str">
        <f aca="false">IF(M1141=1,YEAR(C1141)&amp;"-Q"&amp;ROUNDUP(MONTH(C1141)/3,0),"")</f>
        <v/>
      </c>
      <c r="V1141" s="13" t="str">
        <f aca="false">IF(M1141=1,MONTH(C1141),"")</f>
        <v/>
      </c>
    </row>
    <row r="1142" customFormat="false" ht="15" hidden="false" customHeight="false" outlineLevel="0" collapsed="false">
      <c r="A1142" s="13" t="str">
        <f aca="false">TRIM(Raw_Data!A1142)</f>
        <v>EMP1141</v>
      </c>
      <c r="B1142" s="14" t="n">
        <f aca="false">Raw_Data!B1142</f>
        <v>44352</v>
      </c>
      <c r="C1142" s="14" t="n">
        <f aca="false">IF(Raw_Data!C1142="","",Raw_Data!C1142)</f>
        <v>44943</v>
      </c>
      <c r="D1142" s="13" t="n">
        <f aca="false">IF(Raw_Data!D1142="","",Raw_Data!D1142)</f>
        <v>35</v>
      </c>
      <c r="E1142" s="13" t="str">
        <f aca="false">IF(UPPER(LEFT(TRIM(Raw_Data!E1142),1))="M","Male",IF(UPPER(LEFT(TRIM(Raw_Data!E1142),1))="F","Female","Unknown"))</f>
        <v>Male</v>
      </c>
      <c r="F1142" s="13" t="str">
        <f aca="false">PROPER(TRIM(SUBSTITUTE(Raw_Data!F1142,"'","")))</f>
        <v>Bachelors</v>
      </c>
      <c r="G1142" s="13" t="str">
        <f aca="false">PROPER(TRIM(Raw_Data!G1142))</f>
        <v>Engineering</v>
      </c>
      <c r="H1142" s="13" t="str">
        <f aca="false">PROPER(TRIM(Raw_Data!H1142))</f>
        <v>Specialist</v>
      </c>
      <c r="I1142" s="13" t="n">
        <f aca="false">IF(Raw_Data!I1142="",DefaultPerf,Raw_Data!I1142)</f>
        <v>3</v>
      </c>
      <c r="J1142" s="13" t="n">
        <f aca="false">IF(Raw_Data!J1142="",DefaultSat,Raw_Data!J1142)</f>
        <v>4</v>
      </c>
      <c r="K1142" s="15" t="n">
        <f aca="false">Raw_Data!K1142</f>
        <v>119500</v>
      </c>
      <c r="L1142" s="13" t="str">
        <f aca="false">PROPER(TRIM(Raw_Data!N1142))</f>
        <v>No</v>
      </c>
      <c r="M1142" s="13" t="n">
        <f aca="false">IF(C1142="",0,1)</f>
        <v>1</v>
      </c>
      <c r="N1142" s="13" t="str">
        <f aca="false">IF(M1142=0,"Active",IF(TRIM(Raw_Data!L1142)="","Unknown",PROPER(TRIM(Raw_Data!L1142))))</f>
        <v>Voluntary</v>
      </c>
      <c r="O1142" s="13" t="str">
        <f aca="false">IF(M1142=0,"",IF(TRIM(Raw_Data!M1142)="","Not Recorded",TRIM(Raw_Data!M1142)))</f>
        <v>Career Growth</v>
      </c>
      <c r="P1142" s="16" t="n">
        <f aca="false">ROUND((IF(C1142="",AsOfDate,C1142)-B1142)/365.25,2)</f>
        <v>1.62</v>
      </c>
      <c r="Q1142" s="13" t="str">
        <f aca="false">IF(D1142="","Unknown",IF(D1142&lt;25,"Under 25",IF(D1142&lt;35,"25-34",IF(D1142&lt;45,"35-44",IF(D1142&lt;55,"45-54","55+")))))</f>
        <v>35-44</v>
      </c>
      <c r="R1142" s="13" t="str">
        <f aca="false">IF(P1142&lt;1,"0-1 yrs",IF(P1142&lt;3,"1-3 yrs",IF(P1142&lt;5,"3-5 yrs",IF(P1142&lt;10,"5-10 yrs","10+ yrs"))))</f>
        <v>1-3 yrs</v>
      </c>
      <c r="S1142" s="13" t="str">
        <f aca="false">IF(I1142&gt;=4,"High",IF(I1142=3,"Medium","Low"))</f>
        <v>Medium</v>
      </c>
      <c r="T1142" s="13" t="n">
        <f aca="false">IF(M1142=1,YEAR(C1142),"")</f>
        <v>2023</v>
      </c>
      <c r="U1142" s="13" t="str">
        <f aca="false">IF(M1142=1,YEAR(C1142)&amp;"-Q"&amp;ROUNDUP(MONTH(C1142)/3,0),"")</f>
        <v>2023-Q1</v>
      </c>
      <c r="V1142" s="13" t="n">
        <f aca="false">IF(M1142=1,MONTH(C1142),"")</f>
        <v>1</v>
      </c>
    </row>
    <row r="1143" customFormat="false" ht="15" hidden="false" customHeight="false" outlineLevel="0" collapsed="false">
      <c r="A1143" s="13" t="str">
        <f aca="false">TRIM(Raw_Data!A1143)</f>
        <v>EMP1142</v>
      </c>
      <c r="B1143" s="14" t="n">
        <f aca="false">Raw_Data!B1143</f>
        <v>44354</v>
      </c>
      <c r="C1143" s="14" t="n">
        <f aca="false">IF(Raw_Data!C1143="","",Raw_Data!C1143)</f>
        <v>45601</v>
      </c>
      <c r="D1143" s="13" t="n">
        <f aca="false">IF(Raw_Data!D1143="","",Raw_Data!D1143)</f>
        <v>26</v>
      </c>
      <c r="E1143" s="13" t="str">
        <f aca="false">IF(UPPER(LEFT(TRIM(Raw_Data!E1143),1))="M","Male",IF(UPPER(LEFT(TRIM(Raw_Data!E1143),1))="F","Female","Unknown"))</f>
        <v>Female</v>
      </c>
      <c r="F1143" s="13" t="str">
        <f aca="false">PROPER(TRIM(SUBSTITUTE(Raw_Data!F1143,"'","")))</f>
        <v>Bachelors</v>
      </c>
      <c r="G1143" s="13" t="str">
        <f aca="false">PROPER(TRIM(Raw_Data!G1143))</f>
        <v>Engineering</v>
      </c>
      <c r="H1143" s="13" t="str">
        <f aca="false">PROPER(TRIM(Raw_Data!H1143))</f>
        <v>Analyst</v>
      </c>
      <c r="I1143" s="13" t="n">
        <f aca="false">IF(Raw_Data!I1143="",DefaultPerf,Raw_Data!I1143)</f>
        <v>4</v>
      </c>
      <c r="J1143" s="13" t="n">
        <f aca="false">IF(Raw_Data!J1143="",DefaultSat,Raw_Data!J1143)</f>
        <v>2</v>
      </c>
      <c r="K1143" s="15" t="n">
        <f aca="false">Raw_Data!K1143</f>
        <v>57500</v>
      </c>
      <c r="L1143" s="13" t="str">
        <f aca="false">PROPER(TRIM(Raw_Data!N1143))</f>
        <v>Yes</v>
      </c>
      <c r="M1143" s="13" t="n">
        <f aca="false">IF(C1143="",0,1)</f>
        <v>1</v>
      </c>
      <c r="N1143" s="13" t="str">
        <f aca="false">IF(M1143=0,"Active",IF(TRIM(Raw_Data!L1143)="","Unknown",PROPER(TRIM(Raw_Data!L1143))))</f>
        <v>Voluntary</v>
      </c>
      <c r="O1143" s="13" t="str">
        <f aca="false">IF(M1143=0,"",IF(TRIM(Raw_Data!M1143)="","Not Recorded",TRIM(Raw_Data!M1143)))</f>
        <v>Not Recorded</v>
      </c>
      <c r="P1143" s="16" t="n">
        <f aca="false">ROUND((IF(C1143="",AsOfDate,C1143)-B1143)/365.25,2)</f>
        <v>3.41</v>
      </c>
      <c r="Q1143" s="13" t="str">
        <f aca="false">IF(D1143="","Unknown",IF(D1143&lt;25,"Under 25",IF(D1143&lt;35,"25-34",IF(D1143&lt;45,"35-44",IF(D1143&lt;55,"45-54","55+")))))</f>
        <v>25-34</v>
      </c>
      <c r="R1143" s="13" t="str">
        <f aca="false">IF(P1143&lt;1,"0-1 yrs",IF(P1143&lt;3,"1-3 yrs",IF(P1143&lt;5,"3-5 yrs",IF(P1143&lt;10,"5-10 yrs","10+ yrs"))))</f>
        <v>3-5 yrs</v>
      </c>
      <c r="S1143" s="13" t="str">
        <f aca="false">IF(I1143&gt;=4,"High",IF(I1143=3,"Medium","Low"))</f>
        <v>High</v>
      </c>
      <c r="T1143" s="13" t="n">
        <f aca="false">IF(M1143=1,YEAR(C1143),"")</f>
        <v>2024</v>
      </c>
      <c r="U1143" s="13" t="str">
        <f aca="false">IF(M1143=1,YEAR(C1143)&amp;"-Q"&amp;ROUNDUP(MONTH(C1143)/3,0),"")</f>
        <v>2024-Q4</v>
      </c>
      <c r="V1143" s="13" t="n">
        <f aca="false">IF(M1143=1,MONTH(C1143),"")</f>
        <v>11</v>
      </c>
    </row>
    <row r="1144" customFormat="false" ht="15" hidden="false" customHeight="false" outlineLevel="0" collapsed="false">
      <c r="A1144" s="13" t="str">
        <f aca="false">TRIM(Raw_Data!A1144)</f>
        <v>EMP1143</v>
      </c>
      <c r="B1144" s="14" t="n">
        <f aca="false">Raw_Data!B1144</f>
        <v>44355</v>
      </c>
      <c r="C1144" s="14" t="str">
        <f aca="false">IF(Raw_Data!C1144="","",Raw_Data!C1144)</f>
        <v/>
      </c>
      <c r="D1144" s="13" t="n">
        <f aca="false">IF(Raw_Data!D1144="","",Raw_Data!D1144)</f>
        <v>30</v>
      </c>
      <c r="E1144" s="13" t="str">
        <f aca="false">IF(UPPER(LEFT(TRIM(Raw_Data!E1144),1))="M","Male",IF(UPPER(LEFT(TRIM(Raw_Data!E1144),1))="F","Female","Unknown"))</f>
        <v>Female</v>
      </c>
      <c r="F1144" s="13" t="str">
        <f aca="false">PROPER(TRIM(SUBSTITUTE(Raw_Data!F1144,"'","")))</f>
        <v>Bachelors</v>
      </c>
      <c r="G1144" s="13" t="str">
        <f aca="false">PROPER(TRIM(Raw_Data!G1144))</f>
        <v>Sales</v>
      </c>
      <c r="H1144" s="13" t="str">
        <f aca="false">PROPER(TRIM(Raw_Data!H1144))</f>
        <v>Analyst</v>
      </c>
      <c r="I1144" s="13" t="n">
        <f aca="false">IF(Raw_Data!I1144="",DefaultPerf,Raw_Data!I1144)</f>
        <v>2</v>
      </c>
      <c r="J1144" s="13" t="n">
        <f aca="false">IF(Raw_Data!J1144="",DefaultSat,Raw_Data!J1144)</f>
        <v>1</v>
      </c>
      <c r="K1144" s="15" t="n">
        <f aca="false">Raw_Data!K1144</f>
        <v>62000</v>
      </c>
      <c r="L1144" s="13" t="str">
        <f aca="false">PROPER(TRIM(Raw_Data!N1144))</f>
        <v>No</v>
      </c>
      <c r="M1144" s="13" t="n">
        <f aca="false">IF(C1144="",0,1)</f>
        <v>0</v>
      </c>
      <c r="N1144" s="13" t="str">
        <f aca="false">IF(M1144=0,"Active",IF(TRIM(Raw_Data!L1144)="","Unknown",PROPER(TRIM(Raw_Data!L1144))))</f>
        <v>Active</v>
      </c>
      <c r="O1144" s="13" t="str">
        <f aca="false">IF(M1144=0,"",IF(TRIM(Raw_Data!M1144)="","Not Recorded",TRIM(Raw_Data!M1144)))</f>
        <v/>
      </c>
      <c r="P1144" s="16" t="n">
        <f aca="false">ROUND((IF(C1144="",AsOfDate,C1144)-B1144)/365.25,2)</f>
        <v>4.56</v>
      </c>
      <c r="Q1144" s="13" t="str">
        <f aca="false">IF(D1144="","Unknown",IF(D1144&lt;25,"Under 25",IF(D1144&lt;35,"25-34",IF(D1144&lt;45,"35-44",IF(D1144&lt;55,"45-54","55+")))))</f>
        <v>25-34</v>
      </c>
      <c r="R1144" s="13" t="str">
        <f aca="false">IF(P1144&lt;1,"0-1 yrs",IF(P1144&lt;3,"1-3 yrs",IF(P1144&lt;5,"3-5 yrs",IF(P1144&lt;10,"5-10 yrs","10+ yrs"))))</f>
        <v>3-5 yrs</v>
      </c>
      <c r="S1144" s="13" t="str">
        <f aca="false">IF(I1144&gt;=4,"High",IF(I1144=3,"Medium","Low"))</f>
        <v>Low</v>
      </c>
      <c r="T1144" s="13" t="str">
        <f aca="false">IF(M1144=1,YEAR(C1144),"")</f>
        <v/>
      </c>
      <c r="U1144" s="13" t="str">
        <f aca="false">IF(M1144=1,YEAR(C1144)&amp;"-Q"&amp;ROUNDUP(MONTH(C1144)/3,0),"")</f>
        <v/>
      </c>
      <c r="V1144" s="13" t="str">
        <f aca="false">IF(M1144=1,MONTH(C1144),"")</f>
        <v/>
      </c>
    </row>
    <row r="1145" customFormat="false" ht="15" hidden="false" customHeight="false" outlineLevel="0" collapsed="false">
      <c r="A1145" s="13" t="str">
        <f aca="false">TRIM(Raw_Data!A1145)</f>
        <v>EMP1144</v>
      </c>
      <c r="B1145" s="14" t="n">
        <f aca="false">Raw_Data!B1145</f>
        <v>44359</v>
      </c>
      <c r="C1145" s="14" t="str">
        <f aca="false">IF(Raw_Data!C1145="","",Raw_Data!C1145)</f>
        <v/>
      </c>
      <c r="D1145" s="13" t="n">
        <f aca="false">IF(Raw_Data!D1145="","",Raw_Data!D1145)</f>
        <v>40</v>
      </c>
      <c r="E1145" s="13" t="str">
        <f aca="false">IF(UPPER(LEFT(TRIM(Raw_Data!E1145),1))="M","Male",IF(UPPER(LEFT(TRIM(Raw_Data!E1145),1))="F","Female","Unknown"))</f>
        <v>Male</v>
      </c>
      <c r="F1145" s="13" t="str">
        <f aca="false">PROPER(TRIM(SUBSTITUTE(Raw_Data!F1145,"'","")))</f>
        <v>Bachelors</v>
      </c>
      <c r="G1145" s="13" t="str">
        <f aca="false">PROPER(TRIM(Raw_Data!G1145))</f>
        <v>Finance</v>
      </c>
      <c r="H1145" s="13" t="str">
        <f aca="false">PROPER(TRIM(Raw_Data!H1145))</f>
        <v>Associate</v>
      </c>
      <c r="I1145" s="13" t="n">
        <f aca="false">IF(Raw_Data!I1145="",DefaultPerf,Raw_Data!I1145)</f>
        <v>3</v>
      </c>
      <c r="J1145" s="13" t="n">
        <f aca="false">IF(Raw_Data!J1145="",DefaultSat,Raw_Data!J1145)</f>
        <v>4</v>
      </c>
      <c r="K1145" s="15" t="n">
        <f aca="false">Raw_Data!K1145</f>
        <v>38000</v>
      </c>
      <c r="L1145" s="13" t="str">
        <f aca="false">PROPER(TRIM(Raw_Data!N1145))</f>
        <v>No</v>
      </c>
      <c r="M1145" s="13" t="n">
        <f aca="false">IF(C1145="",0,1)</f>
        <v>0</v>
      </c>
      <c r="N1145" s="13" t="str">
        <f aca="false">IF(M1145=0,"Active",IF(TRIM(Raw_Data!L1145)="","Unknown",PROPER(TRIM(Raw_Data!L1145))))</f>
        <v>Active</v>
      </c>
      <c r="O1145" s="13" t="str">
        <f aca="false">IF(M1145=0,"",IF(TRIM(Raw_Data!M1145)="","Not Recorded",TRIM(Raw_Data!M1145)))</f>
        <v/>
      </c>
      <c r="P1145" s="16" t="n">
        <f aca="false">ROUND((IF(C1145="",AsOfDate,C1145)-B1145)/365.25,2)</f>
        <v>4.55</v>
      </c>
      <c r="Q1145" s="13" t="str">
        <f aca="false">IF(D1145="","Unknown",IF(D1145&lt;25,"Under 25",IF(D1145&lt;35,"25-34",IF(D1145&lt;45,"35-44",IF(D1145&lt;55,"45-54","55+")))))</f>
        <v>35-44</v>
      </c>
      <c r="R1145" s="13" t="str">
        <f aca="false">IF(P1145&lt;1,"0-1 yrs",IF(P1145&lt;3,"1-3 yrs",IF(P1145&lt;5,"3-5 yrs",IF(P1145&lt;10,"5-10 yrs","10+ yrs"))))</f>
        <v>3-5 yrs</v>
      </c>
      <c r="S1145" s="13" t="str">
        <f aca="false">IF(I1145&gt;=4,"High",IF(I1145=3,"Medium","Low"))</f>
        <v>Medium</v>
      </c>
      <c r="T1145" s="13" t="str">
        <f aca="false">IF(M1145=1,YEAR(C1145),"")</f>
        <v/>
      </c>
      <c r="U1145" s="13" t="str">
        <f aca="false">IF(M1145=1,YEAR(C1145)&amp;"-Q"&amp;ROUNDUP(MONTH(C1145)/3,0),"")</f>
        <v/>
      </c>
      <c r="V1145" s="13" t="str">
        <f aca="false">IF(M1145=1,MONTH(C1145),"")</f>
        <v/>
      </c>
    </row>
    <row r="1146" customFormat="false" ht="15" hidden="false" customHeight="false" outlineLevel="0" collapsed="false">
      <c r="A1146" s="13" t="str">
        <f aca="false">TRIM(Raw_Data!A1146)</f>
        <v>EMP1145</v>
      </c>
      <c r="B1146" s="14" t="n">
        <f aca="false">Raw_Data!B1146</f>
        <v>44360</v>
      </c>
      <c r="C1146" s="14" t="n">
        <f aca="false">IF(Raw_Data!C1146="","",Raw_Data!C1146)</f>
        <v>44873</v>
      </c>
      <c r="D1146" s="13" t="n">
        <f aca="false">IF(Raw_Data!D1146="","",Raw_Data!D1146)</f>
        <v>30</v>
      </c>
      <c r="E1146" s="13" t="str">
        <f aca="false">IF(UPPER(LEFT(TRIM(Raw_Data!E1146),1))="M","Male",IF(UPPER(LEFT(TRIM(Raw_Data!E1146),1))="F","Female","Unknown"))</f>
        <v>Male</v>
      </c>
      <c r="F1146" s="13" t="str">
        <f aca="false">PROPER(TRIM(SUBSTITUTE(Raw_Data!F1146,"'","")))</f>
        <v>Bachelors</v>
      </c>
      <c r="G1146" s="13" t="str">
        <f aca="false">PROPER(TRIM(Raw_Data!G1146))</f>
        <v>Operations</v>
      </c>
      <c r="H1146" s="13" t="str">
        <f aca="false">PROPER(TRIM(Raw_Data!H1146))</f>
        <v>Team Lead</v>
      </c>
      <c r="I1146" s="13" t="n">
        <f aca="false">IF(Raw_Data!I1146="",DefaultPerf,Raw_Data!I1146)</f>
        <v>3</v>
      </c>
      <c r="J1146" s="13" t="n">
        <f aca="false">IF(Raw_Data!J1146="",DefaultSat,Raw_Data!J1146)</f>
        <v>2</v>
      </c>
      <c r="K1146" s="15" t="n">
        <f aca="false">Raw_Data!K1146</f>
        <v>124500</v>
      </c>
      <c r="L1146" s="13" t="str">
        <f aca="false">PROPER(TRIM(Raw_Data!N1146))</f>
        <v>No</v>
      </c>
      <c r="M1146" s="13" t="n">
        <f aca="false">IF(C1146="",0,1)</f>
        <v>1</v>
      </c>
      <c r="N1146" s="13" t="str">
        <f aca="false">IF(M1146=0,"Active",IF(TRIM(Raw_Data!L1146)="","Unknown",PROPER(TRIM(Raw_Data!L1146))))</f>
        <v>Voluntary</v>
      </c>
      <c r="O1146" s="13" t="str">
        <f aca="false">IF(M1146=0,"",IF(TRIM(Raw_Data!M1146)="","Not Recorded",TRIM(Raw_Data!M1146)))</f>
        <v>Better Compensation</v>
      </c>
      <c r="P1146" s="16" t="n">
        <f aca="false">ROUND((IF(C1146="",AsOfDate,C1146)-B1146)/365.25,2)</f>
        <v>1.4</v>
      </c>
      <c r="Q1146" s="13" t="str">
        <f aca="false">IF(D1146="","Unknown",IF(D1146&lt;25,"Under 25",IF(D1146&lt;35,"25-34",IF(D1146&lt;45,"35-44",IF(D1146&lt;55,"45-54","55+")))))</f>
        <v>25-34</v>
      </c>
      <c r="R1146" s="13" t="str">
        <f aca="false">IF(P1146&lt;1,"0-1 yrs",IF(P1146&lt;3,"1-3 yrs",IF(P1146&lt;5,"3-5 yrs",IF(P1146&lt;10,"5-10 yrs","10+ yrs"))))</f>
        <v>1-3 yrs</v>
      </c>
      <c r="S1146" s="13" t="str">
        <f aca="false">IF(I1146&gt;=4,"High",IF(I1146=3,"Medium","Low"))</f>
        <v>Medium</v>
      </c>
      <c r="T1146" s="13" t="n">
        <f aca="false">IF(M1146=1,YEAR(C1146),"")</f>
        <v>2022</v>
      </c>
      <c r="U1146" s="13" t="str">
        <f aca="false">IF(M1146=1,YEAR(C1146)&amp;"-Q"&amp;ROUNDUP(MONTH(C1146)/3,0),"")</f>
        <v>2022-Q4</v>
      </c>
      <c r="V1146" s="13" t="n">
        <f aca="false">IF(M1146=1,MONTH(C1146),"")</f>
        <v>11</v>
      </c>
    </row>
    <row r="1147" customFormat="false" ht="15" hidden="false" customHeight="false" outlineLevel="0" collapsed="false">
      <c r="A1147" s="13" t="str">
        <f aca="false">TRIM(Raw_Data!A1147)</f>
        <v>EMP1146</v>
      </c>
      <c r="B1147" s="14" t="n">
        <f aca="false">Raw_Data!B1147</f>
        <v>44363</v>
      </c>
      <c r="C1147" s="14" t="str">
        <f aca="false">IF(Raw_Data!C1147="","",Raw_Data!C1147)</f>
        <v/>
      </c>
      <c r="D1147" s="13" t="n">
        <f aca="false">IF(Raw_Data!D1147="","",Raw_Data!D1147)</f>
        <v>32</v>
      </c>
      <c r="E1147" s="13" t="str">
        <f aca="false">IF(UPPER(LEFT(TRIM(Raw_Data!E1147),1))="M","Male",IF(UPPER(LEFT(TRIM(Raw_Data!E1147),1))="F","Female","Unknown"))</f>
        <v>Female</v>
      </c>
      <c r="F1147" s="13" t="str">
        <f aca="false">PROPER(TRIM(SUBSTITUTE(Raw_Data!F1147,"'","")))</f>
        <v>Masters</v>
      </c>
      <c r="G1147" s="13" t="str">
        <f aca="false">PROPER(TRIM(Raw_Data!G1147))</f>
        <v>Operations</v>
      </c>
      <c r="H1147" s="13" t="str">
        <f aca="false">PROPER(TRIM(Raw_Data!H1147))</f>
        <v>Team Lead</v>
      </c>
      <c r="I1147" s="13" t="n">
        <f aca="false">IF(Raw_Data!I1147="",DefaultPerf,Raw_Data!I1147)</f>
        <v>4</v>
      </c>
      <c r="J1147" s="13" t="n">
        <f aca="false">IF(Raw_Data!J1147="",DefaultSat,Raw_Data!J1147)</f>
        <v>1</v>
      </c>
      <c r="K1147" s="15" t="n">
        <f aca="false">Raw_Data!K1147</f>
        <v>130000</v>
      </c>
      <c r="L1147" s="13" t="str">
        <f aca="false">PROPER(TRIM(Raw_Data!N1147))</f>
        <v>No</v>
      </c>
      <c r="M1147" s="13" t="n">
        <f aca="false">IF(C1147="",0,1)</f>
        <v>0</v>
      </c>
      <c r="N1147" s="13" t="str">
        <f aca="false">IF(M1147=0,"Active",IF(TRIM(Raw_Data!L1147)="","Unknown",PROPER(TRIM(Raw_Data!L1147))))</f>
        <v>Active</v>
      </c>
      <c r="O1147" s="13" t="str">
        <f aca="false">IF(M1147=0,"",IF(TRIM(Raw_Data!M1147)="","Not Recorded",TRIM(Raw_Data!M1147)))</f>
        <v/>
      </c>
      <c r="P1147" s="16" t="n">
        <f aca="false">ROUND((IF(C1147="",AsOfDate,C1147)-B1147)/365.25,2)</f>
        <v>4.54</v>
      </c>
      <c r="Q1147" s="13" t="str">
        <f aca="false">IF(D1147="","Unknown",IF(D1147&lt;25,"Under 25",IF(D1147&lt;35,"25-34",IF(D1147&lt;45,"35-44",IF(D1147&lt;55,"45-54","55+")))))</f>
        <v>25-34</v>
      </c>
      <c r="R1147" s="13" t="str">
        <f aca="false">IF(P1147&lt;1,"0-1 yrs",IF(P1147&lt;3,"1-3 yrs",IF(P1147&lt;5,"3-5 yrs",IF(P1147&lt;10,"5-10 yrs","10+ yrs"))))</f>
        <v>3-5 yrs</v>
      </c>
      <c r="S1147" s="13" t="str">
        <f aca="false">IF(I1147&gt;=4,"High",IF(I1147=3,"Medium","Low"))</f>
        <v>High</v>
      </c>
      <c r="T1147" s="13" t="str">
        <f aca="false">IF(M1147=1,YEAR(C1147),"")</f>
        <v/>
      </c>
      <c r="U1147" s="13" t="str">
        <f aca="false">IF(M1147=1,YEAR(C1147)&amp;"-Q"&amp;ROUNDUP(MONTH(C1147)/3,0),"")</f>
        <v/>
      </c>
      <c r="V1147" s="13" t="str">
        <f aca="false">IF(M1147=1,MONTH(C1147),"")</f>
        <v/>
      </c>
    </row>
    <row r="1148" customFormat="false" ht="15" hidden="false" customHeight="false" outlineLevel="0" collapsed="false">
      <c r="A1148" s="13" t="str">
        <f aca="false">TRIM(Raw_Data!A1148)</f>
        <v>EMP1147</v>
      </c>
      <c r="B1148" s="14" t="n">
        <f aca="false">Raw_Data!B1148</f>
        <v>44363</v>
      </c>
      <c r="C1148" s="14" t="str">
        <f aca="false">IF(Raw_Data!C1148="","",Raw_Data!C1148)</f>
        <v/>
      </c>
      <c r="D1148" s="13" t="n">
        <f aca="false">IF(Raw_Data!D1148="","",Raw_Data!D1148)</f>
        <v>40</v>
      </c>
      <c r="E1148" s="13" t="str">
        <f aca="false">IF(UPPER(LEFT(TRIM(Raw_Data!E1148),1))="M","Male",IF(UPPER(LEFT(TRIM(Raw_Data!E1148),1))="F","Female","Unknown"))</f>
        <v>Male</v>
      </c>
      <c r="F1148" s="13" t="str">
        <f aca="false">PROPER(TRIM(SUBSTITUTE(Raw_Data!F1148,"'","")))</f>
        <v>Masters</v>
      </c>
      <c r="G1148" s="13" t="str">
        <f aca="false">PROPER(TRIM(Raw_Data!G1148))</f>
        <v>Customer Support</v>
      </c>
      <c r="H1148" s="13" t="str">
        <f aca="false">PROPER(TRIM(Raw_Data!H1148))</f>
        <v>Senior Analyst</v>
      </c>
      <c r="I1148" s="13" t="n">
        <f aca="false">IF(Raw_Data!I1148="",DefaultPerf,Raw_Data!I1148)</f>
        <v>3</v>
      </c>
      <c r="J1148" s="13" t="n">
        <f aca="false">IF(Raw_Data!J1148="",DefaultSat,Raw_Data!J1148)</f>
        <v>4</v>
      </c>
      <c r="K1148" s="15" t="n">
        <f aca="false">Raw_Data!K1148</f>
        <v>106000</v>
      </c>
      <c r="L1148" s="13" t="str">
        <f aca="false">PROPER(TRIM(Raw_Data!N1148))</f>
        <v>No</v>
      </c>
      <c r="M1148" s="13" t="n">
        <f aca="false">IF(C1148="",0,1)</f>
        <v>0</v>
      </c>
      <c r="N1148" s="13" t="str">
        <f aca="false">IF(M1148=0,"Active",IF(TRIM(Raw_Data!L1148)="","Unknown",PROPER(TRIM(Raw_Data!L1148))))</f>
        <v>Active</v>
      </c>
      <c r="O1148" s="13" t="str">
        <f aca="false">IF(M1148=0,"",IF(TRIM(Raw_Data!M1148)="","Not Recorded",TRIM(Raw_Data!M1148)))</f>
        <v/>
      </c>
      <c r="P1148" s="16" t="n">
        <f aca="false">ROUND((IF(C1148="",AsOfDate,C1148)-B1148)/365.25,2)</f>
        <v>4.54</v>
      </c>
      <c r="Q1148" s="13" t="str">
        <f aca="false">IF(D1148="","Unknown",IF(D1148&lt;25,"Under 25",IF(D1148&lt;35,"25-34",IF(D1148&lt;45,"35-44",IF(D1148&lt;55,"45-54","55+")))))</f>
        <v>35-44</v>
      </c>
      <c r="R1148" s="13" t="str">
        <f aca="false">IF(P1148&lt;1,"0-1 yrs",IF(P1148&lt;3,"1-3 yrs",IF(P1148&lt;5,"3-5 yrs",IF(P1148&lt;10,"5-10 yrs","10+ yrs"))))</f>
        <v>3-5 yrs</v>
      </c>
      <c r="S1148" s="13" t="str">
        <f aca="false">IF(I1148&gt;=4,"High",IF(I1148=3,"Medium","Low"))</f>
        <v>Medium</v>
      </c>
      <c r="T1148" s="13" t="str">
        <f aca="false">IF(M1148=1,YEAR(C1148),"")</f>
        <v/>
      </c>
      <c r="U1148" s="13" t="str">
        <f aca="false">IF(M1148=1,YEAR(C1148)&amp;"-Q"&amp;ROUNDUP(MONTH(C1148)/3,0),"")</f>
        <v/>
      </c>
      <c r="V1148" s="13" t="str">
        <f aca="false">IF(M1148=1,MONTH(C1148),"")</f>
        <v/>
      </c>
    </row>
    <row r="1149" customFormat="false" ht="15" hidden="false" customHeight="false" outlineLevel="0" collapsed="false">
      <c r="A1149" s="13" t="str">
        <f aca="false">TRIM(Raw_Data!A1149)</f>
        <v>EMP1148</v>
      </c>
      <c r="B1149" s="14" t="n">
        <f aca="false">Raw_Data!B1149</f>
        <v>44364</v>
      </c>
      <c r="C1149" s="14" t="n">
        <f aca="false">IF(Raw_Data!C1149="","",Raw_Data!C1149)</f>
        <v>45410</v>
      </c>
      <c r="D1149" s="13" t="n">
        <f aca="false">IF(Raw_Data!D1149="","",Raw_Data!D1149)</f>
        <v>37</v>
      </c>
      <c r="E1149" s="13" t="str">
        <f aca="false">IF(UPPER(LEFT(TRIM(Raw_Data!E1149),1))="M","Male",IF(UPPER(LEFT(TRIM(Raw_Data!E1149),1))="F","Female","Unknown"))</f>
        <v>Female</v>
      </c>
      <c r="F1149" s="13" t="str">
        <f aca="false">PROPER(TRIM(SUBSTITUTE(Raw_Data!F1149,"'","")))</f>
        <v>Masters</v>
      </c>
      <c r="G1149" s="13" t="str">
        <f aca="false">PROPER(TRIM(Raw_Data!G1149))</f>
        <v>Sales</v>
      </c>
      <c r="H1149" s="13" t="str">
        <f aca="false">PROPER(TRIM(Raw_Data!H1149))</f>
        <v>Specialist</v>
      </c>
      <c r="I1149" s="13" t="n">
        <f aca="false">IF(Raw_Data!I1149="",DefaultPerf,Raw_Data!I1149)</f>
        <v>3</v>
      </c>
      <c r="J1149" s="13" t="n">
        <f aca="false">IF(Raw_Data!J1149="",DefaultSat,Raw_Data!J1149)</f>
        <v>3</v>
      </c>
      <c r="K1149" s="15" t="n">
        <f aca="false">Raw_Data!K1149</f>
        <v>129000</v>
      </c>
      <c r="L1149" s="13" t="str">
        <f aca="false">PROPER(TRIM(Raw_Data!N1149))</f>
        <v>Yes</v>
      </c>
      <c r="M1149" s="13" t="n">
        <f aca="false">IF(C1149="",0,1)</f>
        <v>1</v>
      </c>
      <c r="N1149" s="13" t="str">
        <f aca="false">IF(M1149=0,"Active",IF(TRIM(Raw_Data!L1149)="","Unknown",PROPER(TRIM(Raw_Data!L1149))))</f>
        <v>Involuntary</v>
      </c>
      <c r="O1149" s="13" t="str">
        <f aca="false">IF(M1149=0,"",IF(TRIM(Raw_Data!M1149)="","Not Recorded",TRIM(Raw_Data!M1149)))</f>
        <v>End of Contract</v>
      </c>
      <c r="P1149" s="16" t="n">
        <f aca="false">ROUND((IF(C1149="",AsOfDate,C1149)-B1149)/365.25,2)</f>
        <v>2.86</v>
      </c>
      <c r="Q1149" s="13" t="str">
        <f aca="false">IF(D1149="","Unknown",IF(D1149&lt;25,"Under 25",IF(D1149&lt;35,"25-34",IF(D1149&lt;45,"35-44",IF(D1149&lt;55,"45-54","55+")))))</f>
        <v>35-44</v>
      </c>
      <c r="R1149" s="13" t="str">
        <f aca="false">IF(P1149&lt;1,"0-1 yrs",IF(P1149&lt;3,"1-3 yrs",IF(P1149&lt;5,"3-5 yrs",IF(P1149&lt;10,"5-10 yrs","10+ yrs"))))</f>
        <v>1-3 yrs</v>
      </c>
      <c r="S1149" s="13" t="str">
        <f aca="false">IF(I1149&gt;=4,"High",IF(I1149=3,"Medium","Low"))</f>
        <v>Medium</v>
      </c>
      <c r="T1149" s="13" t="n">
        <f aca="false">IF(M1149=1,YEAR(C1149),"")</f>
        <v>2024</v>
      </c>
      <c r="U1149" s="13" t="str">
        <f aca="false">IF(M1149=1,YEAR(C1149)&amp;"-Q"&amp;ROUNDUP(MONTH(C1149)/3,0),"")</f>
        <v>2024-Q2</v>
      </c>
      <c r="V1149" s="13" t="n">
        <f aca="false">IF(M1149=1,MONTH(C1149),"")</f>
        <v>4</v>
      </c>
    </row>
    <row r="1150" customFormat="false" ht="15" hidden="false" customHeight="false" outlineLevel="0" collapsed="false">
      <c r="A1150" s="13" t="str">
        <f aca="false">TRIM(Raw_Data!A1150)</f>
        <v>EMP1149</v>
      </c>
      <c r="B1150" s="14" t="n">
        <f aca="false">Raw_Data!B1150</f>
        <v>44373</v>
      </c>
      <c r="C1150" s="14" t="str">
        <f aca="false">IF(Raw_Data!C1150="","",Raw_Data!C1150)</f>
        <v/>
      </c>
      <c r="D1150" s="13" t="n">
        <f aca="false">IF(Raw_Data!D1150="","",Raw_Data!D1150)</f>
        <v>35</v>
      </c>
      <c r="E1150" s="13" t="str">
        <f aca="false">IF(UPPER(LEFT(TRIM(Raw_Data!E1150),1))="M","Male",IF(UPPER(LEFT(TRIM(Raw_Data!E1150),1))="F","Female","Unknown"))</f>
        <v>Male</v>
      </c>
      <c r="F1150" s="13" t="str">
        <f aca="false">PROPER(TRIM(SUBSTITUTE(Raw_Data!F1150,"'","")))</f>
        <v>Masters</v>
      </c>
      <c r="G1150" s="13" t="str">
        <f aca="false">PROPER(TRIM(Raw_Data!G1150))</f>
        <v>Engineering</v>
      </c>
      <c r="H1150" s="13" t="str">
        <f aca="false">PROPER(TRIM(Raw_Data!H1150))</f>
        <v>Associate</v>
      </c>
      <c r="I1150" s="13" t="n">
        <f aca="false">IF(Raw_Data!I1150="",DefaultPerf,Raw_Data!I1150)</f>
        <v>5</v>
      </c>
      <c r="J1150" s="13" t="n">
        <f aca="false">IF(Raw_Data!J1150="",DefaultSat,Raw_Data!J1150)</f>
        <v>4</v>
      </c>
      <c r="K1150" s="15" t="n">
        <f aca="false">Raw_Data!K1150</f>
        <v>38000</v>
      </c>
      <c r="L1150" s="13" t="str">
        <f aca="false">PROPER(TRIM(Raw_Data!N1150))</f>
        <v>No</v>
      </c>
      <c r="M1150" s="13" t="n">
        <f aca="false">IF(C1150="",0,1)</f>
        <v>0</v>
      </c>
      <c r="N1150" s="13" t="str">
        <f aca="false">IF(M1150=0,"Active",IF(TRIM(Raw_Data!L1150)="","Unknown",PROPER(TRIM(Raw_Data!L1150))))</f>
        <v>Active</v>
      </c>
      <c r="O1150" s="13" t="str">
        <f aca="false">IF(M1150=0,"",IF(TRIM(Raw_Data!M1150)="","Not Recorded",TRIM(Raw_Data!M1150)))</f>
        <v/>
      </c>
      <c r="P1150" s="16" t="n">
        <f aca="false">ROUND((IF(C1150="",AsOfDate,C1150)-B1150)/365.25,2)</f>
        <v>4.51</v>
      </c>
      <c r="Q1150" s="13" t="str">
        <f aca="false">IF(D1150="","Unknown",IF(D1150&lt;25,"Under 25",IF(D1150&lt;35,"25-34",IF(D1150&lt;45,"35-44",IF(D1150&lt;55,"45-54","55+")))))</f>
        <v>35-44</v>
      </c>
      <c r="R1150" s="13" t="str">
        <f aca="false">IF(P1150&lt;1,"0-1 yrs",IF(P1150&lt;3,"1-3 yrs",IF(P1150&lt;5,"3-5 yrs",IF(P1150&lt;10,"5-10 yrs","10+ yrs"))))</f>
        <v>3-5 yrs</v>
      </c>
      <c r="S1150" s="13" t="str">
        <f aca="false">IF(I1150&gt;=4,"High",IF(I1150=3,"Medium","Low"))</f>
        <v>High</v>
      </c>
      <c r="T1150" s="13" t="str">
        <f aca="false">IF(M1150=1,YEAR(C1150),"")</f>
        <v/>
      </c>
      <c r="U1150" s="13" t="str">
        <f aca="false">IF(M1150=1,YEAR(C1150)&amp;"-Q"&amp;ROUNDUP(MONTH(C1150)/3,0),"")</f>
        <v/>
      </c>
      <c r="V1150" s="13" t="str">
        <f aca="false">IF(M1150=1,MONTH(C1150),"")</f>
        <v/>
      </c>
    </row>
    <row r="1151" customFormat="false" ht="15" hidden="false" customHeight="false" outlineLevel="0" collapsed="false">
      <c r="A1151" s="13" t="str">
        <f aca="false">TRIM(Raw_Data!A1151)</f>
        <v>EMP1150</v>
      </c>
      <c r="B1151" s="14" t="n">
        <f aca="false">Raw_Data!B1151</f>
        <v>44374</v>
      </c>
      <c r="C1151" s="14" t="n">
        <f aca="false">IF(Raw_Data!C1151="","",Raw_Data!C1151)</f>
        <v>44577</v>
      </c>
      <c r="D1151" s="13" t="n">
        <f aca="false">IF(Raw_Data!D1151="","",Raw_Data!D1151)</f>
        <v>33</v>
      </c>
      <c r="E1151" s="13" t="str">
        <f aca="false">IF(UPPER(LEFT(TRIM(Raw_Data!E1151),1))="M","Male",IF(UPPER(LEFT(TRIM(Raw_Data!E1151),1))="F","Female","Unknown"))</f>
        <v>Male</v>
      </c>
      <c r="F1151" s="13" t="str">
        <f aca="false">PROPER(TRIM(SUBSTITUTE(Raw_Data!F1151,"'","")))</f>
        <v>Bachelors</v>
      </c>
      <c r="G1151" s="13" t="str">
        <f aca="false">PROPER(TRIM(Raw_Data!G1151))</f>
        <v>Sales</v>
      </c>
      <c r="H1151" s="13" t="str">
        <f aca="false">PROPER(TRIM(Raw_Data!H1151))</f>
        <v>Senior Analyst</v>
      </c>
      <c r="I1151" s="13" t="n">
        <f aca="false">IF(Raw_Data!I1151="",DefaultPerf,Raw_Data!I1151)</f>
        <v>4</v>
      </c>
      <c r="J1151" s="13" t="n">
        <f aca="false">IF(Raw_Data!J1151="",DefaultSat,Raw_Data!J1151)</f>
        <v>1</v>
      </c>
      <c r="K1151" s="15" t="n">
        <f aca="false">Raw_Data!K1151</f>
        <v>95000</v>
      </c>
      <c r="L1151" s="13" t="str">
        <f aca="false">PROPER(TRIM(Raw_Data!N1151))</f>
        <v>No</v>
      </c>
      <c r="M1151" s="13" t="n">
        <f aca="false">IF(C1151="",0,1)</f>
        <v>1</v>
      </c>
      <c r="N1151" s="13" t="str">
        <f aca="false">IF(M1151=0,"Active",IF(TRIM(Raw_Data!L1151)="","Unknown",PROPER(TRIM(Raw_Data!L1151))))</f>
        <v>Involuntary</v>
      </c>
      <c r="O1151" s="13" t="str">
        <f aca="false">IF(M1151=0,"",IF(TRIM(Raw_Data!M1151)="","Not Recorded",TRIM(Raw_Data!M1151)))</f>
        <v>Poor Performance</v>
      </c>
      <c r="P1151" s="16" t="n">
        <f aca="false">ROUND((IF(C1151="",AsOfDate,C1151)-B1151)/365.25,2)</f>
        <v>0.56</v>
      </c>
      <c r="Q1151" s="13" t="str">
        <f aca="false">IF(D1151="","Unknown",IF(D1151&lt;25,"Under 25",IF(D1151&lt;35,"25-34",IF(D1151&lt;45,"35-44",IF(D1151&lt;55,"45-54","55+")))))</f>
        <v>25-34</v>
      </c>
      <c r="R1151" s="13" t="str">
        <f aca="false">IF(P1151&lt;1,"0-1 yrs",IF(P1151&lt;3,"1-3 yrs",IF(P1151&lt;5,"3-5 yrs",IF(P1151&lt;10,"5-10 yrs","10+ yrs"))))</f>
        <v>0-1 yrs</v>
      </c>
      <c r="S1151" s="13" t="str">
        <f aca="false">IF(I1151&gt;=4,"High",IF(I1151=3,"Medium","Low"))</f>
        <v>High</v>
      </c>
      <c r="T1151" s="13" t="n">
        <f aca="false">IF(M1151=1,YEAR(C1151),"")</f>
        <v>2022</v>
      </c>
      <c r="U1151" s="13" t="str">
        <f aca="false">IF(M1151=1,YEAR(C1151)&amp;"-Q"&amp;ROUNDUP(MONTH(C1151)/3,0),"")</f>
        <v>2022-Q1</v>
      </c>
      <c r="V1151" s="13" t="n">
        <f aca="false">IF(M1151=1,MONTH(C1151),"")</f>
        <v>1</v>
      </c>
    </row>
    <row r="1152" customFormat="false" ht="15" hidden="false" customHeight="false" outlineLevel="0" collapsed="false">
      <c r="A1152" s="13" t="str">
        <f aca="false">TRIM(Raw_Data!A1152)</f>
        <v>EMP1151</v>
      </c>
      <c r="B1152" s="14" t="n">
        <f aca="false">Raw_Data!B1152</f>
        <v>44375</v>
      </c>
      <c r="C1152" s="14" t="n">
        <f aca="false">IF(Raw_Data!C1152="","",Raw_Data!C1152)</f>
        <v>45209</v>
      </c>
      <c r="D1152" s="13" t="n">
        <f aca="false">IF(Raw_Data!D1152="","",Raw_Data!D1152)</f>
        <v>33</v>
      </c>
      <c r="E1152" s="13" t="str">
        <f aca="false">IF(UPPER(LEFT(TRIM(Raw_Data!E1152),1))="M","Male",IF(UPPER(LEFT(TRIM(Raw_Data!E1152),1))="F","Female","Unknown"))</f>
        <v>Female</v>
      </c>
      <c r="F1152" s="13" t="str">
        <f aca="false">PROPER(TRIM(SUBSTITUTE(Raw_Data!F1152,"'","")))</f>
        <v>Bachelors</v>
      </c>
      <c r="G1152" s="13" t="str">
        <f aca="false">PROPER(TRIM(Raw_Data!G1152))</f>
        <v>Engineering</v>
      </c>
      <c r="H1152" s="13" t="str">
        <f aca="false">PROPER(TRIM(Raw_Data!H1152))</f>
        <v>Analyst</v>
      </c>
      <c r="I1152" s="13" t="n">
        <f aca="false">IF(Raw_Data!I1152="",DefaultPerf,Raw_Data!I1152)</f>
        <v>4</v>
      </c>
      <c r="J1152" s="13" t="n">
        <f aca="false">IF(Raw_Data!J1152="",DefaultSat,Raw_Data!J1152)</f>
        <v>3</v>
      </c>
      <c r="K1152" s="15" t="n">
        <f aca="false">Raw_Data!K1152</f>
        <v>61500</v>
      </c>
      <c r="L1152" s="13" t="str">
        <f aca="false">PROPER(TRIM(Raw_Data!N1152))</f>
        <v>Yes</v>
      </c>
      <c r="M1152" s="13" t="n">
        <f aca="false">IF(C1152="",0,1)</f>
        <v>1</v>
      </c>
      <c r="N1152" s="13" t="str">
        <f aca="false">IF(M1152=0,"Active",IF(TRIM(Raw_Data!L1152)="","Unknown",PROPER(TRIM(Raw_Data!L1152))))</f>
        <v>Involuntary</v>
      </c>
      <c r="O1152" s="13" t="str">
        <f aca="false">IF(M1152=0,"",IF(TRIM(Raw_Data!M1152)="","Not Recorded",TRIM(Raw_Data!M1152)))</f>
        <v>Restructuring / Layoff</v>
      </c>
      <c r="P1152" s="16" t="n">
        <f aca="false">ROUND((IF(C1152="",AsOfDate,C1152)-B1152)/365.25,2)</f>
        <v>2.28</v>
      </c>
      <c r="Q1152" s="13" t="str">
        <f aca="false">IF(D1152="","Unknown",IF(D1152&lt;25,"Under 25",IF(D1152&lt;35,"25-34",IF(D1152&lt;45,"35-44",IF(D1152&lt;55,"45-54","55+")))))</f>
        <v>25-34</v>
      </c>
      <c r="R1152" s="13" t="str">
        <f aca="false">IF(P1152&lt;1,"0-1 yrs",IF(P1152&lt;3,"1-3 yrs",IF(P1152&lt;5,"3-5 yrs",IF(P1152&lt;10,"5-10 yrs","10+ yrs"))))</f>
        <v>1-3 yrs</v>
      </c>
      <c r="S1152" s="13" t="str">
        <f aca="false">IF(I1152&gt;=4,"High",IF(I1152=3,"Medium","Low"))</f>
        <v>High</v>
      </c>
      <c r="T1152" s="13" t="n">
        <f aca="false">IF(M1152=1,YEAR(C1152),"")</f>
        <v>2023</v>
      </c>
      <c r="U1152" s="13" t="str">
        <f aca="false">IF(M1152=1,YEAR(C1152)&amp;"-Q"&amp;ROUNDUP(MONTH(C1152)/3,0),"")</f>
        <v>2023-Q4</v>
      </c>
      <c r="V1152" s="13" t="n">
        <f aca="false">IF(M1152=1,MONTH(C1152),"")</f>
        <v>10</v>
      </c>
    </row>
    <row r="1153" customFormat="false" ht="15" hidden="false" customHeight="false" outlineLevel="0" collapsed="false">
      <c r="A1153" s="13" t="str">
        <f aca="false">TRIM(Raw_Data!A1153)</f>
        <v>EMP1152</v>
      </c>
      <c r="B1153" s="14" t="n">
        <f aca="false">Raw_Data!B1153</f>
        <v>44376</v>
      </c>
      <c r="C1153" s="14" t="str">
        <f aca="false">IF(Raw_Data!C1153="","",Raw_Data!C1153)</f>
        <v/>
      </c>
      <c r="D1153" s="13" t="n">
        <f aca="false">IF(Raw_Data!D1153="","",Raw_Data!D1153)</f>
        <v>33</v>
      </c>
      <c r="E1153" s="13" t="str">
        <f aca="false">IF(UPPER(LEFT(TRIM(Raw_Data!E1153),1))="M","Male",IF(UPPER(LEFT(TRIM(Raw_Data!E1153),1))="F","Female","Unknown"))</f>
        <v>Male</v>
      </c>
      <c r="F1153" s="13" t="str">
        <f aca="false">PROPER(TRIM(SUBSTITUTE(Raw_Data!F1153,"'","")))</f>
        <v>High School</v>
      </c>
      <c r="G1153" s="13" t="str">
        <f aca="false">PROPER(TRIM(Raw_Data!G1153))</f>
        <v>Sales</v>
      </c>
      <c r="H1153" s="13" t="str">
        <f aca="false">PROPER(TRIM(Raw_Data!H1153))</f>
        <v>Team Lead</v>
      </c>
      <c r="I1153" s="13" t="n">
        <f aca="false">IF(Raw_Data!I1153="",DefaultPerf,Raw_Data!I1153)</f>
        <v>4</v>
      </c>
      <c r="J1153" s="13" t="n">
        <f aca="false">IF(Raw_Data!J1153="",DefaultSat,Raw_Data!J1153)</f>
        <v>4</v>
      </c>
      <c r="K1153" s="15" t="n">
        <f aca="false">Raw_Data!K1153</f>
        <v>137500</v>
      </c>
      <c r="L1153" s="13" t="str">
        <f aca="false">PROPER(TRIM(Raw_Data!N1153))</f>
        <v>No</v>
      </c>
      <c r="M1153" s="13" t="n">
        <f aca="false">IF(C1153="",0,1)</f>
        <v>0</v>
      </c>
      <c r="N1153" s="13" t="str">
        <f aca="false">IF(M1153=0,"Active",IF(TRIM(Raw_Data!L1153)="","Unknown",PROPER(TRIM(Raw_Data!L1153))))</f>
        <v>Active</v>
      </c>
      <c r="O1153" s="13" t="str">
        <f aca="false">IF(M1153=0,"",IF(TRIM(Raw_Data!M1153)="","Not Recorded",TRIM(Raw_Data!M1153)))</f>
        <v/>
      </c>
      <c r="P1153" s="16" t="n">
        <f aca="false">ROUND((IF(C1153="",AsOfDate,C1153)-B1153)/365.25,2)</f>
        <v>4.51</v>
      </c>
      <c r="Q1153" s="13" t="str">
        <f aca="false">IF(D1153="","Unknown",IF(D1153&lt;25,"Under 25",IF(D1153&lt;35,"25-34",IF(D1153&lt;45,"35-44",IF(D1153&lt;55,"45-54","55+")))))</f>
        <v>25-34</v>
      </c>
      <c r="R1153" s="13" t="str">
        <f aca="false">IF(P1153&lt;1,"0-1 yrs",IF(P1153&lt;3,"1-3 yrs",IF(P1153&lt;5,"3-5 yrs",IF(P1153&lt;10,"5-10 yrs","10+ yrs"))))</f>
        <v>3-5 yrs</v>
      </c>
      <c r="S1153" s="13" t="str">
        <f aca="false">IF(I1153&gt;=4,"High",IF(I1153=3,"Medium","Low"))</f>
        <v>High</v>
      </c>
      <c r="T1153" s="13" t="str">
        <f aca="false">IF(M1153=1,YEAR(C1153),"")</f>
        <v/>
      </c>
      <c r="U1153" s="13" t="str">
        <f aca="false">IF(M1153=1,YEAR(C1153)&amp;"-Q"&amp;ROUNDUP(MONTH(C1153)/3,0),"")</f>
        <v/>
      </c>
      <c r="V1153" s="13" t="str">
        <f aca="false">IF(M1153=1,MONTH(C1153),"")</f>
        <v/>
      </c>
    </row>
    <row r="1154" customFormat="false" ht="15" hidden="false" customHeight="false" outlineLevel="0" collapsed="false">
      <c r="A1154" s="13" t="str">
        <f aca="false">TRIM(Raw_Data!A1154)</f>
        <v>EMP1153</v>
      </c>
      <c r="B1154" s="14" t="n">
        <f aca="false">Raw_Data!B1154</f>
        <v>44377</v>
      </c>
      <c r="C1154" s="14" t="str">
        <f aca="false">IF(Raw_Data!C1154="","",Raw_Data!C1154)</f>
        <v/>
      </c>
      <c r="D1154" s="13" t="n">
        <f aca="false">IF(Raw_Data!D1154="","",Raw_Data!D1154)</f>
        <v>38</v>
      </c>
      <c r="E1154" s="13" t="str">
        <f aca="false">IF(UPPER(LEFT(TRIM(Raw_Data!E1154),1))="M","Male",IF(UPPER(LEFT(TRIM(Raw_Data!E1154),1))="F","Female","Unknown"))</f>
        <v>Female</v>
      </c>
      <c r="F1154" s="13" t="str">
        <f aca="false">PROPER(TRIM(SUBSTITUTE(Raw_Data!F1154,"'","")))</f>
        <v>Masters</v>
      </c>
      <c r="G1154" s="13" t="str">
        <f aca="false">PROPER(TRIM(Raw_Data!G1154))</f>
        <v>Finance</v>
      </c>
      <c r="H1154" s="13" t="str">
        <f aca="false">PROPER(TRIM(Raw_Data!H1154))</f>
        <v>Analyst</v>
      </c>
      <c r="I1154" s="13" t="n">
        <f aca="false">IF(Raw_Data!I1154="",DefaultPerf,Raw_Data!I1154)</f>
        <v>3</v>
      </c>
      <c r="J1154" s="13" t="n">
        <f aca="false">IF(Raw_Data!J1154="",DefaultSat,Raw_Data!J1154)</f>
        <v>3</v>
      </c>
      <c r="K1154" s="15" t="n">
        <f aca="false">Raw_Data!K1154</f>
        <v>65500</v>
      </c>
      <c r="L1154" s="13" t="str">
        <f aca="false">PROPER(TRIM(Raw_Data!N1154))</f>
        <v>No</v>
      </c>
      <c r="M1154" s="13" t="n">
        <f aca="false">IF(C1154="",0,1)</f>
        <v>0</v>
      </c>
      <c r="N1154" s="13" t="str">
        <f aca="false">IF(M1154=0,"Active",IF(TRIM(Raw_Data!L1154)="","Unknown",PROPER(TRIM(Raw_Data!L1154))))</f>
        <v>Active</v>
      </c>
      <c r="O1154" s="13" t="str">
        <f aca="false">IF(M1154=0,"",IF(TRIM(Raw_Data!M1154)="","Not Recorded",TRIM(Raw_Data!M1154)))</f>
        <v/>
      </c>
      <c r="P1154" s="16" t="n">
        <f aca="false">ROUND((IF(C1154="",AsOfDate,C1154)-B1154)/365.25,2)</f>
        <v>4.5</v>
      </c>
      <c r="Q1154" s="13" t="str">
        <f aca="false">IF(D1154="","Unknown",IF(D1154&lt;25,"Under 25",IF(D1154&lt;35,"25-34",IF(D1154&lt;45,"35-44",IF(D1154&lt;55,"45-54","55+")))))</f>
        <v>35-44</v>
      </c>
      <c r="R1154" s="13" t="str">
        <f aca="false">IF(P1154&lt;1,"0-1 yrs",IF(P1154&lt;3,"1-3 yrs",IF(P1154&lt;5,"3-5 yrs",IF(P1154&lt;10,"5-10 yrs","10+ yrs"))))</f>
        <v>3-5 yrs</v>
      </c>
      <c r="S1154" s="13" t="str">
        <f aca="false">IF(I1154&gt;=4,"High",IF(I1154=3,"Medium","Low"))</f>
        <v>Medium</v>
      </c>
      <c r="T1154" s="13" t="str">
        <f aca="false">IF(M1154=1,YEAR(C1154),"")</f>
        <v/>
      </c>
      <c r="U1154" s="13" t="str">
        <f aca="false">IF(M1154=1,YEAR(C1154)&amp;"-Q"&amp;ROUNDUP(MONTH(C1154)/3,0),"")</f>
        <v/>
      </c>
      <c r="V1154" s="13" t="str">
        <f aca="false">IF(M1154=1,MONTH(C1154),"")</f>
        <v/>
      </c>
    </row>
    <row r="1155" customFormat="false" ht="15" hidden="false" customHeight="false" outlineLevel="0" collapsed="false">
      <c r="A1155" s="13" t="str">
        <f aca="false">TRIM(Raw_Data!A1155)</f>
        <v>EMP1154</v>
      </c>
      <c r="B1155" s="14" t="n">
        <f aca="false">Raw_Data!B1155</f>
        <v>44379</v>
      </c>
      <c r="C1155" s="14" t="n">
        <f aca="false">IF(Raw_Data!C1155="","",Raw_Data!C1155)</f>
        <v>45448</v>
      </c>
      <c r="D1155" s="13" t="n">
        <f aca="false">IF(Raw_Data!D1155="","",Raw_Data!D1155)</f>
        <v>37</v>
      </c>
      <c r="E1155" s="13" t="str">
        <f aca="false">IF(UPPER(LEFT(TRIM(Raw_Data!E1155),1))="M","Male",IF(UPPER(LEFT(TRIM(Raw_Data!E1155),1))="F","Female","Unknown"))</f>
        <v>Male</v>
      </c>
      <c r="F1155" s="13" t="str">
        <f aca="false">PROPER(TRIM(SUBSTITUTE(Raw_Data!F1155,"'","")))</f>
        <v>Bachelors</v>
      </c>
      <c r="G1155" s="13" t="str">
        <f aca="false">PROPER(TRIM(Raw_Data!G1155))</f>
        <v>Engineering</v>
      </c>
      <c r="H1155" s="13" t="str">
        <f aca="false">PROPER(TRIM(Raw_Data!H1155))</f>
        <v>Analyst</v>
      </c>
      <c r="I1155" s="13" t="n">
        <f aca="false">IF(Raw_Data!I1155="",DefaultPerf,Raw_Data!I1155)</f>
        <v>4</v>
      </c>
      <c r="J1155" s="13" t="n">
        <f aca="false">IF(Raw_Data!J1155="",DefaultSat,Raw_Data!J1155)</f>
        <v>2</v>
      </c>
      <c r="K1155" s="15" t="n">
        <f aca="false">Raw_Data!K1155</f>
        <v>67000</v>
      </c>
      <c r="L1155" s="13" t="str">
        <f aca="false">PROPER(TRIM(Raw_Data!N1155))</f>
        <v>No</v>
      </c>
      <c r="M1155" s="13" t="n">
        <f aca="false">IF(C1155="",0,1)</f>
        <v>1</v>
      </c>
      <c r="N1155" s="13" t="str">
        <f aca="false">IF(M1155=0,"Active",IF(TRIM(Raw_Data!L1155)="","Unknown",PROPER(TRIM(Raw_Data!L1155))))</f>
        <v>Voluntary</v>
      </c>
      <c r="O1155" s="13" t="str">
        <f aca="false">IF(M1155=0,"",IF(TRIM(Raw_Data!M1155)="","Not Recorded",TRIM(Raw_Data!M1155)))</f>
        <v>Not Recorded</v>
      </c>
      <c r="P1155" s="16" t="n">
        <f aca="false">ROUND((IF(C1155="",AsOfDate,C1155)-B1155)/365.25,2)</f>
        <v>2.93</v>
      </c>
      <c r="Q1155" s="13" t="str">
        <f aca="false">IF(D1155="","Unknown",IF(D1155&lt;25,"Under 25",IF(D1155&lt;35,"25-34",IF(D1155&lt;45,"35-44",IF(D1155&lt;55,"45-54","55+")))))</f>
        <v>35-44</v>
      </c>
      <c r="R1155" s="13" t="str">
        <f aca="false">IF(P1155&lt;1,"0-1 yrs",IF(P1155&lt;3,"1-3 yrs",IF(P1155&lt;5,"3-5 yrs",IF(P1155&lt;10,"5-10 yrs","10+ yrs"))))</f>
        <v>1-3 yrs</v>
      </c>
      <c r="S1155" s="13" t="str">
        <f aca="false">IF(I1155&gt;=4,"High",IF(I1155=3,"Medium","Low"))</f>
        <v>High</v>
      </c>
      <c r="T1155" s="13" t="n">
        <f aca="false">IF(M1155=1,YEAR(C1155),"")</f>
        <v>2024</v>
      </c>
      <c r="U1155" s="13" t="str">
        <f aca="false">IF(M1155=1,YEAR(C1155)&amp;"-Q"&amp;ROUNDUP(MONTH(C1155)/3,0),"")</f>
        <v>2024-Q2</v>
      </c>
      <c r="V1155" s="13" t="n">
        <f aca="false">IF(M1155=1,MONTH(C1155),"")</f>
        <v>6</v>
      </c>
    </row>
    <row r="1156" customFormat="false" ht="15" hidden="false" customHeight="false" outlineLevel="0" collapsed="false">
      <c r="A1156" s="13" t="str">
        <f aca="false">TRIM(Raw_Data!A1156)</f>
        <v>EMP1155</v>
      </c>
      <c r="B1156" s="14" t="n">
        <f aca="false">Raw_Data!B1156</f>
        <v>44380</v>
      </c>
      <c r="C1156" s="14" t="str">
        <f aca="false">IF(Raw_Data!C1156="","",Raw_Data!C1156)</f>
        <v/>
      </c>
      <c r="D1156" s="13" t="n">
        <f aca="false">IF(Raw_Data!D1156="","",Raw_Data!D1156)</f>
        <v>34</v>
      </c>
      <c r="E1156" s="13" t="str">
        <f aca="false">IF(UPPER(LEFT(TRIM(Raw_Data!E1156),1))="M","Male",IF(UPPER(LEFT(TRIM(Raw_Data!E1156),1))="F","Female","Unknown"))</f>
        <v>Male</v>
      </c>
      <c r="F1156" s="13" t="str">
        <f aca="false">PROPER(TRIM(SUBSTITUTE(Raw_Data!F1156,"'","")))</f>
        <v>Bachelors</v>
      </c>
      <c r="G1156" s="13" t="str">
        <f aca="false">PROPER(TRIM(Raw_Data!G1156))</f>
        <v>Customer Support</v>
      </c>
      <c r="H1156" s="13" t="str">
        <f aca="false">PROPER(TRIM(Raw_Data!H1156))</f>
        <v>Analyst</v>
      </c>
      <c r="I1156" s="13" t="n">
        <f aca="false">IF(Raw_Data!I1156="",DefaultPerf,Raw_Data!I1156)</f>
        <v>3</v>
      </c>
      <c r="J1156" s="13" t="n">
        <f aca="false">IF(Raw_Data!J1156="",DefaultSat,Raw_Data!J1156)</f>
        <v>4</v>
      </c>
      <c r="K1156" s="15" t="n">
        <f aca="false">Raw_Data!K1156</f>
        <v>62000</v>
      </c>
      <c r="L1156" s="13" t="str">
        <f aca="false">PROPER(TRIM(Raw_Data!N1156))</f>
        <v>No</v>
      </c>
      <c r="M1156" s="13" t="n">
        <f aca="false">IF(C1156="",0,1)</f>
        <v>0</v>
      </c>
      <c r="N1156" s="13" t="str">
        <f aca="false">IF(M1156=0,"Active",IF(TRIM(Raw_Data!L1156)="","Unknown",PROPER(TRIM(Raw_Data!L1156))))</f>
        <v>Active</v>
      </c>
      <c r="O1156" s="13" t="str">
        <f aca="false">IF(M1156=0,"",IF(TRIM(Raw_Data!M1156)="","Not Recorded",TRIM(Raw_Data!M1156)))</f>
        <v/>
      </c>
      <c r="P1156" s="16" t="n">
        <f aca="false">ROUND((IF(C1156="",AsOfDate,C1156)-B1156)/365.25,2)</f>
        <v>4.5</v>
      </c>
      <c r="Q1156" s="13" t="str">
        <f aca="false">IF(D1156="","Unknown",IF(D1156&lt;25,"Under 25",IF(D1156&lt;35,"25-34",IF(D1156&lt;45,"35-44",IF(D1156&lt;55,"45-54","55+")))))</f>
        <v>25-34</v>
      </c>
      <c r="R1156" s="13" t="str">
        <f aca="false">IF(P1156&lt;1,"0-1 yrs",IF(P1156&lt;3,"1-3 yrs",IF(P1156&lt;5,"3-5 yrs",IF(P1156&lt;10,"5-10 yrs","10+ yrs"))))</f>
        <v>3-5 yrs</v>
      </c>
      <c r="S1156" s="13" t="str">
        <f aca="false">IF(I1156&gt;=4,"High",IF(I1156=3,"Medium","Low"))</f>
        <v>Medium</v>
      </c>
      <c r="T1156" s="13" t="str">
        <f aca="false">IF(M1156=1,YEAR(C1156),"")</f>
        <v/>
      </c>
      <c r="U1156" s="13" t="str">
        <f aca="false">IF(M1156=1,YEAR(C1156)&amp;"-Q"&amp;ROUNDUP(MONTH(C1156)/3,0),"")</f>
        <v/>
      </c>
      <c r="V1156" s="13" t="str">
        <f aca="false">IF(M1156=1,MONTH(C1156),"")</f>
        <v/>
      </c>
    </row>
    <row r="1157" customFormat="false" ht="15" hidden="false" customHeight="false" outlineLevel="0" collapsed="false">
      <c r="A1157" s="13" t="str">
        <f aca="false">TRIM(Raw_Data!A1157)</f>
        <v>EMP1156</v>
      </c>
      <c r="B1157" s="14" t="n">
        <f aca="false">Raw_Data!B1157</f>
        <v>44381</v>
      </c>
      <c r="C1157" s="14" t="n">
        <f aca="false">IF(Raw_Data!C1157="","",Raw_Data!C1157)</f>
        <v>45072</v>
      </c>
      <c r="D1157" s="13" t="n">
        <f aca="false">IF(Raw_Data!D1157="","",Raw_Data!D1157)</f>
        <v>32</v>
      </c>
      <c r="E1157" s="13" t="str">
        <f aca="false">IF(UPPER(LEFT(TRIM(Raw_Data!E1157),1))="M","Male",IF(UPPER(LEFT(TRIM(Raw_Data!E1157),1))="F","Female","Unknown"))</f>
        <v>Male</v>
      </c>
      <c r="F1157" s="13" t="str">
        <f aca="false">PROPER(TRIM(SUBSTITUTE(Raw_Data!F1157,"'","")))</f>
        <v>Bachelors</v>
      </c>
      <c r="G1157" s="13" t="str">
        <f aca="false">PROPER(TRIM(Raw_Data!G1157))</f>
        <v>Operations</v>
      </c>
      <c r="H1157" s="13" t="str">
        <f aca="false">PROPER(TRIM(Raw_Data!H1157))</f>
        <v>Analyst</v>
      </c>
      <c r="I1157" s="13" t="n">
        <f aca="false">IF(Raw_Data!I1157="",DefaultPerf,Raw_Data!I1157)</f>
        <v>3</v>
      </c>
      <c r="J1157" s="13" t="n">
        <f aca="false">IF(Raw_Data!J1157="",DefaultSat,Raw_Data!J1157)</f>
        <v>1</v>
      </c>
      <c r="K1157" s="15" t="n">
        <f aca="false">Raw_Data!K1157</f>
        <v>51500</v>
      </c>
      <c r="L1157" s="13" t="str">
        <f aca="false">PROPER(TRIM(Raw_Data!N1157))</f>
        <v>No</v>
      </c>
      <c r="M1157" s="13" t="n">
        <f aca="false">IF(C1157="",0,1)</f>
        <v>1</v>
      </c>
      <c r="N1157" s="13" t="str">
        <f aca="false">IF(M1157=0,"Active",IF(TRIM(Raw_Data!L1157)="","Unknown",PROPER(TRIM(Raw_Data!L1157))))</f>
        <v>Voluntary</v>
      </c>
      <c r="O1157" s="13" t="str">
        <f aca="false">IF(M1157=0,"",IF(TRIM(Raw_Data!M1157)="","Not Recorded",TRIM(Raw_Data!M1157)))</f>
        <v>Manager Issues</v>
      </c>
      <c r="P1157" s="16" t="n">
        <f aca="false">ROUND((IF(C1157="",AsOfDate,C1157)-B1157)/365.25,2)</f>
        <v>1.89</v>
      </c>
      <c r="Q1157" s="13" t="str">
        <f aca="false">IF(D1157="","Unknown",IF(D1157&lt;25,"Under 25",IF(D1157&lt;35,"25-34",IF(D1157&lt;45,"35-44",IF(D1157&lt;55,"45-54","55+")))))</f>
        <v>25-34</v>
      </c>
      <c r="R1157" s="13" t="str">
        <f aca="false">IF(P1157&lt;1,"0-1 yrs",IF(P1157&lt;3,"1-3 yrs",IF(P1157&lt;5,"3-5 yrs",IF(P1157&lt;10,"5-10 yrs","10+ yrs"))))</f>
        <v>1-3 yrs</v>
      </c>
      <c r="S1157" s="13" t="str">
        <f aca="false">IF(I1157&gt;=4,"High",IF(I1157=3,"Medium","Low"))</f>
        <v>Medium</v>
      </c>
      <c r="T1157" s="13" t="n">
        <f aca="false">IF(M1157=1,YEAR(C1157),"")</f>
        <v>2023</v>
      </c>
      <c r="U1157" s="13" t="str">
        <f aca="false">IF(M1157=1,YEAR(C1157)&amp;"-Q"&amp;ROUNDUP(MONTH(C1157)/3,0),"")</f>
        <v>2023-Q2</v>
      </c>
      <c r="V1157" s="13" t="n">
        <f aca="false">IF(M1157=1,MONTH(C1157),"")</f>
        <v>5</v>
      </c>
    </row>
    <row r="1158" customFormat="false" ht="15" hidden="false" customHeight="false" outlineLevel="0" collapsed="false">
      <c r="A1158" s="13" t="str">
        <f aca="false">TRIM(Raw_Data!A1158)</f>
        <v>EMP1157</v>
      </c>
      <c r="B1158" s="14" t="n">
        <f aca="false">Raw_Data!B1158</f>
        <v>44384</v>
      </c>
      <c r="C1158" s="14" t="str">
        <f aca="false">IF(Raw_Data!C1158="","",Raw_Data!C1158)</f>
        <v/>
      </c>
      <c r="D1158" s="13" t="n">
        <f aca="false">IF(Raw_Data!D1158="","",Raw_Data!D1158)</f>
        <v>27</v>
      </c>
      <c r="E1158" s="13" t="str">
        <f aca="false">IF(UPPER(LEFT(TRIM(Raw_Data!E1158),1))="M","Male",IF(UPPER(LEFT(TRIM(Raw_Data!E1158),1))="F","Female","Unknown"))</f>
        <v>Male</v>
      </c>
      <c r="F1158" s="13" t="str">
        <f aca="false">PROPER(TRIM(SUBSTITUTE(Raw_Data!F1158,"'","")))</f>
        <v>Masters</v>
      </c>
      <c r="G1158" s="13" t="str">
        <f aca="false">PROPER(TRIM(Raw_Data!G1158))</f>
        <v>Sales</v>
      </c>
      <c r="H1158" s="13" t="str">
        <f aca="false">PROPER(TRIM(Raw_Data!H1158))</f>
        <v>Team Lead</v>
      </c>
      <c r="I1158" s="13" t="n">
        <f aca="false">IF(Raw_Data!I1158="",DefaultPerf,Raw_Data!I1158)</f>
        <v>3</v>
      </c>
      <c r="J1158" s="13" t="n">
        <f aca="false">IF(Raw_Data!J1158="",DefaultSat,Raw_Data!J1158)</f>
        <v>3</v>
      </c>
      <c r="K1158" s="15" t="n">
        <f aca="false">Raw_Data!K1158</f>
        <v>157500</v>
      </c>
      <c r="L1158" s="13" t="str">
        <f aca="false">PROPER(TRIM(Raw_Data!N1158))</f>
        <v>No</v>
      </c>
      <c r="M1158" s="13" t="n">
        <f aca="false">IF(C1158="",0,1)</f>
        <v>0</v>
      </c>
      <c r="N1158" s="13" t="str">
        <f aca="false">IF(M1158=0,"Active",IF(TRIM(Raw_Data!L1158)="","Unknown",PROPER(TRIM(Raw_Data!L1158))))</f>
        <v>Active</v>
      </c>
      <c r="O1158" s="13" t="str">
        <f aca="false">IF(M1158=0,"",IF(TRIM(Raw_Data!M1158)="","Not Recorded",TRIM(Raw_Data!M1158)))</f>
        <v/>
      </c>
      <c r="P1158" s="16" t="n">
        <f aca="false">ROUND((IF(C1158="",AsOfDate,C1158)-B1158)/365.25,2)</f>
        <v>4.48</v>
      </c>
      <c r="Q1158" s="13" t="str">
        <f aca="false">IF(D1158="","Unknown",IF(D1158&lt;25,"Under 25",IF(D1158&lt;35,"25-34",IF(D1158&lt;45,"35-44",IF(D1158&lt;55,"45-54","55+")))))</f>
        <v>25-34</v>
      </c>
      <c r="R1158" s="13" t="str">
        <f aca="false">IF(P1158&lt;1,"0-1 yrs",IF(P1158&lt;3,"1-3 yrs",IF(P1158&lt;5,"3-5 yrs",IF(P1158&lt;10,"5-10 yrs","10+ yrs"))))</f>
        <v>3-5 yrs</v>
      </c>
      <c r="S1158" s="13" t="str">
        <f aca="false">IF(I1158&gt;=4,"High",IF(I1158=3,"Medium","Low"))</f>
        <v>Medium</v>
      </c>
      <c r="T1158" s="13" t="str">
        <f aca="false">IF(M1158=1,YEAR(C1158),"")</f>
        <v/>
      </c>
      <c r="U1158" s="13" t="str">
        <f aca="false">IF(M1158=1,YEAR(C1158)&amp;"-Q"&amp;ROUNDUP(MONTH(C1158)/3,0),"")</f>
        <v/>
      </c>
      <c r="V1158" s="13" t="str">
        <f aca="false">IF(M1158=1,MONTH(C1158),"")</f>
        <v/>
      </c>
    </row>
    <row r="1159" customFormat="false" ht="15" hidden="false" customHeight="false" outlineLevel="0" collapsed="false">
      <c r="A1159" s="13" t="str">
        <f aca="false">TRIM(Raw_Data!A1159)</f>
        <v>EMP1158</v>
      </c>
      <c r="B1159" s="14" t="n">
        <f aca="false">Raw_Data!B1159</f>
        <v>44387</v>
      </c>
      <c r="C1159" s="14" t="n">
        <f aca="false">IF(Raw_Data!C1159="","",Raw_Data!C1159)</f>
        <v>44758</v>
      </c>
      <c r="D1159" s="13" t="n">
        <f aca="false">IF(Raw_Data!D1159="","",Raw_Data!D1159)</f>
        <v>27</v>
      </c>
      <c r="E1159" s="13" t="str">
        <f aca="false">IF(UPPER(LEFT(TRIM(Raw_Data!E1159),1))="M","Male",IF(UPPER(LEFT(TRIM(Raw_Data!E1159),1))="F","Female","Unknown"))</f>
        <v>Male</v>
      </c>
      <c r="F1159" s="13" t="str">
        <f aca="false">PROPER(TRIM(SUBSTITUTE(Raw_Data!F1159,"'","")))</f>
        <v>Masters</v>
      </c>
      <c r="G1159" s="13" t="str">
        <f aca="false">PROPER(TRIM(Raw_Data!G1159))</f>
        <v>Engineering</v>
      </c>
      <c r="H1159" s="13" t="str">
        <f aca="false">PROPER(TRIM(Raw_Data!H1159))</f>
        <v>Manager</v>
      </c>
      <c r="I1159" s="13" t="n">
        <f aca="false">IF(Raw_Data!I1159="",DefaultPerf,Raw_Data!I1159)</f>
        <v>5</v>
      </c>
      <c r="J1159" s="13" t="n">
        <f aca="false">IF(Raw_Data!J1159="",DefaultSat,Raw_Data!J1159)</f>
        <v>3</v>
      </c>
      <c r="K1159" s="15" t="n">
        <f aca="false">Raw_Data!K1159</f>
        <v>202500</v>
      </c>
      <c r="L1159" s="13" t="str">
        <f aca="false">PROPER(TRIM(Raw_Data!N1159))</f>
        <v>Yes</v>
      </c>
      <c r="M1159" s="13" t="n">
        <f aca="false">IF(C1159="",0,1)</f>
        <v>1</v>
      </c>
      <c r="N1159" s="13" t="str">
        <f aca="false">IF(M1159=0,"Active",IF(TRIM(Raw_Data!L1159)="","Unknown",PROPER(TRIM(Raw_Data!L1159))))</f>
        <v>Voluntary</v>
      </c>
      <c r="O1159" s="13" t="str">
        <f aca="false">IF(M1159=0,"",IF(TRIM(Raw_Data!M1159)="","Not Recorded",TRIM(Raw_Data!M1159)))</f>
        <v>Personal Reasons</v>
      </c>
      <c r="P1159" s="16" t="n">
        <f aca="false">ROUND((IF(C1159="",AsOfDate,C1159)-B1159)/365.25,2)</f>
        <v>1.02</v>
      </c>
      <c r="Q1159" s="13" t="str">
        <f aca="false">IF(D1159="","Unknown",IF(D1159&lt;25,"Under 25",IF(D1159&lt;35,"25-34",IF(D1159&lt;45,"35-44",IF(D1159&lt;55,"45-54","55+")))))</f>
        <v>25-34</v>
      </c>
      <c r="R1159" s="13" t="str">
        <f aca="false">IF(P1159&lt;1,"0-1 yrs",IF(P1159&lt;3,"1-3 yrs",IF(P1159&lt;5,"3-5 yrs",IF(P1159&lt;10,"5-10 yrs","10+ yrs"))))</f>
        <v>1-3 yrs</v>
      </c>
      <c r="S1159" s="13" t="str">
        <f aca="false">IF(I1159&gt;=4,"High",IF(I1159=3,"Medium","Low"))</f>
        <v>High</v>
      </c>
      <c r="T1159" s="13" t="n">
        <f aca="false">IF(M1159=1,YEAR(C1159),"")</f>
        <v>2022</v>
      </c>
      <c r="U1159" s="13" t="str">
        <f aca="false">IF(M1159=1,YEAR(C1159)&amp;"-Q"&amp;ROUNDUP(MONTH(C1159)/3,0),"")</f>
        <v>2022-Q3</v>
      </c>
      <c r="V1159" s="13" t="n">
        <f aca="false">IF(M1159=1,MONTH(C1159),"")</f>
        <v>7</v>
      </c>
    </row>
    <row r="1160" customFormat="false" ht="15" hidden="false" customHeight="false" outlineLevel="0" collapsed="false">
      <c r="A1160" s="13" t="str">
        <f aca="false">TRIM(Raw_Data!A1160)</f>
        <v>EMP1159</v>
      </c>
      <c r="B1160" s="14" t="n">
        <f aca="false">Raw_Data!B1160</f>
        <v>44387</v>
      </c>
      <c r="C1160" s="14" t="n">
        <f aca="false">IF(Raw_Data!C1160="","",Raw_Data!C1160)</f>
        <v>44587</v>
      </c>
      <c r="D1160" s="13" t="n">
        <f aca="false">IF(Raw_Data!D1160="","",Raw_Data!D1160)</f>
        <v>25</v>
      </c>
      <c r="E1160" s="13" t="str">
        <f aca="false">IF(UPPER(LEFT(TRIM(Raw_Data!E1160),1))="M","Male",IF(UPPER(LEFT(TRIM(Raw_Data!E1160),1))="F","Female","Unknown"))</f>
        <v>Male</v>
      </c>
      <c r="F1160" s="13" t="str">
        <f aca="false">PROPER(TRIM(SUBSTITUTE(Raw_Data!F1160,"'","")))</f>
        <v>Diploma</v>
      </c>
      <c r="G1160" s="13" t="str">
        <f aca="false">PROPER(TRIM(Raw_Data!G1160))</f>
        <v>Engineering</v>
      </c>
      <c r="H1160" s="13" t="str">
        <f aca="false">PROPER(TRIM(Raw_Data!H1160))</f>
        <v>Associate</v>
      </c>
      <c r="I1160" s="13" t="n">
        <f aca="false">IF(Raw_Data!I1160="",DefaultPerf,Raw_Data!I1160)</f>
        <v>4</v>
      </c>
      <c r="J1160" s="13" t="n">
        <f aca="false">IF(Raw_Data!J1160="",DefaultSat,Raw_Data!J1160)</f>
        <v>2</v>
      </c>
      <c r="K1160" s="15" t="n">
        <f aca="false">Raw_Data!K1160</f>
        <v>38500</v>
      </c>
      <c r="L1160" s="13" t="str">
        <f aca="false">PROPER(TRIM(Raw_Data!N1160))</f>
        <v>No</v>
      </c>
      <c r="M1160" s="13" t="n">
        <f aca="false">IF(C1160="",0,1)</f>
        <v>1</v>
      </c>
      <c r="N1160" s="13" t="str">
        <f aca="false">IF(M1160=0,"Active",IF(TRIM(Raw_Data!L1160)="","Unknown",PROPER(TRIM(Raw_Data!L1160))))</f>
        <v>Voluntary</v>
      </c>
      <c r="O1160" s="13" t="str">
        <f aca="false">IF(M1160=0,"",IF(TRIM(Raw_Data!M1160)="","Not Recorded",TRIM(Raw_Data!M1160)))</f>
        <v>Career Growth</v>
      </c>
      <c r="P1160" s="16" t="n">
        <f aca="false">ROUND((IF(C1160="",AsOfDate,C1160)-B1160)/365.25,2)</f>
        <v>0.55</v>
      </c>
      <c r="Q1160" s="13" t="str">
        <f aca="false">IF(D1160="","Unknown",IF(D1160&lt;25,"Under 25",IF(D1160&lt;35,"25-34",IF(D1160&lt;45,"35-44",IF(D1160&lt;55,"45-54","55+")))))</f>
        <v>25-34</v>
      </c>
      <c r="R1160" s="13" t="str">
        <f aca="false">IF(P1160&lt;1,"0-1 yrs",IF(P1160&lt;3,"1-3 yrs",IF(P1160&lt;5,"3-5 yrs",IF(P1160&lt;10,"5-10 yrs","10+ yrs"))))</f>
        <v>0-1 yrs</v>
      </c>
      <c r="S1160" s="13" t="str">
        <f aca="false">IF(I1160&gt;=4,"High",IF(I1160=3,"Medium","Low"))</f>
        <v>High</v>
      </c>
      <c r="T1160" s="13" t="n">
        <f aca="false">IF(M1160=1,YEAR(C1160),"")</f>
        <v>2022</v>
      </c>
      <c r="U1160" s="13" t="str">
        <f aca="false">IF(M1160=1,YEAR(C1160)&amp;"-Q"&amp;ROUNDUP(MONTH(C1160)/3,0),"")</f>
        <v>2022-Q1</v>
      </c>
      <c r="V1160" s="13" t="n">
        <f aca="false">IF(M1160=1,MONTH(C1160),"")</f>
        <v>1</v>
      </c>
    </row>
    <row r="1161" customFormat="false" ht="15" hidden="false" customHeight="false" outlineLevel="0" collapsed="false">
      <c r="A1161" s="13" t="str">
        <f aca="false">TRIM(Raw_Data!A1161)</f>
        <v>EMP1160</v>
      </c>
      <c r="B1161" s="14" t="n">
        <f aca="false">Raw_Data!B1161</f>
        <v>44388</v>
      </c>
      <c r="C1161" s="14" t="n">
        <f aca="false">IF(Raw_Data!C1161="","",Raw_Data!C1161)</f>
        <v>45382</v>
      </c>
      <c r="D1161" s="13" t="n">
        <f aca="false">IF(Raw_Data!D1161="","",Raw_Data!D1161)</f>
        <v>37</v>
      </c>
      <c r="E1161" s="13" t="str">
        <f aca="false">IF(UPPER(LEFT(TRIM(Raw_Data!E1161),1))="M","Male",IF(UPPER(LEFT(TRIM(Raw_Data!E1161),1))="F","Female","Unknown"))</f>
        <v>Male</v>
      </c>
      <c r="F1161" s="13" t="str">
        <f aca="false">PROPER(TRIM(SUBSTITUTE(Raw_Data!F1161,"'","")))</f>
        <v>Bachelors</v>
      </c>
      <c r="G1161" s="13" t="str">
        <f aca="false">PROPER(TRIM(Raw_Data!G1161))</f>
        <v>Sales</v>
      </c>
      <c r="H1161" s="13" t="str">
        <f aca="false">PROPER(TRIM(Raw_Data!H1161))</f>
        <v>Specialist</v>
      </c>
      <c r="I1161" s="13" t="n">
        <f aca="false">IF(Raw_Data!I1161="",DefaultPerf,Raw_Data!I1161)</f>
        <v>4</v>
      </c>
      <c r="J1161" s="13" t="n">
        <f aca="false">IF(Raw_Data!J1161="",DefaultSat,Raw_Data!J1161)</f>
        <v>4</v>
      </c>
      <c r="K1161" s="15" t="n">
        <f aca="false">Raw_Data!K1161</f>
        <v>109500</v>
      </c>
      <c r="L1161" s="13" t="str">
        <f aca="false">PROPER(TRIM(Raw_Data!N1161))</f>
        <v>Yes</v>
      </c>
      <c r="M1161" s="13" t="n">
        <f aca="false">IF(C1161="",0,1)</f>
        <v>1</v>
      </c>
      <c r="N1161" s="13" t="str">
        <f aca="false">IF(M1161=0,"Active",IF(TRIM(Raw_Data!L1161)="","Unknown",PROPER(TRIM(Raw_Data!L1161))))</f>
        <v>Voluntary</v>
      </c>
      <c r="O1161" s="13" t="str">
        <f aca="false">IF(M1161=0,"",IF(TRIM(Raw_Data!M1161)="","Not Recorded",TRIM(Raw_Data!M1161)))</f>
        <v>Better Compensation</v>
      </c>
      <c r="P1161" s="16" t="n">
        <f aca="false">ROUND((IF(C1161="",AsOfDate,C1161)-B1161)/365.25,2)</f>
        <v>2.72</v>
      </c>
      <c r="Q1161" s="13" t="str">
        <f aca="false">IF(D1161="","Unknown",IF(D1161&lt;25,"Under 25",IF(D1161&lt;35,"25-34",IF(D1161&lt;45,"35-44",IF(D1161&lt;55,"45-54","55+")))))</f>
        <v>35-44</v>
      </c>
      <c r="R1161" s="13" t="str">
        <f aca="false">IF(P1161&lt;1,"0-1 yrs",IF(P1161&lt;3,"1-3 yrs",IF(P1161&lt;5,"3-5 yrs",IF(P1161&lt;10,"5-10 yrs","10+ yrs"))))</f>
        <v>1-3 yrs</v>
      </c>
      <c r="S1161" s="13" t="str">
        <f aca="false">IF(I1161&gt;=4,"High",IF(I1161=3,"Medium","Low"))</f>
        <v>High</v>
      </c>
      <c r="T1161" s="13" t="n">
        <f aca="false">IF(M1161=1,YEAR(C1161),"")</f>
        <v>2024</v>
      </c>
      <c r="U1161" s="13" t="str">
        <f aca="false">IF(M1161=1,YEAR(C1161)&amp;"-Q"&amp;ROUNDUP(MONTH(C1161)/3,0),"")</f>
        <v>2024-Q1</v>
      </c>
      <c r="V1161" s="13" t="n">
        <f aca="false">IF(M1161=1,MONTH(C1161),"")</f>
        <v>3</v>
      </c>
    </row>
    <row r="1162" customFormat="false" ht="15" hidden="false" customHeight="false" outlineLevel="0" collapsed="false">
      <c r="A1162" s="13" t="str">
        <f aca="false">TRIM(Raw_Data!A1162)</f>
        <v>EMP1161</v>
      </c>
      <c r="B1162" s="14" t="n">
        <f aca="false">Raw_Data!B1162</f>
        <v>44389</v>
      </c>
      <c r="C1162" s="14" t="n">
        <f aca="false">IF(Raw_Data!C1162="","",Raw_Data!C1162)</f>
        <v>45022</v>
      </c>
      <c r="D1162" s="13" t="n">
        <f aca="false">IF(Raw_Data!D1162="","",Raw_Data!D1162)</f>
        <v>37</v>
      </c>
      <c r="E1162" s="13" t="str">
        <f aca="false">IF(UPPER(LEFT(TRIM(Raw_Data!E1162),1))="M","Male",IF(UPPER(LEFT(TRIM(Raw_Data!E1162),1))="F","Female","Unknown"))</f>
        <v>Female</v>
      </c>
      <c r="F1162" s="13" t="str">
        <f aca="false">PROPER(TRIM(SUBSTITUTE(Raw_Data!F1162,"'","")))</f>
        <v>High School</v>
      </c>
      <c r="G1162" s="13" t="str">
        <f aca="false">PROPER(TRIM(Raw_Data!G1162))</f>
        <v>Customer Support</v>
      </c>
      <c r="H1162" s="13" t="str">
        <f aca="false">PROPER(TRIM(Raw_Data!H1162))</f>
        <v>Manager</v>
      </c>
      <c r="I1162" s="13" t="n">
        <f aca="false">IF(Raw_Data!I1162="",DefaultPerf,Raw_Data!I1162)</f>
        <v>4</v>
      </c>
      <c r="J1162" s="13" t="n">
        <f aca="false">IF(Raw_Data!J1162="",DefaultSat,Raw_Data!J1162)</f>
        <v>2</v>
      </c>
      <c r="K1162" s="15" t="n">
        <f aca="false">Raw_Data!K1162</f>
        <v>195000</v>
      </c>
      <c r="L1162" s="13" t="str">
        <f aca="false">PROPER(TRIM(Raw_Data!N1162))</f>
        <v>No</v>
      </c>
      <c r="M1162" s="13" t="n">
        <f aca="false">IF(C1162="",0,1)</f>
        <v>1</v>
      </c>
      <c r="N1162" s="13" t="str">
        <f aca="false">IF(M1162=0,"Active",IF(TRIM(Raw_Data!L1162)="","Unknown",PROPER(TRIM(Raw_Data!L1162))))</f>
        <v>Voluntary</v>
      </c>
      <c r="O1162" s="13" t="str">
        <f aca="false">IF(M1162=0,"",IF(TRIM(Raw_Data!M1162)="","Not Recorded",TRIM(Raw_Data!M1162)))</f>
        <v>Personal Reasons</v>
      </c>
      <c r="P1162" s="16" t="n">
        <f aca="false">ROUND((IF(C1162="",AsOfDate,C1162)-B1162)/365.25,2)</f>
        <v>1.73</v>
      </c>
      <c r="Q1162" s="13" t="str">
        <f aca="false">IF(D1162="","Unknown",IF(D1162&lt;25,"Under 25",IF(D1162&lt;35,"25-34",IF(D1162&lt;45,"35-44",IF(D1162&lt;55,"45-54","55+")))))</f>
        <v>35-44</v>
      </c>
      <c r="R1162" s="13" t="str">
        <f aca="false">IF(P1162&lt;1,"0-1 yrs",IF(P1162&lt;3,"1-3 yrs",IF(P1162&lt;5,"3-5 yrs",IF(P1162&lt;10,"5-10 yrs","10+ yrs"))))</f>
        <v>1-3 yrs</v>
      </c>
      <c r="S1162" s="13" t="str">
        <f aca="false">IF(I1162&gt;=4,"High",IF(I1162=3,"Medium","Low"))</f>
        <v>High</v>
      </c>
      <c r="T1162" s="13" t="n">
        <f aca="false">IF(M1162=1,YEAR(C1162),"")</f>
        <v>2023</v>
      </c>
      <c r="U1162" s="13" t="str">
        <f aca="false">IF(M1162=1,YEAR(C1162)&amp;"-Q"&amp;ROUNDUP(MONTH(C1162)/3,0),"")</f>
        <v>2023-Q2</v>
      </c>
      <c r="V1162" s="13" t="n">
        <f aca="false">IF(M1162=1,MONTH(C1162),"")</f>
        <v>4</v>
      </c>
    </row>
    <row r="1163" customFormat="false" ht="15" hidden="false" customHeight="false" outlineLevel="0" collapsed="false">
      <c r="A1163" s="13" t="str">
        <f aca="false">TRIM(Raw_Data!A1163)</f>
        <v>EMP1162</v>
      </c>
      <c r="B1163" s="14" t="n">
        <f aca="false">Raw_Data!B1163</f>
        <v>44395</v>
      </c>
      <c r="C1163" s="14" t="str">
        <f aca="false">IF(Raw_Data!C1163="","",Raw_Data!C1163)</f>
        <v/>
      </c>
      <c r="D1163" s="13" t="n">
        <f aca="false">IF(Raw_Data!D1163="","",Raw_Data!D1163)</f>
        <v>28</v>
      </c>
      <c r="E1163" s="13" t="str">
        <f aca="false">IF(UPPER(LEFT(TRIM(Raw_Data!E1163),1))="M","Male",IF(UPPER(LEFT(TRIM(Raw_Data!E1163),1))="F","Female","Unknown"))</f>
        <v>Male</v>
      </c>
      <c r="F1163" s="13" t="str">
        <f aca="false">PROPER(TRIM(SUBSTITUTE(Raw_Data!F1163,"'","")))</f>
        <v>Bachelors</v>
      </c>
      <c r="G1163" s="13" t="str">
        <f aca="false">PROPER(TRIM(Raw_Data!G1163))</f>
        <v>Customer Support</v>
      </c>
      <c r="H1163" s="13" t="str">
        <f aca="false">PROPER(TRIM(Raw_Data!H1163))</f>
        <v>Analyst</v>
      </c>
      <c r="I1163" s="13" t="n">
        <f aca="false">IF(Raw_Data!I1163="",DefaultPerf,Raw_Data!I1163)</f>
        <v>4</v>
      </c>
      <c r="J1163" s="13" t="n">
        <f aca="false">IF(Raw_Data!J1163="",DefaultSat,Raw_Data!J1163)</f>
        <v>2</v>
      </c>
      <c r="K1163" s="15" t="n">
        <f aca="false">Raw_Data!K1163</f>
        <v>64000</v>
      </c>
      <c r="L1163" s="13" t="str">
        <f aca="false">PROPER(TRIM(Raw_Data!N1163))</f>
        <v>No</v>
      </c>
      <c r="M1163" s="13" t="n">
        <f aca="false">IF(C1163="",0,1)</f>
        <v>0</v>
      </c>
      <c r="N1163" s="13" t="str">
        <f aca="false">IF(M1163=0,"Active",IF(TRIM(Raw_Data!L1163)="","Unknown",PROPER(TRIM(Raw_Data!L1163))))</f>
        <v>Active</v>
      </c>
      <c r="O1163" s="13" t="str">
        <f aca="false">IF(M1163=0,"",IF(TRIM(Raw_Data!M1163)="","Not Recorded",TRIM(Raw_Data!M1163)))</f>
        <v/>
      </c>
      <c r="P1163" s="16" t="n">
        <f aca="false">ROUND((IF(C1163="",AsOfDate,C1163)-B1163)/365.25,2)</f>
        <v>4.45</v>
      </c>
      <c r="Q1163" s="13" t="str">
        <f aca="false">IF(D1163="","Unknown",IF(D1163&lt;25,"Under 25",IF(D1163&lt;35,"25-34",IF(D1163&lt;45,"35-44",IF(D1163&lt;55,"45-54","55+")))))</f>
        <v>25-34</v>
      </c>
      <c r="R1163" s="13" t="str">
        <f aca="false">IF(P1163&lt;1,"0-1 yrs",IF(P1163&lt;3,"1-3 yrs",IF(P1163&lt;5,"3-5 yrs",IF(P1163&lt;10,"5-10 yrs","10+ yrs"))))</f>
        <v>3-5 yrs</v>
      </c>
      <c r="S1163" s="13" t="str">
        <f aca="false">IF(I1163&gt;=4,"High",IF(I1163=3,"Medium","Low"))</f>
        <v>High</v>
      </c>
      <c r="T1163" s="13" t="str">
        <f aca="false">IF(M1163=1,YEAR(C1163),"")</f>
        <v/>
      </c>
      <c r="U1163" s="13" t="str">
        <f aca="false">IF(M1163=1,YEAR(C1163)&amp;"-Q"&amp;ROUNDUP(MONTH(C1163)/3,0),"")</f>
        <v/>
      </c>
      <c r="V1163" s="13" t="str">
        <f aca="false">IF(M1163=1,MONTH(C1163),"")</f>
        <v/>
      </c>
    </row>
    <row r="1164" customFormat="false" ht="15" hidden="false" customHeight="false" outlineLevel="0" collapsed="false">
      <c r="A1164" s="13" t="str">
        <f aca="false">TRIM(Raw_Data!A1164)</f>
        <v>EMP1163</v>
      </c>
      <c r="B1164" s="14" t="n">
        <f aca="false">Raw_Data!B1164</f>
        <v>44395</v>
      </c>
      <c r="C1164" s="14" t="n">
        <f aca="false">IF(Raw_Data!C1164="","",Raw_Data!C1164)</f>
        <v>44832</v>
      </c>
      <c r="D1164" s="13" t="n">
        <f aca="false">IF(Raw_Data!D1164="","",Raw_Data!D1164)</f>
        <v>32</v>
      </c>
      <c r="E1164" s="13" t="str">
        <f aca="false">IF(UPPER(LEFT(TRIM(Raw_Data!E1164),1))="M","Male",IF(UPPER(LEFT(TRIM(Raw_Data!E1164),1))="F","Female","Unknown"))</f>
        <v>Female</v>
      </c>
      <c r="F1164" s="13" t="str">
        <f aca="false">PROPER(TRIM(SUBSTITUTE(Raw_Data!F1164,"'","")))</f>
        <v>Bachelors</v>
      </c>
      <c r="G1164" s="13" t="str">
        <f aca="false">PROPER(TRIM(Raw_Data!G1164))</f>
        <v>Customer Support</v>
      </c>
      <c r="H1164" s="13" t="str">
        <f aca="false">PROPER(TRIM(Raw_Data!H1164))</f>
        <v>Senior Analyst</v>
      </c>
      <c r="I1164" s="13" t="n">
        <f aca="false">IF(Raw_Data!I1164="",DefaultPerf,Raw_Data!I1164)</f>
        <v>1</v>
      </c>
      <c r="J1164" s="13" t="n">
        <f aca="false">IF(Raw_Data!J1164="",DefaultSat,Raw_Data!J1164)</f>
        <v>2</v>
      </c>
      <c r="K1164" s="15" t="n">
        <f aca="false">Raw_Data!K1164</f>
        <v>79500</v>
      </c>
      <c r="L1164" s="13" t="str">
        <f aca="false">PROPER(TRIM(Raw_Data!N1164))</f>
        <v>Yes</v>
      </c>
      <c r="M1164" s="13" t="n">
        <f aca="false">IF(C1164="",0,1)</f>
        <v>1</v>
      </c>
      <c r="N1164" s="13" t="str">
        <f aca="false">IF(M1164=0,"Active",IF(TRIM(Raw_Data!L1164)="","Unknown",PROPER(TRIM(Raw_Data!L1164))))</f>
        <v>Voluntary</v>
      </c>
      <c r="O1164" s="13" t="str">
        <f aca="false">IF(M1164=0,"",IF(TRIM(Raw_Data!M1164)="","Not Recorded",TRIM(Raw_Data!M1164)))</f>
        <v>Work-Life Balance</v>
      </c>
      <c r="P1164" s="16" t="n">
        <f aca="false">ROUND((IF(C1164="",AsOfDate,C1164)-B1164)/365.25,2)</f>
        <v>1.2</v>
      </c>
      <c r="Q1164" s="13" t="str">
        <f aca="false">IF(D1164="","Unknown",IF(D1164&lt;25,"Under 25",IF(D1164&lt;35,"25-34",IF(D1164&lt;45,"35-44",IF(D1164&lt;55,"45-54","55+")))))</f>
        <v>25-34</v>
      </c>
      <c r="R1164" s="13" t="str">
        <f aca="false">IF(P1164&lt;1,"0-1 yrs",IF(P1164&lt;3,"1-3 yrs",IF(P1164&lt;5,"3-5 yrs",IF(P1164&lt;10,"5-10 yrs","10+ yrs"))))</f>
        <v>1-3 yrs</v>
      </c>
      <c r="S1164" s="13" t="str">
        <f aca="false">IF(I1164&gt;=4,"High",IF(I1164=3,"Medium","Low"))</f>
        <v>Low</v>
      </c>
      <c r="T1164" s="13" t="n">
        <f aca="false">IF(M1164=1,YEAR(C1164),"")</f>
        <v>2022</v>
      </c>
      <c r="U1164" s="13" t="str">
        <f aca="false">IF(M1164=1,YEAR(C1164)&amp;"-Q"&amp;ROUNDUP(MONTH(C1164)/3,0),"")</f>
        <v>2022-Q3</v>
      </c>
      <c r="V1164" s="13" t="n">
        <f aca="false">IF(M1164=1,MONTH(C1164),"")</f>
        <v>9</v>
      </c>
    </row>
    <row r="1165" customFormat="false" ht="15" hidden="false" customHeight="false" outlineLevel="0" collapsed="false">
      <c r="A1165" s="13" t="str">
        <f aca="false">TRIM(Raw_Data!A1165)</f>
        <v>EMP1164</v>
      </c>
      <c r="B1165" s="14" t="n">
        <f aca="false">Raw_Data!B1165</f>
        <v>44397</v>
      </c>
      <c r="C1165" s="14" t="str">
        <f aca="false">IF(Raw_Data!C1165="","",Raw_Data!C1165)</f>
        <v/>
      </c>
      <c r="D1165" s="13" t="n">
        <f aca="false">IF(Raw_Data!D1165="","",Raw_Data!D1165)</f>
        <v>40</v>
      </c>
      <c r="E1165" s="13" t="str">
        <f aca="false">IF(UPPER(LEFT(TRIM(Raw_Data!E1165),1))="M","Male",IF(UPPER(LEFT(TRIM(Raw_Data!E1165),1))="F","Female","Unknown"))</f>
        <v>Female</v>
      </c>
      <c r="F1165" s="13" t="str">
        <f aca="false">PROPER(TRIM(SUBSTITUTE(Raw_Data!F1165,"'","")))</f>
        <v>Bachelors</v>
      </c>
      <c r="G1165" s="13" t="str">
        <f aca="false">PROPER(TRIM(Raw_Data!G1165))</f>
        <v>Operations</v>
      </c>
      <c r="H1165" s="13" t="str">
        <f aca="false">PROPER(TRIM(Raw_Data!H1165))</f>
        <v>Team Lead</v>
      </c>
      <c r="I1165" s="13" t="n">
        <f aca="false">IF(Raw_Data!I1165="",DefaultPerf,Raw_Data!I1165)</f>
        <v>4</v>
      </c>
      <c r="J1165" s="13" t="n">
        <f aca="false">IF(Raw_Data!J1165="",DefaultSat,Raw_Data!J1165)</f>
        <v>4</v>
      </c>
      <c r="K1165" s="15" t="n">
        <f aca="false">Raw_Data!K1165</f>
        <v>156000</v>
      </c>
      <c r="L1165" s="13" t="str">
        <f aca="false">PROPER(TRIM(Raw_Data!N1165))</f>
        <v>Yes</v>
      </c>
      <c r="M1165" s="13" t="n">
        <f aca="false">IF(C1165="",0,1)</f>
        <v>0</v>
      </c>
      <c r="N1165" s="13" t="str">
        <f aca="false">IF(M1165=0,"Active",IF(TRIM(Raw_Data!L1165)="","Unknown",PROPER(TRIM(Raw_Data!L1165))))</f>
        <v>Active</v>
      </c>
      <c r="O1165" s="13" t="str">
        <f aca="false">IF(M1165=0,"",IF(TRIM(Raw_Data!M1165)="","Not Recorded",TRIM(Raw_Data!M1165)))</f>
        <v/>
      </c>
      <c r="P1165" s="16" t="n">
        <f aca="false">ROUND((IF(C1165="",AsOfDate,C1165)-B1165)/365.25,2)</f>
        <v>4.45</v>
      </c>
      <c r="Q1165" s="13" t="str">
        <f aca="false">IF(D1165="","Unknown",IF(D1165&lt;25,"Under 25",IF(D1165&lt;35,"25-34",IF(D1165&lt;45,"35-44",IF(D1165&lt;55,"45-54","55+")))))</f>
        <v>35-44</v>
      </c>
      <c r="R1165" s="13" t="str">
        <f aca="false">IF(P1165&lt;1,"0-1 yrs",IF(P1165&lt;3,"1-3 yrs",IF(P1165&lt;5,"3-5 yrs",IF(P1165&lt;10,"5-10 yrs","10+ yrs"))))</f>
        <v>3-5 yrs</v>
      </c>
      <c r="S1165" s="13" t="str">
        <f aca="false">IF(I1165&gt;=4,"High",IF(I1165=3,"Medium","Low"))</f>
        <v>High</v>
      </c>
      <c r="T1165" s="13" t="str">
        <f aca="false">IF(M1165=1,YEAR(C1165),"")</f>
        <v/>
      </c>
      <c r="U1165" s="13" t="str">
        <f aca="false">IF(M1165=1,YEAR(C1165)&amp;"-Q"&amp;ROUNDUP(MONTH(C1165)/3,0),"")</f>
        <v/>
      </c>
      <c r="V1165" s="13" t="str">
        <f aca="false">IF(M1165=1,MONTH(C1165),"")</f>
        <v/>
      </c>
    </row>
    <row r="1166" customFormat="false" ht="15" hidden="false" customHeight="false" outlineLevel="0" collapsed="false">
      <c r="A1166" s="13" t="str">
        <f aca="false">TRIM(Raw_Data!A1166)</f>
        <v>EMP1165</v>
      </c>
      <c r="B1166" s="14" t="n">
        <f aca="false">Raw_Data!B1166</f>
        <v>44400</v>
      </c>
      <c r="C1166" s="14" t="n">
        <f aca="false">IF(Raw_Data!C1166="","",Raw_Data!C1166)</f>
        <v>45376</v>
      </c>
      <c r="D1166" s="13" t="n">
        <f aca="false">IF(Raw_Data!D1166="","",Raw_Data!D1166)</f>
        <v>34</v>
      </c>
      <c r="E1166" s="13" t="str">
        <f aca="false">IF(UPPER(LEFT(TRIM(Raw_Data!E1166),1))="M","Male",IF(UPPER(LEFT(TRIM(Raw_Data!E1166),1))="F","Female","Unknown"))</f>
        <v>Male</v>
      </c>
      <c r="F1166" s="13" t="str">
        <f aca="false">PROPER(TRIM(SUBSTITUTE(Raw_Data!F1166,"'","")))</f>
        <v>Diploma</v>
      </c>
      <c r="G1166" s="13" t="str">
        <f aca="false">PROPER(TRIM(Raw_Data!G1166))</f>
        <v>Customer Support</v>
      </c>
      <c r="H1166" s="13" t="str">
        <f aca="false">PROPER(TRIM(Raw_Data!H1166))</f>
        <v>Senior Analyst</v>
      </c>
      <c r="I1166" s="13" t="n">
        <f aca="false">IF(Raw_Data!I1166="",DefaultPerf,Raw_Data!I1166)</f>
        <v>4</v>
      </c>
      <c r="J1166" s="13" t="n">
        <f aca="false">IF(Raw_Data!J1166="",DefaultSat,Raw_Data!J1166)</f>
        <v>3</v>
      </c>
      <c r="K1166" s="15" t="n">
        <f aca="false">Raw_Data!K1166</f>
        <v>92000</v>
      </c>
      <c r="L1166" s="13" t="str">
        <f aca="false">PROPER(TRIM(Raw_Data!N1166))</f>
        <v>Yes</v>
      </c>
      <c r="M1166" s="13" t="n">
        <f aca="false">IF(C1166="",0,1)</f>
        <v>1</v>
      </c>
      <c r="N1166" s="13" t="str">
        <f aca="false">IF(M1166=0,"Active",IF(TRIM(Raw_Data!L1166)="","Unknown",PROPER(TRIM(Raw_Data!L1166))))</f>
        <v>Voluntary</v>
      </c>
      <c r="O1166" s="13" t="str">
        <f aca="false">IF(M1166=0,"",IF(TRIM(Raw_Data!M1166)="","Not Recorded",TRIM(Raw_Data!M1166)))</f>
        <v>Work-Life Balance</v>
      </c>
      <c r="P1166" s="16" t="n">
        <f aca="false">ROUND((IF(C1166="",AsOfDate,C1166)-B1166)/365.25,2)</f>
        <v>2.67</v>
      </c>
      <c r="Q1166" s="13" t="str">
        <f aca="false">IF(D1166="","Unknown",IF(D1166&lt;25,"Under 25",IF(D1166&lt;35,"25-34",IF(D1166&lt;45,"35-44",IF(D1166&lt;55,"45-54","55+")))))</f>
        <v>25-34</v>
      </c>
      <c r="R1166" s="13" t="str">
        <f aca="false">IF(P1166&lt;1,"0-1 yrs",IF(P1166&lt;3,"1-3 yrs",IF(P1166&lt;5,"3-5 yrs",IF(P1166&lt;10,"5-10 yrs","10+ yrs"))))</f>
        <v>1-3 yrs</v>
      </c>
      <c r="S1166" s="13" t="str">
        <f aca="false">IF(I1166&gt;=4,"High",IF(I1166=3,"Medium","Low"))</f>
        <v>High</v>
      </c>
      <c r="T1166" s="13" t="n">
        <f aca="false">IF(M1166=1,YEAR(C1166),"")</f>
        <v>2024</v>
      </c>
      <c r="U1166" s="13" t="str">
        <f aca="false">IF(M1166=1,YEAR(C1166)&amp;"-Q"&amp;ROUNDUP(MONTH(C1166)/3,0),"")</f>
        <v>2024-Q1</v>
      </c>
      <c r="V1166" s="13" t="n">
        <f aca="false">IF(M1166=1,MONTH(C1166),"")</f>
        <v>3</v>
      </c>
    </row>
    <row r="1167" customFormat="false" ht="15" hidden="false" customHeight="false" outlineLevel="0" collapsed="false">
      <c r="A1167" s="13" t="str">
        <f aca="false">TRIM(Raw_Data!A1167)</f>
        <v>EMP1166</v>
      </c>
      <c r="B1167" s="14" t="n">
        <f aca="false">Raw_Data!B1167</f>
        <v>44404</v>
      </c>
      <c r="C1167" s="14" t="n">
        <f aca="false">IF(Raw_Data!C1167="","",Raw_Data!C1167)</f>
        <v>45653</v>
      </c>
      <c r="D1167" s="13" t="n">
        <f aca="false">IF(Raw_Data!D1167="","",Raw_Data!D1167)</f>
        <v>27</v>
      </c>
      <c r="E1167" s="13" t="str">
        <f aca="false">IF(UPPER(LEFT(TRIM(Raw_Data!E1167),1))="M","Male",IF(UPPER(LEFT(TRIM(Raw_Data!E1167),1))="F","Female","Unknown"))</f>
        <v>Male</v>
      </c>
      <c r="F1167" s="13" t="str">
        <f aca="false">PROPER(TRIM(SUBSTITUTE(Raw_Data!F1167,"'","")))</f>
        <v>Masters</v>
      </c>
      <c r="G1167" s="13" t="str">
        <f aca="false">PROPER(TRIM(Raw_Data!G1167))</f>
        <v>Customer Support</v>
      </c>
      <c r="H1167" s="13" t="str">
        <f aca="false">PROPER(TRIM(Raw_Data!H1167))</f>
        <v>Senior Analyst</v>
      </c>
      <c r="I1167" s="13" t="n">
        <f aca="false">IF(Raw_Data!I1167="",DefaultPerf,Raw_Data!I1167)</f>
        <v>4</v>
      </c>
      <c r="J1167" s="13" t="n">
        <f aca="false">IF(Raw_Data!J1167="",DefaultSat,Raw_Data!J1167)</f>
        <v>2</v>
      </c>
      <c r="K1167" s="15" t="n">
        <f aca="false">Raw_Data!K1167</f>
        <v>106000</v>
      </c>
      <c r="L1167" s="13" t="str">
        <f aca="false">PROPER(TRIM(Raw_Data!N1167))</f>
        <v>Yes</v>
      </c>
      <c r="M1167" s="13" t="n">
        <f aca="false">IF(C1167="",0,1)</f>
        <v>1</v>
      </c>
      <c r="N1167" s="13" t="str">
        <f aca="false">IF(M1167=0,"Active",IF(TRIM(Raw_Data!L1167)="","Unknown",PROPER(TRIM(Raw_Data!L1167))))</f>
        <v>Voluntary</v>
      </c>
      <c r="O1167" s="13" t="str">
        <f aca="false">IF(M1167=0,"",IF(TRIM(Raw_Data!M1167)="","Not Recorded",TRIM(Raw_Data!M1167)))</f>
        <v>Work-Life Balance</v>
      </c>
      <c r="P1167" s="16" t="n">
        <f aca="false">ROUND((IF(C1167="",AsOfDate,C1167)-B1167)/365.25,2)</f>
        <v>3.42</v>
      </c>
      <c r="Q1167" s="13" t="str">
        <f aca="false">IF(D1167="","Unknown",IF(D1167&lt;25,"Under 25",IF(D1167&lt;35,"25-34",IF(D1167&lt;45,"35-44",IF(D1167&lt;55,"45-54","55+")))))</f>
        <v>25-34</v>
      </c>
      <c r="R1167" s="13" t="str">
        <f aca="false">IF(P1167&lt;1,"0-1 yrs",IF(P1167&lt;3,"1-3 yrs",IF(P1167&lt;5,"3-5 yrs",IF(P1167&lt;10,"5-10 yrs","10+ yrs"))))</f>
        <v>3-5 yrs</v>
      </c>
      <c r="S1167" s="13" t="str">
        <f aca="false">IF(I1167&gt;=4,"High",IF(I1167=3,"Medium","Low"))</f>
        <v>High</v>
      </c>
      <c r="T1167" s="13" t="n">
        <f aca="false">IF(M1167=1,YEAR(C1167),"")</f>
        <v>2024</v>
      </c>
      <c r="U1167" s="13" t="str">
        <f aca="false">IF(M1167=1,YEAR(C1167)&amp;"-Q"&amp;ROUNDUP(MONTH(C1167)/3,0),"")</f>
        <v>2024-Q4</v>
      </c>
      <c r="V1167" s="13" t="n">
        <f aca="false">IF(M1167=1,MONTH(C1167),"")</f>
        <v>12</v>
      </c>
    </row>
    <row r="1168" customFormat="false" ht="15" hidden="false" customHeight="false" outlineLevel="0" collapsed="false">
      <c r="A1168" s="13" t="str">
        <f aca="false">TRIM(Raw_Data!A1168)</f>
        <v>EMP1167</v>
      </c>
      <c r="B1168" s="14" t="n">
        <f aca="false">Raw_Data!B1168</f>
        <v>44406</v>
      </c>
      <c r="C1168" s="14" t="str">
        <f aca="false">IF(Raw_Data!C1168="","",Raw_Data!C1168)</f>
        <v/>
      </c>
      <c r="D1168" s="13" t="n">
        <f aca="false">IF(Raw_Data!D1168="","",Raw_Data!D1168)</f>
        <v>31</v>
      </c>
      <c r="E1168" s="13" t="str">
        <f aca="false">IF(UPPER(LEFT(TRIM(Raw_Data!E1168),1))="M","Male",IF(UPPER(LEFT(TRIM(Raw_Data!E1168),1))="F","Female","Unknown"))</f>
        <v>Female</v>
      </c>
      <c r="F1168" s="13" t="str">
        <f aca="false">PROPER(TRIM(SUBSTITUTE(Raw_Data!F1168,"'","")))</f>
        <v>Bachelors</v>
      </c>
      <c r="G1168" s="13" t="str">
        <f aca="false">PROPER(TRIM(Raw_Data!G1168))</f>
        <v>Operations</v>
      </c>
      <c r="H1168" s="13" t="str">
        <f aca="false">PROPER(TRIM(Raw_Data!H1168))</f>
        <v>Team Lead</v>
      </c>
      <c r="I1168" s="13" t="n">
        <f aca="false">IF(Raw_Data!I1168="",DefaultPerf,Raw_Data!I1168)</f>
        <v>3</v>
      </c>
      <c r="J1168" s="13" t="n">
        <f aca="false">IF(Raw_Data!J1168="",DefaultSat,Raw_Data!J1168)</f>
        <v>3</v>
      </c>
      <c r="K1168" s="15" t="n">
        <f aca="false">Raw_Data!K1168</f>
        <v>141500</v>
      </c>
      <c r="L1168" s="13" t="str">
        <f aca="false">PROPER(TRIM(Raw_Data!N1168))</f>
        <v>No</v>
      </c>
      <c r="M1168" s="13" t="n">
        <f aca="false">IF(C1168="",0,1)</f>
        <v>0</v>
      </c>
      <c r="N1168" s="13" t="str">
        <f aca="false">IF(M1168=0,"Active",IF(TRIM(Raw_Data!L1168)="","Unknown",PROPER(TRIM(Raw_Data!L1168))))</f>
        <v>Active</v>
      </c>
      <c r="O1168" s="13" t="str">
        <f aca="false">IF(M1168=0,"",IF(TRIM(Raw_Data!M1168)="","Not Recorded",TRIM(Raw_Data!M1168)))</f>
        <v/>
      </c>
      <c r="P1168" s="16" t="n">
        <f aca="false">ROUND((IF(C1168="",AsOfDate,C1168)-B1168)/365.25,2)</f>
        <v>4.42</v>
      </c>
      <c r="Q1168" s="13" t="str">
        <f aca="false">IF(D1168="","Unknown",IF(D1168&lt;25,"Under 25",IF(D1168&lt;35,"25-34",IF(D1168&lt;45,"35-44",IF(D1168&lt;55,"45-54","55+")))))</f>
        <v>25-34</v>
      </c>
      <c r="R1168" s="13" t="str">
        <f aca="false">IF(P1168&lt;1,"0-1 yrs",IF(P1168&lt;3,"1-3 yrs",IF(P1168&lt;5,"3-5 yrs",IF(P1168&lt;10,"5-10 yrs","10+ yrs"))))</f>
        <v>3-5 yrs</v>
      </c>
      <c r="S1168" s="13" t="str">
        <f aca="false">IF(I1168&gt;=4,"High",IF(I1168=3,"Medium","Low"))</f>
        <v>Medium</v>
      </c>
      <c r="T1168" s="13" t="str">
        <f aca="false">IF(M1168=1,YEAR(C1168),"")</f>
        <v/>
      </c>
      <c r="U1168" s="13" t="str">
        <f aca="false">IF(M1168=1,YEAR(C1168)&amp;"-Q"&amp;ROUNDUP(MONTH(C1168)/3,0),"")</f>
        <v/>
      </c>
      <c r="V1168" s="13" t="str">
        <f aca="false">IF(M1168=1,MONTH(C1168),"")</f>
        <v/>
      </c>
    </row>
    <row r="1169" customFormat="false" ht="15" hidden="false" customHeight="false" outlineLevel="0" collapsed="false">
      <c r="A1169" s="13" t="str">
        <f aca="false">TRIM(Raw_Data!A1169)</f>
        <v>EMP1168</v>
      </c>
      <c r="B1169" s="14" t="n">
        <f aca="false">Raw_Data!B1169</f>
        <v>44406</v>
      </c>
      <c r="C1169" s="14" t="n">
        <f aca="false">IF(Raw_Data!C1169="","",Raw_Data!C1169)</f>
        <v>44827</v>
      </c>
      <c r="D1169" s="13" t="n">
        <f aca="false">IF(Raw_Data!D1169="","",Raw_Data!D1169)</f>
        <v>32</v>
      </c>
      <c r="E1169" s="13" t="str">
        <f aca="false">IF(UPPER(LEFT(TRIM(Raw_Data!E1169),1))="M","Male",IF(UPPER(LEFT(TRIM(Raw_Data!E1169),1))="F","Female","Unknown"))</f>
        <v>Male</v>
      </c>
      <c r="F1169" s="13" t="str">
        <f aca="false">PROPER(TRIM(SUBSTITUTE(Raw_Data!F1169,"'","")))</f>
        <v>High School</v>
      </c>
      <c r="G1169" s="13" t="str">
        <f aca="false">PROPER(TRIM(Raw_Data!G1169))</f>
        <v>Operations</v>
      </c>
      <c r="H1169" s="13" t="str">
        <f aca="false">PROPER(TRIM(Raw_Data!H1169))</f>
        <v>Senior Analyst</v>
      </c>
      <c r="I1169" s="13" t="n">
        <f aca="false">IF(Raw_Data!I1169="",DefaultPerf,Raw_Data!I1169)</f>
        <v>3</v>
      </c>
      <c r="J1169" s="13" t="n">
        <f aca="false">IF(Raw_Data!J1169="",DefaultSat,Raw_Data!J1169)</f>
        <v>3</v>
      </c>
      <c r="K1169" s="15" t="n">
        <f aca="false">Raw_Data!K1169</f>
        <v>90000</v>
      </c>
      <c r="L1169" s="13" t="str">
        <f aca="false">PROPER(TRIM(Raw_Data!N1169))</f>
        <v>No</v>
      </c>
      <c r="M1169" s="13" t="n">
        <f aca="false">IF(C1169="",0,1)</f>
        <v>1</v>
      </c>
      <c r="N1169" s="13" t="str">
        <f aca="false">IF(M1169=0,"Active",IF(TRIM(Raw_Data!L1169)="","Unknown",PROPER(TRIM(Raw_Data!L1169))))</f>
        <v>Voluntary</v>
      </c>
      <c r="O1169" s="13" t="str">
        <f aca="false">IF(M1169=0,"",IF(TRIM(Raw_Data!M1169)="","Not Recorded",TRIM(Raw_Data!M1169)))</f>
        <v>Career Growth</v>
      </c>
      <c r="P1169" s="16" t="n">
        <f aca="false">ROUND((IF(C1169="",AsOfDate,C1169)-B1169)/365.25,2)</f>
        <v>1.15</v>
      </c>
      <c r="Q1169" s="13" t="str">
        <f aca="false">IF(D1169="","Unknown",IF(D1169&lt;25,"Under 25",IF(D1169&lt;35,"25-34",IF(D1169&lt;45,"35-44",IF(D1169&lt;55,"45-54","55+")))))</f>
        <v>25-34</v>
      </c>
      <c r="R1169" s="13" t="str">
        <f aca="false">IF(P1169&lt;1,"0-1 yrs",IF(P1169&lt;3,"1-3 yrs",IF(P1169&lt;5,"3-5 yrs",IF(P1169&lt;10,"5-10 yrs","10+ yrs"))))</f>
        <v>1-3 yrs</v>
      </c>
      <c r="S1169" s="13" t="str">
        <f aca="false">IF(I1169&gt;=4,"High",IF(I1169=3,"Medium","Low"))</f>
        <v>Medium</v>
      </c>
      <c r="T1169" s="13" t="n">
        <f aca="false">IF(M1169=1,YEAR(C1169),"")</f>
        <v>2022</v>
      </c>
      <c r="U1169" s="13" t="str">
        <f aca="false">IF(M1169=1,YEAR(C1169)&amp;"-Q"&amp;ROUNDUP(MONTH(C1169)/3,0),"")</f>
        <v>2022-Q3</v>
      </c>
      <c r="V1169" s="13" t="n">
        <f aca="false">IF(M1169=1,MONTH(C1169),"")</f>
        <v>9</v>
      </c>
    </row>
    <row r="1170" customFormat="false" ht="15" hidden="false" customHeight="false" outlineLevel="0" collapsed="false">
      <c r="A1170" s="13" t="str">
        <f aca="false">TRIM(Raw_Data!A1170)</f>
        <v>EMP1169</v>
      </c>
      <c r="B1170" s="14" t="n">
        <f aca="false">Raw_Data!B1170</f>
        <v>44407</v>
      </c>
      <c r="C1170" s="14" t="str">
        <f aca="false">IF(Raw_Data!C1170="","",Raw_Data!C1170)</f>
        <v/>
      </c>
      <c r="D1170" s="13" t="n">
        <f aca="false">IF(Raw_Data!D1170="","",Raw_Data!D1170)</f>
        <v>38</v>
      </c>
      <c r="E1170" s="13" t="str">
        <f aca="false">IF(UPPER(LEFT(TRIM(Raw_Data!E1170),1))="M","Male",IF(UPPER(LEFT(TRIM(Raw_Data!E1170),1))="F","Female","Unknown"))</f>
        <v>Male</v>
      </c>
      <c r="F1170" s="13" t="str">
        <f aca="false">PROPER(TRIM(SUBSTITUTE(Raw_Data!F1170,"'","")))</f>
        <v>Doctorate</v>
      </c>
      <c r="G1170" s="13" t="str">
        <f aca="false">PROPER(TRIM(Raw_Data!G1170))</f>
        <v>Customer Support</v>
      </c>
      <c r="H1170" s="13" t="str">
        <f aca="false">PROPER(TRIM(Raw_Data!H1170))</f>
        <v>Specialist</v>
      </c>
      <c r="I1170" s="13" t="n">
        <f aca="false">IF(Raw_Data!I1170="",DefaultPerf,Raw_Data!I1170)</f>
        <v>3</v>
      </c>
      <c r="J1170" s="13" t="n">
        <f aca="false">IF(Raw_Data!J1170="",DefaultSat,Raw_Data!J1170)</f>
        <v>3</v>
      </c>
      <c r="K1170" s="15" t="n">
        <f aca="false">Raw_Data!K1170</f>
        <v>108500</v>
      </c>
      <c r="L1170" s="13" t="str">
        <f aca="false">PROPER(TRIM(Raw_Data!N1170))</f>
        <v>Yes</v>
      </c>
      <c r="M1170" s="13" t="n">
        <f aca="false">IF(C1170="",0,1)</f>
        <v>0</v>
      </c>
      <c r="N1170" s="13" t="str">
        <f aca="false">IF(M1170=0,"Active",IF(TRIM(Raw_Data!L1170)="","Unknown",PROPER(TRIM(Raw_Data!L1170))))</f>
        <v>Active</v>
      </c>
      <c r="O1170" s="13" t="str">
        <f aca="false">IF(M1170=0,"",IF(TRIM(Raw_Data!M1170)="","Not Recorded",TRIM(Raw_Data!M1170)))</f>
        <v/>
      </c>
      <c r="P1170" s="16" t="n">
        <f aca="false">ROUND((IF(C1170="",AsOfDate,C1170)-B1170)/365.25,2)</f>
        <v>4.42</v>
      </c>
      <c r="Q1170" s="13" t="str">
        <f aca="false">IF(D1170="","Unknown",IF(D1170&lt;25,"Under 25",IF(D1170&lt;35,"25-34",IF(D1170&lt;45,"35-44",IF(D1170&lt;55,"45-54","55+")))))</f>
        <v>35-44</v>
      </c>
      <c r="R1170" s="13" t="str">
        <f aca="false">IF(P1170&lt;1,"0-1 yrs",IF(P1170&lt;3,"1-3 yrs",IF(P1170&lt;5,"3-5 yrs",IF(P1170&lt;10,"5-10 yrs","10+ yrs"))))</f>
        <v>3-5 yrs</v>
      </c>
      <c r="S1170" s="13" t="str">
        <f aca="false">IF(I1170&gt;=4,"High",IF(I1170=3,"Medium","Low"))</f>
        <v>Medium</v>
      </c>
      <c r="T1170" s="13" t="str">
        <f aca="false">IF(M1170=1,YEAR(C1170),"")</f>
        <v/>
      </c>
      <c r="U1170" s="13" t="str">
        <f aca="false">IF(M1170=1,YEAR(C1170)&amp;"-Q"&amp;ROUNDUP(MONTH(C1170)/3,0),"")</f>
        <v/>
      </c>
      <c r="V1170" s="13" t="str">
        <f aca="false">IF(M1170=1,MONTH(C1170),"")</f>
        <v/>
      </c>
    </row>
    <row r="1171" customFormat="false" ht="15" hidden="false" customHeight="false" outlineLevel="0" collapsed="false">
      <c r="A1171" s="13" t="str">
        <f aca="false">TRIM(Raw_Data!A1171)</f>
        <v>EMP1170</v>
      </c>
      <c r="B1171" s="14" t="n">
        <f aca="false">Raw_Data!B1171</f>
        <v>44408</v>
      </c>
      <c r="C1171" s="14" t="n">
        <f aca="false">IF(Raw_Data!C1171="","",Raw_Data!C1171)</f>
        <v>45855</v>
      </c>
      <c r="D1171" s="13" t="n">
        <f aca="false">IF(Raw_Data!D1171="","",Raw_Data!D1171)</f>
        <v>35</v>
      </c>
      <c r="E1171" s="13" t="str">
        <f aca="false">IF(UPPER(LEFT(TRIM(Raw_Data!E1171),1))="M","Male",IF(UPPER(LEFT(TRIM(Raw_Data!E1171),1))="F","Female","Unknown"))</f>
        <v>Female</v>
      </c>
      <c r="F1171" s="13" t="str">
        <f aca="false">PROPER(TRIM(SUBSTITUTE(Raw_Data!F1171,"'","")))</f>
        <v>Bachelors</v>
      </c>
      <c r="G1171" s="13" t="str">
        <f aca="false">PROPER(TRIM(Raw_Data!G1171))</f>
        <v>Customer Support</v>
      </c>
      <c r="H1171" s="13" t="str">
        <f aca="false">PROPER(TRIM(Raw_Data!H1171))</f>
        <v>Team Lead</v>
      </c>
      <c r="I1171" s="13" t="n">
        <f aca="false">IF(Raw_Data!I1171="",DefaultPerf,Raw_Data!I1171)</f>
        <v>5</v>
      </c>
      <c r="J1171" s="13" t="n">
        <f aca="false">IF(Raw_Data!J1171="",DefaultSat,Raw_Data!J1171)</f>
        <v>3</v>
      </c>
      <c r="K1171" s="15" t="n">
        <f aca="false">Raw_Data!K1171</f>
        <v>149000</v>
      </c>
      <c r="L1171" s="13" t="str">
        <f aca="false">PROPER(TRIM(Raw_Data!N1171))</f>
        <v>No</v>
      </c>
      <c r="M1171" s="13" t="n">
        <f aca="false">IF(C1171="",0,1)</f>
        <v>1</v>
      </c>
      <c r="N1171" s="13" t="str">
        <f aca="false">IF(M1171=0,"Active",IF(TRIM(Raw_Data!L1171)="","Unknown",PROPER(TRIM(Raw_Data!L1171))))</f>
        <v>Voluntary</v>
      </c>
      <c r="O1171" s="13" t="str">
        <f aca="false">IF(M1171=0,"",IF(TRIM(Raw_Data!M1171)="","Not Recorded",TRIM(Raw_Data!M1171)))</f>
        <v>Better Compensation</v>
      </c>
      <c r="P1171" s="16" t="n">
        <f aca="false">ROUND((IF(C1171="",AsOfDate,C1171)-B1171)/365.25,2)</f>
        <v>3.96</v>
      </c>
      <c r="Q1171" s="13" t="str">
        <f aca="false">IF(D1171="","Unknown",IF(D1171&lt;25,"Under 25",IF(D1171&lt;35,"25-34",IF(D1171&lt;45,"35-44",IF(D1171&lt;55,"45-54","55+")))))</f>
        <v>35-44</v>
      </c>
      <c r="R1171" s="13" t="str">
        <f aca="false">IF(P1171&lt;1,"0-1 yrs",IF(P1171&lt;3,"1-3 yrs",IF(P1171&lt;5,"3-5 yrs",IF(P1171&lt;10,"5-10 yrs","10+ yrs"))))</f>
        <v>3-5 yrs</v>
      </c>
      <c r="S1171" s="13" t="str">
        <f aca="false">IF(I1171&gt;=4,"High",IF(I1171=3,"Medium","Low"))</f>
        <v>High</v>
      </c>
      <c r="T1171" s="13" t="n">
        <f aca="false">IF(M1171=1,YEAR(C1171),"")</f>
        <v>2025</v>
      </c>
      <c r="U1171" s="13" t="str">
        <f aca="false">IF(M1171=1,YEAR(C1171)&amp;"-Q"&amp;ROUNDUP(MONTH(C1171)/3,0),"")</f>
        <v>2025-Q3</v>
      </c>
      <c r="V1171" s="13" t="n">
        <f aca="false">IF(M1171=1,MONTH(C1171),"")</f>
        <v>7</v>
      </c>
    </row>
    <row r="1172" customFormat="false" ht="15" hidden="false" customHeight="false" outlineLevel="0" collapsed="false">
      <c r="A1172" s="13" t="str">
        <f aca="false">TRIM(Raw_Data!A1172)</f>
        <v>EMP1171</v>
      </c>
      <c r="B1172" s="14" t="n">
        <f aca="false">Raw_Data!B1172</f>
        <v>44412</v>
      </c>
      <c r="C1172" s="14" t="n">
        <f aca="false">IF(Raw_Data!C1172="","",Raw_Data!C1172)</f>
        <v>44994</v>
      </c>
      <c r="D1172" s="13" t="n">
        <f aca="false">IF(Raw_Data!D1172="","",Raw_Data!D1172)</f>
        <v>33</v>
      </c>
      <c r="E1172" s="13" t="str">
        <f aca="false">IF(UPPER(LEFT(TRIM(Raw_Data!E1172),1))="M","Male",IF(UPPER(LEFT(TRIM(Raw_Data!E1172),1))="F","Female","Unknown"))</f>
        <v>Female</v>
      </c>
      <c r="F1172" s="13" t="str">
        <f aca="false">PROPER(TRIM(SUBSTITUTE(Raw_Data!F1172,"'","")))</f>
        <v>Bachelors</v>
      </c>
      <c r="G1172" s="13" t="str">
        <f aca="false">PROPER(TRIM(Raw_Data!G1172))</f>
        <v>Engineering</v>
      </c>
      <c r="H1172" s="13" t="str">
        <f aca="false">PROPER(TRIM(Raw_Data!H1172))</f>
        <v>Analyst</v>
      </c>
      <c r="I1172" s="13" t="n">
        <f aca="false">IF(Raw_Data!I1172="",DefaultPerf,Raw_Data!I1172)</f>
        <v>5</v>
      </c>
      <c r="J1172" s="13" t="n">
        <f aca="false">IF(Raw_Data!J1172="",DefaultSat,Raw_Data!J1172)</f>
        <v>3</v>
      </c>
      <c r="K1172" s="15" t="n">
        <f aca="false">Raw_Data!K1172</f>
        <v>67500</v>
      </c>
      <c r="L1172" s="13" t="str">
        <f aca="false">PROPER(TRIM(Raw_Data!N1172))</f>
        <v>No</v>
      </c>
      <c r="M1172" s="13" t="n">
        <f aca="false">IF(C1172="",0,1)</f>
        <v>1</v>
      </c>
      <c r="N1172" s="13" t="str">
        <f aca="false">IF(M1172=0,"Active",IF(TRIM(Raw_Data!L1172)="","Unknown",PROPER(TRIM(Raw_Data!L1172))))</f>
        <v>Voluntary</v>
      </c>
      <c r="O1172" s="13" t="str">
        <f aca="false">IF(M1172=0,"",IF(TRIM(Raw_Data!M1172)="","Not Recorded",TRIM(Raw_Data!M1172)))</f>
        <v>Relocation</v>
      </c>
      <c r="P1172" s="16" t="n">
        <f aca="false">ROUND((IF(C1172="",AsOfDate,C1172)-B1172)/365.25,2)</f>
        <v>1.59</v>
      </c>
      <c r="Q1172" s="13" t="str">
        <f aca="false">IF(D1172="","Unknown",IF(D1172&lt;25,"Under 25",IF(D1172&lt;35,"25-34",IF(D1172&lt;45,"35-44",IF(D1172&lt;55,"45-54","55+")))))</f>
        <v>25-34</v>
      </c>
      <c r="R1172" s="13" t="str">
        <f aca="false">IF(P1172&lt;1,"0-1 yrs",IF(P1172&lt;3,"1-3 yrs",IF(P1172&lt;5,"3-5 yrs",IF(P1172&lt;10,"5-10 yrs","10+ yrs"))))</f>
        <v>1-3 yrs</v>
      </c>
      <c r="S1172" s="13" t="str">
        <f aca="false">IF(I1172&gt;=4,"High",IF(I1172=3,"Medium","Low"))</f>
        <v>High</v>
      </c>
      <c r="T1172" s="13" t="n">
        <f aca="false">IF(M1172=1,YEAR(C1172),"")</f>
        <v>2023</v>
      </c>
      <c r="U1172" s="13" t="str">
        <f aca="false">IF(M1172=1,YEAR(C1172)&amp;"-Q"&amp;ROUNDUP(MONTH(C1172)/3,0),"")</f>
        <v>2023-Q1</v>
      </c>
      <c r="V1172" s="13" t="n">
        <f aca="false">IF(M1172=1,MONTH(C1172),"")</f>
        <v>3</v>
      </c>
    </row>
    <row r="1173" customFormat="false" ht="15" hidden="false" customHeight="false" outlineLevel="0" collapsed="false">
      <c r="A1173" s="13" t="str">
        <f aca="false">TRIM(Raw_Data!A1173)</f>
        <v>EMP1172</v>
      </c>
      <c r="B1173" s="14" t="n">
        <f aca="false">Raw_Data!B1173</f>
        <v>44413</v>
      </c>
      <c r="C1173" s="14" t="n">
        <f aca="false">IF(Raw_Data!C1173="","",Raw_Data!C1173)</f>
        <v>45906</v>
      </c>
      <c r="D1173" s="13" t="n">
        <f aca="false">IF(Raw_Data!D1173="","",Raw_Data!D1173)</f>
        <v>34</v>
      </c>
      <c r="E1173" s="13" t="str">
        <f aca="false">IF(UPPER(LEFT(TRIM(Raw_Data!E1173),1))="M","Male",IF(UPPER(LEFT(TRIM(Raw_Data!E1173),1))="F","Female","Unknown"))</f>
        <v>Female</v>
      </c>
      <c r="F1173" s="13" t="str">
        <f aca="false">PROPER(TRIM(SUBSTITUTE(Raw_Data!F1173,"'","")))</f>
        <v>Diploma</v>
      </c>
      <c r="G1173" s="13" t="str">
        <f aca="false">PROPER(TRIM(Raw_Data!G1173))</f>
        <v>Engineering</v>
      </c>
      <c r="H1173" s="13" t="str">
        <f aca="false">PROPER(TRIM(Raw_Data!H1173))</f>
        <v>Team Lead</v>
      </c>
      <c r="I1173" s="13" t="n">
        <f aca="false">IF(Raw_Data!I1173="",DefaultPerf,Raw_Data!I1173)</f>
        <v>1</v>
      </c>
      <c r="J1173" s="13" t="n">
        <f aca="false">IF(Raw_Data!J1173="",DefaultSat,Raw_Data!J1173)</f>
        <v>3</v>
      </c>
      <c r="K1173" s="15" t="n">
        <f aca="false">Raw_Data!K1173</f>
        <v>141500</v>
      </c>
      <c r="L1173" s="13" t="str">
        <f aca="false">PROPER(TRIM(Raw_Data!N1173))</f>
        <v>No</v>
      </c>
      <c r="M1173" s="13" t="n">
        <f aca="false">IF(C1173="",0,1)</f>
        <v>1</v>
      </c>
      <c r="N1173" s="13" t="str">
        <f aca="false">IF(M1173=0,"Active",IF(TRIM(Raw_Data!L1173)="","Unknown",PROPER(TRIM(Raw_Data!L1173))))</f>
        <v>Involuntary</v>
      </c>
      <c r="O1173" s="13" t="str">
        <f aca="false">IF(M1173=0,"",IF(TRIM(Raw_Data!M1173)="","Not Recorded",TRIM(Raw_Data!M1173)))</f>
        <v>Restructuring / Layoff</v>
      </c>
      <c r="P1173" s="16" t="n">
        <f aca="false">ROUND((IF(C1173="",AsOfDate,C1173)-B1173)/365.25,2)</f>
        <v>4.09</v>
      </c>
      <c r="Q1173" s="13" t="str">
        <f aca="false">IF(D1173="","Unknown",IF(D1173&lt;25,"Under 25",IF(D1173&lt;35,"25-34",IF(D1173&lt;45,"35-44",IF(D1173&lt;55,"45-54","55+")))))</f>
        <v>25-34</v>
      </c>
      <c r="R1173" s="13" t="str">
        <f aca="false">IF(P1173&lt;1,"0-1 yrs",IF(P1173&lt;3,"1-3 yrs",IF(P1173&lt;5,"3-5 yrs",IF(P1173&lt;10,"5-10 yrs","10+ yrs"))))</f>
        <v>3-5 yrs</v>
      </c>
      <c r="S1173" s="13" t="str">
        <f aca="false">IF(I1173&gt;=4,"High",IF(I1173=3,"Medium","Low"))</f>
        <v>Low</v>
      </c>
      <c r="T1173" s="13" t="n">
        <f aca="false">IF(M1173=1,YEAR(C1173),"")</f>
        <v>2025</v>
      </c>
      <c r="U1173" s="13" t="str">
        <f aca="false">IF(M1173=1,YEAR(C1173)&amp;"-Q"&amp;ROUNDUP(MONTH(C1173)/3,0),"")</f>
        <v>2025-Q3</v>
      </c>
      <c r="V1173" s="13" t="n">
        <f aca="false">IF(M1173=1,MONTH(C1173),"")</f>
        <v>9</v>
      </c>
    </row>
    <row r="1174" customFormat="false" ht="15" hidden="false" customHeight="false" outlineLevel="0" collapsed="false">
      <c r="A1174" s="13" t="str">
        <f aca="false">TRIM(Raw_Data!A1174)</f>
        <v>EMP1173</v>
      </c>
      <c r="B1174" s="14" t="n">
        <f aca="false">Raw_Data!B1174</f>
        <v>44416</v>
      </c>
      <c r="C1174" s="14" t="n">
        <f aca="false">IF(Raw_Data!C1174="","",Raw_Data!C1174)</f>
        <v>44839</v>
      </c>
      <c r="D1174" s="13" t="n">
        <f aca="false">IF(Raw_Data!D1174="","",Raw_Data!D1174)</f>
        <v>34</v>
      </c>
      <c r="E1174" s="13" t="str">
        <f aca="false">IF(UPPER(LEFT(TRIM(Raw_Data!E1174),1))="M","Male",IF(UPPER(LEFT(TRIM(Raw_Data!E1174),1))="F","Female","Unknown"))</f>
        <v>Female</v>
      </c>
      <c r="F1174" s="13" t="str">
        <f aca="false">PROPER(TRIM(SUBSTITUTE(Raw_Data!F1174,"'","")))</f>
        <v>Masters</v>
      </c>
      <c r="G1174" s="13" t="str">
        <f aca="false">PROPER(TRIM(Raw_Data!G1174))</f>
        <v>Engineering</v>
      </c>
      <c r="H1174" s="13" t="str">
        <f aca="false">PROPER(TRIM(Raw_Data!H1174))</f>
        <v>Associate</v>
      </c>
      <c r="I1174" s="13" t="n">
        <f aca="false">IF(Raw_Data!I1174="",DefaultPerf,Raw_Data!I1174)</f>
        <v>3</v>
      </c>
      <c r="J1174" s="13" t="n">
        <f aca="false">IF(Raw_Data!J1174="",DefaultSat,Raw_Data!J1174)</f>
        <v>3</v>
      </c>
      <c r="K1174" s="15" t="n">
        <f aca="false">Raw_Data!K1174</f>
        <v>37500</v>
      </c>
      <c r="L1174" s="13" t="str">
        <f aca="false">PROPER(TRIM(Raw_Data!N1174))</f>
        <v>Yes</v>
      </c>
      <c r="M1174" s="13" t="n">
        <f aca="false">IF(C1174="",0,1)</f>
        <v>1</v>
      </c>
      <c r="N1174" s="13" t="str">
        <f aca="false">IF(M1174=0,"Active",IF(TRIM(Raw_Data!L1174)="","Unknown",PROPER(TRIM(Raw_Data!L1174))))</f>
        <v>Voluntary</v>
      </c>
      <c r="O1174" s="13" t="str">
        <f aca="false">IF(M1174=0,"",IF(TRIM(Raw_Data!M1174)="","Not Recorded",TRIM(Raw_Data!M1174)))</f>
        <v>Work-Life Balance</v>
      </c>
      <c r="P1174" s="16" t="n">
        <f aca="false">ROUND((IF(C1174="",AsOfDate,C1174)-B1174)/365.25,2)</f>
        <v>1.16</v>
      </c>
      <c r="Q1174" s="13" t="str">
        <f aca="false">IF(D1174="","Unknown",IF(D1174&lt;25,"Under 25",IF(D1174&lt;35,"25-34",IF(D1174&lt;45,"35-44",IF(D1174&lt;55,"45-54","55+")))))</f>
        <v>25-34</v>
      </c>
      <c r="R1174" s="13" t="str">
        <f aca="false">IF(P1174&lt;1,"0-1 yrs",IF(P1174&lt;3,"1-3 yrs",IF(P1174&lt;5,"3-5 yrs",IF(P1174&lt;10,"5-10 yrs","10+ yrs"))))</f>
        <v>1-3 yrs</v>
      </c>
      <c r="S1174" s="13" t="str">
        <f aca="false">IF(I1174&gt;=4,"High",IF(I1174=3,"Medium","Low"))</f>
        <v>Medium</v>
      </c>
      <c r="T1174" s="13" t="n">
        <f aca="false">IF(M1174=1,YEAR(C1174),"")</f>
        <v>2022</v>
      </c>
      <c r="U1174" s="13" t="str">
        <f aca="false">IF(M1174=1,YEAR(C1174)&amp;"-Q"&amp;ROUNDUP(MONTH(C1174)/3,0),"")</f>
        <v>2022-Q4</v>
      </c>
      <c r="V1174" s="13" t="n">
        <f aca="false">IF(M1174=1,MONTH(C1174),"")</f>
        <v>10</v>
      </c>
    </row>
    <row r="1175" customFormat="false" ht="15" hidden="false" customHeight="false" outlineLevel="0" collapsed="false">
      <c r="A1175" s="13" t="str">
        <f aca="false">TRIM(Raw_Data!A1175)</f>
        <v>EMP1174</v>
      </c>
      <c r="B1175" s="14" t="n">
        <f aca="false">Raw_Data!B1175</f>
        <v>44416</v>
      </c>
      <c r="C1175" s="14" t="n">
        <f aca="false">IF(Raw_Data!C1175="","",Raw_Data!C1175)</f>
        <v>45160</v>
      </c>
      <c r="D1175" s="13" t="n">
        <f aca="false">IF(Raw_Data!D1175="","",Raw_Data!D1175)</f>
        <v>29</v>
      </c>
      <c r="E1175" s="13" t="str">
        <f aca="false">IF(UPPER(LEFT(TRIM(Raw_Data!E1175),1))="M","Male",IF(UPPER(LEFT(TRIM(Raw_Data!E1175),1))="F","Female","Unknown"))</f>
        <v>Male</v>
      </c>
      <c r="F1175" s="13" t="str">
        <f aca="false">PROPER(TRIM(SUBSTITUTE(Raw_Data!F1175,"'","")))</f>
        <v>High School</v>
      </c>
      <c r="G1175" s="13" t="str">
        <f aca="false">PROPER(TRIM(Raw_Data!G1175))</f>
        <v>Customer Support</v>
      </c>
      <c r="H1175" s="13" t="str">
        <f aca="false">PROPER(TRIM(Raw_Data!H1175))</f>
        <v>Senior Analyst</v>
      </c>
      <c r="I1175" s="13" t="n">
        <f aca="false">IF(Raw_Data!I1175="",DefaultPerf,Raw_Data!I1175)</f>
        <v>4</v>
      </c>
      <c r="J1175" s="13" t="n">
        <f aca="false">IF(Raw_Data!J1175="",DefaultSat,Raw_Data!J1175)</f>
        <v>2</v>
      </c>
      <c r="K1175" s="15" t="n">
        <f aca="false">Raw_Data!K1175</f>
        <v>102000</v>
      </c>
      <c r="L1175" s="13" t="str">
        <f aca="false">PROPER(TRIM(Raw_Data!N1175))</f>
        <v>No</v>
      </c>
      <c r="M1175" s="13" t="n">
        <f aca="false">IF(C1175="",0,1)</f>
        <v>1</v>
      </c>
      <c r="N1175" s="13" t="str">
        <f aca="false">IF(M1175=0,"Active",IF(TRIM(Raw_Data!L1175)="","Unknown",PROPER(TRIM(Raw_Data!L1175))))</f>
        <v>Involuntary</v>
      </c>
      <c r="O1175" s="13" t="str">
        <f aca="false">IF(M1175=0,"",IF(TRIM(Raw_Data!M1175)="","Not Recorded",TRIM(Raw_Data!M1175)))</f>
        <v>Restructuring / Layoff</v>
      </c>
      <c r="P1175" s="16" t="n">
        <f aca="false">ROUND((IF(C1175="",AsOfDate,C1175)-B1175)/365.25,2)</f>
        <v>2.04</v>
      </c>
      <c r="Q1175" s="13" t="str">
        <f aca="false">IF(D1175="","Unknown",IF(D1175&lt;25,"Under 25",IF(D1175&lt;35,"25-34",IF(D1175&lt;45,"35-44",IF(D1175&lt;55,"45-54","55+")))))</f>
        <v>25-34</v>
      </c>
      <c r="R1175" s="13" t="str">
        <f aca="false">IF(P1175&lt;1,"0-1 yrs",IF(P1175&lt;3,"1-3 yrs",IF(P1175&lt;5,"3-5 yrs",IF(P1175&lt;10,"5-10 yrs","10+ yrs"))))</f>
        <v>1-3 yrs</v>
      </c>
      <c r="S1175" s="13" t="str">
        <f aca="false">IF(I1175&gt;=4,"High",IF(I1175=3,"Medium","Low"))</f>
        <v>High</v>
      </c>
      <c r="T1175" s="13" t="n">
        <f aca="false">IF(M1175=1,YEAR(C1175),"")</f>
        <v>2023</v>
      </c>
      <c r="U1175" s="13" t="str">
        <f aca="false">IF(M1175=1,YEAR(C1175)&amp;"-Q"&amp;ROUNDUP(MONTH(C1175)/3,0),"")</f>
        <v>2023-Q3</v>
      </c>
      <c r="V1175" s="13" t="n">
        <f aca="false">IF(M1175=1,MONTH(C1175),"")</f>
        <v>8</v>
      </c>
    </row>
    <row r="1176" customFormat="false" ht="15" hidden="false" customHeight="false" outlineLevel="0" collapsed="false">
      <c r="A1176" s="13" t="str">
        <f aca="false">TRIM(Raw_Data!A1176)</f>
        <v>EMP1175</v>
      </c>
      <c r="B1176" s="14" t="n">
        <f aca="false">Raw_Data!B1176</f>
        <v>44420</v>
      </c>
      <c r="C1176" s="14" t="str">
        <f aca="false">IF(Raw_Data!C1176="","",Raw_Data!C1176)</f>
        <v/>
      </c>
      <c r="D1176" s="13" t="n">
        <f aca="false">IF(Raw_Data!D1176="","",Raw_Data!D1176)</f>
        <v>36</v>
      </c>
      <c r="E1176" s="13" t="str">
        <f aca="false">IF(UPPER(LEFT(TRIM(Raw_Data!E1176),1))="M","Male",IF(UPPER(LEFT(TRIM(Raw_Data!E1176),1))="F","Female","Unknown"))</f>
        <v>Female</v>
      </c>
      <c r="F1176" s="13" t="str">
        <f aca="false">PROPER(TRIM(SUBSTITUTE(Raw_Data!F1176,"'","")))</f>
        <v>Diploma</v>
      </c>
      <c r="G1176" s="13" t="str">
        <f aca="false">PROPER(TRIM(Raw_Data!G1176))</f>
        <v>Sales</v>
      </c>
      <c r="H1176" s="13" t="str">
        <f aca="false">PROPER(TRIM(Raw_Data!H1176))</f>
        <v>Senior Analyst</v>
      </c>
      <c r="I1176" s="17" t="n">
        <f aca="false">IF(Raw_Data!I1176="",DefaultPerf,Raw_Data!I1176)</f>
        <v>3</v>
      </c>
      <c r="J1176" s="17" t="n">
        <f aca="false">IF(Raw_Data!J1176="",DefaultSat,Raw_Data!J1176)</f>
        <v>3</v>
      </c>
      <c r="K1176" s="15" t="n">
        <f aca="false">Raw_Data!K1176</f>
        <v>110000</v>
      </c>
      <c r="L1176" s="13" t="str">
        <f aca="false">PROPER(TRIM(Raw_Data!N1176))</f>
        <v>No</v>
      </c>
      <c r="M1176" s="13" t="n">
        <f aca="false">IF(C1176="",0,1)</f>
        <v>0</v>
      </c>
      <c r="N1176" s="13" t="str">
        <f aca="false">IF(M1176=0,"Active",IF(TRIM(Raw_Data!L1176)="","Unknown",PROPER(TRIM(Raw_Data!L1176))))</f>
        <v>Active</v>
      </c>
      <c r="O1176" s="13" t="str">
        <f aca="false">IF(M1176=0,"",IF(TRIM(Raw_Data!M1176)="","Not Recorded",TRIM(Raw_Data!M1176)))</f>
        <v/>
      </c>
      <c r="P1176" s="16" t="n">
        <f aca="false">ROUND((IF(C1176="",AsOfDate,C1176)-B1176)/365.25,2)</f>
        <v>4.39</v>
      </c>
      <c r="Q1176" s="13" t="str">
        <f aca="false">IF(D1176="","Unknown",IF(D1176&lt;25,"Under 25",IF(D1176&lt;35,"25-34",IF(D1176&lt;45,"35-44",IF(D1176&lt;55,"45-54","55+")))))</f>
        <v>35-44</v>
      </c>
      <c r="R1176" s="13" t="str">
        <f aca="false">IF(P1176&lt;1,"0-1 yrs",IF(P1176&lt;3,"1-3 yrs",IF(P1176&lt;5,"3-5 yrs",IF(P1176&lt;10,"5-10 yrs","10+ yrs"))))</f>
        <v>3-5 yrs</v>
      </c>
      <c r="S1176" s="13" t="str">
        <f aca="false">IF(I1176&gt;=4,"High",IF(I1176=3,"Medium","Low"))</f>
        <v>Medium</v>
      </c>
      <c r="T1176" s="13" t="str">
        <f aca="false">IF(M1176=1,YEAR(C1176),"")</f>
        <v/>
      </c>
      <c r="U1176" s="13" t="str">
        <f aca="false">IF(M1176=1,YEAR(C1176)&amp;"-Q"&amp;ROUNDUP(MONTH(C1176)/3,0),"")</f>
        <v/>
      </c>
      <c r="V1176" s="13" t="str">
        <f aca="false">IF(M1176=1,MONTH(C1176),"")</f>
        <v/>
      </c>
    </row>
    <row r="1177" customFormat="false" ht="15" hidden="false" customHeight="false" outlineLevel="0" collapsed="false">
      <c r="A1177" s="13" t="str">
        <f aca="false">TRIM(Raw_Data!A1177)</f>
        <v>EMP1176</v>
      </c>
      <c r="B1177" s="14" t="n">
        <f aca="false">Raw_Data!B1177</f>
        <v>44427</v>
      </c>
      <c r="C1177" s="14" t="str">
        <f aca="false">IF(Raw_Data!C1177="","",Raw_Data!C1177)</f>
        <v/>
      </c>
      <c r="D1177" s="13" t="n">
        <f aca="false">IF(Raw_Data!D1177="","",Raw_Data!D1177)</f>
        <v>32</v>
      </c>
      <c r="E1177" s="13" t="str">
        <f aca="false">IF(UPPER(LEFT(TRIM(Raw_Data!E1177),1))="M","Male",IF(UPPER(LEFT(TRIM(Raw_Data!E1177),1))="F","Female","Unknown"))</f>
        <v>Male</v>
      </c>
      <c r="F1177" s="13" t="str">
        <f aca="false">PROPER(TRIM(SUBSTITUTE(Raw_Data!F1177,"'","")))</f>
        <v>Masters</v>
      </c>
      <c r="G1177" s="13" t="str">
        <f aca="false">PROPER(TRIM(Raw_Data!G1177))</f>
        <v>Customer Support</v>
      </c>
      <c r="H1177" s="13" t="str">
        <f aca="false">PROPER(TRIM(Raw_Data!H1177))</f>
        <v>Team Lead</v>
      </c>
      <c r="I1177" s="13" t="n">
        <f aca="false">IF(Raw_Data!I1177="",DefaultPerf,Raw_Data!I1177)</f>
        <v>4</v>
      </c>
      <c r="J1177" s="13" t="n">
        <f aca="false">IF(Raw_Data!J1177="",DefaultSat,Raw_Data!J1177)</f>
        <v>4</v>
      </c>
      <c r="K1177" s="15" t="n">
        <f aca="false">Raw_Data!K1177</f>
        <v>143500</v>
      </c>
      <c r="L1177" s="13" t="str">
        <f aca="false">PROPER(TRIM(Raw_Data!N1177))</f>
        <v>No</v>
      </c>
      <c r="M1177" s="13" t="n">
        <f aca="false">IF(C1177="",0,1)</f>
        <v>0</v>
      </c>
      <c r="N1177" s="13" t="str">
        <f aca="false">IF(M1177=0,"Active",IF(TRIM(Raw_Data!L1177)="","Unknown",PROPER(TRIM(Raw_Data!L1177))))</f>
        <v>Active</v>
      </c>
      <c r="O1177" s="13" t="str">
        <f aca="false">IF(M1177=0,"",IF(TRIM(Raw_Data!M1177)="","Not Recorded",TRIM(Raw_Data!M1177)))</f>
        <v/>
      </c>
      <c r="P1177" s="16" t="n">
        <f aca="false">ROUND((IF(C1177="",AsOfDate,C1177)-B1177)/365.25,2)</f>
        <v>4.37</v>
      </c>
      <c r="Q1177" s="13" t="str">
        <f aca="false">IF(D1177="","Unknown",IF(D1177&lt;25,"Under 25",IF(D1177&lt;35,"25-34",IF(D1177&lt;45,"35-44",IF(D1177&lt;55,"45-54","55+")))))</f>
        <v>25-34</v>
      </c>
      <c r="R1177" s="13" t="str">
        <f aca="false">IF(P1177&lt;1,"0-1 yrs",IF(P1177&lt;3,"1-3 yrs",IF(P1177&lt;5,"3-5 yrs",IF(P1177&lt;10,"5-10 yrs","10+ yrs"))))</f>
        <v>3-5 yrs</v>
      </c>
      <c r="S1177" s="13" t="str">
        <f aca="false">IF(I1177&gt;=4,"High",IF(I1177=3,"Medium","Low"))</f>
        <v>High</v>
      </c>
      <c r="T1177" s="13" t="str">
        <f aca="false">IF(M1177=1,YEAR(C1177),"")</f>
        <v/>
      </c>
      <c r="U1177" s="13" t="str">
        <f aca="false">IF(M1177=1,YEAR(C1177)&amp;"-Q"&amp;ROUNDUP(MONTH(C1177)/3,0),"")</f>
        <v/>
      </c>
      <c r="V1177" s="13" t="str">
        <f aca="false">IF(M1177=1,MONTH(C1177),"")</f>
        <v/>
      </c>
    </row>
    <row r="1178" customFormat="false" ht="15" hidden="false" customHeight="false" outlineLevel="0" collapsed="false">
      <c r="A1178" s="13" t="str">
        <f aca="false">TRIM(Raw_Data!A1178)</f>
        <v>EMP1177</v>
      </c>
      <c r="B1178" s="14" t="n">
        <f aca="false">Raw_Data!B1178</f>
        <v>44428</v>
      </c>
      <c r="C1178" s="14" t="str">
        <f aca="false">IF(Raw_Data!C1178="","",Raw_Data!C1178)</f>
        <v/>
      </c>
      <c r="D1178" s="13" t="n">
        <f aca="false">IF(Raw_Data!D1178="","",Raw_Data!D1178)</f>
        <v>36</v>
      </c>
      <c r="E1178" s="13" t="str">
        <f aca="false">IF(UPPER(LEFT(TRIM(Raw_Data!E1178),1))="M","Male",IF(UPPER(LEFT(TRIM(Raw_Data!E1178),1))="F","Female","Unknown"))</f>
        <v>Male</v>
      </c>
      <c r="F1178" s="13" t="str">
        <f aca="false">PROPER(TRIM(SUBSTITUTE(Raw_Data!F1178,"'","")))</f>
        <v>Masters</v>
      </c>
      <c r="G1178" s="13" t="str">
        <f aca="false">PROPER(TRIM(Raw_Data!G1178))</f>
        <v>Engineering</v>
      </c>
      <c r="H1178" s="13" t="str">
        <f aca="false">PROPER(TRIM(Raw_Data!H1178))</f>
        <v>Analyst</v>
      </c>
      <c r="I1178" s="13" t="n">
        <f aca="false">IF(Raw_Data!I1178="",DefaultPerf,Raw_Data!I1178)</f>
        <v>5</v>
      </c>
      <c r="J1178" s="13" t="n">
        <f aca="false">IF(Raw_Data!J1178="",DefaultSat,Raw_Data!J1178)</f>
        <v>3</v>
      </c>
      <c r="K1178" s="15" t="n">
        <f aca="false">Raw_Data!K1178</f>
        <v>52000</v>
      </c>
      <c r="L1178" s="13" t="str">
        <f aca="false">PROPER(TRIM(Raw_Data!N1178))</f>
        <v>No</v>
      </c>
      <c r="M1178" s="13" t="n">
        <f aca="false">IF(C1178="",0,1)</f>
        <v>0</v>
      </c>
      <c r="N1178" s="13" t="str">
        <f aca="false">IF(M1178=0,"Active",IF(TRIM(Raw_Data!L1178)="","Unknown",PROPER(TRIM(Raw_Data!L1178))))</f>
        <v>Active</v>
      </c>
      <c r="O1178" s="13" t="str">
        <f aca="false">IF(M1178=0,"",IF(TRIM(Raw_Data!M1178)="","Not Recorded",TRIM(Raw_Data!M1178)))</f>
        <v/>
      </c>
      <c r="P1178" s="16" t="n">
        <f aca="false">ROUND((IF(C1178="",AsOfDate,C1178)-B1178)/365.25,2)</f>
        <v>4.36</v>
      </c>
      <c r="Q1178" s="13" t="str">
        <f aca="false">IF(D1178="","Unknown",IF(D1178&lt;25,"Under 25",IF(D1178&lt;35,"25-34",IF(D1178&lt;45,"35-44",IF(D1178&lt;55,"45-54","55+")))))</f>
        <v>35-44</v>
      </c>
      <c r="R1178" s="13" t="str">
        <f aca="false">IF(P1178&lt;1,"0-1 yrs",IF(P1178&lt;3,"1-3 yrs",IF(P1178&lt;5,"3-5 yrs",IF(P1178&lt;10,"5-10 yrs","10+ yrs"))))</f>
        <v>3-5 yrs</v>
      </c>
      <c r="S1178" s="13" t="str">
        <f aca="false">IF(I1178&gt;=4,"High",IF(I1178=3,"Medium","Low"))</f>
        <v>High</v>
      </c>
      <c r="T1178" s="13" t="str">
        <f aca="false">IF(M1178=1,YEAR(C1178),"")</f>
        <v/>
      </c>
      <c r="U1178" s="13" t="str">
        <f aca="false">IF(M1178=1,YEAR(C1178)&amp;"-Q"&amp;ROUNDUP(MONTH(C1178)/3,0),"")</f>
        <v/>
      </c>
      <c r="V1178" s="13" t="str">
        <f aca="false">IF(M1178=1,MONTH(C1178),"")</f>
        <v/>
      </c>
    </row>
    <row r="1179" customFormat="false" ht="15" hidden="false" customHeight="false" outlineLevel="0" collapsed="false">
      <c r="A1179" s="13" t="str">
        <f aca="false">TRIM(Raw_Data!A1179)</f>
        <v>EMP1178</v>
      </c>
      <c r="B1179" s="14" t="n">
        <f aca="false">Raw_Data!B1179</f>
        <v>44431</v>
      </c>
      <c r="C1179" s="14" t="str">
        <f aca="false">IF(Raw_Data!C1179="","",Raw_Data!C1179)</f>
        <v/>
      </c>
      <c r="D1179" s="13" t="n">
        <f aca="false">IF(Raw_Data!D1179="","",Raw_Data!D1179)</f>
        <v>25</v>
      </c>
      <c r="E1179" s="13" t="str">
        <f aca="false">IF(UPPER(LEFT(TRIM(Raw_Data!E1179),1))="M","Male",IF(UPPER(LEFT(TRIM(Raw_Data!E1179),1))="F","Female","Unknown"))</f>
        <v>Female</v>
      </c>
      <c r="F1179" s="13" t="str">
        <f aca="false">PROPER(TRIM(SUBSTITUTE(Raw_Data!F1179,"'","")))</f>
        <v>Bachelors</v>
      </c>
      <c r="G1179" s="13" t="str">
        <f aca="false">PROPER(TRIM(Raw_Data!G1179))</f>
        <v>Engineering</v>
      </c>
      <c r="H1179" s="13" t="str">
        <f aca="false">PROPER(TRIM(Raw_Data!H1179))</f>
        <v>Manager</v>
      </c>
      <c r="I1179" s="13" t="n">
        <f aca="false">IF(Raw_Data!I1179="",DefaultPerf,Raw_Data!I1179)</f>
        <v>4</v>
      </c>
      <c r="J1179" s="13" t="n">
        <f aca="false">IF(Raw_Data!J1179="",DefaultSat,Raw_Data!J1179)</f>
        <v>4</v>
      </c>
      <c r="K1179" s="15" t="n">
        <f aca="false">Raw_Data!K1179</f>
        <v>200000</v>
      </c>
      <c r="L1179" s="13" t="str">
        <f aca="false">PROPER(TRIM(Raw_Data!N1179))</f>
        <v>No</v>
      </c>
      <c r="M1179" s="13" t="n">
        <f aca="false">IF(C1179="",0,1)</f>
        <v>0</v>
      </c>
      <c r="N1179" s="13" t="str">
        <f aca="false">IF(M1179=0,"Active",IF(TRIM(Raw_Data!L1179)="","Unknown",PROPER(TRIM(Raw_Data!L1179))))</f>
        <v>Active</v>
      </c>
      <c r="O1179" s="13" t="str">
        <f aca="false">IF(M1179=0,"",IF(TRIM(Raw_Data!M1179)="","Not Recorded",TRIM(Raw_Data!M1179)))</f>
        <v/>
      </c>
      <c r="P1179" s="16" t="n">
        <f aca="false">ROUND((IF(C1179="",AsOfDate,C1179)-B1179)/365.25,2)</f>
        <v>4.36</v>
      </c>
      <c r="Q1179" s="13" t="str">
        <f aca="false">IF(D1179="","Unknown",IF(D1179&lt;25,"Under 25",IF(D1179&lt;35,"25-34",IF(D1179&lt;45,"35-44",IF(D1179&lt;55,"45-54","55+")))))</f>
        <v>25-34</v>
      </c>
      <c r="R1179" s="13" t="str">
        <f aca="false">IF(P1179&lt;1,"0-1 yrs",IF(P1179&lt;3,"1-3 yrs",IF(P1179&lt;5,"3-5 yrs",IF(P1179&lt;10,"5-10 yrs","10+ yrs"))))</f>
        <v>3-5 yrs</v>
      </c>
      <c r="S1179" s="13" t="str">
        <f aca="false">IF(I1179&gt;=4,"High",IF(I1179=3,"Medium","Low"))</f>
        <v>High</v>
      </c>
      <c r="T1179" s="13" t="str">
        <f aca="false">IF(M1179=1,YEAR(C1179),"")</f>
        <v/>
      </c>
      <c r="U1179" s="13" t="str">
        <f aca="false">IF(M1179=1,YEAR(C1179)&amp;"-Q"&amp;ROUNDUP(MONTH(C1179)/3,0),"")</f>
        <v/>
      </c>
      <c r="V1179" s="13" t="str">
        <f aca="false">IF(M1179=1,MONTH(C1179),"")</f>
        <v/>
      </c>
    </row>
    <row r="1180" customFormat="false" ht="15" hidden="false" customHeight="false" outlineLevel="0" collapsed="false">
      <c r="A1180" s="13" t="str">
        <f aca="false">TRIM(Raw_Data!A1180)</f>
        <v>EMP1179</v>
      </c>
      <c r="B1180" s="14" t="n">
        <f aca="false">Raw_Data!B1180</f>
        <v>44433</v>
      </c>
      <c r="C1180" s="14" t="n">
        <f aca="false">IF(Raw_Data!C1180="","",Raw_Data!C1180)</f>
        <v>44679</v>
      </c>
      <c r="D1180" s="13" t="n">
        <f aca="false">IF(Raw_Data!D1180="","",Raw_Data!D1180)</f>
        <v>32</v>
      </c>
      <c r="E1180" s="13" t="str">
        <f aca="false">IF(UPPER(LEFT(TRIM(Raw_Data!E1180),1))="M","Male",IF(UPPER(LEFT(TRIM(Raw_Data!E1180),1))="F","Female","Unknown"))</f>
        <v>Male</v>
      </c>
      <c r="F1180" s="13" t="str">
        <f aca="false">PROPER(TRIM(SUBSTITUTE(Raw_Data!F1180,"'","")))</f>
        <v>Diploma</v>
      </c>
      <c r="G1180" s="13" t="str">
        <f aca="false">PROPER(TRIM(Raw_Data!G1180))</f>
        <v>Engineering</v>
      </c>
      <c r="H1180" s="13" t="str">
        <f aca="false">PROPER(TRIM(Raw_Data!H1180))</f>
        <v>Specialist</v>
      </c>
      <c r="I1180" s="13" t="n">
        <f aca="false">IF(Raw_Data!I1180="",DefaultPerf,Raw_Data!I1180)</f>
        <v>4</v>
      </c>
      <c r="J1180" s="13" t="n">
        <f aca="false">IF(Raw_Data!J1180="",DefaultSat,Raw_Data!J1180)</f>
        <v>4</v>
      </c>
      <c r="K1180" s="15" t="n">
        <f aca="false">Raw_Data!K1180</f>
        <v>106000</v>
      </c>
      <c r="L1180" s="13" t="str">
        <f aca="false">PROPER(TRIM(Raw_Data!N1180))</f>
        <v>No</v>
      </c>
      <c r="M1180" s="13" t="n">
        <f aca="false">IF(C1180="",0,1)</f>
        <v>1</v>
      </c>
      <c r="N1180" s="13" t="str">
        <f aca="false">IF(M1180=0,"Active",IF(TRIM(Raw_Data!L1180)="","Unknown",PROPER(TRIM(Raw_Data!L1180))))</f>
        <v>Involuntary</v>
      </c>
      <c r="O1180" s="13" t="str">
        <f aca="false">IF(M1180=0,"",IF(TRIM(Raw_Data!M1180)="","Not Recorded",TRIM(Raw_Data!M1180)))</f>
        <v>Restructuring / Layoff</v>
      </c>
      <c r="P1180" s="16" t="n">
        <f aca="false">ROUND((IF(C1180="",AsOfDate,C1180)-B1180)/365.25,2)</f>
        <v>0.67</v>
      </c>
      <c r="Q1180" s="13" t="str">
        <f aca="false">IF(D1180="","Unknown",IF(D1180&lt;25,"Under 25",IF(D1180&lt;35,"25-34",IF(D1180&lt;45,"35-44",IF(D1180&lt;55,"45-54","55+")))))</f>
        <v>25-34</v>
      </c>
      <c r="R1180" s="13" t="str">
        <f aca="false">IF(P1180&lt;1,"0-1 yrs",IF(P1180&lt;3,"1-3 yrs",IF(P1180&lt;5,"3-5 yrs",IF(P1180&lt;10,"5-10 yrs","10+ yrs"))))</f>
        <v>0-1 yrs</v>
      </c>
      <c r="S1180" s="13" t="str">
        <f aca="false">IF(I1180&gt;=4,"High",IF(I1180=3,"Medium","Low"))</f>
        <v>High</v>
      </c>
      <c r="T1180" s="13" t="n">
        <f aca="false">IF(M1180=1,YEAR(C1180),"")</f>
        <v>2022</v>
      </c>
      <c r="U1180" s="13" t="str">
        <f aca="false">IF(M1180=1,YEAR(C1180)&amp;"-Q"&amp;ROUNDUP(MONTH(C1180)/3,0),"")</f>
        <v>2022-Q2</v>
      </c>
      <c r="V1180" s="13" t="n">
        <f aca="false">IF(M1180=1,MONTH(C1180),"")</f>
        <v>4</v>
      </c>
    </row>
    <row r="1181" customFormat="false" ht="15" hidden="false" customHeight="false" outlineLevel="0" collapsed="false">
      <c r="A1181" s="13" t="str">
        <f aca="false">TRIM(Raw_Data!A1181)</f>
        <v>EMP1180</v>
      </c>
      <c r="B1181" s="14" t="n">
        <f aca="false">Raw_Data!B1181</f>
        <v>44433</v>
      </c>
      <c r="C1181" s="14" t="str">
        <f aca="false">IF(Raw_Data!C1181="","",Raw_Data!C1181)</f>
        <v/>
      </c>
      <c r="D1181" s="13" t="n">
        <f aca="false">IF(Raw_Data!D1181="","",Raw_Data!D1181)</f>
        <v>30</v>
      </c>
      <c r="E1181" s="13" t="str">
        <f aca="false">IF(UPPER(LEFT(TRIM(Raw_Data!E1181),1))="M","Male",IF(UPPER(LEFT(TRIM(Raw_Data!E1181),1))="F","Female","Unknown"))</f>
        <v>Female</v>
      </c>
      <c r="F1181" s="13" t="str">
        <f aca="false">PROPER(TRIM(SUBSTITUTE(Raw_Data!F1181,"'","")))</f>
        <v>Bachelors</v>
      </c>
      <c r="G1181" s="13" t="str">
        <f aca="false">PROPER(TRIM(Raw_Data!G1181))</f>
        <v>Human Resources</v>
      </c>
      <c r="H1181" s="13" t="str">
        <f aca="false">PROPER(TRIM(Raw_Data!H1181))</f>
        <v>Manager</v>
      </c>
      <c r="I1181" s="13" t="n">
        <f aca="false">IF(Raw_Data!I1181="",DefaultPerf,Raw_Data!I1181)</f>
        <v>1</v>
      </c>
      <c r="J1181" s="13" t="n">
        <f aca="false">IF(Raw_Data!J1181="",DefaultSat,Raw_Data!J1181)</f>
        <v>3</v>
      </c>
      <c r="K1181" s="15" t="n">
        <f aca="false">Raw_Data!K1181</f>
        <v>218500</v>
      </c>
      <c r="L1181" s="13" t="str">
        <f aca="false">PROPER(TRIM(Raw_Data!N1181))</f>
        <v>Yes</v>
      </c>
      <c r="M1181" s="13" t="n">
        <f aca="false">IF(C1181="",0,1)</f>
        <v>0</v>
      </c>
      <c r="N1181" s="13" t="str">
        <f aca="false">IF(M1181=0,"Active",IF(TRIM(Raw_Data!L1181)="","Unknown",PROPER(TRIM(Raw_Data!L1181))))</f>
        <v>Active</v>
      </c>
      <c r="O1181" s="13" t="str">
        <f aca="false">IF(M1181=0,"",IF(TRIM(Raw_Data!M1181)="","Not Recorded",TRIM(Raw_Data!M1181)))</f>
        <v/>
      </c>
      <c r="P1181" s="16" t="n">
        <f aca="false">ROUND((IF(C1181="",AsOfDate,C1181)-B1181)/365.25,2)</f>
        <v>4.35</v>
      </c>
      <c r="Q1181" s="13" t="str">
        <f aca="false">IF(D1181="","Unknown",IF(D1181&lt;25,"Under 25",IF(D1181&lt;35,"25-34",IF(D1181&lt;45,"35-44",IF(D1181&lt;55,"45-54","55+")))))</f>
        <v>25-34</v>
      </c>
      <c r="R1181" s="13" t="str">
        <f aca="false">IF(P1181&lt;1,"0-1 yrs",IF(P1181&lt;3,"1-3 yrs",IF(P1181&lt;5,"3-5 yrs",IF(P1181&lt;10,"5-10 yrs","10+ yrs"))))</f>
        <v>3-5 yrs</v>
      </c>
      <c r="S1181" s="13" t="str">
        <f aca="false">IF(I1181&gt;=4,"High",IF(I1181=3,"Medium","Low"))</f>
        <v>Low</v>
      </c>
      <c r="T1181" s="13" t="str">
        <f aca="false">IF(M1181=1,YEAR(C1181),"")</f>
        <v/>
      </c>
      <c r="U1181" s="13" t="str">
        <f aca="false">IF(M1181=1,YEAR(C1181)&amp;"-Q"&amp;ROUNDUP(MONTH(C1181)/3,0),"")</f>
        <v/>
      </c>
      <c r="V1181" s="13" t="str">
        <f aca="false">IF(M1181=1,MONTH(C1181),"")</f>
        <v/>
      </c>
    </row>
    <row r="1182" customFormat="false" ht="15" hidden="false" customHeight="false" outlineLevel="0" collapsed="false">
      <c r="A1182" s="13" t="str">
        <f aca="false">TRIM(Raw_Data!A1182)</f>
        <v>EMP1181</v>
      </c>
      <c r="B1182" s="14" t="n">
        <f aca="false">Raw_Data!B1182</f>
        <v>44442</v>
      </c>
      <c r="C1182" s="14" t="n">
        <f aca="false">IF(Raw_Data!C1182="","",Raw_Data!C1182)</f>
        <v>45890</v>
      </c>
      <c r="D1182" s="13" t="n">
        <f aca="false">IF(Raw_Data!D1182="","",Raw_Data!D1182)</f>
        <v>36</v>
      </c>
      <c r="E1182" s="13" t="str">
        <f aca="false">IF(UPPER(LEFT(TRIM(Raw_Data!E1182),1))="M","Male",IF(UPPER(LEFT(TRIM(Raw_Data!E1182),1))="F","Female","Unknown"))</f>
        <v>Female</v>
      </c>
      <c r="F1182" s="13" t="str">
        <f aca="false">PROPER(TRIM(SUBSTITUTE(Raw_Data!F1182,"'","")))</f>
        <v>Bachelors</v>
      </c>
      <c r="G1182" s="13" t="str">
        <f aca="false">PROPER(TRIM(Raw_Data!G1182))</f>
        <v>Sales</v>
      </c>
      <c r="H1182" s="13" t="str">
        <f aca="false">PROPER(TRIM(Raw_Data!H1182))</f>
        <v>Associate</v>
      </c>
      <c r="I1182" s="13" t="n">
        <f aca="false">IF(Raw_Data!I1182="",DefaultPerf,Raw_Data!I1182)</f>
        <v>2</v>
      </c>
      <c r="J1182" s="13" t="n">
        <f aca="false">IF(Raw_Data!J1182="",DefaultSat,Raw_Data!J1182)</f>
        <v>2</v>
      </c>
      <c r="K1182" s="15" t="n">
        <f aca="false">Raw_Data!K1182</f>
        <v>37000</v>
      </c>
      <c r="L1182" s="13" t="str">
        <f aca="false">PROPER(TRIM(Raw_Data!N1182))</f>
        <v>No</v>
      </c>
      <c r="M1182" s="13" t="n">
        <f aca="false">IF(C1182="",0,1)</f>
        <v>1</v>
      </c>
      <c r="N1182" s="13" t="str">
        <f aca="false">IF(M1182=0,"Active",IF(TRIM(Raw_Data!L1182)="","Unknown",PROPER(TRIM(Raw_Data!L1182))))</f>
        <v>Involuntary</v>
      </c>
      <c r="O1182" s="13" t="str">
        <f aca="false">IF(M1182=0,"",IF(TRIM(Raw_Data!M1182)="","Not Recorded",TRIM(Raw_Data!M1182)))</f>
        <v>Poor Performance</v>
      </c>
      <c r="P1182" s="16" t="n">
        <f aca="false">ROUND((IF(C1182="",AsOfDate,C1182)-B1182)/365.25,2)</f>
        <v>3.96</v>
      </c>
      <c r="Q1182" s="13" t="str">
        <f aca="false">IF(D1182="","Unknown",IF(D1182&lt;25,"Under 25",IF(D1182&lt;35,"25-34",IF(D1182&lt;45,"35-44",IF(D1182&lt;55,"45-54","55+")))))</f>
        <v>35-44</v>
      </c>
      <c r="R1182" s="13" t="str">
        <f aca="false">IF(P1182&lt;1,"0-1 yrs",IF(P1182&lt;3,"1-3 yrs",IF(P1182&lt;5,"3-5 yrs",IF(P1182&lt;10,"5-10 yrs","10+ yrs"))))</f>
        <v>3-5 yrs</v>
      </c>
      <c r="S1182" s="13" t="str">
        <f aca="false">IF(I1182&gt;=4,"High",IF(I1182=3,"Medium","Low"))</f>
        <v>Low</v>
      </c>
      <c r="T1182" s="13" t="n">
        <f aca="false">IF(M1182=1,YEAR(C1182),"")</f>
        <v>2025</v>
      </c>
      <c r="U1182" s="13" t="str">
        <f aca="false">IF(M1182=1,YEAR(C1182)&amp;"-Q"&amp;ROUNDUP(MONTH(C1182)/3,0),"")</f>
        <v>2025-Q3</v>
      </c>
      <c r="V1182" s="13" t="n">
        <f aca="false">IF(M1182=1,MONTH(C1182),"")</f>
        <v>8</v>
      </c>
    </row>
    <row r="1183" customFormat="false" ht="15" hidden="false" customHeight="false" outlineLevel="0" collapsed="false">
      <c r="A1183" s="13" t="str">
        <f aca="false">TRIM(Raw_Data!A1183)</f>
        <v>EMP1182</v>
      </c>
      <c r="B1183" s="14" t="n">
        <f aca="false">Raw_Data!B1183</f>
        <v>44443</v>
      </c>
      <c r="C1183" s="14" t="str">
        <f aca="false">IF(Raw_Data!C1183="","",Raw_Data!C1183)</f>
        <v/>
      </c>
      <c r="D1183" s="13" t="n">
        <f aca="false">IF(Raw_Data!D1183="","",Raw_Data!D1183)</f>
        <v>25</v>
      </c>
      <c r="E1183" s="13" t="str">
        <f aca="false">IF(UPPER(LEFT(TRIM(Raw_Data!E1183),1))="M","Male",IF(UPPER(LEFT(TRIM(Raw_Data!E1183),1))="F","Female","Unknown"))</f>
        <v>Female</v>
      </c>
      <c r="F1183" s="13" t="str">
        <f aca="false">PROPER(TRIM(SUBSTITUTE(Raw_Data!F1183,"'","")))</f>
        <v>Bachelors</v>
      </c>
      <c r="G1183" s="13" t="str">
        <f aca="false">PROPER(TRIM(Raw_Data!G1183))</f>
        <v>Operations</v>
      </c>
      <c r="H1183" s="13" t="str">
        <f aca="false">PROPER(TRIM(Raw_Data!H1183))</f>
        <v>Senior Analyst</v>
      </c>
      <c r="I1183" s="13" t="n">
        <f aca="false">IF(Raw_Data!I1183="",DefaultPerf,Raw_Data!I1183)</f>
        <v>4</v>
      </c>
      <c r="J1183" s="13" t="n">
        <f aca="false">IF(Raw_Data!J1183="",DefaultSat,Raw_Data!J1183)</f>
        <v>4</v>
      </c>
      <c r="K1183" s="15" t="n">
        <f aca="false">Raw_Data!K1183</f>
        <v>84000</v>
      </c>
      <c r="L1183" s="13" t="str">
        <f aca="false">PROPER(TRIM(Raw_Data!N1183))</f>
        <v>No</v>
      </c>
      <c r="M1183" s="13" t="n">
        <f aca="false">IF(C1183="",0,1)</f>
        <v>0</v>
      </c>
      <c r="N1183" s="13" t="str">
        <f aca="false">IF(M1183=0,"Active",IF(TRIM(Raw_Data!L1183)="","Unknown",PROPER(TRIM(Raw_Data!L1183))))</f>
        <v>Active</v>
      </c>
      <c r="O1183" s="13" t="str">
        <f aca="false">IF(M1183=0,"",IF(TRIM(Raw_Data!M1183)="","Not Recorded",TRIM(Raw_Data!M1183)))</f>
        <v/>
      </c>
      <c r="P1183" s="16" t="n">
        <f aca="false">ROUND((IF(C1183="",AsOfDate,C1183)-B1183)/365.25,2)</f>
        <v>4.32</v>
      </c>
      <c r="Q1183" s="13" t="str">
        <f aca="false">IF(D1183="","Unknown",IF(D1183&lt;25,"Under 25",IF(D1183&lt;35,"25-34",IF(D1183&lt;45,"35-44",IF(D1183&lt;55,"45-54","55+")))))</f>
        <v>25-34</v>
      </c>
      <c r="R1183" s="13" t="str">
        <f aca="false">IF(P1183&lt;1,"0-1 yrs",IF(P1183&lt;3,"1-3 yrs",IF(P1183&lt;5,"3-5 yrs",IF(P1183&lt;10,"5-10 yrs","10+ yrs"))))</f>
        <v>3-5 yrs</v>
      </c>
      <c r="S1183" s="13" t="str">
        <f aca="false">IF(I1183&gt;=4,"High",IF(I1183=3,"Medium","Low"))</f>
        <v>High</v>
      </c>
      <c r="T1183" s="13" t="str">
        <f aca="false">IF(M1183=1,YEAR(C1183),"")</f>
        <v/>
      </c>
      <c r="U1183" s="13" t="str">
        <f aca="false">IF(M1183=1,YEAR(C1183)&amp;"-Q"&amp;ROUNDUP(MONTH(C1183)/3,0),"")</f>
        <v/>
      </c>
      <c r="V1183" s="13" t="str">
        <f aca="false">IF(M1183=1,MONTH(C1183),"")</f>
        <v/>
      </c>
    </row>
    <row r="1184" customFormat="false" ht="15" hidden="false" customHeight="false" outlineLevel="0" collapsed="false">
      <c r="A1184" s="13" t="str">
        <f aca="false">TRIM(Raw_Data!A1184)</f>
        <v>EMP1183</v>
      </c>
      <c r="B1184" s="14" t="n">
        <f aca="false">Raw_Data!B1184</f>
        <v>44444</v>
      </c>
      <c r="C1184" s="14" t="str">
        <f aca="false">IF(Raw_Data!C1184="","",Raw_Data!C1184)</f>
        <v/>
      </c>
      <c r="D1184" s="13" t="n">
        <f aca="false">IF(Raw_Data!D1184="","",Raw_Data!D1184)</f>
        <v>35</v>
      </c>
      <c r="E1184" s="13" t="str">
        <f aca="false">IF(UPPER(LEFT(TRIM(Raw_Data!E1184),1))="M","Male",IF(UPPER(LEFT(TRIM(Raw_Data!E1184),1))="F","Female","Unknown"))</f>
        <v>Female</v>
      </c>
      <c r="F1184" s="13" t="str">
        <f aca="false">PROPER(TRIM(SUBSTITUTE(Raw_Data!F1184,"'","")))</f>
        <v>Diploma</v>
      </c>
      <c r="G1184" s="13" t="str">
        <f aca="false">PROPER(TRIM(Raw_Data!G1184))</f>
        <v>Sales</v>
      </c>
      <c r="H1184" s="13" t="str">
        <f aca="false">PROPER(TRIM(Raw_Data!H1184))</f>
        <v>Analyst</v>
      </c>
      <c r="I1184" s="13" t="n">
        <f aca="false">IF(Raw_Data!I1184="",DefaultPerf,Raw_Data!I1184)</f>
        <v>3</v>
      </c>
      <c r="J1184" s="13" t="n">
        <f aca="false">IF(Raw_Data!J1184="",DefaultSat,Raw_Data!J1184)</f>
        <v>2</v>
      </c>
      <c r="K1184" s="15" t="n">
        <f aca="false">Raw_Data!K1184</f>
        <v>60500</v>
      </c>
      <c r="L1184" s="13" t="str">
        <f aca="false">PROPER(TRIM(Raw_Data!N1184))</f>
        <v>No</v>
      </c>
      <c r="M1184" s="13" t="n">
        <f aca="false">IF(C1184="",0,1)</f>
        <v>0</v>
      </c>
      <c r="N1184" s="13" t="str">
        <f aca="false">IF(M1184=0,"Active",IF(TRIM(Raw_Data!L1184)="","Unknown",PROPER(TRIM(Raw_Data!L1184))))</f>
        <v>Active</v>
      </c>
      <c r="O1184" s="13" t="str">
        <f aca="false">IF(M1184=0,"",IF(TRIM(Raw_Data!M1184)="","Not Recorded",TRIM(Raw_Data!M1184)))</f>
        <v/>
      </c>
      <c r="P1184" s="16" t="n">
        <f aca="false">ROUND((IF(C1184="",AsOfDate,C1184)-B1184)/365.25,2)</f>
        <v>4.32</v>
      </c>
      <c r="Q1184" s="13" t="str">
        <f aca="false">IF(D1184="","Unknown",IF(D1184&lt;25,"Under 25",IF(D1184&lt;35,"25-34",IF(D1184&lt;45,"35-44",IF(D1184&lt;55,"45-54","55+")))))</f>
        <v>35-44</v>
      </c>
      <c r="R1184" s="13" t="str">
        <f aca="false">IF(P1184&lt;1,"0-1 yrs",IF(P1184&lt;3,"1-3 yrs",IF(P1184&lt;5,"3-5 yrs",IF(P1184&lt;10,"5-10 yrs","10+ yrs"))))</f>
        <v>3-5 yrs</v>
      </c>
      <c r="S1184" s="13" t="str">
        <f aca="false">IF(I1184&gt;=4,"High",IF(I1184=3,"Medium","Low"))</f>
        <v>Medium</v>
      </c>
      <c r="T1184" s="13" t="str">
        <f aca="false">IF(M1184=1,YEAR(C1184),"")</f>
        <v/>
      </c>
      <c r="U1184" s="13" t="str">
        <f aca="false">IF(M1184=1,YEAR(C1184)&amp;"-Q"&amp;ROUNDUP(MONTH(C1184)/3,0),"")</f>
        <v/>
      </c>
      <c r="V1184" s="13" t="str">
        <f aca="false">IF(M1184=1,MONTH(C1184),"")</f>
        <v/>
      </c>
    </row>
    <row r="1185" customFormat="false" ht="15" hidden="false" customHeight="false" outlineLevel="0" collapsed="false">
      <c r="A1185" s="13" t="str">
        <f aca="false">TRIM(Raw_Data!A1185)</f>
        <v>EMP1184</v>
      </c>
      <c r="B1185" s="14" t="n">
        <f aca="false">Raw_Data!B1185</f>
        <v>44445</v>
      </c>
      <c r="C1185" s="14" t="str">
        <f aca="false">IF(Raw_Data!C1185="","",Raw_Data!C1185)</f>
        <v/>
      </c>
      <c r="D1185" s="13" t="n">
        <f aca="false">IF(Raw_Data!D1185="","",Raw_Data!D1185)</f>
        <v>29</v>
      </c>
      <c r="E1185" s="13" t="str">
        <f aca="false">IF(UPPER(LEFT(TRIM(Raw_Data!E1185),1))="M","Male",IF(UPPER(LEFT(TRIM(Raw_Data!E1185),1))="F","Female","Unknown"))</f>
        <v>Female</v>
      </c>
      <c r="F1185" s="13" t="str">
        <f aca="false">PROPER(TRIM(SUBSTITUTE(Raw_Data!F1185,"'","")))</f>
        <v>Masters</v>
      </c>
      <c r="G1185" s="13" t="str">
        <f aca="false">PROPER(TRIM(Raw_Data!G1185))</f>
        <v>Customer Support</v>
      </c>
      <c r="H1185" s="13" t="str">
        <f aca="false">PROPER(TRIM(Raw_Data!H1185))</f>
        <v>Manager</v>
      </c>
      <c r="I1185" s="13" t="n">
        <f aca="false">IF(Raw_Data!I1185="",DefaultPerf,Raw_Data!I1185)</f>
        <v>4</v>
      </c>
      <c r="J1185" s="13" t="n">
        <f aca="false">IF(Raw_Data!J1185="",DefaultSat,Raw_Data!J1185)</f>
        <v>1</v>
      </c>
      <c r="K1185" s="15" t="n">
        <f aca="false">Raw_Data!K1185</f>
        <v>223500</v>
      </c>
      <c r="L1185" s="13" t="str">
        <f aca="false">PROPER(TRIM(Raw_Data!N1185))</f>
        <v>Yes</v>
      </c>
      <c r="M1185" s="13" t="n">
        <f aca="false">IF(C1185="",0,1)</f>
        <v>0</v>
      </c>
      <c r="N1185" s="13" t="str">
        <f aca="false">IF(M1185=0,"Active",IF(TRIM(Raw_Data!L1185)="","Unknown",PROPER(TRIM(Raw_Data!L1185))))</f>
        <v>Active</v>
      </c>
      <c r="O1185" s="13" t="str">
        <f aca="false">IF(M1185=0,"",IF(TRIM(Raw_Data!M1185)="","Not Recorded",TRIM(Raw_Data!M1185)))</f>
        <v/>
      </c>
      <c r="P1185" s="16" t="n">
        <f aca="false">ROUND((IF(C1185="",AsOfDate,C1185)-B1185)/365.25,2)</f>
        <v>4.32</v>
      </c>
      <c r="Q1185" s="13" t="str">
        <f aca="false">IF(D1185="","Unknown",IF(D1185&lt;25,"Under 25",IF(D1185&lt;35,"25-34",IF(D1185&lt;45,"35-44",IF(D1185&lt;55,"45-54","55+")))))</f>
        <v>25-34</v>
      </c>
      <c r="R1185" s="13" t="str">
        <f aca="false">IF(P1185&lt;1,"0-1 yrs",IF(P1185&lt;3,"1-3 yrs",IF(P1185&lt;5,"3-5 yrs",IF(P1185&lt;10,"5-10 yrs","10+ yrs"))))</f>
        <v>3-5 yrs</v>
      </c>
      <c r="S1185" s="13" t="str">
        <f aca="false">IF(I1185&gt;=4,"High",IF(I1185=3,"Medium","Low"))</f>
        <v>High</v>
      </c>
      <c r="T1185" s="13" t="str">
        <f aca="false">IF(M1185=1,YEAR(C1185),"")</f>
        <v/>
      </c>
      <c r="U1185" s="13" t="str">
        <f aca="false">IF(M1185=1,YEAR(C1185)&amp;"-Q"&amp;ROUNDUP(MONTH(C1185)/3,0),"")</f>
        <v/>
      </c>
      <c r="V1185" s="13" t="str">
        <f aca="false">IF(M1185=1,MONTH(C1185),"")</f>
        <v/>
      </c>
    </row>
    <row r="1186" customFormat="false" ht="15" hidden="false" customHeight="false" outlineLevel="0" collapsed="false">
      <c r="A1186" s="13" t="str">
        <f aca="false">TRIM(Raw_Data!A1186)</f>
        <v>EMP1185</v>
      </c>
      <c r="B1186" s="14" t="n">
        <f aca="false">Raw_Data!B1186</f>
        <v>44452</v>
      </c>
      <c r="C1186" s="14" t="n">
        <f aca="false">IF(Raw_Data!C1186="","",Raw_Data!C1186)</f>
        <v>45723</v>
      </c>
      <c r="D1186" s="13" t="n">
        <f aca="false">IF(Raw_Data!D1186="","",Raw_Data!D1186)</f>
        <v>32</v>
      </c>
      <c r="E1186" s="13" t="str">
        <f aca="false">IF(UPPER(LEFT(TRIM(Raw_Data!E1186),1))="M","Male",IF(UPPER(LEFT(TRIM(Raw_Data!E1186),1))="F","Female","Unknown"))</f>
        <v>Male</v>
      </c>
      <c r="F1186" s="13" t="str">
        <f aca="false">PROPER(TRIM(SUBSTITUTE(Raw_Data!F1186,"'","")))</f>
        <v>Masters</v>
      </c>
      <c r="G1186" s="13" t="str">
        <f aca="false">PROPER(TRIM(Raw_Data!G1186))</f>
        <v>Sales</v>
      </c>
      <c r="H1186" s="13" t="str">
        <f aca="false">PROPER(TRIM(Raw_Data!H1186))</f>
        <v>Specialist</v>
      </c>
      <c r="I1186" s="13" t="n">
        <f aca="false">IF(Raw_Data!I1186="",DefaultPerf,Raw_Data!I1186)</f>
        <v>3</v>
      </c>
      <c r="J1186" s="13" t="n">
        <f aca="false">IF(Raw_Data!J1186="",DefaultSat,Raw_Data!J1186)</f>
        <v>2</v>
      </c>
      <c r="K1186" s="15" t="n">
        <f aca="false">Raw_Data!K1186</f>
        <v>117000</v>
      </c>
      <c r="L1186" s="13" t="str">
        <f aca="false">PROPER(TRIM(Raw_Data!N1186))</f>
        <v>Yes</v>
      </c>
      <c r="M1186" s="13" t="n">
        <f aca="false">IF(C1186="",0,1)</f>
        <v>1</v>
      </c>
      <c r="N1186" s="13" t="str">
        <f aca="false">IF(M1186=0,"Active",IF(TRIM(Raw_Data!L1186)="","Unknown",PROPER(TRIM(Raw_Data!L1186))))</f>
        <v>Involuntary</v>
      </c>
      <c r="O1186" s="13" t="str">
        <f aca="false">IF(M1186=0,"",IF(TRIM(Raw_Data!M1186)="","Not Recorded",TRIM(Raw_Data!M1186)))</f>
        <v>Poor Performance</v>
      </c>
      <c r="P1186" s="16" t="n">
        <f aca="false">ROUND((IF(C1186="",AsOfDate,C1186)-B1186)/365.25,2)</f>
        <v>3.48</v>
      </c>
      <c r="Q1186" s="13" t="str">
        <f aca="false">IF(D1186="","Unknown",IF(D1186&lt;25,"Under 25",IF(D1186&lt;35,"25-34",IF(D1186&lt;45,"35-44",IF(D1186&lt;55,"45-54","55+")))))</f>
        <v>25-34</v>
      </c>
      <c r="R1186" s="13" t="str">
        <f aca="false">IF(P1186&lt;1,"0-1 yrs",IF(P1186&lt;3,"1-3 yrs",IF(P1186&lt;5,"3-5 yrs",IF(P1186&lt;10,"5-10 yrs","10+ yrs"))))</f>
        <v>3-5 yrs</v>
      </c>
      <c r="S1186" s="13" t="str">
        <f aca="false">IF(I1186&gt;=4,"High",IF(I1186=3,"Medium","Low"))</f>
        <v>Medium</v>
      </c>
      <c r="T1186" s="13" t="n">
        <f aca="false">IF(M1186=1,YEAR(C1186),"")</f>
        <v>2025</v>
      </c>
      <c r="U1186" s="13" t="str">
        <f aca="false">IF(M1186=1,YEAR(C1186)&amp;"-Q"&amp;ROUNDUP(MONTH(C1186)/3,0),"")</f>
        <v>2025-Q1</v>
      </c>
      <c r="V1186" s="13" t="n">
        <f aca="false">IF(M1186=1,MONTH(C1186),"")</f>
        <v>3</v>
      </c>
    </row>
    <row r="1187" customFormat="false" ht="15" hidden="false" customHeight="false" outlineLevel="0" collapsed="false">
      <c r="A1187" s="13" t="str">
        <f aca="false">TRIM(Raw_Data!A1187)</f>
        <v>EMP1186</v>
      </c>
      <c r="B1187" s="14" t="n">
        <f aca="false">Raw_Data!B1187</f>
        <v>44460</v>
      </c>
      <c r="C1187" s="14" t="n">
        <f aca="false">IF(Raw_Data!C1187="","",Raw_Data!C1187)</f>
        <v>44814</v>
      </c>
      <c r="D1187" s="13" t="n">
        <f aca="false">IF(Raw_Data!D1187="","",Raw_Data!D1187)</f>
        <v>27</v>
      </c>
      <c r="E1187" s="13" t="str">
        <f aca="false">IF(UPPER(LEFT(TRIM(Raw_Data!E1187),1))="M","Male",IF(UPPER(LEFT(TRIM(Raw_Data!E1187),1))="F","Female","Unknown"))</f>
        <v>Female</v>
      </c>
      <c r="F1187" s="13" t="str">
        <f aca="false">PROPER(TRIM(SUBSTITUTE(Raw_Data!F1187,"'","")))</f>
        <v>Doctorate</v>
      </c>
      <c r="G1187" s="13" t="str">
        <f aca="false">PROPER(TRIM(Raw_Data!G1187))</f>
        <v>Finance</v>
      </c>
      <c r="H1187" s="13" t="str">
        <f aca="false">PROPER(TRIM(Raw_Data!H1187))</f>
        <v>Associate</v>
      </c>
      <c r="I1187" s="13" t="n">
        <f aca="false">IF(Raw_Data!I1187="",DefaultPerf,Raw_Data!I1187)</f>
        <v>2</v>
      </c>
      <c r="J1187" s="13" t="n">
        <f aca="false">IF(Raw_Data!J1187="",DefaultSat,Raw_Data!J1187)</f>
        <v>4</v>
      </c>
      <c r="K1187" s="15" t="n">
        <f aca="false">Raw_Data!K1187</f>
        <v>41500</v>
      </c>
      <c r="L1187" s="13" t="str">
        <f aca="false">PROPER(TRIM(Raw_Data!N1187))</f>
        <v>Yes</v>
      </c>
      <c r="M1187" s="13" t="n">
        <f aca="false">IF(C1187="",0,1)</f>
        <v>1</v>
      </c>
      <c r="N1187" s="13" t="str">
        <f aca="false">IF(M1187=0,"Active",IF(TRIM(Raw_Data!L1187)="","Unknown",PROPER(TRIM(Raw_Data!L1187))))</f>
        <v>Involuntary</v>
      </c>
      <c r="O1187" s="13" t="str">
        <f aca="false">IF(M1187=0,"",IF(TRIM(Raw_Data!M1187)="","Not Recorded",TRIM(Raw_Data!M1187)))</f>
        <v>Poor Performance</v>
      </c>
      <c r="P1187" s="16" t="n">
        <f aca="false">ROUND((IF(C1187="",AsOfDate,C1187)-B1187)/365.25,2)</f>
        <v>0.97</v>
      </c>
      <c r="Q1187" s="13" t="str">
        <f aca="false">IF(D1187="","Unknown",IF(D1187&lt;25,"Under 25",IF(D1187&lt;35,"25-34",IF(D1187&lt;45,"35-44",IF(D1187&lt;55,"45-54","55+")))))</f>
        <v>25-34</v>
      </c>
      <c r="R1187" s="13" t="str">
        <f aca="false">IF(P1187&lt;1,"0-1 yrs",IF(P1187&lt;3,"1-3 yrs",IF(P1187&lt;5,"3-5 yrs",IF(P1187&lt;10,"5-10 yrs","10+ yrs"))))</f>
        <v>0-1 yrs</v>
      </c>
      <c r="S1187" s="13" t="str">
        <f aca="false">IF(I1187&gt;=4,"High",IF(I1187=3,"Medium","Low"))</f>
        <v>Low</v>
      </c>
      <c r="T1187" s="13" t="n">
        <f aca="false">IF(M1187=1,YEAR(C1187),"")</f>
        <v>2022</v>
      </c>
      <c r="U1187" s="13" t="str">
        <f aca="false">IF(M1187=1,YEAR(C1187)&amp;"-Q"&amp;ROUNDUP(MONTH(C1187)/3,0),"")</f>
        <v>2022-Q3</v>
      </c>
      <c r="V1187" s="13" t="n">
        <f aca="false">IF(M1187=1,MONTH(C1187),"")</f>
        <v>9</v>
      </c>
    </row>
    <row r="1188" customFormat="false" ht="15" hidden="false" customHeight="false" outlineLevel="0" collapsed="false">
      <c r="A1188" s="13" t="str">
        <f aca="false">TRIM(Raw_Data!A1188)</f>
        <v>EMP1187</v>
      </c>
      <c r="B1188" s="14" t="n">
        <f aca="false">Raw_Data!B1188</f>
        <v>44461</v>
      </c>
      <c r="C1188" s="14" t="n">
        <f aca="false">IF(Raw_Data!C1188="","",Raw_Data!C1188)</f>
        <v>45020</v>
      </c>
      <c r="D1188" s="13" t="n">
        <f aca="false">IF(Raw_Data!D1188="","",Raw_Data!D1188)</f>
        <v>23</v>
      </c>
      <c r="E1188" s="13" t="str">
        <f aca="false">IF(UPPER(LEFT(TRIM(Raw_Data!E1188),1))="M","Male",IF(UPPER(LEFT(TRIM(Raw_Data!E1188),1))="F","Female","Unknown"))</f>
        <v>Male</v>
      </c>
      <c r="F1188" s="13" t="str">
        <f aca="false">PROPER(TRIM(SUBSTITUTE(Raw_Data!F1188,"'","")))</f>
        <v>Bachelors</v>
      </c>
      <c r="G1188" s="13" t="str">
        <f aca="false">PROPER(TRIM(Raw_Data!G1188))</f>
        <v>Operations</v>
      </c>
      <c r="H1188" s="13" t="str">
        <f aca="false">PROPER(TRIM(Raw_Data!H1188))</f>
        <v>Team Lead</v>
      </c>
      <c r="I1188" s="13" t="n">
        <f aca="false">IF(Raw_Data!I1188="",DefaultPerf,Raw_Data!I1188)</f>
        <v>2</v>
      </c>
      <c r="J1188" s="13" t="n">
        <f aca="false">IF(Raw_Data!J1188="",DefaultSat,Raw_Data!J1188)</f>
        <v>2</v>
      </c>
      <c r="K1188" s="15" t="n">
        <f aca="false">Raw_Data!K1188</f>
        <v>170000</v>
      </c>
      <c r="L1188" s="13" t="str">
        <f aca="false">PROPER(TRIM(Raw_Data!N1188))</f>
        <v>No</v>
      </c>
      <c r="M1188" s="13" t="n">
        <f aca="false">IF(C1188="",0,1)</f>
        <v>1</v>
      </c>
      <c r="N1188" s="13" t="str">
        <f aca="false">IF(M1188=0,"Active",IF(TRIM(Raw_Data!L1188)="","Unknown",PROPER(TRIM(Raw_Data!L1188))))</f>
        <v>Voluntary</v>
      </c>
      <c r="O1188" s="13" t="str">
        <f aca="false">IF(M1188=0,"",IF(TRIM(Raw_Data!M1188)="","Not Recorded",TRIM(Raw_Data!M1188)))</f>
        <v>Job Dissatisfaction</v>
      </c>
      <c r="P1188" s="16" t="n">
        <f aca="false">ROUND((IF(C1188="",AsOfDate,C1188)-B1188)/365.25,2)</f>
        <v>1.53</v>
      </c>
      <c r="Q1188" s="13" t="str">
        <f aca="false">IF(D1188="","Unknown",IF(D1188&lt;25,"Under 25",IF(D1188&lt;35,"25-34",IF(D1188&lt;45,"35-44",IF(D1188&lt;55,"45-54","55+")))))</f>
        <v>Under 25</v>
      </c>
      <c r="R1188" s="13" t="str">
        <f aca="false">IF(P1188&lt;1,"0-1 yrs",IF(P1188&lt;3,"1-3 yrs",IF(P1188&lt;5,"3-5 yrs",IF(P1188&lt;10,"5-10 yrs","10+ yrs"))))</f>
        <v>1-3 yrs</v>
      </c>
      <c r="S1188" s="13" t="str">
        <f aca="false">IF(I1188&gt;=4,"High",IF(I1188=3,"Medium","Low"))</f>
        <v>Low</v>
      </c>
      <c r="T1188" s="13" t="n">
        <f aca="false">IF(M1188=1,YEAR(C1188),"")</f>
        <v>2023</v>
      </c>
      <c r="U1188" s="13" t="str">
        <f aca="false">IF(M1188=1,YEAR(C1188)&amp;"-Q"&amp;ROUNDUP(MONTH(C1188)/3,0),"")</f>
        <v>2023-Q2</v>
      </c>
      <c r="V1188" s="13" t="n">
        <f aca="false">IF(M1188=1,MONTH(C1188),"")</f>
        <v>4</v>
      </c>
    </row>
    <row r="1189" customFormat="false" ht="15" hidden="false" customHeight="false" outlineLevel="0" collapsed="false">
      <c r="A1189" s="13" t="str">
        <f aca="false">TRIM(Raw_Data!A1189)</f>
        <v>EMP1188</v>
      </c>
      <c r="B1189" s="14" t="n">
        <f aca="false">Raw_Data!B1189</f>
        <v>44463</v>
      </c>
      <c r="C1189" s="14" t="n">
        <f aca="false">IF(Raw_Data!C1189="","",Raw_Data!C1189)</f>
        <v>45252</v>
      </c>
      <c r="D1189" s="13" t="n">
        <f aca="false">IF(Raw_Data!D1189="","",Raw_Data!D1189)</f>
        <v>38</v>
      </c>
      <c r="E1189" s="13" t="str">
        <f aca="false">IF(UPPER(LEFT(TRIM(Raw_Data!E1189),1))="M","Male",IF(UPPER(LEFT(TRIM(Raw_Data!E1189),1))="F","Female","Unknown"))</f>
        <v>Female</v>
      </c>
      <c r="F1189" s="13" t="str">
        <f aca="false">PROPER(TRIM(SUBSTITUTE(Raw_Data!F1189,"'","")))</f>
        <v>Bachelors</v>
      </c>
      <c r="G1189" s="13" t="str">
        <f aca="false">PROPER(TRIM(Raw_Data!G1189))</f>
        <v>Engineering</v>
      </c>
      <c r="H1189" s="13" t="str">
        <f aca="false">PROPER(TRIM(Raw_Data!H1189))</f>
        <v>Analyst</v>
      </c>
      <c r="I1189" s="13" t="n">
        <f aca="false">IF(Raw_Data!I1189="",DefaultPerf,Raw_Data!I1189)</f>
        <v>3</v>
      </c>
      <c r="J1189" s="13" t="n">
        <f aca="false">IF(Raw_Data!J1189="",DefaultSat,Raw_Data!J1189)</f>
        <v>2</v>
      </c>
      <c r="K1189" s="15" t="n">
        <f aca="false">Raw_Data!K1189</f>
        <v>57000</v>
      </c>
      <c r="L1189" s="13" t="str">
        <f aca="false">PROPER(TRIM(Raw_Data!N1189))</f>
        <v>No</v>
      </c>
      <c r="M1189" s="13" t="n">
        <f aca="false">IF(C1189="",0,1)</f>
        <v>1</v>
      </c>
      <c r="N1189" s="13" t="str">
        <f aca="false">IF(M1189=0,"Active",IF(TRIM(Raw_Data!L1189)="","Unknown",PROPER(TRIM(Raw_Data!L1189))))</f>
        <v>Involuntary</v>
      </c>
      <c r="O1189" s="13" t="str">
        <f aca="false">IF(M1189=0,"",IF(TRIM(Raw_Data!M1189)="","Not Recorded",TRIM(Raw_Data!M1189)))</f>
        <v>End of Contract</v>
      </c>
      <c r="P1189" s="16" t="n">
        <f aca="false">ROUND((IF(C1189="",AsOfDate,C1189)-B1189)/365.25,2)</f>
        <v>2.16</v>
      </c>
      <c r="Q1189" s="13" t="str">
        <f aca="false">IF(D1189="","Unknown",IF(D1189&lt;25,"Under 25",IF(D1189&lt;35,"25-34",IF(D1189&lt;45,"35-44",IF(D1189&lt;55,"45-54","55+")))))</f>
        <v>35-44</v>
      </c>
      <c r="R1189" s="13" t="str">
        <f aca="false">IF(P1189&lt;1,"0-1 yrs",IF(P1189&lt;3,"1-3 yrs",IF(P1189&lt;5,"3-5 yrs",IF(P1189&lt;10,"5-10 yrs","10+ yrs"))))</f>
        <v>1-3 yrs</v>
      </c>
      <c r="S1189" s="13" t="str">
        <f aca="false">IF(I1189&gt;=4,"High",IF(I1189=3,"Medium","Low"))</f>
        <v>Medium</v>
      </c>
      <c r="T1189" s="13" t="n">
        <f aca="false">IF(M1189=1,YEAR(C1189),"")</f>
        <v>2023</v>
      </c>
      <c r="U1189" s="13" t="str">
        <f aca="false">IF(M1189=1,YEAR(C1189)&amp;"-Q"&amp;ROUNDUP(MONTH(C1189)/3,0),"")</f>
        <v>2023-Q4</v>
      </c>
      <c r="V1189" s="13" t="n">
        <f aca="false">IF(M1189=1,MONTH(C1189),"")</f>
        <v>11</v>
      </c>
    </row>
    <row r="1190" customFormat="false" ht="15" hidden="false" customHeight="false" outlineLevel="0" collapsed="false">
      <c r="A1190" s="13" t="str">
        <f aca="false">TRIM(Raw_Data!A1190)</f>
        <v>EMP1189</v>
      </c>
      <c r="B1190" s="14" t="n">
        <f aca="false">Raw_Data!B1190</f>
        <v>44464</v>
      </c>
      <c r="C1190" s="14" t="n">
        <f aca="false">IF(Raw_Data!C1190="","",Raw_Data!C1190)</f>
        <v>45490</v>
      </c>
      <c r="D1190" s="13" t="n">
        <f aca="false">IF(Raw_Data!D1190="","",Raw_Data!D1190)</f>
        <v>33</v>
      </c>
      <c r="E1190" s="13" t="str">
        <f aca="false">IF(UPPER(LEFT(TRIM(Raw_Data!E1190),1))="M","Male",IF(UPPER(LEFT(TRIM(Raw_Data!E1190),1))="F","Female","Unknown"))</f>
        <v>Male</v>
      </c>
      <c r="F1190" s="13" t="str">
        <f aca="false">PROPER(TRIM(SUBSTITUTE(Raw_Data!F1190,"'","")))</f>
        <v>Masters</v>
      </c>
      <c r="G1190" s="13" t="str">
        <f aca="false">PROPER(TRIM(Raw_Data!G1190))</f>
        <v>Engineering</v>
      </c>
      <c r="H1190" s="13" t="str">
        <f aca="false">PROPER(TRIM(Raw_Data!H1190))</f>
        <v>Analyst</v>
      </c>
      <c r="I1190" s="13" t="n">
        <f aca="false">IF(Raw_Data!I1190="",DefaultPerf,Raw_Data!I1190)</f>
        <v>1</v>
      </c>
      <c r="J1190" s="13" t="n">
        <f aca="false">IF(Raw_Data!J1190="",DefaultSat,Raw_Data!J1190)</f>
        <v>4</v>
      </c>
      <c r="K1190" s="15" t="n">
        <f aca="false">Raw_Data!K1190</f>
        <v>56500</v>
      </c>
      <c r="L1190" s="13" t="str">
        <f aca="false">PROPER(TRIM(Raw_Data!N1190))</f>
        <v>Yes</v>
      </c>
      <c r="M1190" s="13" t="n">
        <f aca="false">IF(C1190="",0,1)</f>
        <v>1</v>
      </c>
      <c r="N1190" s="13" t="str">
        <f aca="false">IF(M1190=0,"Active",IF(TRIM(Raw_Data!L1190)="","Unknown",PROPER(TRIM(Raw_Data!L1190))))</f>
        <v>Involuntary</v>
      </c>
      <c r="O1190" s="13" t="str">
        <f aca="false">IF(M1190=0,"",IF(TRIM(Raw_Data!M1190)="","Not Recorded",TRIM(Raw_Data!M1190)))</f>
        <v>Restructuring / Layoff</v>
      </c>
      <c r="P1190" s="16" t="n">
        <f aca="false">ROUND((IF(C1190="",AsOfDate,C1190)-B1190)/365.25,2)</f>
        <v>2.81</v>
      </c>
      <c r="Q1190" s="13" t="str">
        <f aca="false">IF(D1190="","Unknown",IF(D1190&lt;25,"Under 25",IF(D1190&lt;35,"25-34",IF(D1190&lt;45,"35-44",IF(D1190&lt;55,"45-54","55+")))))</f>
        <v>25-34</v>
      </c>
      <c r="R1190" s="13" t="str">
        <f aca="false">IF(P1190&lt;1,"0-1 yrs",IF(P1190&lt;3,"1-3 yrs",IF(P1190&lt;5,"3-5 yrs",IF(P1190&lt;10,"5-10 yrs","10+ yrs"))))</f>
        <v>1-3 yrs</v>
      </c>
      <c r="S1190" s="13" t="str">
        <f aca="false">IF(I1190&gt;=4,"High",IF(I1190=3,"Medium","Low"))</f>
        <v>Low</v>
      </c>
      <c r="T1190" s="13" t="n">
        <f aca="false">IF(M1190=1,YEAR(C1190),"")</f>
        <v>2024</v>
      </c>
      <c r="U1190" s="13" t="str">
        <f aca="false">IF(M1190=1,YEAR(C1190)&amp;"-Q"&amp;ROUNDUP(MONTH(C1190)/3,0),"")</f>
        <v>2024-Q3</v>
      </c>
      <c r="V1190" s="13" t="n">
        <f aca="false">IF(M1190=1,MONTH(C1190),"")</f>
        <v>7</v>
      </c>
    </row>
    <row r="1191" customFormat="false" ht="15" hidden="false" customHeight="false" outlineLevel="0" collapsed="false">
      <c r="A1191" s="13" t="str">
        <f aca="false">TRIM(Raw_Data!A1191)</f>
        <v>EMP1190</v>
      </c>
      <c r="B1191" s="14" t="n">
        <f aca="false">Raw_Data!B1191</f>
        <v>44468</v>
      </c>
      <c r="C1191" s="14" t="str">
        <f aca="false">IF(Raw_Data!C1191="","",Raw_Data!C1191)</f>
        <v/>
      </c>
      <c r="D1191" s="13" t="n">
        <f aca="false">IF(Raw_Data!D1191="","",Raw_Data!D1191)</f>
        <v>31</v>
      </c>
      <c r="E1191" s="13" t="str">
        <f aca="false">IF(UPPER(LEFT(TRIM(Raw_Data!E1191),1))="M","Male",IF(UPPER(LEFT(TRIM(Raw_Data!E1191),1))="F","Female","Unknown"))</f>
        <v>Male</v>
      </c>
      <c r="F1191" s="13" t="str">
        <f aca="false">PROPER(TRIM(SUBSTITUTE(Raw_Data!F1191,"'","")))</f>
        <v>Masters</v>
      </c>
      <c r="G1191" s="13" t="str">
        <f aca="false">PROPER(TRIM(Raw_Data!G1191))</f>
        <v>Operations</v>
      </c>
      <c r="H1191" s="13" t="str">
        <f aca="false">PROPER(TRIM(Raw_Data!H1191))</f>
        <v>Associate</v>
      </c>
      <c r="I1191" s="13" t="n">
        <f aca="false">IF(Raw_Data!I1191="",DefaultPerf,Raw_Data!I1191)</f>
        <v>2</v>
      </c>
      <c r="J1191" s="13" t="n">
        <f aca="false">IF(Raw_Data!J1191="",DefaultSat,Raw_Data!J1191)</f>
        <v>4</v>
      </c>
      <c r="K1191" s="15" t="n">
        <f aca="false">Raw_Data!K1191</f>
        <v>34500</v>
      </c>
      <c r="L1191" s="13" t="str">
        <f aca="false">PROPER(TRIM(Raw_Data!N1191))</f>
        <v>No</v>
      </c>
      <c r="M1191" s="13" t="n">
        <f aca="false">IF(C1191="",0,1)</f>
        <v>0</v>
      </c>
      <c r="N1191" s="13" t="str">
        <f aca="false">IF(M1191=0,"Active",IF(TRIM(Raw_Data!L1191)="","Unknown",PROPER(TRIM(Raw_Data!L1191))))</f>
        <v>Active</v>
      </c>
      <c r="O1191" s="13" t="str">
        <f aca="false">IF(M1191=0,"",IF(TRIM(Raw_Data!M1191)="","Not Recorded",TRIM(Raw_Data!M1191)))</f>
        <v/>
      </c>
      <c r="P1191" s="16" t="n">
        <f aca="false">ROUND((IF(C1191="",AsOfDate,C1191)-B1191)/365.25,2)</f>
        <v>4.25</v>
      </c>
      <c r="Q1191" s="13" t="str">
        <f aca="false">IF(D1191="","Unknown",IF(D1191&lt;25,"Under 25",IF(D1191&lt;35,"25-34",IF(D1191&lt;45,"35-44",IF(D1191&lt;55,"45-54","55+")))))</f>
        <v>25-34</v>
      </c>
      <c r="R1191" s="13" t="str">
        <f aca="false">IF(P1191&lt;1,"0-1 yrs",IF(P1191&lt;3,"1-3 yrs",IF(P1191&lt;5,"3-5 yrs",IF(P1191&lt;10,"5-10 yrs","10+ yrs"))))</f>
        <v>3-5 yrs</v>
      </c>
      <c r="S1191" s="13" t="str">
        <f aca="false">IF(I1191&gt;=4,"High",IF(I1191=3,"Medium","Low"))</f>
        <v>Low</v>
      </c>
      <c r="T1191" s="13" t="str">
        <f aca="false">IF(M1191=1,YEAR(C1191),"")</f>
        <v/>
      </c>
      <c r="U1191" s="13" t="str">
        <f aca="false">IF(M1191=1,YEAR(C1191)&amp;"-Q"&amp;ROUNDUP(MONTH(C1191)/3,0),"")</f>
        <v/>
      </c>
      <c r="V1191" s="13" t="str">
        <f aca="false">IF(M1191=1,MONTH(C1191),"")</f>
        <v/>
      </c>
    </row>
    <row r="1192" customFormat="false" ht="15" hidden="false" customHeight="false" outlineLevel="0" collapsed="false">
      <c r="A1192" s="13" t="str">
        <f aca="false">TRIM(Raw_Data!A1192)</f>
        <v>EMP1191</v>
      </c>
      <c r="B1192" s="14" t="n">
        <f aca="false">Raw_Data!B1192</f>
        <v>44475</v>
      </c>
      <c r="C1192" s="14" t="str">
        <f aca="false">IF(Raw_Data!C1192="","",Raw_Data!C1192)</f>
        <v/>
      </c>
      <c r="D1192" s="13" t="n">
        <f aca="false">IF(Raw_Data!D1192="","",Raw_Data!D1192)</f>
        <v>36</v>
      </c>
      <c r="E1192" s="13" t="str">
        <f aca="false">IF(UPPER(LEFT(TRIM(Raw_Data!E1192),1))="M","Male",IF(UPPER(LEFT(TRIM(Raw_Data!E1192),1))="F","Female","Unknown"))</f>
        <v>Female</v>
      </c>
      <c r="F1192" s="13" t="str">
        <f aca="false">PROPER(TRIM(SUBSTITUTE(Raw_Data!F1192,"'","")))</f>
        <v>Diploma</v>
      </c>
      <c r="G1192" s="13" t="str">
        <f aca="false">PROPER(TRIM(Raw_Data!G1192))</f>
        <v>Customer Support</v>
      </c>
      <c r="H1192" s="13" t="str">
        <f aca="false">PROPER(TRIM(Raw_Data!H1192))</f>
        <v>Analyst</v>
      </c>
      <c r="I1192" s="13" t="n">
        <f aca="false">IF(Raw_Data!I1192="",DefaultPerf,Raw_Data!I1192)</f>
        <v>2</v>
      </c>
      <c r="J1192" s="13" t="n">
        <f aca="false">IF(Raw_Data!J1192="",DefaultSat,Raw_Data!J1192)</f>
        <v>1</v>
      </c>
      <c r="K1192" s="15" t="n">
        <f aca="false">Raw_Data!K1192</f>
        <v>62500</v>
      </c>
      <c r="L1192" s="13" t="str">
        <f aca="false">PROPER(TRIM(Raw_Data!N1192))</f>
        <v>No</v>
      </c>
      <c r="M1192" s="13" t="n">
        <f aca="false">IF(C1192="",0,1)</f>
        <v>0</v>
      </c>
      <c r="N1192" s="13" t="str">
        <f aca="false">IF(M1192=0,"Active",IF(TRIM(Raw_Data!L1192)="","Unknown",PROPER(TRIM(Raw_Data!L1192))))</f>
        <v>Active</v>
      </c>
      <c r="O1192" s="13" t="str">
        <f aca="false">IF(M1192=0,"",IF(TRIM(Raw_Data!M1192)="","Not Recorded",TRIM(Raw_Data!M1192)))</f>
        <v/>
      </c>
      <c r="P1192" s="16" t="n">
        <f aca="false">ROUND((IF(C1192="",AsOfDate,C1192)-B1192)/365.25,2)</f>
        <v>4.24</v>
      </c>
      <c r="Q1192" s="13" t="str">
        <f aca="false">IF(D1192="","Unknown",IF(D1192&lt;25,"Under 25",IF(D1192&lt;35,"25-34",IF(D1192&lt;45,"35-44",IF(D1192&lt;55,"45-54","55+")))))</f>
        <v>35-44</v>
      </c>
      <c r="R1192" s="13" t="str">
        <f aca="false">IF(P1192&lt;1,"0-1 yrs",IF(P1192&lt;3,"1-3 yrs",IF(P1192&lt;5,"3-5 yrs",IF(P1192&lt;10,"5-10 yrs","10+ yrs"))))</f>
        <v>3-5 yrs</v>
      </c>
      <c r="S1192" s="13" t="str">
        <f aca="false">IF(I1192&gt;=4,"High",IF(I1192=3,"Medium","Low"))</f>
        <v>Low</v>
      </c>
      <c r="T1192" s="13" t="str">
        <f aca="false">IF(M1192=1,YEAR(C1192),"")</f>
        <v/>
      </c>
      <c r="U1192" s="13" t="str">
        <f aca="false">IF(M1192=1,YEAR(C1192)&amp;"-Q"&amp;ROUNDUP(MONTH(C1192)/3,0),"")</f>
        <v/>
      </c>
      <c r="V1192" s="13" t="str">
        <f aca="false">IF(M1192=1,MONTH(C1192),"")</f>
        <v/>
      </c>
    </row>
    <row r="1193" customFormat="false" ht="15" hidden="false" customHeight="false" outlineLevel="0" collapsed="false">
      <c r="A1193" s="13" t="str">
        <f aca="false">TRIM(Raw_Data!A1193)</f>
        <v>EMP1192</v>
      </c>
      <c r="B1193" s="14" t="n">
        <f aca="false">Raw_Data!B1193</f>
        <v>44478</v>
      </c>
      <c r="C1193" s="14" t="str">
        <f aca="false">IF(Raw_Data!C1193="","",Raw_Data!C1193)</f>
        <v/>
      </c>
      <c r="D1193" s="13" t="n">
        <f aca="false">IF(Raw_Data!D1193="","",Raw_Data!D1193)</f>
        <v>25</v>
      </c>
      <c r="E1193" s="13" t="str">
        <f aca="false">IF(UPPER(LEFT(TRIM(Raw_Data!E1193),1))="M","Male",IF(UPPER(LEFT(TRIM(Raw_Data!E1193),1))="F","Female","Unknown"))</f>
        <v>Male</v>
      </c>
      <c r="F1193" s="13" t="str">
        <f aca="false">PROPER(TRIM(SUBSTITUTE(Raw_Data!F1193,"'","")))</f>
        <v>Diploma</v>
      </c>
      <c r="G1193" s="13" t="str">
        <f aca="false">PROPER(TRIM(Raw_Data!G1193))</f>
        <v>Engineering</v>
      </c>
      <c r="H1193" s="13" t="str">
        <f aca="false">PROPER(TRIM(Raw_Data!H1193))</f>
        <v>Team Lead</v>
      </c>
      <c r="I1193" s="13" t="n">
        <f aca="false">IF(Raw_Data!I1193="",DefaultPerf,Raw_Data!I1193)</f>
        <v>3</v>
      </c>
      <c r="J1193" s="13" t="n">
        <f aca="false">IF(Raw_Data!J1193="",DefaultSat,Raw_Data!J1193)</f>
        <v>1</v>
      </c>
      <c r="K1193" s="15" t="n">
        <f aca="false">Raw_Data!K1193</f>
        <v>125500</v>
      </c>
      <c r="L1193" s="13" t="str">
        <f aca="false">PROPER(TRIM(Raw_Data!N1193))</f>
        <v>No</v>
      </c>
      <c r="M1193" s="13" t="n">
        <f aca="false">IF(C1193="",0,1)</f>
        <v>0</v>
      </c>
      <c r="N1193" s="13" t="str">
        <f aca="false">IF(M1193=0,"Active",IF(TRIM(Raw_Data!L1193)="","Unknown",PROPER(TRIM(Raw_Data!L1193))))</f>
        <v>Active</v>
      </c>
      <c r="O1193" s="13" t="str">
        <f aca="false">IF(M1193=0,"",IF(TRIM(Raw_Data!M1193)="","Not Recorded",TRIM(Raw_Data!M1193)))</f>
        <v/>
      </c>
      <c r="P1193" s="16" t="n">
        <f aca="false">ROUND((IF(C1193="",AsOfDate,C1193)-B1193)/365.25,2)</f>
        <v>4.23</v>
      </c>
      <c r="Q1193" s="13" t="str">
        <f aca="false">IF(D1193="","Unknown",IF(D1193&lt;25,"Under 25",IF(D1193&lt;35,"25-34",IF(D1193&lt;45,"35-44",IF(D1193&lt;55,"45-54","55+")))))</f>
        <v>25-34</v>
      </c>
      <c r="R1193" s="13" t="str">
        <f aca="false">IF(P1193&lt;1,"0-1 yrs",IF(P1193&lt;3,"1-3 yrs",IF(P1193&lt;5,"3-5 yrs",IF(P1193&lt;10,"5-10 yrs","10+ yrs"))))</f>
        <v>3-5 yrs</v>
      </c>
      <c r="S1193" s="13" t="str">
        <f aca="false">IF(I1193&gt;=4,"High",IF(I1193=3,"Medium","Low"))</f>
        <v>Medium</v>
      </c>
      <c r="T1193" s="13" t="str">
        <f aca="false">IF(M1193=1,YEAR(C1193),"")</f>
        <v/>
      </c>
      <c r="U1193" s="13" t="str">
        <f aca="false">IF(M1193=1,YEAR(C1193)&amp;"-Q"&amp;ROUNDUP(MONTH(C1193)/3,0),"")</f>
        <v/>
      </c>
      <c r="V1193" s="13" t="str">
        <f aca="false">IF(M1193=1,MONTH(C1193),"")</f>
        <v/>
      </c>
    </row>
    <row r="1194" customFormat="false" ht="15" hidden="false" customHeight="false" outlineLevel="0" collapsed="false">
      <c r="A1194" s="13" t="str">
        <f aca="false">TRIM(Raw_Data!A1194)</f>
        <v>EMP1193</v>
      </c>
      <c r="B1194" s="14" t="n">
        <f aca="false">Raw_Data!B1194</f>
        <v>44479</v>
      </c>
      <c r="C1194" s="14" t="n">
        <f aca="false">IF(Raw_Data!C1194="","",Raw_Data!C1194)</f>
        <v>44647</v>
      </c>
      <c r="D1194" s="13" t="n">
        <f aca="false">IF(Raw_Data!D1194="","",Raw_Data!D1194)</f>
        <v>28</v>
      </c>
      <c r="E1194" s="13" t="str">
        <f aca="false">IF(UPPER(LEFT(TRIM(Raw_Data!E1194),1))="M","Male",IF(UPPER(LEFT(TRIM(Raw_Data!E1194),1))="F","Female","Unknown"))</f>
        <v>Female</v>
      </c>
      <c r="F1194" s="13" t="str">
        <f aca="false">PROPER(TRIM(SUBSTITUTE(Raw_Data!F1194,"'","")))</f>
        <v>High School</v>
      </c>
      <c r="G1194" s="13" t="str">
        <f aca="false">PROPER(TRIM(Raw_Data!G1194))</f>
        <v>Sales</v>
      </c>
      <c r="H1194" s="13" t="str">
        <f aca="false">PROPER(TRIM(Raw_Data!H1194))</f>
        <v>Analyst</v>
      </c>
      <c r="I1194" s="13" t="n">
        <f aca="false">IF(Raw_Data!I1194="",DefaultPerf,Raw_Data!I1194)</f>
        <v>5</v>
      </c>
      <c r="J1194" s="13" t="n">
        <f aca="false">IF(Raw_Data!J1194="",DefaultSat,Raw_Data!J1194)</f>
        <v>3</v>
      </c>
      <c r="K1194" s="15" t="n">
        <f aca="false">Raw_Data!K1194</f>
        <v>54000</v>
      </c>
      <c r="L1194" s="13" t="str">
        <f aca="false">PROPER(TRIM(Raw_Data!N1194))</f>
        <v>No</v>
      </c>
      <c r="M1194" s="13" t="n">
        <f aca="false">IF(C1194="",0,1)</f>
        <v>1</v>
      </c>
      <c r="N1194" s="13" t="str">
        <f aca="false">IF(M1194=0,"Active",IF(TRIM(Raw_Data!L1194)="","Unknown",PROPER(TRIM(Raw_Data!L1194))))</f>
        <v>Voluntary</v>
      </c>
      <c r="O1194" s="13" t="str">
        <f aca="false">IF(M1194=0,"",IF(TRIM(Raw_Data!M1194)="","Not Recorded",TRIM(Raw_Data!M1194)))</f>
        <v>Not Recorded</v>
      </c>
      <c r="P1194" s="16" t="n">
        <f aca="false">ROUND((IF(C1194="",AsOfDate,C1194)-B1194)/365.25,2)</f>
        <v>0.46</v>
      </c>
      <c r="Q1194" s="13" t="str">
        <f aca="false">IF(D1194="","Unknown",IF(D1194&lt;25,"Under 25",IF(D1194&lt;35,"25-34",IF(D1194&lt;45,"35-44",IF(D1194&lt;55,"45-54","55+")))))</f>
        <v>25-34</v>
      </c>
      <c r="R1194" s="13" t="str">
        <f aca="false">IF(P1194&lt;1,"0-1 yrs",IF(P1194&lt;3,"1-3 yrs",IF(P1194&lt;5,"3-5 yrs",IF(P1194&lt;10,"5-10 yrs","10+ yrs"))))</f>
        <v>0-1 yrs</v>
      </c>
      <c r="S1194" s="13" t="str">
        <f aca="false">IF(I1194&gt;=4,"High",IF(I1194=3,"Medium","Low"))</f>
        <v>High</v>
      </c>
      <c r="T1194" s="13" t="n">
        <f aca="false">IF(M1194=1,YEAR(C1194),"")</f>
        <v>2022</v>
      </c>
      <c r="U1194" s="13" t="str">
        <f aca="false">IF(M1194=1,YEAR(C1194)&amp;"-Q"&amp;ROUNDUP(MONTH(C1194)/3,0),"")</f>
        <v>2022-Q1</v>
      </c>
      <c r="V1194" s="13" t="n">
        <f aca="false">IF(M1194=1,MONTH(C1194),"")</f>
        <v>3</v>
      </c>
    </row>
    <row r="1195" customFormat="false" ht="15" hidden="false" customHeight="false" outlineLevel="0" collapsed="false">
      <c r="A1195" s="13" t="str">
        <f aca="false">TRIM(Raw_Data!A1195)</f>
        <v>EMP1194</v>
      </c>
      <c r="B1195" s="14" t="n">
        <f aca="false">Raw_Data!B1195</f>
        <v>44480</v>
      </c>
      <c r="C1195" s="14" t="n">
        <f aca="false">IF(Raw_Data!C1195="","",Raw_Data!C1195)</f>
        <v>45785</v>
      </c>
      <c r="D1195" s="13" t="n">
        <f aca="false">IF(Raw_Data!D1195="","",Raw_Data!D1195)</f>
        <v>37</v>
      </c>
      <c r="E1195" s="13" t="str">
        <f aca="false">IF(UPPER(LEFT(TRIM(Raw_Data!E1195),1))="M","Male",IF(UPPER(LEFT(TRIM(Raw_Data!E1195),1))="F","Female","Unknown"))</f>
        <v>Male</v>
      </c>
      <c r="F1195" s="13" t="str">
        <f aca="false">PROPER(TRIM(SUBSTITUTE(Raw_Data!F1195,"'","")))</f>
        <v>High School</v>
      </c>
      <c r="G1195" s="13" t="str">
        <f aca="false">PROPER(TRIM(Raw_Data!G1195))</f>
        <v>Operations</v>
      </c>
      <c r="H1195" s="13" t="str">
        <f aca="false">PROPER(TRIM(Raw_Data!H1195))</f>
        <v>Associate</v>
      </c>
      <c r="I1195" s="13" t="n">
        <f aca="false">IF(Raw_Data!I1195="",DefaultPerf,Raw_Data!I1195)</f>
        <v>5</v>
      </c>
      <c r="J1195" s="13" t="n">
        <f aca="false">IF(Raw_Data!J1195="",DefaultSat,Raw_Data!J1195)</f>
        <v>1</v>
      </c>
      <c r="K1195" s="15" t="n">
        <f aca="false">Raw_Data!K1195</f>
        <v>42000</v>
      </c>
      <c r="L1195" s="13" t="str">
        <f aca="false">PROPER(TRIM(Raw_Data!N1195))</f>
        <v>No</v>
      </c>
      <c r="M1195" s="13" t="n">
        <f aca="false">IF(C1195="",0,1)</f>
        <v>1</v>
      </c>
      <c r="N1195" s="13" t="str">
        <f aca="false">IF(M1195=0,"Active",IF(TRIM(Raw_Data!L1195)="","Unknown",PROPER(TRIM(Raw_Data!L1195))))</f>
        <v>Voluntary</v>
      </c>
      <c r="O1195" s="13" t="str">
        <f aca="false">IF(M1195=0,"",IF(TRIM(Raw_Data!M1195)="","Not Recorded",TRIM(Raw_Data!M1195)))</f>
        <v>Career Growth</v>
      </c>
      <c r="P1195" s="16" t="n">
        <f aca="false">ROUND((IF(C1195="",AsOfDate,C1195)-B1195)/365.25,2)</f>
        <v>3.57</v>
      </c>
      <c r="Q1195" s="13" t="str">
        <f aca="false">IF(D1195="","Unknown",IF(D1195&lt;25,"Under 25",IF(D1195&lt;35,"25-34",IF(D1195&lt;45,"35-44",IF(D1195&lt;55,"45-54","55+")))))</f>
        <v>35-44</v>
      </c>
      <c r="R1195" s="13" t="str">
        <f aca="false">IF(P1195&lt;1,"0-1 yrs",IF(P1195&lt;3,"1-3 yrs",IF(P1195&lt;5,"3-5 yrs",IF(P1195&lt;10,"5-10 yrs","10+ yrs"))))</f>
        <v>3-5 yrs</v>
      </c>
      <c r="S1195" s="13" t="str">
        <f aca="false">IF(I1195&gt;=4,"High",IF(I1195=3,"Medium","Low"))</f>
        <v>High</v>
      </c>
      <c r="T1195" s="13" t="n">
        <f aca="false">IF(M1195=1,YEAR(C1195),"")</f>
        <v>2025</v>
      </c>
      <c r="U1195" s="13" t="str">
        <f aca="false">IF(M1195=1,YEAR(C1195)&amp;"-Q"&amp;ROUNDUP(MONTH(C1195)/3,0),"")</f>
        <v>2025-Q2</v>
      </c>
      <c r="V1195" s="13" t="n">
        <f aca="false">IF(M1195=1,MONTH(C1195),"")</f>
        <v>5</v>
      </c>
    </row>
    <row r="1196" customFormat="false" ht="15" hidden="false" customHeight="false" outlineLevel="0" collapsed="false">
      <c r="A1196" s="13" t="str">
        <f aca="false">TRIM(Raw_Data!A1196)</f>
        <v>EMP1195</v>
      </c>
      <c r="B1196" s="14" t="n">
        <f aca="false">Raw_Data!B1196</f>
        <v>44480</v>
      </c>
      <c r="C1196" s="14" t="str">
        <f aca="false">IF(Raw_Data!C1196="","",Raw_Data!C1196)</f>
        <v/>
      </c>
      <c r="D1196" s="13" t="n">
        <f aca="false">IF(Raw_Data!D1196="","",Raw_Data!D1196)</f>
        <v>30</v>
      </c>
      <c r="E1196" s="13" t="str">
        <f aca="false">IF(UPPER(LEFT(TRIM(Raw_Data!E1196),1))="M","Male",IF(UPPER(LEFT(TRIM(Raw_Data!E1196),1))="F","Female","Unknown"))</f>
        <v>Male</v>
      </c>
      <c r="F1196" s="13" t="str">
        <f aca="false">PROPER(TRIM(SUBSTITUTE(Raw_Data!F1196,"'","")))</f>
        <v>Diploma</v>
      </c>
      <c r="G1196" s="13" t="str">
        <f aca="false">PROPER(TRIM(Raw_Data!G1196))</f>
        <v>Finance</v>
      </c>
      <c r="H1196" s="13" t="str">
        <f aca="false">PROPER(TRIM(Raw_Data!H1196))</f>
        <v>Team Lead</v>
      </c>
      <c r="I1196" s="13" t="n">
        <f aca="false">IF(Raw_Data!I1196="",DefaultPerf,Raw_Data!I1196)</f>
        <v>3</v>
      </c>
      <c r="J1196" s="13" t="n">
        <f aca="false">IF(Raw_Data!J1196="",DefaultSat,Raw_Data!J1196)</f>
        <v>4</v>
      </c>
      <c r="K1196" s="15" t="n">
        <f aca="false">Raw_Data!K1196</f>
        <v>134000</v>
      </c>
      <c r="L1196" s="13" t="str">
        <f aca="false">PROPER(TRIM(Raw_Data!N1196))</f>
        <v>No</v>
      </c>
      <c r="M1196" s="13" t="n">
        <f aca="false">IF(C1196="",0,1)</f>
        <v>0</v>
      </c>
      <c r="N1196" s="13" t="str">
        <f aca="false">IF(M1196=0,"Active",IF(TRIM(Raw_Data!L1196)="","Unknown",PROPER(TRIM(Raw_Data!L1196))))</f>
        <v>Active</v>
      </c>
      <c r="O1196" s="13" t="str">
        <f aca="false">IF(M1196=0,"",IF(TRIM(Raw_Data!M1196)="","Not Recorded",TRIM(Raw_Data!M1196)))</f>
        <v/>
      </c>
      <c r="P1196" s="16" t="n">
        <f aca="false">ROUND((IF(C1196="",AsOfDate,C1196)-B1196)/365.25,2)</f>
        <v>4.22</v>
      </c>
      <c r="Q1196" s="13" t="str">
        <f aca="false">IF(D1196="","Unknown",IF(D1196&lt;25,"Under 25",IF(D1196&lt;35,"25-34",IF(D1196&lt;45,"35-44",IF(D1196&lt;55,"45-54","55+")))))</f>
        <v>25-34</v>
      </c>
      <c r="R1196" s="13" t="str">
        <f aca="false">IF(P1196&lt;1,"0-1 yrs",IF(P1196&lt;3,"1-3 yrs",IF(P1196&lt;5,"3-5 yrs",IF(P1196&lt;10,"5-10 yrs","10+ yrs"))))</f>
        <v>3-5 yrs</v>
      </c>
      <c r="S1196" s="13" t="str">
        <f aca="false">IF(I1196&gt;=4,"High",IF(I1196=3,"Medium","Low"))</f>
        <v>Medium</v>
      </c>
      <c r="T1196" s="13" t="str">
        <f aca="false">IF(M1196=1,YEAR(C1196),"")</f>
        <v/>
      </c>
      <c r="U1196" s="13" t="str">
        <f aca="false">IF(M1196=1,YEAR(C1196)&amp;"-Q"&amp;ROUNDUP(MONTH(C1196)/3,0),"")</f>
        <v/>
      </c>
      <c r="V1196" s="13" t="str">
        <f aca="false">IF(M1196=1,MONTH(C1196),"")</f>
        <v/>
      </c>
    </row>
    <row r="1197" customFormat="false" ht="15" hidden="false" customHeight="false" outlineLevel="0" collapsed="false">
      <c r="A1197" s="13" t="str">
        <f aca="false">TRIM(Raw_Data!A1197)</f>
        <v>EMP1196</v>
      </c>
      <c r="B1197" s="14" t="n">
        <f aca="false">Raw_Data!B1197</f>
        <v>44483</v>
      </c>
      <c r="C1197" s="14" t="str">
        <f aca="false">IF(Raw_Data!C1197="","",Raw_Data!C1197)</f>
        <v/>
      </c>
      <c r="D1197" s="13" t="n">
        <f aca="false">IF(Raw_Data!D1197="","",Raw_Data!D1197)</f>
        <v>34</v>
      </c>
      <c r="E1197" s="13" t="str">
        <f aca="false">IF(UPPER(LEFT(TRIM(Raw_Data!E1197),1))="M","Male",IF(UPPER(LEFT(TRIM(Raw_Data!E1197),1))="F","Female","Unknown"))</f>
        <v>Female</v>
      </c>
      <c r="F1197" s="13" t="str">
        <f aca="false">PROPER(TRIM(SUBSTITUTE(Raw_Data!F1197,"'","")))</f>
        <v>Bachelors</v>
      </c>
      <c r="G1197" s="13" t="str">
        <f aca="false">PROPER(TRIM(Raw_Data!G1197))</f>
        <v>Engineering</v>
      </c>
      <c r="H1197" s="13" t="str">
        <f aca="false">PROPER(TRIM(Raw_Data!H1197))</f>
        <v>Analyst</v>
      </c>
      <c r="I1197" s="13" t="n">
        <f aca="false">IF(Raw_Data!I1197="",DefaultPerf,Raw_Data!I1197)</f>
        <v>3</v>
      </c>
      <c r="J1197" s="13" t="n">
        <f aca="false">IF(Raw_Data!J1197="",DefaultSat,Raw_Data!J1197)</f>
        <v>4</v>
      </c>
      <c r="K1197" s="15" t="n">
        <f aca="false">Raw_Data!K1197</f>
        <v>70500</v>
      </c>
      <c r="L1197" s="13" t="str">
        <f aca="false">PROPER(TRIM(Raw_Data!N1197))</f>
        <v>No</v>
      </c>
      <c r="M1197" s="13" t="n">
        <f aca="false">IF(C1197="",0,1)</f>
        <v>0</v>
      </c>
      <c r="N1197" s="13" t="str">
        <f aca="false">IF(M1197=0,"Active",IF(TRIM(Raw_Data!L1197)="","Unknown",PROPER(TRIM(Raw_Data!L1197))))</f>
        <v>Active</v>
      </c>
      <c r="O1197" s="13" t="str">
        <f aca="false">IF(M1197=0,"",IF(TRIM(Raw_Data!M1197)="","Not Recorded",TRIM(Raw_Data!M1197)))</f>
        <v/>
      </c>
      <c r="P1197" s="16" t="n">
        <f aca="false">ROUND((IF(C1197="",AsOfDate,C1197)-B1197)/365.25,2)</f>
        <v>4.21</v>
      </c>
      <c r="Q1197" s="13" t="str">
        <f aca="false">IF(D1197="","Unknown",IF(D1197&lt;25,"Under 25",IF(D1197&lt;35,"25-34",IF(D1197&lt;45,"35-44",IF(D1197&lt;55,"45-54","55+")))))</f>
        <v>25-34</v>
      </c>
      <c r="R1197" s="13" t="str">
        <f aca="false">IF(P1197&lt;1,"0-1 yrs",IF(P1197&lt;3,"1-3 yrs",IF(P1197&lt;5,"3-5 yrs",IF(P1197&lt;10,"5-10 yrs","10+ yrs"))))</f>
        <v>3-5 yrs</v>
      </c>
      <c r="S1197" s="13" t="str">
        <f aca="false">IF(I1197&gt;=4,"High",IF(I1197=3,"Medium","Low"))</f>
        <v>Medium</v>
      </c>
      <c r="T1197" s="13" t="str">
        <f aca="false">IF(M1197=1,YEAR(C1197),"")</f>
        <v/>
      </c>
      <c r="U1197" s="13" t="str">
        <f aca="false">IF(M1197=1,YEAR(C1197)&amp;"-Q"&amp;ROUNDUP(MONTH(C1197)/3,0),"")</f>
        <v/>
      </c>
      <c r="V1197" s="13" t="str">
        <f aca="false">IF(M1197=1,MONTH(C1197),"")</f>
        <v/>
      </c>
    </row>
    <row r="1198" customFormat="false" ht="15" hidden="false" customHeight="false" outlineLevel="0" collapsed="false">
      <c r="A1198" s="13" t="str">
        <f aca="false">TRIM(Raw_Data!A1198)</f>
        <v>EMP1197</v>
      </c>
      <c r="B1198" s="14" t="n">
        <f aca="false">Raw_Data!B1198</f>
        <v>44485</v>
      </c>
      <c r="C1198" s="14" t="str">
        <f aca="false">IF(Raw_Data!C1198="","",Raw_Data!C1198)</f>
        <v/>
      </c>
      <c r="D1198" s="13" t="n">
        <f aca="false">IF(Raw_Data!D1198="","",Raw_Data!D1198)</f>
        <v>39</v>
      </c>
      <c r="E1198" s="13" t="str">
        <f aca="false">IF(UPPER(LEFT(TRIM(Raw_Data!E1198),1))="M","Male",IF(UPPER(LEFT(TRIM(Raw_Data!E1198),1))="F","Female","Unknown"))</f>
        <v>Male</v>
      </c>
      <c r="F1198" s="13" t="str">
        <f aca="false">PROPER(TRIM(SUBSTITUTE(Raw_Data!F1198,"'","")))</f>
        <v>Bachelors</v>
      </c>
      <c r="G1198" s="13" t="str">
        <f aca="false">PROPER(TRIM(Raw_Data!G1198))</f>
        <v>Customer Support</v>
      </c>
      <c r="H1198" s="13" t="str">
        <f aca="false">PROPER(TRIM(Raw_Data!H1198))</f>
        <v>Associate</v>
      </c>
      <c r="I1198" s="13" t="n">
        <f aca="false">IF(Raw_Data!I1198="",DefaultPerf,Raw_Data!I1198)</f>
        <v>3</v>
      </c>
      <c r="J1198" s="13" t="n">
        <f aca="false">IF(Raw_Data!J1198="",DefaultSat,Raw_Data!J1198)</f>
        <v>3</v>
      </c>
      <c r="K1198" s="15" t="n">
        <f aca="false">Raw_Data!K1198</f>
        <v>44500</v>
      </c>
      <c r="L1198" s="13" t="str">
        <f aca="false">PROPER(TRIM(Raw_Data!N1198))</f>
        <v>Yes</v>
      </c>
      <c r="M1198" s="13" t="n">
        <f aca="false">IF(C1198="",0,1)</f>
        <v>0</v>
      </c>
      <c r="N1198" s="13" t="str">
        <f aca="false">IF(M1198=0,"Active",IF(TRIM(Raw_Data!L1198)="","Unknown",PROPER(TRIM(Raw_Data!L1198))))</f>
        <v>Active</v>
      </c>
      <c r="O1198" s="13" t="str">
        <f aca="false">IF(M1198=0,"",IF(TRIM(Raw_Data!M1198)="","Not Recorded",TRIM(Raw_Data!M1198)))</f>
        <v/>
      </c>
      <c r="P1198" s="16" t="n">
        <f aca="false">ROUND((IF(C1198="",AsOfDate,C1198)-B1198)/365.25,2)</f>
        <v>4.21</v>
      </c>
      <c r="Q1198" s="13" t="str">
        <f aca="false">IF(D1198="","Unknown",IF(D1198&lt;25,"Under 25",IF(D1198&lt;35,"25-34",IF(D1198&lt;45,"35-44",IF(D1198&lt;55,"45-54","55+")))))</f>
        <v>35-44</v>
      </c>
      <c r="R1198" s="13" t="str">
        <f aca="false">IF(P1198&lt;1,"0-1 yrs",IF(P1198&lt;3,"1-3 yrs",IF(P1198&lt;5,"3-5 yrs",IF(P1198&lt;10,"5-10 yrs","10+ yrs"))))</f>
        <v>3-5 yrs</v>
      </c>
      <c r="S1198" s="13" t="str">
        <f aca="false">IF(I1198&gt;=4,"High",IF(I1198=3,"Medium","Low"))</f>
        <v>Medium</v>
      </c>
      <c r="T1198" s="13" t="str">
        <f aca="false">IF(M1198=1,YEAR(C1198),"")</f>
        <v/>
      </c>
      <c r="U1198" s="13" t="str">
        <f aca="false">IF(M1198=1,YEAR(C1198)&amp;"-Q"&amp;ROUNDUP(MONTH(C1198)/3,0),"")</f>
        <v/>
      </c>
      <c r="V1198" s="13" t="str">
        <f aca="false">IF(M1198=1,MONTH(C1198),"")</f>
        <v/>
      </c>
    </row>
    <row r="1199" customFormat="false" ht="15" hidden="false" customHeight="false" outlineLevel="0" collapsed="false">
      <c r="A1199" s="13" t="str">
        <f aca="false">TRIM(Raw_Data!A1199)</f>
        <v>EMP1198</v>
      </c>
      <c r="B1199" s="14" t="n">
        <f aca="false">Raw_Data!B1199</f>
        <v>44485</v>
      </c>
      <c r="C1199" s="14" t="n">
        <f aca="false">IF(Raw_Data!C1199="","",Raw_Data!C1199)</f>
        <v>45692</v>
      </c>
      <c r="D1199" s="13" t="n">
        <f aca="false">IF(Raw_Data!D1199="","",Raw_Data!D1199)</f>
        <v>31</v>
      </c>
      <c r="E1199" s="13" t="str">
        <f aca="false">IF(UPPER(LEFT(TRIM(Raw_Data!E1199),1))="M","Male",IF(UPPER(LEFT(TRIM(Raw_Data!E1199),1))="F","Female","Unknown"))</f>
        <v>Male</v>
      </c>
      <c r="F1199" s="13" t="str">
        <f aca="false">PROPER(TRIM(SUBSTITUTE(Raw_Data!F1199,"'","")))</f>
        <v>Masters</v>
      </c>
      <c r="G1199" s="13" t="str">
        <f aca="false">PROPER(TRIM(Raw_Data!G1199))</f>
        <v>Sales</v>
      </c>
      <c r="H1199" s="13" t="str">
        <f aca="false">PROPER(TRIM(Raw_Data!H1199))</f>
        <v>Specialist</v>
      </c>
      <c r="I1199" s="13" t="n">
        <f aca="false">IF(Raw_Data!I1199="",DefaultPerf,Raw_Data!I1199)</f>
        <v>2</v>
      </c>
      <c r="J1199" s="13" t="n">
        <f aca="false">IF(Raw_Data!J1199="",DefaultSat,Raw_Data!J1199)</f>
        <v>3</v>
      </c>
      <c r="K1199" s="15" t="n">
        <f aca="false">Raw_Data!K1199</f>
        <v>98500</v>
      </c>
      <c r="L1199" s="13" t="str">
        <f aca="false">PROPER(TRIM(Raw_Data!N1199))</f>
        <v>Yes</v>
      </c>
      <c r="M1199" s="13" t="n">
        <f aca="false">IF(C1199="",0,1)</f>
        <v>1</v>
      </c>
      <c r="N1199" s="13" t="str">
        <f aca="false">IF(M1199=0,"Active",IF(TRIM(Raw_Data!L1199)="","Unknown",PROPER(TRIM(Raw_Data!L1199))))</f>
        <v>Voluntary</v>
      </c>
      <c r="O1199" s="13" t="str">
        <f aca="false">IF(M1199=0,"",IF(TRIM(Raw_Data!M1199)="","Not Recorded",TRIM(Raw_Data!M1199)))</f>
        <v>Career Growth</v>
      </c>
      <c r="P1199" s="16" t="n">
        <f aca="false">ROUND((IF(C1199="",AsOfDate,C1199)-B1199)/365.25,2)</f>
        <v>3.3</v>
      </c>
      <c r="Q1199" s="13" t="str">
        <f aca="false">IF(D1199="","Unknown",IF(D1199&lt;25,"Under 25",IF(D1199&lt;35,"25-34",IF(D1199&lt;45,"35-44",IF(D1199&lt;55,"45-54","55+")))))</f>
        <v>25-34</v>
      </c>
      <c r="R1199" s="13" t="str">
        <f aca="false">IF(P1199&lt;1,"0-1 yrs",IF(P1199&lt;3,"1-3 yrs",IF(P1199&lt;5,"3-5 yrs",IF(P1199&lt;10,"5-10 yrs","10+ yrs"))))</f>
        <v>3-5 yrs</v>
      </c>
      <c r="S1199" s="13" t="str">
        <f aca="false">IF(I1199&gt;=4,"High",IF(I1199=3,"Medium","Low"))</f>
        <v>Low</v>
      </c>
      <c r="T1199" s="13" t="n">
        <f aca="false">IF(M1199=1,YEAR(C1199),"")</f>
        <v>2025</v>
      </c>
      <c r="U1199" s="13" t="str">
        <f aca="false">IF(M1199=1,YEAR(C1199)&amp;"-Q"&amp;ROUNDUP(MONTH(C1199)/3,0),"")</f>
        <v>2025-Q1</v>
      </c>
      <c r="V1199" s="13" t="n">
        <f aca="false">IF(M1199=1,MONTH(C1199),"")</f>
        <v>2</v>
      </c>
    </row>
    <row r="1200" customFormat="false" ht="15" hidden="false" customHeight="false" outlineLevel="0" collapsed="false">
      <c r="A1200" s="13" t="str">
        <f aca="false">TRIM(Raw_Data!A1200)</f>
        <v>EMP1199</v>
      </c>
      <c r="B1200" s="14" t="n">
        <f aca="false">Raw_Data!B1200</f>
        <v>44491</v>
      </c>
      <c r="C1200" s="14" t="n">
        <f aca="false">IF(Raw_Data!C1200="","",Raw_Data!C1200)</f>
        <v>45732</v>
      </c>
      <c r="D1200" s="13" t="n">
        <f aca="false">IF(Raw_Data!D1200="","",Raw_Data!D1200)</f>
        <v>32</v>
      </c>
      <c r="E1200" s="13" t="str">
        <f aca="false">IF(UPPER(LEFT(TRIM(Raw_Data!E1200),1))="M","Male",IF(UPPER(LEFT(TRIM(Raw_Data!E1200),1))="F","Female","Unknown"))</f>
        <v>Female</v>
      </c>
      <c r="F1200" s="13" t="str">
        <f aca="false">PROPER(TRIM(SUBSTITUTE(Raw_Data!F1200,"'","")))</f>
        <v>Masters</v>
      </c>
      <c r="G1200" s="13" t="str">
        <f aca="false">PROPER(TRIM(Raw_Data!G1200))</f>
        <v>Human Resources</v>
      </c>
      <c r="H1200" s="13" t="str">
        <f aca="false">PROPER(TRIM(Raw_Data!H1200))</f>
        <v>Associate</v>
      </c>
      <c r="I1200" s="17" t="n">
        <f aca="false">IF(Raw_Data!I1200="",DefaultPerf,Raw_Data!I1200)</f>
        <v>3</v>
      </c>
      <c r="J1200" s="13" t="n">
        <f aca="false">IF(Raw_Data!J1200="",DefaultSat,Raw_Data!J1200)</f>
        <v>1</v>
      </c>
      <c r="K1200" s="15" t="n">
        <f aca="false">Raw_Data!K1200</f>
        <v>40500</v>
      </c>
      <c r="L1200" s="13" t="str">
        <f aca="false">PROPER(TRIM(Raw_Data!N1200))</f>
        <v>No</v>
      </c>
      <c r="M1200" s="13" t="n">
        <f aca="false">IF(C1200="",0,1)</f>
        <v>1</v>
      </c>
      <c r="N1200" s="13" t="str">
        <f aca="false">IF(M1200=0,"Active",IF(TRIM(Raw_Data!L1200)="","Unknown",PROPER(TRIM(Raw_Data!L1200))))</f>
        <v>Voluntary</v>
      </c>
      <c r="O1200" s="13" t="str">
        <f aca="false">IF(M1200=0,"",IF(TRIM(Raw_Data!M1200)="","Not Recorded",TRIM(Raw_Data!M1200)))</f>
        <v>Career Growth</v>
      </c>
      <c r="P1200" s="16" t="n">
        <f aca="false">ROUND((IF(C1200="",AsOfDate,C1200)-B1200)/365.25,2)</f>
        <v>3.4</v>
      </c>
      <c r="Q1200" s="13" t="str">
        <f aca="false">IF(D1200="","Unknown",IF(D1200&lt;25,"Under 25",IF(D1200&lt;35,"25-34",IF(D1200&lt;45,"35-44",IF(D1200&lt;55,"45-54","55+")))))</f>
        <v>25-34</v>
      </c>
      <c r="R1200" s="13" t="str">
        <f aca="false">IF(P1200&lt;1,"0-1 yrs",IF(P1200&lt;3,"1-3 yrs",IF(P1200&lt;5,"3-5 yrs",IF(P1200&lt;10,"5-10 yrs","10+ yrs"))))</f>
        <v>3-5 yrs</v>
      </c>
      <c r="S1200" s="13" t="str">
        <f aca="false">IF(I1200&gt;=4,"High",IF(I1200=3,"Medium","Low"))</f>
        <v>Medium</v>
      </c>
      <c r="T1200" s="13" t="n">
        <f aca="false">IF(M1200=1,YEAR(C1200),"")</f>
        <v>2025</v>
      </c>
      <c r="U1200" s="13" t="str">
        <f aca="false">IF(M1200=1,YEAR(C1200)&amp;"-Q"&amp;ROUNDUP(MONTH(C1200)/3,0),"")</f>
        <v>2025-Q1</v>
      </c>
      <c r="V1200" s="13" t="n">
        <f aca="false">IF(M1200=1,MONTH(C1200),"")</f>
        <v>3</v>
      </c>
    </row>
    <row r="1201" customFormat="false" ht="15" hidden="false" customHeight="false" outlineLevel="0" collapsed="false">
      <c r="A1201" s="13" t="str">
        <f aca="false">TRIM(Raw_Data!A1201)</f>
        <v>EMP1200</v>
      </c>
      <c r="B1201" s="14" t="n">
        <f aca="false">Raw_Data!B1201</f>
        <v>44492</v>
      </c>
      <c r="C1201" s="14" t="str">
        <f aca="false">IF(Raw_Data!C1201="","",Raw_Data!C1201)</f>
        <v/>
      </c>
      <c r="D1201" s="13" t="n">
        <f aca="false">IF(Raw_Data!D1201="","",Raw_Data!D1201)</f>
        <v>32</v>
      </c>
      <c r="E1201" s="13" t="str">
        <f aca="false">IF(UPPER(LEFT(TRIM(Raw_Data!E1201),1))="M","Male",IF(UPPER(LEFT(TRIM(Raw_Data!E1201),1))="F","Female","Unknown"))</f>
        <v>Male</v>
      </c>
      <c r="F1201" s="13" t="str">
        <f aca="false">PROPER(TRIM(SUBSTITUTE(Raw_Data!F1201,"'","")))</f>
        <v>Masters</v>
      </c>
      <c r="G1201" s="13" t="str">
        <f aca="false">PROPER(TRIM(Raw_Data!G1201))</f>
        <v>Operations</v>
      </c>
      <c r="H1201" s="13" t="str">
        <f aca="false">PROPER(TRIM(Raw_Data!H1201))</f>
        <v>Senior Analyst</v>
      </c>
      <c r="I1201" s="13" t="n">
        <f aca="false">IF(Raw_Data!I1201="",DefaultPerf,Raw_Data!I1201)</f>
        <v>1</v>
      </c>
      <c r="J1201" s="13" t="n">
        <f aca="false">IF(Raw_Data!J1201="",DefaultSat,Raw_Data!J1201)</f>
        <v>4</v>
      </c>
      <c r="K1201" s="15" t="n">
        <f aca="false">Raw_Data!K1201</f>
        <v>91500</v>
      </c>
      <c r="L1201" s="13" t="str">
        <f aca="false">PROPER(TRIM(Raw_Data!N1201))</f>
        <v>No</v>
      </c>
      <c r="M1201" s="13" t="n">
        <f aca="false">IF(C1201="",0,1)</f>
        <v>0</v>
      </c>
      <c r="N1201" s="13" t="str">
        <f aca="false">IF(M1201=0,"Active",IF(TRIM(Raw_Data!L1201)="","Unknown",PROPER(TRIM(Raw_Data!L1201))))</f>
        <v>Active</v>
      </c>
      <c r="O1201" s="13" t="str">
        <f aca="false">IF(M1201=0,"",IF(TRIM(Raw_Data!M1201)="","Not Recorded",TRIM(Raw_Data!M1201)))</f>
        <v/>
      </c>
      <c r="P1201" s="16" t="n">
        <f aca="false">ROUND((IF(C1201="",AsOfDate,C1201)-B1201)/365.25,2)</f>
        <v>4.19</v>
      </c>
      <c r="Q1201" s="13" t="str">
        <f aca="false">IF(D1201="","Unknown",IF(D1201&lt;25,"Under 25",IF(D1201&lt;35,"25-34",IF(D1201&lt;45,"35-44",IF(D1201&lt;55,"45-54","55+")))))</f>
        <v>25-34</v>
      </c>
      <c r="R1201" s="13" t="str">
        <f aca="false">IF(P1201&lt;1,"0-1 yrs",IF(P1201&lt;3,"1-3 yrs",IF(P1201&lt;5,"3-5 yrs",IF(P1201&lt;10,"5-10 yrs","10+ yrs"))))</f>
        <v>3-5 yrs</v>
      </c>
      <c r="S1201" s="13" t="str">
        <f aca="false">IF(I1201&gt;=4,"High",IF(I1201=3,"Medium","Low"))</f>
        <v>Low</v>
      </c>
      <c r="T1201" s="13" t="str">
        <f aca="false">IF(M1201=1,YEAR(C1201),"")</f>
        <v/>
      </c>
      <c r="U1201" s="13" t="str">
        <f aca="false">IF(M1201=1,YEAR(C1201)&amp;"-Q"&amp;ROUNDUP(MONTH(C1201)/3,0),"")</f>
        <v/>
      </c>
      <c r="V1201" s="13" t="str">
        <f aca="false">IF(M1201=1,MONTH(C1201),"")</f>
        <v/>
      </c>
    </row>
    <row r="1202" customFormat="false" ht="15" hidden="false" customHeight="false" outlineLevel="0" collapsed="false">
      <c r="A1202" s="13" t="str">
        <f aca="false">TRIM(Raw_Data!A1202)</f>
        <v>EMP1201</v>
      </c>
      <c r="B1202" s="14" t="n">
        <f aca="false">Raw_Data!B1202</f>
        <v>44492</v>
      </c>
      <c r="C1202" s="14" t="str">
        <f aca="false">IF(Raw_Data!C1202="","",Raw_Data!C1202)</f>
        <v/>
      </c>
      <c r="D1202" s="13" t="n">
        <f aca="false">IF(Raw_Data!D1202="","",Raw_Data!D1202)</f>
        <v>35</v>
      </c>
      <c r="E1202" s="13" t="str">
        <f aca="false">IF(UPPER(LEFT(TRIM(Raw_Data!E1202),1))="M","Male",IF(UPPER(LEFT(TRIM(Raw_Data!E1202),1))="F","Female","Unknown"))</f>
        <v>Male</v>
      </c>
      <c r="F1202" s="13" t="str">
        <f aca="false">PROPER(TRIM(SUBSTITUTE(Raw_Data!F1202,"'","")))</f>
        <v>Masters</v>
      </c>
      <c r="G1202" s="13" t="str">
        <f aca="false">PROPER(TRIM(Raw_Data!G1202))</f>
        <v>Finance</v>
      </c>
      <c r="H1202" s="13" t="str">
        <f aca="false">PROPER(TRIM(Raw_Data!H1202))</f>
        <v>Analyst</v>
      </c>
      <c r="I1202" s="13" t="n">
        <f aca="false">IF(Raw_Data!I1202="",DefaultPerf,Raw_Data!I1202)</f>
        <v>4</v>
      </c>
      <c r="J1202" s="13" t="n">
        <f aca="false">IF(Raw_Data!J1202="",DefaultSat,Raw_Data!J1202)</f>
        <v>4</v>
      </c>
      <c r="K1202" s="15" t="n">
        <f aca="false">Raw_Data!K1202</f>
        <v>54500</v>
      </c>
      <c r="L1202" s="13" t="str">
        <f aca="false">PROPER(TRIM(Raw_Data!N1202))</f>
        <v>No</v>
      </c>
      <c r="M1202" s="13" t="n">
        <f aca="false">IF(C1202="",0,1)</f>
        <v>0</v>
      </c>
      <c r="N1202" s="13" t="str">
        <f aca="false">IF(M1202=0,"Active",IF(TRIM(Raw_Data!L1202)="","Unknown",PROPER(TRIM(Raw_Data!L1202))))</f>
        <v>Active</v>
      </c>
      <c r="O1202" s="13" t="str">
        <f aca="false">IF(M1202=0,"",IF(TRIM(Raw_Data!M1202)="","Not Recorded",TRIM(Raw_Data!M1202)))</f>
        <v/>
      </c>
      <c r="P1202" s="16" t="n">
        <f aca="false">ROUND((IF(C1202="",AsOfDate,C1202)-B1202)/365.25,2)</f>
        <v>4.19</v>
      </c>
      <c r="Q1202" s="13" t="str">
        <f aca="false">IF(D1202="","Unknown",IF(D1202&lt;25,"Under 25",IF(D1202&lt;35,"25-34",IF(D1202&lt;45,"35-44",IF(D1202&lt;55,"45-54","55+")))))</f>
        <v>35-44</v>
      </c>
      <c r="R1202" s="13" t="str">
        <f aca="false">IF(P1202&lt;1,"0-1 yrs",IF(P1202&lt;3,"1-3 yrs",IF(P1202&lt;5,"3-5 yrs",IF(P1202&lt;10,"5-10 yrs","10+ yrs"))))</f>
        <v>3-5 yrs</v>
      </c>
      <c r="S1202" s="13" t="str">
        <f aca="false">IF(I1202&gt;=4,"High",IF(I1202=3,"Medium","Low"))</f>
        <v>High</v>
      </c>
      <c r="T1202" s="13" t="str">
        <f aca="false">IF(M1202=1,YEAR(C1202),"")</f>
        <v/>
      </c>
      <c r="U1202" s="13" t="str">
        <f aca="false">IF(M1202=1,YEAR(C1202)&amp;"-Q"&amp;ROUNDUP(MONTH(C1202)/3,0),"")</f>
        <v/>
      </c>
      <c r="V1202" s="13" t="str">
        <f aca="false">IF(M1202=1,MONTH(C1202),"")</f>
        <v/>
      </c>
    </row>
    <row r="1203" customFormat="false" ht="15" hidden="false" customHeight="false" outlineLevel="0" collapsed="false">
      <c r="A1203" s="13" t="str">
        <f aca="false">TRIM(Raw_Data!A1203)</f>
        <v>EMP1202</v>
      </c>
      <c r="B1203" s="14" t="n">
        <f aca="false">Raw_Data!B1203</f>
        <v>44492</v>
      </c>
      <c r="C1203" s="14" t="str">
        <f aca="false">IF(Raw_Data!C1203="","",Raw_Data!C1203)</f>
        <v/>
      </c>
      <c r="D1203" s="13" t="n">
        <f aca="false">IF(Raw_Data!D1203="","",Raw_Data!D1203)</f>
        <v>35</v>
      </c>
      <c r="E1203" s="13" t="str">
        <f aca="false">IF(UPPER(LEFT(TRIM(Raw_Data!E1203),1))="M","Male",IF(UPPER(LEFT(TRIM(Raw_Data!E1203),1))="F","Female","Unknown"))</f>
        <v>Male</v>
      </c>
      <c r="F1203" s="13" t="str">
        <f aca="false">PROPER(TRIM(SUBSTITUTE(Raw_Data!F1203,"'","")))</f>
        <v>Bachelors</v>
      </c>
      <c r="G1203" s="13" t="str">
        <f aca="false">PROPER(TRIM(Raw_Data!G1203))</f>
        <v>Finance</v>
      </c>
      <c r="H1203" s="13" t="str">
        <f aca="false">PROPER(TRIM(Raw_Data!H1203))</f>
        <v>Associate</v>
      </c>
      <c r="I1203" s="13" t="n">
        <f aca="false">IF(Raw_Data!I1203="",DefaultPerf,Raw_Data!I1203)</f>
        <v>1</v>
      </c>
      <c r="J1203" s="13" t="n">
        <f aca="false">IF(Raw_Data!J1203="",DefaultSat,Raw_Data!J1203)</f>
        <v>3</v>
      </c>
      <c r="K1203" s="15" t="n">
        <f aca="false">Raw_Data!K1203</f>
        <v>51000</v>
      </c>
      <c r="L1203" s="13" t="str">
        <f aca="false">PROPER(TRIM(Raw_Data!N1203))</f>
        <v>No</v>
      </c>
      <c r="M1203" s="13" t="n">
        <f aca="false">IF(C1203="",0,1)</f>
        <v>0</v>
      </c>
      <c r="N1203" s="13" t="str">
        <f aca="false">IF(M1203=0,"Active",IF(TRIM(Raw_Data!L1203)="","Unknown",PROPER(TRIM(Raw_Data!L1203))))</f>
        <v>Active</v>
      </c>
      <c r="O1203" s="13" t="str">
        <f aca="false">IF(M1203=0,"",IF(TRIM(Raw_Data!M1203)="","Not Recorded",TRIM(Raw_Data!M1203)))</f>
        <v/>
      </c>
      <c r="P1203" s="16" t="n">
        <f aca="false">ROUND((IF(C1203="",AsOfDate,C1203)-B1203)/365.25,2)</f>
        <v>4.19</v>
      </c>
      <c r="Q1203" s="13" t="str">
        <f aca="false">IF(D1203="","Unknown",IF(D1203&lt;25,"Under 25",IF(D1203&lt;35,"25-34",IF(D1203&lt;45,"35-44",IF(D1203&lt;55,"45-54","55+")))))</f>
        <v>35-44</v>
      </c>
      <c r="R1203" s="13" t="str">
        <f aca="false">IF(P1203&lt;1,"0-1 yrs",IF(P1203&lt;3,"1-3 yrs",IF(P1203&lt;5,"3-5 yrs",IF(P1203&lt;10,"5-10 yrs","10+ yrs"))))</f>
        <v>3-5 yrs</v>
      </c>
      <c r="S1203" s="13" t="str">
        <f aca="false">IF(I1203&gt;=4,"High",IF(I1203=3,"Medium","Low"))</f>
        <v>Low</v>
      </c>
      <c r="T1203" s="13" t="str">
        <f aca="false">IF(M1203=1,YEAR(C1203),"")</f>
        <v/>
      </c>
      <c r="U1203" s="13" t="str">
        <f aca="false">IF(M1203=1,YEAR(C1203)&amp;"-Q"&amp;ROUNDUP(MONTH(C1203)/3,0),"")</f>
        <v/>
      </c>
      <c r="V1203" s="13" t="str">
        <f aca="false">IF(M1203=1,MONTH(C1203),"")</f>
        <v/>
      </c>
    </row>
    <row r="1204" customFormat="false" ht="15" hidden="false" customHeight="false" outlineLevel="0" collapsed="false">
      <c r="A1204" s="13" t="str">
        <f aca="false">TRIM(Raw_Data!A1204)</f>
        <v>EMP1203</v>
      </c>
      <c r="B1204" s="14" t="n">
        <f aca="false">Raw_Data!B1204</f>
        <v>44492</v>
      </c>
      <c r="C1204" s="14" t="n">
        <f aca="false">IF(Raw_Data!C1204="","",Raw_Data!C1204)</f>
        <v>44997</v>
      </c>
      <c r="D1204" s="13" t="n">
        <f aca="false">IF(Raw_Data!D1204="","",Raw_Data!D1204)</f>
        <v>28</v>
      </c>
      <c r="E1204" s="13" t="str">
        <f aca="false">IF(UPPER(LEFT(TRIM(Raw_Data!E1204),1))="M","Male",IF(UPPER(LEFT(TRIM(Raw_Data!E1204),1))="F","Female","Unknown"))</f>
        <v>Male</v>
      </c>
      <c r="F1204" s="13" t="str">
        <f aca="false">PROPER(TRIM(SUBSTITUTE(Raw_Data!F1204,"'","")))</f>
        <v>Doctorate</v>
      </c>
      <c r="G1204" s="13" t="str">
        <f aca="false">PROPER(TRIM(Raw_Data!G1204))</f>
        <v>Sales</v>
      </c>
      <c r="H1204" s="13" t="str">
        <f aca="false">PROPER(TRIM(Raw_Data!H1204))</f>
        <v>Analyst</v>
      </c>
      <c r="I1204" s="13" t="n">
        <f aca="false">IF(Raw_Data!I1204="",DefaultPerf,Raw_Data!I1204)</f>
        <v>2</v>
      </c>
      <c r="J1204" s="13" t="n">
        <f aca="false">IF(Raw_Data!J1204="",DefaultSat,Raw_Data!J1204)</f>
        <v>2</v>
      </c>
      <c r="K1204" s="15" t="n">
        <f aca="false">Raw_Data!K1204</f>
        <v>64500</v>
      </c>
      <c r="L1204" s="13" t="str">
        <f aca="false">PROPER(TRIM(Raw_Data!N1204))</f>
        <v>No</v>
      </c>
      <c r="M1204" s="13" t="n">
        <f aca="false">IF(C1204="",0,1)</f>
        <v>1</v>
      </c>
      <c r="N1204" s="13" t="str">
        <f aca="false">IF(M1204=0,"Active",IF(TRIM(Raw_Data!L1204)="","Unknown",PROPER(TRIM(Raw_Data!L1204))))</f>
        <v>Involuntary</v>
      </c>
      <c r="O1204" s="13" t="str">
        <f aca="false">IF(M1204=0,"",IF(TRIM(Raw_Data!M1204)="","Not Recorded",TRIM(Raw_Data!M1204)))</f>
        <v>Policy Violation</v>
      </c>
      <c r="P1204" s="16" t="n">
        <f aca="false">ROUND((IF(C1204="",AsOfDate,C1204)-B1204)/365.25,2)</f>
        <v>1.38</v>
      </c>
      <c r="Q1204" s="13" t="str">
        <f aca="false">IF(D1204="","Unknown",IF(D1204&lt;25,"Under 25",IF(D1204&lt;35,"25-34",IF(D1204&lt;45,"35-44",IF(D1204&lt;55,"45-54","55+")))))</f>
        <v>25-34</v>
      </c>
      <c r="R1204" s="13" t="str">
        <f aca="false">IF(P1204&lt;1,"0-1 yrs",IF(P1204&lt;3,"1-3 yrs",IF(P1204&lt;5,"3-5 yrs",IF(P1204&lt;10,"5-10 yrs","10+ yrs"))))</f>
        <v>1-3 yrs</v>
      </c>
      <c r="S1204" s="13" t="str">
        <f aca="false">IF(I1204&gt;=4,"High",IF(I1204=3,"Medium","Low"))</f>
        <v>Low</v>
      </c>
      <c r="T1204" s="13" t="n">
        <f aca="false">IF(M1204=1,YEAR(C1204),"")</f>
        <v>2023</v>
      </c>
      <c r="U1204" s="13" t="str">
        <f aca="false">IF(M1204=1,YEAR(C1204)&amp;"-Q"&amp;ROUNDUP(MONTH(C1204)/3,0),"")</f>
        <v>2023-Q1</v>
      </c>
      <c r="V1204" s="13" t="n">
        <f aca="false">IF(M1204=1,MONTH(C1204),"")</f>
        <v>3</v>
      </c>
    </row>
    <row r="1205" customFormat="false" ht="15" hidden="false" customHeight="false" outlineLevel="0" collapsed="false">
      <c r="A1205" s="13" t="str">
        <f aca="false">TRIM(Raw_Data!A1205)</f>
        <v>EMP1204</v>
      </c>
      <c r="B1205" s="14" t="n">
        <f aca="false">Raw_Data!B1205</f>
        <v>44495</v>
      </c>
      <c r="C1205" s="14" t="str">
        <f aca="false">IF(Raw_Data!C1205="","",Raw_Data!C1205)</f>
        <v/>
      </c>
      <c r="D1205" s="13" t="n">
        <f aca="false">IF(Raw_Data!D1205="","",Raw_Data!D1205)</f>
        <v>41</v>
      </c>
      <c r="E1205" s="13" t="str">
        <f aca="false">IF(UPPER(LEFT(TRIM(Raw_Data!E1205),1))="M","Male",IF(UPPER(LEFT(TRIM(Raw_Data!E1205),1))="F","Female","Unknown"))</f>
        <v>Male</v>
      </c>
      <c r="F1205" s="13" t="str">
        <f aca="false">PROPER(TRIM(SUBSTITUTE(Raw_Data!F1205,"'","")))</f>
        <v>Bachelors</v>
      </c>
      <c r="G1205" s="13" t="str">
        <f aca="false">PROPER(TRIM(Raw_Data!G1205))</f>
        <v>Operations</v>
      </c>
      <c r="H1205" s="13" t="str">
        <f aca="false">PROPER(TRIM(Raw_Data!H1205))</f>
        <v>Analyst</v>
      </c>
      <c r="I1205" s="13" t="n">
        <f aca="false">IF(Raw_Data!I1205="",DefaultPerf,Raw_Data!I1205)</f>
        <v>3</v>
      </c>
      <c r="J1205" s="13" t="n">
        <f aca="false">IF(Raw_Data!J1205="",DefaultSat,Raw_Data!J1205)</f>
        <v>4</v>
      </c>
      <c r="K1205" s="15" t="n">
        <f aca="false">Raw_Data!K1205</f>
        <v>60500</v>
      </c>
      <c r="L1205" s="13" t="str">
        <f aca="false">PROPER(TRIM(Raw_Data!N1205))</f>
        <v>Yes</v>
      </c>
      <c r="M1205" s="13" t="n">
        <f aca="false">IF(C1205="",0,1)</f>
        <v>0</v>
      </c>
      <c r="N1205" s="13" t="str">
        <f aca="false">IF(M1205=0,"Active",IF(TRIM(Raw_Data!L1205)="","Unknown",PROPER(TRIM(Raw_Data!L1205))))</f>
        <v>Active</v>
      </c>
      <c r="O1205" s="13" t="str">
        <f aca="false">IF(M1205=0,"",IF(TRIM(Raw_Data!M1205)="","Not Recorded",TRIM(Raw_Data!M1205)))</f>
        <v/>
      </c>
      <c r="P1205" s="16" t="n">
        <f aca="false">ROUND((IF(C1205="",AsOfDate,C1205)-B1205)/365.25,2)</f>
        <v>4.18</v>
      </c>
      <c r="Q1205" s="13" t="str">
        <f aca="false">IF(D1205="","Unknown",IF(D1205&lt;25,"Under 25",IF(D1205&lt;35,"25-34",IF(D1205&lt;45,"35-44",IF(D1205&lt;55,"45-54","55+")))))</f>
        <v>35-44</v>
      </c>
      <c r="R1205" s="13" t="str">
        <f aca="false">IF(P1205&lt;1,"0-1 yrs",IF(P1205&lt;3,"1-3 yrs",IF(P1205&lt;5,"3-5 yrs",IF(P1205&lt;10,"5-10 yrs","10+ yrs"))))</f>
        <v>3-5 yrs</v>
      </c>
      <c r="S1205" s="13" t="str">
        <f aca="false">IF(I1205&gt;=4,"High",IF(I1205=3,"Medium","Low"))</f>
        <v>Medium</v>
      </c>
      <c r="T1205" s="13" t="str">
        <f aca="false">IF(M1205=1,YEAR(C1205),"")</f>
        <v/>
      </c>
      <c r="U1205" s="13" t="str">
        <f aca="false">IF(M1205=1,YEAR(C1205)&amp;"-Q"&amp;ROUNDUP(MONTH(C1205)/3,0),"")</f>
        <v/>
      </c>
      <c r="V1205" s="13" t="str">
        <f aca="false">IF(M1205=1,MONTH(C1205),"")</f>
        <v/>
      </c>
    </row>
    <row r="1206" customFormat="false" ht="15" hidden="false" customHeight="false" outlineLevel="0" collapsed="false">
      <c r="A1206" s="13" t="str">
        <f aca="false">TRIM(Raw_Data!A1206)</f>
        <v>EMP1205</v>
      </c>
      <c r="B1206" s="14" t="n">
        <f aca="false">Raw_Data!B1206</f>
        <v>44495</v>
      </c>
      <c r="C1206" s="14" t="n">
        <f aca="false">IF(Raw_Data!C1206="","",Raw_Data!C1206)</f>
        <v>45274</v>
      </c>
      <c r="D1206" s="13" t="n">
        <f aca="false">IF(Raw_Data!D1206="","",Raw_Data!D1206)</f>
        <v>30</v>
      </c>
      <c r="E1206" s="13" t="str">
        <f aca="false">IF(UPPER(LEFT(TRIM(Raw_Data!E1206),1))="M","Male",IF(UPPER(LEFT(TRIM(Raw_Data!E1206),1))="F","Female","Unknown"))</f>
        <v>Male</v>
      </c>
      <c r="F1206" s="13" t="str">
        <f aca="false">PROPER(TRIM(SUBSTITUTE(Raw_Data!F1206,"'","")))</f>
        <v>Diploma</v>
      </c>
      <c r="G1206" s="13" t="str">
        <f aca="false">PROPER(TRIM(Raw_Data!G1206))</f>
        <v>Customer Support</v>
      </c>
      <c r="H1206" s="13" t="str">
        <f aca="false">PROPER(TRIM(Raw_Data!H1206))</f>
        <v>Analyst</v>
      </c>
      <c r="I1206" s="13" t="n">
        <f aca="false">IF(Raw_Data!I1206="",DefaultPerf,Raw_Data!I1206)</f>
        <v>4</v>
      </c>
      <c r="J1206" s="13" t="n">
        <f aca="false">IF(Raw_Data!J1206="",DefaultSat,Raw_Data!J1206)</f>
        <v>2</v>
      </c>
      <c r="K1206" s="15" t="n">
        <f aca="false">Raw_Data!K1206</f>
        <v>71500</v>
      </c>
      <c r="L1206" s="13" t="str">
        <f aca="false">PROPER(TRIM(Raw_Data!N1206))</f>
        <v>Yes</v>
      </c>
      <c r="M1206" s="13" t="n">
        <f aca="false">IF(C1206="",0,1)</f>
        <v>1</v>
      </c>
      <c r="N1206" s="13" t="str">
        <f aca="false">IF(M1206=0,"Active",IF(TRIM(Raw_Data!L1206)="","Unknown",PROPER(TRIM(Raw_Data!L1206))))</f>
        <v>Involuntary</v>
      </c>
      <c r="O1206" s="13" t="str">
        <f aca="false">IF(M1206=0,"",IF(TRIM(Raw_Data!M1206)="","Not Recorded",TRIM(Raw_Data!M1206)))</f>
        <v>Restructuring / Layoff</v>
      </c>
      <c r="P1206" s="16" t="n">
        <f aca="false">ROUND((IF(C1206="",AsOfDate,C1206)-B1206)/365.25,2)</f>
        <v>2.13</v>
      </c>
      <c r="Q1206" s="13" t="str">
        <f aca="false">IF(D1206="","Unknown",IF(D1206&lt;25,"Under 25",IF(D1206&lt;35,"25-34",IF(D1206&lt;45,"35-44",IF(D1206&lt;55,"45-54","55+")))))</f>
        <v>25-34</v>
      </c>
      <c r="R1206" s="13" t="str">
        <f aca="false">IF(P1206&lt;1,"0-1 yrs",IF(P1206&lt;3,"1-3 yrs",IF(P1206&lt;5,"3-5 yrs",IF(P1206&lt;10,"5-10 yrs","10+ yrs"))))</f>
        <v>1-3 yrs</v>
      </c>
      <c r="S1206" s="13" t="str">
        <f aca="false">IF(I1206&gt;=4,"High",IF(I1206=3,"Medium","Low"))</f>
        <v>High</v>
      </c>
      <c r="T1206" s="13" t="n">
        <f aca="false">IF(M1206=1,YEAR(C1206),"")</f>
        <v>2023</v>
      </c>
      <c r="U1206" s="13" t="str">
        <f aca="false">IF(M1206=1,YEAR(C1206)&amp;"-Q"&amp;ROUNDUP(MONTH(C1206)/3,0),"")</f>
        <v>2023-Q4</v>
      </c>
      <c r="V1206" s="13" t="n">
        <f aca="false">IF(M1206=1,MONTH(C1206),"")</f>
        <v>12</v>
      </c>
    </row>
    <row r="1207" customFormat="false" ht="15" hidden="false" customHeight="false" outlineLevel="0" collapsed="false">
      <c r="A1207" s="13" t="str">
        <f aca="false">TRIM(Raw_Data!A1207)</f>
        <v>EMP1206</v>
      </c>
      <c r="B1207" s="14" t="n">
        <f aca="false">Raw_Data!B1207</f>
        <v>44495</v>
      </c>
      <c r="C1207" s="14" t="n">
        <f aca="false">IF(Raw_Data!C1207="","",Raw_Data!C1207)</f>
        <v>45342</v>
      </c>
      <c r="D1207" s="13" t="n">
        <f aca="false">IF(Raw_Data!D1207="","",Raw_Data!D1207)</f>
        <v>27</v>
      </c>
      <c r="E1207" s="13" t="str">
        <f aca="false">IF(UPPER(LEFT(TRIM(Raw_Data!E1207),1))="M","Male",IF(UPPER(LEFT(TRIM(Raw_Data!E1207),1))="F","Female","Unknown"))</f>
        <v>Female</v>
      </c>
      <c r="F1207" s="13" t="str">
        <f aca="false">PROPER(TRIM(SUBSTITUTE(Raw_Data!F1207,"'","")))</f>
        <v>Masters</v>
      </c>
      <c r="G1207" s="13" t="str">
        <f aca="false">PROPER(TRIM(Raw_Data!G1207))</f>
        <v>Operations</v>
      </c>
      <c r="H1207" s="13" t="str">
        <f aca="false">PROPER(TRIM(Raw_Data!H1207))</f>
        <v>Senior Analyst</v>
      </c>
      <c r="I1207" s="13" t="n">
        <f aca="false">IF(Raw_Data!I1207="",DefaultPerf,Raw_Data!I1207)</f>
        <v>3</v>
      </c>
      <c r="J1207" s="13" t="n">
        <f aca="false">IF(Raw_Data!J1207="",DefaultSat,Raw_Data!J1207)</f>
        <v>3</v>
      </c>
      <c r="K1207" s="15" t="n">
        <f aca="false">Raw_Data!K1207</f>
        <v>93000</v>
      </c>
      <c r="L1207" s="13" t="str">
        <f aca="false">PROPER(TRIM(Raw_Data!N1207))</f>
        <v>Yes</v>
      </c>
      <c r="M1207" s="13" t="n">
        <f aca="false">IF(C1207="",0,1)</f>
        <v>1</v>
      </c>
      <c r="N1207" s="13" t="str">
        <f aca="false">IF(M1207=0,"Active",IF(TRIM(Raw_Data!L1207)="","Unknown",PROPER(TRIM(Raw_Data!L1207))))</f>
        <v>Voluntary</v>
      </c>
      <c r="O1207" s="13" t="str">
        <f aca="false">IF(M1207=0,"",IF(TRIM(Raw_Data!M1207)="","Not Recorded",TRIM(Raw_Data!M1207)))</f>
        <v>Job Dissatisfaction</v>
      </c>
      <c r="P1207" s="16" t="n">
        <f aca="false">ROUND((IF(C1207="",AsOfDate,C1207)-B1207)/365.25,2)</f>
        <v>2.32</v>
      </c>
      <c r="Q1207" s="13" t="str">
        <f aca="false">IF(D1207="","Unknown",IF(D1207&lt;25,"Under 25",IF(D1207&lt;35,"25-34",IF(D1207&lt;45,"35-44",IF(D1207&lt;55,"45-54","55+")))))</f>
        <v>25-34</v>
      </c>
      <c r="R1207" s="13" t="str">
        <f aca="false">IF(P1207&lt;1,"0-1 yrs",IF(P1207&lt;3,"1-3 yrs",IF(P1207&lt;5,"3-5 yrs",IF(P1207&lt;10,"5-10 yrs","10+ yrs"))))</f>
        <v>1-3 yrs</v>
      </c>
      <c r="S1207" s="13" t="str">
        <f aca="false">IF(I1207&gt;=4,"High",IF(I1207=3,"Medium","Low"))</f>
        <v>Medium</v>
      </c>
      <c r="T1207" s="13" t="n">
        <f aca="false">IF(M1207=1,YEAR(C1207),"")</f>
        <v>2024</v>
      </c>
      <c r="U1207" s="13" t="str">
        <f aca="false">IF(M1207=1,YEAR(C1207)&amp;"-Q"&amp;ROUNDUP(MONTH(C1207)/3,0),"")</f>
        <v>2024-Q1</v>
      </c>
      <c r="V1207" s="13" t="n">
        <f aca="false">IF(M1207=1,MONTH(C1207),"")</f>
        <v>2</v>
      </c>
    </row>
    <row r="1208" customFormat="false" ht="15" hidden="false" customHeight="false" outlineLevel="0" collapsed="false">
      <c r="A1208" s="13" t="str">
        <f aca="false">TRIM(Raw_Data!A1208)</f>
        <v>EMP1207</v>
      </c>
      <c r="B1208" s="14" t="n">
        <f aca="false">Raw_Data!B1208</f>
        <v>44497</v>
      </c>
      <c r="C1208" s="14" t="n">
        <f aca="false">IF(Raw_Data!C1208="","",Raw_Data!C1208)</f>
        <v>44608</v>
      </c>
      <c r="D1208" s="13" t="n">
        <f aca="false">IF(Raw_Data!D1208="","",Raw_Data!D1208)</f>
        <v>27</v>
      </c>
      <c r="E1208" s="13" t="str">
        <f aca="false">IF(UPPER(LEFT(TRIM(Raw_Data!E1208),1))="M","Male",IF(UPPER(LEFT(TRIM(Raw_Data!E1208),1))="F","Female","Unknown"))</f>
        <v>Female</v>
      </c>
      <c r="F1208" s="13" t="str">
        <f aca="false">PROPER(TRIM(SUBSTITUTE(Raw_Data!F1208,"'","")))</f>
        <v>Masters</v>
      </c>
      <c r="G1208" s="13" t="str">
        <f aca="false">PROPER(TRIM(Raw_Data!G1208))</f>
        <v>Finance</v>
      </c>
      <c r="H1208" s="13" t="str">
        <f aca="false">PROPER(TRIM(Raw_Data!H1208))</f>
        <v>Analyst</v>
      </c>
      <c r="I1208" s="13" t="n">
        <f aca="false">IF(Raw_Data!I1208="",DefaultPerf,Raw_Data!I1208)</f>
        <v>1</v>
      </c>
      <c r="J1208" s="13" t="n">
        <f aca="false">IF(Raw_Data!J1208="",DefaultSat,Raw_Data!J1208)</f>
        <v>3</v>
      </c>
      <c r="K1208" s="15" t="n">
        <f aca="false">Raw_Data!K1208</f>
        <v>62500</v>
      </c>
      <c r="L1208" s="13" t="str">
        <f aca="false">PROPER(TRIM(Raw_Data!N1208))</f>
        <v>Yes</v>
      </c>
      <c r="M1208" s="13" t="n">
        <f aca="false">IF(C1208="",0,1)</f>
        <v>1</v>
      </c>
      <c r="N1208" s="13" t="str">
        <f aca="false">IF(M1208=0,"Active",IF(TRIM(Raw_Data!L1208)="","Unknown",PROPER(TRIM(Raw_Data!L1208))))</f>
        <v>Voluntary</v>
      </c>
      <c r="O1208" s="13" t="str">
        <f aca="false">IF(M1208=0,"",IF(TRIM(Raw_Data!M1208)="","Not Recorded",TRIM(Raw_Data!M1208)))</f>
        <v>Better Compensation</v>
      </c>
      <c r="P1208" s="16" t="n">
        <f aca="false">ROUND((IF(C1208="",AsOfDate,C1208)-B1208)/365.25,2)</f>
        <v>0.3</v>
      </c>
      <c r="Q1208" s="13" t="str">
        <f aca="false">IF(D1208="","Unknown",IF(D1208&lt;25,"Under 25",IF(D1208&lt;35,"25-34",IF(D1208&lt;45,"35-44",IF(D1208&lt;55,"45-54","55+")))))</f>
        <v>25-34</v>
      </c>
      <c r="R1208" s="13" t="str">
        <f aca="false">IF(P1208&lt;1,"0-1 yrs",IF(P1208&lt;3,"1-3 yrs",IF(P1208&lt;5,"3-5 yrs",IF(P1208&lt;10,"5-10 yrs","10+ yrs"))))</f>
        <v>0-1 yrs</v>
      </c>
      <c r="S1208" s="13" t="str">
        <f aca="false">IF(I1208&gt;=4,"High",IF(I1208=3,"Medium","Low"))</f>
        <v>Low</v>
      </c>
      <c r="T1208" s="13" t="n">
        <f aca="false">IF(M1208=1,YEAR(C1208),"")</f>
        <v>2022</v>
      </c>
      <c r="U1208" s="13" t="str">
        <f aca="false">IF(M1208=1,YEAR(C1208)&amp;"-Q"&amp;ROUNDUP(MONTH(C1208)/3,0),"")</f>
        <v>2022-Q1</v>
      </c>
      <c r="V1208" s="13" t="n">
        <f aca="false">IF(M1208=1,MONTH(C1208),"")</f>
        <v>2</v>
      </c>
    </row>
    <row r="1209" customFormat="false" ht="15" hidden="false" customHeight="false" outlineLevel="0" collapsed="false">
      <c r="A1209" s="13" t="str">
        <f aca="false">TRIM(Raw_Data!A1209)</f>
        <v>EMP1208</v>
      </c>
      <c r="B1209" s="14" t="n">
        <f aca="false">Raw_Data!B1209</f>
        <v>44498</v>
      </c>
      <c r="C1209" s="14" t="n">
        <f aca="false">IF(Raw_Data!C1209="","",Raw_Data!C1209)</f>
        <v>44959</v>
      </c>
      <c r="D1209" s="13" t="n">
        <f aca="false">IF(Raw_Data!D1209="","",Raw_Data!D1209)</f>
        <v>34</v>
      </c>
      <c r="E1209" s="13" t="str">
        <f aca="false">IF(UPPER(LEFT(TRIM(Raw_Data!E1209),1))="M","Male",IF(UPPER(LEFT(TRIM(Raw_Data!E1209),1))="F","Female","Unknown"))</f>
        <v>Male</v>
      </c>
      <c r="F1209" s="13" t="str">
        <f aca="false">PROPER(TRIM(SUBSTITUTE(Raw_Data!F1209,"'","")))</f>
        <v>Bachelors</v>
      </c>
      <c r="G1209" s="13" t="str">
        <f aca="false">PROPER(TRIM(Raw_Data!G1209))</f>
        <v>Operations</v>
      </c>
      <c r="H1209" s="13" t="str">
        <f aca="false">PROPER(TRIM(Raw_Data!H1209))</f>
        <v>Associate</v>
      </c>
      <c r="I1209" s="13" t="n">
        <f aca="false">IF(Raw_Data!I1209="",DefaultPerf,Raw_Data!I1209)</f>
        <v>3</v>
      </c>
      <c r="J1209" s="13" t="n">
        <f aca="false">IF(Raw_Data!J1209="",DefaultSat,Raw_Data!J1209)</f>
        <v>2</v>
      </c>
      <c r="K1209" s="15" t="n">
        <f aca="false">Raw_Data!K1209</f>
        <v>44500</v>
      </c>
      <c r="L1209" s="13" t="str">
        <f aca="false">PROPER(TRIM(Raw_Data!N1209))</f>
        <v>No</v>
      </c>
      <c r="M1209" s="13" t="n">
        <f aca="false">IF(C1209="",0,1)</f>
        <v>1</v>
      </c>
      <c r="N1209" s="13" t="str">
        <f aca="false">IF(M1209=0,"Active",IF(TRIM(Raw_Data!L1209)="","Unknown",PROPER(TRIM(Raw_Data!L1209))))</f>
        <v>Voluntary</v>
      </c>
      <c r="O1209" s="13" t="str">
        <f aca="false">IF(M1209=0,"",IF(TRIM(Raw_Data!M1209)="","Not Recorded",TRIM(Raw_Data!M1209)))</f>
        <v>Better Compensation</v>
      </c>
      <c r="P1209" s="16" t="n">
        <f aca="false">ROUND((IF(C1209="",AsOfDate,C1209)-B1209)/365.25,2)</f>
        <v>1.26</v>
      </c>
      <c r="Q1209" s="13" t="str">
        <f aca="false">IF(D1209="","Unknown",IF(D1209&lt;25,"Under 25",IF(D1209&lt;35,"25-34",IF(D1209&lt;45,"35-44",IF(D1209&lt;55,"45-54","55+")))))</f>
        <v>25-34</v>
      </c>
      <c r="R1209" s="13" t="str">
        <f aca="false">IF(P1209&lt;1,"0-1 yrs",IF(P1209&lt;3,"1-3 yrs",IF(P1209&lt;5,"3-5 yrs",IF(P1209&lt;10,"5-10 yrs","10+ yrs"))))</f>
        <v>1-3 yrs</v>
      </c>
      <c r="S1209" s="13" t="str">
        <f aca="false">IF(I1209&gt;=4,"High",IF(I1209=3,"Medium","Low"))</f>
        <v>Medium</v>
      </c>
      <c r="T1209" s="13" t="n">
        <f aca="false">IF(M1209=1,YEAR(C1209),"")</f>
        <v>2023</v>
      </c>
      <c r="U1209" s="13" t="str">
        <f aca="false">IF(M1209=1,YEAR(C1209)&amp;"-Q"&amp;ROUNDUP(MONTH(C1209)/3,0),"")</f>
        <v>2023-Q1</v>
      </c>
      <c r="V1209" s="13" t="n">
        <f aca="false">IF(M1209=1,MONTH(C1209),"")</f>
        <v>2</v>
      </c>
    </row>
    <row r="1210" customFormat="false" ht="15" hidden="false" customHeight="false" outlineLevel="0" collapsed="false">
      <c r="A1210" s="13" t="str">
        <f aca="false">TRIM(Raw_Data!A1210)</f>
        <v>EMP1209</v>
      </c>
      <c r="B1210" s="14" t="n">
        <f aca="false">Raw_Data!B1210</f>
        <v>44501</v>
      </c>
      <c r="C1210" s="14" t="str">
        <f aca="false">IF(Raw_Data!C1210="","",Raw_Data!C1210)</f>
        <v/>
      </c>
      <c r="D1210" s="13" t="n">
        <f aca="false">IF(Raw_Data!D1210="","",Raw_Data!D1210)</f>
        <v>34</v>
      </c>
      <c r="E1210" s="13" t="str">
        <f aca="false">IF(UPPER(LEFT(TRIM(Raw_Data!E1210),1))="M","Male",IF(UPPER(LEFT(TRIM(Raw_Data!E1210),1))="F","Female","Unknown"))</f>
        <v>Female</v>
      </c>
      <c r="F1210" s="13" t="str">
        <f aca="false">PROPER(TRIM(SUBSTITUTE(Raw_Data!F1210,"'","")))</f>
        <v>Diploma</v>
      </c>
      <c r="G1210" s="13" t="str">
        <f aca="false">PROPER(TRIM(Raw_Data!G1210))</f>
        <v>Human Resources</v>
      </c>
      <c r="H1210" s="13" t="str">
        <f aca="false">PROPER(TRIM(Raw_Data!H1210))</f>
        <v>Senior Analyst</v>
      </c>
      <c r="I1210" s="13" t="n">
        <f aca="false">IF(Raw_Data!I1210="",DefaultPerf,Raw_Data!I1210)</f>
        <v>3</v>
      </c>
      <c r="J1210" s="17" t="n">
        <f aca="false">IF(Raw_Data!J1210="",DefaultSat,Raw_Data!J1210)</f>
        <v>3</v>
      </c>
      <c r="K1210" s="15" t="n">
        <f aca="false">Raw_Data!K1210</f>
        <v>93500</v>
      </c>
      <c r="L1210" s="13" t="str">
        <f aca="false">PROPER(TRIM(Raw_Data!N1210))</f>
        <v>No</v>
      </c>
      <c r="M1210" s="13" t="n">
        <f aca="false">IF(C1210="",0,1)</f>
        <v>0</v>
      </c>
      <c r="N1210" s="13" t="str">
        <f aca="false">IF(M1210=0,"Active",IF(TRIM(Raw_Data!L1210)="","Unknown",PROPER(TRIM(Raw_Data!L1210))))</f>
        <v>Active</v>
      </c>
      <c r="O1210" s="13" t="str">
        <f aca="false">IF(M1210=0,"",IF(TRIM(Raw_Data!M1210)="","Not Recorded",TRIM(Raw_Data!M1210)))</f>
        <v/>
      </c>
      <c r="P1210" s="16" t="n">
        <f aca="false">ROUND((IF(C1210="",AsOfDate,C1210)-B1210)/365.25,2)</f>
        <v>4.16</v>
      </c>
      <c r="Q1210" s="13" t="str">
        <f aca="false">IF(D1210="","Unknown",IF(D1210&lt;25,"Under 25",IF(D1210&lt;35,"25-34",IF(D1210&lt;45,"35-44",IF(D1210&lt;55,"45-54","55+")))))</f>
        <v>25-34</v>
      </c>
      <c r="R1210" s="13" t="str">
        <f aca="false">IF(P1210&lt;1,"0-1 yrs",IF(P1210&lt;3,"1-3 yrs",IF(P1210&lt;5,"3-5 yrs",IF(P1210&lt;10,"5-10 yrs","10+ yrs"))))</f>
        <v>3-5 yrs</v>
      </c>
      <c r="S1210" s="13" t="str">
        <f aca="false">IF(I1210&gt;=4,"High",IF(I1210=3,"Medium","Low"))</f>
        <v>Medium</v>
      </c>
      <c r="T1210" s="13" t="str">
        <f aca="false">IF(M1210=1,YEAR(C1210),"")</f>
        <v/>
      </c>
      <c r="U1210" s="13" t="str">
        <f aca="false">IF(M1210=1,YEAR(C1210)&amp;"-Q"&amp;ROUNDUP(MONTH(C1210)/3,0),"")</f>
        <v/>
      </c>
      <c r="V1210" s="13" t="str">
        <f aca="false">IF(M1210=1,MONTH(C1210),"")</f>
        <v/>
      </c>
    </row>
    <row r="1211" customFormat="false" ht="15" hidden="false" customHeight="false" outlineLevel="0" collapsed="false">
      <c r="A1211" s="13" t="str">
        <f aca="false">TRIM(Raw_Data!A1211)</f>
        <v>EMP1210</v>
      </c>
      <c r="B1211" s="14" t="n">
        <f aca="false">Raw_Data!B1211</f>
        <v>44514</v>
      </c>
      <c r="C1211" s="14" t="str">
        <f aca="false">IF(Raw_Data!C1211="","",Raw_Data!C1211)</f>
        <v/>
      </c>
      <c r="D1211" s="13" t="n">
        <f aca="false">IF(Raw_Data!D1211="","",Raw_Data!D1211)</f>
        <v>35</v>
      </c>
      <c r="E1211" s="13" t="str">
        <f aca="false">IF(UPPER(LEFT(TRIM(Raw_Data!E1211),1))="M","Male",IF(UPPER(LEFT(TRIM(Raw_Data!E1211),1))="F","Female","Unknown"))</f>
        <v>Male</v>
      </c>
      <c r="F1211" s="13" t="str">
        <f aca="false">PROPER(TRIM(SUBSTITUTE(Raw_Data!F1211,"'","")))</f>
        <v>Bachelors</v>
      </c>
      <c r="G1211" s="13" t="str">
        <f aca="false">PROPER(TRIM(Raw_Data!G1211))</f>
        <v>Finance</v>
      </c>
      <c r="H1211" s="13" t="str">
        <f aca="false">PROPER(TRIM(Raw_Data!H1211))</f>
        <v>Manager</v>
      </c>
      <c r="I1211" s="13" t="n">
        <f aca="false">IF(Raw_Data!I1211="",DefaultPerf,Raw_Data!I1211)</f>
        <v>3</v>
      </c>
      <c r="J1211" s="13" t="n">
        <f aca="false">IF(Raw_Data!J1211="",DefaultSat,Raw_Data!J1211)</f>
        <v>3</v>
      </c>
      <c r="K1211" s="15" t="n">
        <f aca="false">Raw_Data!K1211</f>
        <v>201500</v>
      </c>
      <c r="L1211" s="13" t="str">
        <f aca="false">PROPER(TRIM(Raw_Data!N1211))</f>
        <v>Yes</v>
      </c>
      <c r="M1211" s="13" t="n">
        <f aca="false">IF(C1211="",0,1)</f>
        <v>0</v>
      </c>
      <c r="N1211" s="13" t="str">
        <f aca="false">IF(M1211=0,"Active",IF(TRIM(Raw_Data!L1211)="","Unknown",PROPER(TRIM(Raw_Data!L1211))))</f>
        <v>Active</v>
      </c>
      <c r="O1211" s="13" t="str">
        <f aca="false">IF(M1211=0,"",IF(TRIM(Raw_Data!M1211)="","Not Recorded",TRIM(Raw_Data!M1211)))</f>
        <v/>
      </c>
      <c r="P1211" s="16" t="n">
        <f aca="false">ROUND((IF(C1211="",AsOfDate,C1211)-B1211)/365.25,2)</f>
        <v>4.13</v>
      </c>
      <c r="Q1211" s="13" t="str">
        <f aca="false">IF(D1211="","Unknown",IF(D1211&lt;25,"Under 25",IF(D1211&lt;35,"25-34",IF(D1211&lt;45,"35-44",IF(D1211&lt;55,"45-54","55+")))))</f>
        <v>35-44</v>
      </c>
      <c r="R1211" s="13" t="str">
        <f aca="false">IF(P1211&lt;1,"0-1 yrs",IF(P1211&lt;3,"1-3 yrs",IF(P1211&lt;5,"3-5 yrs",IF(P1211&lt;10,"5-10 yrs","10+ yrs"))))</f>
        <v>3-5 yrs</v>
      </c>
      <c r="S1211" s="13" t="str">
        <f aca="false">IF(I1211&gt;=4,"High",IF(I1211=3,"Medium","Low"))</f>
        <v>Medium</v>
      </c>
      <c r="T1211" s="13" t="str">
        <f aca="false">IF(M1211=1,YEAR(C1211),"")</f>
        <v/>
      </c>
      <c r="U1211" s="13" t="str">
        <f aca="false">IF(M1211=1,YEAR(C1211)&amp;"-Q"&amp;ROUNDUP(MONTH(C1211)/3,0),"")</f>
        <v/>
      </c>
      <c r="V1211" s="13" t="str">
        <f aca="false">IF(M1211=1,MONTH(C1211),"")</f>
        <v/>
      </c>
    </row>
    <row r="1212" customFormat="false" ht="15" hidden="false" customHeight="false" outlineLevel="0" collapsed="false">
      <c r="A1212" s="13" t="str">
        <f aca="false">TRIM(Raw_Data!A1212)</f>
        <v>EMP1211</v>
      </c>
      <c r="B1212" s="14" t="n">
        <f aca="false">Raw_Data!B1212</f>
        <v>44518</v>
      </c>
      <c r="C1212" s="14" t="n">
        <f aca="false">IF(Raw_Data!C1212="","",Raw_Data!C1212)</f>
        <v>44659</v>
      </c>
      <c r="D1212" s="13" t="n">
        <f aca="false">IF(Raw_Data!D1212="","",Raw_Data!D1212)</f>
        <v>21</v>
      </c>
      <c r="E1212" s="13" t="str">
        <f aca="false">IF(UPPER(LEFT(TRIM(Raw_Data!E1212),1))="M","Male",IF(UPPER(LEFT(TRIM(Raw_Data!E1212),1))="F","Female","Unknown"))</f>
        <v>Female</v>
      </c>
      <c r="F1212" s="13" t="str">
        <f aca="false">PROPER(TRIM(SUBSTITUTE(Raw_Data!F1212,"'","")))</f>
        <v>Masters</v>
      </c>
      <c r="G1212" s="13" t="str">
        <f aca="false">PROPER(TRIM(Raw_Data!G1212))</f>
        <v>Customer Support</v>
      </c>
      <c r="H1212" s="13" t="str">
        <f aca="false">PROPER(TRIM(Raw_Data!H1212))</f>
        <v>Team Lead</v>
      </c>
      <c r="I1212" s="13" t="n">
        <f aca="false">IF(Raw_Data!I1212="",DefaultPerf,Raw_Data!I1212)</f>
        <v>5</v>
      </c>
      <c r="J1212" s="13" t="n">
        <f aca="false">IF(Raw_Data!J1212="",DefaultSat,Raw_Data!J1212)</f>
        <v>2</v>
      </c>
      <c r="K1212" s="15" t="n">
        <f aca="false">Raw_Data!K1212</f>
        <v>139000</v>
      </c>
      <c r="L1212" s="13" t="str">
        <f aca="false">PROPER(TRIM(Raw_Data!N1212))</f>
        <v>Yes</v>
      </c>
      <c r="M1212" s="13" t="n">
        <f aca="false">IF(C1212="",0,1)</f>
        <v>1</v>
      </c>
      <c r="N1212" s="13" t="str">
        <f aca="false">IF(M1212=0,"Active",IF(TRIM(Raw_Data!L1212)="","Unknown",PROPER(TRIM(Raw_Data!L1212))))</f>
        <v>Voluntary</v>
      </c>
      <c r="O1212" s="13" t="str">
        <f aca="false">IF(M1212=0,"",IF(TRIM(Raw_Data!M1212)="","Not Recorded",TRIM(Raw_Data!M1212)))</f>
        <v>Career Growth</v>
      </c>
      <c r="P1212" s="16" t="n">
        <f aca="false">ROUND((IF(C1212="",AsOfDate,C1212)-B1212)/365.25,2)</f>
        <v>0.39</v>
      </c>
      <c r="Q1212" s="13" t="str">
        <f aca="false">IF(D1212="","Unknown",IF(D1212&lt;25,"Under 25",IF(D1212&lt;35,"25-34",IF(D1212&lt;45,"35-44",IF(D1212&lt;55,"45-54","55+")))))</f>
        <v>Under 25</v>
      </c>
      <c r="R1212" s="13" t="str">
        <f aca="false">IF(P1212&lt;1,"0-1 yrs",IF(P1212&lt;3,"1-3 yrs",IF(P1212&lt;5,"3-5 yrs",IF(P1212&lt;10,"5-10 yrs","10+ yrs"))))</f>
        <v>0-1 yrs</v>
      </c>
      <c r="S1212" s="13" t="str">
        <f aca="false">IF(I1212&gt;=4,"High",IF(I1212=3,"Medium","Low"))</f>
        <v>High</v>
      </c>
      <c r="T1212" s="13" t="n">
        <f aca="false">IF(M1212=1,YEAR(C1212),"")</f>
        <v>2022</v>
      </c>
      <c r="U1212" s="13" t="str">
        <f aca="false">IF(M1212=1,YEAR(C1212)&amp;"-Q"&amp;ROUNDUP(MONTH(C1212)/3,0),"")</f>
        <v>2022-Q2</v>
      </c>
      <c r="V1212" s="13" t="n">
        <f aca="false">IF(M1212=1,MONTH(C1212),"")</f>
        <v>4</v>
      </c>
    </row>
    <row r="1213" customFormat="false" ht="15" hidden="false" customHeight="false" outlineLevel="0" collapsed="false">
      <c r="A1213" s="13" t="str">
        <f aca="false">TRIM(Raw_Data!A1213)</f>
        <v>EMP1212</v>
      </c>
      <c r="B1213" s="14" t="n">
        <f aca="false">Raw_Data!B1213</f>
        <v>44519</v>
      </c>
      <c r="C1213" s="14" t="n">
        <f aca="false">IF(Raw_Data!C1213="","",Raw_Data!C1213)</f>
        <v>45954</v>
      </c>
      <c r="D1213" s="13" t="n">
        <f aca="false">IF(Raw_Data!D1213="","",Raw_Data!D1213)</f>
        <v>34</v>
      </c>
      <c r="E1213" s="13" t="str">
        <f aca="false">IF(UPPER(LEFT(TRIM(Raw_Data!E1213),1))="M","Male",IF(UPPER(LEFT(TRIM(Raw_Data!E1213),1))="F","Female","Unknown"))</f>
        <v>Male</v>
      </c>
      <c r="F1213" s="13" t="str">
        <f aca="false">PROPER(TRIM(SUBSTITUTE(Raw_Data!F1213,"'","")))</f>
        <v>High School</v>
      </c>
      <c r="G1213" s="13" t="str">
        <f aca="false">PROPER(TRIM(Raw_Data!G1213))</f>
        <v>Engineering</v>
      </c>
      <c r="H1213" s="13" t="str">
        <f aca="false">PROPER(TRIM(Raw_Data!H1213))</f>
        <v>Analyst</v>
      </c>
      <c r="I1213" s="13" t="n">
        <f aca="false">IF(Raw_Data!I1213="",DefaultPerf,Raw_Data!I1213)</f>
        <v>2</v>
      </c>
      <c r="J1213" s="13" t="n">
        <f aca="false">IF(Raw_Data!J1213="",DefaultSat,Raw_Data!J1213)</f>
        <v>1</v>
      </c>
      <c r="K1213" s="15" t="n">
        <f aca="false">Raw_Data!K1213</f>
        <v>55000</v>
      </c>
      <c r="L1213" s="13" t="str">
        <f aca="false">PROPER(TRIM(Raw_Data!N1213))</f>
        <v>No</v>
      </c>
      <c r="M1213" s="13" t="n">
        <f aca="false">IF(C1213="",0,1)</f>
        <v>1</v>
      </c>
      <c r="N1213" s="13" t="str">
        <f aca="false">IF(M1213=0,"Active",IF(TRIM(Raw_Data!L1213)="","Unknown",PROPER(TRIM(Raw_Data!L1213))))</f>
        <v>Involuntary</v>
      </c>
      <c r="O1213" s="13" t="str">
        <f aca="false">IF(M1213=0,"",IF(TRIM(Raw_Data!M1213)="","Not Recorded",TRIM(Raw_Data!M1213)))</f>
        <v>Poor Performance</v>
      </c>
      <c r="P1213" s="16" t="n">
        <f aca="false">ROUND((IF(C1213="",AsOfDate,C1213)-B1213)/365.25,2)</f>
        <v>3.93</v>
      </c>
      <c r="Q1213" s="13" t="str">
        <f aca="false">IF(D1213="","Unknown",IF(D1213&lt;25,"Under 25",IF(D1213&lt;35,"25-34",IF(D1213&lt;45,"35-44",IF(D1213&lt;55,"45-54","55+")))))</f>
        <v>25-34</v>
      </c>
      <c r="R1213" s="13" t="str">
        <f aca="false">IF(P1213&lt;1,"0-1 yrs",IF(P1213&lt;3,"1-3 yrs",IF(P1213&lt;5,"3-5 yrs",IF(P1213&lt;10,"5-10 yrs","10+ yrs"))))</f>
        <v>3-5 yrs</v>
      </c>
      <c r="S1213" s="13" t="str">
        <f aca="false">IF(I1213&gt;=4,"High",IF(I1213=3,"Medium","Low"))</f>
        <v>Low</v>
      </c>
      <c r="T1213" s="13" t="n">
        <f aca="false">IF(M1213=1,YEAR(C1213),"")</f>
        <v>2025</v>
      </c>
      <c r="U1213" s="13" t="str">
        <f aca="false">IF(M1213=1,YEAR(C1213)&amp;"-Q"&amp;ROUNDUP(MONTH(C1213)/3,0),"")</f>
        <v>2025-Q4</v>
      </c>
      <c r="V1213" s="13" t="n">
        <f aca="false">IF(M1213=1,MONTH(C1213),"")</f>
        <v>10</v>
      </c>
    </row>
    <row r="1214" customFormat="false" ht="15" hidden="false" customHeight="false" outlineLevel="0" collapsed="false">
      <c r="A1214" s="13" t="str">
        <f aca="false">TRIM(Raw_Data!A1214)</f>
        <v>EMP1213</v>
      </c>
      <c r="B1214" s="14" t="n">
        <f aca="false">Raw_Data!B1214</f>
        <v>44519</v>
      </c>
      <c r="C1214" s="14" t="str">
        <f aca="false">IF(Raw_Data!C1214="","",Raw_Data!C1214)</f>
        <v/>
      </c>
      <c r="D1214" s="13" t="n">
        <f aca="false">IF(Raw_Data!D1214="","",Raw_Data!D1214)</f>
        <v>33</v>
      </c>
      <c r="E1214" s="13" t="str">
        <f aca="false">IF(UPPER(LEFT(TRIM(Raw_Data!E1214),1))="M","Male",IF(UPPER(LEFT(TRIM(Raw_Data!E1214),1))="F","Female","Unknown"))</f>
        <v>Female</v>
      </c>
      <c r="F1214" s="13" t="str">
        <f aca="false">PROPER(TRIM(SUBSTITUTE(Raw_Data!F1214,"'","")))</f>
        <v>Masters</v>
      </c>
      <c r="G1214" s="13" t="str">
        <f aca="false">PROPER(TRIM(Raw_Data!G1214))</f>
        <v>Engineering</v>
      </c>
      <c r="H1214" s="13" t="str">
        <f aca="false">PROPER(TRIM(Raw_Data!H1214))</f>
        <v>Specialist</v>
      </c>
      <c r="I1214" s="13" t="n">
        <f aca="false">IF(Raw_Data!I1214="",DefaultPerf,Raw_Data!I1214)</f>
        <v>3</v>
      </c>
      <c r="J1214" s="13" t="n">
        <f aca="false">IF(Raw_Data!J1214="",DefaultSat,Raw_Data!J1214)</f>
        <v>4</v>
      </c>
      <c r="K1214" s="15" t="n">
        <f aca="false">Raw_Data!K1214</f>
        <v>115000</v>
      </c>
      <c r="L1214" s="13" t="str">
        <f aca="false">PROPER(TRIM(Raw_Data!N1214))</f>
        <v>No</v>
      </c>
      <c r="M1214" s="13" t="n">
        <f aca="false">IF(C1214="",0,1)</f>
        <v>0</v>
      </c>
      <c r="N1214" s="13" t="str">
        <f aca="false">IF(M1214=0,"Active",IF(TRIM(Raw_Data!L1214)="","Unknown",PROPER(TRIM(Raw_Data!L1214))))</f>
        <v>Active</v>
      </c>
      <c r="O1214" s="13" t="str">
        <f aca="false">IF(M1214=0,"",IF(TRIM(Raw_Data!M1214)="","Not Recorded",TRIM(Raw_Data!M1214)))</f>
        <v/>
      </c>
      <c r="P1214" s="16" t="n">
        <f aca="false">ROUND((IF(C1214="",AsOfDate,C1214)-B1214)/365.25,2)</f>
        <v>4.11</v>
      </c>
      <c r="Q1214" s="13" t="str">
        <f aca="false">IF(D1214="","Unknown",IF(D1214&lt;25,"Under 25",IF(D1214&lt;35,"25-34",IF(D1214&lt;45,"35-44",IF(D1214&lt;55,"45-54","55+")))))</f>
        <v>25-34</v>
      </c>
      <c r="R1214" s="13" t="str">
        <f aca="false">IF(P1214&lt;1,"0-1 yrs",IF(P1214&lt;3,"1-3 yrs",IF(P1214&lt;5,"3-5 yrs",IF(P1214&lt;10,"5-10 yrs","10+ yrs"))))</f>
        <v>3-5 yrs</v>
      </c>
      <c r="S1214" s="13" t="str">
        <f aca="false">IF(I1214&gt;=4,"High",IF(I1214=3,"Medium","Low"))</f>
        <v>Medium</v>
      </c>
      <c r="T1214" s="13" t="str">
        <f aca="false">IF(M1214=1,YEAR(C1214),"")</f>
        <v/>
      </c>
      <c r="U1214" s="13" t="str">
        <f aca="false">IF(M1214=1,YEAR(C1214)&amp;"-Q"&amp;ROUNDUP(MONTH(C1214)/3,0),"")</f>
        <v/>
      </c>
      <c r="V1214" s="13" t="str">
        <f aca="false">IF(M1214=1,MONTH(C1214),"")</f>
        <v/>
      </c>
    </row>
    <row r="1215" customFormat="false" ht="15" hidden="false" customHeight="false" outlineLevel="0" collapsed="false">
      <c r="A1215" s="13" t="str">
        <f aca="false">TRIM(Raw_Data!A1215)</f>
        <v>EMP1214</v>
      </c>
      <c r="B1215" s="14" t="n">
        <f aca="false">Raw_Data!B1215</f>
        <v>44519</v>
      </c>
      <c r="C1215" s="14" t="n">
        <f aca="false">IF(Raw_Data!C1215="","",Raw_Data!C1215)</f>
        <v>45266</v>
      </c>
      <c r="D1215" s="13" t="n">
        <f aca="false">IF(Raw_Data!D1215="","",Raw_Data!D1215)</f>
        <v>24</v>
      </c>
      <c r="E1215" s="13" t="str">
        <f aca="false">IF(UPPER(LEFT(TRIM(Raw_Data!E1215),1))="M","Male",IF(UPPER(LEFT(TRIM(Raw_Data!E1215),1))="F","Female","Unknown"))</f>
        <v>Male</v>
      </c>
      <c r="F1215" s="13" t="str">
        <f aca="false">PROPER(TRIM(SUBSTITUTE(Raw_Data!F1215,"'","")))</f>
        <v>High School</v>
      </c>
      <c r="G1215" s="13" t="str">
        <f aca="false">PROPER(TRIM(Raw_Data!G1215))</f>
        <v>Operations</v>
      </c>
      <c r="H1215" s="13" t="str">
        <f aca="false">PROPER(TRIM(Raw_Data!H1215))</f>
        <v>Associate</v>
      </c>
      <c r="I1215" s="13" t="n">
        <f aca="false">IF(Raw_Data!I1215="",DefaultPerf,Raw_Data!I1215)</f>
        <v>5</v>
      </c>
      <c r="J1215" s="13" t="n">
        <f aca="false">IF(Raw_Data!J1215="",DefaultSat,Raw_Data!J1215)</f>
        <v>1</v>
      </c>
      <c r="K1215" s="15" t="n">
        <f aca="false">Raw_Data!K1215</f>
        <v>40500</v>
      </c>
      <c r="L1215" s="13" t="str">
        <f aca="false">PROPER(TRIM(Raw_Data!N1215))</f>
        <v>No</v>
      </c>
      <c r="M1215" s="13" t="n">
        <f aca="false">IF(C1215="",0,1)</f>
        <v>1</v>
      </c>
      <c r="N1215" s="13" t="str">
        <f aca="false">IF(M1215=0,"Active",IF(TRIM(Raw_Data!L1215)="","Unknown",PROPER(TRIM(Raw_Data!L1215))))</f>
        <v>Involuntary</v>
      </c>
      <c r="O1215" s="13" t="str">
        <f aca="false">IF(M1215=0,"",IF(TRIM(Raw_Data!M1215)="","Not Recorded",TRIM(Raw_Data!M1215)))</f>
        <v>Restructuring / Layoff</v>
      </c>
      <c r="P1215" s="16" t="n">
        <f aca="false">ROUND((IF(C1215="",AsOfDate,C1215)-B1215)/365.25,2)</f>
        <v>2.05</v>
      </c>
      <c r="Q1215" s="13" t="str">
        <f aca="false">IF(D1215="","Unknown",IF(D1215&lt;25,"Under 25",IF(D1215&lt;35,"25-34",IF(D1215&lt;45,"35-44",IF(D1215&lt;55,"45-54","55+")))))</f>
        <v>Under 25</v>
      </c>
      <c r="R1215" s="13" t="str">
        <f aca="false">IF(P1215&lt;1,"0-1 yrs",IF(P1215&lt;3,"1-3 yrs",IF(P1215&lt;5,"3-5 yrs",IF(P1215&lt;10,"5-10 yrs","10+ yrs"))))</f>
        <v>1-3 yrs</v>
      </c>
      <c r="S1215" s="13" t="str">
        <f aca="false">IF(I1215&gt;=4,"High",IF(I1215=3,"Medium","Low"))</f>
        <v>High</v>
      </c>
      <c r="T1215" s="13" t="n">
        <f aca="false">IF(M1215=1,YEAR(C1215),"")</f>
        <v>2023</v>
      </c>
      <c r="U1215" s="13" t="str">
        <f aca="false">IF(M1215=1,YEAR(C1215)&amp;"-Q"&amp;ROUNDUP(MONTH(C1215)/3,0),"")</f>
        <v>2023-Q4</v>
      </c>
      <c r="V1215" s="13" t="n">
        <f aca="false">IF(M1215=1,MONTH(C1215),"")</f>
        <v>12</v>
      </c>
    </row>
    <row r="1216" customFormat="false" ht="15" hidden="false" customHeight="false" outlineLevel="0" collapsed="false">
      <c r="A1216" s="13" t="str">
        <f aca="false">TRIM(Raw_Data!A1216)</f>
        <v>EMP1215</v>
      </c>
      <c r="B1216" s="14" t="n">
        <f aca="false">Raw_Data!B1216</f>
        <v>44520</v>
      </c>
      <c r="C1216" s="14" t="n">
        <f aca="false">IF(Raw_Data!C1216="","",Raw_Data!C1216)</f>
        <v>44725</v>
      </c>
      <c r="D1216" s="13" t="n">
        <f aca="false">IF(Raw_Data!D1216="","",Raw_Data!D1216)</f>
        <v>26</v>
      </c>
      <c r="E1216" s="13" t="str">
        <f aca="false">IF(UPPER(LEFT(TRIM(Raw_Data!E1216),1))="M","Male",IF(UPPER(LEFT(TRIM(Raw_Data!E1216),1))="F","Female","Unknown"))</f>
        <v>Male</v>
      </c>
      <c r="F1216" s="13" t="str">
        <f aca="false">PROPER(TRIM(SUBSTITUTE(Raw_Data!F1216,"'","")))</f>
        <v>Bachelors</v>
      </c>
      <c r="G1216" s="13" t="str">
        <f aca="false">PROPER(TRIM(Raw_Data!G1216))</f>
        <v>Human Resources</v>
      </c>
      <c r="H1216" s="13" t="str">
        <f aca="false">PROPER(TRIM(Raw_Data!H1216))</f>
        <v>Specialist</v>
      </c>
      <c r="I1216" s="13" t="n">
        <f aca="false">IF(Raw_Data!I1216="",DefaultPerf,Raw_Data!I1216)</f>
        <v>3</v>
      </c>
      <c r="J1216" s="13" t="n">
        <f aca="false">IF(Raw_Data!J1216="",DefaultSat,Raw_Data!J1216)</f>
        <v>1</v>
      </c>
      <c r="K1216" s="15" t="n">
        <f aca="false">Raw_Data!K1216</f>
        <v>109500</v>
      </c>
      <c r="L1216" s="13" t="str">
        <f aca="false">PROPER(TRIM(Raw_Data!N1216))</f>
        <v>No</v>
      </c>
      <c r="M1216" s="13" t="n">
        <f aca="false">IF(C1216="",0,1)</f>
        <v>1</v>
      </c>
      <c r="N1216" s="13" t="str">
        <f aca="false">IF(M1216=0,"Active",IF(TRIM(Raw_Data!L1216)="","Unknown",PROPER(TRIM(Raw_Data!L1216))))</f>
        <v>Voluntary</v>
      </c>
      <c r="O1216" s="13" t="str">
        <f aca="false">IF(M1216=0,"",IF(TRIM(Raw_Data!M1216)="","Not Recorded",TRIM(Raw_Data!M1216)))</f>
        <v>Job Dissatisfaction</v>
      </c>
      <c r="P1216" s="16" t="n">
        <f aca="false">ROUND((IF(C1216="",AsOfDate,C1216)-B1216)/365.25,2)</f>
        <v>0.56</v>
      </c>
      <c r="Q1216" s="13" t="str">
        <f aca="false">IF(D1216="","Unknown",IF(D1216&lt;25,"Under 25",IF(D1216&lt;35,"25-34",IF(D1216&lt;45,"35-44",IF(D1216&lt;55,"45-54","55+")))))</f>
        <v>25-34</v>
      </c>
      <c r="R1216" s="13" t="str">
        <f aca="false">IF(P1216&lt;1,"0-1 yrs",IF(P1216&lt;3,"1-3 yrs",IF(P1216&lt;5,"3-5 yrs",IF(P1216&lt;10,"5-10 yrs","10+ yrs"))))</f>
        <v>0-1 yrs</v>
      </c>
      <c r="S1216" s="13" t="str">
        <f aca="false">IF(I1216&gt;=4,"High",IF(I1216=3,"Medium","Low"))</f>
        <v>Medium</v>
      </c>
      <c r="T1216" s="13" t="n">
        <f aca="false">IF(M1216=1,YEAR(C1216),"")</f>
        <v>2022</v>
      </c>
      <c r="U1216" s="13" t="str">
        <f aca="false">IF(M1216=1,YEAR(C1216)&amp;"-Q"&amp;ROUNDUP(MONTH(C1216)/3,0),"")</f>
        <v>2022-Q2</v>
      </c>
      <c r="V1216" s="13" t="n">
        <f aca="false">IF(M1216=1,MONTH(C1216),"")</f>
        <v>6</v>
      </c>
    </row>
    <row r="1217" customFormat="false" ht="15" hidden="false" customHeight="false" outlineLevel="0" collapsed="false">
      <c r="A1217" s="13" t="str">
        <f aca="false">TRIM(Raw_Data!A1217)</f>
        <v>EMP1216</v>
      </c>
      <c r="B1217" s="14" t="n">
        <f aca="false">Raw_Data!B1217</f>
        <v>44526</v>
      </c>
      <c r="C1217" s="14" t="str">
        <f aca="false">IF(Raw_Data!C1217="","",Raw_Data!C1217)</f>
        <v/>
      </c>
      <c r="D1217" s="13" t="n">
        <f aca="false">IF(Raw_Data!D1217="","",Raw_Data!D1217)</f>
        <v>37</v>
      </c>
      <c r="E1217" s="13" t="str">
        <f aca="false">IF(UPPER(LEFT(TRIM(Raw_Data!E1217),1))="M","Male",IF(UPPER(LEFT(TRIM(Raw_Data!E1217),1))="F","Female","Unknown"))</f>
        <v>Male</v>
      </c>
      <c r="F1217" s="13" t="str">
        <f aca="false">PROPER(TRIM(SUBSTITUTE(Raw_Data!F1217,"'","")))</f>
        <v>Masters</v>
      </c>
      <c r="G1217" s="13" t="str">
        <f aca="false">PROPER(TRIM(Raw_Data!G1217))</f>
        <v>Engineering</v>
      </c>
      <c r="H1217" s="13" t="str">
        <f aca="false">PROPER(TRIM(Raw_Data!H1217))</f>
        <v>Associate</v>
      </c>
      <c r="I1217" s="13" t="n">
        <f aca="false">IF(Raw_Data!I1217="",DefaultPerf,Raw_Data!I1217)</f>
        <v>3</v>
      </c>
      <c r="J1217" s="13" t="n">
        <f aca="false">IF(Raw_Data!J1217="",DefaultSat,Raw_Data!J1217)</f>
        <v>3</v>
      </c>
      <c r="K1217" s="15" t="n">
        <f aca="false">Raw_Data!K1217</f>
        <v>43500</v>
      </c>
      <c r="L1217" s="13" t="str">
        <f aca="false">PROPER(TRIM(Raw_Data!N1217))</f>
        <v>No</v>
      </c>
      <c r="M1217" s="13" t="n">
        <f aca="false">IF(C1217="",0,1)</f>
        <v>0</v>
      </c>
      <c r="N1217" s="13" t="str">
        <f aca="false">IF(M1217=0,"Active",IF(TRIM(Raw_Data!L1217)="","Unknown",PROPER(TRIM(Raw_Data!L1217))))</f>
        <v>Active</v>
      </c>
      <c r="O1217" s="13" t="str">
        <f aca="false">IF(M1217=0,"",IF(TRIM(Raw_Data!M1217)="","Not Recorded",TRIM(Raw_Data!M1217)))</f>
        <v/>
      </c>
      <c r="P1217" s="16" t="n">
        <f aca="false">ROUND((IF(C1217="",AsOfDate,C1217)-B1217)/365.25,2)</f>
        <v>4.1</v>
      </c>
      <c r="Q1217" s="13" t="str">
        <f aca="false">IF(D1217="","Unknown",IF(D1217&lt;25,"Under 25",IF(D1217&lt;35,"25-34",IF(D1217&lt;45,"35-44",IF(D1217&lt;55,"45-54","55+")))))</f>
        <v>35-44</v>
      </c>
      <c r="R1217" s="13" t="str">
        <f aca="false">IF(P1217&lt;1,"0-1 yrs",IF(P1217&lt;3,"1-3 yrs",IF(P1217&lt;5,"3-5 yrs",IF(P1217&lt;10,"5-10 yrs","10+ yrs"))))</f>
        <v>3-5 yrs</v>
      </c>
      <c r="S1217" s="13" t="str">
        <f aca="false">IF(I1217&gt;=4,"High",IF(I1217=3,"Medium","Low"))</f>
        <v>Medium</v>
      </c>
      <c r="T1217" s="13" t="str">
        <f aca="false">IF(M1217=1,YEAR(C1217),"")</f>
        <v/>
      </c>
      <c r="U1217" s="13" t="str">
        <f aca="false">IF(M1217=1,YEAR(C1217)&amp;"-Q"&amp;ROUNDUP(MONTH(C1217)/3,0),"")</f>
        <v/>
      </c>
      <c r="V1217" s="13" t="str">
        <f aca="false">IF(M1217=1,MONTH(C1217),"")</f>
        <v/>
      </c>
    </row>
    <row r="1218" customFormat="false" ht="15" hidden="false" customHeight="false" outlineLevel="0" collapsed="false">
      <c r="A1218" s="13" t="str">
        <f aca="false">TRIM(Raw_Data!A1218)</f>
        <v>EMP1217</v>
      </c>
      <c r="B1218" s="14" t="n">
        <f aca="false">Raw_Data!B1218</f>
        <v>44537</v>
      </c>
      <c r="C1218" s="14" t="str">
        <f aca="false">IF(Raw_Data!C1218="","",Raw_Data!C1218)</f>
        <v/>
      </c>
      <c r="D1218" s="13" t="n">
        <f aca="false">IF(Raw_Data!D1218="","",Raw_Data!D1218)</f>
        <v>39</v>
      </c>
      <c r="E1218" s="13" t="str">
        <f aca="false">IF(UPPER(LEFT(TRIM(Raw_Data!E1218),1))="M","Male",IF(UPPER(LEFT(TRIM(Raw_Data!E1218),1))="F","Female","Unknown"))</f>
        <v>Female</v>
      </c>
      <c r="F1218" s="13" t="str">
        <f aca="false">PROPER(TRIM(SUBSTITUTE(Raw_Data!F1218,"'","")))</f>
        <v>Bachelors</v>
      </c>
      <c r="G1218" s="13" t="str">
        <f aca="false">PROPER(TRIM(Raw_Data!G1218))</f>
        <v>Sales</v>
      </c>
      <c r="H1218" s="13" t="str">
        <f aca="false">PROPER(TRIM(Raw_Data!H1218))</f>
        <v>Associate</v>
      </c>
      <c r="I1218" s="13" t="n">
        <f aca="false">IF(Raw_Data!I1218="",DefaultPerf,Raw_Data!I1218)</f>
        <v>4</v>
      </c>
      <c r="J1218" s="13" t="n">
        <f aca="false">IF(Raw_Data!J1218="",DefaultSat,Raw_Data!J1218)</f>
        <v>1</v>
      </c>
      <c r="K1218" s="15" t="n">
        <f aca="false">Raw_Data!K1218</f>
        <v>35000</v>
      </c>
      <c r="L1218" s="13" t="str">
        <f aca="false">PROPER(TRIM(Raw_Data!N1218))</f>
        <v>Yes</v>
      </c>
      <c r="M1218" s="13" t="n">
        <f aca="false">IF(C1218="",0,1)</f>
        <v>0</v>
      </c>
      <c r="N1218" s="13" t="str">
        <f aca="false">IF(M1218=0,"Active",IF(TRIM(Raw_Data!L1218)="","Unknown",PROPER(TRIM(Raw_Data!L1218))))</f>
        <v>Active</v>
      </c>
      <c r="O1218" s="13" t="str">
        <f aca="false">IF(M1218=0,"",IF(TRIM(Raw_Data!M1218)="","Not Recorded",TRIM(Raw_Data!M1218)))</f>
        <v/>
      </c>
      <c r="P1218" s="16" t="n">
        <f aca="false">ROUND((IF(C1218="",AsOfDate,C1218)-B1218)/365.25,2)</f>
        <v>4.07</v>
      </c>
      <c r="Q1218" s="13" t="str">
        <f aca="false">IF(D1218="","Unknown",IF(D1218&lt;25,"Under 25",IF(D1218&lt;35,"25-34",IF(D1218&lt;45,"35-44",IF(D1218&lt;55,"45-54","55+")))))</f>
        <v>35-44</v>
      </c>
      <c r="R1218" s="13" t="str">
        <f aca="false">IF(P1218&lt;1,"0-1 yrs",IF(P1218&lt;3,"1-3 yrs",IF(P1218&lt;5,"3-5 yrs",IF(P1218&lt;10,"5-10 yrs","10+ yrs"))))</f>
        <v>3-5 yrs</v>
      </c>
      <c r="S1218" s="13" t="str">
        <f aca="false">IF(I1218&gt;=4,"High",IF(I1218=3,"Medium","Low"))</f>
        <v>High</v>
      </c>
      <c r="T1218" s="13" t="str">
        <f aca="false">IF(M1218=1,YEAR(C1218),"")</f>
        <v/>
      </c>
      <c r="U1218" s="13" t="str">
        <f aca="false">IF(M1218=1,YEAR(C1218)&amp;"-Q"&amp;ROUNDUP(MONTH(C1218)/3,0),"")</f>
        <v/>
      </c>
      <c r="V1218" s="13" t="str">
        <f aca="false">IF(M1218=1,MONTH(C1218),"")</f>
        <v/>
      </c>
    </row>
    <row r="1219" customFormat="false" ht="15" hidden="false" customHeight="false" outlineLevel="0" collapsed="false">
      <c r="A1219" s="13" t="str">
        <f aca="false">TRIM(Raw_Data!A1219)</f>
        <v>EMP1218</v>
      </c>
      <c r="B1219" s="14" t="n">
        <f aca="false">Raw_Data!B1219</f>
        <v>44538</v>
      </c>
      <c r="C1219" s="14" t="n">
        <f aca="false">IF(Raw_Data!C1219="","",Raw_Data!C1219)</f>
        <v>44596</v>
      </c>
      <c r="D1219" s="13" t="n">
        <f aca="false">IF(Raw_Data!D1219="","",Raw_Data!D1219)</f>
        <v>24</v>
      </c>
      <c r="E1219" s="13" t="str">
        <f aca="false">IF(UPPER(LEFT(TRIM(Raw_Data!E1219),1))="M","Male",IF(UPPER(LEFT(TRIM(Raw_Data!E1219),1))="F","Female","Unknown"))</f>
        <v>Female</v>
      </c>
      <c r="F1219" s="13" t="str">
        <f aca="false">PROPER(TRIM(SUBSTITUTE(Raw_Data!F1219,"'","")))</f>
        <v>High School</v>
      </c>
      <c r="G1219" s="13" t="str">
        <f aca="false">PROPER(TRIM(Raw_Data!G1219))</f>
        <v>Operations</v>
      </c>
      <c r="H1219" s="13" t="str">
        <f aca="false">PROPER(TRIM(Raw_Data!H1219))</f>
        <v>Senior Analyst</v>
      </c>
      <c r="I1219" s="13" t="n">
        <f aca="false">IF(Raw_Data!I1219="",DefaultPerf,Raw_Data!I1219)</f>
        <v>3</v>
      </c>
      <c r="J1219" s="13" t="n">
        <f aca="false">IF(Raw_Data!J1219="",DefaultSat,Raw_Data!J1219)</f>
        <v>3</v>
      </c>
      <c r="K1219" s="15" t="n">
        <f aca="false">Raw_Data!K1219</f>
        <v>87500</v>
      </c>
      <c r="L1219" s="13" t="str">
        <f aca="false">PROPER(TRIM(Raw_Data!N1219))</f>
        <v>No</v>
      </c>
      <c r="M1219" s="13" t="n">
        <f aca="false">IF(C1219="",0,1)</f>
        <v>1</v>
      </c>
      <c r="N1219" s="13" t="str">
        <f aca="false">IF(M1219=0,"Active",IF(TRIM(Raw_Data!L1219)="","Unknown",PROPER(TRIM(Raw_Data!L1219))))</f>
        <v>Voluntary</v>
      </c>
      <c r="O1219" s="13" t="str">
        <f aca="false">IF(M1219=0,"",IF(TRIM(Raw_Data!M1219)="","Not Recorded",TRIM(Raw_Data!M1219)))</f>
        <v>Personal Reasons</v>
      </c>
      <c r="P1219" s="16" t="n">
        <f aca="false">ROUND((IF(C1219="",AsOfDate,C1219)-B1219)/365.25,2)</f>
        <v>0.16</v>
      </c>
      <c r="Q1219" s="13" t="str">
        <f aca="false">IF(D1219="","Unknown",IF(D1219&lt;25,"Under 25",IF(D1219&lt;35,"25-34",IF(D1219&lt;45,"35-44",IF(D1219&lt;55,"45-54","55+")))))</f>
        <v>Under 25</v>
      </c>
      <c r="R1219" s="13" t="str">
        <f aca="false">IF(P1219&lt;1,"0-1 yrs",IF(P1219&lt;3,"1-3 yrs",IF(P1219&lt;5,"3-5 yrs",IF(P1219&lt;10,"5-10 yrs","10+ yrs"))))</f>
        <v>0-1 yrs</v>
      </c>
      <c r="S1219" s="13" t="str">
        <f aca="false">IF(I1219&gt;=4,"High",IF(I1219=3,"Medium","Low"))</f>
        <v>Medium</v>
      </c>
      <c r="T1219" s="13" t="n">
        <f aca="false">IF(M1219=1,YEAR(C1219),"")</f>
        <v>2022</v>
      </c>
      <c r="U1219" s="13" t="str">
        <f aca="false">IF(M1219=1,YEAR(C1219)&amp;"-Q"&amp;ROUNDUP(MONTH(C1219)/3,0),"")</f>
        <v>2022-Q1</v>
      </c>
      <c r="V1219" s="13" t="n">
        <f aca="false">IF(M1219=1,MONTH(C1219),"")</f>
        <v>2</v>
      </c>
    </row>
    <row r="1220" customFormat="false" ht="15" hidden="false" customHeight="false" outlineLevel="0" collapsed="false">
      <c r="A1220" s="13" t="str">
        <f aca="false">TRIM(Raw_Data!A1220)</f>
        <v>EMP1219</v>
      </c>
      <c r="B1220" s="14" t="n">
        <f aca="false">Raw_Data!B1220</f>
        <v>44539</v>
      </c>
      <c r="C1220" s="14" t="n">
        <f aca="false">IF(Raw_Data!C1220="","",Raw_Data!C1220)</f>
        <v>44968</v>
      </c>
      <c r="D1220" s="13" t="n">
        <f aca="false">IF(Raw_Data!D1220="","",Raw_Data!D1220)</f>
        <v>22</v>
      </c>
      <c r="E1220" s="13" t="str">
        <f aca="false">IF(UPPER(LEFT(TRIM(Raw_Data!E1220),1))="M","Male",IF(UPPER(LEFT(TRIM(Raw_Data!E1220),1))="F","Female","Unknown"))</f>
        <v>Male</v>
      </c>
      <c r="F1220" s="13" t="str">
        <f aca="false">PROPER(TRIM(SUBSTITUTE(Raw_Data!F1220,"'","")))</f>
        <v>High School</v>
      </c>
      <c r="G1220" s="13" t="str">
        <f aca="false">PROPER(TRIM(Raw_Data!G1220))</f>
        <v>Sales</v>
      </c>
      <c r="H1220" s="13" t="str">
        <f aca="false">PROPER(TRIM(Raw_Data!H1220))</f>
        <v>Analyst</v>
      </c>
      <c r="I1220" s="13" t="n">
        <f aca="false">IF(Raw_Data!I1220="",DefaultPerf,Raw_Data!I1220)</f>
        <v>5</v>
      </c>
      <c r="J1220" s="13" t="n">
        <f aca="false">IF(Raw_Data!J1220="",DefaultSat,Raw_Data!J1220)</f>
        <v>3</v>
      </c>
      <c r="K1220" s="15" t="n">
        <f aca="false">Raw_Data!K1220</f>
        <v>56000</v>
      </c>
      <c r="L1220" s="13" t="str">
        <f aca="false">PROPER(TRIM(Raw_Data!N1220))</f>
        <v>Yes</v>
      </c>
      <c r="M1220" s="13" t="n">
        <f aca="false">IF(C1220="",0,1)</f>
        <v>1</v>
      </c>
      <c r="N1220" s="13" t="str">
        <f aca="false">IF(M1220=0,"Active",IF(TRIM(Raw_Data!L1220)="","Unknown",PROPER(TRIM(Raw_Data!L1220))))</f>
        <v>Voluntary</v>
      </c>
      <c r="O1220" s="13" t="str">
        <f aca="false">IF(M1220=0,"",IF(TRIM(Raw_Data!M1220)="","Not Recorded",TRIM(Raw_Data!M1220)))</f>
        <v>Work-Life Balance</v>
      </c>
      <c r="P1220" s="16" t="n">
        <f aca="false">ROUND((IF(C1220="",AsOfDate,C1220)-B1220)/365.25,2)</f>
        <v>1.17</v>
      </c>
      <c r="Q1220" s="13" t="str">
        <f aca="false">IF(D1220="","Unknown",IF(D1220&lt;25,"Under 25",IF(D1220&lt;35,"25-34",IF(D1220&lt;45,"35-44",IF(D1220&lt;55,"45-54","55+")))))</f>
        <v>Under 25</v>
      </c>
      <c r="R1220" s="13" t="str">
        <f aca="false">IF(P1220&lt;1,"0-1 yrs",IF(P1220&lt;3,"1-3 yrs",IF(P1220&lt;5,"3-5 yrs",IF(P1220&lt;10,"5-10 yrs","10+ yrs"))))</f>
        <v>1-3 yrs</v>
      </c>
      <c r="S1220" s="13" t="str">
        <f aca="false">IF(I1220&gt;=4,"High",IF(I1220=3,"Medium","Low"))</f>
        <v>High</v>
      </c>
      <c r="T1220" s="13" t="n">
        <f aca="false">IF(M1220=1,YEAR(C1220),"")</f>
        <v>2023</v>
      </c>
      <c r="U1220" s="13" t="str">
        <f aca="false">IF(M1220=1,YEAR(C1220)&amp;"-Q"&amp;ROUNDUP(MONTH(C1220)/3,0),"")</f>
        <v>2023-Q1</v>
      </c>
      <c r="V1220" s="13" t="n">
        <f aca="false">IF(M1220=1,MONTH(C1220),"")</f>
        <v>2</v>
      </c>
    </row>
    <row r="1221" customFormat="false" ht="15" hidden="false" customHeight="false" outlineLevel="0" collapsed="false">
      <c r="A1221" s="13" t="str">
        <f aca="false">TRIM(Raw_Data!A1221)</f>
        <v>EMP1220</v>
      </c>
      <c r="B1221" s="14" t="n">
        <f aca="false">Raw_Data!B1221</f>
        <v>44540</v>
      </c>
      <c r="C1221" s="14" t="n">
        <f aca="false">IF(Raw_Data!C1221="","",Raw_Data!C1221)</f>
        <v>45969</v>
      </c>
      <c r="D1221" s="13" t="n">
        <f aca="false">IF(Raw_Data!D1221="","",Raw_Data!D1221)</f>
        <v>32</v>
      </c>
      <c r="E1221" s="13" t="str">
        <f aca="false">IF(UPPER(LEFT(TRIM(Raw_Data!E1221),1))="M","Male",IF(UPPER(LEFT(TRIM(Raw_Data!E1221),1))="F","Female","Unknown"))</f>
        <v>Female</v>
      </c>
      <c r="F1221" s="13" t="str">
        <f aca="false">PROPER(TRIM(SUBSTITUTE(Raw_Data!F1221,"'","")))</f>
        <v>Bachelors</v>
      </c>
      <c r="G1221" s="13" t="str">
        <f aca="false">PROPER(TRIM(Raw_Data!G1221))</f>
        <v>Customer Support</v>
      </c>
      <c r="H1221" s="13" t="str">
        <f aca="false">PROPER(TRIM(Raw_Data!H1221))</f>
        <v>Analyst</v>
      </c>
      <c r="I1221" s="13" t="n">
        <f aca="false">IF(Raw_Data!I1221="",DefaultPerf,Raw_Data!I1221)</f>
        <v>4</v>
      </c>
      <c r="J1221" s="13" t="n">
        <f aca="false">IF(Raw_Data!J1221="",DefaultSat,Raw_Data!J1221)</f>
        <v>3</v>
      </c>
      <c r="K1221" s="15" t="n">
        <f aca="false">Raw_Data!K1221</f>
        <v>58500</v>
      </c>
      <c r="L1221" s="13" t="str">
        <f aca="false">PROPER(TRIM(Raw_Data!N1221))</f>
        <v>No</v>
      </c>
      <c r="M1221" s="13" t="n">
        <f aca="false">IF(C1221="",0,1)</f>
        <v>1</v>
      </c>
      <c r="N1221" s="13" t="str">
        <f aca="false">IF(M1221=0,"Active",IF(TRIM(Raw_Data!L1221)="","Unknown",PROPER(TRIM(Raw_Data!L1221))))</f>
        <v>Voluntary</v>
      </c>
      <c r="O1221" s="13" t="str">
        <f aca="false">IF(M1221=0,"",IF(TRIM(Raw_Data!M1221)="","Not Recorded",TRIM(Raw_Data!M1221)))</f>
        <v>Not Recorded</v>
      </c>
      <c r="P1221" s="16" t="n">
        <f aca="false">ROUND((IF(C1221="",AsOfDate,C1221)-B1221)/365.25,2)</f>
        <v>3.91</v>
      </c>
      <c r="Q1221" s="13" t="str">
        <f aca="false">IF(D1221="","Unknown",IF(D1221&lt;25,"Under 25",IF(D1221&lt;35,"25-34",IF(D1221&lt;45,"35-44",IF(D1221&lt;55,"45-54","55+")))))</f>
        <v>25-34</v>
      </c>
      <c r="R1221" s="13" t="str">
        <f aca="false">IF(P1221&lt;1,"0-1 yrs",IF(P1221&lt;3,"1-3 yrs",IF(P1221&lt;5,"3-5 yrs",IF(P1221&lt;10,"5-10 yrs","10+ yrs"))))</f>
        <v>3-5 yrs</v>
      </c>
      <c r="S1221" s="13" t="str">
        <f aca="false">IF(I1221&gt;=4,"High",IF(I1221=3,"Medium","Low"))</f>
        <v>High</v>
      </c>
      <c r="T1221" s="13" t="n">
        <f aca="false">IF(M1221=1,YEAR(C1221),"")</f>
        <v>2025</v>
      </c>
      <c r="U1221" s="13" t="str">
        <f aca="false">IF(M1221=1,YEAR(C1221)&amp;"-Q"&amp;ROUNDUP(MONTH(C1221)/3,0),"")</f>
        <v>2025-Q4</v>
      </c>
      <c r="V1221" s="13" t="n">
        <f aca="false">IF(M1221=1,MONTH(C1221),"")</f>
        <v>11</v>
      </c>
    </row>
    <row r="1222" customFormat="false" ht="15" hidden="false" customHeight="false" outlineLevel="0" collapsed="false">
      <c r="A1222" s="13" t="str">
        <f aca="false">TRIM(Raw_Data!A1222)</f>
        <v>EMP1221</v>
      </c>
      <c r="B1222" s="14" t="n">
        <f aca="false">Raw_Data!B1222</f>
        <v>44540</v>
      </c>
      <c r="C1222" s="14" t="str">
        <f aca="false">IF(Raw_Data!C1222="","",Raw_Data!C1222)</f>
        <v/>
      </c>
      <c r="D1222" s="13" t="n">
        <f aca="false">IF(Raw_Data!D1222="","",Raw_Data!D1222)</f>
        <v>33</v>
      </c>
      <c r="E1222" s="13" t="str">
        <f aca="false">IF(UPPER(LEFT(TRIM(Raw_Data!E1222),1))="M","Male",IF(UPPER(LEFT(TRIM(Raw_Data!E1222),1))="F","Female","Unknown"))</f>
        <v>Male</v>
      </c>
      <c r="F1222" s="13" t="str">
        <f aca="false">PROPER(TRIM(SUBSTITUTE(Raw_Data!F1222,"'","")))</f>
        <v>Masters</v>
      </c>
      <c r="G1222" s="13" t="str">
        <f aca="false">PROPER(TRIM(Raw_Data!G1222))</f>
        <v>Finance</v>
      </c>
      <c r="H1222" s="13" t="str">
        <f aca="false">PROPER(TRIM(Raw_Data!H1222))</f>
        <v>Associate</v>
      </c>
      <c r="I1222" s="13" t="n">
        <f aca="false">IF(Raw_Data!I1222="",DefaultPerf,Raw_Data!I1222)</f>
        <v>4</v>
      </c>
      <c r="J1222" s="13" t="n">
        <f aca="false">IF(Raw_Data!J1222="",DefaultSat,Raw_Data!J1222)</f>
        <v>3</v>
      </c>
      <c r="K1222" s="15" t="n">
        <f aca="false">Raw_Data!K1222</f>
        <v>41000</v>
      </c>
      <c r="L1222" s="13" t="str">
        <f aca="false">PROPER(TRIM(Raw_Data!N1222))</f>
        <v>No</v>
      </c>
      <c r="M1222" s="13" t="n">
        <f aca="false">IF(C1222="",0,1)</f>
        <v>0</v>
      </c>
      <c r="N1222" s="13" t="str">
        <f aca="false">IF(M1222=0,"Active",IF(TRIM(Raw_Data!L1222)="","Unknown",PROPER(TRIM(Raw_Data!L1222))))</f>
        <v>Active</v>
      </c>
      <c r="O1222" s="13" t="str">
        <f aca="false">IF(M1222=0,"",IF(TRIM(Raw_Data!M1222)="","Not Recorded",TRIM(Raw_Data!M1222)))</f>
        <v/>
      </c>
      <c r="P1222" s="16" t="n">
        <f aca="false">ROUND((IF(C1222="",AsOfDate,C1222)-B1222)/365.25,2)</f>
        <v>4.06</v>
      </c>
      <c r="Q1222" s="13" t="str">
        <f aca="false">IF(D1222="","Unknown",IF(D1222&lt;25,"Under 25",IF(D1222&lt;35,"25-34",IF(D1222&lt;45,"35-44",IF(D1222&lt;55,"45-54","55+")))))</f>
        <v>25-34</v>
      </c>
      <c r="R1222" s="13" t="str">
        <f aca="false">IF(P1222&lt;1,"0-1 yrs",IF(P1222&lt;3,"1-3 yrs",IF(P1222&lt;5,"3-5 yrs",IF(P1222&lt;10,"5-10 yrs","10+ yrs"))))</f>
        <v>3-5 yrs</v>
      </c>
      <c r="S1222" s="13" t="str">
        <f aca="false">IF(I1222&gt;=4,"High",IF(I1222=3,"Medium","Low"))</f>
        <v>High</v>
      </c>
      <c r="T1222" s="13" t="str">
        <f aca="false">IF(M1222=1,YEAR(C1222),"")</f>
        <v/>
      </c>
      <c r="U1222" s="13" t="str">
        <f aca="false">IF(M1222=1,YEAR(C1222)&amp;"-Q"&amp;ROUNDUP(MONTH(C1222)/3,0),"")</f>
        <v/>
      </c>
      <c r="V1222" s="13" t="str">
        <f aca="false">IF(M1222=1,MONTH(C1222),"")</f>
        <v/>
      </c>
    </row>
    <row r="1223" customFormat="false" ht="15" hidden="false" customHeight="false" outlineLevel="0" collapsed="false">
      <c r="A1223" s="13" t="str">
        <f aca="false">TRIM(Raw_Data!A1223)</f>
        <v>EMP1222</v>
      </c>
      <c r="B1223" s="14" t="n">
        <f aca="false">Raw_Data!B1223</f>
        <v>44542</v>
      </c>
      <c r="C1223" s="14" t="n">
        <f aca="false">IF(Raw_Data!C1223="","",Raw_Data!C1223)</f>
        <v>44901</v>
      </c>
      <c r="D1223" s="13" t="n">
        <f aca="false">IF(Raw_Data!D1223="","",Raw_Data!D1223)</f>
        <v>27</v>
      </c>
      <c r="E1223" s="13" t="str">
        <f aca="false">IF(UPPER(LEFT(TRIM(Raw_Data!E1223),1))="M","Male",IF(UPPER(LEFT(TRIM(Raw_Data!E1223),1))="F","Female","Unknown"))</f>
        <v>Female</v>
      </c>
      <c r="F1223" s="13" t="str">
        <f aca="false">PROPER(TRIM(SUBSTITUTE(Raw_Data!F1223,"'","")))</f>
        <v>Diploma</v>
      </c>
      <c r="G1223" s="13" t="str">
        <f aca="false">PROPER(TRIM(Raw_Data!G1223))</f>
        <v>Engineering</v>
      </c>
      <c r="H1223" s="13" t="str">
        <f aca="false">PROPER(TRIM(Raw_Data!H1223))</f>
        <v>Associate</v>
      </c>
      <c r="I1223" s="13" t="n">
        <f aca="false">IF(Raw_Data!I1223="",DefaultPerf,Raw_Data!I1223)</f>
        <v>3</v>
      </c>
      <c r="J1223" s="13" t="n">
        <f aca="false">IF(Raw_Data!J1223="",DefaultSat,Raw_Data!J1223)</f>
        <v>2</v>
      </c>
      <c r="K1223" s="15" t="n">
        <f aca="false">Raw_Data!K1223</f>
        <v>42000</v>
      </c>
      <c r="L1223" s="13" t="str">
        <f aca="false">PROPER(TRIM(Raw_Data!N1223))</f>
        <v>No</v>
      </c>
      <c r="M1223" s="13" t="n">
        <f aca="false">IF(C1223="",0,1)</f>
        <v>1</v>
      </c>
      <c r="N1223" s="13" t="str">
        <f aca="false">IF(M1223=0,"Active",IF(TRIM(Raw_Data!L1223)="","Unknown",PROPER(TRIM(Raw_Data!L1223))))</f>
        <v>Voluntary</v>
      </c>
      <c r="O1223" s="13" t="str">
        <f aca="false">IF(M1223=0,"",IF(TRIM(Raw_Data!M1223)="","Not Recorded",TRIM(Raw_Data!M1223)))</f>
        <v>Better Compensation</v>
      </c>
      <c r="P1223" s="16" t="n">
        <f aca="false">ROUND((IF(C1223="",AsOfDate,C1223)-B1223)/365.25,2)</f>
        <v>0.98</v>
      </c>
      <c r="Q1223" s="13" t="str">
        <f aca="false">IF(D1223="","Unknown",IF(D1223&lt;25,"Under 25",IF(D1223&lt;35,"25-34",IF(D1223&lt;45,"35-44",IF(D1223&lt;55,"45-54","55+")))))</f>
        <v>25-34</v>
      </c>
      <c r="R1223" s="13" t="str">
        <f aca="false">IF(P1223&lt;1,"0-1 yrs",IF(P1223&lt;3,"1-3 yrs",IF(P1223&lt;5,"3-5 yrs",IF(P1223&lt;10,"5-10 yrs","10+ yrs"))))</f>
        <v>0-1 yrs</v>
      </c>
      <c r="S1223" s="13" t="str">
        <f aca="false">IF(I1223&gt;=4,"High",IF(I1223=3,"Medium","Low"))</f>
        <v>Medium</v>
      </c>
      <c r="T1223" s="13" t="n">
        <f aca="false">IF(M1223=1,YEAR(C1223),"")</f>
        <v>2022</v>
      </c>
      <c r="U1223" s="13" t="str">
        <f aca="false">IF(M1223=1,YEAR(C1223)&amp;"-Q"&amp;ROUNDUP(MONTH(C1223)/3,0),"")</f>
        <v>2022-Q4</v>
      </c>
      <c r="V1223" s="13" t="n">
        <f aca="false">IF(M1223=1,MONTH(C1223),"")</f>
        <v>12</v>
      </c>
    </row>
    <row r="1224" customFormat="false" ht="15" hidden="false" customHeight="false" outlineLevel="0" collapsed="false">
      <c r="A1224" s="13" t="str">
        <f aca="false">TRIM(Raw_Data!A1224)</f>
        <v>EMP1223</v>
      </c>
      <c r="B1224" s="14" t="n">
        <f aca="false">Raw_Data!B1224</f>
        <v>44549</v>
      </c>
      <c r="C1224" s="14" t="str">
        <f aca="false">IF(Raw_Data!C1224="","",Raw_Data!C1224)</f>
        <v/>
      </c>
      <c r="D1224" s="13" t="n">
        <f aca="false">IF(Raw_Data!D1224="","",Raw_Data!D1224)</f>
        <v>28</v>
      </c>
      <c r="E1224" s="13" t="str">
        <f aca="false">IF(UPPER(LEFT(TRIM(Raw_Data!E1224),1))="M","Male",IF(UPPER(LEFT(TRIM(Raw_Data!E1224),1))="F","Female","Unknown"))</f>
        <v>Male</v>
      </c>
      <c r="F1224" s="13" t="str">
        <f aca="false">PROPER(TRIM(SUBSTITUTE(Raw_Data!F1224,"'","")))</f>
        <v>Bachelors</v>
      </c>
      <c r="G1224" s="13" t="str">
        <f aca="false">PROPER(TRIM(Raw_Data!G1224))</f>
        <v>Operations</v>
      </c>
      <c r="H1224" s="13" t="str">
        <f aca="false">PROPER(TRIM(Raw_Data!H1224))</f>
        <v>Associate</v>
      </c>
      <c r="I1224" s="13" t="n">
        <f aca="false">IF(Raw_Data!I1224="",DefaultPerf,Raw_Data!I1224)</f>
        <v>4</v>
      </c>
      <c r="J1224" s="13" t="n">
        <f aca="false">IF(Raw_Data!J1224="",DefaultSat,Raw_Data!J1224)</f>
        <v>4</v>
      </c>
      <c r="K1224" s="15" t="n">
        <f aca="false">Raw_Data!K1224</f>
        <v>39000</v>
      </c>
      <c r="L1224" s="13" t="str">
        <f aca="false">PROPER(TRIM(Raw_Data!N1224))</f>
        <v>No</v>
      </c>
      <c r="M1224" s="13" t="n">
        <f aca="false">IF(C1224="",0,1)</f>
        <v>0</v>
      </c>
      <c r="N1224" s="13" t="str">
        <f aca="false">IF(M1224=0,"Active",IF(TRIM(Raw_Data!L1224)="","Unknown",PROPER(TRIM(Raw_Data!L1224))))</f>
        <v>Active</v>
      </c>
      <c r="O1224" s="13" t="str">
        <f aca="false">IF(M1224=0,"",IF(TRIM(Raw_Data!M1224)="","Not Recorded",TRIM(Raw_Data!M1224)))</f>
        <v/>
      </c>
      <c r="P1224" s="16" t="n">
        <f aca="false">ROUND((IF(C1224="",AsOfDate,C1224)-B1224)/365.25,2)</f>
        <v>4.03</v>
      </c>
      <c r="Q1224" s="13" t="str">
        <f aca="false">IF(D1224="","Unknown",IF(D1224&lt;25,"Under 25",IF(D1224&lt;35,"25-34",IF(D1224&lt;45,"35-44",IF(D1224&lt;55,"45-54","55+")))))</f>
        <v>25-34</v>
      </c>
      <c r="R1224" s="13" t="str">
        <f aca="false">IF(P1224&lt;1,"0-1 yrs",IF(P1224&lt;3,"1-3 yrs",IF(P1224&lt;5,"3-5 yrs",IF(P1224&lt;10,"5-10 yrs","10+ yrs"))))</f>
        <v>3-5 yrs</v>
      </c>
      <c r="S1224" s="13" t="str">
        <f aca="false">IF(I1224&gt;=4,"High",IF(I1224=3,"Medium","Low"))</f>
        <v>High</v>
      </c>
      <c r="T1224" s="13" t="str">
        <f aca="false">IF(M1224=1,YEAR(C1224),"")</f>
        <v/>
      </c>
      <c r="U1224" s="13" t="str">
        <f aca="false">IF(M1224=1,YEAR(C1224)&amp;"-Q"&amp;ROUNDUP(MONTH(C1224)/3,0),"")</f>
        <v/>
      </c>
      <c r="V1224" s="13" t="str">
        <f aca="false">IF(M1224=1,MONTH(C1224),"")</f>
        <v/>
      </c>
    </row>
    <row r="1225" customFormat="false" ht="15" hidden="false" customHeight="false" outlineLevel="0" collapsed="false">
      <c r="A1225" s="13" t="str">
        <f aca="false">TRIM(Raw_Data!A1225)</f>
        <v>EMP1224</v>
      </c>
      <c r="B1225" s="14" t="n">
        <f aca="false">Raw_Data!B1225</f>
        <v>44549</v>
      </c>
      <c r="C1225" s="14" t="str">
        <f aca="false">IF(Raw_Data!C1225="","",Raw_Data!C1225)</f>
        <v/>
      </c>
      <c r="D1225" s="13" t="n">
        <f aca="false">IF(Raw_Data!D1225="","",Raw_Data!D1225)</f>
        <v>25</v>
      </c>
      <c r="E1225" s="13" t="str">
        <f aca="false">IF(UPPER(LEFT(TRIM(Raw_Data!E1225),1))="M","Male",IF(UPPER(LEFT(TRIM(Raw_Data!E1225),1))="F","Female","Unknown"))</f>
        <v>Male</v>
      </c>
      <c r="F1225" s="13" t="str">
        <f aca="false">PROPER(TRIM(SUBSTITUTE(Raw_Data!F1225,"'","")))</f>
        <v>Doctorate</v>
      </c>
      <c r="G1225" s="13" t="str">
        <f aca="false">PROPER(TRIM(Raw_Data!G1225))</f>
        <v>Customer Support</v>
      </c>
      <c r="H1225" s="13" t="str">
        <f aca="false">PROPER(TRIM(Raw_Data!H1225))</f>
        <v>Manager</v>
      </c>
      <c r="I1225" s="13" t="n">
        <f aca="false">IF(Raw_Data!I1225="",DefaultPerf,Raw_Data!I1225)</f>
        <v>3</v>
      </c>
      <c r="J1225" s="13" t="n">
        <f aca="false">IF(Raw_Data!J1225="",DefaultSat,Raw_Data!J1225)</f>
        <v>3</v>
      </c>
      <c r="K1225" s="15" t="n">
        <f aca="false">Raw_Data!K1225</f>
        <v>190000</v>
      </c>
      <c r="L1225" s="13" t="str">
        <f aca="false">PROPER(TRIM(Raw_Data!N1225))</f>
        <v>Yes</v>
      </c>
      <c r="M1225" s="13" t="n">
        <f aca="false">IF(C1225="",0,1)</f>
        <v>0</v>
      </c>
      <c r="N1225" s="13" t="str">
        <f aca="false">IF(M1225=0,"Active",IF(TRIM(Raw_Data!L1225)="","Unknown",PROPER(TRIM(Raw_Data!L1225))))</f>
        <v>Active</v>
      </c>
      <c r="O1225" s="13" t="str">
        <f aca="false">IF(M1225=0,"",IF(TRIM(Raw_Data!M1225)="","Not Recorded",TRIM(Raw_Data!M1225)))</f>
        <v/>
      </c>
      <c r="P1225" s="16" t="n">
        <f aca="false">ROUND((IF(C1225="",AsOfDate,C1225)-B1225)/365.25,2)</f>
        <v>4.03</v>
      </c>
      <c r="Q1225" s="13" t="str">
        <f aca="false">IF(D1225="","Unknown",IF(D1225&lt;25,"Under 25",IF(D1225&lt;35,"25-34",IF(D1225&lt;45,"35-44",IF(D1225&lt;55,"45-54","55+")))))</f>
        <v>25-34</v>
      </c>
      <c r="R1225" s="13" t="str">
        <f aca="false">IF(P1225&lt;1,"0-1 yrs",IF(P1225&lt;3,"1-3 yrs",IF(P1225&lt;5,"3-5 yrs",IF(P1225&lt;10,"5-10 yrs","10+ yrs"))))</f>
        <v>3-5 yrs</v>
      </c>
      <c r="S1225" s="13" t="str">
        <f aca="false">IF(I1225&gt;=4,"High",IF(I1225=3,"Medium","Low"))</f>
        <v>Medium</v>
      </c>
      <c r="T1225" s="13" t="str">
        <f aca="false">IF(M1225=1,YEAR(C1225),"")</f>
        <v/>
      </c>
      <c r="U1225" s="13" t="str">
        <f aca="false">IF(M1225=1,YEAR(C1225)&amp;"-Q"&amp;ROUNDUP(MONTH(C1225)/3,0),"")</f>
        <v/>
      </c>
      <c r="V1225" s="13" t="str">
        <f aca="false">IF(M1225=1,MONTH(C1225),"")</f>
        <v/>
      </c>
    </row>
    <row r="1226" customFormat="false" ht="15" hidden="false" customHeight="false" outlineLevel="0" collapsed="false">
      <c r="A1226" s="13" t="str">
        <f aca="false">TRIM(Raw_Data!A1226)</f>
        <v>EMP1225</v>
      </c>
      <c r="B1226" s="14" t="n">
        <f aca="false">Raw_Data!B1226</f>
        <v>44559</v>
      </c>
      <c r="C1226" s="14" t="n">
        <f aca="false">IF(Raw_Data!C1226="","",Raw_Data!C1226)</f>
        <v>45503</v>
      </c>
      <c r="D1226" s="13" t="n">
        <f aca="false">IF(Raw_Data!D1226="","",Raw_Data!D1226)</f>
        <v>32</v>
      </c>
      <c r="E1226" s="13" t="str">
        <f aca="false">IF(UPPER(LEFT(TRIM(Raw_Data!E1226),1))="M","Male",IF(UPPER(LEFT(TRIM(Raw_Data!E1226),1))="F","Female","Unknown"))</f>
        <v>Female</v>
      </c>
      <c r="F1226" s="13" t="str">
        <f aca="false">PROPER(TRIM(SUBSTITUTE(Raw_Data!F1226,"'","")))</f>
        <v>High School</v>
      </c>
      <c r="G1226" s="13" t="str">
        <f aca="false">PROPER(TRIM(Raw_Data!G1226))</f>
        <v>Operations</v>
      </c>
      <c r="H1226" s="13" t="str">
        <f aca="false">PROPER(TRIM(Raw_Data!H1226))</f>
        <v>Associate</v>
      </c>
      <c r="I1226" s="13" t="n">
        <f aca="false">IF(Raw_Data!I1226="",DefaultPerf,Raw_Data!I1226)</f>
        <v>4</v>
      </c>
      <c r="J1226" s="13" t="n">
        <f aca="false">IF(Raw_Data!J1226="",DefaultSat,Raw_Data!J1226)</f>
        <v>3</v>
      </c>
      <c r="K1226" s="15" t="n">
        <f aca="false">Raw_Data!K1226</f>
        <v>43500</v>
      </c>
      <c r="L1226" s="13" t="str">
        <f aca="false">PROPER(TRIM(Raw_Data!N1226))</f>
        <v>No</v>
      </c>
      <c r="M1226" s="13" t="n">
        <f aca="false">IF(C1226="",0,1)</f>
        <v>1</v>
      </c>
      <c r="N1226" s="13" t="str">
        <f aca="false">IF(M1226=0,"Active",IF(TRIM(Raw_Data!L1226)="","Unknown",PROPER(TRIM(Raw_Data!L1226))))</f>
        <v>Voluntary</v>
      </c>
      <c r="O1226" s="13" t="str">
        <f aca="false">IF(M1226=0,"",IF(TRIM(Raw_Data!M1226)="","Not Recorded",TRIM(Raw_Data!M1226)))</f>
        <v>Better Compensation</v>
      </c>
      <c r="P1226" s="16" t="n">
        <f aca="false">ROUND((IF(C1226="",AsOfDate,C1226)-B1226)/365.25,2)</f>
        <v>2.58</v>
      </c>
      <c r="Q1226" s="13" t="str">
        <f aca="false">IF(D1226="","Unknown",IF(D1226&lt;25,"Under 25",IF(D1226&lt;35,"25-34",IF(D1226&lt;45,"35-44",IF(D1226&lt;55,"45-54","55+")))))</f>
        <v>25-34</v>
      </c>
      <c r="R1226" s="13" t="str">
        <f aca="false">IF(P1226&lt;1,"0-1 yrs",IF(P1226&lt;3,"1-3 yrs",IF(P1226&lt;5,"3-5 yrs",IF(P1226&lt;10,"5-10 yrs","10+ yrs"))))</f>
        <v>1-3 yrs</v>
      </c>
      <c r="S1226" s="13" t="str">
        <f aca="false">IF(I1226&gt;=4,"High",IF(I1226=3,"Medium","Low"))</f>
        <v>High</v>
      </c>
      <c r="T1226" s="13" t="n">
        <f aca="false">IF(M1226=1,YEAR(C1226),"")</f>
        <v>2024</v>
      </c>
      <c r="U1226" s="13" t="str">
        <f aca="false">IF(M1226=1,YEAR(C1226)&amp;"-Q"&amp;ROUNDUP(MONTH(C1226)/3,0),"")</f>
        <v>2024-Q3</v>
      </c>
      <c r="V1226" s="13" t="n">
        <f aca="false">IF(M1226=1,MONTH(C1226),"")</f>
        <v>7</v>
      </c>
    </row>
    <row r="1227" customFormat="false" ht="15" hidden="false" customHeight="false" outlineLevel="0" collapsed="false">
      <c r="A1227" s="13" t="str">
        <f aca="false">TRIM(Raw_Data!A1227)</f>
        <v>EMP1226</v>
      </c>
      <c r="B1227" s="14" t="n">
        <f aca="false">Raw_Data!B1227</f>
        <v>44559</v>
      </c>
      <c r="C1227" s="14" t="str">
        <f aca="false">IF(Raw_Data!C1227="","",Raw_Data!C1227)</f>
        <v/>
      </c>
      <c r="D1227" s="13" t="n">
        <f aca="false">IF(Raw_Data!D1227="","",Raw_Data!D1227)</f>
        <v>30</v>
      </c>
      <c r="E1227" s="13" t="str">
        <f aca="false">IF(UPPER(LEFT(TRIM(Raw_Data!E1227),1))="M","Male",IF(UPPER(LEFT(TRIM(Raw_Data!E1227),1))="F","Female","Unknown"))</f>
        <v>Female</v>
      </c>
      <c r="F1227" s="13" t="str">
        <f aca="false">PROPER(TRIM(SUBSTITUTE(Raw_Data!F1227,"'","")))</f>
        <v>Doctorate</v>
      </c>
      <c r="G1227" s="13" t="str">
        <f aca="false">PROPER(TRIM(Raw_Data!G1227))</f>
        <v>Finance</v>
      </c>
      <c r="H1227" s="13" t="str">
        <f aca="false">PROPER(TRIM(Raw_Data!H1227))</f>
        <v>Manager</v>
      </c>
      <c r="I1227" s="13" t="n">
        <f aca="false">IF(Raw_Data!I1227="",DefaultPerf,Raw_Data!I1227)</f>
        <v>3</v>
      </c>
      <c r="J1227" s="13" t="n">
        <f aca="false">IF(Raw_Data!J1227="",DefaultSat,Raw_Data!J1227)</f>
        <v>3</v>
      </c>
      <c r="K1227" s="15" t="n">
        <f aca="false">Raw_Data!K1227</f>
        <v>161500</v>
      </c>
      <c r="L1227" s="13" t="str">
        <f aca="false">PROPER(TRIM(Raw_Data!N1227))</f>
        <v>No</v>
      </c>
      <c r="M1227" s="13" t="n">
        <f aca="false">IF(C1227="",0,1)</f>
        <v>0</v>
      </c>
      <c r="N1227" s="13" t="str">
        <f aca="false">IF(M1227=0,"Active",IF(TRIM(Raw_Data!L1227)="","Unknown",PROPER(TRIM(Raw_Data!L1227))))</f>
        <v>Active</v>
      </c>
      <c r="O1227" s="13" t="str">
        <f aca="false">IF(M1227=0,"",IF(TRIM(Raw_Data!M1227)="","Not Recorded",TRIM(Raw_Data!M1227)))</f>
        <v/>
      </c>
      <c r="P1227" s="16" t="n">
        <f aca="false">ROUND((IF(C1227="",AsOfDate,C1227)-B1227)/365.25,2)</f>
        <v>4.01</v>
      </c>
      <c r="Q1227" s="13" t="str">
        <f aca="false">IF(D1227="","Unknown",IF(D1227&lt;25,"Under 25",IF(D1227&lt;35,"25-34",IF(D1227&lt;45,"35-44",IF(D1227&lt;55,"45-54","55+")))))</f>
        <v>25-34</v>
      </c>
      <c r="R1227" s="13" t="str">
        <f aca="false">IF(P1227&lt;1,"0-1 yrs",IF(P1227&lt;3,"1-3 yrs",IF(P1227&lt;5,"3-5 yrs",IF(P1227&lt;10,"5-10 yrs","10+ yrs"))))</f>
        <v>3-5 yrs</v>
      </c>
      <c r="S1227" s="13" t="str">
        <f aca="false">IF(I1227&gt;=4,"High",IF(I1227=3,"Medium","Low"))</f>
        <v>Medium</v>
      </c>
      <c r="T1227" s="13" t="str">
        <f aca="false">IF(M1227=1,YEAR(C1227),"")</f>
        <v/>
      </c>
      <c r="U1227" s="13" t="str">
        <f aca="false">IF(M1227=1,YEAR(C1227)&amp;"-Q"&amp;ROUNDUP(MONTH(C1227)/3,0),"")</f>
        <v/>
      </c>
      <c r="V1227" s="13" t="str">
        <f aca="false">IF(M1227=1,MONTH(C1227),"")</f>
        <v/>
      </c>
    </row>
    <row r="1228" customFormat="false" ht="15" hidden="false" customHeight="false" outlineLevel="0" collapsed="false">
      <c r="A1228" s="13" t="str">
        <f aca="false">TRIM(Raw_Data!A1228)</f>
        <v>EMP1227</v>
      </c>
      <c r="B1228" s="14" t="n">
        <f aca="false">Raw_Data!B1228</f>
        <v>44563</v>
      </c>
      <c r="C1228" s="14" t="str">
        <f aca="false">IF(Raw_Data!C1228="","",Raw_Data!C1228)</f>
        <v/>
      </c>
      <c r="D1228" s="13" t="n">
        <f aca="false">IF(Raw_Data!D1228="","",Raw_Data!D1228)</f>
        <v>25</v>
      </c>
      <c r="E1228" s="13" t="str">
        <f aca="false">IF(UPPER(LEFT(TRIM(Raw_Data!E1228),1))="M","Male",IF(UPPER(LEFT(TRIM(Raw_Data!E1228),1))="F","Female","Unknown"))</f>
        <v>Male</v>
      </c>
      <c r="F1228" s="13" t="str">
        <f aca="false">PROPER(TRIM(SUBSTITUTE(Raw_Data!F1228,"'","")))</f>
        <v>Diploma</v>
      </c>
      <c r="G1228" s="13" t="str">
        <f aca="false">PROPER(TRIM(Raw_Data!G1228))</f>
        <v>Customer Support</v>
      </c>
      <c r="H1228" s="13" t="str">
        <f aca="false">PROPER(TRIM(Raw_Data!H1228))</f>
        <v>Associate</v>
      </c>
      <c r="I1228" s="13" t="n">
        <f aca="false">IF(Raw_Data!I1228="",DefaultPerf,Raw_Data!I1228)</f>
        <v>3</v>
      </c>
      <c r="J1228" s="13" t="n">
        <f aca="false">IF(Raw_Data!J1228="",DefaultSat,Raw_Data!J1228)</f>
        <v>3</v>
      </c>
      <c r="K1228" s="15" t="n">
        <f aca="false">Raw_Data!K1228</f>
        <v>35000</v>
      </c>
      <c r="L1228" s="13" t="str">
        <f aca="false">PROPER(TRIM(Raw_Data!N1228))</f>
        <v>No</v>
      </c>
      <c r="M1228" s="13" t="n">
        <f aca="false">IF(C1228="",0,1)</f>
        <v>0</v>
      </c>
      <c r="N1228" s="13" t="str">
        <f aca="false">IF(M1228=0,"Active",IF(TRIM(Raw_Data!L1228)="","Unknown",PROPER(TRIM(Raw_Data!L1228))))</f>
        <v>Active</v>
      </c>
      <c r="O1228" s="13" t="str">
        <f aca="false">IF(M1228=0,"",IF(TRIM(Raw_Data!M1228)="","Not Recorded",TRIM(Raw_Data!M1228)))</f>
        <v/>
      </c>
      <c r="P1228" s="16" t="n">
        <f aca="false">ROUND((IF(C1228="",AsOfDate,C1228)-B1228)/365.25,2)</f>
        <v>3.99</v>
      </c>
      <c r="Q1228" s="13" t="str">
        <f aca="false">IF(D1228="","Unknown",IF(D1228&lt;25,"Under 25",IF(D1228&lt;35,"25-34",IF(D1228&lt;45,"35-44",IF(D1228&lt;55,"45-54","55+")))))</f>
        <v>25-34</v>
      </c>
      <c r="R1228" s="13" t="str">
        <f aca="false">IF(P1228&lt;1,"0-1 yrs",IF(P1228&lt;3,"1-3 yrs",IF(P1228&lt;5,"3-5 yrs",IF(P1228&lt;10,"5-10 yrs","10+ yrs"))))</f>
        <v>3-5 yrs</v>
      </c>
      <c r="S1228" s="13" t="str">
        <f aca="false">IF(I1228&gt;=4,"High",IF(I1228=3,"Medium","Low"))</f>
        <v>Medium</v>
      </c>
      <c r="T1228" s="13" t="str">
        <f aca="false">IF(M1228=1,YEAR(C1228),"")</f>
        <v/>
      </c>
      <c r="U1228" s="13" t="str">
        <f aca="false">IF(M1228=1,YEAR(C1228)&amp;"-Q"&amp;ROUNDUP(MONTH(C1228)/3,0),"")</f>
        <v/>
      </c>
      <c r="V1228" s="13" t="str">
        <f aca="false">IF(M1228=1,MONTH(C1228),"")</f>
        <v/>
      </c>
    </row>
    <row r="1229" customFormat="false" ht="15" hidden="false" customHeight="false" outlineLevel="0" collapsed="false">
      <c r="A1229" s="13" t="str">
        <f aca="false">TRIM(Raw_Data!A1229)</f>
        <v>EMP1228</v>
      </c>
      <c r="B1229" s="14" t="n">
        <f aca="false">Raw_Data!B1229</f>
        <v>44564</v>
      </c>
      <c r="C1229" s="14" t="n">
        <f aca="false">IF(Raw_Data!C1229="","",Raw_Data!C1229)</f>
        <v>45533</v>
      </c>
      <c r="D1229" s="13" t="n">
        <f aca="false">IF(Raw_Data!D1229="","",Raw_Data!D1229)</f>
        <v>27</v>
      </c>
      <c r="E1229" s="13" t="str">
        <f aca="false">IF(UPPER(LEFT(TRIM(Raw_Data!E1229),1))="M","Male",IF(UPPER(LEFT(TRIM(Raw_Data!E1229),1))="F","Female","Unknown"))</f>
        <v>Female</v>
      </c>
      <c r="F1229" s="13" t="str">
        <f aca="false">PROPER(TRIM(SUBSTITUTE(Raw_Data!F1229,"'","")))</f>
        <v>Diploma</v>
      </c>
      <c r="G1229" s="13" t="str">
        <f aca="false">PROPER(TRIM(Raw_Data!G1229))</f>
        <v>Sales</v>
      </c>
      <c r="H1229" s="13" t="str">
        <f aca="false">PROPER(TRIM(Raw_Data!H1229))</f>
        <v>Associate</v>
      </c>
      <c r="I1229" s="13" t="n">
        <f aca="false">IF(Raw_Data!I1229="",DefaultPerf,Raw_Data!I1229)</f>
        <v>3</v>
      </c>
      <c r="J1229" s="13" t="n">
        <f aca="false">IF(Raw_Data!J1229="",DefaultSat,Raw_Data!J1229)</f>
        <v>3</v>
      </c>
      <c r="K1229" s="15" t="n">
        <f aca="false">Raw_Data!K1229</f>
        <v>46500</v>
      </c>
      <c r="L1229" s="13" t="str">
        <f aca="false">PROPER(TRIM(Raw_Data!N1229))</f>
        <v>Yes</v>
      </c>
      <c r="M1229" s="13" t="n">
        <f aca="false">IF(C1229="",0,1)</f>
        <v>1</v>
      </c>
      <c r="N1229" s="13" t="str">
        <f aca="false">IF(M1229=0,"Active",IF(TRIM(Raw_Data!L1229)="","Unknown",PROPER(TRIM(Raw_Data!L1229))))</f>
        <v>Involuntary</v>
      </c>
      <c r="O1229" s="13" t="str">
        <f aca="false">IF(M1229=0,"",IF(TRIM(Raw_Data!M1229)="","Not Recorded",TRIM(Raw_Data!M1229)))</f>
        <v>Poor Performance</v>
      </c>
      <c r="P1229" s="16" t="n">
        <f aca="false">ROUND((IF(C1229="",AsOfDate,C1229)-B1229)/365.25,2)</f>
        <v>2.65</v>
      </c>
      <c r="Q1229" s="13" t="str">
        <f aca="false">IF(D1229="","Unknown",IF(D1229&lt;25,"Under 25",IF(D1229&lt;35,"25-34",IF(D1229&lt;45,"35-44",IF(D1229&lt;55,"45-54","55+")))))</f>
        <v>25-34</v>
      </c>
      <c r="R1229" s="13" t="str">
        <f aca="false">IF(P1229&lt;1,"0-1 yrs",IF(P1229&lt;3,"1-3 yrs",IF(P1229&lt;5,"3-5 yrs",IF(P1229&lt;10,"5-10 yrs","10+ yrs"))))</f>
        <v>1-3 yrs</v>
      </c>
      <c r="S1229" s="13" t="str">
        <f aca="false">IF(I1229&gt;=4,"High",IF(I1229=3,"Medium","Low"))</f>
        <v>Medium</v>
      </c>
      <c r="T1229" s="13" t="n">
        <f aca="false">IF(M1229=1,YEAR(C1229),"")</f>
        <v>2024</v>
      </c>
      <c r="U1229" s="13" t="str">
        <f aca="false">IF(M1229=1,YEAR(C1229)&amp;"-Q"&amp;ROUNDUP(MONTH(C1229)/3,0),"")</f>
        <v>2024-Q3</v>
      </c>
      <c r="V1229" s="13" t="n">
        <f aca="false">IF(M1229=1,MONTH(C1229),"")</f>
        <v>8</v>
      </c>
    </row>
    <row r="1230" customFormat="false" ht="15" hidden="false" customHeight="false" outlineLevel="0" collapsed="false">
      <c r="A1230" s="13" t="str">
        <f aca="false">TRIM(Raw_Data!A1230)</f>
        <v>EMP1229</v>
      </c>
      <c r="B1230" s="14" t="n">
        <f aca="false">Raw_Data!B1230</f>
        <v>44566</v>
      </c>
      <c r="C1230" s="14" t="str">
        <f aca="false">IF(Raw_Data!C1230="","",Raw_Data!C1230)</f>
        <v/>
      </c>
      <c r="D1230" s="13" t="n">
        <f aca="false">IF(Raw_Data!D1230="","",Raw_Data!D1230)</f>
        <v>33</v>
      </c>
      <c r="E1230" s="13" t="str">
        <f aca="false">IF(UPPER(LEFT(TRIM(Raw_Data!E1230),1))="M","Male",IF(UPPER(LEFT(TRIM(Raw_Data!E1230),1))="F","Female","Unknown"))</f>
        <v>Male</v>
      </c>
      <c r="F1230" s="13" t="str">
        <f aca="false">PROPER(TRIM(SUBSTITUTE(Raw_Data!F1230,"'","")))</f>
        <v>Masters</v>
      </c>
      <c r="G1230" s="13" t="str">
        <f aca="false">PROPER(TRIM(Raw_Data!G1230))</f>
        <v>Operations</v>
      </c>
      <c r="H1230" s="13" t="str">
        <f aca="false">PROPER(TRIM(Raw_Data!H1230))</f>
        <v>Specialist</v>
      </c>
      <c r="I1230" s="13" t="n">
        <f aca="false">IF(Raw_Data!I1230="",DefaultPerf,Raw_Data!I1230)</f>
        <v>4</v>
      </c>
      <c r="J1230" s="13" t="n">
        <f aca="false">IF(Raw_Data!J1230="",DefaultSat,Raw_Data!J1230)</f>
        <v>3</v>
      </c>
      <c r="K1230" s="15" t="n">
        <f aca="false">Raw_Data!K1230</f>
        <v>96000</v>
      </c>
      <c r="L1230" s="13" t="str">
        <f aca="false">PROPER(TRIM(Raw_Data!N1230))</f>
        <v>No</v>
      </c>
      <c r="M1230" s="13" t="n">
        <f aca="false">IF(C1230="",0,1)</f>
        <v>0</v>
      </c>
      <c r="N1230" s="13" t="str">
        <f aca="false">IF(M1230=0,"Active",IF(TRIM(Raw_Data!L1230)="","Unknown",PROPER(TRIM(Raw_Data!L1230))))</f>
        <v>Active</v>
      </c>
      <c r="O1230" s="13" t="str">
        <f aca="false">IF(M1230=0,"",IF(TRIM(Raw_Data!M1230)="","Not Recorded",TRIM(Raw_Data!M1230)))</f>
        <v/>
      </c>
      <c r="P1230" s="16" t="n">
        <f aca="false">ROUND((IF(C1230="",AsOfDate,C1230)-B1230)/365.25,2)</f>
        <v>3.99</v>
      </c>
      <c r="Q1230" s="13" t="str">
        <f aca="false">IF(D1230="","Unknown",IF(D1230&lt;25,"Under 25",IF(D1230&lt;35,"25-34",IF(D1230&lt;45,"35-44",IF(D1230&lt;55,"45-54","55+")))))</f>
        <v>25-34</v>
      </c>
      <c r="R1230" s="13" t="str">
        <f aca="false">IF(P1230&lt;1,"0-1 yrs",IF(P1230&lt;3,"1-3 yrs",IF(P1230&lt;5,"3-5 yrs",IF(P1230&lt;10,"5-10 yrs","10+ yrs"))))</f>
        <v>3-5 yrs</v>
      </c>
      <c r="S1230" s="13" t="str">
        <f aca="false">IF(I1230&gt;=4,"High",IF(I1230=3,"Medium","Low"))</f>
        <v>High</v>
      </c>
      <c r="T1230" s="13" t="str">
        <f aca="false">IF(M1230=1,YEAR(C1230),"")</f>
        <v/>
      </c>
      <c r="U1230" s="13" t="str">
        <f aca="false">IF(M1230=1,YEAR(C1230)&amp;"-Q"&amp;ROUNDUP(MONTH(C1230)/3,0),"")</f>
        <v/>
      </c>
      <c r="V1230" s="13" t="str">
        <f aca="false">IF(M1230=1,MONTH(C1230),"")</f>
        <v/>
      </c>
    </row>
    <row r="1231" customFormat="false" ht="15" hidden="false" customHeight="false" outlineLevel="0" collapsed="false">
      <c r="A1231" s="13" t="str">
        <f aca="false">TRIM(Raw_Data!A1231)</f>
        <v>EMP1230</v>
      </c>
      <c r="B1231" s="14" t="n">
        <f aca="false">Raw_Data!B1231</f>
        <v>44568</v>
      </c>
      <c r="C1231" s="14" t="str">
        <f aca="false">IF(Raw_Data!C1231="","",Raw_Data!C1231)</f>
        <v/>
      </c>
      <c r="D1231" s="13" t="n">
        <f aca="false">IF(Raw_Data!D1231="","",Raw_Data!D1231)</f>
        <v>30</v>
      </c>
      <c r="E1231" s="13" t="str">
        <f aca="false">IF(UPPER(LEFT(TRIM(Raw_Data!E1231),1))="M","Male",IF(UPPER(LEFT(TRIM(Raw_Data!E1231),1))="F","Female","Unknown"))</f>
        <v>Male</v>
      </c>
      <c r="F1231" s="13" t="str">
        <f aca="false">PROPER(TRIM(SUBSTITUTE(Raw_Data!F1231,"'","")))</f>
        <v>Doctorate</v>
      </c>
      <c r="G1231" s="13" t="str">
        <f aca="false">PROPER(TRIM(Raw_Data!G1231))</f>
        <v>Sales</v>
      </c>
      <c r="H1231" s="13" t="str">
        <f aca="false">PROPER(TRIM(Raw_Data!H1231))</f>
        <v>Senior Analyst</v>
      </c>
      <c r="I1231" s="13" t="n">
        <f aca="false">IF(Raw_Data!I1231="",DefaultPerf,Raw_Data!I1231)</f>
        <v>3</v>
      </c>
      <c r="J1231" s="13" t="n">
        <f aca="false">IF(Raw_Data!J1231="",DefaultSat,Raw_Data!J1231)</f>
        <v>2</v>
      </c>
      <c r="K1231" s="15" t="n">
        <f aca="false">Raw_Data!K1231</f>
        <v>92000</v>
      </c>
      <c r="L1231" s="13" t="str">
        <f aca="false">PROPER(TRIM(Raw_Data!N1231))</f>
        <v>No</v>
      </c>
      <c r="M1231" s="13" t="n">
        <f aca="false">IF(C1231="",0,1)</f>
        <v>0</v>
      </c>
      <c r="N1231" s="13" t="str">
        <f aca="false">IF(M1231=0,"Active",IF(TRIM(Raw_Data!L1231)="","Unknown",PROPER(TRIM(Raw_Data!L1231))))</f>
        <v>Active</v>
      </c>
      <c r="O1231" s="13" t="str">
        <f aca="false">IF(M1231=0,"",IF(TRIM(Raw_Data!M1231)="","Not Recorded",TRIM(Raw_Data!M1231)))</f>
        <v/>
      </c>
      <c r="P1231" s="16" t="n">
        <f aca="false">ROUND((IF(C1231="",AsOfDate,C1231)-B1231)/365.25,2)</f>
        <v>3.98</v>
      </c>
      <c r="Q1231" s="13" t="str">
        <f aca="false">IF(D1231="","Unknown",IF(D1231&lt;25,"Under 25",IF(D1231&lt;35,"25-34",IF(D1231&lt;45,"35-44",IF(D1231&lt;55,"45-54","55+")))))</f>
        <v>25-34</v>
      </c>
      <c r="R1231" s="13" t="str">
        <f aca="false">IF(P1231&lt;1,"0-1 yrs",IF(P1231&lt;3,"1-3 yrs",IF(P1231&lt;5,"3-5 yrs",IF(P1231&lt;10,"5-10 yrs","10+ yrs"))))</f>
        <v>3-5 yrs</v>
      </c>
      <c r="S1231" s="13" t="str">
        <f aca="false">IF(I1231&gt;=4,"High",IF(I1231=3,"Medium","Low"))</f>
        <v>Medium</v>
      </c>
      <c r="T1231" s="13" t="str">
        <f aca="false">IF(M1231=1,YEAR(C1231),"")</f>
        <v/>
      </c>
      <c r="U1231" s="13" t="str">
        <f aca="false">IF(M1231=1,YEAR(C1231)&amp;"-Q"&amp;ROUNDUP(MONTH(C1231)/3,0),"")</f>
        <v/>
      </c>
      <c r="V1231" s="13" t="str">
        <f aca="false">IF(M1231=1,MONTH(C1231),"")</f>
        <v/>
      </c>
    </row>
    <row r="1232" customFormat="false" ht="15" hidden="false" customHeight="false" outlineLevel="0" collapsed="false">
      <c r="A1232" s="13" t="str">
        <f aca="false">TRIM(Raw_Data!A1232)</f>
        <v>EMP1231</v>
      </c>
      <c r="B1232" s="14" t="n">
        <f aca="false">Raw_Data!B1232</f>
        <v>44577</v>
      </c>
      <c r="C1232" s="14" t="n">
        <f aca="false">IF(Raw_Data!C1232="","",Raw_Data!C1232)</f>
        <v>44758</v>
      </c>
      <c r="D1232" s="13" t="n">
        <f aca="false">IF(Raw_Data!D1232="","",Raw_Data!D1232)</f>
        <v>37</v>
      </c>
      <c r="E1232" s="13" t="str">
        <f aca="false">IF(UPPER(LEFT(TRIM(Raw_Data!E1232),1))="M","Male",IF(UPPER(LEFT(TRIM(Raw_Data!E1232),1))="F","Female","Unknown"))</f>
        <v>Male</v>
      </c>
      <c r="F1232" s="13" t="str">
        <f aca="false">PROPER(TRIM(SUBSTITUTE(Raw_Data!F1232,"'","")))</f>
        <v>Masters</v>
      </c>
      <c r="G1232" s="13" t="str">
        <f aca="false">PROPER(TRIM(Raw_Data!G1232))</f>
        <v>Engineering</v>
      </c>
      <c r="H1232" s="13" t="str">
        <f aca="false">PROPER(TRIM(Raw_Data!H1232))</f>
        <v>Associate</v>
      </c>
      <c r="I1232" s="13" t="n">
        <f aca="false">IF(Raw_Data!I1232="",DefaultPerf,Raw_Data!I1232)</f>
        <v>4</v>
      </c>
      <c r="J1232" s="13" t="n">
        <f aca="false">IF(Raw_Data!J1232="",DefaultSat,Raw_Data!J1232)</f>
        <v>1</v>
      </c>
      <c r="K1232" s="15" t="n">
        <f aca="false">Raw_Data!K1232</f>
        <v>39000</v>
      </c>
      <c r="L1232" s="13" t="str">
        <f aca="false">PROPER(TRIM(Raw_Data!N1232))</f>
        <v>Yes</v>
      </c>
      <c r="M1232" s="13" t="n">
        <f aca="false">IF(C1232="",0,1)</f>
        <v>1</v>
      </c>
      <c r="N1232" s="13" t="str">
        <f aca="false">IF(M1232=0,"Active",IF(TRIM(Raw_Data!L1232)="","Unknown",PROPER(TRIM(Raw_Data!L1232))))</f>
        <v>Voluntary</v>
      </c>
      <c r="O1232" s="13" t="str">
        <f aca="false">IF(M1232=0,"",IF(TRIM(Raw_Data!M1232)="","Not Recorded",TRIM(Raw_Data!M1232)))</f>
        <v>Job Dissatisfaction</v>
      </c>
      <c r="P1232" s="16" t="n">
        <f aca="false">ROUND((IF(C1232="",AsOfDate,C1232)-B1232)/365.25,2)</f>
        <v>0.5</v>
      </c>
      <c r="Q1232" s="13" t="str">
        <f aca="false">IF(D1232="","Unknown",IF(D1232&lt;25,"Under 25",IF(D1232&lt;35,"25-34",IF(D1232&lt;45,"35-44",IF(D1232&lt;55,"45-54","55+")))))</f>
        <v>35-44</v>
      </c>
      <c r="R1232" s="13" t="str">
        <f aca="false">IF(P1232&lt;1,"0-1 yrs",IF(P1232&lt;3,"1-3 yrs",IF(P1232&lt;5,"3-5 yrs",IF(P1232&lt;10,"5-10 yrs","10+ yrs"))))</f>
        <v>0-1 yrs</v>
      </c>
      <c r="S1232" s="13" t="str">
        <f aca="false">IF(I1232&gt;=4,"High",IF(I1232=3,"Medium","Low"))</f>
        <v>High</v>
      </c>
      <c r="T1232" s="13" t="n">
        <f aca="false">IF(M1232=1,YEAR(C1232),"")</f>
        <v>2022</v>
      </c>
      <c r="U1232" s="13" t="str">
        <f aca="false">IF(M1232=1,YEAR(C1232)&amp;"-Q"&amp;ROUNDUP(MONTH(C1232)/3,0),"")</f>
        <v>2022-Q3</v>
      </c>
      <c r="V1232" s="13" t="n">
        <f aca="false">IF(M1232=1,MONTH(C1232),"")</f>
        <v>7</v>
      </c>
    </row>
    <row r="1233" customFormat="false" ht="15" hidden="false" customHeight="false" outlineLevel="0" collapsed="false">
      <c r="A1233" s="13" t="str">
        <f aca="false">TRIM(Raw_Data!A1233)</f>
        <v>EMP1232</v>
      </c>
      <c r="B1233" s="14" t="n">
        <f aca="false">Raw_Data!B1233</f>
        <v>44577</v>
      </c>
      <c r="C1233" s="14" t="n">
        <f aca="false">IF(Raw_Data!C1233="","",Raw_Data!C1233)</f>
        <v>45246</v>
      </c>
      <c r="D1233" s="13" t="n">
        <f aca="false">IF(Raw_Data!D1233="","",Raw_Data!D1233)</f>
        <v>30</v>
      </c>
      <c r="E1233" s="13" t="str">
        <f aca="false">IF(UPPER(LEFT(TRIM(Raw_Data!E1233),1))="M","Male",IF(UPPER(LEFT(TRIM(Raw_Data!E1233),1))="F","Female","Unknown"))</f>
        <v>Female</v>
      </c>
      <c r="F1233" s="13" t="str">
        <f aca="false">PROPER(TRIM(SUBSTITUTE(Raw_Data!F1233,"'","")))</f>
        <v>High School</v>
      </c>
      <c r="G1233" s="13" t="str">
        <f aca="false">PROPER(TRIM(Raw_Data!G1233))</f>
        <v>Customer Support</v>
      </c>
      <c r="H1233" s="13" t="str">
        <f aca="false">PROPER(TRIM(Raw_Data!H1233))</f>
        <v>Analyst</v>
      </c>
      <c r="I1233" s="13" t="n">
        <f aca="false">IF(Raw_Data!I1233="",DefaultPerf,Raw_Data!I1233)</f>
        <v>5</v>
      </c>
      <c r="J1233" s="13" t="n">
        <f aca="false">IF(Raw_Data!J1233="",DefaultSat,Raw_Data!J1233)</f>
        <v>4</v>
      </c>
      <c r="K1233" s="15" t="n">
        <f aca="false">Raw_Data!K1233</f>
        <v>70500</v>
      </c>
      <c r="L1233" s="13" t="str">
        <f aca="false">PROPER(TRIM(Raw_Data!N1233))</f>
        <v>Yes</v>
      </c>
      <c r="M1233" s="13" t="n">
        <f aca="false">IF(C1233="",0,1)</f>
        <v>1</v>
      </c>
      <c r="N1233" s="13" t="str">
        <f aca="false">IF(M1233=0,"Active",IF(TRIM(Raw_Data!L1233)="","Unknown",PROPER(TRIM(Raw_Data!L1233))))</f>
        <v>Voluntary</v>
      </c>
      <c r="O1233" s="13" t="str">
        <f aca="false">IF(M1233=0,"",IF(TRIM(Raw_Data!M1233)="","Not Recorded",TRIM(Raw_Data!M1233)))</f>
        <v>Better Compensation</v>
      </c>
      <c r="P1233" s="16" t="n">
        <f aca="false">ROUND((IF(C1233="",AsOfDate,C1233)-B1233)/365.25,2)</f>
        <v>1.83</v>
      </c>
      <c r="Q1233" s="13" t="str">
        <f aca="false">IF(D1233="","Unknown",IF(D1233&lt;25,"Under 25",IF(D1233&lt;35,"25-34",IF(D1233&lt;45,"35-44",IF(D1233&lt;55,"45-54","55+")))))</f>
        <v>25-34</v>
      </c>
      <c r="R1233" s="13" t="str">
        <f aca="false">IF(P1233&lt;1,"0-1 yrs",IF(P1233&lt;3,"1-3 yrs",IF(P1233&lt;5,"3-5 yrs",IF(P1233&lt;10,"5-10 yrs","10+ yrs"))))</f>
        <v>1-3 yrs</v>
      </c>
      <c r="S1233" s="13" t="str">
        <f aca="false">IF(I1233&gt;=4,"High",IF(I1233=3,"Medium","Low"))</f>
        <v>High</v>
      </c>
      <c r="T1233" s="13" t="n">
        <f aca="false">IF(M1233=1,YEAR(C1233),"")</f>
        <v>2023</v>
      </c>
      <c r="U1233" s="13" t="str">
        <f aca="false">IF(M1233=1,YEAR(C1233)&amp;"-Q"&amp;ROUNDUP(MONTH(C1233)/3,0),"")</f>
        <v>2023-Q4</v>
      </c>
      <c r="V1233" s="13" t="n">
        <f aca="false">IF(M1233=1,MONTH(C1233),"")</f>
        <v>11</v>
      </c>
    </row>
    <row r="1234" customFormat="false" ht="15" hidden="false" customHeight="false" outlineLevel="0" collapsed="false">
      <c r="A1234" s="13" t="str">
        <f aca="false">TRIM(Raw_Data!A1234)</f>
        <v>EMP1233</v>
      </c>
      <c r="B1234" s="14" t="n">
        <f aca="false">Raw_Data!B1234</f>
        <v>44578</v>
      </c>
      <c r="C1234" s="14" t="str">
        <f aca="false">IF(Raw_Data!C1234="","",Raw_Data!C1234)</f>
        <v/>
      </c>
      <c r="D1234" s="13" t="n">
        <f aca="false">IF(Raw_Data!D1234="","",Raw_Data!D1234)</f>
        <v>32</v>
      </c>
      <c r="E1234" s="13" t="str">
        <f aca="false">IF(UPPER(LEFT(TRIM(Raw_Data!E1234),1))="M","Male",IF(UPPER(LEFT(TRIM(Raw_Data!E1234),1))="F","Female","Unknown"))</f>
        <v>Female</v>
      </c>
      <c r="F1234" s="13" t="str">
        <f aca="false">PROPER(TRIM(SUBSTITUTE(Raw_Data!F1234,"'","")))</f>
        <v>Diploma</v>
      </c>
      <c r="G1234" s="13" t="str">
        <f aca="false">PROPER(TRIM(Raw_Data!G1234))</f>
        <v>Finance</v>
      </c>
      <c r="H1234" s="13" t="str">
        <f aca="false">PROPER(TRIM(Raw_Data!H1234))</f>
        <v>Associate</v>
      </c>
      <c r="I1234" s="13" t="n">
        <f aca="false">IF(Raw_Data!I1234="",DefaultPerf,Raw_Data!I1234)</f>
        <v>5</v>
      </c>
      <c r="J1234" s="13" t="n">
        <f aca="false">IF(Raw_Data!J1234="",DefaultSat,Raw_Data!J1234)</f>
        <v>2</v>
      </c>
      <c r="K1234" s="15" t="n">
        <f aca="false">Raw_Data!K1234</f>
        <v>43000</v>
      </c>
      <c r="L1234" s="13" t="str">
        <f aca="false">PROPER(TRIM(Raw_Data!N1234))</f>
        <v>No</v>
      </c>
      <c r="M1234" s="13" t="n">
        <f aca="false">IF(C1234="",0,1)</f>
        <v>0</v>
      </c>
      <c r="N1234" s="13" t="str">
        <f aca="false">IF(M1234=0,"Active",IF(TRIM(Raw_Data!L1234)="","Unknown",PROPER(TRIM(Raw_Data!L1234))))</f>
        <v>Active</v>
      </c>
      <c r="O1234" s="13" t="str">
        <f aca="false">IF(M1234=0,"",IF(TRIM(Raw_Data!M1234)="","Not Recorded",TRIM(Raw_Data!M1234)))</f>
        <v/>
      </c>
      <c r="P1234" s="16" t="n">
        <f aca="false">ROUND((IF(C1234="",AsOfDate,C1234)-B1234)/365.25,2)</f>
        <v>3.95</v>
      </c>
      <c r="Q1234" s="13" t="str">
        <f aca="false">IF(D1234="","Unknown",IF(D1234&lt;25,"Under 25",IF(D1234&lt;35,"25-34",IF(D1234&lt;45,"35-44",IF(D1234&lt;55,"45-54","55+")))))</f>
        <v>25-34</v>
      </c>
      <c r="R1234" s="13" t="str">
        <f aca="false">IF(P1234&lt;1,"0-1 yrs",IF(P1234&lt;3,"1-3 yrs",IF(P1234&lt;5,"3-5 yrs",IF(P1234&lt;10,"5-10 yrs","10+ yrs"))))</f>
        <v>3-5 yrs</v>
      </c>
      <c r="S1234" s="13" t="str">
        <f aca="false">IF(I1234&gt;=4,"High",IF(I1234=3,"Medium","Low"))</f>
        <v>High</v>
      </c>
      <c r="T1234" s="13" t="str">
        <f aca="false">IF(M1234=1,YEAR(C1234),"")</f>
        <v/>
      </c>
      <c r="U1234" s="13" t="str">
        <f aca="false">IF(M1234=1,YEAR(C1234)&amp;"-Q"&amp;ROUNDUP(MONTH(C1234)/3,0),"")</f>
        <v/>
      </c>
      <c r="V1234" s="13" t="str">
        <f aca="false">IF(M1234=1,MONTH(C1234),"")</f>
        <v/>
      </c>
    </row>
    <row r="1235" customFormat="false" ht="15" hidden="false" customHeight="false" outlineLevel="0" collapsed="false">
      <c r="A1235" s="13" t="str">
        <f aca="false">TRIM(Raw_Data!A1235)</f>
        <v>EMP1234</v>
      </c>
      <c r="B1235" s="14" t="n">
        <f aca="false">Raw_Data!B1235</f>
        <v>44579</v>
      </c>
      <c r="C1235" s="14" t="n">
        <f aca="false">IF(Raw_Data!C1235="","",Raw_Data!C1235)</f>
        <v>44829</v>
      </c>
      <c r="D1235" s="13" t="n">
        <f aca="false">IF(Raw_Data!D1235="","",Raw_Data!D1235)</f>
        <v>35</v>
      </c>
      <c r="E1235" s="13" t="str">
        <f aca="false">IF(UPPER(LEFT(TRIM(Raw_Data!E1235),1))="M","Male",IF(UPPER(LEFT(TRIM(Raw_Data!E1235),1))="F","Female","Unknown"))</f>
        <v>Female</v>
      </c>
      <c r="F1235" s="13" t="str">
        <f aca="false">PROPER(TRIM(SUBSTITUTE(Raw_Data!F1235,"'","")))</f>
        <v>Doctorate</v>
      </c>
      <c r="G1235" s="13" t="str">
        <f aca="false">PROPER(TRIM(Raw_Data!G1235))</f>
        <v>Operations</v>
      </c>
      <c r="H1235" s="13" t="str">
        <f aca="false">PROPER(TRIM(Raw_Data!H1235))</f>
        <v>Analyst</v>
      </c>
      <c r="I1235" s="13" t="n">
        <f aca="false">IF(Raw_Data!I1235="",DefaultPerf,Raw_Data!I1235)</f>
        <v>3</v>
      </c>
      <c r="J1235" s="13" t="n">
        <f aca="false">IF(Raw_Data!J1235="",DefaultSat,Raw_Data!J1235)</f>
        <v>1</v>
      </c>
      <c r="K1235" s="15" t="n">
        <f aca="false">Raw_Data!K1235</f>
        <v>58000</v>
      </c>
      <c r="L1235" s="13" t="str">
        <f aca="false">PROPER(TRIM(Raw_Data!N1235))</f>
        <v>Yes</v>
      </c>
      <c r="M1235" s="13" t="n">
        <f aca="false">IF(C1235="",0,1)</f>
        <v>1</v>
      </c>
      <c r="N1235" s="13" t="str">
        <f aca="false">IF(M1235=0,"Active",IF(TRIM(Raw_Data!L1235)="","Unknown",PROPER(TRIM(Raw_Data!L1235))))</f>
        <v>Voluntary</v>
      </c>
      <c r="O1235" s="13" t="str">
        <f aca="false">IF(M1235=0,"",IF(TRIM(Raw_Data!M1235)="","Not Recorded",TRIM(Raw_Data!M1235)))</f>
        <v>Work-Life Balance</v>
      </c>
      <c r="P1235" s="16" t="n">
        <f aca="false">ROUND((IF(C1235="",AsOfDate,C1235)-B1235)/365.25,2)</f>
        <v>0.68</v>
      </c>
      <c r="Q1235" s="13" t="str">
        <f aca="false">IF(D1235="","Unknown",IF(D1235&lt;25,"Under 25",IF(D1235&lt;35,"25-34",IF(D1235&lt;45,"35-44",IF(D1235&lt;55,"45-54","55+")))))</f>
        <v>35-44</v>
      </c>
      <c r="R1235" s="13" t="str">
        <f aca="false">IF(P1235&lt;1,"0-1 yrs",IF(P1235&lt;3,"1-3 yrs",IF(P1235&lt;5,"3-5 yrs",IF(P1235&lt;10,"5-10 yrs","10+ yrs"))))</f>
        <v>0-1 yrs</v>
      </c>
      <c r="S1235" s="13" t="str">
        <f aca="false">IF(I1235&gt;=4,"High",IF(I1235=3,"Medium","Low"))</f>
        <v>Medium</v>
      </c>
      <c r="T1235" s="13" t="n">
        <f aca="false">IF(M1235=1,YEAR(C1235),"")</f>
        <v>2022</v>
      </c>
      <c r="U1235" s="13" t="str">
        <f aca="false">IF(M1235=1,YEAR(C1235)&amp;"-Q"&amp;ROUNDUP(MONTH(C1235)/3,0),"")</f>
        <v>2022-Q3</v>
      </c>
      <c r="V1235" s="13" t="n">
        <f aca="false">IF(M1235=1,MONTH(C1235),"")</f>
        <v>9</v>
      </c>
    </row>
    <row r="1236" customFormat="false" ht="15" hidden="false" customHeight="false" outlineLevel="0" collapsed="false">
      <c r="A1236" s="13" t="str">
        <f aca="false">TRIM(Raw_Data!A1236)</f>
        <v>EMP1235</v>
      </c>
      <c r="B1236" s="14" t="n">
        <f aca="false">Raw_Data!B1236</f>
        <v>44581</v>
      </c>
      <c r="C1236" s="14" t="str">
        <f aca="false">IF(Raw_Data!C1236="","",Raw_Data!C1236)</f>
        <v/>
      </c>
      <c r="D1236" s="13" t="n">
        <f aca="false">IF(Raw_Data!D1236="","",Raw_Data!D1236)</f>
        <v>35</v>
      </c>
      <c r="E1236" s="13" t="str">
        <f aca="false">IF(UPPER(LEFT(TRIM(Raw_Data!E1236),1))="M","Male",IF(UPPER(LEFT(TRIM(Raw_Data!E1236),1))="F","Female","Unknown"))</f>
        <v>Female</v>
      </c>
      <c r="F1236" s="13" t="str">
        <f aca="false">PROPER(TRIM(SUBSTITUTE(Raw_Data!F1236,"'","")))</f>
        <v>Bachelors</v>
      </c>
      <c r="G1236" s="13" t="str">
        <f aca="false">PROPER(TRIM(Raw_Data!G1236))</f>
        <v>Operations</v>
      </c>
      <c r="H1236" s="13" t="str">
        <f aca="false">PROPER(TRIM(Raw_Data!H1236))</f>
        <v>Analyst</v>
      </c>
      <c r="I1236" s="13" t="n">
        <f aca="false">IF(Raw_Data!I1236="",DefaultPerf,Raw_Data!I1236)</f>
        <v>2</v>
      </c>
      <c r="J1236" s="13" t="n">
        <f aca="false">IF(Raw_Data!J1236="",DefaultSat,Raw_Data!J1236)</f>
        <v>4</v>
      </c>
      <c r="K1236" s="15" t="n">
        <f aca="false">Raw_Data!K1236</f>
        <v>53500</v>
      </c>
      <c r="L1236" s="13" t="str">
        <f aca="false">PROPER(TRIM(Raw_Data!N1236))</f>
        <v>No</v>
      </c>
      <c r="M1236" s="13" t="n">
        <f aca="false">IF(C1236="",0,1)</f>
        <v>0</v>
      </c>
      <c r="N1236" s="13" t="str">
        <f aca="false">IF(M1236=0,"Active",IF(TRIM(Raw_Data!L1236)="","Unknown",PROPER(TRIM(Raw_Data!L1236))))</f>
        <v>Active</v>
      </c>
      <c r="O1236" s="13" t="str">
        <f aca="false">IF(M1236=0,"",IF(TRIM(Raw_Data!M1236)="","Not Recorded",TRIM(Raw_Data!M1236)))</f>
        <v/>
      </c>
      <c r="P1236" s="16" t="n">
        <f aca="false">ROUND((IF(C1236="",AsOfDate,C1236)-B1236)/365.25,2)</f>
        <v>3.95</v>
      </c>
      <c r="Q1236" s="13" t="str">
        <f aca="false">IF(D1236="","Unknown",IF(D1236&lt;25,"Under 25",IF(D1236&lt;35,"25-34",IF(D1236&lt;45,"35-44",IF(D1236&lt;55,"45-54","55+")))))</f>
        <v>35-44</v>
      </c>
      <c r="R1236" s="13" t="str">
        <f aca="false">IF(P1236&lt;1,"0-1 yrs",IF(P1236&lt;3,"1-3 yrs",IF(P1236&lt;5,"3-5 yrs",IF(P1236&lt;10,"5-10 yrs","10+ yrs"))))</f>
        <v>3-5 yrs</v>
      </c>
      <c r="S1236" s="13" t="str">
        <f aca="false">IF(I1236&gt;=4,"High",IF(I1236=3,"Medium","Low"))</f>
        <v>Low</v>
      </c>
      <c r="T1236" s="13" t="str">
        <f aca="false">IF(M1236=1,YEAR(C1236),"")</f>
        <v/>
      </c>
      <c r="U1236" s="13" t="str">
        <f aca="false">IF(M1236=1,YEAR(C1236)&amp;"-Q"&amp;ROUNDUP(MONTH(C1236)/3,0),"")</f>
        <v/>
      </c>
      <c r="V1236" s="13" t="str">
        <f aca="false">IF(M1236=1,MONTH(C1236),"")</f>
        <v/>
      </c>
    </row>
    <row r="1237" customFormat="false" ht="15" hidden="false" customHeight="false" outlineLevel="0" collapsed="false">
      <c r="A1237" s="13" t="str">
        <f aca="false">TRIM(Raw_Data!A1237)</f>
        <v>EMP1236</v>
      </c>
      <c r="B1237" s="14" t="n">
        <f aca="false">Raw_Data!B1237</f>
        <v>44583</v>
      </c>
      <c r="C1237" s="14" t="str">
        <f aca="false">IF(Raw_Data!C1237="","",Raw_Data!C1237)</f>
        <v/>
      </c>
      <c r="D1237" s="13" t="n">
        <f aca="false">IF(Raw_Data!D1237="","",Raw_Data!D1237)</f>
        <v>37</v>
      </c>
      <c r="E1237" s="13" t="str">
        <f aca="false">IF(UPPER(LEFT(TRIM(Raw_Data!E1237),1))="M","Male",IF(UPPER(LEFT(TRIM(Raw_Data!E1237),1))="F","Female","Unknown"))</f>
        <v>Male</v>
      </c>
      <c r="F1237" s="13" t="str">
        <f aca="false">PROPER(TRIM(SUBSTITUTE(Raw_Data!F1237,"'","")))</f>
        <v>Masters</v>
      </c>
      <c r="G1237" s="13" t="str">
        <f aca="false">PROPER(TRIM(Raw_Data!G1237))</f>
        <v>Operations</v>
      </c>
      <c r="H1237" s="13" t="str">
        <f aca="false">PROPER(TRIM(Raw_Data!H1237))</f>
        <v>Senior Analyst</v>
      </c>
      <c r="I1237" s="13" t="n">
        <f aca="false">IF(Raw_Data!I1237="",DefaultPerf,Raw_Data!I1237)</f>
        <v>4</v>
      </c>
      <c r="J1237" s="13" t="n">
        <f aca="false">IF(Raw_Data!J1237="",DefaultSat,Raw_Data!J1237)</f>
        <v>4</v>
      </c>
      <c r="K1237" s="15" t="n">
        <f aca="false">Raw_Data!K1237</f>
        <v>103500</v>
      </c>
      <c r="L1237" s="13" t="str">
        <f aca="false">PROPER(TRIM(Raw_Data!N1237))</f>
        <v>Yes</v>
      </c>
      <c r="M1237" s="13" t="n">
        <f aca="false">IF(C1237="",0,1)</f>
        <v>0</v>
      </c>
      <c r="N1237" s="13" t="str">
        <f aca="false">IF(M1237=0,"Active",IF(TRIM(Raw_Data!L1237)="","Unknown",PROPER(TRIM(Raw_Data!L1237))))</f>
        <v>Active</v>
      </c>
      <c r="O1237" s="13" t="str">
        <f aca="false">IF(M1237=0,"",IF(TRIM(Raw_Data!M1237)="","Not Recorded",TRIM(Raw_Data!M1237)))</f>
        <v/>
      </c>
      <c r="P1237" s="16" t="n">
        <f aca="false">ROUND((IF(C1237="",AsOfDate,C1237)-B1237)/365.25,2)</f>
        <v>3.94</v>
      </c>
      <c r="Q1237" s="13" t="str">
        <f aca="false">IF(D1237="","Unknown",IF(D1237&lt;25,"Under 25",IF(D1237&lt;35,"25-34",IF(D1237&lt;45,"35-44",IF(D1237&lt;55,"45-54","55+")))))</f>
        <v>35-44</v>
      </c>
      <c r="R1237" s="13" t="str">
        <f aca="false">IF(P1237&lt;1,"0-1 yrs",IF(P1237&lt;3,"1-3 yrs",IF(P1237&lt;5,"3-5 yrs",IF(P1237&lt;10,"5-10 yrs","10+ yrs"))))</f>
        <v>3-5 yrs</v>
      </c>
      <c r="S1237" s="13" t="str">
        <f aca="false">IF(I1237&gt;=4,"High",IF(I1237=3,"Medium","Low"))</f>
        <v>High</v>
      </c>
      <c r="T1237" s="13" t="str">
        <f aca="false">IF(M1237=1,YEAR(C1237),"")</f>
        <v/>
      </c>
      <c r="U1237" s="13" t="str">
        <f aca="false">IF(M1237=1,YEAR(C1237)&amp;"-Q"&amp;ROUNDUP(MONTH(C1237)/3,0),"")</f>
        <v/>
      </c>
      <c r="V1237" s="13" t="str">
        <f aca="false">IF(M1237=1,MONTH(C1237),"")</f>
        <v/>
      </c>
    </row>
    <row r="1238" customFormat="false" ht="15" hidden="false" customHeight="false" outlineLevel="0" collapsed="false">
      <c r="A1238" s="13" t="str">
        <f aca="false">TRIM(Raw_Data!A1238)</f>
        <v>EMP1237</v>
      </c>
      <c r="B1238" s="14" t="n">
        <f aca="false">Raw_Data!B1238</f>
        <v>44585</v>
      </c>
      <c r="C1238" s="14" t="str">
        <f aca="false">IF(Raw_Data!C1238="","",Raw_Data!C1238)</f>
        <v/>
      </c>
      <c r="D1238" s="13" t="n">
        <f aca="false">IF(Raw_Data!D1238="","",Raw_Data!D1238)</f>
        <v>33</v>
      </c>
      <c r="E1238" s="13" t="str">
        <f aca="false">IF(UPPER(LEFT(TRIM(Raw_Data!E1238),1))="M","Male",IF(UPPER(LEFT(TRIM(Raw_Data!E1238),1))="F","Female","Unknown"))</f>
        <v>Male</v>
      </c>
      <c r="F1238" s="13" t="str">
        <f aca="false">PROPER(TRIM(SUBSTITUTE(Raw_Data!F1238,"'","")))</f>
        <v>Masters</v>
      </c>
      <c r="G1238" s="13" t="str">
        <f aca="false">PROPER(TRIM(Raw_Data!G1238))</f>
        <v>Human Resources</v>
      </c>
      <c r="H1238" s="13" t="str">
        <f aca="false">PROPER(TRIM(Raw_Data!H1238))</f>
        <v>Specialist</v>
      </c>
      <c r="I1238" s="13" t="n">
        <f aca="false">IF(Raw_Data!I1238="",DefaultPerf,Raw_Data!I1238)</f>
        <v>4</v>
      </c>
      <c r="J1238" s="13" t="n">
        <f aca="false">IF(Raw_Data!J1238="",DefaultSat,Raw_Data!J1238)</f>
        <v>4</v>
      </c>
      <c r="K1238" s="15" t="n">
        <f aca="false">Raw_Data!K1238</f>
        <v>102500</v>
      </c>
      <c r="L1238" s="13" t="str">
        <f aca="false">PROPER(TRIM(Raw_Data!N1238))</f>
        <v>No</v>
      </c>
      <c r="M1238" s="13" t="n">
        <f aca="false">IF(C1238="",0,1)</f>
        <v>0</v>
      </c>
      <c r="N1238" s="13" t="str">
        <f aca="false">IF(M1238=0,"Active",IF(TRIM(Raw_Data!L1238)="","Unknown",PROPER(TRIM(Raw_Data!L1238))))</f>
        <v>Active</v>
      </c>
      <c r="O1238" s="13" t="str">
        <f aca="false">IF(M1238=0,"",IF(TRIM(Raw_Data!M1238)="","Not Recorded",TRIM(Raw_Data!M1238)))</f>
        <v/>
      </c>
      <c r="P1238" s="16" t="n">
        <f aca="false">ROUND((IF(C1238="",AsOfDate,C1238)-B1238)/365.25,2)</f>
        <v>3.93</v>
      </c>
      <c r="Q1238" s="13" t="str">
        <f aca="false">IF(D1238="","Unknown",IF(D1238&lt;25,"Under 25",IF(D1238&lt;35,"25-34",IF(D1238&lt;45,"35-44",IF(D1238&lt;55,"45-54","55+")))))</f>
        <v>25-34</v>
      </c>
      <c r="R1238" s="13" t="str">
        <f aca="false">IF(P1238&lt;1,"0-1 yrs",IF(P1238&lt;3,"1-3 yrs",IF(P1238&lt;5,"3-5 yrs",IF(P1238&lt;10,"5-10 yrs","10+ yrs"))))</f>
        <v>3-5 yrs</v>
      </c>
      <c r="S1238" s="13" t="str">
        <f aca="false">IF(I1238&gt;=4,"High",IF(I1238=3,"Medium","Low"))</f>
        <v>High</v>
      </c>
      <c r="T1238" s="13" t="str">
        <f aca="false">IF(M1238=1,YEAR(C1238),"")</f>
        <v/>
      </c>
      <c r="U1238" s="13" t="str">
        <f aca="false">IF(M1238=1,YEAR(C1238)&amp;"-Q"&amp;ROUNDUP(MONTH(C1238)/3,0),"")</f>
        <v/>
      </c>
      <c r="V1238" s="13" t="str">
        <f aca="false">IF(M1238=1,MONTH(C1238),"")</f>
        <v/>
      </c>
    </row>
    <row r="1239" customFormat="false" ht="15" hidden="false" customHeight="false" outlineLevel="0" collapsed="false">
      <c r="A1239" s="13" t="str">
        <f aca="false">TRIM(Raw_Data!A1239)</f>
        <v>EMP1238</v>
      </c>
      <c r="B1239" s="14" t="n">
        <f aca="false">Raw_Data!B1239</f>
        <v>44587</v>
      </c>
      <c r="C1239" s="14" t="n">
        <f aca="false">IF(Raw_Data!C1239="","",Raw_Data!C1239)</f>
        <v>45263</v>
      </c>
      <c r="D1239" s="13" t="n">
        <f aca="false">IF(Raw_Data!D1239="","",Raw_Data!D1239)</f>
        <v>26</v>
      </c>
      <c r="E1239" s="13" t="str">
        <f aca="false">IF(UPPER(LEFT(TRIM(Raw_Data!E1239),1))="M","Male",IF(UPPER(LEFT(TRIM(Raw_Data!E1239),1))="F","Female","Unknown"))</f>
        <v>Male</v>
      </c>
      <c r="F1239" s="13" t="str">
        <f aca="false">PROPER(TRIM(SUBSTITUTE(Raw_Data!F1239,"'","")))</f>
        <v>Bachelors</v>
      </c>
      <c r="G1239" s="13" t="str">
        <f aca="false">PROPER(TRIM(Raw_Data!G1239))</f>
        <v>Engineering</v>
      </c>
      <c r="H1239" s="13" t="str">
        <f aca="false">PROPER(TRIM(Raw_Data!H1239))</f>
        <v>Associate</v>
      </c>
      <c r="I1239" s="17" t="n">
        <f aca="false">IF(Raw_Data!I1239="",DefaultPerf,Raw_Data!I1239)</f>
        <v>3</v>
      </c>
      <c r="J1239" s="13" t="n">
        <f aca="false">IF(Raw_Data!J1239="",DefaultSat,Raw_Data!J1239)</f>
        <v>2</v>
      </c>
      <c r="K1239" s="15" t="n">
        <f aca="false">Raw_Data!K1239</f>
        <v>34000</v>
      </c>
      <c r="L1239" s="13" t="str">
        <f aca="false">PROPER(TRIM(Raw_Data!N1239))</f>
        <v>No</v>
      </c>
      <c r="M1239" s="13" t="n">
        <f aca="false">IF(C1239="",0,1)</f>
        <v>1</v>
      </c>
      <c r="N1239" s="13" t="str">
        <f aca="false">IF(M1239=0,"Active",IF(TRIM(Raw_Data!L1239)="","Unknown",PROPER(TRIM(Raw_Data!L1239))))</f>
        <v>Voluntary</v>
      </c>
      <c r="O1239" s="13" t="str">
        <f aca="false">IF(M1239=0,"",IF(TRIM(Raw_Data!M1239)="","Not Recorded",TRIM(Raw_Data!M1239)))</f>
        <v>Job Dissatisfaction</v>
      </c>
      <c r="P1239" s="16" t="n">
        <f aca="false">ROUND((IF(C1239="",AsOfDate,C1239)-B1239)/365.25,2)</f>
        <v>1.85</v>
      </c>
      <c r="Q1239" s="13" t="str">
        <f aca="false">IF(D1239="","Unknown",IF(D1239&lt;25,"Under 25",IF(D1239&lt;35,"25-34",IF(D1239&lt;45,"35-44",IF(D1239&lt;55,"45-54","55+")))))</f>
        <v>25-34</v>
      </c>
      <c r="R1239" s="13" t="str">
        <f aca="false">IF(P1239&lt;1,"0-1 yrs",IF(P1239&lt;3,"1-3 yrs",IF(P1239&lt;5,"3-5 yrs",IF(P1239&lt;10,"5-10 yrs","10+ yrs"))))</f>
        <v>1-3 yrs</v>
      </c>
      <c r="S1239" s="13" t="str">
        <f aca="false">IF(I1239&gt;=4,"High",IF(I1239=3,"Medium","Low"))</f>
        <v>Medium</v>
      </c>
      <c r="T1239" s="13" t="n">
        <f aca="false">IF(M1239=1,YEAR(C1239),"")</f>
        <v>2023</v>
      </c>
      <c r="U1239" s="13" t="str">
        <f aca="false">IF(M1239=1,YEAR(C1239)&amp;"-Q"&amp;ROUNDUP(MONTH(C1239)/3,0),"")</f>
        <v>2023-Q4</v>
      </c>
      <c r="V1239" s="13" t="n">
        <f aca="false">IF(M1239=1,MONTH(C1239),"")</f>
        <v>12</v>
      </c>
    </row>
    <row r="1240" customFormat="false" ht="15" hidden="false" customHeight="false" outlineLevel="0" collapsed="false">
      <c r="A1240" s="13" t="str">
        <f aca="false">TRIM(Raw_Data!A1240)</f>
        <v>EMP1239</v>
      </c>
      <c r="B1240" s="14" t="n">
        <f aca="false">Raw_Data!B1240</f>
        <v>44588</v>
      </c>
      <c r="C1240" s="14" t="str">
        <f aca="false">IF(Raw_Data!C1240="","",Raw_Data!C1240)</f>
        <v/>
      </c>
      <c r="D1240" s="13" t="n">
        <f aca="false">IF(Raw_Data!D1240="","",Raw_Data!D1240)</f>
        <v>37</v>
      </c>
      <c r="E1240" s="13" t="str">
        <f aca="false">IF(UPPER(LEFT(TRIM(Raw_Data!E1240),1))="M","Male",IF(UPPER(LEFT(TRIM(Raw_Data!E1240),1))="F","Female","Unknown"))</f>
        <v>Female</v>
      </c>
      <c r="F1240" s="13" t="str">
        <f aca="false">PROPER(TRIM(SUBSTITUTE(Raw_Data!F1240,"'","")))</f>
        <v>Bachelors</v>
      </c>
      <c r="G1240" s="13" t="str">
        <f aca="false">PROPER(TRIM(Raw_Data!G1240))</f>
        <v>Finance</v>
      </c>
      <c r="H1240" s="13" t="str">
        <f aca="false">PROPER(TRIM(Raw_Data!H1240))</f>
        <v>Senior Analyst</v>
      </c>
      <c r="I1240" s="13" t="n">
        <f aca="false">IF(Raw_Data!I1240="",DefaultPerf,Raw_Data!I1240)</f>
        <v>3</v>
      </c>
      <c r="J1240" s="13" t="n">
        <f aca="false">IF(Raw_Data!J1240="",DefaultSat,Raw_Data!J1240)</f>
        <v>3</v>
      </c>
      <c r="K1240" s="15" t="n">
        <f aca="false">Raw_Data!K1240</f>
        <v>105000</v>
      </c>
      <c r="L1240" s="13" t="str">
        <f aca="false">PROPER(TRIM(Raw_Data!N1240))</f>
        <v>Yes</v>
      </c>
      <c r="M1240" s="13" t="n">
        <f aca="false">IF(C1240="",0,1)</f>
        <v>0</v>
      </c>
      <c r="N1240" s="13" t="str">
        <f aca="false">IF(M1240=0,"Active",IF(TRIM(Raw_Data!L1240)="","Unknown",PROPER(TRIM(Raw_Data!L1240))))</f>
        <v>Active</v>
      </c>
      <c r="O1240" s="13" t="str">
        <f aca="false">IF(M1240=0,"",IF(TRIM(Raw_Data!M1240)="","Not Recorded",TRIM(Raw_Data!M1240)))</f>
        <v/>
      </c>
      <c r="P1240" s="16" t="n">
        <f aca="false">ROUND((IF(C1240="",AsOfDate,C1240)-B1240)/365.25,2)</f>
        <v>3.93</v>
      </c>
      <c r="Q1240" s="13" t="str">
        <f aca="false">IF(D1240="","Unknown",IF(D1240&lt;25,"Under 25",IF(D1240&lt;35,"25-34",IF(D1240&lt;45,"35-44",IF(D1240&lt;55,"45-54","55+")))))</f>
        <v>35-44</v>
      </c>
      <c r="R1240" s="13" t="str">
        <f aca="false">IF(P1240&lt;1,"0-1 yrs",IF(P1240&lt;3,"1-3 yrs",IF(P1240&lt;5,"3-5 yrs",IF(P1240&lt;10,"5-10 yrs","10+ yrs"))))</f>
        <v>3-5 yrs</v>
      </c>
      <c r="S1240" s="13" t="str">
        <f aca="false">IF(I1240&gt;=4,"High",IF(I1240=3,"Medium","Low"))</f>
        <v>Medium</v>
      </c>
      <c r="T1240" s="13" t="str">
        <f aca="false">IF(M1240=1,YEAR(C1240),"")</f>
        <v/>
      </c>
      <c r="U1240" s="13" t="str">
        <f aca="false">IF(M1240=1,YEAR(C1240)&amp;"-Q"&amp;ROUNDUP(MONTH(C1240)/3,0),"")</f>
        <v/>
      </c>
      <c r="V1240" s="13" t="str">
        <f aca="false">IF(M1240=1,MONTH(C1240),"")</f>
        <v/>
      </c>
    </row>
    <row r="1241" customFormat="false" ht="15" hidden="false" customHeight="false" outlineLevel="0" collapsed="false">
      <c r="A1241" s="13" t="str">
        <f aca="false">TRIM(Raw_Data!A1241)</f>
        <v>EMP1240</v>
      </c>
      <c r="B1241" s="14" t="n">
        <f aca="false">Raw_Data!B1241</f>
        <v>44590</v>
      </c>
      <c r="C1241" s="14" t="str">
        <f aca="false">IF(Raw_Data!C1241="","",Raw_Data!C1241)</f>
        <v/>
      </c>
      <c r="D1241" s="13" t="n">
        <f aca="false">IF(Raw_Data!D1241="","",Raw_Data!D1241)</f>
        <v>25</v>
      </c>
      <c r="E1241" s="13" t="str">
        <f aca="false">IF(UPPER(LEFT(TRIM(Raw_Data!E1241),1))="M","Male",IF(UPPER(LEFT(TRIM(Raw_Data!E1241),1))="F","Female","Unknown"))</f>
        <v>Male</v>
      </c>
      <c r="F1241" s="13" t="str">
        <f aca="false">PROPER(TRIM(SUBSTITUTE(Raw_Data!F1241,"'","")))</f>
        <v>Bachelors</v>
      </c>
      <c r="G1241" s="13" t="str">
        <f aca="false">PROPER(TRIM(Raw_Data!G1241))</f>
        <v>Sales</v>
      </c>
      <c r="H1241" s="13" t="str">
        <f aca="false">PROPER(TRIM(Raw_Data!H1241))</f>
        <v>Manager</v>
      </c>
      <c r="I1241" s="13" t="n">
        <f aca="false">IF(Raw_Data!I1241="",DefaultPerf,Raw_Data!I1241)</f>
        <v>3</v>
      </c>
      <c r="J1241" s="13" t="n">
        <f aca="false">IF(Raw_Data!J1241="",DefaultSat,Raw_Data!J1241)</f>
        <v>3</v>
      </c>
      <c r="K1241" s="15" t="n">
        <f aca="false">Raw_Data!K1241</f>
        <v>167500</v>
      </c>
      <c r="L1241" s="13" t="str">
        <f aca="false">PROPER(TRIM(Raw_Data!N1241))</f>
        <v>No</v>
      </c>
      <c r="M1241" s="13" t="n">
        <f aca="false">IF(C1241="",0,1)</f>
        <v>0</v>
      </c>
      <c r="N1241" s="13" t="str">
        <f aca="false">IF(M1241=0,"Active",IF(TRIM(Raw_Data!L1241)="","Unknown",PROPER(TRIM(Raw_Data!L1241))))</f>
        <v>Active</v>
      </c>
      <c r="O1241" s="13" t="str">
        <f aca="false">IF(M1241=0,"",IF(TRIM(Raw_Data!M1241)="","Not Recorded",TRIM(Raw_Data!M1241)))</f>
        <v/>
      </c>
      <c r="P1241" s="16" t="n">
        <f aca="false">ROUND((IF(C1241="",AsOfDate,C1241)-B1241)/365.25,2)</f>
        <v>3.92</v>
      </c>
      <c r="Q1241" s="13" t="str">
        <f aca="false">IF(D1241="","Unknown",IF(D1241&lt;25,"Under 25",IF(D1241&lt;35,"25-34",IF(D1241&lt;45,"35-44",IF(D1241&lt;55,"45-54","55+")))))</f>
        <v>25-34</v>
      </c>
      <c r="R1241" s="13" t="str">
        <f aca="false">IF(P1241&lt;1,"0-1 yrs",IF(P1241&lt;3,"1-3 yrs",IF(P1241&lt;5,"3-5 yrs",IF(P1241&lt;10,"5-10 yrs","10+ yrs"))))</f>
        <v>3-5 yrs</v>
      </c>
      <c r="S1241" s="13" t="str">
        <f aca="false">IF(I1241&gt;=4,"High",IF(I1241=3,"Medium","Low"))</f>
        <v>Medium</v>
      </c>
      <c r="T1241" s="13" t="str">
        <f aca="false">IF(M1241=1,YEAR(C1241),"")</f>
        <v/>
      </c>
      <c r="U1241" s="13" t="str">
        <f aca="false">IF(M1241=1,YEAR(C1241)&amp;"-Q"&amp;ROUNDUP(MONTH(C1241)/3,0),"")</f>
        <v/>
      </c>
      <c r="V1241" s="13" t="str">
        <f aca="false">IF(M1241=1,MONTH(C1241),"")</f>
        <v/>
      </c>
    </row>
    <row r="1242" customFormat="false" ht="15" hidden="false" customHeight="false" outlineLevel="0" collapsed="false">
      <c r="A1242" s="13" t="str">
        <f aca="false">TRIM(Raw_Data!A1242)</f>
        <v>EMP1241</v>
      </c>
      <c r="B1242" s="14" t="n">
        <f aca="false">Raw_Data!B1242</f>
        <v>44591</v>
      </c>
      <c r="C1242" s="14" t="str">
        <f aca="false">IF(Raw_Data!C1242="","",Raw_Data!C1242)</f>
        <v/>
      </c>
      <c r="D1242" s="13" t="n">
        <f aca="false">IF(Raw_Data!D1242="","",Raw_Data!D1242)</f>
        <v>32</v>
      </c>
      <c r="E1242" s="13" t="str">
        <f aca="false">IF(UPPER(LEFT(TRIM(Raw_Data!E1242),1))="M","Male",IF(UPPER(LEFT(TRIM(Raw_Data!E1242),1))="F","Female","Unknown"))</f>
        <v>Male</v>
      </c>
      <c r="F1242" s="13" t="str">
        <f aca="false">PROPER(TRIM(SUBSTITUTE(Raw_Data!F1242,"'","")))</f>
        <v>Masters</v>
      </c>
      <c r="G1242" s="13" t="str">
        <f aca="false">PROPER(TRIM(Raw_Data!G1242))</f>
        <v>Engineering</v>
      </c>
      <c r="H1242" s="13" t="str">
        <f aca="false">PROPER(TRIM(Raw_Data!H1242))</f>
        <v>Analyst</v>
      </c>
      <c r="I1242" s="13" t="n">
        <f aca="false">IF(Raw_Data!I1242="",DefaultPerf,Raw_Data!I1242)</f>
        <v>5</v>
      </c>
      <c r="J1242" s="13" t="n">
        <f aca="false">IF(Raw_Data!J1242="",DefaultSat,Raw_Data!J1242)</f>
        <v>2</v>
      </c>
      <c r="K1242" s="15" t="n">
        <f aca="false">Raw_Data!K1242</f>
        <v>56000</v>
      </c>
      <c r="L1242" s="13" t="str">
        <f aca="false">PROPER(TRIM(Raw_Data!N1242))</f>
        <v>Yes</v>
      </c>
      <c r="M1242" s="13" t="n">
        <f aca="false">IF(C1242="",0,1)</f>
        <v>0</v>
      </c>
      <c r="N1242" s="13" t="str">
        <f aca="false">IF(M1242=0,"Active",IF(TRIM(Raw_Data!L1242)="","Unknown",PROPER(TRIM(Raw_Data!L1242))))</f>
        <v>Active</v>
      </c>
      <c r="O1242" s="13" t="str">
        <f aca="false">IF(M1242=0,"",IF(TRIM(Raw_Data!M1242)="","Not Recorded",TRIM(Raw_Data!M1242)))</f>
        <v/>
      </c>
      <c r="P1242" s="16" t="n">
        <f aca="false">ROUND((IF(C1242="",AsOfDate,C1242)-B1242)/365.25,2)</f>
        <v>3.92</v>
      </c>
      <c r="Q1242" s="13" t="str">
        <f aca="false">IF(D1242="","Unknown",IF(D1242&lt;25,"Under 25",IF(D1242&lt;35,"25-34",IF(D1242&lt;45,"35-44",IF(D1242&lt;55,"45-54","55+")))))</f>
        <v>25-34</v>
      </c>
      <c r="R1242" s="13" t="str">
        <f aca="false">IF(P1242&lt;1,"0-1 yrs",IF(P1242&lt;3,"1-3 yrs",IF(P1242&lt;5,"3-5 yrs",IF(P1242&lt;10,"5-10 yrs","10+ yrs"))))</f>
        <v>3-5 yrs</v>
      </c>
      <c r="S1242" s="13" t="str">
        <f aca="false">IF(I1242&gt;=4,"High",IF(I1242=3,"Medium","Low"))</f>
        <v>High</v>
      </c>
      <c r="T1242" s="13" t="str">
        <f aca="false">IF(M1242=1,YEAR(C1242),"")</f>
        <v/>
      </c>
      <c r="U1242" s="13" t="str">
        <f aca="false">IF(M1242=1,YEAR(C1242)&amp;"-Q"&amp;ROUNDUP(MONTH(C1242)/3,0),"")</f>
        <v/>
      </c>
      <c r="V1242" s="13" t="str">
        <f aca="false">IF(M1242=1,MONTH(C1242),"")</f>
        <v/>
      </c>
    </row>
    <row r="1243" customFormat="false" ht="15" hidden="false" customHeight="false" outlineLevel="0" collapsed="false">
      <c r="A1243" s="13" t="str">
        <f aca="false">TRIM(Raw_Data!A1243)</f>
        <v>EMP1242</v>
      </c>
      <c r="B1243" s="14" t="n">
        <f aca="false">Raw_Data!B1243</f>
        <v>44594</v>
      </c>
      <c r="C1243" s="14" t="n">
        <f aca="false">IF(Raw_Data!C1243="","",Raw_Data!C1243)</f>
        <v>44665</v>
      </c>
      <c r="D1243" s="13" t="n">
        <f aca="false">IF(Raw_Data!D1243="","",Raw_Data!D1243)</f>
        <v>25</v>
      </c>
      <c r="E1243" s="13" t="str">
        <f aca="false">IF(UPPER(LEFT(TRIM(Raw_Data!E1243),1))="M","Male",IF(UPPER(LEFT(TRIM(Raw_Data!E1243),1))="F","Female","Unknown"))</f>
        <v>Female</v>
      </c>
      <c r="F1243" s="13" t="str">
        <f aca="false">PROPER(TRIM(SUBSTITUTE(Raw_Data!F1243,"'","")))</f>
        <v>Doctorate</v>
      </c>
      <c r="G1243" s="13" t="str">
        <f aca="false">PROPER(TRIM(Raw_Data!G1243))</f>
        <v>Operations</v>
      </c>
      <c r="H1243" s="13" t="str">
        <f aca="false">PROPER(TRIM(Raw_Data!H1243))</f>
        <v>Senior Analyst</v>
      </c>
      <c r="I1243" s="13" t="n">
        <f aca="false">IF(Raw_Data!I1243="",DefaultPerf,Raw_Data!I1243)</f>
        <v>3</v>
      </c>
      <c r="J1243" s="13" t="n">
        <f aca="false">IF(Raw_Data!J1243="",DefaultSat,Raw_Data!J1243)</f>
        <v>3</v>
      </c>
      <c r="K1243" s="15" t="n">
        <f aca="false">Raw_Data!K1243</f>
        <v>102500</v>
      </c>
      <c r="L1243" s="13" t="str">
        <f aca="false">PROPER(TRIM(Raw_Data!N1243))</f>
        <v>No</v>
      </c>
      <c r="M1243" s="13" t="n">
        <f aca="false">IF(C1243="",0,1)</f>
        <v>1</v>
      </c>
      <c r="N1243" s="13" t="str">
        <f aca="false">IF(M1243=0,"Active",IF(TRIM(Raw_Data!L1243)="","Unknown",PROPER(TRIM(Raw_Data!L1243))))</f>
        <v>Voluntary</v>
      </c>
      <c r="O1243" s="13" t="str">
        <f aca="false">IF(M1243=0,"",IF(TRIM(Raw_Data!M1243)="","Not Recorded",TRIM(Raw_Data!M1243)))</f>
        <v>Career Growth</v>
      </c>
      <c r="P1243" s="16" t="n">
        <f aca="false">ROUND((IF(C1243="",AsOfDate,C1243)-B1243)/365.25,2)</f>
        <v>0.19</v>
      </c>
      <c r="Q1243" s="13" t="str">
        <f aca="false">IF(D1243="","Unknown",IF(D1243&lt;25,"Under 25",IF(D1243&lt;35,"25-34",IF(D1243&lt;45,"35-44",IF(D1243&lt;55,"45-54","55+")))))</f>
        <v>25-34</v>
      </c>
      <c r="R1243" s="13" t="str">
        <f aca="false">IF(P1243&lt;1,"0-1 yrs",IF(P1243&lt;3,"1-3 yrs",IF(P1243&lt;5,"3-5 yrs",IF(P1243&lt;10,"5-10 yrs","10+ yrs"))))</f>
        <v>0-1 yrs</v>
      </c>
      <c r="S1243" s="13" t="str">
        <f aca="false">IF(I1243&gt;=4,"High",IF(I1243=3,"Medium","Low"))</f>
        <v>Medium</v>
      </c>
      <c r="T1243" s="13" t="n">
        <f aca="false">IF(M1243=1,YEAR(C1243),"")</f>
        <v>2022</v>
      </c>
      <c r="U1243" s="13" t="str">
        <f aca="false">IF(M1243=1,YEAR(C1243)&amp;"-Q"&amp;ROUNDUP(MONTH(C1243)/3,0),"")</f>
        <v>2022-Q2</v>
      </c>
      <c r="V1243" s="13" t="n">
        <f aca="false">IF(M1243=1,MONTH(C1243),"")</f>
        <v>4</v>
      </c>
    </row>
    <row r="1244" customFormat="false" ht="15" hidden="false" customHeight="false" outlineLevel="0" collapsed="false">
      <c r="A1244" s="13" t="str">
        <f aca="false">TRIM(Raw_Data!A1244)</f>
        <v>EMP1243</v>
      </c>
      <c r="B1244" s="14" t="n">
        <f aca="false">Raw_Data!B1244</f>
        <v>44594</v>
      </c>
      <c r="C1244" s="14" t="n">
        <f aca="false">IF(Raw_Data!C1244="","",Raw_Data!C1244)</f>
        <v>44652</v>
      </c>
      <c r="D1244" s="13" t="n">
        <f aca="false">IF(Raw_Data!D1244="","",Raw_Data!D1244)</f>
        <v>28</v>
      </c>
      <c r="E1244" s="13" t="str">
        <f aca="false">IF(UPPER(LEFT(TRIM(Raw_Data!E1244),1))="M","Male",IF(UPPER(LEFT(TRIM(Raw_Data!E1244),1))="F","Female","Unknown"))</f>
        <v>Female</v>
      </c>
      <c r="F1244" s="13" t="str">
        <f aca="false">PROPER(TRIM(SUBSTITUTE(Raw_Data!F1244,"'","")))</f>
        <v>Diploma</v>
      </c>
      <c r="G1244" s="13" t="str">
        <f aca="false">PROPER(TRIM(Raw_Data!G1244))</f>
        <v>Customer Support</v>
      </c>
      <c r="H1244" s="13" t="str">
        <f aca="false">PROPER(TRIM(Raw_Data!H1244))</f>
        <v>Analyst</v>
      </c>
      <c r="I1244" s="13" t="n">
        <f aca="false">IF(Raw_Data!I1244="",DefaultPerf,Raw_Data!I1244)</f>
        <v>4</v>
      </c>
      <c r="J1244" s="13" t="n">
        <f aca="false">IF(Raw_Data!J1244="",DefaultSat,Raw_Data!J1244)</f>
        <v>3</v>
      </c>
      <c r="K1244" s="15" t="n">
        <f aca="false">Raw_Data!K1244</f>
        <v>54000</v>
      </c>
      <c r="L1244" s="13" t="str">
        <f aca="false">PROPER(TRIM(Raw_Data!N1244))</f>
        <v>No</v>
      </c>
      <c r="M1244" s="13" t="n">
        <f aca="false">IF(C1244="",0,1)</f>
        <v>1</v>
      </c>
      <c r="N1244" s="13" t="str">
        <f aca="false">IF(M1244=0,"Active",IF(TRIM(Raw_Data!L1244)="","Unknown",PROPER(TRIM(Raw_Data!L1244))))</f>
        <v>Voluntary</v>
      </c>
      <c r="O1244" s="13" t="str">
        <f aca="false">IF(M1244=0,"",IF(TRIM(Raw_Data!M1244)="","Not Recorded",TRIM(Raw_Data!M1244)))</f>
        <v>Work-Life Balance</v>
      </c>
      <c r="P1244" s="16" t="n">
        <f aca="false">ROUND((IF(C1244="",AsOfDate,C1244)-B1244)/365.25,2)</f>
        <v>0.16</v>
      </c>
      <c r="Q1244" s="13" t="str">
        <f aca="false">IF(D1244="","Unknown",IF(D1244&lt;25,"Under 25",IF(D1244&lt;35,"25-34",IF(D1244&lt;45,"35-44",IF(D1244&lt;55,"45-54","55+")))))</f>
        <v>25-34</v>
      </c>
      <c r="R1244" s="13" t="str">
        <f aca="false">IF(P1244&lt;1,"0-1 yrs",IF(P1244&lt;3,"1-3 yrs",IF(P1244&lt;5,"3-5 yrs",IF(P1244&lt;10,"5-10 yrs","10+ yrs"))))</f>
        <v>0-1 yrs</v>
      </c>
      <c r="S1244" s="13" t="str">
        <f aca="false">IF(I1244&gt;=4,"High",IF(I1244=3,"Medium","Low"))</f>
        <v>High</v>
      </c>
      <c r="T1244" s="13" t="n">
        <f aca="false">IF(M1244=1,YEAR(C1244),"")</f>
        <v>2022</v>
      </c>
      <c r="U1244" s="13" t="str">
        <f aca="false">IF(M1244=1,YEAR(C1244)&amp;"-Q"&amp;ROUNDUP(MONTH(C1244)/3,0),"")</f>
        <v>2022-Q2</v>
      </c>
      <c r="V1244" s="13" t="n">
        <f aca="false">IF(M1244=1,MONTH(C1244),"")</f>
        <v>4</v>
      </c>
    </row>
    <row r="1245" customFormat="false" ht="15" hidden="false" customHeight="false" outlineLevel="0" collapsed="false">
      <c r="A1245" s="13" t="str">
        <f aca="false">TRIM(Raw_Data!A1245)</f>
        <v>EMP1244</v>
      </c>
      <c r="B1245" s="14" t="n">
        <f aca="false">Raw_Data!B1245</f>
        <v>44596</v>
      </c>
      <c r="C1245" s="14" t="str">
        <f aca="false">IF(Raw_Data!C1245="","",Raw_Data!C1245)</f>
        <v/>
      </c>
      <c r="D1245" s="13" t="n">
        <f aca="false">IF(Raw_Data!D1245="","",Raw_Data!D1245)</f>
        <v>32</v>
      </c>
      <c r="E1245" s="13" t="str">
        <f aca="false">IF(UPPER(LEFT(TRIM(Raw_Data!E1245),1))="M","Male",IF(UPPER(LEFT(TRIM(Raw_Data!E1245),1))="F","Female","Unknown"))</f>
        <v>Female</v>
      </c>
      <c r="F1245" s="13" t="str">
        <f aca="false">PROPER(TRIM(SUBSTITUTE(Raw_Data!F1245,"'","")))</f>
        <v>Masters</v>
      </c>
      <c r="G1245" s="13" t="str">
        <f aca="false">PROPER(TRIM(Raw_Data!G1245))</f>
        <v>Operations</v>
      </c>
      <c r="H1245" s="13" t="str">
        <f aca="false">PROPER(TRIM(Raw_Data!H1245))</f>
        <v>Analyst</v>
      </c>
      <c r="I1245" s="13" t="n">
        <f aca="false">IF(Raw_Data!I1245="",DefaultPerf,Raw_Data!I1245)</f>
        <v>4</v>
      </c>
      <c r="J1245" s="13" t="n">
        <f aca="false">IF(Raw_Data!J1245="",DefaultSat,Raw_Data!J1245)</f>
        <v>4</v>
      </c>
      <c r="K1245" s="15" t="n">
        <f aca="false">Raw_Data!K1245</f>
        <v>73000</v>
      </c>
      <c r="L1245" s="13" t="str">
        <f aca="false">PROPER(TRIM(Raw_Data!N1245))</f>
        <v>No</v>
      </c>
      <c r="M1245" s="13" t="n">
        <f aca="false">IF(C1245="",0,1)</f>
        <v>0</v>
      </c>
      <c r="N1245" s="13" t="str">
        <f aca="false">IF(M1245=0,"Active",IF(TRIM(Raw_Data!L1245)="","Unknown",PROPER(TRIM(Raw_Data!L1245))))</f>
        <v>Active</v>
      </c>
      <c r="O1245" s="13" t="str">
        <f aca="false">IF(M1245=0,"",IF(TRIM(Raw_Data!M1245)="","Not Recorded",TRIM(Raw_Data!M1245)))</f>
        <v/>
      </c>
      <c r="P1245" s="16" t="n">
        <f aca="false">ROUND((IF(C1245="",AsOfDate,C1245)-B1245)/365.25,2)</f>
        <v>3.9</v>
      </c>
      <c r="Q1245" s="13" t="str">
        <f aca="false">IF(D1245="","Unknown",IF(D1245&lt;25,"Under 25",IF(D1245&lt;35,"25-34",IF(D1245&lt;45,"35-44",IF(D1245&lt;55,"45-54","55+")))))</f>
        <v>25-34</v>
      </c>
      <c r="R1245" s="13" t="str">
        <f aca="false">IF(P1245&lt;1,"0-1 yrs",IF(P1245&lt;3,"1-3 yrs",IF(P1245&lt;5,"3-5 yrs",IF(P1245&lt;10,"5-10 yrs","10+ yrs"))))</f>
        <v>3-5 yrs</v>
      </c>
      <c r="S1245" s="13" t="str">
        <f aca="false">IF(I1245&gt;=4,"High",IF(I1245=3,"Medium","Low"))</f>
        <v>High</v>
      </c>
      <c r="T1245" s="13" t="str">
        <f aca="false">IF(M1245=1,YEAR(C1245),"")</f>
        <v/>
      </c>
      <c r="U1245" s="13" t="str">
        <f aca="false">IF(M1245=1,YEAR(C1245)&amp;"-Q"&amp;ROUNDUP(MONTH(C1245)/3,0),"")</f>
        <v/>
      </c>
      <c r="V1245" s="13" t="str">
        <f aca="false">IF(M1245=1,MONTH(C1245),"")</f>
        <v/>
      </c>
    </row>
    <row r="1246" customFormat="false" ht="15" hidden="false" customHeight="false" outlineLevel="0" collapsed="false">
      <c r="A1246" s="13" t="str">
        <f aca="false">TRIM(Raw_Data!A1246)</f>
        <v>EMP1245</v>
      </c>
      <c r="B1246" s="14" t="n">
        <f aca="false">Raw_Data!B1246</f>
        <v>44597</v>
      </c>
      <c r="C1246" s="14" t="n">
        <f aca="false">IF(Raw_Data!C1246="","",Raw_Data!C1246)</f>
        <v>44952</v>
      </c>
      <c r="D1246" s="13" t="n">
        <f aca="false">IF(Raw_Data!D1246="","",Raw_Data!D1246)</f>
        <v>33</v>
      </c>
      <c r="E1246" s="13" t="str">
        <f aca="false">IF(UPPER(LEFT(TRIM(Raw_Data!E1246),1))="M","Male",IF(UPPER(LEFT(TRIM(Raw_Data!E1246),1))="F","Female","Unknown"))</f>
        <v>Female</v>
      </c>
      <c r="F1246" s="13" t="str">
        <f aca="false">PROPER(TRIM(SUBSTITUTE(Raw_Data!F1246,"'","")))</f>
        <v>Masters</v>
      </c>
      <c r="G1246" s="13" t="str">
        <f aca="false">PROPER(TRIM(Raw_Data!G1246))</f>
        <v>Sales</v>
      </c>
      <c r="H1246" s="13" t="str">
        <f aca="false">PROPER(TRIM(Raw_Data!H1246))</f>
        <v>Senior Analyst</v>
      </c>
      <c r="I1246" s="13" t="n">
        <f aca="false">IF(Raw_Data!I1246="",DefaultPerf,Raw_Data!I1246)</f>
        <v>3</v>
      </c>
      <c r="J1246" s="13" t="n">
        <f aca="false">IF(Raw_Data!J1246="",DefaultSat,Raw_Data!J1246)</f>
        <v>2</v>
      </c>
      <c r="K1246" s="15" t="n">
        <f aca="false">Raw_Data!K1246</f>
        <v>110000</v>
      </c>
      <c r="L1246" s="13" t="str">
        <f aca="false">PROPER(TRIM(Raw_Data!N1246))</f>
        <v>No</v>
      </c>
      <c r="M1246" s="13" t="n">
        <f aca="false">IF(C1246="",0,1)</f>
        <v>1</v>
      </c>
      <c r="N1246" s="13" t="str">
        <f aca="false">IF(M1246=0,"Active",IF(TRIM(Raw_Data!L1246)="","Unknown",PROPER(TRIM(Raw_Data!L1246))))</f>
        <v>Voluntary</v>
      </c>
      <c r="O1246" s="13" t="str">
        <f aca="false">IF(M1246=0,"",IF(TRIM(Raw_Data!M1246)="","Not Recorded",TRIM(Raw_Data!M1246)))</f>
        <v>Personal Reasons</v>
      </c>
      <c r="P1246" s="16" t="n">
        <f aca="false">ROUND((IF(C1246="",AsOfDate,C1246)-B1246)/365.25,2)</f>
        <v>0.97</v>
      </c>
      <c r="Q1246" s="13" t="str">
        <f aca="false">IF(D1246="","Unknown",IF(D1246&lt;25,"Under 25",IF(D1246&lt;35,"25-34",IF(D1246&lt;45,"35-44",IF(D1246&lt;55,"45-54","55+")))))</f>
        <v>25-34</v>
      </c>
      <c r="R1246" s="13" t="str">
        <f aca="false">IF(P1246&lt;1,"0-1 yrs",IF(P1246&lt;3,"1-3 yrs",IF(P1246&lt;5,"3-5 yrs",IF(P1246&lt;10,"5-10 yrs","10+ yrs"))))</f>
        <v>0-1 yrs</v>
      </c>
      <c r="S1246" s="13" t="str">
        <f aca="false">IF(I1246&gt;=4,"High",IF(I1246=3,"Medium","Low"))</f>
        <v>Medium</v>
      </c>
      <c r="T1246" s="13" t="n">
        <f aca="false">IF(M1246=1,YEAR(C1246),"")</f>
        <v>2023</v>
      </c>
      <c r="U1246" s="13" t="str">
        <f aca="false">IF(M1246=1,YEAR(C1246)&amp;"-Q"&amp;ROUNDUP(MONTH(C1246)/3,0),"")</f>
        <v>2023-Q1</v>
      </c>
      <c r="V1246" s="13" t="n">
        <f aca="false">IF(M1246=1,MONTH(C1246),"")</f>
        <v>1</v>
      </c>
    </row>
    <row r="1247" customFormat="false" ht="15" hidden="false" customHeight="false" outlineLevel="0" collapsed="false">
      <c r="A1247" s="13" t="str">
        <f aca="false">TRIM(Raw_Data!A1247)</f>
        <v>EMP1246</v>
      </c>
      <c r="B1247" s="14" t="n">
        <f aca="false">Raw_Data!B1247</f>
        <v>44600</v>
      </c>
      <c r="C1247" s="14" t="n">
        <f aca="false">IF(Raw_Data!C1247="","",Raw_Data!C1247)</f>
        <v>44635</v>
      </c>
      <c r="D1247" s="13" t="n">
        <f aca="false">IF(Raw_Data!D1247="","",Raw_Data!D1247)</f>
        <v>21</v>
      </c>
      <c r="E1247" s="13" t="str">
        <f aca="false">IF(UPPER(LEFT(TRIM(Raw_Data!E1247),1))="M","Male",IF(UPPER(LEFT(TRIM(Raw_Data!E1247),1))="F","Female","Unknown"))</f>
        <v>Female</v>
      </c>
      <c r="F1247" s="13" t="str">
        <f aca="false">PROPER(TRIM(SUBSTITUTE(Raw_Data!F1247,"'","")))</f>
        <v>Diploma</v>
      </c>
      <c r="G1247" s="13" t="str">
        <f aca="false">PROPER(TRIM(Raw_Data!G1247))</f>
        <v>Customer Support</v>
      </c>
      <c r="H1247" s="13" t="str">
        <f aca="false">PROPER(TRIM(Raw_Data!H1247))</f>
        <v>Associate</v>
      </c>
      <c r="I1247" s="13" t="n">
        <f aca="false">IF(Raw_Data!I1247="",DefaultPerf,Raw_Data!I1247)</f>
        <v>3</v>
      </c>
      <c r="J1247" s="13" t="n">
        <f aca="false">IF(Raw_Data!J1247="",DefaultSat,Raw_Data!J1247)</f>
        <v>1</v>
      </c>
      <c r="K1247" s="15" t="n">
        <f aca="false">Raw_Data!K1247</f>
        <v>32000</v>
      </c>
      <c r="L1247" s="13" t="str">
        <f aca="false">PROPER(TRIM(Raw_Data!N1247))</f>
        <v>No</v>
      </c>
      <c r="M1247" s="13" t="n">
        <f aca="false">IF(C1247="",0,1)</f>
        <v>1</v>
      </c>
      <c r="N1247" s="13" t="str">
        <f aca="false">IF(M1247=0,"Active",IF(TRIM(Raw_Data!L1247)="","Unknown",PROPER(TRIM(Raw_Data!L1247))))</f>
        <v>Voluntary</v>
      </c>
      <c r="O1247" s="13" t="str">
        <f aca="false">IF(M1247=0,"",IF(TRIM(Raw_Data!M1247)="","Not Recorded",TRIM(Raw_Data!M1247)))</f>
        <v>Further Studies</v>
      </c>
      <c r="P1247" s="16" t="n">
        <f aca="false">ROUND((IF(C1247="",AsOfDate,C1247)-B1247)/365.25,2)</f>
        <v>0.1</v>
      </c>
      <c r="Q1247" s="13" t="str">
        <f aca="false">IF(D1247="","Unknown",IF(D1247&lt;25,"Under 25",IF(D1247&lt;35,"25-34",IF(D1247&lt;45,"35-44",IF(D1247&lt;55,"45-54","55+")))))</f>
        <v>Under 25</v>
      </c>
      <c r="R1247" s="13" t="str">
        <f aca="false">IF(P1247&lt;1,"0-1 yrs",IF(P1247&lt;3,"1-3 yrs",IF(P1247&lt;5,"3-5 yrs",IF(P1247&lt;10,"5-10 yrs","10+ yrs"))))</f>
        <v>0-1 yrs</v>
      </c>
      <c r="S1247" s="13" t="str">
        <f aca="false">IF(I1247&gt;=4,"High",IF(I1247=3,"Medium","Low"))</f>
        <v>Medium</v>
      </c>
      <c r="T1247" s="13" t="n">
        <f aca="false">IF(M1247=1,YEAR(C1247),"")</f>
        <v>2022</v>
      </c>
      <c r="U1247" s="13" t="str">
        <f aca="false">IF(M1247=1,YEAR(C1247)&amp;"-Q"&amp;ROUNDUP(MONTH(C1247)/3,0),"")</f>
        <v>2022-Q1</v>
      </c>
      <c r="V1247" s="13" t="n">
        <f aca="false">IF(M1247=1,MONTH(C1247),"")</f>
        <v>3</v>
      </c>
    </row>
    <row r="1248" customFormat="false" ht="15" hidden="false" customHeight="false" outlineLevel="0" collapsed="false">
      <c r="A1248" s="13" t="str">
        <f aca="false">TRIM(Raw_Data!A1248)</f>
        <v>EMP1247</v>
      </c>
      <c r="B1248" s="14" t="n">
        <f aca="false">Raw_Data!B1248</f>
        <v>44602</v>
      </c>
      <c r="C1248" s="14" t="str">
        <f aca="false">IF(Raw_Data!C1248="","",Raw_Data!C1248)</f>
        <v/>
      </c>
      <c r="D1248" s="13" t="n">
        <f aca="false">IF(Raw_Data!D1248="","",Raw_Data!D1248)</f>
        <v>34</v>
      </c>
      <c r="E1248" s="13" t="str">
        <f aca="false">IF(UPPER(LEFT(TRIM(Raw_Data!E1248),1))="M","Male",IF(UPPER(LEFT(TRIM(Raw_Data!E1248),1))="F","Female","Unknown"))</f>
        <v>Male</v>
      </c>
      <c r="F1248" s="13" t="str">
        <f aca="false">PROPER(TRIM(SUBSTITUTE(Raw_Data!F1248,"'","")))</f>
        <v>Bachelors</v>
      </c>
      <c r="G1248" s="13" t="str">
        <f aca="false">PROPER(TRIM(Raw_Data!G1248))</f>
        <v>Sales</v>
      </c>
      <c r="H1248" s="13" t="str">
        <f aca="false">PROPER(TRIM(Raw_Data!H1248))</f>
        <v>Senior Analyst</v>
      </c>
      <c r="I1248" s="13" t="n">
        <f aca="false">IF(Raw_Data!I1248="",DefaultPerf,Raw_Data!I1248)</f>
        <v>3</v>
      </c>
      <c r="J1248" s="13" t="n">
        <f aca="false">IF(Raw_Data!J1248="",DefaultSat,Raw_Data!J1248)</f>
        <v>1</v>
      </c>
      <c r="K1248" s="15" t="n">
        <f aca="false">Raw_Data!K1248</f>
        <v>93000</v>
      </c>
      <c r="L1248" s="13" t="str">
        <f aca="false">PROPER(TRIM(Raw_Data!N1248))</f>
        <v>No</v>
      </c>
      <c r="M1248" s="13" t="n">
        <f aca="false">IF(C1248="",0,1)</f>
        <v>0</v>
      </c>
      <c r="N1248" s="13" t="str">
        <f aca="false">IF(M1248=0,"Active",IF(TRIM(Raw_Data!L1248)="","Unknown",PROPER(TRIM(Raw_Data!L1248))))</f>
        <v>Active</v>
      </c>
      <c r="O1248" s="13" t="str">
        <f aca="false">IF(M1248=0,"",IF(TRIM(Raw_Data!M1248)="","Not Recorded",TRIM(Raw_Data!M1248)))</f>
        <v/>
      </c>
      <c r="P1248" s="16" t="n">
        <f aca="false">ROUND((IF(C1248="",AsOfDate,C1248)-B1248)/365.25,2)</f>
        <v>3.89</v>
      </c>
      <c r="Q1248" s="13" t="str">
        <f aca="false">IF(D1248="","Unknown",IF(D1248&lt;25,"Under 25",IF(D1248&lt;35,"25-34",IF(D1248&lt;45,"35-44",IF(D1248&lt;55,"45-54","55+")))))</f>
        <v>25-34</v>
      </c>
      <c r="R1248" s="13" t="str">
        <f aca="false">IF(P1248&lt;1,"0-1 yrs",IF(P1248&lt;3,"1-3 yrs",IF(P1248&lt;5,"3-5 yrs",IF(P1248&lt;10,"5-10 yrs","10+ yrs"))))</f>
        <v>3-5 yrs</v>
      </c>
      <c r="S1248" s="13" t="str">
        <f aca="false">IF(I1248&gt;=4,"High",IF(I1248=3,"Medium","Low"))</f>
        <v>Medium</v>
      </c>
      <c r="T1248" s="13" t="str">
        <f aca="false">IF(M1248=1,YEAR(C1248),"")</f>
        <v/>
      </c>
      <c r="U1248" s="13" t="str">
        <f aca="false">IF(M1248=1,YEAR(C1248)&amp;"-Q"&amp;ROUNDUP(MONTH(C1248)/3,0),"")</f>
        <v/>
      </c>
      <c r="V1248" s="13" t="str">
        <f aca="false">IF(M1248=1,MONTH(C1248),"")</f>
        <v/>
      </c>
    </row>
    <row r="1249" customFormat="false" ht="15" hidden="false" customHeight="false" outlineLevel="0" collapsed="false">
      <c r="A1249" s="13" t="str">
        <f aca="false">TRIM(Raw_Data!A1249)</f>
        <v>EMP1248</v>
      </c>
      <c r="B1249" s="14" t="n">
        <f aca="false">Raw_Data!B1249</f>
        <v>44603</v>
      </c>
      <c r="C1249" s="14" t="str">
        <f aca="false">IF(Raw_Data!C1249="","",Raw_Data!C1249)</f>
        <v/>
      </c>
      <c r="D1249" s="13" t="n">
        <f aca="false">IF(Raw_Data!D1249="","",Raw_Data!D1249)</f>
        <v>39</v>
      </c>
      <c r="E1249" s="13" t="str">
        <f aca="false">IF(UPPER(LEFT(TRIM(Raw_Data!E1249),1))="M","Male",IF(UPPER(LEFT(TRIM(Raw_Data!E1249),1))="F","Female","Unknown"))</f>
        <v>Female</v>
      </c>
      <c r="F1249" s="13" t="str">
        <f aca="false">PROPER(TRIM(SUBSTITUTE(Raw_Data!F1249,"'","")))</f>
        <v>Bachelors</v>
      </c>
      <c r="G1249" s="13" t="str">
        <f aca="false">PROPER(TRIM(Raw_Data!G1249))</f>
        <v>Finance</v>
      </c>
      <c r="H1249" s="13" t="str">
        <f aca="false">PROPER(TRIM(Raw_Data!H1249))</f>
        <v>Senior Analyst</v>
      </c>
      <c r="I1249" s="13" t="n">
        <f aca="false">IF(Raw_Data!I1249="",DefaultPerf,Raw_Data!I1249)</f>
        <v>4</v>
      </c>
      <c r="J1249" s="13" t="n">
        <f aca="false">IF(Raw_Data!J1249="",DefaultSat,Raw_Data!J1249)</f>
        <v>2</v>
      </c>
      <c r="K1249" s="15" t="n">
        <f aca="false">Raw_Data!K1249</f>
        <v>104000</v>
      </c>
      <c r="L1249" s="13" t="str">
        <f aca="false">PROPER(TRIM(Raw_Data!N1249))</f>
        <v>No</v>
      </c>
      <c r="M1249" s="13" t="n">
        <f aca="false">IF(C1249="",0,1)</f>
        <v>0</v>
      </c>
      <c r="N1249" s="13" t="str">
        <f aca="false">IF(M1249=0,"Active",IF(TRIM(Raw_Data!L1249)="","Unknown",PROPER(TRIM(Raw_Data!L1249))))</f>
        <v>Active</v>
      </c>
      <c r="O1249" s="13" t="str">
        <f aca="false">IF(M1249=0,"",IF(TRIM(Raw_Data!M1249)="","Not Recorded",TRIM(Raw_Data!M1249)))</f>
        <v/>
      </c>
      <c r="P1249" s="16" t="n">
        <f aca="false">ROUND((IF(C1249="",AsOfDate,C1249)-B1249)/365.25,2)</f>
        <v>3.89</v>
      </c>
      <c r="Q1249" s="13" t="str">
        <f aca="false">IF(D1249="","Unknown",IF(D1249&lt;25,"Under 25",IF(D1249&lt;35,"25-34",IF(D1249&lt;45,"35-44",IF(D1249&lt;55,"45-54","55+")))))</f>
        <v>35-44</v>
      </c>
      <c r="R1249" s="13" t="str">
        <f aca="false">IF(P1249&lt;1,"0-1 yrs",IF(P1249&lt;3,"1-3 yrs",IF(P1249&lt;5,"3-5 yrs",IF(P1249&lt;10,"5-10 yrs","10+ yrs"))))</f>
        <v>3-5 yrs</v>
      </c>
      <c r="S1249" s="13" t="str">
        <f aca="false">IF(I1249&gt;=4,"High",IF(I1249=3,"Medium","Low"))</f>
        <v>High</v>
      </c>
      <c r="T1249" s="13" t="str">
        <f aca="false">IF(M1249=1,YEAR(C1249),"")</f>
        <v/>
      </c>
      <c r="U1249" s="13" t="str">
        <f aca="false">IF(M1249=1,YEAR(C1249)&amp;"-Q"&amp;ROUNDUP(MONTH(C1249)/3,0),"")</f>
        <v/>
      </c>
      <c r="V1249" s="13" t="str">
        <f aca="false">IF(M1249=1,MONTH(C1249),"")</f>
        <v/>
      </c>
    </row>
    <row r="1250" customFormat="false" ht="15" hidden="false" customHeight="false" outlineLevel="0" collapsed="false">
      <c r="A1250" s="13" t="str">
        <f aca="false">TRIM(Raw_Data!A1250)</f>
        <v>EMP1249</v>
      </c>
      <c r="B1250" s="14" t="n">
        <f aca="false">Raw_Data!B1250</f>
        <v>44603</v>
      </c>
      <c r="C1250" s="14" t="n">
        <f aca="false">IF(Raw_Data!C1250="","",Raw_Data!C1250)</f>
        <v>45556</v>
      </c>
      <c r="D1250" s="13" t="n">
        <f aca="false">IF(Raw_Data!D1250="","",Raw_Data!D1250)</f>
        <v>40</v>
      </c>
      <c r="E1250" s="13" t="str">
        <f aca="false">IF(UPPER(LEFT(TRIM(Raw_Data!E1250),1))="M","Male",IF(UPPER(LEFT(TRIM(Raw_Data!E1250),1))="F","Female","Unknown"))</f>
        <v>Male</v>
      </c>
      <c r="F1250" s="13" t="str">
        <f aca="false">PROPER(TRIM(SUBSTITUTE(Raw_Data!F1250,"'","")))</f>
        <v>Bachelors</v>
      </c>
      <c r="G1250" s="13" t="str">
        <f aca="false">PROPER(TRIM(Raw_Data!G1250))</f>
        <v>Operations</v>
      </c>
      <c r="H1250" s="13" t="str">
        <f aca="false">PROPER(TRIM(Raw_Data!H1250))</f>
        <v>Associate</v>
      </c>
      <c r="I1250" s="13" t="n">
        <f aca="false">IF(Raw_Data!I1250="",DefaultPerf,Raw_Data!I1250)</f>
        <v>4</v>
      </c>
      <c r="J1250" s="13" t="n">
        <f aca="false">IF(Raw_Data!J1250="",DefaultSat,Raw_Data!J1250)</f>
        <v>3</v>
      </c>
      <c r="K1250" s="15" t="n">
        <f aca="false">Raw_Data!K1250</f>
        <v>41500</v>
      </c>
      <c r="L1250" s="13" t="str">
        <f aca="false">PROPER(TRIM(Raw_Data!N1250))</f>
        <v>No</v>
      </c>
      <c r="M1250" s="13" t="n">
        <f aca="false">IF(C1250="",0,1)</f>
        <v>1</v>
      </c>
      <c r="N1250" s="13" t="str">
        <f aca="false">IF(M1250=0,"Active",IF(TRIM(Raw_Data!L1250)="","Unknown",PROPER(TRIM(Raw_Data!L1250))))</f>
        <v>Involuntary</v>
      </c>
      <c r="O1250" s="13" t="str">
        <f aca="false">IF(M1250=0,"",IF(TRIM(Raw_Data!M1250)="","Not Recorded",TRIM(Raw_Data!M1250)))</f>
        <v>Not Recorded</v>
      </c>
      <c r="P1250" s="16" t="n">
        <f aca="false">ROUND((IF(C1250="",AsOfDate,C1250)-B1250)/365.25,2)</f>
        <v>2.61</v>
      </c>
      <c r="Q1250" s="13" t="str">
        <f aca="false">IF(D1250="","Unknown",IF(D1250&lt;25,"Under 25",IF(D1250&lt;35,"25-34",IF(D1250&lt;45,"35-44",IF(D1250&lt;55,"45-54","55+")))))</f>
        <v>35-44</v>
      </c>
      <c r="R1250" s="13" t="str">
        <f aca="false">IF(P1250&lt;1,"0-1 yrs",IF(P1250&lt;3,"1-3 yrs",IF(P1250&lt;5,"3-5 yrs",IF(P1250&lt;10,"5-10 yrs","10+ yrs"))))</f>
        <v>1-3 yrs</v>
      </c>
      <c r="S1250" s="13" t="str">
        <f aca="false">IF(I1250&gt;=4,"High",IF(I1250=3,"Medium","Low"))</f>
        <v>High</v>
      </c>
      <c r="T1250" s="13" t="n">
        <f aca="false">IF(M1250=1,YEAR(C1250),"")</f>
        <v>2024</v>
      </c>
      <c r="U1250" s="13" t="str">
        <f aca="false">IF(M1250=1,YEAR(C1250)&amp;"-Q"&amp;ROUNDUP(MONTH(C1250)/3,0),"")</f>
        <v>2024-Q3</v>
      </c>
      <c r="V1250" s="13" t="n">
        <f aca="false">IF(M1250=1,MONTH(C1250),"")</f>
        <v>9</v>
      </c>
    </row>
    <row r="1251" customFormat="false" ht="15" hidden="false" customHeight="false" outlineLevel="0" collapsed="false">
      <c r="A1251" s="13" t="str">
        <f aca="false">TRIM(Raw_Data!A1251)</f>
        <v>EMP1250</v>
      </c>
      <c r="B1251" s="14" t="n">
        <f aca="false">Raw_Data!B1251</f>
        <v>44604</v>
      </c>
      <c r="C1251" s="14" t="n">
        <f aca="false">IF(Raw_Data!C1251="","",Raw_Data!C1251)</f>
        <v>45287</v>
      </c>
      <c r="D1251" s="13" t="n">
        <f aca="false">IF(Raw_Data!D1251="","",Raw_Data!D1251)</f>
        <v>29</v>
      </c>
      <c r="E1251" s="13" t="str">
        <f aca="false">IF(UPPER(LEFT(TRIM(Raw_Data!E1251),1))="M","Male",IF(UPPER(LEFT(TRIM(Raw_Data!E1251),1))="F","Female","Unknown"))</f>
        <v>Female</v>
      </c>
      <c r="F1251" s="13" t="str">
        <f aca="false">PROPER(TRIM(SUBSTITUTE(Raw_Data!F1251,"'","")))</f>
        <v>Bachelors</v>
      </c>
      <c r="G1251" s="13" t="str">
        <f aca="false">PROPER(TRIM(Raw_Data!G1251))</f>
        <v>Engineering</v>
      </c>
      <c r="H1251" s="13" t="str">
        <f aca="false">PROPER(TRIM(Raw_Data!H1251))</f>
        <v>Associate</v>
      </c>
      <c r="I1251" s="13" t="n">
        <f aca="false">IF(Raw_Data!I1251="",DefaultPerf,Raw_Data!I1251)</f>
        <v>3</v>
      </c>
      <c r="J1251" s="13" t="n">
        <f aca="false">IF(Raw_Data!J1251="",DefaultSat,Raw_Data!J1251)</f>
        <v>2</v>
      </c>
      <c r="K1251" s="15" t="n">
        <f aca="false">Raw_Data!K1251</f>
        <v>42500</v>
      </c>
      <c r="L1251" s="13" t="str">
        <f aca="false">PROPER(TRIM(Raw_Data!N1251))</f>
        <v>No</v>
      </c>
      <c r="M1251" s="13" t="n">
        <f aca="false">IF(C1251="",0,1)</f>
        <v>1</v>
      </c>
      <c r="N1251" s="13" t="str">
        <f aca="false">IF(M1251=0,"Active",IF(TRIM(Raw_Data!L1251)="","Unknown",PROPER(TRIM(Raw_Data!L1251))))</f>
        <v>Voluntary</v>
      </c>
      <c r="O1251" s="13" t="str">
        <f aca="false">IF(M1251=0,"",IF(TRIM(Raw_Data!M1251)="","Not Recorded",TRIM(Raw_Data!M1251)))</f>
        <v>Career Growth</v>
      </c>
      <c r="P1251" s="16" t="n">
        <f aca="false">ROUND((IF(C1251="",AsOfDate,C1251)-B1251)/365.25,2)</f>
        <v>1.87</v>
      </c>
      <c r="Q1251" s="13" t="str">
        <f aca="false">IF(D1251="","Unknown",IF(D1251&lt;25,"Under 25",IF(D1251&lt;35,"25-34",IF(D1251&lt;45,"35-44",IF(D1251&lt;55,"45-54","55+")))))</f>
        <v>25-34</v>
      </c>
      <c r="R1251" s="13" t="str">
        <f aca="false">IF(P1251&lt;1,"0-1 yrs",IF(P1251&lt;3,"1-3 yrs",IF(P1251&lt;5,"3-5 yrs",IF(P1251&lt;10,"5-10 yrs","10+ yrs"))))</f>
        <v>1-3 yrs</v>
      </c>
      <c r="S1251" s="13" t="str">
        <f aca="false">IF(I1251&gt;=4,"High",IF(I1251=3,"Medium","Low"))</f>
        <v>Medium</v>
      </c>
      <c r="T1251" s="13" t="n">
        <f aca="false">IF(M1251=1,YEAR(C1251),"")</f>
        <v>2023</v>
      </c>
      <c r="U1251" s="13" t="str">
        <f aca="false">IF(M1251=1,YEAR(C1251)&amp;"-Q"&amp;ROUNDUP(MONTH(C1251)/3,0),"")</f>
        <v>2023-Q4</v>
      </c>
      <c r="V1251" s="13" t="n">
        <f aca="false">IF(M1251=1,MONTH(C1251),"")</f>
        <v>12</v>
      </c>
    </row>
    <row r="1252" customFormat="false" ht="15" hidden="false" customHeight="false" outlineLevel="0" collapsed="false">
      <c r="A1252" s="13" t="str">
        <f aca="false">TRIM(Raw_Data!A1252)</f>
        <v>EMP1251</v>
      </c>
      <c r="B1252" s="14" t="n">
        <f aca="false">Raw_Data!B1252</f>
        <v>44606</v>
      </c>
      <c r="C1252" s="14" t="n">
        <f aca="false">IF(Raw_Data!C1252="","",Raw_Data!C1252)</f>
        <v>44705</v>
      </c>
      <c r="D1252" s="13" t="n">
        <f aca="false">IF(Raw_Data!D1252="","",Raw_Data!D1252)</f>
        <v>36</v>
      </c>
      <c r="E1252" s="13" t="str">
        <f aca="false">IF(UPPER(LEFT(TRIM(Raw_Data!E1252),1))="M","Male",IF(UPPER(LEFT(TRIM(Raw_Data!E1252),1))="F","Female","Unknown"))</f>
        <v>Male</v>
      </c>
      <c r="F1252" s="13" t="str">
        <f aca="false">PROPER(TRIM(SUBSTITUTE(Raw_Data!F1252,"'","")))</f>
        <v>Bachelors</v>
      </c>
      <c r="G1252" s="13" t="str">
        <f aca="false">PROPER(TRIM(Raw_Data!G1252))</f>
        <v>Sales</v>
      </c>
      <c r="H1252" s="13" t="str">
        <f aca="false">PROPER(TRIM(Raw_Data!H1252))</f>
        <v>Manager</v>
      </c>
      <c r="I1252" s="13" t="n">
        <f aca="false">IF(Raw_Data!I1252="",DefaultPerf,Raw_Data!I1252)</f>
        <v>5</v>
      </c>
      <c r="J1252" s="13" t="n">
        <f aca="false">IF(Raw_Data!J1252="",DefaultSat,Raw_Data!J1252)</f>
        <v>2</v>
      </c>
      <c r="K1252" s="15" t="n">
        <f aca="false">Raw_Data!K1252</f>
        <v>163500</v>
      </c>
      <c r="L1252" s="13" t="str">
        <f aca="false">PROPER(TRIM(Raw_Data!N1252))</f>
        <v>No</v>
      </c>
      <c r="M1252" s="13" t="n">
        <f aca="false">IF(C1252="",0,1)</f>
        <v>1</v>
      </c>
      <c r="N1252" s="13" t="str">
        <f aca="false">IF(M1252=0,"Active",IF(TRIM(Raw_Data!L1252)="","Unknown",PROPER(TRIM(Raw_Data!L1252))))</f>
        <v>Voluntary</v>
      </c>
      <c r="O1252" s="13" t="str">
        <f aca="false">IF(M1252=0,"",IF(TRIM(Raw_Data!M1252)="","Not Recorded",TRIM(Raw_Data!M1252)))</f>
        <v>Work-Life Balance</v>
      </c>
      <c r="P1252" s="16" t="n">
        <f aca="false">ROUND((IF(C1252="",AsOfDate,C1252)-B1252)/365.25,2)</f>
        <v>0.27</v>
      </c>
      <c r="Q1252" s="13" t="str">
        <f aca="false">IF(D1252="","Unknown",IF(D1252&lt;25,"Under 25",IF(D1252&lt;35,"25-34",IF(D1252&lt;45,"35-44",IF(D1252&lt;55,"45-54","55+")))))</f>
        <v>35-44</v>
      </c>
      <c r="R1252" s="13" t="str">
        <f aca="false">IF(P1252&lt;1,"0-1 yrs",IF(P1252&lt;3,"1-3 yrs",IF(P1252&lt;5,"3-5 yrs",IF(P1252&lt;10,"5-10 yrs","10+ yrs"))))</f>
        <v>0-1 yrs</v>
      </c>
      <c r="S1252" s="13" t="str">
        <f aca="false">IF(I1252&gt;=4,"High",IF(I1252=3,"Medium","Low"))</f>
        <v>High</v>
      </c>
      <c r="T1252" s="13" t="n">
        <f aca="false">IF(M1252=1,YEAR(C1252),"")</f>
        <v>2022</v>
      </c>
      <c r="U1252" s="13" t="str">
        <f aca="false">IF(M1252=1,YEAR(C1252)&amp;"-Q"&amp;ROUNDUP(MONTH(C1252)/3,0),"")</f>
        <v>2022-Q2</v>
      </c>
      <c r="V1252" s="13" t="n">
        <f aca="false">IF(M1252=1,MONTH(C1252),"")</f>
        <v>5</v>
      </c>
    </row>
    <row r="1253" customFormat="false" ht="15" hidden="false" customHeight="false" outlineLevel="0" collapsed="false">
      <c r="A1253" s="13" t="str">
        <f aca="false">TRIM(Raw_Data!A1253)</f>
        <v>EMP1252</v>
      </c>
      <c r="B1253" s="14" t="n">
        <f aca="false">Raw_Data!B1253</f>
        <v>44609</v>
      </c>
      <c r="C1253" s="14" t="str">
        <f aca="false">IF(Raw_Data!C1253="","",Raw_Data!C1253)</f>
        <v/>
      </c>
      <c r="D1253" s="13" t="n">
        <f aca="false">IF(Raw_Data!D1253="","",Raw_Data!D1253)</f>
        <v>29</v>
      </c>
      <c r="E1253" s="13" t="str">
        <f aca="false">IF(UPPER(LEFT(TRIM(Raw_Data!E1253),1))="M","Male",IF(UPPER(LEFT(TRIM(Raw_Data!E1253),1))="F","Female","Unknown"))</f>
        <v>Female</v>
      </c>
      <c r="F1253" s="13" t="str">
        <f aca="false">PROPER(TRIM(SUBSTITUTE(Raw_Data!F1253,"'","")))</f>
        <v>Masters</v>
      </c>
      <c r="G1253" s="13" t="str">
        <f aca="false">PROPER(TRIM(Raw_Data!G1253))</f>
        <v>Engineering</v>
      </c>
      <c r="H1253" s="13" t="str">
        <f aca="false">PROPER(TRIM(Raw_Data!H1253))</f>
        <v>Senior Analyst</v>
      </c>
      <c r="I1253" s="13" t="n">
        <f aca="false">IF(Raw_Data!I1253="",DefaultPerf,Raw_Data!I1253)</f>
        <v>5</v>
      </c>
      <c r="J1253" s="13" t="n">
        <f aca="false">IF(Raw_Data!J1253="",DefaultSat,Raw_Data!J1253)</f>
        <v>4</v>
      </c>
      <c r="K1253" s="15" t="n">
        <f aca="false">Raw_Data!K1253</f>
        <v>110500</v>
      </c>
      <c r="L1253" s="13" t="str">
        <f aca="false">PROPER(TRIM(Raw_Data!N1253))</f>
        <v>No</v>
      </c>
      <c r="M1253" s="13" t="n">
        <f aca="false">IF(C1253="",0,1)</f>
        <v>0</v>
      </c>
      <c r="N1253" s="13" t="str">
        <f aca="false">IF(M1253=0,"Active",IF(TRIM(Raw_Data!L1253)="","Unknown",PROPER(TRIM(Raw_Data!L1253))))</f>
        <v>Active</v>
      </c>
      <c r="O1253" s="13" t="str">
        <f aca="false">IF(M1253=0,"",IF(TRIM(Raw_Data!M1253)="","Not Recorded",TRIM(Raw_Data!M1253)))</f>
        <v/>
      </c>
      <c r="P1253" s="16" t="n">
        <f aca="false">ROUND((IF(C1253="",AsOfDate,C1253)-B1253)/365.25,2)</f>
        <v>3.87</v>
      </c>
      <c r="Q1253" s="13" t="str">
        <f aca="false">IF(D1253="","Unknown",IF(D1253&lt;25,"Under 25",IF(D1253&lt;35,"25-34",IF(D1253&lt;45,"35-44",IF(D1253&lt;55,"45-54","55+")))))</f>
        <v>25-34</v>
      </c>
      <c r="R1253" s="13" t="str">
        <f aca="false">IF(P1253&lt;1,"0-1 yrs",IF(P1253&lt;3,"1-3 yrs",IF(P1253&lt;5,"3-5 yrs",IF(P1253&lt;10,"5-10 yrs","10+ yrs"))))</f>
        <v>3-5 yrs</v>
      </c>
      <c r="S1253" s="13" t="str">
        <f aca="false">IF(I1253&gt;=4,"High",IF(I1253=3,"Medium","Low"))</f>
        <v>High</v>
      </c>
      <c r="T1253" s="13" t="str">
        <f aca="false">IF(M1253=1,YEAR(C1253),"")</f>
        <v/>
      </c>
      <c r="U1253" s="13" t="str">
        <f aca="false">IF(M1253=1,YEAR(C1253)&amp;"-Q"&amp;ROUNDUP(MONTH(C1253)/3,0),"")</f>
        <v/>
      </c>
      <c r="V1253" s="13" t="str">
        <f aca="false">IF(M1253=1,MONTH(C1253),"")</f>
        <v/>
      </c>
    </row>
    <row r="1254" customFormat="false" ht="15" hidden="false" customHeight="false" outlineLevel="0" collapsed="false">
      <c r="A1254" s="13" t="str">
        <f aca="false">TRIM(Raw_Data!A1254)</f>
        <v>EMP1253</v>
      </c>
      <c r="B1254" s="14" t="n">
        <f aca="false">Raw_Data!B1254</f>
        <v>44611</v>
      </c>
      <c r="C1254" s="14" t="n">
        <f aca="false">IF(Raw_Data!C1254="","",Raw_Data!C1254)</f>
        <v>45040</v>
      </c>
      <c r="D1254" s="13" t="n">
        <f aca="false">IF(Raw_Data!D1254="","",Raw_Data!D1254)</f>
        <v>30</v>
      </c>
      <c r="E1254" s="13" t="str">
        <f aca="false">IF(UPPER(LEFT(TRIM(Raw_Data!E1254),1))="M","Male",IF(UPPER(LEFT(TRIM(Raw_Data!E1254),1))="F","Female","Unknown"))</f>
        <v>Female</v>
      </c>
      <c r="F1254" s="13" t="str">
        <f aca="false">PROPER(TRIM(SUBSTITUTE(Raw_Data!F1254,"'","")))</f>
        <v>Masters</v>
      </c>
      <c r="G1254" s="13" t="str">
        <f aca="false">PROPER(TRIM(Raw_Data!G1254))</f>
        <v>Sales</v>
      </c>
      <c r="H1254" s="13" t="str">
        <f aca="false">PROPER(TRIM(Raw_Data!H1254))</f>
        <v>Associate</v>
      </c>
      <c r="I1254" s="13" t="n">
        <f aca="false">IF(Raw_Data!I1254="",DefaultPerf,Raw_Data!I1254)</f>
        <v>5</v>
      </c>
      <c r="J1254" s="13" t="n">
        <f aca="false">IF(Raw_Data!J1254="",DefaultSat,Raw_Data!J1254)</f>
        <v>1</v>
      </c>
      <c r="K1254" s="15" t="n">
        <f aca="false">Raw_Data!K1254</f>
        <v>37000</v>
      </c>
      <c r="L1254" s="13" t="str">
        <f aca="false">PROPER(TRIM(Raw_Data!N1254))</f>
        <v>No</v>
      </c>
      <c r="M1254" s="13" t="n">
        <f aca="false">IF(C1254="",0,1)</f>
        <v>1</v>
      </c>
      <c r="N1254" s="13" t="str">
        <f aca="false">IF(M1254=0,"Active",IF(TRIM(Raw_Data!L1254)="","Unknown",PROPER(TRIM(Raw_Data!L1254))))</f>
        <v>Voluntary</v>
      </c>
      <c r="O1254" s="13" t="str">
        <f aca="false">IF(M1254=0,"",IF(TRIM(Raw_Data!M1254)="","Not Recorded",TRIM(Raw_Data!M1254)))</f>
        <v>Job Dissatisfaction</v>
      </c>
      <c r="P1254" s="16" t="n">
        <f aca="false">ROUND((IF(C1254="",AsOfDate,C1254)-B1254)/365.25,2)</f>
        <v>1.17</v>
      </c>
      <c r="Q1254" s="13" t="str">
        <f aca="false">IF(D1254="","Unknown",IF(D1254&lt;25,"Under 25",IF(D1254&lt;35,"25-34",IF(D1254&lt;45,"35-44",IF(D1254&lt;55,"45-54","55+")))))</f>
        <v>25-34</v>
      </c>
      <c r="R1254" s="13" t="str">
        <f aca="false">IF(P1254&lt;1,"0-1 yrs",IF(P1254&lt;3,"1-3 yrs",IF(P1254&lt;5,"3-5 yrs",IF(P1254&lt;10,"5-10 yrs","10+ yrs"))))</f>
        <v>1-3 yrs</v>
      </c>
      <c r="S1254" s="13" t="str">
        <f aca="false">IF(I1254&gt;=4,"High",IF(I1254=3,"Medium","Low"))</f>
        <v>High</v>
      </c>
      <c r="T1254" s="13" t="n">
        <f aca="false">IF(M1254=1,YEAR(C1254),"")</f>
        <v>2023</v>
      </c>
      <c r="U1254" s="13" t="str">
        <f aca="false">IF(M1254=1,YEAR(C1254)&amp;"-Q"&amp;ROUNDUP(MONTH(C1254)/3,0),"")</f>
        <v>2023-Q2</v>
      </c>
      <c r="V1254" s="13" t="n">
        <f aca="false">IF(M1254=1,MONTH(C1254),"")</f>
        <v>4</v>
      </c>
    </row>
    <row r="1255" customFormat="false" ht="15" hidden="false" customHeight="false" outlineLevel="0" collapsed="false">
      <c r="A1255" s="13" t="str">
        <f aca="false">TRIM(Raw_Data!A1255)</f>
        <v>EMP1254</v>
      </c>
      <c r="B1255" s="14" t="n">
        <f aca="false">Raw_Data!B1255</f>
        <v>44615</v>
      </c>
      <c r="C1255" s="14" t="n">
        <f aca="false">IF(Raw_Data!C1255="","",Raw_Data!C1255)</f>
        <v>44698</v>
      </c>
      <c r="D1255" s="13" t="n">
        <f aca="false">IF(Raw_Data!D1255="","",Raw_Data!D1255)</f>
        <v>31</v>
      </c>
      <c r="E1255" s="13" t="str">
        <f aca="false">IF(UPPER(LEFT(TRIM(Raw_Data!E1255),1))="M","Male",IF(UPPER(LEFT(TRIM(Raw_Data!E1255),1))="F","Female","Unknown"))</f>
        <v>Female</v>
      </c>
      <c r="F1255" s="13" t="str">
        <f aca="false">PROPER(TRIM(SUBSTITUTE(Raw_Data!F1255,"'","")))</f>
        <v>Bachelors</v>
      </c>
      <c r="G1255" s="13" t="str">
        <f aca="false">PROPER(TRIM(Raw_Data!G1255))</f>
        <v>Engineering</v>
      </c>
      <c r="H1255" s="13" t="str">
        <f aca="false">PROPER(TRIM(Raw_Data!H1255))</f>
        <v>Specialist</v>
      </c>
      <c r="I1255" s="13" t="n">
        <f aca="false">IF(Raw_Data!I1255="",DefaultPerf,Raw_Data!I1255)</f>
        <v>3</v>
      </c>
      <c r="J1255" s="13" t="n">
        <f aca="false">IF(Raw_Data!J1255="",DefaultSat,Raw_Data!J1255)</f>
        <v>4</v>
      </c>
      <c r="K1255" s="15" t="n">
        <f aca="false">Raw_Data!K1255</f>
        <v>101500</v>
      </c>
      <c r="L1255" s="13" t="str">
        <f aca="false">PROPER(TRIM(Raw_Data!N1255))</f>
        <v>No</v>
      </c>
      <c r="M1255" s="13" t="n">
        <f aca="false">IF(C1255="",0,1)</f>
        <v>1</v>
      </c>
      <c r="N1255" s="13" t="str">
        <f aca="false">IF(M1255=0,"Active",IF(TRIM(Raw_Data!L1255)="","Unknown",PROPER(TRIM(Raw_Data!L1255))))</f>
        <v>Involuntary</v>
      </c>
      <c r="O1255" s="13" t="str">
        <f aca="false">IF(M1255=0,"",IF(TRIM(Raw_Data!M1255)="","Not Recorded",TRIM(Raw_Data!M1255)))</f>
        <v>Restructuring / Layoff</v>
      </c>
      <c r="P1255" s="16" t="n">
        <f aca="false">ROUND((IF(C1255="",AsOfDate,C1255)-B1255)/365.25,2)</f>
        <v>0.23</v>
      </c>
      <c r="Q1255" s="13" t="str">
        <f aca="false">IF(D1255="","Unknown",IF(D1255&lt;25,"Under 25",IF(D1255&lt;35,"25-34",IF(D1255&lt;45,"35-44",IF(D1255&lt;55,"45-54","55+")))))</f>
        <v>25-34</v>
      </c>
      <c r="R1255" s="13" t="str">
        <f aca="false">IF(P1255&lt;1,"0-1 yrs",IF(P1255&lt;3,"1-3 yrs",IF(P1255&lt;5,"3-5 yrs",IF(P1255&lt;10,"5-10 yrs","10+ yrs"))))</f>
        <v>0-1 yrs</v>
      </c>
      <c r="S1255" s="13" t="str">
        <f aca="false">IF(I1255&gt;=4,"High",IF(I1255=3,"Medium","Low"))</f>
        <v>Medium</v>
      </c>
      <c r="T1255" s="13" t="n">
        <f aca="false">IF(M1255=1,YEAR(C1255),"")</f>
        <v>2022</v>
      </c>
      <c r="U1255" s="13" t="str">
        <f aca="false">IF(M1255=1,YEAR(C1255)&amp;"-Q"&amp;ROUNDUP(MONTH(C1255)/3,0),"")</f>
        <v>2022-Q2</v>
      </c>
      <c r="V1255" s="13" t="n">
        <f aca="false">IF(M1255=1,MONTH(C1255),"")</f>
        <v>5</v>
      </c>
    </row>
    <row r="1256" customFormat="false" ht="15" hidden="false" customHeight="false" outlineLevel="0" collapsed="false">
      <c r="A1256" s="13" t="str">
        <f aca="false">TRIM(Raw_Data!A1256)</f>
        <v>EMP1255</v>
      </c>
      <c r="B1256" s="14" t="n">
        <f aca="false">Raw_Data!B1256</f>
        <v>44617</v>
      </c>
      <c r="C1256" s="14" t="n">
        <f aca="false">IF(Raw_Data!C1256="","",Raw_Data!C1256)</f>
        <v>45471</v>
      </c>
      <c r="D1256" s="13" t="n">
        <f aca="false">IF(Raw_Data!D1256="","",Raw_Data!D1256)</f>
        <v>26</v>
      </c>
      <c r="E1256" s="13" t="str">
        <f aca="false">IF(UPPER(LEFT(TRIM(Raw_Data!E1256),1))="M","Male",IF(UPPER(LEFT(TRIM(Raw_Data!E1256),1))="F","Female","Unknown"))</f>
        <v>Male</v>
      </c>
      <c r="F1256" s="13" t="str">
        <f aca="false">PROPER(TRIM(SUBSTITUTE(Raw_Data!F1256,"'","")))</f>
        <v>High School</v>
      </c>
      <c r="G1256" s="13" t="str">
        <f aca="false">PROPER(TRIM(Raw_Data!G1256))</f>
        <v>Human Resources</v>
      </c>
      <c r="H1256" s="13" t="str">
        <f aca="false">PROPER(TRIM(Raw_Data!H1256))</f>
        <v>Associate</v>
      </c>
      <c r="I1256" s="13" t="n">
        <f aca="false">IF(Raw_Data!I1256="",DefaultPerf,Raw_Data!I1256)</f>
        <v>3</v>
      </c>
      <c r="J1256" s="13" t="n">
        <f aca="false">IF(Raw_Data!J1256="",DefaultSat,Raw_Data!J1256)</f>
        <v>1</v>
      </c>
      <c r="K1256" s="15" t="n">
        <f aca="false">Raw_Data!K1256</f>
        <v>37500</v>
      </c>
      <c r="L1256" s="13" t="str">
        <f aca="false">PROPER(TRIM(Raw_Data!N1256))</f>
        <v>No</v>
      </c>
      <c r="M1256" s="13" t="n">
        <f aca="false">IF(C1256="",0,1)</f>
        <v>1</v>
      </c>
      <c r="N1256" s="13" t="str">
        <f aca="false">IF(M1256=0,"Active",IF(TRIM(Raw_Data!L1256)="","Unknown",PROPER(TRIM(Raw_Data!L1256))))</f>
        <v>Involuntary</v>
      </c>
      <c r="O1256" s="13" t="str">
        <f aca="false">IF(M1256=0,"",IF(TRIM(Raw_Data!M1256)="","Not Recorded",TRIM(Raw_Data!M1256)))</f>
        <v>Poor Performance</v>
      </c>
      <c r="P1256" s="16" t="n">
        <f aca="false">ROUND((IF(C1256="",AsOfDate,C1256)-B1256)/365.25,2)</f>
        <v>2.34</v>
      </c>
      <c r="Q1256" s="13" t="str">
        <f aca="false">IF(D1256="","Unknown",IF(D1256&lt;25,"Under 25",IF(D1256&lt;35,"25-34",IF(D1256&lt;45,"35-44",IF(D1256&lt;55,"45-54","55+")))))</f>
        <v>25-34</v>
      </c>
      <c r="R1256" s="13" t="str">
        <f aca="false">IF(P1256&lt;1,"0-1 yrs",IF(P1256&lt;3,"1-3 yrs",IF(P1256&lt;5,"3-5 yrs",IF(P1256&lt;10,"5-10 yrs","10+ yrs"))))</f>
        <v>1-3 yrs</v>
      </c>
      <c r="S1256" s="13" t="str">
        <f aca="false">IF(I1256&gt;=4,"High",IF(I1256=3,"Medium","Low"))</f>
        <v>Medium</v>
      </c>
      <c r="T1256" s="13" t="n">
        <f aca="false">IF(M1256=1,YEAR(C1256),"")</f>
        <v>2024</v>
      </c>
      <c r="U1256" s="13" t="str">
        <f aca="false">IF(M1256=1,YEAR(C1256)&amp;"-Q"&amp;ROUNDUP(MONTH(C1256)/3,0),"")</f>
        <v>2024-Q2</v>
      </c>
      <c r="V1256" s="13" t="n">
        <f aca="false">IF(M1256=1,MONTH(C1256),"")</f>
        <v>6</v>
      </c>
    </row>
    <row r="1257" customFormat="false" ht="15" hidden="false" customHeight="false" outlineLevel="0" collapsed="false">
      <c r="A1257" s="13" t="str">
        <f aca="false">TRIM(Raw_Data!A1257)</f>
        <v>EMP1256</v>
      </c>
      <c r="B1257" s="14" t="n">
        <f aca="false">Raw_Data!B1257</f>
        <v>44621</v>
      </c>
      <c r="C1257" s="14" t="n">
        <f aca="false">IF(Raw_Data!C1257="","",Raw_Data!C1257)</f>
        <v>45010</v>
      </c>
      <c r="D1257" s="13" t="n">
        <f aca="false">IF(Raw_Data!D1257="","",Raw_Data!D1257)</f>
        <v>29</v>
      </c>
      <c r="E1257" s="13" t="str">
        <f aca="false">IF(UPPER(LEFT(TRIM(Raw_Data!E1257),1))="M","Male",IF(UPPER(LEFT(TRIM(Raw_Data!E1257),1))="F","Female","Unknown"))</f>
        <v>Male</v>
      </c>
      <c r="F1257" s="13" t="str">
        <f aca="false">PROPER(TRIM(SUBSTITUTE(Raw_Data!F1257,"'","")))</f>
        <v>Masters</v>
      </c>
      <c r="G1257" s="13" t="str">
        <f aca="false">PROPER(TRIM(Raw_Data!G1257))</f>
        <v>Operations</v>
      </c>
      <c r="H1257" s="13" t="str">
        <f aca="false">PROPER(TRIM(Raw_Data!H1257))</f>
        <v>Analyst</v>
      </c>
      <c r="I1257" s="13" t="n">
        <f aca="false">IF(Raw_Data!I1257="",DefaultPerf,Raw_Data!I1257)</f>
        <v>3</v>
      </c>
      <c r="J1257" s="13" t="n">
        <f aca="false">IF(Raw_Data!J1257="",DefaultSat,Raw_Data!J1257)</f>
        <v>4</v>
      </c>
      <c r="K1257" s="15" t="n">
        <f aca="false">Raw_Data!K1257</f>
        <v>67500</v>
      </c>
      <c r="L1257" s="13" t="str">
        <f aca="false">PROPER(TRIM(Raw_Data!N1257))</f>
        <v>Yes</v>
      </c>
      <c r="M1257" s="13" t="n">
        <f aca="false">IF(C1257="",0,1)</f>
        <v>1</v>
      </c>
      <c r="N1257" s="13" t="str">
        <f aca="false">IF(M1257=0,"Active",IF(TRIM(Raw_Data!L1257)="","Unknown",PROPER(TRIM(Raw_Data!L1257))))</f>
        <v>Voluntary</v>
      </c>
      <c r="O1257" s="13" t="str">
        <f aca="false">IF(M1257=0,"",IF(TRIM(Raw_Data!M1257)="","Not Recorded",TRIM(Raw_Data!M1257)))</f>
        <v>Career Growth</v>
      </c>
      <c r="P1257" s="16" t="n">
        <f aca="false">ROUND((IF(C1257="",AsOfDate,C1257)-B1257)/365.25,2)</f>
        <v>1.07</v>
      </c>
      <c r="Q1257" s="13" t="str">
        <f aca="false">IF(D1257="","Unknown",IF(D1257&lt;25,"Under 25",IF(D1257&lt;35,"25-34",IF(D1257&lt;45,"35-44",IF(D1257&lt;55,"45-54","55+")))))</f>
        <v>25-34</v>
      </c>
      <c r="R1257" s="13" t="str">
        <f aca="false">IF(P1257&lt;1,"0-1 yrs",IF(P1257&lt;3,"1-3 yrs",IF(P1257&lt;5,"3-5 yrs",IF(P1257&lt;10,"5-10 yrs","10+ yrs"))))</f>
        <v>1-3 yrs</v>
      </c>
      <c r="S1257" s="13" t="str">
        <f aca="false">IF(I1257&gt;=4,"High",IF(I1257=3,"Medium","Low"))</f>
        <v>Medium</v>
      </c>
      <c r="T1257" s="13" t="n">
        <f aca="false">IF(M1257=1,YEAR(C1257),"")</f>
        <v>2023</v>
      </c>
      <c r="U1257" s="13" t="str">
        <f aca="false">IF(M1257=1,YEAR(C1257)&amp;"-Q"&amp;ROUNDUP(MONTH(C1257)/3,0),"")</f>
        <v>2023-Q1</v>
      </c>
      <c r="V1257" s="13" t="n">
        <f aca="false">IF(M1257=1,MONTH(C1257),"")</f>
        <v>3</v>
      </c>
    </row>
    <row r="1258" customFormat="false" ht="15" hidden="false" customHeight="false" outlineLevel="0" collapsed="false">
      <c r="A1258" s="13" t="str">
        <f aca="false">TRIM(Raw_Data!A1258)</f>
        <v>EMP1257</v>
      </c>
      <c r="B1258" s="14" t="n">
        <f aca="false">Raw_Data!B1258</f>
        <v>44621</v>
      </c>
      <c r="C1258" s="14" t="n">
        <f aca="false">IF(Raw_Data!C1258="","",Raw_Data!C1258)</f>
        <v>45574</v>
      </c>
      <c r="D1258" s="13" t="n">
        <f aca="false">IF(Raw_Data!D1258="","",Raw_Data!D1258)</f>
        <v>26</v>
      </c>
      <c r="E1258" s="13" t="str">
        <f aca="false">IF(UPPER(LEFT(TRIM(Raw_Data!E1258),1))="M","Male",IF(UPPER(LEFT(TRIM(Raw_Data!E1258),1))="F","Female","Unknown"))</f>
        <v>Male</v>
      </c>
      <c r="F1258" s="13" t="str">
        <f aca="false">PROPER(TRIM(SUBSTITUTE(Raw_Data!F1258,"'","")))</f>
        <v>Bachelors</v>
      </c>
      <c r="G1258" s="13" t="str">
        <f aca="false">PROPER(TRIM(Raw_Data!G1258))</f>
        <v>Engineering</v>
      </c>
      <c r="H1258" s="13" t="str">
        <f aca="false">PROPER(TRIM(Raw_Data!H1258))</f>
        <v>Associate</v>
      </c>
      <c r="I1258" s="13" t="n">
        <f aca="false">IF(Raw_Data!I1258="",DefaultPerf,Raw_Data!I1258)</f>
        <v>3</v>
      </c>
      <c r="J1258" s="13" t="n">
        <f aca="false">IF(Raw_Data!J1258="",DefaultSat,Raw_Data!J1258)</f>
        <v>3</v>
      </c>
      <c r="K1258" s="15" t="n">
        <f aca="false">Raw_Data!K1258</f>
        <v>37000</v>
      </c>
      <c r="L1258" s="13" t="str">
        <f aca="false">PROPER(TRIM(Raw_Data!N1258))</f>
        <v>No</v>
      </c>
      <c r="M1258" s="13" t="n">
        <f aca="false">IF(C1258="",0,1)</f>
        <v>1</v>
      </c>
      <c r="N1258" s="13" t="str">
        <f aca="false">IF(M1258=0,"Active",IF(TRIM(Raw_Data!L1258)="","Unknown",PROPER(TRIM(Raw_Data!L1258))))</f>
        <v>Voluntary</v>
      </c>
      <c r="O1258" s="13" t="str">
        <f aca="false">IF(M1258=0,"",IF(TRIM(Raw_Data!M1258)="","Not Recorded",TRIM(Raw_Data!M1258)))</f>
        <v>Not Recorded</v>
      </c>
      <c r="P1258" s="16" t="n">
        <f aca="false">ROUND((IF(C1258="",AsOfDate,C1258)-B1258)/365.25,2)</f>
        <v>2.61</v>
      </c>
      <c r="Q1258" s="13" t="str">
        <f aca="false">IF(D1258="","Unknown",IF(D1258&lt;25,"Under 25",IF(D1258&lt;35,"25-34",IF(D1258&lt;45,"35-44",IF(D1258&lt;55,"45-54","55+")))))</f>
        <v>25-34</v>
      </c>
      <c r="R1258" s="13" t="str">
        <f aca="false">IF(P1258&lt;1,"0-1 yrs",IF(P1258&lt;3,"1-3 yrs",IF(P1258&lt;5,"3-5 yrs",IF(P1258&lt;10,"5-10 yrs","10+ yrs"))))</f>
        <v>1-3 yrs</v>
      </c>
      <c r="S1258" s="13" t="str">
        <f aca="false">IF(I1258&gt;=4,"High",IF(I1258=3,"Medium","Low"))</f>
        <v>Medium</v>
      </c>
      <c r="T1258" s="13" t="n">
        <f aca="false">IF(M1258=1,YEAR(C1258),"")</f>
        <v>2024</v>
      </c>
      <c r="U1258" s="13" t="str">
        <f aca="false">IF(M1258=1,YEAR(C1258)&amp;"-Q"&amp;ROUNDUP(MONTH(C1258)/3,0),"")</f>
        <v>2024-Q4</v>
      </c>
      <c r="V1258" s="13" t="n">
        <f aca="false">IF(M1258=1,MONTH(C1258),"")</f>
        <v>10</v>
      </c>
    </row>
    <row r="1259" customFormat="false" ht="15" hidden="false" customHeight="false" outlineLevel="0" collapsed="false">
      <c r="A1259" s="13" t="str">
        <f aca="false">TRIM(Raw_Data!A1259)</f>
        <v>EMP1258</v>
      </c>
      <c r="B1259" s="14" t="n">
        <f aca="false">Raw_Data!B1259</f>
        <v>44621</v>
      </c>
      <c r="C1259" s="14" t="str">
        <f aca="false">IF(Raw_Data!C1259="","",Raw_Data!C1259)</f>
        <v/>
      </c>
      <c r="D1259" s="13" t="n">
        <f aca="false">IF(Raw_Data!D1259="","",Raw_Data!D1259)</f>
        <v>37</v>
      </c>
      <c r="E1259" s="13" t="str">
        <f aca="false">IF(UPPER(LEFT(TRIM(Raw_Data!E1259),1))="M","Male",IF(UPPER(LEFT(TRIM(Raw_Data!E1259),1))="F","Female","Unknown"))</f>
        <v>Female</v>
      </c>
      <c r="F1259" s="13" t="str">
        <f aca="false">PROPER(TRIM(SUBSTITUTE(Raw_Data!F1259,"'","")))</f>
        <v>Masters</v>
      </c>
      <c r="G1259" s="13" t="str">
        <f aca="false">PROPER(TRIM(Raw_Data!G1259))</f>
        <v>Sales</v>
      </c>
      <c r="H1259" s="13" t="str">
        <f aca="false">PROPER(TRIM(Raw_Data!H1259))</f>
        <v>Team Lead</v>
      </c>
      <c r="I1259" s="13" t="n">
        <f aca="false">IF(Raw_Data!I1259="",DefaultPerf,Raw_Data!I1259)</f>
        <v>4</v>
      </c>
      <c r="J1259" s="13" t="n">
        <f aca="false">IF(Raw_Data!J1259="",DefaultSat,Raw_Data!J1259)</f>
        <v>3</v>
      </c>
      <c r="K1259" s="15" t="n">
        <f aca="false">Raw_Data!K1259</f>
        <v>131500</v>
      </c>
      <c r="L1259" s="13" t="str">
        <f aca="false">PROPER(TRIM(Raw_Data!N1259))</f>
        <v>No</v>
      </c>
      <c r="M1259" s="13" t="n">
        <f aca="false">IF(C1259="",0,1)</f>
        <v>0</v>
      </c>
      <c r="N1259" s="13" t="str">
        <f aca="false">IF(M1259=0,"Active",IF(TRIM(Raw_Data!L1259)="","Unknown",PROPER(TRIM(Raw_Data!L1259))))</f>
        <v>Active</v>
      </c>
      <c r="O1259" s="13" t="str">
        <f aca="false">IF(M1259=0,"",IF(TRIM(Raw_Data!M1259)="","Not Recorded",TRIM(Raw_Data!M1259)))</f>
        <v/>
      </c>
      <c r="P1259" s="16" t="n">
        <f aca="false">ROUND((IF(C1259="",AsOfDate,C1259)-B1259)/365.25,2)</f>
        <v>3.84</v>
      </c>
      <c r="Q1259" s="13" t="str">
        <f aca="false">IF(D1259="","Unknown",IF(D1259&lt;25,"Under 25",IF(D1259&lt;35,"25-34",IF(D1259&lt;45,"35-44",IF(D1259&lt;55,"45-54","55+")))))</f>
        <v>35-44</v>
      </c>
      <c r="R1259" s="13" t="str">
        <f aca="false">IF(P1259&lt;1,"0-1 yrs",IF(P1259&lt;3,"1-3 yrs",IF(P1259&lt;5,"3-5 yrs",IF(P1259&lt;10,"5-10 yrs","10+ yrs"))))</f>
        <v>3-5 yrs</v>
      </c>
      <c r="S1259" s="13" t="str">
        <f aca="false">IF(I1259&gt;=4,"High",IF(I1259=3,"Medium","Low"))</f>
        <v>High</v>
      </c>
      <c r="T1259" s="13" t="str">
        <f aca="false">IF(M1259=1,YEAR(C1259),"")</f>
        <v/>
      </c>
      <c r="U1259" s="13" t="str">
        <f aca="false">IF(M1259=1,YEAR(C1259)&amp;"-Q"&amp;ROUNDUP(MONTH(C1259)/3,0),"")</f>
        <v/>
      </c>
      <c r="V1259" s="13" t="str">
        <f aca="false">IF(M1259=1,MONTH(C1259),"")</f>
        <v/>
      </c>
    </row>
    <row r="1260" customFormat="false" ht="15" hidden="false" customHeight="false" outlineLevel="0" collapsed="false">
      <c r="A1260" s="13" t="str">
        <f aca="false">TRIM(Raw_Data!A1260)</f>
        <v>EMP1259</v>
      </c>
      <c r="B1260" s="14" t="n">
        <f aca="false">Raw_Data!B1260</f>
        <v>44622</v>
      </c>
      <c r="C1260" s="14" t="str">
        <f aca="false">IF(Raw_Data!C1260="","",Raw_Data!C1260)</f>
        <v/>
      </c>
      <c r="D1260" s="13" t="n">
        <f aca="false">IF(Raw_Data!D1260="","",Raw_Data!D1260)</f>
        <v>33</v>
      </c>
      <c r="E1260" s="13" t="str">
        <f aca="false">IF(UPPER(LEFT(TRIM(Raw_Data!E1260),1))="M","Male",IF(UPPER(LEFT(TRIM(Raw_Data!E1260),1))="F","Female","Unknown"))</f>
        <v>Male</v>
      </c>
      <c r="F1260" s="13" t="str">
        <f aca="false">PROPER(TRIM(SUBSTITUTE(Raw_Data!F1260,"'","")))</f>
        <v>Bachelors</v>
      </c>
      <c r="G1260" s="13" t="str">
        <f aca="false">PROPER(TRIM(Raw_Data!G1260))</f>
        <v>Sales</v>
      </c>
      <c r="H1260" s="13" t="str">
        <f aca="false">PROPER(TRIM(Raw_Data!H1260))</f>
        <v>Senior Analyst</v>
      </c>
      <c r="I1260" s="13" t="n">
        <f aca="false">IF(Raw_Data!I1260="",DefaultPerf,Raw_Data!I1260)</f>
        <v>5</v>
      </c>
      <c r="J1260" s="13" t="n">
        <f aca="false">IF(Raw_Data!J1260="",DefaultSat,Raw_Data!J1260)</f>
        <v>2</v>
      </c>
      <c r="K1260" s="15" t="n">
        <f aca="false">Raw_Data!K1260</f>
        <v>83000</v>
      </c>
      <c r="L1260" s="13" t="str">
        <f aca="false">PROPER(TRIM(Raw_Data!N1260))</f>
        <v>No</v>
      </c>
      <c r="M1260" s="13" t="n">
        <f aca="false">IF(C1260="",0,1)</f>
        <v>0</v>
      </c>
      <c r="N1260" s="13" t="str">
        <f aca="false">IF(M1260=0,"Active",IF(TRIM(Raw_Data!L1260)="","Unknown",PROPER(TRIM(Raw_Data!L1260))))</f>
        <v>Active</v>
      </c>
      <c r="O1260" s="13" t="str">
        <f aca="false">IF(M1260=0,"",IF(TRIM(Raw_Data!M1260)="","Not Recorded",TRIM(Raw_Data!M1260)))</f>
        <v/>
      </c>
      <c r="P1260" s="16" t="n">
        <f aca="false">ROUND((IF(C1260="",AsOfDate,C1260)-B1260)/365.25,2)</f>
        <v>3.83</v>
      </c>
      <c r="Q1260" s="13" t="str">
        <f aca="false">IF(D1260="","Unknown",IF(D1260&lt;25,"Under 25",IF(D1260&lt;35,"25-34",IF(D1260&lt;45,"35-44",IF(D1260&lt;55,"45-54","55+")))))</f>
        <v>25-34</v>
      </c>
      <c r="R1260" s="13" t="str">
        <f aca="false">IF(P1260&lt;1,"0-1 yrs",IF(P1260&lt;3,"1-3 yrs",IF(P1260&lt;5,"3-5 yrs",IF(P1260&lt;10,"5-10 yrs","10+ yrs"))))</f>
        <v>3-5 yrs</v>
      </c>
      <c r="S1260" s="13" t="str">
        <f aca="false">IF(I1260&gt;=4,"High",IF(I1260=3,"Medium","Low"))</f>
        <v>High</v>
      </c>
      <c r="T1260" s="13" t="str">
        <f aca="false">IF(M1260=1,YEAR(C1260),"")</f>
        <v/>
      </c>
      <c r="U1260" s="13" t="str">
        <f aca="false">IF(M1260=1,YEAR(C1260)&amp;"-Q"&amp;ROUNDUP(MONTH(C1260)/3,0),"")</f>
        <v/>
      </c>
      <c r="V1260" s="13" t="str">
        <f aca="false">IF(M1260=1,MONTH(C1260),"")</f>
        <v/>
      </c>
    </row>
    <row r="1261" customFormat="false" ht="15" hidden="false" customHeight="false" outlineLevel="0" collapsed="false">
      <c r="A1261" s="13" t="str">
        <f aca="false">TRIM(Raw_Data!A1261)</f>
        <v>EMP1260</v>
      </c>
      <c r="B1261" s="14" t="n">
        <f aca="false">Raw_Data!B1261</f>
        <v>44623</v>
      </c>
      <c r="C1261" s="14" t="n">
        <f aca="false">IF(Raw_Data!C1261="","",Raw_Data!C1261)</f>
        <v>45111</v>
      </c>
      <c r="D1261" s="13" t="n">
        <f aca="false">IF(Raw_Data!D1261="","",Raw_Data!D1261)</f>
        <v>43</v>
      </c>
      <c r="E1261" s="13" t="str">
        <f aca="false">IF(UPPER(LEFT(TRIM(Raw_Data!E1261),1))="M","Male",IF(UPPER(LEFT(TRIM(Raw_Data!E1261),1))="F","Female","Unknown"))</f>
        <v>Female</v>
      </c>
      <c r="F1261" s="13" t="str">
        <f aca="false">PROPER(TRIM(SUBSTITUTE(Raw_Data!F1261,"'","")))</f>
        <v>Bachelors</v>
      </c>
      <c r="G1261" s="13" t="str">
        <f aca="false">PROPER(TRIM(Raw_Data!G1261))</f>
        <v>Engineering</v>
      </c>
      <c r="H1261" s="13" t="str">
        <f aca="false">PROPER(TRIM(Raw_Data!H1261))</f>
        <v>Specialist</v>
      </c>
      <c r="I1261" s="13" t="n">
        <f aca="false">IF(Raw_Data!I1261="",DefaultPerf,Raw_Data!I1261)</f>
        <v>3</v>
      </c>
      <c r="J1261" s="13" t="n">
        <f aca="false">IF(Raw_Data!J1261="",DefaultSat,Raw_Data!J1261)</f>
        <v>2</v>
      </c>
      <c r="K1261" s="15" t="n">
        <f aca="false">Raw_Data!K1261</f>
        <v>92000</v>
      </c>
      <c r="L1261" s="13" t="str">
        <f aca="false">PROPER(TRIM(Raw_Data!N1261))</f>
        <v>No</v>
      </c>
      <c r="M1261" s="13" t="n">
        <f aca="false">IF(C1261="",0,1)</f>
        <v>1</v>
      </c>
      <c r="N1261" s="13" t="str">
        <f aca="false">IF(M1261=0,"Active",IF(TRIM(Raw_Data!L1261)="","Unknown",PROPER(TRIM(Raw_Data!L1261))))</f>
        <v>Voluntary</v>
      </c>
      <c r="O1261" s="13" t="str">
        <f aca="false">IF(M1261=0,"",IF(TRIM(Raw_Data!M1261)="","Not Recorded",TRIM(Raw_Data!M1261)))</f>
        <v>Further Studies</v>
      </c>
      <c r="P1261" s="16" t="n">
        <f aca="false">ROUND((IF(C1261="",AsOfDate,C1261)-B1261)/365.25,2)</f>
        <v>1.34</v>
      </c>
      <c r="Q1261" s="13" t="str">
        <f aca="false">IF(D1261="","Unknown",IF(D1261&lt;25,"Under 25",IF(D1261&lt;35,"25-34",IF(D1261&lt;45,"35-44",IF(D1261&lt;55,"45-54","55+")))))</f>
        <v>35-44</v>
      </c>
      <c r="R1261" s="13" t="str">
        <f aca="false">IF(P1261&lt;1,"0-1 yrs",IF(P1261&lt;3,"1-3 yrs",IF(P1261&lt;5,"3-5 yrs",IF(P1261&lt;10,"5-10 yrs","10+ yrs"))))</f>
        <v>1-3 yrs</v>
      </c>
      <c r="S1261" s="13" t="str">
        <f aca="false">IF(I1261&gt;=4,"High",IF(I1261=3,"Medium","Low"))</f>
        <v>Medium</v>
      </c>
      <c r="T1261" s="13" t="n">
        <f aca="false">IF(M1261=1,YEAR(C1261),"")</f>
        <v>2023</v>
      </c>
      <c r="U1261" s="13" t="str">
        <f aca="false">IF(M1261=1,YEAR(C1261)&amp;"-Q"&amp;ROUNDUP(MONTH(C1261)/3,0),"")</f>
        <v>2023-Q3</v>
      </c>
      <c r="V1261" s="13" t="n">
        <f aca="false">IF(M1261=1,MONTH(C1261),"")</f>
        <v>7</v>
      </c>
    </row>
    <row r="1262" customFormat="false" ht="15" hidden="false" customHeight="false" outlineLevel="0" collapsed="false">
      <c r="A1262" s="13" t="str">
        <f aca="false">TRIM(Raw_Data!A1262)</f>
        <v>EMP1261</v>
      </c>
      <c r="B1262" s="14" t="n">
        <f aca="false">Raw_Data!B1262</f>
        <v>44623</v>
      </c>
      <c r="C1262" s="14" t="n">
        <f aca="false">IF(Raw_Data!C1262="","",Raw_Data!C1262)</f>
        <v>45228</v>
      </c>
      <c r="D1262" s="13" t="n">
        <f aca="false">IF(Raw_Data!D1262="","",Raw_Data!D1262)</f>
        <v>29</v>
      </c>
      <c r="E1262" s="13" t="str">
        <f aca="false">IF(UPPER(LEFT(TRIM(Raw_Data!E1262),1))="M","Male",IF(UPPER(LEFT(TRIM(Raw_Data!E1262),1))="F","Female","Unknown"))</f>
        <v>Male</v>
      </c>
      <c r="F1262" s="13" t="str">
        <f aca="false">PROPER(TRIM(SUBSTITUTE(Raw_Data!F1262,"'","")))</f>
        <v>Bachelors</v>
      </c>
      <c r="G1262" s="13" t="str">
        <f aca="false">PROPER(TRIM(Raw_Data!G1262))</f>
        <v>Engineering</v>
      </c>
      <c r="H1262" s="13" t="str">
        <f aca="false">PROPER(TRIM(Raw_Data!H1262))</f>
        <v>Analyst</v>
      </c>
      <c r="I1262" s="13" t="n">
        <f aca="false">IF(Raw_Data!I1262="",DefaultPerf,Raw_Data!I1262)</f>
        <v>3</v>
      </c>
      <c r="J1262" s="13" t="n">
        <f aca="false">IF(Raw_Data!J1262="",DefaultSat,Raw_Data!J1262)</f>
        <v>4</v>
      </c>
      <c r="K1262" s="15" t="n">
        <f aca="false">Raw_Data!K1262</f>
        <v>64000</v>
      </c>
      <c r="L1262" s="13" t="str">
        <f aca="false">PROPER(TRIM(Raw_Data!N1262))</f>
        <v>Yes</v>
      </c>
      <c r="M1262" s="13" t="n">
        <f aca="false">IF(C1262="",0,1)</f>
        <v>1</v>
      </c>
      <c r="N1262" s="13" t="str">
        <f aca="false">IF(M1262=0,"Active",IF(TRIM(Raw_Data!L1262)="","Unknown",PROPER(TRIM(Raw_Data!L1262))))</f>
        <v>Involuntary</v>
      </c>
      <c r="O1262" s="13" t="str">
        <f aca="false">IF(M1262=0,"",IF(TRIM(Raw_Data!M1262)="","Not Recorded",TRIM(Raw_Data!M1262)))</f>
        <v>Restructuring / Layoff</v>
      </c>
      <c r="P1262" s="16" t="n">
        <f aca="false">ROUND((IF(C1262="",AsOfDate,C1262)-B1262)/365.25,2)</f>
        <v>1.66</v>
      </c>
      <c r="Q1262" s="13" t="str">
        <f aca="false">IF(D1262="","Unknown",IF(D1262&lt;25,"Under 25",IF(D1262&lt;35,"25-34",IF(D1262&lt;45,"35-44",IF(D1262&lt;55,"45-54","55+")))))</f>
        <v>25-34</v>
      </c>
      <c r="R1262" s="13" t="str">
        <f aca="false">IF(P1262&lt;1,"0-1 yrs",IF(P1262&lt;3,"1-3 yrs",IF(P1262&lt;5,"3-5 yrs",IF(P1262&lt;10,"5-10 yrs","10+ yrs"))))</f>
        <v>1-3 yrs</v>
      </c>
      <c r="S1262" s="13" t="str">
        <f aca="false">IF(I1262&gt;=4,"High",IF(I1262=3,"Medium","Low"))</f>
        <v>Medium</v>
      </c>
      <c r="T1262" s="13" t="n">
        <f aca="false">IF(M1262=1,YEAR(C1262),"")</f>
        <v>2023</v>
      </c>
      <c r="U1262" s="13" t="str">
        <f aca="false">IF(M1262=1,YEAR(C1262)&amp;"-Q"&amp;ROUNDUP(MONTH(C1262)/3,0),"")</f>
        <v>2023-Q4</v>
      </c>
      <c r="V1262" s="13" t="n">
        <f aca="false">IF(M1262=1,MONTH(C1262),"")</f>
        <v>10</v>
      </c>
    </row>
    <row r="1263" customFormat="false" ht="15" hidden="false" customHeight="false" outlineLevel="0" collapsed="false">
      <c r="A1263" s="13" t="str">
        <f aca="false">TRIM(Raw_Data!A1263)</f>
        <v>EMP1262</v>
      </c>
      <c r="B1263" s="14" t="n">
        <f aca="false">Raw_Data!B1263</f>
        <v>44623</v>
      </c>
      <c r="C1263" s="14" t="n">
        <f aca="false">IF(Raw_Data!C1263="","",Raw_Data!C1263)</f>
        <v>45207</v>
      </c>
      <c r="D1263" s="13" t="n">
        <f aca="false">IF(Raw_Data!D1263="","",Raw_Data!D1263)</f>
        <v>31</v>
      </c>
      <c r="E1263" s="13" t="str">
        <f aca="false">IF(UPPER(LEFT(TRIM(Raw_Data!E1263),1))="M","Male",IF(UPPER(LEFT(TRIM(Raw_Data!E1263),1))="F","Female","Unknown"))</f>
        <v>Male</v>
      </c>
      <c r="F1263" s="13" t="str">
        <f aca="false">PROPER(TRIM(SUBSTITUTE(Raw_Data!F1263,"'","")))</f>
        <v>Masters</v>
      </c>
      <c r="G1263" s="13" t="str">
        <f aca="false">PROPER(TRIM(Raw_Data!G1263))</f>
        <v>Sales</v>
      </c>
      <c r="H1263" s="13" t="str">
        <f aca="false">PROPER(TRIM(Raw_Data!H1263))</f>
        <v>Analyst</v>
      </c>
      <c r="I1263" s="13" t="n">
        <f aca="false">IF(Raw_Data!I1263="",DefaultPerf,Raw_Data!I1263)</f>
        <v>4</v>
      </c>
      <c r="J1263" s="13" t="n">
        <f aca="false">IF(Raw_Data!J1263="",DefaultSat,Raw_Data!J1263)</f>
        <v>4</v>
      </c>
      <c r="K1263" s="15" t="n">
        <f aca="false">Raw_Data!K1263</f>
        <v>55000</v>
      </c>
      <c r="L1263" s="13" t="str">
        <f aca="false">PROPER(TRIM(Raw_Data!N1263))</f>
        <v>Yes</v>
      </c>
      <c r="M1263" s="13" t="n">
        <f aca="false">IF(C1263="",0,1)</f>
        <v>1</v>
      </c>
      <c r="N1263" s="13" t="str">
        <f aca="false">IF(M1263=0,"Active",IF(TRIM(Raw_Data!L1263)="","Unknown",PROPER(TRIM(Raw_Data!L1263))))</f>
        <v>Involuntary</v>
      </c>
      <c r="O1263" s="13" t="str">
        <f aca="false">IF(M1263=0,"",IF(TRIM(Raw_Data!M1263)="","Not Recorded",TRIM(Raw_Data!M1263)))</f>
        <v>End of Contract</v>
      </c>
      <c r="P1263" s="16" t="n">
        <f aca="false">ROUND((IF(C1263="",AsOfDate,C1263)-B1263)/365.25,2)</f>
        <v>1.6</v>
      </c>
      <c r="Q1263" s="13" t="str">
        <f aca="false">IF(D1263="","Unknown",IF(D1263&lt;25,"Under 25",IF(D1263&lt;35,"25-34",IF(D1263&lt;45,"35-44",IF(D1263&lt;55,"45-54","55+")))))</f>
        <v>25-34</v>
      </c>
      <c r="R1263" s="13" t="str">
        <f aca="false">IF(P1263&lt;1,"0-1 yrs",IF(P1263&lt;3,"1-3 yrs",IF(P1263&lt;5,"3-5 yrs",IF(P1263&lt;10,"5-10 yrs","10+ yrs"))))</f>
        <v>1-3 yrs</v>
      </c>
      <c r="S1263" s="13" t="str">
        <f aca="false">IF(I1263&gt;=4,"High",IF(I1263=3,"Medium","Low"))</f>
        <v>High</v>
      </c>
      <c r="T1263" s="13" t="n">
        <f aca="false">IF(M1263=1,YEAR(C1263),"")</f>
        <v>2023</v>
      </c>
      <c r="U1263" s="13" t="str">
        <f aca="false">IF(M1263=1,YEAR(C1263)&amp;"-Q"&amp;ROUNDUP(MONTH(C1263)/3,0),"")</f>
        <v>2023-Q4</v>
      </c>
      <c r="V1263" s="13" t="n">
        <f aca="false">IF(M1263=1,MONTH(C1263),"")</f>
        <v>10</v>
      </c>
    </row>
    <row r="1264" customFormat="false" ht="15" hidden="false" customHeight="false" outlineLevel="0" collapsed="false">
      <c r="A1264" s="13" t="str">
        <f aca="false">TRIM(Raw_Data!A1264)</f>
        <v>EMP1263</v>
      </c>
      <c r="B1264" s="14" t="n">
        <f aca="false">Raw_Data!B1264</f>
        <v>44624</v>
      </c>
      <c r="C1264" s="14" t="n">
        <f aca="false">IF(Raw_Data!C1264="","",Raw_Data!C1264)</f>
        <v>44916</v>
      </c>
      <c r="D1264" s="13" t="n">
        <f aca="false">IF(Raw_Data!D1264="","",Raw_Data!D1264)</f>
        <v>39</v>
      </c>
      <c r="E1264" s="13" t="str">
        <f aca="false">IF(UPPER(LEFT(TRIM(Raw_Data!E1264),1))="M","Male",IF(UPPER(LEFT(TRIM(Raw_Data!E1264),1))="F","Female","Unknown"))</f>
        <v>Female</v>
      </c>
      <c r="F1264" s="13" t="str">
        <f aca="false">PROPER(TRIM(SUBSTITUTE(Raw_Data!F1264,"'","")))</f>
        <v>Masters</v>
      </c>
      <c r="G1264" s="13" t="str">
        <f aca="false">PROPER(TRIM(Raw_Data!G1264))</f>
        <v>Operations</v>
      </c>
      <c r="H1264" s="13" t="str">
        <f aca="false">PROPER(TRIM(Raw_Data!H1264))</f>
        <v>Associate</v>
      </c>
      <c r="I1264" s="13" t="n">
        <f aca="false">IF(Raw_Data!I1264="",DefaultPerf,Raw_Data!I1264)</f>
        <v>5</v>
      </c>
      <c r="J1264" s="13" t="n">
        <f aca="false">IF(Raw_Data!J1264="",DefaultSat,Raw_Data!J1264)</f>
        <v>4</v>
      </c>
      <c r="K1264" s="15" t="n">
        <f aca="false">Raw_Data!K1264</f>
        <v>34500</v>
      </c>
      <c r="L1264" s="13" t="str">
        <f aca="false">PROPER(TRIM(Raw_Data!N1264))</f>
        <v>Yes</v>
      </c>
      <c r="M1264" s="13" t="n">
        <f aca="false">IF(C1264="",0,1)</f>
        <v>1</v>
      </c>
      <c r="N1264" s="13" t="str">
        <f aca="false">IF(M1264=0,"Active",IF(TRIM(Raw_Data!L1264)="","Unknown",PROPER(TRIM(Raw_Data!L1264))))</f>
        <v>Voluntary</v>
      </c>
      <c r="O1264" s="13" t="str">
        <f aca="false">IF(M1264=0,"",IF(TRIM(Raw_Data!M1264)="","Not Recorded",TRIM(Raw_Data!M1264)))</f>
        <v>Career Growth</v>
      </c>
      <c r="P1264" s="16" t="n">
        <f aca="false">ROUND((IF(C1264="",AsOfDate,C1264)-B1264)/365.25,2)</f>
        <v>0.8</v>
      </c>
      <c r="Q1264" s="13" t="str">
        <f aca="false">IF(D1264="","Unknown",IF(D1264&lt;25,"Under 25",IF(D1264&lt;35,"25-34",IF(D1264&lt;45,"35-44",IF(D1264&lt;55,"45-54","55+")))))</f>
        <v>35-44</v>
      </c>
      <c r="R1264" s="13" t="str">
        <f aca="false">IF(P1264&lt;1,"0-1 yrs",IF(P1264&lt;3,"1-3 yrs",IF(P1264&lt;5,"3-5 yrs",IF(P1264&lt;10,"5-10 yrs","10+ yrs"))))</f>
        <v>0-1 yrs</v>
      </c>
      <c r="S1264" s="13" t="str">
        <f aca="false">IF(I1264&gt;=4,"High",IF(I1264=3,"Medium","Low"))</f>
        <v>High</v>
      </c>
      <c r="T1264" s="13" t="n">
        <f aca="false">IF(M1264=1,YEAR(C1264),"")</f>
        <v>2022</v>
      </c>
      <c r="U1264" s="13" t="str">
        <f aca="false">IF(M1264=1,YEAR(C1264)&amp;"-Q"&amp;ROUNDUP(MONTH(C1264)/3,0),"")</f>
        <v>2022-Q4</v>
      </c>
      <c r="V1264" s="13" t="n">
        <f aca="false">IF(M1264=1,MONTH(C1264),"")</f>
        <v>12</v>
      </c>
    </row>
    <row r="1265" customFormat="false" ht="15" hidden="false" customHeight="false" outlineLevel="0" collapsed="false">
      <c r="A1265" s="13" t="str">
        <f aca="false">TRIM(Raw_Data!A1265)</f>
        <v>EMP1264</v>
      </c>
      <c r="B1265" s="14" t="n">
        <f aca="false">Raw_Data!B1265</f>
        <v>44624</v>
      </c>
      <c r="C1265" s="14" t="n">
        <f aca="false">IF(Raw_Data!C1265="","",Raw_Data!C1265)</f>
        <v>45361</v>
      </c>
      <c r="D1265" s="13" t="n">
        <f aca="false">IF(Raw_Data!D1265="","",Raw_Data!D1265)</f>
        <v>33</v>
      </c>
      <c r="E1265" s="13" t="str">
        <f aca="false">IF(UPPER(LEFT(TRIM(Raw_Data!E1265),1))="M","Male",IF(UPPER(LEFT(TRIM(Raw_Data!E1265),1))="F","Female","Unknown"))</f>
        <v>Male</v>
      </c>
      <c r="F1265" s="13" t="str">
        <f aca="false">PROPER(TRIM(SUBSTITUTE(Raw_Data!F1265,"'","")))</f>
        <v>Bachelors</v>
      </c>
      <c r="G1265" s="13" t="str">
        <f aca="false">PROPER(TRIM(Raw_Data!G1265))</f>
        <v>Engineering</v>
      </c>
      <c r="H1265" s="13" t="str">
        <f aca="false">PROPER(TRIM(Raw_Data!H1265))</f>
        <v>Team Lead</v>
      </c>
      <c r="I1265" s="13" t="n">
        <f aca="false">IF(Raw_Data!I1265="",DefaultPerf,Raw_Data!I1265)</f>
        <v>4</v>
      </c>
      <c r="J1265" s="13" t="n">
        <f aca="false">IF(Raw_Data!J1265="",DefaultSat,Raw_Data!J1265)</f>
        <v>1</v>
      </c>
      <c r="K1265" s="15" t="n">
        <f aca="false">Raw_Data!K1265</f>
        <v>144000</v>
      </c>
      <c r="L1265" s="13" t="str">
        <f aca="false">PROPER(TRIM(Raw_Data!N1265))</f>
        <v>No</v>
      </c>
      <c r="M1265" s="13" t="n">
        <f aca="false">IF(C1265="",0,1)</f>
        <v>1</v>
      </c>
      <c r="N1265" s="13" t="str">
        <f aca="false">IF(M1265=0,"Active",IF(TRIM(Raw_Data!L1265)="","Unknown",PROPER(TRIM(Raw_Data!L1265))))</f>
        <v>Voluntary</v>
      </c>
      <c r="O1265" s="13" t="str">
        <f aca="false">IF(M1265=0,"",IF(TRIM(Raw_Data!M1265)="","Not Recorded",TRIM(Raw_Data!M1265)))</f>
        <v>Better Compensation</v>
      </c>
      <c r="P1265" s="16" t="n">
        <f aca="false">ROUND((IF(C1265="",AsOfDate,C1265)-B1265)/365.25,2)</f>
        <v>2.02</v>
      </c>
      <c r="Q1265" s="13" t="str">
        <f aca="false">IF(D1265="","Unknown",IF(D1265&lt;25,"Under 25",IF(D1265&lt;35,"25-34",IF(D1265&lt;45,"35-44",IF(D1265&lt;55,"45-54","55+")))))</f>
        <v>25-34</v>
      </c>
      <c r="R1265" s="13" t="str">
        <f aca="false">IF(P1265&lt;1,"0-1 yrs",IF(P1265&lt;3,"1-3 yrs",IF(P1265&lt;5,"3-5 yrs",IF(P1265&lt;10,"5-10 yrs","10+ yrs"))))</f>
        <v>1-3 yrs</v>
      </c>
      <c r="S1265" s="13" t="str">
        <f aca="false">IF(I1265&gt;=4,"High",IF(I1265=3,"Medium","Low"))</f>
        <v>High</v>
      </c>
      <c r="T1265" s="13" t="n">
        <f aca="false">IF(M1265=1,YEAR(C1265),"")</f>
        <v>2024</v>
      </c>
      <c r="U1265" s="13" t="str">
        <f aca="false">IF(M1265=1,YEAR(C1265)&amp;"-Q"&amp;ROUNDUP(MONTH(C1265)/3,0),"")</f>
        <v>2024-Q1</v>
      </c>
      <c r="V1265" s="13" t="n">
        <f aca="false">IF(M1265=1,MONTH(C1265),"")</f>
        <v>3</v>
      </c>
    </row>
    <row r="1266" customFormat="false" ht="15" hidden="false" customHeight="false" outlineLevel="0" collapsed="false">
      <c r="A1266" s="13" t="str">
        <f aca="false">TRIM(Raw_Data!A1266)</f>
        <v>EMP1265</v>
      </c>
      <c r="B1266" s="14" t="n">
        <f aca="false">Raw_Data!B1266</f>
        <v>44624</v>
      </c>
      <c r="C1266" s="14" t="n">
        <f aca="false">IF(Raw_Data!C1266="","",Raw_Data!C1266)</f>
        <v>45525</v>
      </c>
      <c r="D1266" s="13" t="n">
        <f aca="false">IF(Raw_Data!D1266="","",Raw_Data!D1266)</f>
        <v>35</v>
      </c>
      <c r="E1266" s="13" t="str">
        <f aca="false">IF(UPPER(LEFT(TRIM(Raw_Data!E1266),1))="M","Male",IF(UPPER(LEFT(TRIM(Raw_Data!E1266),1))="F","Female","Unknown"))</f>
        <v>Female</v>
      </c>
      <c r="F1266" s="13" t="str">
        <f aca="false">PROPER(TRIM(SUBSTITUTE(Raw_Data!F1266,"'","")))</f>
        <v>Bachelors</v>
      </c>
      <c r="G1266" s="13" t="str">
        <f aca="false">PROPER(TRIM(Raw_Data!G1266))</f>
        <v>Sales</v>
      </c>
      <c r="H1266" s="13" t="str">
        <f aca="false">PROPER(TRIM(Raw_Data!H1266))</f>
        <v>Associate</v>
      </c>
      <c r="I1266" s="13" t="n">
        <f aca="false">IF(Raw_Data!I1266="",DefaultPerf,Raw_Data!I1266)</f>
        <v>4</v>
      </c>
      <c r="J1266" s="13" t="n">
        <f aca="false">IF(Raw_Data!J1266="",DefaultSat,Raw_Data!J1266)</f>
        <v>3</v>
      </c>
      <c r="K1266" s="15" t="n">
        <f aca="false">Raw_Data!K1266</f>
        <v>38000</v>
      </c>
      <c r="L1266" s="13" t="str">
        <f aca="false">PROPER(TRIM(Raw_Data!N1266))</f>
        <v>Yes</v>
      </c>
      <c r="M1266" s="13" t="n">
        <f aca="false">IF(C1266="",0,1)</f>
        <v>1</v>
      </c>
      <c r="N1266" s="13" t="str">
        <f aca="false">IF(M1266=0,"Active",IF(TRIM(Raw_Data!L1266)="","Unknown",PROPER(TRIM(Raw_Data!L1266))))</f>
        <v>Voluntary</v>
      </c>
      <c r="O1266" s="13" t="str">
        <f aca="false">IF(M1266=0,"",IF(TRIM(Raw_Data!M1266)="","Not Recorded",TRIM(Raw_Data!M1266)))</f>
        <v>Better Compensation</v>
      </c>
      <c r="P1266" s="16" t="n">
        <f aca="false">ROUND((IF(C1266="",AsOfDate,C1266)-B1266)/365.25,2)</f>
        <v>2.47</v>
      </c>
      <c r="Q1266" s="13" t="str">
        <f aca="false">IF(D1266="","Unknown",IF(D1266&lt;25,"Under 25",IF(D1266&lt;35,"25-34",IF(D1266&lt;45,"35-44",IF(D1266&lt;55,"45-54","55+")))))</f>
        <v>35-44</v>
      </c>
      <c r="R1266" s="13" t="str">
        <f aca="false">IF(P1266&lt;1,"0-1 yrs",IF(P1266&lt;3,"1-3 yrs",IF(P1266&lt;5,"3-5 yrs",IF(P1266&lt;10,"5-10 yrs","10+ yrs"))))</f>
        <v>1-3 yrs</v>
      </c>
      <c r="S1266" s="13" t="str">
        <f aca="false">IF(I1266&gt;=4,"High",IF(I1266=3,"Medium","Low"))</f>
        <v>High</v>
      </c>
      <c r="T1266" s="13" t="n">
        <f aca="false">IF(M1266=1,YEAR(C1266),"")</f>
        <v>2024</v>
      </c>
      <c r="U1266" s="13" t="str">
        <f aca="false">IF(M1266=1,YEAR(C1266)&amp;"-Q"&amp;ROUNDUP(MONTH(C1266)/3,0),"")</f>
        <v>2024-Q3</v>
      </c>
      <c r="V1266" s="13" t="n">
        <f aca="false">IF(M1266=1,MONTH(C1266),"")</f>
        <v>8</v>
      </c>
    </row>
    <row r="1267" customFormat="false" ht="15" hidden="false" customHeight="false" outlineLevel="0" collapsed="false">
      <c r="A1267" s="13" t="str">
        <f aca="false">TRIM(Raw_Data!A1267)</f>
        <v>EMP1266</v>
      </c>
      <c r="B1267" s="14" t="n">
        <f aca="false">Raw_Data!B1267</f>
        <v>44626</v>
      </c>
      <c r="C1267" s="14" t="n">
        <f aca="false">IF(Raw_Data!C1267="","",Raw_Data!C1267)</f>
        <v>44934</v>
      </c>
      <c r="D1267" s="13" t="n">
        <f aca="false">IF(Raw_Data!D1267="","",Raw_Data!D1267)</f>
        <v>23</v>
      </c>
      <c r="E1267" s="13" t="str">
        <f aca="false">IF(UPPER(LEFT(TRIM(Raw_Data!E1267),1))="M","Male",IF(UPPER(LEFT(TRIM(Raw_Data!E1267),1))="F","Female","Unknown"))</f>
        <v>Male</v>
      </c>
      <c r="F1267" s="13" t="str">
        <f aca="false">PROPER(TRIM(SUBSTITUTE(Raw_Data!F1267,"'","")))</f>
        <v>Bachelors</v>
      </c>
      <c r="G1267" s="13" t="str">
        <f aca="false">PROPER(TRIM(Raw_Data!G1267))</f>
        <v>Sales</v>
      </c>
      <c r="H1267" s="13" t="str">
        <f aca="false">PROPER(TRIM(Raw_Data!H1267))</f>
        <v>Senior Analyst</v>
      </c>
      <c r="I1267" s="13" t="n">
        <f aca="false">IF(Raw_Data!I1267="",DefaultPerf,Raw_Data!I1267)</f>
        <v>2</v>
      </c>
      <c r="J1267" s="13" t="n">
        <f aca="false">IF(Raw_Data!J1267="",DefaultSat,Raw_Data!J1267)</f>
        <v>4</v>
      </c>
      <c r="K1267" s="15" t="n">
        <f aca="false">Raw_Data!K1267</f>
        <v>95500</v>
      </c>
      <c r="L1267" s="13" t="str">
        <f aca="false">PROPER(TRIM(Raw_Data!N1267))</f>
        <v>Yes</v>
      </c>
      <c r="M1267" s="13" t="n">
        <f aca="false">IF(C1267="",0,1)</f>
        <v>1</v>
      </c>
      <c r="N1267" s="13" t="str">
        <f aca="false">IF(M1267=0,"Active",IF(TRIM(Raw_Data!L1267)="","Unknown",PROPER(TRIM(Raw_Data!L1267))))</f>
        <v>Involuntary</v>
      </c>
      <c r="O1267" s="13" t="str">
        <f aca="false">IF(M1267=0,"",IF(TRIM(Raw_Data!M1267)="","Not Recorded",TRIM(Raw_Data!M1267)))</f>
        <v>Poor Performance</v>
      </c>
      <c r="P1267" s="16" t="n">
        <f aca="false">ROUND((IF(C1267="",AsOfDate,C1267)-B1267)/365.25,2)</f>
        <v>0.84</v>
      </c>
      <c r="Q1267" s="13" t="str">
        <f aca="false">IF(D1267="","Unknown",IF(D1267&lt;25,"Under 25",IF(D1267&lt;35,"25-34",IF(D1267&lt;45,"35-44",IF(D1267&lt;55,"45-54","55+")))))</f>
        <v>Under 25</v>
      </c>
      <c r="R1267" s="13" t="str">
        <f aca="false">IF(P1267&lt;1,"0-1 yrs",IF(P1267&lt;3,"1-3 yrs",IF(P1267&lt;5,"3-5 yrs",IF(P1267&lt;10,"5-10 yrs","10+ yrs"))))</f>
        <v>0-1 yrs</v>
      </c>
      <c r="S1267" s="13" t="str">
        <f aca="false">IF(I1267&gt;=4,"High",IF(I1267=3,"Medium","Low"))</f>
        <v>Low</v>
      </c>
      <c r="T1267" s="13" t="n">
        <f aca="false">IF(M1267=1,YEAR(C1267),"")</f>
        <v>2023</v>
      </c>
      <c r="U1267" s="13" t="str">
        <f aca="false">IF(M1267=1,YEAR(C1267)&amp;"-Q"&amp;ROUNDUP(MONTH(C1267)/3,0),"")</f>
        <v>2023-Q1</v>
      </c>
      <c r="V1267" s="13" t="n">
        <f aca="false">IF(M1267=1,MONTH(C1267),"")</f>
        <v>1</v>
      </c>
    </row>
    <row r="1268" customFormat="false" ht="15" hidden="false" customHeight="false" outlineLevel="0" collapsed="false">
      <c r="A1268" s="13" t="str">
        <f aca="false">TRIM(Raw_Data!A1268)</f>
        <v>EMP1267</v>
      </c>
      <c r="B1268" s="14" t="n">
        <f aca="false">Raw_Data!B1268</f>
        <v>44626</v>
      </c>
      <c r="C1268" s="14" t="str">
        <f aca="false">IF(Raw_Data!C1268="","",Raw_Data!C1268)</f>
        <v/>
      </c>
      <c r="D1268" s="13" t="n">
        <f aca="false">IF(Raw_Data!D1268="","",Raw_Data!D1268)</f>
        <v>36</v>
      </c>
      <c r="E1268" s="13" t="str">
        <f aca="false">IF(UPPER(LEFT(TRIM(Raw_Data!E1268),1))="M","Male",IF(UPPER(LEFT(TRIM(Raw_Data!E1268),1))="F","Female","Unknown"))</f>
        <v>Female</v>
      </c>
      <c r="F1268" s="13" t="str">
        <f aca="false">PROPER(TRIM(SUBSTITUTE(Raw_Data!F1268,"'","")))</f>
        <v>Masters</v>
      </c>
      <c r="G1268" s="13" t="str">
        <f aca="false">PROPER(TRIM(Raw_Data!G1268))</f>
        <v>Finance</v>
      </c>
      <c r="H1268" s="13" t="str">
        <f aca="false">PROPER(TRIM(Raw_Data!H1268))</f>
        <v>Associate</v>
      </c>
      <c r="I1268" s="13" t="n">
        <f aca="false">IF(Raw_Data!I1268="",DefaultPerf,Raw_Data!I1268)</f>
        <v>4</v>
      </c>
      <c r="J1268" s="13" t="n">
        <f aca="false">IF(Raw_Data!J1268="",DefaultSat,Raw_Data!J1268)</f>
        <v>4</v>
      </c>
      <c r="K1268" s="15" t="n">
        <f aca="false">Raw_Data!K1268</f>
        <v>42000</v>
      </c>
      <c r="L1268" s="13" t="str">
        <f aca="false">PROPER(TRIM(Raw_Data!N1268))</f>
        <v>No</v>
      </c>
      <c r="M1268" s="13" t="n">
        <f aca="false">IF(C1268="",0,1)</f>
        <v>0</v>
      </c>
      <c r="N1268" s="13" t="str">
        <f aca="false">IF(M1268=0,"Active",IF(TRIM(Raw_Data!L1268)="","Unknown",PROPER(TRIM(Raw_Data!L1268))))</f>
        <v>Active</v>
      </c>
      <c r="O1268" s="13" t="str">
        <f aca="false">IF(M1268=0,"",IF(TRIM(Raw_Data!M1268)="","Not Recorded",TRIM(Raw_Data!M1268)))</f>
        <v/>
      </c>
      <c r="P1268" s="16" t="n">
        <f aca="false">ROUND((IF(C1268="",AsOfDate,C1268)-B1268)/365.25,2)</f>
        <v>3.82</v>
      </c>
      <c r="Q1268" s="13" t="str">
        <f aca="false">IF(D1268="","Unknown",IF(D1268&lt;25,"Under 25",IF(D1268&lt;35,"25-34",IF(D1268&lt;45,"35-44",IF(D1268&lt;55,"45-54","55+")))))</f>
        <v>35-44</v>
      </c>
      <c r="R1268" s="13" t="str">
        <f aca="false">IF(P1268&lt;1,"0-1 yrs",IF(P1268&lt;3,"1-3 yrs",IF(P1268&lt;5,"3-5 yrs",IF(P1268&lt;10,"5-10 yrs","10+ yrs"))))</f>
        <v>3-5 yrs</v>
      </c>
      <c r="S1268" s="13" t="str">
        <f aca="false">IF(I1268&gt;=4,"High",IF(I1268=3,"Medium","Low"))</f>
        <v>High</v>
      </c>
      <c r="T1268" s="13" t="str">
        <f aca="false">IF(M1268=1,YEAR(C1268),"")</f>
        <v/>
      </c>
      <c r="U1268" s="13" t="str">
        <f aca="false">IF(M1268=1,YEAR(C1268)&amp;"-Q"&amp;ROUNDUP(MONTH(C1268)/3,0),"")</f>
        <v/>
      </c>
      <c r="V1268" s="13" t="str">
        <f aca="false">IF(M1268=1,MONTH(C1268),"")</f>
        <v/>
      </c>
    </row>
    <row r="1269" customFormat="false" ht="15" hidden="false" customHeight="false" outlineLevel="0" collapsed="false">
      <c r="A1269" s="13" t="str">
        <f aca="false">TRIM(Raw_Data!A1269)</f>
        <v>EMP1268</v>
      </c>
      <c r="B1269" s="14" t="n">
        <f aca="false">Raw_Data!B1269</f>
        <v>44627</v>
      </c>
      <c r="C1269" s="14" t="n">
        <f aca="false">IF(Raw_Data!C1269="","",Raw_Data!C1269)</f>
        <v>45244</v>
      </c>
      <c r="D1269" s="13" t="n">
        <f aca="false">IF(Raw_Data!D1269="","",Raw_Data!D1269)</f>
        <v>25</v>
      </c>
      <c r="E1269" s="13" t="str">
        <f aca="false">IF(UPPER(LEFT(TRIM(Raw_Data!E1269),1))="M","Male",IF(UPPER(LEFT(TRIM(Raw_Data!E1269),1))="F","Female","Unknown"))</f>
        <v>Female</v>
      </c>
      <c r="F1269" s="13" t="str">
        <f aca="false">PROPER(TRIM(SUBSTITUTE(Raw_Data!F1269,"'","")))</f>
        <v>Masters</v>
      </c>
      <c r="G1269" s="13" t="str">
        <f aca="false">PROPER(TRIM(Raw_Data!G1269))</f>
        <v>Engineering</v>
      </c>
      <c r="H1269" s="13" t="str">
        <f aca="false">PROPER(TRIM(Raw_Data!H1269))</f>
        <v>Associate</v>
      </c>
      <c r="I1269" s="13" t="n">
        <f aca="false">IF(Raw_Data!I1269="",DefaultPerf,Raw_Data!I1269)</f>
        <v>5</v>
      </c>
      <c r="J1269" s="13" t="n">
        <f aca="false">IF(Raw_Data!J1269="",DefaultSat,Raw_Data!J1269)</f>
        <v>4</v>
      </c>
      <c r="K1269" s="15" t="n">
        <f aca="false">Raw_Data!K1269</f>
        <v>40500</v>
      </c>
      <c r="L1269" s="13" t="str">
        <f aca="false">PROPER(TRIM(Raw_Data!N1269))</f>
        <v>No</v>
      </c>
      <c r="M1269" s="13" t="n">
        <f aca="false">IF(C1269="",0,1)</f>
        <v>1</v>
      </c>
      <c r="N1269" s="13" t="str">
        <f aca="false">IF(M1269=0,"Active",IF(TRIM(Raw_Data!L1269)="","Unknown",PROPER(TRIM(Raw_Data!L1269))))</f>
        <v>Voluntary</v>
      </c>
      <c r="O1269" s="13" t="str">
        <f aca="false">IF(M1269=0,"",IF(TRIM(Raw_Data!M1269)="","Not Recorded",TRIM(Raw_Data!M1269)))</f>
        <v>Manager Issues</v>
      </c>
      <c r="P1269" s="16" t="n">
        <f aca="false">ROUND((IF(C1269="",AsOfDate,C1269)-B1269)/365.25,2)</f>
        <v>1.69</v>
      </c>
      <c r="Q1269" s="13" t="str">
        <f aca="false">IF(D1269="","Unknown",IF(D1269&lt;25,"Under 25",IF(D1269&lt;35,"25-34",IF(D1269&lt;45,"35-44",IF(D1269&lt;55,"45-54","55+")))))</f>
        <v>25-34</v>
      </c>
      <c r="R1269" s="13" t="str">
        <f aca="false">IF(P1269&lt;1,"0-1 yrs",IF(P1269&lt;3,"1-3 yrs",IF(P1269&lt;5,"3-5 yrs",IF(P1269&lt;10,"5-10 yrs","10+ yrs"))))</f>
        <v>1-3 yrs</v>
      </c>
      <c r="S1269" s="13" t="str">
        <f aca="false">IF(I1269&gt;=4,"High",IF(I1269=3,"Medium","Low"))</f>
        <v>High</v>
      </c>
      <c r="T1269" s="13" t="n">
        <f aca="false">IF(M1269=1,YEAR(C1269),"")</f>
        <v>2023</v>
      </c>
      <c r="U1269" s="13" t="str">
        <f aca="false">IF(M1269=1,YEAR(C1269)&amp;"-Q"&amp;ROUNDUP(MONTH(C1269)/3,0),"")</f>
        <v>2023-Q4</v>
      </c>
      <c r="V1269" s="13" t="n">
        <f aca="false">IF(M1269=1,MONTH(C1269),"")</f>
        <v>11</v>
      </c>
    </row>
    <row r="1270" customFormat="false" ht="15" hidden="false" customHeight="false" outlineLevel="0" collapsed="false">
      <c r="A1270" s="13" t="str">
        <f aca="false">TRIM(Raw_Data!A1270)</f>
        <v>EMP1269</v>
      </c>
      <c r="B1270" s="14" t="n">
        <f aca="false">Raw_Data!B1270</f>
        <v>44628</v>
      </c>
      <c r="C1270" s="14" t="n">
        <f aca="false">IF(Raw_Data!C1270="","",Raw_Data!C1270)</f>
        <v>45795</v>
      </c>
      <c r="D1270" s="13" t="n">
        <f aca="false">IF(Raw_Data!D1270="","",Raw_Data!D1270)</f>
        <v>33</v>
      </c>
      <c r="E1270" s="13" t="str">
        <f aca="false">IF(UPPER(LEFT(TRIM(Raw_Data!E1270),1))="M","Male",IF(UPPER(LEFT(TRIM(Raw_Data!E1270),1))="F","Female","Unknown"))</f>
        <v>Female</v>
      </c>
      <c r="F1270" s="13" t="str">
        <f aca="false">PROPER(TRIM(SUBSTITUTE(Raw_Data!F1270,"'","")))</f>
        <v>Bachelors</v>
      </c>
      <c r="G1270" s="13" t="str">
        <f aca="false">PROPER(TRIM(Raw_Data!G1270))</f>
        <v>Engineering</v>
      </c>
      <c r="H1270" s="13" t="str">
        <f aca="false">PROPER(TRIM(Raw_Data!H1270))</f>
        <v>Associate</v>
      </c>
      <c r="I1270" s="13" t="n">
        <f aca="false">IF(Raw_Data!I1270="",DefaultPerf,Raw_Data!I1270)</f>
        <v>3</v>
      </c>
      <c r="J1270" s="13" t="n">
        <f aca="false">IF(Raw_Data!J1270="",DefaultSat,Raw_Data!J1270)</f>
        <v>4</v>
      </c>
      <c r="K1270" s="15" t="n">
        <f aca="false">Raw_Data!K1270</f>
        <v>43500</v>
      </c>
      <c r="L1270" s="13" t="str">
        <f aca="false">PROPER(TRIM(Raw_Data!N1270))</f>
        <v>No</v>
      </c>
      <c r="M1270" s="13" t="n">
        <f aca="false">IF(C1270="",0,1)</f>
        <v>1</v>
      </c>
      <c r="N1270" s="13" t="str">
        <f aca="false">IF(M1270=0,"Active",IF(TRIM(Raw_Data!L1270)="","Unknown",PROPER(TRIM(Raw_Data!L1270))))</f>
        <v>Voluntary</v>
      </c>
      <c r="O1270" s="13" t="str">
        <f aca="false">IF(M1270=0,"",IF(TRIM(Raw_Data!M1270)="","Not Recorded",TRIM(Raw_Data!M1270)))</f>
        <v>Career Growth</v>
      </c>
      <c r="P1270" s="16" t="n">
        <f aca="false">ROUND((IF(C1270="",AsOfDate,C1270)-B1270)/365.25,2)</f>
        <v>3.2</v>
      </c>
      <c r="Q1270" s="13" t="str">
        <f aca="false">IF(D1270="","Unknown",IF(D1270&lt;25,"Under 25",IF(D1270&lt;35,"25-34",IF(D1270&lt;45,"35-44",IF(D1270&lt;55,"45-54","55+")))))</f>
        <v>25-34</v>
      </c>
      <c r="R1270" s="13" t="str">
        <f aca="false">IF(P1270&lt;1,"0-1 yrs",IF(P1270&lt;3,"1-3 yrs",IF(P1270&lt;5,"3-5 yrs",IF(P1270&lt;10,"5-10 yrs","10+ yrs"))))</f>
        <v>3-5 yrs</v>
      </c>
      <c r="S1270" s="13" t="str">
        <f aca="false">IF(I1270&gt;=4,"High",IF(I1270=3,"Medium","Low"))</f>
        <v>Medium</v>
      </c>
      <c r="T1270" s="13" t="n">
        <f aca="false">IF(M1270=1,YEAR(C1270),"")</f>
        <v>2025</v>
      </c>
      <c r="U1270" s="13" t="str">
        <f aca="false">IF(M1270=1,YEAR(C1270)&amp;"-Q"&amp;ROUNDUP(MONTH(C1270)/3,0),"")</f>
        <v>2025-Q2</v>
      </c>
      <c r="V1270" s="13" t="n">
        <f aca="false">IF(M1270=1,MONTH(C1270),"")</f>
        <v>5</v>
      </c>
    </row>
    <row r="1271" customFormat="false" ht="15" hidden="false" customHeight="false" outlineLevel="0" collapsed="false">
      <c r="A1271" s="13" t="str">
        <f aca="false">TRIM(Raw_Data!A1271)</f>
        <v>EMP1270</v>
      </c>
      <c r="B1271" s="14" t="n">
        <f aca="false">Raw_Data!B1271</f>
        <v>44630</v>
      </c>
      <c r="C1271" s="14" t="n">
        <f aca="false">IF(Raw_Data!C1271="","",Raw_Data!C1271)</f>
        <v>45289</v>
      </c>
      <c r="D1271" s="13" t="n">
        <f aca="false">IF(Raw_Data!D1271="","",Raw_Data!D1271)</f>
        <v>25</v>
      </c>
      <c r="E1271" s="13" t="str">
        <f aca="false">IF(UPPER(LEFT(TRIM(Raw_Data!E1271),1))="M","Male",IF(UPPER(LEFT(TRIM(Raw_Data!E1271),1))="F","Female","Unknown"))</f>
        <v>Male</v>
      </c>
      <c r="F1271" s="13" t="str">
        <f aca="false">PROPER(TRIM(SUBSTITUTE(Raw_Data!F1271,"'","")))</f>
        <v>Bachelors</v>
      </c>
      <c r="G1271" s="13" t="str">
        <f aca="false">PROPER(TRIM(Raw_Data!G1271))</f>
        <v>Finance</v>
      </c>
      <c r="H1271" s="13" t="str">
        <f aca="false">PROPER(TRIM(Raw_Data!H1271))</f>
        <v>Analyst</v>
      </c>
      <c r="I1271" s="13" t="n">
        <f aca="false">IF(Raw_Data!I1271="",DefaultPerf,Raw_Data!I1271)</f>
        <v>3</v>
      </c>
      <c r="J1271" s="13" t="n">
        <f aca="false">IF(Raw_Data!J1271="",DefaultSat,Raw_Data!J1271)</f>
        <v>1</v>
      </c>
      <c r="K1271" s="15" t="n">
        <f aca="false">Raw_Data!K1271</f>
        <v>65500</v>
      </c>
      <c r="L1271" s="13" t="str">
        <f aca="false">PROPER(TRIM(Raw_Data!N1271))</f>
        <v>No</v>
      </c>
      <c r="M1271" s="13" t="n">
        <f aca="false">IF(C1271="",0,1)</f>
        <v>1</v>
      </c>
      <c r="N1271" s="13" t="str">
        <f aca="false">IF(M1271=0,"Active",IF(TRIM(Raw_Data!L1271)="","Unknown",PROPER(TRIM(Raw_Data!L1271))))</f>
        <v>Voluntary</v>
      </c>
      <c r="O1271" s="13" t="str">
        <f aca="false">IF(M1271=0,"",IF(TRIM(Raw_Data!M1271)="","Not Recorded",TRIM(Raw_Data!M1271)))</f>
        <v>Manager Issues</v>
      </c>
      <c r="P1271" s="16" t="n">
        <f aca="false">ROUND((IF(C1271="",AsOfDate,C1271)-B1271)/365.25,2)</f>
        <v>1.8</v>
      </c>
      <c r="Q1271" s="13" t="str">
        <f aca="false">IF(D1271="","Unknown",IF(D1271&lt;25,"Under 25",IF(D1271&lt;35,"25-34",IF(D1271&lt;45,"35-44",IF(D1271&lt;55,"45-54","55+")))))</f>
        <v>25-34</v>
      </c>
      <c r="R1271" s="13" t="str">
        <f aca="false">IF(P1271&lt;1,"0-1 yrs",IF(P1271&lt;3,"1-3 yrs",IF(P1271&lt;5,"3-5 yrs",IF(P1271&lt;10,"5-10 yrs","10+ yrs"))))</f>
        <v>1-3 yrs</v>
      </c>
      <c r="S1271" s="13" t="str">
        <f aca="false">IF(I1271&gt;=4,"High",IF(I1271=3,"Medium","Low"))</f>
        <v>Medium</v>
      </c>
      <c r="T1271" s="13" t="n">
        <f aca="false">IF(M1271=1,YEAR(C1271),"")</f>
        <v>2023</v>
      </c>
      <c r="U1271" s="13" t="str">
        <f aca="false">IF(M1271=1,YEAR(C1271)&amp;"-Q"&amp;ROUNDUP(MONTH(C1271)/3,0),"")</f>
        <v>2023-Q4</v>
      </c>
      <c r="V1271" s="13" t="n">
        <f aca="false">IF(M1271=1,MONTH(C1271),"")</f>
        <v>12</v>
      </c>
    </row>
    <row r="1272" customFormat="false" ht="15" hidden="false" customHeight="false" outlineLevel="0" collapsed="false">
      <c r="A1272" s="13" t="str">
        <f aca="false">TRIM(Raw_Data!A1272)</f>
        <v>EMP1271</v>
      </c>
      <c r="B1272" s="14" t="n">
        <f aca="false">Raw_Data!B1272</f>
        <v>44631</v>
      </c>
      <c r="C1272" s="14" t="n">
        <f aca="false">IF(Raw_Data!C1272="","",Raw_Data!C1272)</f>
        <v>45017</v>
      </c>
      <c r="D1272" s="13" t="n">
        <f aca="false">IF(Raw_Data!D1272="","",Raw_Data!D1272)</f>
        <v>35</v>
      </c>
      <c r="E1272" s="13" t="str">
        <f aca="false">IF(UPPER(LEFT(TRIM(Raw_Data!E1272),1))="M","Male",IF(UPPER(LEFT(TRIM(Raw_Data!E1272),1))="F","Female","Unknown"))</f>
        <v>Female</v>
      </c>
      <c r="F1272" s="13" t="str">
        <f aca="false">PROPER(TRIM(SUBSTITUTE(Raw_Data!F1272,"'","")))</f>
        <v>Masters</v>
      </c>
      <c r="G1272" s="13" t="str">
        <f aca="false">PROPER(TRIM(Raw_Data!G1272))</f>
        <v>Customer Support</v>
      </c>
      <c r="H1272" s="13" t="str">
        <f aca="false">PROPER(TRIM(Raw_Data!H1272))</f>
        <v>Associate</v>
      </c>
      <c r="I1272" s="13" t="n">
        <f aca="false">IF(Raw_Data!I1272="",DefaultPerf,Raw_Data!I1272)</f>
        <v>3</v>
      </c>
      <c r="J1272" s="13" t="n">
        <f aca="false">IF(Raw_Data!J1272="",DefaultSat,Raw_Data!J1272)</f>
        <v>1</v>
      </c>
      <c r="K1272" s="15" t="n">
        <f aca="false">Raw_Data!K1272</f>
        <v>36500</v>
      </c>
      <c r="L1272" s="13" t="str">
        <f aca="false">PROPER(TRIM(Raw_Data!N1272))</f>
        <v>No</v>
      </c>
      <c r="M1272" s="13" t="n">
        <f aca="false">IF(C1272="",0,1)</f>
        <v>1</v>
      </c>
      <c r="N1272" s="13" t="str">
        <f aca="false">IF(M1272=0,"Active",IF(TRIM(Raw_Data!L1272)="","Unknown",PROPER(TRIM(Raw_Data!L1272))))</f>
        <v>Unknown</v>
      </c>
      <c r="O1272" s="13" t="str">
        <f aca="false">IF(M1272=0,"",IF(TRIM(Raw_Data!M1272)="","Not Recorded",TRIM(Raw_Data!M1272)))</f>
        <v>Manager Issues</v>
      </c>
      <c r="P1272" s="16" t="n">
        <f aca="false">ROUND((IF(C1272="",AsOfDate,C1272)-B1272)/365.25,2)</f>
        <v>1.06</v>
      </c>
      <c r="Q1272" s="13" t="str">
        <f aca="false">IF(D1272="","Unknown",IF(D1272&lt;25,"Under 25",IF(D1272&lt;35,"25-34",IF(D1272&lt;45,"35-44",IF(D1272&lt;55,"45-54","55+")))))</f>
        <v>35-44</v>
      </c>
      <c r="R1272" s="13" t="str">
        <f aca="false">IF(P1272&lt;1,"0-1 yrs",IF(P1272&lt;3,"1-3 yrs",IF(P1272&lt;5,"3-5 yrs",IF(P1272&lt;10,"5-10 yrs","10+ yrs"))))</f>
        <v>1-3 yrs</v>
      </c>
      <c r="S1272" s="13" t="str">
        <f aca="false">IF(I1272&gt;=4,"High",IF(I1272=3,"Medium","Low"))</f>
        <v>Medium</v>
      </c>
      <c r="T1272" s="13" t="n">
        <f aca="false">IF(M1272=1,YEAR(C1272),"")</f>
        <v>2023</v>
      </c>
      <c r="U1272" s="13" t="str">
        <f aca="false">IF(M1272=1,YEAR(C1272)&amp;"-Q"&amp;ROUNDUP(MONTH(C1272)/3,0),"")</f>
        <v>2023-Q2</v>
      </c>
      <c r="V1272" s="13" t="n">
        <f aca="false">IF(M1272=1,MONTH(C1272),"")</f>
        <v>4</v>
      </c>
    </row>
    <row r="1273" customFormat="false" ht="15" hidden="false" customHeight="false" outlineLevel="0" collapsed="false">
      <c r="A1273" s="13" t="str">
        <f aca="false">TRIM(Raw_Data!A1273)</f>
        <v>EMP1272</v>
      </c>
      <c r="B1273" s="14" t="n">
        <f aca="false">Raw_Data!B1273</f>
        <v>44636</v>
      </c>
      <c r="C1273" s="14" t="str">
        <f aca="false">IF(Raw_Data!C1273="","",Raw_Data!C1273)</f>
        <v/>
      </c>
      <c r="D1273" s="13" t="n">
        <f aca="false">IF(Raw_Data!D1273="","",Raw_Data!D1273)</f>
        <v>35</v>
      </c>
      <c r="E1273" s="13" t="str">
        <f aca="false">IF(UPPER(LEFT(TRIM(Raw_Data!E1273),1))="M","Male",IF(UPPER(LEFT(TRIM(Raw_Data!E1273),1))="F","Female","Unknown"))</f>
        <v>Female</v>
      </c>
      <c r="F1273" s="13" t="str">
        <f aca="false">PROPER(TRIM(SUBSTITUTE(Raw_Data!F1273,"'","")))</f>
        <v>Masters</v>
      </c>
      <c r="G1273" s="13" t="str">
        <f aca="false">PROPER(TRIM(Raw_Data!G1273))</f>
        <v>Engineering</v>
      </c>
      <c r="H1273" s="13" t="str">
        <f aca="false">PROPER(TRIM(Raw_Data!H1273))</f>
        <v>Team Lead</v>
      </c>
      <c r="I1273" s="13" t="n">
        <f aca="false">IF(Raw_Data!I1273="",DefaultPerf,Raw_Data!I1273)</f>
        <v>2</v>
      </c>
      <c r="J1273" s="13" t="n">
        <f aca="false">IF(Raw_Data!J1273="",DefaultSat,Raw_Data!J1273)</f>
        <v>3</v>
      </c>
      <c r="K1273" s="15" t="n">
        <f aca="false">Raw_Data!K1273</f>
        <v>132500</v>
      </c>
      <c r="L1273" s="13" t="str">
        <f aca="false">PROPER(TRIM(Raw_Data!N1273))</f>
        <v>No</v>
      </c>
      <c r="M1273" s="13" t="n">
        <f aca="false">IF(C1273="",0,1)</f>
        <v>0</v>
      </c>
      <c r="N1273" s="13" t="str">
        <f aca="false">IF(M1273=0,"Active",IF(TRIM(Raw_Data!L1273)="","Unknown",PROPER(TRIM(Raw_Data!L1273))))</f>
        <v>Active</v>
      </c>
      <c r="O1273" s="13" t="str">
        <f aca="false">IF(M1273=0,"",IF(TRIM(Raw_Data!M1273)="","Not Recorded",TRIM(Raw_Data!M1273)))</f>
        <v/>
      </c>
      <c r="P1273" s="16" t="n">
        <f aca="false">ROUND((IF(C1273="",AsOfDate,C1273)-B1273)/365.25,2)</f>
        <v>3.79</v>
      </c>
      <c r="Q1273" s="13" t="str">
        <f aca="false">IF(D1273="","Unknown",IF(D1273&lt;25,"Under 25",IF(D1273&lt;35,"25-34",IF(D1273&lt;45,"35-44",IF(D1273&lt;55,"45-54","55+")))))</f>
        <v>35-44</v>
      </c>
      <c r="R1273" s="13" t="str">
        <f aca="false">IF(P1273&lt;1,"0-1 yrs",IF(P1273&lt;3,"1-3 yrs",IF(P1273&lt;5,"3-5 yrs",IF(P1273&lt;10,"5-10 yrs","10+ yrs"))))</f>
        <v>3-5 yrs</v>
      </c>
      <c r="S1273" s="13" t="str">
        <f aca="false">IF(I1273&gt;=4,"High",IF(I1273=3,"Medium","Low"))</f>
        <v>Low</v>
      </c>
      <c r="T1273" s="13" t="str">
        <f aca="false">IF(M1273=1,YEAR(C1273),"")</f>
        <v/>
      </c>
      <c r="U1273" s="13" t="str">
        <f aca="false">IF(M1273=1,YEAR(C1273)&amp;"-Q"&amp;ROUNDUP(MONTH(C1273)/3,0),"")</f>
        <v/>
      </c>
      <c r="V1273" s="13" t="str">
        <f aca="false">IF(M1273=1,MONTH(C1273),"")</f>
        <v/>
      </c>
    </row>
    <row r="1274" customFormat="false" ht="15" hidden="false" customHeight="false" outlineLevel="0" collapsed="false">
      <c r="A1274" s="13" t="str">
        <f aca="false">TRIM(Raw_Data!A1274)</f>
        <v>EMP1273</v>
      </c>
      <c r="B1274" s="14" t="n">
        <f aca="false">Raw_Data!B1274</f>
        <v>44636</v>
      </c>
      <c r="C1274" s="14" t="str">
        <f aca="false">IF(Raw_Data!C1274="","",Raw_Data!C1274)</f>
        <v/>
      </c>
      <c r="D1274" s="13" t="n">
        <f aca="false">IF(Raw_Data!D1274="","",Raw_Data!D1274)</f>
        <v>25</v>
      </c>
      <c r="E1274" s="13" t="str">
        <f aca="false">IF(UPPER(LEFT(TRIM(Raw_Data!E1274),1))="M","Male",IF(UPPER(LEFT(TRIM(Raw_Data!E1274),1))="F","Female","Unknown"))</f>
        <v>Male</v>
      </c>
      <c r="F1274" s="13" t="str">
        <f aca="false">PROPER(TRIM(SUBSTITUTE(Raw_Data!F1274,"'","")))</f>
        <v>Masters</v>
      </c>
      <c r="G1274" s="13" t="str">
        <f aca="false">PROPER(TRIM(Raw_Data!G1274))</f>
        <v>Customer Support</v>
      </c>
      <c r="H1274" s="13" t="str">
        <f aca="false">PROPER(TRIM(Raw_Data!H1274))</f>
        <v>Senior Analyst</v>
      </c>
      <c r="I1274" s="13" t="n">
        <f aca="false">IF(Raw_Data!I1274="",DefaultPerf,Raw_Data!I1274)</f>
        <v>3</v>
      </c>
      <c r="J1274" s="13" t="n">
        <f aca="false">IF(Raw_Data!J1274="",DefaultSat,Raw_Data!J1274)</f>
        <v>2</v>
      </c>
      <c r="K1274" s="15" t="n">
        <f aca="false">Raw_Data!K1274</f>
        <v>92500</v>
      </c>
      <c r="L1274" s="13" t="str">
        <f aca="false">PROPER(TRIM(Raw_Data!N1274))</f>
        <v>No</v>
      </c>
      <c r="M1274" s="13" t="n">
        <f aca="false">IF(C1274="",0,1)</f>
        <v>0</v>
      </c>
      <c r="N1274" s="13" t="str">
        <f aca="false">IF(M1274=0,"Active",IF(TRIM(Raw_Data!L1274)="","Unknown",PROPER(TRIM(Raw_Data!L1274))))</f>
        <v>Active</v>
      </c>
      <c r="O1274" s="13" t="str">
        <f aca="false">IF(M1274=0,"",IF(TRIM(Raw_Data!M1274)="","Not Recorded",TRIM(Raw_Data!M1274)))</f>
        <v/>
      </c>
      <c r="P1274" s="16" t="n">
        <f aca="false">ROUND((IF(C1274="",AsOfDate,C1274)-B1274)/365.25,2)</f>
        <v>3.79</v>
      </c>
      <c r="Q1274" s="13" t="str">
        <f aca="false">IF(D1274="","Unknown",IF(D1274&lt;25,"Under 25",IF(D1274&lt;35,"25-34",IF(D1274&lt;45,"35-44",IF(D1274&lt;55,"45-54","55+")))))</f>
        <v>25-34</v>
      </c>
      <c r="R1274" s="13" t="str">
        <f aca="false">IF(P1274&lt;1,"0-1 yrs",IF(P1274&lt;3,"1-3 yrs",IF(P1274&lt;5,"3-5 yrs",IF(P1274&lt;10,"5-10 yrs","10+ yrs"))))</f>
        <v>3-5 yrs</v>
      </c>
      <c r="S1274" s="13" t="str">
        <f aca="false">IF(I1274&gt;=4,"High",IF(I1274=3,"Medium","Low"))</f>
        <v>Medium</v>
      </c>
      <c r="T1274" s="13" t="str">
        <f aca="false">IF(M1274=1,YEAR(C1274),"")</f>
        <v/>
      </c>
      <c r="U1274" s="13" t="str">
        <f aca="false">IF(M1274=1,YEAR(C1274)&amp;"-Q"&amp;ROUNDUP(MONTH(C1274)/3,0),"")</f>
        <v/>
      </c>
      <c r="V1274" s="13" t="str">
        <f aca="false">IF(M1274=1,MONTH(C1274),"")</f>
        <v/>
      </c>
    </row>
    <row r="1275" customFormat="false" ht="15" hidden="false" customHeight="false" outlineLevel="0" collapsed="false">
      <c r="A1275" s="13" t="str">
        <f aca="false">TRIM(Raw_Data!A1275)</f>
        <v>EMP1274</v>
      </c>
      <c r="B1275" s="14" t="n">
        <f aca="false">Raw_Data!B1275</f>
        <v>44636</v>
      </c>
      <c r="C1275" s="14" t="n">
        <f aca="false">IF(Raw_Data!C1275="","",Raw_Data!C1275)</f>
        <v>44729</v>
      </c>
      <c r="D1275" s="13" t="n">
        <f aca="false">IF(Raw_Data!D1275="","",Raw_Data!D1275)</f>
        <v>24</v>
      </c>
      <c r="E1275" s="13" t="str">
        <f aca="false">IF(UPPER(LEFT(TRIM(Raw_Data!E1275),1))="M","Male",IF(UPPER(LEFT(TRIM(Raw_Data!E1275),1))="F","Female","Unknown"))</f>
        <v>Male</v>
      </c>
      <c r="F1275" s="13" t="str">
        <f aca="false">PROPER(TRIM(SUBSTITUTE(Raw_Data!F1275,"'","")))</f>
        <v>Masters</v>
      </c>
      <c r="G1275" s="13" t="str">
        <f aca="false">PROPER(TRIM(Raw_Data!G1275))</f>
        <v>Engineering</v>
      </c>
      <c r="H1275" s="13" t="str">
        <f aca="false">PROPER(TRIM(Raw_Data!H1275))</f>
        <v>Associate</v>
      </c>
      <c r="I1275" s="13" t="n">
        <f aca="false">IF(Raw_Data!I1275="",DefaultPerf,Raw_Data!I1275)</f>
        <v>4</v>
      </c>
      <c r="J1275" s="13" t="n">
        <f aca="false">IF(Raw_Data!J1275="",DefaultSat,Raw_Data!J1275)</f>
        <v>1</v>
      </c>
      <c r="K1275" s="15" t="n">
        <f aca="false">Raw_Data!K1275</f>
        <v>36000</v>
      </c>
      <c r="L1275" s="13" t="str">
        <f aca="false">PROPER(TRIM(Raw_Data!N1275))</f>
        <v>No</v>
      </c>
      <c r="M1275" s="13" t="n">
        <f aca="false">IF(C1275="",0,1)</f>
        <v>1</v>
      </c>
      <c r="N1275" s="13" t="str">
        <f aca="false">IF(M1275=0,"Active",IF(TRIM(Raw_Data!L1275)="","Unknown",PROPER(TRIM(Raw_Data!L1275))))</f>
        <v>Voluntary</v>
      </c>
      <c r="O1275" s="13" t="str">
        <f aca="false">IF(M1275=0,"",IF(TRIM(Raw_Data!M1275)="","Not Recorded",TRIM(Raw_Data!M1275)))</f>
        <v>Better Compensation</v>
      </c>
      <c r="P1275" s="16" t="n">
        <f aca="false">ROUND((IF(C1275="",AsOfDate,C1275)-B1275)/365.25,2)</f>
        <v>0.25</v>
      </c>
      <c r="Q1275" s="13" t="str">
        <f aca="false">IF(D1275="","Unknown",IF(D1275&lt;25,"Under 25",IF(D1275&lt;35,"25-34",IF(D1275&lt;45,"35-44",IF(D1275&lt;55,"45-54","55+")))))</f>
        <v>Under 25</v>
      </c>
      <c r="R1275" s="13" t="str">
        <f aca="false">IF(P1275&lt;1,"0-1 yrs",IF(P1275&lt;3,"1-3 yrs",IF(P1275&lt;5,"3-5 yrs",IF(P1275&lt;10,"5-10 yrs","10+ yrs"))))</f>
        <v>0-1 yrs</v>
      </c>
      <c r="S1275" s="13" t="str">
        <f aca="false">IF(I1275&gt;=4,"High",IF(I1275=3,"Medium","Low"))</f>
        <v>High</v>
      </c>
      <c r="T1275" s="13" t="n">
        <f aca="false">IF(M1275=1,YEAR(C1275),"")</f>
        <v>2022</v>
      </c>
      <c r="U1275" s="13" t="str">
        <f aca="false">IF(M1275=1,YEAR(C1275)&amp;"-Q"&amp;ROUNDUP(MONTH(C1275)/3,0),"")</f>
        <v>2022-Q2</v>
      </c>
      <c r="V1275" s="13" t="n">
        <f aca="false">IF(M1275=1,MONTH(C1275),"")</f>
        <v>6</v>
      </c>
    </row>
    <row r="1276" customFormat="false" ht="15" hidden="false" customHeight="false" outlineLevel="0" collapsed="false">
      <c r="A1276" s="13" t="str">
        <f aca="false">TRIM(Raw_Data!A1276)</f>
        <v>EMP1275</v>
      </c>
      <c r="B1276" s="14" t="n">
        <f aca="false">Raw_Data!B1276</f>
        <v>44638</v>
      </c>
      <c r="C1276" s="14" t="n">
        <f aca="false">IF(Raw_Data!C1276="","",Raw_Data!C1276)</f>
        <v>44936</v>
      </c>
      <c r="D1276" s="13" t="n">
        <f aca="false">IF(Raw_Data!D1276="","",Raw_Data!D1276)</f>
        <v>31</v>
      </c>
      <c r="E1276" s="13" t="str">
        <f aca="false">IF(UPPER(LEFT(TRIM(Raw_Data!E1276),1))="M","Male",IF(UPPER(LEFT(TRIM(Raw_Data!E1276),1))="F","Female","Unknown"))</f>
        <v>Male</v>
      </c>
      <c r="F1276" s="13" t="str">
        <f aca="false">PROPER(TRIM(SUBSTITUTE(Raw_Data!F1276,"'","")))</f>
        <v>Bachelors</v>
      </c>
      <c r="G1276" s="13" t="str">
        <f aca="false">PROPER(TRIM(Raw_Data!G1276))</f>
        <v>Engineering</v>
      </c>
      <c r="H1276" s="13" t="str">
        <f aca="false">PROPER(TRIM(Raw_Data!H1276))</f>
        <v>Associate</v>
      </c>
      <c r="I1276" s="13" t="n">
        <f aca="false">IF(Raw_Data!I1276="",DefaultPerf,Raw_Data!I1276)</f>
        <v>4</v>
      </c>
      <c r="J1276" s="13" t="n">
        <f aca="false">IF(Raw_Data!J1276="",DefaultSat,Raw_Data!J1276)</f>
        <v>3</v>
      </c>
      <c r="K1276" s="15" t="n">
        <f aca="false">Raw_Data!K1276</f>
        <v>39500</v>
      </c>
      <c r="L1276" s="13" t="str">
        <f aca="false">PROPER(TRIM(Raw_Data!N1276))</f>
        <v>No</v>
      </c>
      <c r="M1276" s="13" t="n">
        <f aca="false">IF(C1276="",0,1)</f>
        <v>1</v>
      </c>
      <c r="N1276" s="13" t="str">
        <f aca="false">IF(M1276=0,"Active",IF(TRIM(Raw_Data!L1276)="","Unknown",PROPER(TRIM(Raw_Data!L1276))))</f>
        <v>Voluntary</v>
      </c>
      <c r="O1276" s="13" t="str">
        <f aca="false">IF(M1276=0,"",IF(TRIM(Raw_Data!M1276)="","Not Recorded",TRIM(Raw_Data!M1276)))</f>
        <v>Relocation</v>
      </c>
      <c r="P1276" s="16" t="n">
        <f aca="false">ROUND((IF(C1276="",AsOfDate,C1276)-B1276)/365.25,2)</f>
        <v>0.82</v>
      </c>
      <c r="Q1276" s="13" t="str">
        <f aca="false">IF(D1276="","Unknown",IF(D1276&lt;25,"Under 25",IF(D1276&lt;35,"25-34",IF(D1276&lt;45,"35-44",IF(D1276&lt;55,"45-54","55+")))))</f>
        <v>25-34</v>
      </c>
      <c r="R1276" s="13" t="str">
        <f aca="false">IF(P1276&lt;1,"0-1 yrs",IF(P1276&lt;3,"1-3 yrs",IF(P1276&lt;5,"3-5 yrs",IF(P1276&lt;10,"5-10 yrs","10+ yrs"))))</f>
        <v>0-1 yrs</v>
      </c>
      <c r="S1276" s="13" t="str">
        <f aca="false">IF(I1276&gt;=4,"High",IF(I1276=3,"Medium","Low"))</f>
        <v>High</v>
      </c>
      <c r="T1276" s="13" t="n">
        <f aca="false">IF(M1276=1,YEAR(C1276),"")</f>
        <v>2023</v>
      </c>
      <c r="U1276" s="13" t="str">
        <f aca="false">IF(M1276=1,YEAR(C1276)&amp;"-Q"&amp;ROUNDUP(MONTH(C1276)/3,0),"")</f>
        <v>2023-Q1</v>
      </c>
      <c r="V1276" s="13" t="n">
        <f aca="false">IF(M1276=1,MONTH(C1276),"")</f>
        <v>1</v>
      </c>
    </row>
    <row r="1277" customFormat="false" ht="15" hidden="false" customHeight="false" outlineLevel="0" collapsed="false">
      <c r="A1277" s="13" t="str">
        <f aca="false">TRIM(Raw_Data!A1277)</f>
        <v>EMP1276</v>
      </c>
      <c r="B1277" s="14" t="n">
        <f aca="false">Raw_Data!B1277</f>
        <v>44639</v>
      </c>
      <c r="C1277" s="14" t="n">
        <f aca="false">IF(Raw_Data!C1277="","",Raw_Data!C1277)</f>
        <v>45107</v>
      </c>
      <c r="D1277" s="13" t="n">
        <f aca="false">IF(Raw_Data!D1277="","",Raw_Data!D1277)</f>
        <v>25</v>
      </c>
      <c r="E1277" s="13" t="str">
        <f aca="false">IF(UPPER(LEFT(TRIM(Raw_Data!E1277),1))="M","Male",IF(UPPER(LEFT(TRIM(Raw_Data!E1277),1))="F","Female","Unknown"))</f>
        <v>Male</v>
      </c>
      <c r="F1277" s="13" t="str">
        <f aca="false">PROPER(TRIM(SUBSTITUTE(Raw_Data!F1277,"'","")))</f>
        <v>Diploma</v>
      </c>
      <c r="G1277" s="13" t="str">
        <f aca="false">PROPER(TRIM(Raw_Data!G1277))</f>
        <v>Customer Support</v>
      </c>
      <c r="H1277" s="13" t="str">
        <f aca="false">PROPER(TRIM(Raw_Data!H1277))</f>
        <v>Analyst</v>
      </c>
      <c r="I1277" s="13" t="n">
        <f aca="false">IF(Raw_Data!I1277="",DefaultPerf,Raw_Data!I1277)</f>
        <v>3</v>
      </c>
      <c r="J1277" s="13" t="n">
        <f aca="false">IF(Raw_Data!J1277="",DefaultSat,Raw_Data!J1277)</f>
        <v>2</v>
      </c>
      <c r="K1277" s="15" t="n">
        <f aca="false">Raw_Data!K1277</f>
        <v>56500</v>
      </c>
      <c r="L1277" s="13" t="str">
        <f aca="false">PROPER(TRIM(Raw_Data!N1277))</f>
        <v>Yes</v>
      </c>
      <c r="M1277" s="13" t="n">
        <f aca="false">IF(C1277="",0,1)</f>
        <v>1</v>
      </c>
      <c r="N1277" s="13" t="str">
        <f aca="false">IF(M1277=0,"Active",IF(TRIM(Raw_Data!L1277)="","Unknown",PROPER(TRIM(Raw_Data!L1277))))</f>
        <v>Voluntary</v>
      </c>
      <c r="O1277" s="13" t="str">
        <f aca="false">IF(M1277=0,"",IF(TRIM(Raw_Data!M1277)="","Not Recorded",TRIM(Raw_Data!M1277)))</f>
        <v>Job Dissatisfaction</v>
      </c>
      <c r="P1277" s="16" t="n">
        <f aca="false">ROUND((IF(C1277="",AsOfDate,C1277)-B1277)/365.25,2)</f>
        <v>1.28</v>
      </c>
      <c r="Q1277" s="13" t="str">
        <f aca="false">IF(D1277="","Unknown",IF(D1277&lt;25,"Under 25",IF(D1277&lt;35,"25-34",IF(D1277&lt;45,"35-44",IF(D1277&lt;55,"45-54","55+")))))</f>
        <v>25-34</v>
      </c>
      <c r="R1277" s="13" t="str">
        <f aca="false">IF(P1277&lt;1,"0-1 yrs",IF(P1277&lt;3,"1-3 yrs",IF(P1277&lt;5,"3-5 yrs",IF(P1277&lt;10,"5-10 yrs","10+ yrs"))))</f>
        <v>1-3 yrs</v>
      </c>
      <c r="S1277" s="13" t="str">
        <f aca="false">IF(I1277&gt;=4,"High",IF(I1277=3,"Medium","Low"))</f>
        <v>Medium</v>
      </c>
      <c r="T1277" s="13" t="n">
        <f aca="false">IF(M1277=1,YEAR(C1277),"")</f>
        <v>2023</v>
      </c>
      <c r="U1277" s="13" t="str">
        <f aca="false">IF(M1277=1,YEAR(C1277)&amp;"-Q"&amp;ROUNDUP(MONTH(C1277)/3,0),"")</f>
        <v>2023-Q2</v>
      </c>
      <c r="V1277" s="13" t="n">
        <f aca="false">IF(M1277=1,MONTH(C1277),"")</f>
        <v>6</v>
      </c>
    </row>
    <row r="1278" customFormat="false" ht="15" hidden="false" customHeight="false" outlineLevel="0" collapsed="false">
      <c r="A1278" s="13" t="str">
        <f aca="false">TRIM(Raw_Data!A1278)</f>
        <v>EMP1277</v>
      </c>
      <c r="B1278" s="14" t="n">
        <f aca="false">Raw_Data!B1278</f>
        <v>44639</v>
      </c>
      <c r="C1278" s="14" t="n">
        <f aca="false">IF(Raw_Data!C1278="","",Raw_Data!C1278)</f>
        <v>44891</v>
      </c>
      <c r="D1278" s="13" t="n">
        <f aca="false">IF(Raw_Data!D1278="","",Raw_Data!D1278)</f>
        <v>29</v>
      </c>
      <c r="E1278" s="13" t="str">
        <f aca="false">IF(UPPER(LEFT(TRIM(Raw_Data!E1278),1))="M","Male",IF(UPPER(LEFT(TRIM(Raw_Data!E1278),1))="F","Female","Unknown"))</f>
        <v>Male</v>
      </c>
      <c r="F1278" s="13" t="str">
        <f aca="false">PROPER(TRIM(SUBSTITUTE(Raw_Data!F1278,"'","")))</f>
        <v>High School</v>
      </c>
      <c r="G1278" s="13" t="str">
        <f aca="false">PROPER(TRIM(Raw_Data!G1278))</f>
        <v>Sales</v>
      </c>
      <c r="H1278" s="13" t="str">
        <f aca="false">PROPER(TRIM(Raw_Data!H1278))</f>
        <v>Team Lead</v>
      </c>
      <c r="I1278" s="13" t="n">
        <f aca="false">IF(Raw_Data!I1278="",DefaultPerf,Raw_Data!I1278)</f>
        <v>3</v>
      </c>
      <c r="J1278" s="13" t="n">
        <f aca="false">IF(Raw_Data!J1278="",DefaultSat,Raw_Data!J1278)</f>
        <v>1</v>
      </c>
      <c r="K1278" s="15" t="n">
        <f aca="false">Raw_Data!K1278</f>
        <v>136500</v>
      </c>
      <c r="L1278" s="13" t="str">
        <f aca="false">PROPER(TRIM(Raw_Data!N1278))</f>
        <v>No</v>
      </c>
      <c r="M1278" s="13" t="n">
        <f aca="false">IF(C1278="",0,1)</f>
        <v>1</v>
      </c>
      <c r="N1278" s="13" t="str">
        <f aca="false">IF(M1278=0,"Active",IF(TRIM(Raw_Data!L1278)="","Unknown",PROPER(TRIM(Raw_Data!L1278))))</f>
        <v>Voluntary</v>
      </c>
      <c r="O1278" s="13" t="str">
        <f aca="false">IF(M1278=0,"",IF(TRIM(Raw_Data!M1278)="","Not Recorded",TRIM(Raw_Data!M1278)))</f>
        <v>Better Compensation</v>
      </c>
      <c r="P1278" s="16" t="n">
        <f aca="false">ROUND((IF(C1278="",AsOfDate,C1278)-B1278)/365.25,2)</f>
        <v>0.69</v>
      </c>
      <c r="Q1278" s="13" t="str">
        <f aca="false">IF(D1278="","Unknown",IF(D1278&lt;25,"Under 25",IF(D1278&lt;35,"25-34",IF(D1278&lt;45,"35-44",IF(D1278&lt;55,"45-54","55+")))))</f>
        <v>25-34</v>
      </c>
      <c r="R1278" s="13" t="str">
        <f aca="false">IF(P1278&lt;1,"0-1 yrs",IF(P1278&lt;3,"1-3 yrs",IF(P1278&lt;5,"3-5 yrs",IF(P1278&lt;10,"5-10 yrs","10+ yrs"))))</f>
        <v>0-1 yrs</v>
      </c>
      <c r="S1278" s="13" t="str">
        <f aca="false">IF(I1278&gt;=4,"High",IF(I1278=3,"Medium","Low"))</f>
        <v>Medium</v>
      </c>
      <c r="T1278" s="13" t="n">
        <f aca="false">IF(M1278=1,YEAR(C1278),"")</f>
        <v>2022</v>
      </c>
      <c r="U1278" s="13" t="str">
        <f aca="false">IF(M1278=1,YEAR(C1278)&amp;"-Q"&amp;ROUNDUP(MONTH(C1278)/3,0),"")</f>
        <v>2022-Q4</v>
      </c>
      <c r="V1278" s="13" t="n">
        <f aca="false">IF(M1278=1,MONTH(C1278),"")</f>
        <v>11</v>
      </c>
    </row>
    <row r="1279" customFormat="false" ht="15" hidden="false" customHeight="false" outlineLevel="0" collapsed="false">
      <c r="A1279" s="13" t="str">
        <f aca="false">TRIM(Raw_Data!A1279)</f>
        <v>EMP1278</v>
      </c>
      <c r="B1279" s="14" t="n">
        <f aca="false">Raw_Data!B1279</f>
        <v>44642</v>
      </c>
      <c r="C1279" s="14" t="n">
        <f aca="false">IF(Raw_Data!C1279="","",Raw_Data!C1279)</f>
        <v>45520</v>
      </c>
      <c r="D1279" s="13" t="n">
        <f aca="false">IF(Raw_Data!D1279="","",Raw_Data!D1279)</f>
        <v>29</v>
      </c>
      <c r="E1279" s="13" t="str">
        <f aca="false">IF(UPPER(LEFT(TRIM(Raw_Data!E1279),1))="M","Male",IF(UPPER(LEFT(TRIM(Raw_Data!E1279),1))="F","Female","Unknown"))</f>
        <v>Female</v>
      </c>
      <c r="F1279" s="13" t="str">
        <f aca="false">PROPER(TRIM(SUBSTITUTE(Raw_Data!F1279,"'","")))</f>
        <v>Diploma</v>
      </c>
      <c r="G1279" s="13" t="str">
        <f aca="false">PROPER(TRIM(Raw_Data!G1279))</f>
        <v>Engineering</v>
      </c>
      <c r="H1279" s="13" t="str">
        <f aca="false">PROPER(TRIM(Raw_Data!H1279))</f>
        <v>Associate</v>
      </c>
      <c r="I1279" s="13" t="n">
        <f aca="false">IF(Raw_Data!I1279="",DefaultPerf,Raw_Data!I1279)</f>
        <v>3</v>
      </c>
      <c r="J1279" s="13" t="n">
        <f aca="false">IF(Raw_Data!J1279="",DefaultSat,Raw_Data!J1279)</f>
        <v>3</v>
      </c>
      <c r="K1279" s="15" t="n">
        <f aca="false">Raw_Data!K1279</f>
        <v>39000</v>
      </c>
      <c r="L1279" s="13" t="str">
        <f aca="false">PROPER(TRIM(Raw_Data!N1279))</f>
        <v>Yes</v>
      </c>
      <c r="M1279" s="13" t="n">
        <f aca="false">IF(C1279="",0,1)</f>
        <v>1</v>
      </c>
      <c r="N1279" s="13" t="str">
        <f aca="false">IF(M1279=0,"Active",IF(TRIM(Raw_Data!L1279)="","Unknown",PROPER(TRIM(Raw_Data!L1279))))</f>
        <v>Voluntary</v>
      </c>
      <c r="O1279" s="13" t="str">
        <f aca="false">IF(M1279=0,"",IF(TRIM(Raw_Data!M1279)="","Not Recorded",TRIM(Raw_Data!M1279)))</f>
        <v>Work-Life Balance</v>
      </c>
      <c r="P1279" s="16" t="n">
        <f aca="false">ROUND((IF(C1279="",AsOfDate,C1279)-B1279)/365.25,2)</f>
        <v>2.4</v>
      </c>
      <c r="Q1279" s="13" t="str">
        <f aca="false">IF(D1279="","Unknown",IF(D1279&lt;25,"Under 25",IF(D1279&lt;35,"25-34",IF(D1279&lt;45,"35-44",IF(D1279&lt;55,"45-54","55+")))))</f>
        <v>25-34</v>
      </c>
      <c r="R1279" s="13" t="str">
        <f aca="false">IF(P1279&lt;1,"0-1 yrs",IF(P1279&lt;3,"1-3 yrs",IF(P1279&lt;5,"3-5 yrs",IF(P1279&lt;10,"5-10 yrs","10+ yrs"))))</f>
        <v>1-3 yrs</v>
      </c>
      <c r="S1279" s="13" t="str">
        <f aca="false">IF(I1279&gt;=4,"High",IF(I1279=3,"Medium","Low"))</f>
        <v>Medium</v>
      </c>
      <c r="T1279" s="13" t="n">
        <f aca="false">IF(M1279=1,YEAR(C1279),"")</f>
        <v>2024</v>
      </c>
      <c r="U1279" s="13" t="str">
        <f aca="false">IF(M1279=1,YEAR(C1279)&amp;"-Q"&amp;ROUNDUP(MONTH(C1279)/3,0),"")</f>
        <v>2024-Q3</v>
      </c>
      <c r="V1279" s="13" t="n">
        <f aca="false">IF(M1279=1,MONTH(C1279),"")</f>
        <v>8</v>
      </c>
    </row>
    <row r="1280" customFormat="false" ht="15" hidden="false" customHeight="false" outlineLevel="0" collapsed="false">
      <c r="A1280" s="13" t="str">
        <f aca="false">TRIM(Raw_Data!A1280)</f>
        <v>EMP1279</v>
      </c>
      <c r="B1280" s="14" t="n">
        <f aca="false">Raw_Data!B1280</f>
        <v>44643</v>
      </c>
      <c r="C1280" s="14" t="n">
        <f aca="false">IF(Raw_Data!C1280="","",Raw_Data!C1280)</f>
        <v>45121</v>
      </c>
      <c r="D1280" s="13" t="n">
        <f aca="false">IF(Raw_Data!D1280="","",Raw_Data!D1280)</f>
        <v>24</v>
      </c>
      <c r="E1280" s="13" t="str">
        <f aca="false">IF(UPPER(LEFT(TRIM(Raw_Data!E1280),1))="M","Male",IF(UPPER(LEFT(TRIM(Raw_Data!E1280),1))="F","Female","Unknown"))</f>
        <v>Male</v>
      </c>
      <c r="F1280" s="13" t="str">
        <f aca="false">PROPER(TRIM(SUBSTITUTE(Raw_Data!F1280,"'","")))</f>
        <v>Masters</v>
      </c>
      <c r="G1280" s="13" t="str">
        <f aca="false">PROPER(TRIM(Raw_Data!G1280))</f>
        <v>Engineering</v>
      </c>
      <c r="H1280" s="13" t="str">
        <f aca="false">PROPER(TRIM(Raw_Data!H1280))</f>
        <v>Senior Analyst</v>
      </c>
      <c r="I1280" s="13" t="n">
        <f aca="false">IF(Raw_Data!I1280="",DefaultPerf,Raw_Data!I1280)</f>
        <v>3</v>
      </c>
      <c r="J1280" s="13" t="n">
        <f aca="false">IF(Raw_Data!J1280="",DefaultSat,Raw_Data!J1280)</f>
        <v>3</v>
      </c>
      <c r="K1280" s="15" t="n">
        <f aca="false">Raw_Data!K1280</f>
        <v>88000</v>
      </c>
      <c r="L1280" s="13" t="str">
        <f aca="false">PROPER(TRIM(Raw_Data!N1280))</f>
        <v>Yes</v>
      </c>
      <c r="M1280" s="13" t="n">
        <f aca="false">IF(C1280="",0,1)</f>
        <v>1</v>
      </c>
      <c r="N1280" s="13" t="str">
        <f aca="false">IF(M1280=0,"Active",IF(TRIM(Raw_Data!L1280)="","Unknown",PROPER(TRIM(Raw_Data!L1280))))</f>
        <v>Voluntary</v>
      </c>
      <c r="O1280" s="13" t="str">
        <f aca="false">IF(M1280=0,"",IF(TRIM(Raw_Data!M1280)="","Not Recorded",TRIM(Raw_Data!M1280)))</f>
        <v>Work-Life Balance</v>
      </c>
      <c r="P1280" s="16" t="n">
        <f aca="false">ROUND((IF(C1280="",AsOfDate,C1280)-B1280)/365.25,2)</f>
        <v>1.31</v>
      </c>
      <c r="Q1280" s="13" t="str">
        <f aca="false">IF(D1280="","Unknown",IF(D1280&lt;25,"Under 25",IF(D1280&lt;35,"25-34",IF(D1280&lt;45,"35-44",IF(D1280&lt;55,"45-54","55+")))))</f>
        <v>Under 25</v>
      </c>
      <c r="R1280" s="13" t="str">
        <f aca="false">IF(P1280&lt;1,"0-1 yrs",IF(P1280&lt;3,"1-3 yrs",IF(P1280&lt;5,"3-5 yrs",IF(P1280&lt;10,"5-10 yrs","10+ yrs"))))</f>
        <v>1-3 yrs</v>
      </c>
      <c r="S1280" s="13" t="str">
        <f aca="false">IF(I1280&gt;=4,"High",IF(I1280=3,"Medium","Low"))</f>
        <v>Medium</v>
      </c>
      <c r="T1280" s="13" t="n">
        <f aca="false">IF(M1280=1,YEAR(C1280),"")</f>
        <v>2023</v>
      </c>
      <c r="U1280" s="13" t="str">
        <f aca="false">IF(M1280=1,YEAR(C1280)&amp;"-Q"&amp;ROUNDUP(MONTH(C1280)/3,0),"")</f>
        <v>2023-Q3</v>
      </c>
      <c r="V1280" s="13" t="n">
        <f aca="false">IF(M1280=1,MONTH(C1280),"")</f>
        <v>7</v>
      </c>
    </row>
    <row r="1281" customFormat="false" ht="15" hidden="false" customHeight="false" outlineLevel="0" collapsed="false">
      <c r="A1281" s="13" t="str">
        <f aca="false">TRIM(Raw_Data!A1281)</f>
        <v>EMP1280</v>
      </c>
      <c r="B1281" s="14" t="n">
        <f aca="false">Raw_Data!B1281</f>
        <v>44646</v>
      </c>
      <c r="C1281" s="14" t="str">
        <f aca="false">IF(Raw_Data!C1281="","",Raw_Data!C1281)</f>
        <v/>
      </c>
      <c r="D1281" s="13" t="n">
        <f aca="false">IF(Raw_Data!D1281="","",Raw_Data!D1281)</f>
        <v>32</v>
      </c>
      <c r="E1281" s="13" t="str">
        <f aca="false">IF(UPPER(LEFT(TRIM(Raw_Data!E1281),1))="M","Male",IF(UPPER(LEFT(TRIM(Raw_Data!E1281),1))="F","Female","Unknown"))</f>
        <v>Female</v>
      </c>
      <c r="F1281" s="13" t="str">
        <f aca="false">PROPER(TRIM(SUBSTITUTE(Raw_Data!F1281,"'","")))</f>
        <v>High School</v>
      </c>
      <c r="G1281" s="13" t="str">
        <f aca="false">PROPER(TRIM(Raw_Data!G1281))</f>
        <v>Engineering</v>
      </c>
      <c r="H1281" s="13" t="str">
        <f aca="false">PROPER(TRIM(Raw_Data!H1281))</f>
        <v>Associate</v>
      </c>
      <c r="I1281" s="13" t="n">
        <f aca="false">IF(Raw_Data!I1281="",DefaultPerf,Raw_Data!I1281)</f>
        <v>3</v>
      </c>
      <c r="J1281" s="13" t="n">
        <f aca="false">IF(Raw_Data!J1281="",DefaultSat,Raw_Data!J1281)</f>
        <v>2</v>
      </c>
      <c r="K1281" s="15" t="n">
        <f aca="false">Raw_Data!K1281</f>
        <v>46000</v>
      </c>
      <c r="L1281" s="13" t="str">
        <f aca="false">PROPER(TRIM(Raw_Data!N1281))</f>
        <v>No</v>
      </c>
      <c r="M1281" s="13" t="n">
        <f aca="false">IF(C1281="",0,1)</f>
        <v>0</v>
      </c>
      <c r="N1281" s="13" t="str">
        <f aca="false">IF(M1281=0,"Active",IF(TRIM(Raw_Data!L1281)="","Unknown",PROPER(TRIM(Raw_Data!L1281))))</f>
        <v>Active</v>
      </c>
      <c r="O1281" s="13" t="str">
        <f aca="false">IF(M1281=0,"",IF(TRIM(Raw_Data!M1281)="","Not Recorded",TRIM(Raw_Data!M1281)))</f>
        <v/>
      </c>
      <c r="P1281" s="16" t="n">
        <f aca="false">ROUND((IF(C1281="",AsOfDate,C1281)-B1281)/365.25,2)</f>
        <v>3.77</v>
      </c>
      <c r="Q1281" s="13" t="str">
        <f aca="false">IF(D1281="","Unknown",IF(D1281&lt;25,"Under 25",IF(D1281&lt;35,"25-34",IF(D1281&lt;45,"35-44",IF(D1281&lt;55,"45-54","55+")))))</f>
        <v>25-34</v>
      </c>
      <c r="R1281" s="13" t="str">
        <f aca="false">IF(P1281&lt;1,"0-1 yrs",IF(P1281&lt;3,"1-3 yrs",IF(P1281&lt;5,"3-5 yrs",IF(P1281&lt;10,"5-10 yrs","10+ yrs"))))</f>
        <v>3-5 yrs</v>
      </c>
      <c r="S1281" s="13" t="str">
        <f aca="false">IF(I1281&gt;=4,"High",IF(I1281=3,"Medium","Low"))</f>
        <v>Medium</v>
      </c>
      <c r="T1281" s="13" t="str">
        <f aca="false">IF(M1281=1,YEAR(C1281),"")</f>
        <v/>
      </c>
      <c r="U1281" s="13" t="str">
        <f aca="false">IF(M1281=1,YEAR(C1281)&amp;"-Q"&amp;ROUNDUP(MONTH(C1281)/3,0),"")</f>
        <v/>
      </c>
      <c r="V1281" s="13" t="str">
        <f aca="false">IF(M1281=1,MONTH(C1281),"")</f>
        <v/>
      </c>
    </row>
    <row r="1282" customFormat="false" ht="15" hidden="false" customHeight="false" outlineLevel="0" collapsed="false">
      <c r="A1282" s="13" t="str">
        <f aca="false">TRIM(Raw_Data!A1282)</f>
        <v>EMP1281</v>
      </c>
      <c r="B1282" s="14" t="n">
        <f aca="false">Raw_Data!B1282</f>
        <v>44647</v>
      </c>
      <c r="C1282" s="14" t="str">
        <f aca="false">IF(Raw_Data!C1282="","",Raw_Data!C1282)</f>
        <v/>
      </c>
      <c r="D1282" s="13" t="n">
        <f aca="false">IF(Raw_Data!D1282="","",Raw_Data!D1282)</f>
        <v>36</v>
      </c>
      <c r="E1282" s="13" t="str">
        <f aca="false">IF(UPPER(LEFT(TRIM(Raw_Data!E1282),1))="M","Male",IF(UPPER(LEFT(TRIM(Raw_Data!E1282),1))="F","Female","Unknown"))</f>
        <v>Male</v>
      </c>
      <c r="F1282" s="13" t="str">
        <f aca="false">PROPER(TRIM(SUBSTITUTE(Raw_Data!F1282,"'","")))</f>
        <v>Bachelors</v>
      </c>
      <c r="G1282" s="13" t="str">
        <f aca="false">PROPER(TRIM(Raw_Data!G1282))</f>
        <v>Customer Support</v>
      </c>
      <c r="H1282" s="13" t="str">
        <f aca="false">PROPER(TRIM(Raw_Data!H1282))</f>
        <v>Manager</v>
      </c>
      <c r="I1282" s="13" t="n">
        <f aca="false">IF(Raw_Data!I1282="",DefaultPerf,Raw_Data!I1282)</f>
        <v>4</v>
      </c>
      <c r="J1282" s="13" t="n">
        <f aca="false">IF(Raw_Data!J1282="",DefaultSat,Raw_Data!J1282)</f>
        <v>4</v>
      </c>
      <c r="K1282" s="15" t="n">
        <f aca="false">Raw_Data!K1282</f>
        <v>221500</v>
      </c>
      <c r="L1282" s="13" t="str">
        <f aca="false">PROPER(TRIM(Raw_Data!N1282))</f>
        <v>No</v>
      </c>
      <c r="M1282" s="13" t="n">
        <f aca="false">IF(C1282="",0,1)</f>
        <v>0</v>
      </c>
      <c r="N1282" s="13" t="str">
        <f aca="false">IF(M1282=0,"Active",IF(TRIM(Raw_Data!L1282)="","Unknown",PROPER(TRIM(Raw_Data!L1282))))</f>
        <v>Active</v>
      </c>
      <c r="O1282" s="13" t="str">
        <f aca="false">IF(M1282=0,"",IF(TRIM(Raw_Data!M1282)="","Not Recorded",TRIM(Raw_Data!M1282)))</f>
        <v/>
      </c>
      <c r="P1282" s="16" t="n">
        <f aca="false">ROUND((IF(C1282="",AsOfDate,C1282)-B1282)/365.25,2)</f>
        <v>3.76</v>
      </c>
      <c r="Q1282" s="13" t="str">
        <f aca="false">IF(D1282="","Unknown",IF(D1282&lt;25,"Under 25",IF(D1282&lt;35,"25-34",IF(D1282&lt;45,"35-44",IF(D1282&lt;55,"45-54","55+")))))</f>
        <v>35-44</v>
      </c>
      <c r="R1282" s="13" t="str">
        <f aca="false">IF(P1282&lt;1,"0-1 yrs",IF(P1282&lt;3,"1-3 yrs",IF(P1282&lt;5,"3-5 yrs",IF(P1282&lt;10,"5-10 yrs","10+ yrs"))))</f>
        <v>3-5 yrs</v>
      </c>
      <c r="S1282" s="13" t="str">
        <f aca="false">IF(I1282&gt;=4,"High",IF(I1282=3,"Medium","Low"))</f>
        <v>High</v>
      </c>
      <c r="T1282" s="13" t="str">
        <f aca="false">IF(M1282=1,YEAR(C1282),"")</f>
        <v/>
      </c>
      <c r="U1282" s="13" t="str">
        <f aca="false">IF(M1282=1,YEAR(C1282)&amp;"-Q"&amp;ROUNDUP(MONTH(C1282)/3,0),"")</f>
        <v/>
      </c>
      <c r="V1282" s="13" t="str">
        <f aca="false">IF(M1282=1,MONTH(C1282),"")</f>
        <v/>
      </c>
    </row>
    <row r="1283" customFormat="false" ht="15" hidden="false" customHeight="false" outlineLevel="0" collapsed="false">
      <c r="A1283" s="13" t="str">
        <f aca="false">TRIM(Raw_Data!A1283)</f>
        <v>EMP1282</v>
      </c>
      <c r="B1283" s="14" t="n">
        <f aca="false">Raw_Data!B1283</f>
        <v>44652</v>
      </c>
      <c r="C1283" s="14" t="str">
        <f aca="false">IF(Raw_Data!C1283="","",Raw_Data!C1283)</f>
        <v/>
      </c>
      <c r="D1283" s="13" t="n">
        <f aca="false">IF(Raw_Data!D1283="","",Raw_Data!D1283)</f>
        <v>37</v>
      </c>
      <c r="E1283" s="13" t="str">
        <f aca="false">IF(UPPER(LEFT(TRIM(Raw_Data!E1283),1))="M","Male",IF(UPPER(LEFT(TRIM(Raw_Data!E1283),1))="F","Female","Unknown"))</f>
        <v>Male</v>
      </c>
      <c r="F1283" s="13" t="str">
        <f aca="false">PROPER(TRIM(SUBSTITUTE(Raw_Data!F1283,"'","")))</f>
        <v>Bachelors</v>
      </c>
      <c r="G1283" s="13" t="str">
        <f aca="false">PROPER(TRIM(Raw_Data!G1283))</f>
        <v>Finance</v>
      </c>
      <c r="H1283" s="13" t="str">
        <f aca="false">PROPER(TRIM(Raw_Data!H1283))</f>
        <v>Associate</v>
      </c>
      <c r="I1283" s="13" t="n">
        <f aca="false">IF(Raw_Data!I1283="",DefaultPerf,Raw_Data!I1283)</f>
        <v>4</v>
      </c>
      <c r="J1283" s="13" t="n">
        <f aca="false">IF(Raw_Data!J1283="",DefaultSat,Raw_Data!J1283)</f>
        <v>1</v>
      </c>
      <c r="K1283" s="15" t="n">
        <f aca="false">Raw_Data!K1283</f>
        <v>46500</v>
      </c>
      <c r="L1283" s="13" t="str">
        <f aca="false">PROPER(TRIM(Raw_Data!N1283))</f>
        <v>No</v>
      </c>
      <c r="M1283" s="13" t="n">
        <f aca="false">IF(C1283="",0,1)</f>
        <v>0</v>
      </c>
      <c r="N1283" s="13" t="str">
        <f aca="false">IF(M1283=0,"Active",IF(TRIM(Raw_Data!L1283)="","Unknown",PROPER(TRIM(Raw_Data!L1283))))</f>
        <v>Active</v>
      </c>
      <c r="O1283" s="13" t="str">
        <f aca="false">IF(M1283=0,"",IF(TRIM(Raw_Data!M1283)="","Not Recorded",TRIM(Raw_Data!M1283)))</f>
        <v/>
      </c>
      <c r="P1283" s="16" t="n">
        <f aca="false">ROUND((IF(C1283="",AsOfDate,C1283)-B1283)/365.25,2)</f>
        <v>3.75</v>
      </c>
      <c r="Q1283" s="13" t="str">
        <f aca="false">IF(D1283="","Unknown",IF(D1283&lt;25,"Under 25",IF(D1283&lt;35,"25-34",IF(D1283&lt;45,"35-44",IF(D1283&lt;55,"45-54","55+")))))</f>
        <v>35-44</v>
      </c>
      <c r="R1283" s="13" t="str">
        <f aca="false">IF(P1283&lt;1,"0-1 yrs",IF(P1283&lt;3,"1-3 yrs",IF(P1283&lt;5,"3-5 yrs",IF(P1283&lt;10,"5-10 yrs","10+ yrs"))))</f>
        <v>3-5 yrs</v>
      </c>
      <c r="S1283" s="13" t="str">
        <f aca="false">IF(I1283&gt;=4,"High",IF(I1283=3,"Medium","Low"))</f>
        <v>High</v>
      </c>
      <c r="T1283" s="13" t="str">
        <f aca="false">IF(M1283=1,YEAR(C1283),"")</f>
        <v/>
      </c>
      <c r="U1283" s="13" t="str">
        <f aca="false">IF(M1283=1,YEAR(C1283)&amp;"-Q"&amp;ROUNDUP(MONTH(C1283)/3,0),"")</f>
        <v/>
      </c>
      <c r="V1283" s="13" t="str">
        <f aca="false">IF(M1283=1,MONTH(C1283),"")</f>
        <v/>
      </c>
    </row>
    <row r="1284" customFormat="false" ht="15" hidden="false" customHeight="false" outlineLevel="0" collapsed="false">
      <c r="A1284" s="13" t="str">
        <f aca="false">TRIM(Raw_Data!A1284)</f>
        <v>EMP1283</v>
      </c>
      <c r="B1284" s="14" t="n">
        <f aca="false">Raw_Data!B1284</f>
        <v>44653</v>
      </c>
      <c r="C1284" s="14" t="str">
        <f aca="false">IF(Raw_Data!C1284="","",Raw_Data!C1284)</f>
        <v/>
      </c>
      <c r="D1284" s="13" t="n">
        <f aca="false">IF(Raw_Data!D1284="","",Raw_Data!D1284)</f>
        <v>30</v>
      </c>
      <c r="E1284" s="13" t="str">
        <f aca="false">IF(UPPER(LEFT(TRIM(Raw_Data!E1284),1))="M","Male",IF(UPPER(LEFT(TRIM(Raw_Data!E1284),1))="F","Female","Unknown"))</f>
        <v>Female</v>
      </c>
      <c r="F1284" s="13" t="str">
        <f aca="false">PROPER(TRIM(SUBSTITUTE(Raw_Data!F1284,"'","")))</f>
        <v>Bachelors</v>
      </c>
      <c r="G1284" s="13" t="str">
        <f aca="false">PROPER(TRIM(Raw_Data!G1284))</f>
        <v>Finance</v>
      </c>
      <c r="H1284" s="13" t="str">
        <f aca="false">PROPER(TRIM(Raw_Data!H1284))</f>
        <v>Associate</v>
      </c>
      <c r="I1284" s="13" t="n">
        <f aca="false">IF(Raw_Data!I1284="",DefaultPerf,Raw_Data!I1284)</f>
        <v>3</v>
      </c>
      <c r="J1284" s="13" t="n">
        <f aca="false">IF(Raw_Data!J1284="",DefaultSat,Raw_Data!J1284)</f>
        <v>4</v>
      </c>
      <c r="K1284" s="15" t="n">
        <f aca="false">Raw_Data!K1284</f>
        <v>45500</v>
      </c>
      <c r="L1284" s="13" t="str">
        <f aca="false">PROPER(TRIM(Raw_Data!N1284))</f>
        <v>Yes</v>
      </c>
      <c r="M1284" s="13" t="n">
        <f aca="false">IF(C1284="",0,1)</f>
        <v>0</v>
      </c>
      <c r="N1284" s="13" t="str">
        <f aca="false">IF(M1284=0,"Active",IF(TRIM(Raw_Data!L1284)="","Unknown",PROPER(TRIM(Raw_Data!L1284))))</f>
        <v>Active</v>
      </c>
      <c r="O1284" s="13" t="str">
        <f aca="false">IF(M1284=0,"",IF(TRIM(Raw_Data!M1284)="","Not Recorded",TRIM(Raw_Data!M1284)))</f>
        <v/>
      </c>
      <c r="P1284" s="16" t="n">
        <f aca="false">ROUND((IF(C1284="",AsOfDate,C1284)-B1284)/365.25,2)</f>
        <v>3.75</v>
      </c>
      <c r="Q1284" s="13" t="str">
        <f aca="false">IF(D1284="","Unknown",IF(D1284&lt;25,"Under 25",IF(D1284&lt;35,"25-34",IF(D1284&lt;45,"35-44",IF(D1284&lt;55,"45-54","55+")))))</f>
        <v>25-34</v>
      </c>
      <c r="R1284" s="13" t="str">
        <f aca="false">IF(P1284&lt;1,"0-1 yrs",IF(P1284&lt;3,"1-3 yrs",IF(P1284&lt;5,"3-5 yrs",IF(P1284&lt;10,"5-10 yrs","10+ yrs"))))</f>
        <v>3-5 yrs</v>
      </c>
      <c r="S1284" s="13" t="str">
        <f aca="false">IF(I1284&gt;=4,"High",IF(I1284=3,"Medium","Low"))</f>
        <v>Medium</v>
      </c>
      <c r="T1284" s="13" t="str">
        <f aca="false">IF(M1284=1,YEAR(C1284),"")</f>
        <v/>
      </c>
      <c r="U1284" s="13" t="str">
        <f aca="false">IF(M1284=1,YEAR(C1284)&amp;"-Q"&amp;ROUNDUP(MONTH(C1284)/3,0),"")</f>
        <v/>
      </c>
      <c r="V1284" s="13" t="str">
        <f aca="false">IF(M1284=1,MONTH(C1284),"")</f>
        <v/>
      </c>
    </row>
    <row r="1285" customFormat="false" ht="15" hidden="false" customHeight="false" outlineLevel="0" collapsed="false">
      <c r="A1285" s="13" t="str">
        <f aca="false">TRIM(Raw_Data!A1285)</f>
        <v>EMP1284</v>
      </c>
      <c r="B1285" s="14" t="n">
        <f aca="false">Raw_Data!B1285</f>
        <v>44655</v>
      </c>
      <c r="C1285" s="14" t="str">
        <f aca="false">IF(Raw_Data!C1285="","",Raw_Data!C1285)</f>
        <v/>
      </c>
      <c r="D1285" s="13" t="n">
        <f aca="false">IF(Raw_Data!D1285="","",Raw_Data!D1285)</f>
        <v>35</v>
      </c>
      <c r="E1285" s="13" t="str">
        <f aca="false">IF(UPPER(LEFT(TRIM(Raw_Data!E1285),1))="M","Male",IF(UPPER(LEFT(TRIM(Raw_Data!E1285),1))="F","Female","Unknown"))</f>
        <v>Female</v>
      </c>
      <c r="F1285" s="13" t="str">
        <f aca="false">PROPER(TRIM(SUBSTITUTE(Raw_Data!F1285,"'","")))</f>
        <v>High School</v>
      </c>
      <c r="G1285" s="13" t="str">
        <f aca="false">PROPER(TRIM(Raw_Data!G1285))</f>
        <v>Human Resources</v>
      </c>
      <c r="H1285" s="13" t="str">
        <f aca="false">PROPER(TRIM(Raw_Data!H1285))</f>
        <v>Senior Analyst</v>
      </c>
      <c r="I1285" s="13" t="n">
        <f aca="false">IF(Raw_Data!I1285="",DefaultPerf,Raw_Data!I1285)</f>
        <v>4</v>
      </c>
      <c r="J1285" s="13" t="n">
        <f aca="false">IF(Raw_Data!J1285="",DefaultSat,Raw_Data!J1285)</f>
        <v>4</v>
      </c>
      <c r="K1285" s="15" t="n">
        <f aca="false">Raw_Data!K1285</f>
        <v>111500</v>
      </c>
      <c r="L1285" s="13" t="str">
        <f aca="false">PROPER(TRIM(Raw_Data!N1285))</f>
        <v>No</v>
      </c>
      <c r="M1285" s="13" t="n">
        <f aca="false">IF(C1285="",0,1)</f>
        <v>0</v>
      </c>
      <c r="N1285" s="13" t="str">
        <f aca="false">IF(M1285=0,"Active",IF(TRIM(Raw_Data!L1285)="","Unknown",PROPER(TRIM(Raw_Data!L1285))))</f>
        <v>Active</v>
      </c>
      <c r="O1285" s="13" t="str">
        <f aca="false">IF(M1285=0,"",IF(TRIM(Raw_Data!M1285)="","Not Recorded",TRIM(Raw_Data!M1285)))</f>
        <v/>
      </c>
      <c r="P1285" s="16" t="n">
        <f aca="false">ROUND((IF(C1285="",AsOfDate,C1285)-B1285)/365.25,2)</f>
        <v>3.74</v>
      </c>
      <c r="Q1285" s="13" t="str">
        <f aca="false">IF(D1285="","Unknown",IF(D1285&lt;25,"Under 25",IF(D1285&lt;35,"25-34",IF(D1285&lt;45,"35-44",IF(D1285&lt;55,"45-54","55+")))))</f>
        <v>35-44</v>
      </c>
      <c r="R1285" s="13" t="str">
        <f aca="false">IF(P1285&lt;1,"0-1 yrs",IF(P1285&lt;3,"1-3 yrs",IF(P1285&lt;5,"3-5 yrs",IF(P1285&lt;10,"5-10 yrs","10+ yrs"))))</f>
        <v>3-5 yrs</v>
      </c>
      <c r="S1285" s="13" t="str">
        <f aca="false">IF(I1285&gt;=4,"High",IF(I1285=3,"Medium","Low"))</f>
        <v>High</v>
      </c>
      <c r="T1285" s="13" t="str">
        <f aca="false">IF(M1285=1,YEAR(C1285),"")</f>
        <v/>
      </c>
      <c r="U1285" s="13" t="str">
        <f aca="false">IF(M1285=1,YEAR(C1285)&amp;"-Q"&amp;ROUNDUP(MONTH(C1285)/3,0),"")</f>
        <v/>
      </c>
      <c r="V1285" s="13" t="str">
        <f aca="false">IF(M1285=1,MONTH(C1285),"")</f>
        <v/>
      </c>
    </row>
    <row r="1286" customFormat="false" ht="15" hidden="false" customHeight="false" outlineLevel="0" collapsed="false">
      <c r="A1286" s="13" t="str">
        <f aca="false">TRIM(Raw_Data!A1286)</f>
        <v>EMP1285</v>
      </c>
      <c r="B1286" s="14" t="n">
        <f aca="false">Raw_Data!B1286</f>
        <v>44656</v>
      </c>
      <c r="C1286" s="14" t="str">
        <f aca="false">IF(Raw_Data!C1286="","",Raw_Data!C1286)</f>
        <v/>
      </c>
      <c r="D1286" s="13" t="n">
        <f aca="false">IF(Raw_Data!D1286="","",Raw_Data!D1286)</f>
        <v>29</v>
      </c>
      <c r="E1286" s="13" t="str">
        <f aca="false">IF(UPPER(LEFT(TRIM(Raw_Data!E1286),1))="M","Male",IF(UPPER(LEFT(TRIM(Raw_Data!E1286),1))="F","Female","Unknown"))</f>
        <v>Female</v>
      </c>
      <c r="F1286" s="13" t="str">
        <f aca="false">PROPER(TRIM(SUBSTITUTE(Raw_Data!F1286,"'","")))</f>
        <v>Doctorate</v>
      </c>
      <c r="G1286" s="13" t="str">
        <f aca="false">PROPER(TRIM(Raw_Data!G1286))</f>
        <v>Customer Support</v>
      </c>
      <c r="H1286" s="13" t="str">
        <f aca="false">PROPER(TRIM(Raw_Data!H1286))</f>
        <v>Analyst</v>
      </c>
      <c r="I1286" s="13" t="n">
        <f aca="false">IF(Raw_Data!I1286="",DefaultPerf,Raw_Data!I1286)</f>
        <v>4</v>
      </c>
      <c r="J1286" s="13" t="n">
        <f aca="false">IF(Raw_Data!J1286="",DefaultSat,Raw_Data!J1286)</f>
        <v>3</v>
      </c>
      <c r="K1286" s="15" t="n">
        <f aca="false">Raw_Data!K1286</f>
        <v>64000</v>
      </c>
      <c r="L1286" s="13" t="str">
        <f aca="false">PROPER(TRIM(Raw_Data!N1286))</f>
        <v>Yes</v>
      </c>
      <c r="M1286" s="13" t="n">
        <f aca="false">IF(C1286="",0,1)</f>
        <v>0</v>
      </c>
      <c r="N1286" s="13" t="str">
        <f aca="false">IF(M1286=0,"Active",IF(TRIM(Raw_Data!L1286)="","Unknown",PROPER(TRIM(Raw_Data!L1286))))</f>
        <v>Active</v>
      </c>
      <c r="O1286" s="13" t="str">
        <f aca="false">IF(M1286=0,"",IF(TRIM(Raw_Data!M1286)="","Not Recorded",TRIM(Raw_Data!M1286)))</f>
        <v/>
      </c>
      <c r="P1286" s="16" t="n">
        <f aca="false">ROUND((IF(C1286="",AsOfDate,C1286)-B1286)/365.25,2)</f>
        <v>3.74</v>
      </c>
      <c r="Q1286" s="13" t="str">
        <f aca="false">IF(D1286="","Unknown",IF(D1286&lt;25,"Under 25",IF(D1286&lt;35,"25-34",IF(D1286&lt;45,"35-44",IF(D1286&lt;55,"45-54","55+")))))</f>
        <v>25-34</v>
      </c>
      <c r="R1286" s="13" t="str">
        <f aca="false">IF(P1286&lt;1,"0-1 yrs",IF(P1286&lt;3,"1-3 yrs",IF(P1286&lt;5,"3-5 yrs",IF(P1286&lt;10,"5-10 yrs","10+ yrs"))))</f>
        <v>3-5 yrs</v>
      </c>
      <c r="S1286" s="13" t="str">
        <f aca="false">IF(I1286&gt;=4,"High",IF(I1286=3,"Medium","Low"))</f>
        <v>High</v>
      </c>
      <c r="T1286" s="13" t="str">
        <f aca="false">IF(M1286=1,YEAR(C1286),"")</f>
        <v/>
      </c>
      <c r="U1286" s="13" t="str">
        <f aca="false">IF(M1286=1,YEAR(C1286)&amp;"-Q"&amp;ROUNDUP(MONTH(C1286)/3,0),"")</f>
        <v/>
      </c>
      <c r="V1286" s="13" t="str">
        <f aca="false">IF(M1286=1,MONTH(C1286),"")</f>
        <v/>
      </c>
    </row>
    <row r="1287" customFormat="false" ht="15" hidden="false" customHeight="false" outlineLevel="0" collapsed="false">
      <c r="A1287" s="13" t="str">
        <f aca="false">TRIM(Raw_Data!A1287)</f>
        <v>EMP1286</v>
      </c>
      <c r="B1287" s="14" t="n">
        <f aca="false">Raw_Data!B1287</f>
        <v>44656</v>
      </c>
      <c r="C1287" s="14" t="str">
        <f aca="false">IF(Raw_Data!C1287="","",Raw_Data!C1287)</f>
        <v/>
      </c>
      <c r="D1287" s="13" t="n">
        <f aca="false">IF(Raw_Data!D1287="","",Raw_Data!D1287)</f>
        <v>34</v>
      </c>
      <c r="E1287" s="13" t="str">
        <f aca="false">IF(UPPER(LEFT(TRIM(Raw_Data!E1287),1))="M","Male",IF(UPPER(LEFT(TRIM(Raw_Data!E1287),1))="F","Female","Unknown"))</f>
        <v>Male</v>
      </c>
      <c r="F1287" s="13" t="str">
        <f aca="false">PROPER(TRIM(SUBSTITUTE(Raw_Data!F1287,"'","")))</f>
        <v>Masters</v>
      </c>
      <c r="G1287" s="13" t="str">
        <f aca="false">PROPER(TRIM(Raw_Data!G1287))</f>
        <v>Sales</v>
      </c>
      <c r="H1287" s="13" t="str">
        <f aca="false">PROPER(TRIM(Raw_Data!H1287))</f>
        <v>Team Lead</v>
      </c>
      <c r="I1287" s="13" t="n">
        <f aca="false">IF(Raw_Data!I1287="",DefaultPerf,Raw_Data!I1287)</f>
        <v>4</v>
      </c>
      <c r="J1287" s="13" t="n">
        <f aca="false">IF(Raw_Data!J1287="",DefaultSat,Raw_Data!J1287)</f>
        <v>1</v>
      </c>
      <c r="K1287" s="15" t="n">
        <f aca="false">Raw_Data!K1287</f>
        <v>165500</v>
      </c>
      <c r="L1287" s="13" t="str">
        <f aca="false">PROPER(TRIM(Raw_Data!N1287))</f>
        <v>No</v>
      </c>
      <c r="M1287" s="13" t="n">
        <f aca="false">IF(C1287="",0,1)</f>
        <v>0</v>
      </c>
      <c r="N1287" s="13" t="str">
        <f aca="false">IF(M1287=0,"Active",IF(TRIM(Raw_Data!L1287)="","Unknown",PROPER(TRIM(Raw_Data!L1287))))</f>
        <v>Active</v>
      </c>
      <c r="O1287" s="13" t="str">
        <f aca="false">IF(M1287=0,"",IF(TRIM(Raw_Data!M1287)="","Not Recorded",TRIM(Raw_Data!M1287)))</f>
        <v/>
      </c>
      <c r="P1287" s="16" t="n">
        <f aca="false">ROUND((IF(C1287="",AsOfDate,C1287)-B1287)/365.25,2)</f>
        <v>3.74</v>
      </c>
      <c r="Q1287" s="13" t="str">
        <f aca="false">IF(D1287="","Unknown",IF(D1287&lt;25,"Under 25",IF(D1287&lt;35,"25-34",IF(D1287&lt;45,"35-44",IF(D1287&lt;55,"45-54","55+")))))</f>
        <v>25-34</v>
      </c>
      <c r="R1287" s="13" t="str">
        <f aca="false">IF(P1287&lt;1,"0-1 yrs",IF(P1287&lt;3,"1-3 yrs",IF(P1287&lt;5,"3-5 yrs",IF(P1287&lt;10,"5-10 yrs","10+ yrs"))))</f>
        <v>3-5 yrs</v>
      </c>
      <c r="S1287" s="13" t="str">
        <f aca="false">IF(I1287&gt;=4,"High",IF(I1287=3,"Medium","Low"))</f>
        <v>High</v>
      </c>
      <c r="T1287" s="13" t="str">
        <f aca="false">IF(M1287=1,YEAR(C1287),"")</f>
        <v/>
      </c>
      <c r="U1287" s="13" t="str">
        <f aca="false">IF(M1287=1,YEAR(C1287)&amp;"-Q"&amp;ROUNDUP(MONTH(C1287)/3,0),"")</f>
        <v/>
      </c>
      <c r="V1287" s="13" t="str">
        <f aca="false">IF(M1287=1,MONTH(C1287),"")</f>
        <v/>
      </c>
    </row>
    <row r="1288" customFormat="false" ht="15" hidden="false" customHeight="false" outlineLevel="0" collapsed="false">
      <c r="A1288" s="13" t="str">
        <f aca="false">TRIM(Raw_Data!A1288)</f>
        <v>EMP1287</v>
      </c>
      <c r="B1288" s="14" t="n">
        <f aca="false">Raw_Data!B1288</f>
        <v>44658</v>
      </c>
      <c r="C1288" s="14" t="n">
        <f aca="false">IF(Raw_Data!C1288="","",Raw_Data!C1288)</f>
        <v>45022</v>
      </c>
      <c r="D1288" s="13" t="n">
        <f aca="false">IF(Raw_Data!D1288="","",Raw_Data!D1288)</f>
        <v>23</v>
      </c>
      <c r="E1288" s="13" t="str">
        <f aca="false">IF(UPPER(LEFT(TRIM(Raw_Data!E1288),1))="M","Male",IF(UPPER(LEFT(TRIM(Raw_Data!E1288),1))="F","Female","Unknown"))</f>
        <v>Male</v>
      </c>
      <c r="F1288" s="13" t="str">
        <f aca="false">PROPER(TRIM(SUBSTITUTE(Raw_Data!F1288,"'","")))</f>
        <v>High School</v>
      </c>
      <c r="G1288" s="13" t="str">
        <f aca="false">PROPER(TRIM(Raw_Data!G1288))</f>
        <v>Engineering</v>
      </c>
      <c r="H1288" s="13" t="str">
        <f aca="false">PROPER(TRIM(Raw_Data!H1288))</f>
        <v>Specialist</v>
      </c>
      <c r="I1288" s="13" t="n">
        <f aca="false">IF(Raw_Data!I1288="",DefaultPerf,Raw_Data!I1288)</f>
        <v>4</v>
      </c>
      <c r="J1288" s="13" t="n">
        <f aca="false">IF(Raw_Data!J1288="",DefaultSat,Raw_Data!J1288)</f>
        <v>4</v>
      </c>
      <c r="K1288" s="15" t="n">
        <f aca="false">Raw_Data!K1288</f>
        <v>105000</v>
      </c>
      <c r="L1288" s="13" t="str">
        <f aca="false">PROPER(TRIM(Raw_Data!N1288))</f>
        <v>Yes</v>
      </c>
      <c r="M1288" s="13" t="n">
        <f aca="false">IF(C1288="",0,1)</f>
        <v>1</v>
      </c>
      <c r="N1288" s="13" t="str">
        <f aca="false">IF(M1288=0,"Active",IF(TRIM(Raw_Data!L1288)="","Unknown",PROPER(TRIM(Raw_Data!L1288))))</f>
        <v>Voluntary</v>
      </c>
      <c r="O1288" s="13" t="str">
        <f aca="false">IF(M1288=0,"",IF(TRIM(Raw_Data!M1288)="","Not Recorded",TRIM(Raw_Data!M1288)))</f>
        <v>Relocation</v>
      </c>
      <c r="P1288" s="16" t="n">
        <f aca="false">ROUND((IF(C1288="",AsOfDate,C1288)-B1288)/365.25,2)</f>
        <v>1</v>
      </c>
      <c r="Q1288" s="13" t="str">
        <f aca="false">IF(D1288="","Unknown",IF(D1288&lt;25,"Under 25",IF(D1288&lt;35,"25-34",IF(D1288&lt;45,"35-44",IF(D1288&lt;55,"45-54","55+")))))</f>
        <v>Under 25</v>
      </c>
      <c r="R1288" s="13" t="str">
        <f aca="false">IF(P1288&lt;1,"0-1 yrs",IF(P1288&lt;3,"1-3 yrs",IF(P1288&lt;5,"3-5 yrs",IF(P1288&lt;10,"5-10 yrs","10+ yrs"))))</f>
        <v>1-3 yrs</v>
      </c>
      <c r="S1288" s="13" t="str">
        <f aca="false">IF(I1288&gt;=4,"High",IF(I1288=3,"Medium","Low"))</f>
        <v>High</v>
      </c>
      <c r="T1288" s="13" t="n">
        <f aca="false">IF(M1288=1,YEAR(C1288),"")</f>
        <v>2023</v>
      </c>
      <c r="U1288" s="13" t="str">
        <f aca="false">IF(M1288=1,YEAR(C1288)&amp;"-Q"&amp;ROUNDUP(MONTH(C1288)/3,0),"")</f>
        <v>2023-Q2</v>
      </c>
      <c r="V1288" s="13" t="n">
        <f aca="false">IF(M1288=1,MONTH(C1288),"")</f>
        <v>4</v>
      </c>
    </row>
    <row r="1289" customFormat="false" ht="15" hidden="false" customHeight="false" outlineLevel="0" collapsed="false">
      <c r="A1289" s="13" t="str">
        <f aca="false">TRIM(Raw_Data!A1289)</f>
        <v>EMP1288</v>
      </c>
      <c r="B1289" s="14" t="n">
        <f aca="false">Raw_Data!B1289</f>
        <v>44660</v>
      </c>
      <c r="C1289" s="14" t="n">
        <f aca="false">IF(Raw_Data!C1289="","",Raw_Data!C1289)</f>
        <v>45090</v>
      </c>
      <c r="D1289" s="13" t="n">
        <f aca="false">IF(Raw_Data!D1289="","",Raw_Data!D1289)</f>
        <v>33</v>
      </c>
      <c r="E1289" s="13" t="str">
        <f aca="false">IF(UPPER(LEFT(TRIM(Raw_Data!E1289),1))="M","Male",IF(UPPER(LEFT(TRIM(Raw_Data!E1289),1))="F","Female","Unknown"))</f>
        <v>Male</v>
      </c>
      <c r="F1289" s="13" t="str">
        <f aca="false">PROPER(TRIM(SUBSTITUTE(Raw_Data!F1289,"'","")))</f>
        <v>Bachelors</v>
      </c>
      <c r="G1289" s="13" t="str">
        <f aca="false">PROPER(TRIM(Raw_Data!G1289))</f>
        <v>Customer Support</v>
      </c>
      <c r="H1289" s="13" t="str">
        <f aca="false">PROPER(TRIM(Raw_Data!H1289))</f>
        <v>Specialist</v>
      </c>
      <c r="I1289" s="13" t="n">
        <f aca="false">IF(Raw_Data!I1289="",DefaultPerf,Raw_Data!I1289)</f>
        <v>3</v>
      </c>
      <c r="J1289" s="13" t="n">
        <f aca="false">IF(Raw_Data!J1289="",DefaultSat,Raw_Data!J1289)</f>
        <v>4</v>
      </c>
      <c r="K1289" s="15" t="n">
        <f aca="false">Raw_Data!K1289</f>
        <v>103500</v>
      </c>
      <c r="L1289" s="13" t="str">
        <f aca="false">PROPER(TRIM(Raw_Data!N1289))</f>
        <v>No</v>
      </c>
      <c r="M1289" s="13" t="n">
        <f aca="false">IF(C1289="",0,1)</f>
        <v>1</v>
      </c>
      <c r="N1289" s="13" t="str">
        <f aca="false">IF(M1289=0,"Active",IF(TRIM(Raw_Data!L1289)="","Unknown",PROPER(TRIM(Raw_Data!L1289))))</f>
        <v>Voluntary</v>
      </c>
      <c r="O1289" s="13" t="str">
        <f aca="false">IF(M1289=0,"",IF(TRIM(Raw_Data!M1289)="","Not Recorded",TRIM(Raw_Data!M1289)))</f>
        <v>Better Compensation</v>
      </c>
      <c r="P1289" s="16" t="n">
        <f aca="false">ROUND((IF(C1289="",AsOfDate,C1289)-B1289)/365.25,2)</f>
        <v>1.18</v>
      </c>
      <c r="Q1289" s="13" t="str">
        <f aca="false">IF(D1289="","Unknown",IF(D1289&lt;25,"Under 25",IF(D1289&lt;35,"25-34",IF(D1289&lt;45,"35-44",IF(D1289&lt;55,"45-54","55+")))))</f>
        <v>25-34</v>
      </c>
      <c r="R1289" s="13" t="str">
        <f aca="false">IF(P1289&lt;1,"0-1 yrs",IF(P1289&lt;3,"1-3 yrs",IF(P1289&lt;5,"3-5 yrs",IF(P1289&lt;10,"5-10 yrs","10+ yrs"))))</f>
        <v>1-3 yrs</v>
      </c>
      <c r="S1289" s="13" t="str">
        <f aca="false">IF(I1289&gt;=4,"High",IF(I1289=3,"Medium","Low"))</f>
        <v>Medium</v>
      </c>
      <c r="T1289" s="13" t="n">
        <f aca="false">IF(M1289=1,YEAR(C1289),"")</f>
        <v>2023</v>
      </c>
      <c r="U1289" s="13" t="str">
        <f aca="false">IF(M1289=1,YEAR(C1289)&amp;"-Q"&amp;ROUNDUP(MONTH(C1289)/3,0),"")</f>
        <v>2023-Q2</v>
      </c>
      <c r="V1289" s="13" t="n">
        <f aca="false">IF(M1289=1,MONTH(C1289),"")</f>
        <v>6</v>
      </c>
    </row>
    <row r="1290" customFormat="false" ht="15" hidden="false" customHeight="false" outlineLevel="0" collapsed="false">
      <c r="A1290" s="13" t="str">
        <f aca="false">TRIM(Raw_Data!A1290)</f>
        <v>EMP1289</v>
      </c>
      <c r="B1290" s="14" t="n">
        <f aca="false">Raw_Data!B1290</f>
        <v>44661</v>
      </c>
      <c r="C1290" s="14" t="str">
        <f aca="false">IF(Raw_Data!C1290="","",Raw_Data!C1290)</f>
        <v/>
      </c>
      <c r="D1290" s="13" t="n">
        <f aca="false">IF(Raw_Data!D1290="","",Raw_Data!D1290)</f>
        <v>32</v>
      </c>
      <c r="E1290" s="13" t="str">
        <f aca="false">IF(UPPER(LEFT(TRIM(Raw_Data!E1290),1))="M","Male",IF(UPPER(LEFT(TRIM(Raw_Data!E1290),1))="F","Female","Unknown"))</f>
        <v>Female</v>
      </c>
      <c r="F1290" s="13" t="str">
        <f aca="false">PROPER(TRIM(SUBSTITUTE(Raw_Data!F1290,"'","")))</f>
        <v>Masters</v>
      </c>
      <c r="G1290" s="13" t="str">
        <f aca="false">PROPER(TRIM(Raw_Data!G1290))</f>
        <v>Sales</v>
      </c>
      <c r="H1290" s="13" t="str">
        <f aca="false">PROPER(TRIM(Raw_Data!H1290))</f>
        <v>Manager</v>
      </c>
      <c r="I1290" s="13" t="n">
        <f aca="false">IF(Raw_Data!I1290="",DefaultPerf,Raw_Data!I1290)</f>
        <v>5</v>
      </c>
      <c r="J1290" s="13" t="n">
        <f aca="false">IF(Raw_Data!J1290="",DefaultSat,Raw_Data!J1290)</f>
        <v>4</v>
      </c>
      <c r="K1290" s="15" t="n">
        <f aca="false">Raw_Data!K1290</f>
        <v>191000</v>
      </c>
      <c r="L1290" s="13" t="str">
        <f aca="false">PROPER(TRIM(Raw_Data!N1290))</f>
        <v>No</v>
      </c>
      <c r="M1290" s="13" t="n">
        <f aca="false">IF(C1290="",0,1)</f>
        <v>0</v>
      </c>
      <c r="N1290" s="13" t="str">
        <f aca="false">IF(M1290=0,"Active",IF(TRIM(Raw_Data!L1290)="","Unknown",PROPER(TRIM(Raw_Data!L1290))))</f>
        <v>Active</v>
      </c>
      <c r="O1290" s="13" t="str">
        <f aca="false">IF(M1290=0,"",IF(TRIM(Raw_Data!M1290)="","Not Recorded",TRIM(Raw_Data!M1290)))</f>
        <v/>
      </c>
      <c r="P1290" s="16" t="n">
        <f aca="false">ROUND((IF(C1290="",AsOfDate,C1290)-B1290)/365.25,2)</f>
        <v>3.73</v>
      </c>
      <c r="Q1290" s="13" t="str">
        <f aca="false">IF(D1290="","Unknown",IF(D1290&lt;25,"Under 25",IF(D1290&lt;35,"25-34",IF(D1290&lt;45,"35-44",IF(D1290&lt;55,"45-54","55+")))))</f>
        <v>25-34</v>
      </c>
      <c r="R1290" s="13" t="str">
        <f aca="false">IF(P1290&lt;1,"0-1 yrs",IF(P1290&lt;3,"1-3 yrs",IF(P1290&lt;5,"3-5 yrs",IF(P1290&lt;10,"5-10 yrs","10+ yrs"))))</f>
        <v>3-5 yrs</v>
      </c>
      <c r="S1290" s="13" t="str">
        <f aca="false">IF(I1290&gt;=4,"High",IF(I1290=3,"Medium","Low"))</f>
        <v>High</v>
      </c>
      <c r="T1290" s="13" t="str">
        <f aca="false">IF(M1290=1,YEAR(C1290),"")</f>
        <v/>
      </c>
      <c r="U1290" s="13" t="str">
        <f aca="false">IF(M1290=1,YEAR(C1290)&amp;"-Q"&amp;ROUNDUP(MONTH(C1290)/3,0),"")</f>
        <v/>
      </c>
      <c r="V1290" s="13" t="str">
        <f aca="false">IF(M1290=1,MONTH(C1290),"")</f>
        <v/>
      </c>
    </row>
    <row r="1291" customFormat="false" ht="15" hidden="false" customHeight="false" outlineLevel="0" collapsed="false">
      <c r="A1291" s="13" t="str">
        <f aca="false">TRIM(Raw_Data!A1291)</f>
        <v>EMP1290</v>
      </c>
      <c r="B1291" s="14" t="n">
        <f aca="false">Raw_Data!B1291</f>
        <v>44663</v>
      </c>
      <c r="C1291" s="14" t="n">
        <f aca="false">IF(Raw_Data!C1291="","",Raw_Data!C1291)</f>
        <v>45059</v>
      </c>
      <c r="D1291" s="13" t="n">
        <f aca="false">IF(Raw_Data!D1291="","",Raw_Data!D1291)</f>
        <v>24</v>
      </c>
      <c r="E1291" s="13" t="str">
        <f aca="false">IF(UPPER(LEFT(TRIM(Raw_Data!E1291),1))="M","Male",IF(UPPER(LEFT(TRIM(Raw_Data!E1291),1))="F","Female","Unknown"))</f>
        <v>Male</v>
      </c>
      <c r="F1291" s="13" t="str">
        <f aca="false">PROPER(TRIM(SUBSTITUTE(Raw_Data!F1291,"'","")))</f>
        <v>Diploma</v>
      </c>
      <c r="G1291" s="13" t="str">
        <f aca="false">PROPER(TRIM(Raw_Data!G1291))</f>
        <v>Customer Support</v>
      </c>
      <c r="H1291" s="13" t="str">
        <f aca="false">PROPER(TRIM(Raw_Data!H1291))</f>
        <v>Analyst</v>
      </c>
      <c r="I1291" s="13" t="n">
        <f aca="false">IF(Raw_Data!I1291="",DefaultPerf,Raw_Data!I1291)</f>
        <v>3</v>
      </c>
      <c r="J1291" s="13" t="n">
        <f aca="false">IF(Raw_Data!J1291="",DefaultSat,Raw_Data!J1291)</f>
        <v>2</v>
      </c>
      <c r="K1291" s="15" t="n">
        <f aca="false">Raw_Data!K1291</f>
        <v>57000</v>
      </c>
      <c r="L1291" s="13" t="str">
        <f aca="false">PROPER(TRIM(Raw_Data!N1291))</f>
        <v>No</v>
      </c>
      <c r="M1291" s="13" t="n">
        <f aca="false">IF(C1291="",0,1)</f>
        <v>1</v>
      </c>
      <c r="N1291" s="13" t="str">
        <f aca="false">IF(M1291=0,"Active",IF(TRIM(Raw_Data!L1291)="","Unknown",PROPER(TRIM(Raw_Data!L1291))))</f>
        <v>Voluntary</v>
      </c>
      <c r="O1291" s="13" t="str">
        <f aca="false">IF(M1291=0,"",IF(TRIM(Raw_Data!M1291)="","Not Recorded",TRIM(Raw_Data!M1291)))</f>
        <v>Job Dissatisfaction</v>
      </c>
      <c r="P1291" s="16" t="n">
        <f aca="false">ROUND((IF(C1291="",AsOfDate,C1291)-B1291)/365.25,2)</f>
        <v>1.08</v>
      </c>
      <c r="Q1291" s="13" t="str">
        <f aca="false">IF(D1291="","Unknown",IF(D1291&lt;25,"Under 25",IF(D1291&lt;35,"25-34",IF(D1291&lt;45,"35-44",IF(D1291&lt;55,"45-54","55+")))))</f>
        <v>Under 25</v>
      </c>
      <c r="R1291" s="13" t="str">
        <f aca="false">IF(P1291&lt;1,"0-1 yrs",IF(P1291&lt;3,"1-3 yrs",IF(P1291&lt;5,"3-5 yrs",IF(P1291&lt;10,"5-10 yrs","10+ yrs"))))</f>
        <v>1-3 yrs</v>
      </c>
      <c r="S1291" s="13" t="str">
        <f aca="false">IF(I1291&gt;=4,"High",IF(I1291=3,"Medium","Low"))</f>
        <v>Medium</v>
      </c>
      <c r="T1291" s="13" t="n">
        <f aca="false">IF(M1291=1,YEAR(C1291),"")</f>
        <v>2023</v>
      </c>
      <c r="U1291" s="13" t="str">
        <f aca="false">IF(M1291=1,YEAR(C1291)&amp;"-Q"&amp;ROUNDUP(MONTH(C1291)/3,0),"")</f>
        <v>2023-Q2</v>
      </c>
      <c r="V1291" s="13" t="n">
        <f aca="false">IF(M1291=1,MONTH(C1291),"")</f>
        <v>5</v>
      </c>
    </row>
    <row r="1292" customFormat="false" ht="15" hidden="false" customHeight="false" outlineLevel="0" collapsed="false">
      <c r="A1292" s="13" t="str">
        <f aca="false">TRIM(Raw_Data!A1292)</f>
        <v>EMP1291</v>
      </c>
      <c r="B1292" s="14" t="n">
        <f aca="false">Raw_Data!B1292</f>
        <v>44664</v>
      </c>
      <c r="C1292" s="14" t="str">
        <f aca="false">IF(Raw_Data!C1292="","",Raw_Data!C1292)</f>
        <v/>
      </c>
      <c r="D1292" s="13" t="n">
        <f aca="false">IF(Raw_Data!D1292="","",Raw_Data!D1292)</f>
        <v>40</v>
      </c>
      <c r="E1292" s="13" t="str">
        <f aca="false">IF(UPPER(LEFT(TRIM(Raw_Data!E1292),1))="M","Male",IF(UPPER(LEFT(TRIM(Raw_Data!E1292),1))="F","Female","Unknown"))</f>
        <v>Male</v>
      </c>
      <c r="F1292" s="13" t="str">
        <f aca="false">PROPER(TRIM(SUBSTITUTE(Raw_Data!F1292,"'","")))</f>
        <v>Bachelors</v>
      </c>
      <c r="G1292" s="13" t="str">
        <f aca="false">PROPER(TRIM(Raw_Data!G1292))</f>
        <v>Sales</v>
      </c>
      <c r="H1292" s="13" t="str">
        <f aca="false">PROPER(TRIM(Raw_Data!H1292))</f>
        <v>Associate</v>
      </c>
      <c r="I1292" s="13" t="n">
        <f aca="false">IF(Raw_Data!I1292="",DefaultPerf,Raw_Data!I1292)</f>
        <v>4</v>
      </c>
      <c r="J1292" s="13" t="n">
        <f aca="false">IF(Raw_Data!J1292="",DefaultSat,Raw_Data!J1292)</f>
        <v>4</v>
      </c>
      <c r="K1292" s="15" t="n">
        <f aca="false">Raw_Data!K1292</f>
        <v>38500</v>
      </c>
      <c r="L1292" s="13" t="str">
        <f aca="false">PROPER(TRIM(Raw_Data!N1292))</f>
        <v>Yes</v>
      </c>
      <c r="M1292" s="13" t="n">
        <f aca="false">IF(C1292="",0,1)</f>
        <v>0</v>
      </c>
      <c r="N1292" s="13" t="str">
        <f aca="false">IF(M1292=0,"Active",IF(TRIM(Raw_Data!L1292)="","Unknown",PROPER(TRIM(Raw_Data!L1292))))</f>
        <v>Active</v>
      </c>
      <c r="O1292" s="13" t="str">
        <f aca="false">IF(M1292=0,"",IF(TRIM(Raw_Data!M1292)="","Not Recorded",TRIM(Raw_Data!M1292)))</f>
        <v/>
      </c>
      <c r="P1292" s="16" t="n">
        <f aca="false">ROUND((IF(C1292="",AsOfDate,C1292)-B1292)/365.25,2)</f>
        <v>3.72</v>
      </c>
      <c r="Q1292" s="13" t="str">
        <f aca="false">IF(D1292="","Unknown",IF(D1292&lt;25,"Under 25",IF(D1292&lt;35,"25-34",IF(D1292&lt;45,"35-44",IF(D1292&lt;55,"45-54","55+")))))</f>
        <v>35-44</v>
      </c>
      <c r="R1292" s="13" t="str">
        <f aca="false">IF(P1292&lt;1,"0-1 yrs",IF(P1292&lt;3,"1-3 yrs",IF(P1292&lt;5,"3-5 yrs",IF(P1292&lt;10,"5-10 yrs","10+ yrs"))))</f>
        <v>3-5 yrs</v>
      </c>
      <c r="S1292" s="13" t="str">
        <f aca="false">IF(I1292&gt;=4,"High",IF(I1292=3,"Medium","Low"))</f>
        <v>High</v>
      </c>
      <c r="T1292" s="13" t="str">
        <f aca="false">IF(M1292=1,YEAR(C1292),"")</f>
        <v/>
      </c>
      <c r="U1292" s="13" t="str">
        <f aca="false">IF(M1292=1,YEAR(C1292)&amp;"-Q"&amp;ROUNDUP(MONTH(C1292)/3,0),"")</f>
        <v/>
      </c>
      <c r="V1292" s="13" t="str">
        <f aca="false">IF(M1292=1,MONTH(C1292),"")</f>
        <v/>
      </c>
    </row>
    <row r="1293" customFormat="false" ht="15" hidden="false" customHeight="false" outlineLevel="0" collapsed="false">
      <c r="A1293" s="13" t="str">
        <f aca="false">TRIM(Raw_Data!A1293)</f>
        <v>EMP1292</v>
      </c>
      <c r="B1293" s="14" t="n">
        <f aca="false">Raw_Data!B1293</f>
        <v>44664</v>
      </c>
      <c r="C1293" s="14" t="str">
        <f aca="false">IF(Raw_Data!C1293="","",Raw_Data!C1293)</f>
        <v/>
      </c>
      <c r="D1293" s="13" t="n">
        <f aca="false">IF(Raw_Data!D1293="","",Raw_Data!D1293)</f>
        <v>42</v>
      </c>
      <c r="E1293" s="13" t="str">
        <f aca="false">IF(UPPER(LEFT(TRIM(Raw_Data!E1293),1))="M","Male",IF(UPPER(LEFT(TRIM(Raw_Data!E1293),1))="F","Female","Unknown"))</f>
        <v>Female</v>
      </c>
      <c r="F1293" s="13" t="str">
        <f aca="false">PROPER(TRIM(SUBSTITUTE(Raw_Data!F1293,"'","")))</f>
        <v>Bachelors</v>
      </c>
      <c r="G1293" s="13" t="str">
        <f aca="false">PROPER(TRIM(Raw_Data!G1293))</f>
        <v>Operations</v>
      </c>
      <c r="H1293" s="13" t="str">
        <f aca="false">PROPER(TRIM(Raw_Data!H1293))</f>
        <v>Analyst</v>
      </c>
      <c r="I1293" s="13" t="n">
        <f aca="false">IF(Raw_Data!I1293="",DefaultPerf,Raw_Data!I1293)</f>
        <v>2</v>
      </c>
      <c r="J1293" s="13" t="n">
        <f aca="false">IF(Raw_Data!J1293="",DefaultSat,Raw_Data!J1293)</f>
        <v>4</v>
      </c>
      <c r="K1293" s="15" t="n">
        <f aca="false">Raw_Data!K1293</f>
        <v>74500</v>
      </c>
      <c r="L1293" s="13" t="str">
        <f aca="false">PROPER(TRIM(Raw_Data!N1293))</f>
        <v>No</v>
      </c>
      <c r="M1293" s="13" t="n">
        <f aca="false">IF(C1293="",0,1)</f>
        <v>0</v>
      </c>
      <c r="N1293" s="13" t="str">
        <f aca="false">IF(M1293=0,"Active",IF(TRIM(Raw_Data!L1293)="","Unknown",PROPER(TRIM(Raw_Data!L1293))))</f>
        <v>Active</v>
      </c>
      <c r="O1293" s="13" t="str">
        <f aca="false">IF(M1293=0,"",IF(TRIM(Raw_Data!M1293)="","Not Recorded",TRIM(Raw_Data!M1293)))</f>
        <v/>
      </c>
      <c r="P1293" s="16" t="n">
        <f aca="false">ROUND((IF(C1293="",AsOfDate,C1293)-B1293)/365.25,2)</f>
        <v>3.72</v>
      </c>
      <c r="Q1293" s="13" t="str">
        <f aca="false">IF(D1293="","Unknown",IF(D1293&lt;25,"Under 25",IF(D1293&lt;35,"25-34",IF(D1293&lt;45,"35-44",IF(D1293&lt;55,"45-54","55+")))))</f>
        <v>35-44</v>
      </c>
      <c r="R1293" s="13" t="str">
        <f aca="false">IF(P1293&lt;1,"0-1 yrs",IF(P1293&lt;3,"1-3 yrs",IF(P1293&lt;5,"3-5 yrs",IF(P1293&lt;10,"5-10 yrs","10+ yrs"))))</f>
        <v>3-5 yrs</v>
      </c>
      <c r="S1293" s="13" t="str">
        <f aca="false">IF(I1293&gt;=4,"High",IF(I1293=3,"Medium","Low"))</f>
        <v>Low</v>
      </c>
      <c r="T1293" s="13" t="str">
        <f aca="false">IF(M1293=1,YEAR(C1293),"")</f>
        <v/>
      </c>
      <c r="U1293" s="13" t="str">
        <f aca="false">IF(M1293=1,YEAR(C1293)&amp;"-Q"&amp;ROUNDUP(MONTH(C1293)/3,0),"")</f>
        <v/>
      </c>
      <c r="V1293" s="13" t="str">
        <f aca="false">IF(M1293=1,MONTH(C1293),"")</f>
        <v/>
      </c>
    </row>
    <row r="1294" customFormat="false" ht="15" hidden="false" customHeight="false" outlineLevel="0" collapsed="false">
      <c r="A1294" s="13" t="str">
        <f aca="false">TRIM(Raw_Data!A1294)</f>
        <v>EMP1293</v>
      </c>
      <c r="B1294" s="14" t="n">
        <f aca="false">Raw_Data!B1294</f>
        <v>44667</v>
      </c>
      <c r="C1294" s="14" t="n">
        <f aca="false">IF(Raw_Data!C1294="","",Raw_Data!C1294)</f>
        <v>45255</v>
      </c>
      <c r="D1294" s="13" t="n">
        <f aca="false">IF(Raw_Data!D1294="","",Raw_Data!D1294)</f>
        <v>27</v>
      </c>
      <c r="E1294" s="13" t="str">
        <f aca="false">IF(UPPER(LEFT(TRIM(Raw_Data!E1294),1))="M","Male",IF(UPPER(LEFT(TRIM(Raw_Data!E1294),1))="F","Female","Unknown"))</f>
        <v>Male</v>
      </c>
      <c r="F1294" s="13" t="str">
        <f aca="false">PROPER(TRIM(SUBSTITUTE(Raw_Data!F1294,"'","")))</f>
        <v>Doctorate</v>
      </c>
      <c r="G1294" s="13" t="str">
        <f aca="false">PROPER(TRIM(Raw_Data!G1294))</f>
        <v>Sales</v>
      </c>
      <c r="H1294" s="13" t="str">
        <f aca="false">PROPER(TRIM(Raw_Data!H1294))</f>
        <v>Associate</v>
      </c>
      <c r="I1294" s="13" t="n">
        <f aca="false">IF(Raw_Data!I1294="",DefaultPerf,Raw_Data!I1294)</f>
        <v>3</v>
      </c>
      <c r="J1294" s="13" t="n">
        <f aca="false">IF(Raw_Data!J1294="",DefaultSat,Raw_Data!J1294)</f>
        <v>2</v>
      </c>
      <c r="K1294" s="15" t="n">
        <f aca="false">Raw_Data!K1294</f>
        <v>32500</v>
      </c>
      <c r="L1294" s="13" t="str">
        <f aca="false">PROPER(TRIM(Raw_Data!N1294))</f>
        <v>No</v>
      </c>
      <c r="M1294" s="13" t="n">
        <f aca="false">IF(C1294="",0,1)</f>
        <v>1</v>
      </c>
      <c r="N1294" s="13" t="str">
        <f aca="false">IF(M1294=0,"Active",IF(TRIM(Raw_Data!L1294)="","Unknown",PROPER(TRIM(Raw_Data!L1294))))</f>
        <v>Involuntary</v>
      </c>
      <c r="O1294" s="13" t="str">
        <f aca="false">IF(M1294=0,"",IF(TRIM(Raw_Data!M1294)="","Not Recorded",TRIM(Raw_Data!M1294)))</f>
        <v>Restructuring / Layoff</v>
      </c>
      <c r="P1294" s="16" t="n">
        <f aca="false">ROUND((IF(C1294="",AsOfDate,C1294)-B1294)/365.25,2)</f>
        <v>1.61</v>
      </c>
      <c r="Q1294" s="13" t="str">
        <f aca="false">IF(D1294="","Unknown",IF(D1294&lt;25,"Under 25",IF(D1294&lt;35,"25-34",IF(D1294&lt;45,"35-44",IF(D1294&lt;55,"45-54","55+")))))</f>
        <v>25-34</v>
      </c>
      <c r="R1294" s="13" t="str">
        <f aca="false">IF(P1294&lt;1,"0-1 yrs",IF(P1294&lt;3,"1-3 yrs",IF(P1294&lt;5,"3-5 yrs",IF(P1294&lt;10,"5-10 yrs","10+ yrs"))))</f>
        <v>1-3 yrs</v>
      </c>
      <c r="S1294" s="13" t="str">
        <f aca="false">IF(I1294&gt;=4,"High",IF(I1294=3,"Medium","Low"))</f>
        <v>Medium</v>
      </c>
      <c r="T1294" s="13" t="n">
        <f aca="false">IF(M1294=1,YEAR(C1294),"")</f>
        <v>2023</v>
      </c>
      <c r="U1294" s="13" t="str">
        <f aca="false">IF(M1294=1,YEAR(C1294)&amp;"-Q"&amp;ROUNDUP(MONTH(C1294)/3,0),"")</f>
        <v>2023-Q4</v>
      </c>
      <c r="V1294" s="13" t="n">
        <f aca="false">IF(M1294=1,MONTH(C1294),"")</f>
        <v>11</v>
      </c>
    </row>
    <row r="1295" customFormat="false" ht="15" hidden="false" customHeight="false" outlineLevel="0" collapsed="false">
      <c r="A1295" s="13" t="str">
        <f aca="false">TRIM(Raw_Data!A1295)</f>
        <v>EMP1294</v>
      </c>
      <c r="B1295" s="14" t="n">
        <f aca="false">Raw_Data!B1295</f>
        <v>44667</v>
      </c>
      <c r="C1295" s="14" t="n">
        <f aca="false">IF(Raw_Data!C1295="","",Raw_Data!C1295)</f>
        <v>44698</v>
      </c>
      <c r="D1295" s="13" t="n">
        <f aca="false">IF(Raw_Data!D1295="","",Raw_Data!D1295)</f>
        <v>31</v>
      </c>
      <c r="E1295" s="13" t="str">
        <f aca="false">IF(UPPER(LEFT(TRIM(Raw_Data!E1295),1))="M","Male",IF(UPPER(LEFT(TRIM(Raw_Data!E1295),1))="F","Female","Unknown"))</f>
        <v>Male</v>
      </c>
      <c r="F1295" s="13" t="str">
        <f aca="false">PROPER(TRIM(SUBSTITUTE(Raw_Data!F1295,"'","")))</f>
        <v>High School</v>
      </c>
      <c r="G1295" s="13" t="str">
        <f aca="false">PROPER(TRIM(Raw_Data!G1295))</f>
        <v>Engineering</v>
      </c>
      <c r="H1295" s="13" t="str">
        <f aca="false">PROPER(TRIM(Raw_Data!H1295))</f>
        <v>Associate</v>
      </c>
      <c r="I1295" s="13" t="n">
        <f aca="false">IF(Raw_Data!I1295="",DefaultPerf,Raw_Data!I1295)</f>
        <v>3</v>
      </c>
      <c r="J1295" s="13" t="n">
        <f aca="false">IF(Raw_Data!J1295="",DefaultSat,Raw_Data!J1295)</f>
        <v>2</v>
      </c>
      <c r="K1295" s="15" t="n">
        <f aca="false">Raw_Data!K1295</f>
        <v>33000</v>
      </c>
      <c r="L1295" s="13" t="str">
        <f aca="false">PROPER(TRIM(Raw_Data!N1295))</f>
        <v>Yes</v>
      </c>
      <c r="M1295" s="13" t="n">
        <f aca="false">IF(C1295="",0,1)</f>
        <v>1</v>
      </c>
      <c r="N1295" s="13" t="str">
        <f aca="false">IF(M1295=0,"Active",IF(TRIM(Raw_Data!L1295)="","Unknown",PROPER(TRIM(Raw_Data!L1295))))</f>
        <v>Voluntary</v>
      </c>
      <c r="O1295" s="13" t="str">
        <f aca="false">IF(M1295=0,"",IF(TRIM(Raw_Data!M1295)="","Not Recorded",TRIM(Raw_Data!M1295)))</f>
        <v>Job Dissatisfaction</v>
      </c>
      <c r="P1295" s="16" t="n">
        <f aca="false">ROUND((IF(C1295="",AsOfDate,C1295)-B1295)/365.25,2)</f>
        <v>0.08</v>
      </c>
      <c r="Q1295" s="13" t="str">
        <f aca="false">IF(D1295="","Unknown",IF(D1295&lt;25,"Under 25",IF(D1295&lt;35,"25-34",IF(D1295&lt;45,"35-44",IF(D1295&lt;55,"45-54","55+")))))</f>
        <v>25-34</v>
      </c>
      <c r="R1295" s="13" t="str">
        <f aca="false">IF(P1295&lt;1,"0-1 yrs",IF(P1295&lt;3,"1-3 yrs",IF(P1295&lt;5,"3-5 yrs",IF(P1295&lt;10,"5-10 yrs","10+ yrs"))))</f>
        <v>0-1 yrs</v>
      </c>
      <c r="S1295" s="13" t="str">
        <f aca="false">IF(I1295&gt;=4,"High",IF(I1295=3,"Medium","Low"))</f>
        <v>Medium</v>
      </c>
      <c r="T1295" s="13" t="n">
        <f aca="false">IF(M1295=1,YEAR(C1295),"")</f>
        <v>2022</v>
      </c>
      <c r="U1295" s="13" t="str">
        <f aca="false">IF(M1295=1,YEAR(C1295)&amp;"-Q"&amp;ROUNDUP(MONTH(C1295)/3,0),"")</f>
        <v>2022-Q2</v>
      </c>
      <c r="V1295" s="13" t="n">
        <f aca="false">IF(M1295=1,MONTH(C1295),"")</f>
        <v>5</v>
      </c>
    </row>
    <row r="1296" customFormat="false" ht="15" hidden="false" customHeight="false" outlineLevel="0" collapsed="false">
      <c r="A1296" s="13" t="str">
        <f aca="false">TRIM(Raw_Data!A1296)</f>
        <v>EMP1295</v>
      </c>
      <c r="B1296" s="14" t="n">
        <f aca="false">Raw_Data!B1296</f>
        <v>44670</v>
      </c>
      <c r="C1296" s="14" t="n">
        <f aca="false">IF(Raw_Data!C1296="","",Raw_Data!C1296)</f>
        <v>45718</v>
      </c>
      <c r="D1296" s="13" t="n">
        <f aca="false">IF(Raw_Data!D1296="","",Raw_Data!D1296)</f>
        <v>36</v>
      </c>
      <c r="E1296" s="13" t="str">
        <f aca="false">IF(UPPER(LEFT(TRIM(Raw_Data!E1296),1))="M","Male",IF(UPPER(LEFT(TRIM(Raw_Data!E1296),1))="F","Female","Unknown"))</f>
        <v>Male</v>
      </c>
      <c r="F1296" s="13" t="str">
        <f aca="false">PROPER(TRIM(SUBSTITUTE(Raw_Data!F1296,"'","")))</f>
        <v>High School</v>
      </c>
      <c r="G1296" s="13" t="str">
        <f aca="false">PROPER(TRIM(Raw_Data!G1296))</f>
        <v>Sales</v>
      </c>
      <c r="H1296" s="13" t="str">
        <f aca="false">PROPER(TRIM(Raw_Data!H1296))</f>
        <v>Analyst</v>
      </c>
      <c r="I1296" s="13" t="n">
        <f aca="false">IF(Raw_Data!I1296="",DefaultPerf,Raw_Data!I1296)</f>
        <v>4</v>
      </c>
      <c r="J1296" s="13" t="n">
        <f aca="false">IF(Raw_Data!J1296="",DefaultSat,Raw_Data!J1296)</f>
        <v>4</v>
      </c>
      <c r="K1296" s="15" t="n">
        <f aca="false">Raw_Data!K1296</f>
        <v>61500</v>
      </c>
      <c r="L1296" s="13" t="str">
        <f aca="false">PROPER(TRIM(Raw_Data!N1296))</f>
        <v>No</v>
      </c>
      <c r="M1296" s="13" t="n">
        <f aca="false">IF(C1296="",0,1)</f>
        <v>1</v>
      </c>
      <c r="N1296" s="13" t="str">
        <f aca="false">IF(M1296=0,"Active",IF(TRIM(Raw_Data!L1296)="","Unknown",PROPER(TRIM(Raw_Data!L1296))))</f>
        <v>Voluntary</v>
      </c>
      <c r="O1296" s="13" t="str">
        <f aca="false">IF(M1296=0,"",IF(TRIM(Raw_Data!M1296)="","Not Recorded",TRIM(Raw_Data!M1296)))</f>
        <v>Personal Reasons</v>
      </c>
      <c r="P1296" s="16" t="n">
        <f aca="false">ROUND((IF(C1296="",AsOfDate,C1296)-B1296)/365.25,2)</f>
        <v>2.87</v>
      </c>
      <c r="Q1296" s="13" t="str">
        <f aca="false">IF(D1296="","Unknown",IF(D1296&lt;25,"Under 25",IF(D1296&lt;35,"25-34",IF(D1296&lt;45,"35-44",IF(D1296&lt;55,"45-54","55+")))))</f>
        <v>35-44</v>
      </c>
      <c r="R1296" s="13" t="str">
        <f aca="false">IF(P1296&lt;1,"0-1 yrs",IF(P1296&lt;3,"1-3 yrs",IF(P1296&lt;5,"3-5 yrs",IF(P1296&lt;10,"5-10 yrs","10+ yrs"))))</f>
        <v>1-3 yrs</v>
      </c>
      <c r="S1296" s="13" t="str">
        <f aca="false">IF(I1296&gt;=4,"High",IF(I1296=3,"Medium","Low"))</f>
        <v>High</v>
      </c>
      <c r="T1296" s="13" t="n">
        <f aca="false">IF(M1296=1,YEAR(C1296),"")</f>
        <v>2025</v>
      </c>
      <c r="U1296" s="13" t="str">
        <f aca="false">IF(M1296=1,YEAR(C1296)&amp;"-Q"&amp;ROUNDUP(MONTH(C1296)/3,0),"")</f>
        <v>2025-Q1</v>
      </c>
      <c r="V1296" s="13" t="n">
        <f aca="false">IF(M1296=1,MONTH(C1296),"")</f>
        <v>3</v>
      </c>
    </row>
    <row r="1297" customFormat="false" ht="15" hidden="false" customHeight="false" outlineLevel="0" collapsed="false">
      <c r="A1297" s="13" t="str">
        <f aca="false">TRIM(Raw_Data!A1297)</f>
        <v>EMP1296</v>
      </c>
      <c r="B1297" s="14" t="n">
        <f aca="false">Raw_Data!B1297</f>
        <v>44673</v>
      </c>
      <c r="C1297" s="14" t="n">
        <f aca="false">IF(Raw_Data!C1297="","",Raw_Data!C1297)</f>
        <v>45165</v>
      </c>
      <c r="D1297" s="13" t="n">
        <f aca="false">IF(Raw_Data!D1297="","",Raw_Data!D1297)</f>
        <v>33</v>
      </c>
      <c r="E1297" s="13" t="str">
        <f aca="false">IF(UPPER(LEFT(TRIM(Raw_Data!E1297),1))="M","Male",IF(UPPER(LEFT(TRIM(Raw_Data!E1297),1))="F","Female","Unknown"))</f>
        <v>Male</v>
      </c>
      <c r="F1297" s="13" t="str">
        <f aca="false">PROPER(TRIM(SUBSTITUTE(Raw_Data!F1297,"'","")))</f>
        <v>Bachelors</v>
      </c>
      <c r="G1297" s="13" t="str">
        <f aca="false">PROPER(TRIM(Raw_Data!G1297))</f>
        <v>Sales</v>
      </c>
      <c r="H1297" s="13" t="str">
        <f aca="false">PROPER(TRIM(Raw_Data!H1297))</f>
        <v>Associate</v>
      </c>
      <c r="I1297" s="13" t="n">
        <f aca="false">IF(Raw_Data!I1297="",DefaultPerf,Raw_Data!I1297)</f>
        <v>5</v>
      </c>
      <c r="J1297" s="13" t="n">
        <f aca="false">IF(Raw_Data!J1297="",DefaultSat,Raw_Data!J1297)</f>
        <v>1</v>
      </c>
      <c r="K1297" s="15" t="n">
        <f aca="false">Raw_Data!K1297</f>
        <v>45500</v>
      </c>
      <c r="L1297" s="13" t="str">
        <f aca="false">PROPER(TRIM(Raw_Data!N1297))</f>
        <v>No</v>
      </c>
      <c r="M1297" s="13" t="n">
        <f aca="false">IF(C1297="",0,1)</f>
        <v>1</v>
      </c>
      <c r="N1297" s="13" t="str">
        <f aca="false">IF(M1297=0,"Active",IF(TRIM(Raw_Data!L1297)="","Unknown",PROPER(TRIM(Raw_Data!L1297))))</f>
        <v>Voluntary</v>
      </c>
      <c r="O1297" s="13" t="str">
        <f aca="false">IF(M1297=0,"",IF(TRIM(Raw_Data!M1297)="","Not Recorded",TRIM(Raw_Data!M1297)))</f>
        <v>Career Growth</v>
      </c>
      <c r="P1297" s="16" t="n">
        <f aca="false">ROUND((IF(C1297="",AsOfDate,C1297)-B1297)/365.25,2)</f>
        <v>1.35</v>
      </c>
      <c r="Q1297" s="13" t="str">
        <f aca="false">IF(D1297="","Unknown",IF(D1297&lt;25,"Under 25",IF(D1297&lt;35,"25-34",IF(D1297&lt;45,"35-44",IF(D1297&lt;55,"45-54","55+")))))</f>
        <v>25-34</v>
      </c>
      <c r="R1297" s="13" t="str">
        <f aca="false">IF(P1297&lt;1,"0-1 yrs",IF(P1297&lt;3,"1-3 yrs",IF(P1297&lt;5,"3-5 yrs",IF(P1297&lt;10,"5-10 yrs","10+ yrs"))))</f>
        <v>1-3 yrs</v>
      </c>
      <c r="S1297" s="13" t="str">
        <f aca="false">IF(I1297&gt;=4,"High",IF(I1297=3,"Medium","Low"))</f>
        <v>High</v>
      </c>
      <c r="T1297" s="13" t="n">
        <f aca="false">IF(M1297=1,YEAR(C1297),"")</f>
        <v>2023</v>
      </c>
      <c r="U1297" s="13" t="str">
        <f aca="false">IF(M1297=1,YEAR(C1297)&amp;"-Q"&amp;ROUNDUP(MONTH(C1297)/3,0),"")</f>
        <v>2023-Q3</v>
      </c>
      <c r="V1297" s="13" t="n">
        <f aca="false">IF(M1297=1,MONTH(C1297),"")</f>
        <v>8</v>
      </c>
    </row>
    <row r="1298" customFormat="false" ht="15" hidden="false" customHeight="false" outlineLevel="0" collapsed="false">
      <c r="A1298" s="13" t="str">
        <f aca="false">TRIM(Raw_Data!A1298)</f>
        <v>EMP1297</v>
      </c>
      <c r="B1298" s="14" t="n">
        <f aca="false">Raw_Data!B1298</f>
        <v>44673</v>
      </c>
      <c r="C1298" s="14" t="n">
        <f aca="false">IF(Raw_Data!C1298="","",Raw_Data!C1298)</f>
        <v>45744</v>
      </c>
      <c r="D1298" s="13" t="n">
        <f aca="false">IF(Raw_Data!D1298="","",Raw_Data!D1298)</f>
        <v>32</v>
      </c>
      <c r="E1298" s="13" t="str">
        <f aca="false">IF(UPPER(LEFT(TRIM(Raw_Data!E1298),1))="M","Male",IF(UPPER(LEFT(TRIM(Raw_Data!E1298),1))="F","Female","Unknown"))</f>
        <v>Female</v>
      </c>
      <c r="F1298" s="13" t="str">
        <f aca="false">PROPER(TRIM(SUBSTITUTE(Raw_Data!F1298,"'","")))</f>
        <v>Bachelors</v>
      </c>
      <c r="G1298" s="13" t="str">
        <f aca="false">PROPER(TRIM(Raw_Data!G1298))</f>
        <v>Engineering</v>
      </c>
      <c r="H1298" s="13" t="str">
        <f aca="false">PROPER(TRIM(Raw_Data!H1298))</f>
        <v>Associate</v>
      </c>
      <c r="I1298" s="13" t="n">
        <f aca="false">IF(Raw_Data!I1298="",DefaultPerf,Raw_Data!I1298)</f>
        <v>2</v>
      </c>
      <c r="J1298" s="13" t="n">
        <f aca="false">IF(Raw_Data!J1298="",DefaultSat,Raw_Data!J1298)</f>
        <v>3</v>
      </c>
      <c r="K1298" s="15" t="n">
        <f aca="false">Raw_Data!K1298</f>
        <v>38500</v>
      </c>
      <c r="L1298" s="13" t="str">
        <f aca="false">PROPER(TRIM(Raw_Data!N1298))</f>
        <v>Yes</v>
      </c>
      <c r="M1298" s="13" t="n">
        <f aca="false">IF(C1298="",0,1)</f>
        <v>1</v>
      </c>
      <c r="N1298" s="13" t="str">
        <f aca="false">IF(M1298=0,"Active",IF(TRIM(Raw_Data!L1298)="","Unknown",PROPER(TRIM(Raw_Data!L1298))))</f>
        <v>Involuntary</v>
      </c>
      <c r="O1298" s="13" t="str">
        <f aca="false">IF(M1298=0,"",IF(TRIM(Raw_Data!M1298)="","Not Recorded",TRIM(Raw_Data!M1298)))</f>
        <v>Poor Performance</v>
      </c>
      <c r="P1298" s="16" t="n">
        <f aca="false">ROUND((IF(C1298="",AsOfDate,C1298)-B1298)/365.25,2)</f>
        <v>2.93</v>
      </c>
      <c r="Q1298" s="13" t="str">
        <f aca="false">IF(D1298="","Unknown",IF(D1298&lt;25,"Under 25",IF(D1298&lt;35,"25-34",IF(D1298&lt;45,"35-44",IF(D1298&lt;55,"45-54","55+")))))</f>
        <v>25-34</v>
      </c>
      <c r="R1298" s="13" t="str">
        <f aca="false">IF(P1298&lt;1,"0-1 yrs",IF(P1298&lt;3,"1-3 yrs",IF(P1298&lt;5,"3-5 yrs",IF(P1298&lt;10,"5-10 yrs","10+ yrs"))))</f>
        <v>1-3 yrs</v>
      </c>
      <c r="S1298" s="13" t="str">
        <f aca="false">IF(I1298&gt;=4,"High",IF(I1298=3,"Medium","Low"))</f>
        <v>Low</v>
      </c>
      <c r="T1298" s="13" t="n">
        <f aca="false">IF(M1298=1,YEAR(C1298),"")</f>
        <v>2025</v>
      </c>
      <c r="U1298" s="13" t="str">
        <f aca="false">IF(M1298=1,YEAR(C1298)&amp;"-Q"&amp;ROUNDUP(MONTH(C1298)/3,0),"")</f>
        <v>2025-Q1</v>
      </c>
      <c r="V1298" s="13" t="n">
        <f aca="false">IF(M1298=1,MONTH(C1298),"")</f>
        <v>3</v>
      </c>
    </row>
    <row r="1299" customFormat="false" ht="15" hidden="false" customHeight="false" outlineLevel="0" collapsed="false">
      <c r="A1299" s="13" t="str">
        <f aca="false">TRIM(Raw_Data!A1299)</f>
        <v>EMP1298</v>
      </c>
      <c r="B1299" s="14" t="n">
        <f aca="false">Raw_Data!B1299</f>
        <v>44674</v>
      </c>
      <c r="C1299" s="14" t="str">
        <f aca="false">IF(Raw_Data!C1299="","",Raw_Data!C1299)</f>
        <v/>
      </c>
      <c r="D1299" s="13" t="n">
        <f aca="false">IF(Raw_Data!D1299="","",Raw_Data!D1299)</f>
        <v>31</v>
      </c>
      <c r="E1299" s="13" t="str">
        <f aca="false">IF(UPPER(LEFT(TRIM(Raw_Data!E1299),1))="M","Male",IF(UPPER(LEFT(TRIM(Raw_Data!E1299),1))="F","Female","Unknown"))</f>
        <v>Male</v>
      </c>
      <c r="F1299" s="13" t="str">
        <f aca="false">PROPER(TRIM(SUBSTITUTE(Raw_Data!F1299,"'","")))</f>
        <v>Bachelors</v>
      </c>
      <c r="G1299" s="13" t="str">
        <f aca="false">PROPER(TRIM(Raw_Data!G1299))</f>
        <v>Customer Support</v>
      </c>
      <c r="H1299" s="13" t="str">
        <f aca="false">PROPER(TRIM(Raw_Data!H1299))</f>
        <v>Senior Analyst</v>
      </c>
      <c r="I1299" s="13" t="n">
        <f aca="false">IF(Raw_Data!I1299="",DefaultPerf,Raw_Data!I1299)</f>
        <v>3</v>
      </c>
      <c r="J1299" s="13" t="n">
        <f aca="false">IF(Raw_Data!J1299="",DefaultSat,Raw_Data!J1299)</f>
        <v>4</v>
      </c>
      <c r="K1299" s="15" t="n">
        <f aca="false">Raw_Data!K1299</f>
        <v>105500</v>
      </c>
      <c r="L1299" s="13" t="str">
        <f aca="false">PROPER(TRIM(Raw_Data!N1299))</f>
        <v>No</v>
      </c>
      <c r="M1299" s="13" t="n">
        <f aca="false">IF(C1299="",0,1)</f>
        <v>0</v>
      </c>
      <c r="N1299" s="13" t="str">
        <f aca="false">IF(M1299=0,"Active",IF(TRIM(Raw_Data!L1299)="","Unknown",PROPER(TRIM(Raw_Data!L1299))))</f>
        <v>Active</v>
      </c>
      <c r="O1299" s="13" t="str">
        <f aca="false">IF(M1299=0,"",IF(TRIM(Raw_Data!M1299)="","Not Recorded",TRIM(Raw_Data!M1299)))</f>
        <v/>
      </c>
      <c r="P1299" s="16" t="n">
        <f aca="false">ROUND((IF(C1299="",AsOfDate,C1299)-B1299)/365.25,2)</f>
        <v>3.69</v>
      </c>
      <c r="Q1299" s="13" t="str">
        <f aca="false">IF(D1299="","Unknown",IF(D1299&lt;25,"Under 25",IF(D1299&lt;35,"25-34",IF(D1299&lt;45,"35-44",IF(D1299&lt;55,"45-54","55+")))))</f>
        <v>25-34</v>
      </c>
      <c r="R1299" s="13" t="str">
        <f aca="false">IF(P1299&lt;1,"0-1 yrs",IF(P1299&lt;3,"1-3 yrs",IF(P1299&lt;5,"3-5 yrs",IF(P1299&lt;10,"5-10 yrs","10+ yrs"))))</f>
        <v>3-5 yrs</v>
      </c>
      <c r="S1299" s="13" t="str">
        <f aca="false">IF(I1299&gt;=4,"High",IF(I1299=3,"Medium","Low"))</f>
        <v>Medium</v>
      </c>
      <c r="T1299" s="13" t="str">
        <f aca="false">IF(M1299=1,YEAR(C1299),"")</f>
        <v/>
      </c>
      <c r="U1299" s="13" t="str">
        <f aca="false">IF(M1299=1,YEAR(C1299)&amp;"-Q"&amp;ROUNDUP(MONTH(C1299)/3,0),"")</f>
        <v/>
      </c>
      <c r="V1299" s="13" t="str">
        <f aca="false">IF(M1299=1,MONTH(C1299),"")</f>
        <v/>
      </c>
    </row>
    <row r="1300" customFormat="false" ht="15" hidden="false" customHeight="false" outlineLevel="0" collapsed="false">
      <c r="A1300" s="13" t="str">
        <f aca="false">TRIM(Raw_Data!A1300)</f>
        <v>EMP1299</v>
      </c>
      <c r="B1300" s="14" t="n">
        <f aca="false">Raw_Data!B1300</f>
        <v>44679</v>
      </c>
      <c r="C1300" s="14" t="str">
        <f aca="false">IF(Raw_Data!C1300="","",Raw_Data!C1300)</f>
        <v/>
      </c>
      <c r="D1300" s="13" t="n">
        <f aca="false">IF(Raw_Data!D1300="","",Raw_Data!D1300)</f>
        <v>32</v>
      </c>
      <c r="E1300" s="13" t="str">
        <f aca="false">IF(UPPER(LEFT(TRIM(Raw_Data!E1300),1))="M","Male",IF(UPPER(LEFT(TRIM(Raw_Data!E1300),1))="F","Female","Unknown"))</f>
        <v>Male</v>
      </c>
      <c r="F1300" s="13" t="str">
        <f aca="false">PROPER(TRIM(SUBSTITUTE(Raw_Data!F1300,"'","")))</f>
        <v>Bachelors</v>
      </c>
      <c r="G1300" s="13" t="str">
        <f aca="false">PROPER(TRIM(Raw_Data!G1300))</f>
        <v>Operations</v>
      </c>
      <c r="H1300" s="13" t="str">
        <f aca="false">PROPER(TRIM(Raw_Data!H1300))</f>
        <v>Associate</v>
      </c>
      <c r="I1300" s="13" t="n">
        <f aca="false">IF(Raw_Data!I1300="",DefaultPerf,Raw_Data!I1300)</f>
        <v>4</v>
      </c>
      <c r="J1300" s="13" t="n">
        <f aca="false">IF(Raw_Data!J1300="",DefaultSat,Raw_Data!J1300)</f>
        <v>3</v>
      </c>
      <c r="K1300" s="15" t="n">
        <f aca="false">Raw_Data!K1300</f>
        <v>37500</v>
      </c>
      <c r="L1300" s="13" t="str">
        <f aca="false">PROPER(TRIM(Raw_Data!N1300))</f>
        <v>Yes</v>
      </c>
      <c r="M1300" s="13" t="n">
        <f aca="false">IF(C1300="",0,1)</f>
        <v>0</v>
      </c>
      <c r="N1300" s="13" t="str">
        <f aca="false">IF(M1300=0,"Active",IF(TRIM(Raw_Data!L1300)="","Unknown",PROPER(TRIM(Raw_Data!L1300))))</f>
        <v>Active</v>
      </c>
      <c r="O1300" s="13" t="str">
        <f aca="false">IF(M1300=0,"",IF(TRIM(Raw_Data!M1300)="","Not Recorded",TRIM(Raw_Data!M1300)))</f>
        <v/>
      </c>
      <c r="P1300" s="16" t="n">
        <f aca="false">ROUND((IF(C1300="",AsOfDate,C1300)-B1300)/365.25,2)</f>
        <v>3.68</v>
      </c>
      <c r="Q1300" s="13" t="str">
        <f aca="false">IF(D1300="","Unknown",IF(D1300&lt;25,"Under 25",IF(D1300&lt;35,"25-34",IF(D1300&lt;45,"35-44",IF(D1300&lt;55,"45-54","55+")))))</f>
        <v>25-34</v>
      </c>
      <c r="R1300" s="13" t="str">
        <f aca="false">IF(P1300&lt;1,"0-1 yrs",IF(P1300&lt;3,"1-3 yrs",IF(P1300&lt;5,"3-5 yrs",IF(P1300&lt;10,"5-10 yrs","10+ yrs"))))</f>
        <v>3-5 yrs</v>
      </c>
      <c r="S1300" s="13" t="str">
        <f aca="false">IF(I1300&gt;=4,"High",IF(I1300=3,"Medium","Low"))</f>
        <v>High</v>
      </c>
      <c r="T1300" s="13" t="str">
        <f aca="false">IF(M1300=1,YEAR(C1300),"")</f>
        <v/>
      </c>
      <c r="U1300" s="13" t="str">
        <f aca="false">IF(M1300=1,YEAR(C1300)&amp;"-Q"&amp;ROUNDUP(MONTH(C1300)/3,0),"")</f>
        <v/>
      </c>
      <c r="V1300" s="13" t="str">
        <f aca="false">IF(M1300=1,MONTH(C1300),"")</f>
        <v/>
      </c>
    </row>
    <row r="1301" customFormat="false" ht="15" hidden="false" customHeight="false" outlineLevel="0" collapsed="false">
      <c r="A1301" s="13" t="str">
        <f aca="false">TRIM(Raw_Data!A1301)</f>
        <v>EMP1300</v>
      </c>
      <c r="B1301" s="14" t="n">
        <f aca="false">Raw_Data!B1301</f>
        <v>44682</v>
      </c>
      <c r="C1301" s="14" t="str">
        <f aca="false">IF(Raw_Data!C1301="","",Raw_Data!C1301)</f>
        <v/>
      </c>
      <c r="D1301" s="13" t="n">
        <f aca="false">IF(Raw_Data!D1301="","",Raw_Data!D1301)</f>
        <v>31</v>
      </c>
      <c r="E1301" s="13" t="str">
        <f aca="false">IF(UPPER(LEFT(TRIM(Raw_Data!E1301),1))="M","Male",IF(UPPER(LEFT(TRIM(Raw_Data!E1301),1))="F","Female","Unknown"))</f>
        <v>Female</v>
      </c>
      <c r="F1301" s="13" t="str">
        <f aca="false">PROPER(TRIM(SUBSTITUTE(Raw_Data!F1301,"'","")))</f>
        <v>Bachelors</v>
      </c>
      <c r="G1301" s="13" t="str">
        <f aca="false">PROPER(TRIM(Raw_Data!G1301))</f>
        <v>Sales</v>
      </c>
      <c r="H1301" s="13" t="str">
        <f aca="false">PROPER(TRIM(Raw_Data!H1301))</f>
        <v>Team Lead</v>
      </c>
      <c r="I1301" s="13" t="n">
        <f aca="false">IF(Raw_Data!I1301="",DefaultPerf,Raw_Data!I1301)</f>
        <v>4</v>
      </c>
      <c r="J1301" s="13" t="n">
        <f aca="false">IF(Raw_Data!J1301="",DefaultSat,Raw_Data!J1301)</f>
        <v>3</v>
      </c>
      <c r="K1301" s="15" t="n">
        <f aca="false">Raw_Data!K1301</f>
        <v>132000</v>
      </c>
      <c r="L1301" s="13" t="str">
        <f aca="false">PROPER(TRIM(Raw_Data!N1301))</f>
        <v>No</v>
      </c>
      <c r="M1301" s="13" t="n">
        <f aca="false">IF(C1301="",0,1)</f>
        <v>0</v>
      </c>
      <c r="N1301" s="13" t="str">
        <f aca="false">IF(M1301=0,"Active",IF(TRIM(Raw_Data!L1301)="","Unknown",PROPER(TRIM(Raw_Data!L1301))))</f>
        <v>Active</v>
      </c>
      <c r="O1301" s="13" t="str">
        <f aca="false">IF(M1301=0,"",IF(TRIM(Raw_Data!M1301)="","Not Recorded",TRIM(Raw_Data!M1301)))</f>
        <v/>
      </c>
      <c r="P1301" s="16" t="n">
        <f aca="false">ROUND((IF(C1301="",AsOfDate,C1301)-B1301)/365.25,2)</f>
        <v>3.67</v>
      </c>
      <c r="Q1301" s="13" t="str">
        <f aca="false">IF(D1301="","Unknown",IF(D1301&lt;25,"Under 25",IF(D1301&lt;35,"25-34",IF(D1301&lt;45,"35-44",IF(D1301&lt;55,"45-54","55+")))))</f>
        <v>25-34</v>
      </c>
      <c r="R1301" s="13" t="str">
        <f aca="false">IF(P1301&lt;1,"0-1 yrs",IF(P1301&lt;3,"1-3 yrs",IF(P1301&lt;5,"3-5 yrs",IF(P1301&lt;10,"5-10 yrs","10+ yrs"))))</f>
        <v>3-5 yrs</v>
      </c>
      <c r="S1301" s="13" t="str">
        <f aca="false">IF(I1301&gt;=4,"High",IF(I1301=3,"Medium","Low"))</f>
        <v>High</v>
      </c>
      <c r="T1301" s="13" t="str">
        <f aca="false">IF(M1301=1,YEAR(C1301),"")</f>
        <v/>
      </c>
      <c r="U1301" s="13" t="str">
        <f aca="false">IF(M1301=1,YEAR(C1301)&amp;"-Q"&amp;ROUNDUP(MONTH(C1301)/3,0),"")</f>
        <v/>
      </c>
      <c r="V1301" s="13" t="str">
        <f aca="false">IF(M1301=1,MONTH(C1301),"")</f>
        <v/>
      </c>
    </row>
    <row r="1302" customFormat="false" ht="15" hidden="false" customHeight="false" outlineLevel="0" collapsed="false">
      <c r="A1302" s="13" t="str">
        <f aca="false">TRIM(Raw_Data!A1302)</f>
        <v>EMP1301</v>
      </c>
      <c r="B1302" s="14" t="n">
        <f aca="false">Raw_Data!B1302</f>
        <v>44683</v>
      </c>
      <c r="C1302" s="14" t="n">
        <f aca="false">IF(Raw_Data!C1302="","",Raw_Data!C1302)</f>
        <v>45737</v>
      </c>
      <c r="D1302" s="13" t="n">
        <f aca="false">IF(Raw_Data!D1302="","",Raw_Data!D1302)</f>
        <v>40</v>
      </c>
      <c r="E1302" s="13" t="str">
        <f aca="false">IF(UPPER(LEFT(TRIM(Raw_Data!E1302),1))="M","Male",IF(UPPER(LEFT(TRIM(Raw_Data!E1302),1))="F","Female","Unknown"))</f>
        <v>Male</v>
      </c>
      <c r="F1302" s="13" t="str">
        <f aca="false">PROPER(TRIM(SUBSTITUTE(Raw_Data!F1302,"'","")))</f>
        <v>Masters</v>
      </c>
      <c r="G1302" s="13" t="str">
        <f aca="false">PROPER(TRIM(Raw_Data!G1302))</f>
        <v>Operations</v>
      </c>
      <c r="H1302" s="13" t="str">
        <f aca="false">PROPER(TRIM(Raw_Data!H1302))</f>
        <v>Associate</v>
      </c>
      <c r="I1302" s="13" t="n">
        <f aca="false">IF(Raw_Data!I1302="",DefaultPerf,Raw_Data!I1302)</f>
        <v>3</v>
      </c>
      <c r="J1302" s="13" t="n">
        <f aca="false">IF(Raw_Data!J1302="",DefaultSat,Raw_Data!J1302)</f>
        <v>2</v>
      </c>
      <c r="K1302" s="15" t="n">
        <f aca="false">Raw_Data!K1302</f>
        <v>40000</v>
      </c>
      <c r="L1302" s="13" t="str">
        <f aca="false">PROPER(TRIM(Raw_Data!N1302))</f>
        <v>Yes</v>
      </c>
      <c r="M1302" s="13" t="n">
        <f aca="false">IF(C1302="",0,1)</f>
        <v>1</v>
      </c>
      <c r="N1302" s="13" t="str">
        <f aca="false">IF(M1302=0,"Active",IF(TRIM(Raw_Data!L1302)="","Unknown",PROPER(TRIM(Raw_Data!L1302))))</f>
        <v>Voluntary</v>
      </c>
      <c r="O1302" s="13" t="str">
        <f aca="false">IF(M1302=0,"",IF(TRIM(Raw_Data!M1302)="","Not Recorded",TRIM(Raw_Data!M1302)))</f>
        <v>Manager Issues</v>
      </c>
      <c r="P1302" s="16" t="n">
        <f aca="false">ROUND((IF(C1302="",AsOfDate,C1302)-B1302)/365.25,2)</f>
        <v>2.89</v>
      </c>
      <c r="Q1302" s="13" t="str">
        <f aca="false">IF(D1302="","Unknown",IF(D1302&lt;25,"Under 25",IF(D1302&lt;35,"25-34",IF(D1302&lt;45,"35-44",IF(D1302&lt;55,"45-54","55+")))))</f>
        <v>35-44</v>
      </c>
      <c r="R1302" s="13" t="str">
        <f aca="false">IF(P1302&lt;1,"0-1 yrs",IF(P1302&lt;3,"1-3 yrs",IF(P1302&lt;5,"3-5 yrs",IF(P1302&lt;10,"5-10 yrs","10+ yrs"))))</f>
        <v>1-3 yrs</v>
      </c>
      <c r="S1302" s="13" t="str">
        <f aca="false">IF(I1302&gt;=4,"High",IF(I1302=3,"Medium","Low"))</f>
        <v>Medium</v>
      </c>
      <c r="T1302" s="13" t="n">
        <f aca="false">IF(M1302=1,YEAR(C1302),"")</f>
        <v>2025</v>
      </c>
      <c r="U1302" s="13" t="str">
        <f aca="false">IF(M1302=1,YEAR(C1302)&amp;"-Q"&amp;ROUNDUP(MONTH(C1302)/3,0),"")</f>
        <v>2025-Q1</v>
      </c>
      <c r="V1302" s="13" t="n">
        <f aca="false">IF(M1302=1,MONTH(C1302),"")</f>
        <v>3</v>
      </c>
    </row>
    <row r="1303" customFormat="false" ht="15" hidden="false" customHeight="false" outlineLevel="0" collapsed="false">
      <c r="A1303" s="13" t="str">
        <f aca="false">TRIM(Raw_Data!A1303)</f>
        <v>EMP1302</v>
      </c>
      <c r="B1303" s="14" t="n">
        <f aca="false">Raw_Data!B1303</f>
        <v>44683</v>
      </c>
      <c r="C1303" s="14" t="n">
        <f aca="false">IF(Raw_Data!C1303="","",Raw_Data!C1303)</f>
        <v>45116</v>
      </c>
      <c r="D1303" s="13" t="n">
        <f aca="false">IF(Raw_Data!D1303="","",Raw_Data!D1303)</f>
        <v>24</v>
      </c>
      <c r="E1303" s="13" t="str">
        <f aca="false">IF(UPPER(LEFT(TRIM(Raw_Data!E1303),1))="M","Male",IF(UPPER(LEFT(TRIM(Raw_Data!E1303),1))="F","Female","Unknown"))</f>
        <v>Female</v>
      </c>
      <c r="F1303" s="13" t="str">
        <f aca="false">PROPER(TRIM(SUBSTITUTE(Raw_Data!F1303,"'","")))</f>
        <v>Bachelors</v>
      </c>
      <c r="G1303" s="13" t="str">
        <f aca="false">PROPER(TRIM(Raw_Data!G1303))</f>
        <v>Sales</v>
      </c>
      <c r="H1303" s="13" t="str">
        <f aca="false">PROPER(TRIM(Raw_Data!H1303))</f>
        <v>Associate</v>
      </c>
      <c r="I1303" s="13" t="n">
        <f aca="false">IF(Raw_Data!I1303="",DefaultPerf,Raw_Data!I1303)</f>
        <v>3</v>
      </c>
      <c r="J1303" s="13" t="n">
        <f aca="false">IF(Raw_Data!J1303="",DefaultSat,Raw_Data!J1303)</f>
        <v>4</v>
      </c>
      <c r="K1303" s="15" t="n">
        <f aca="false">Raw_Data!K1303</f>
        <v>32000</v>
      </c>
      <c r="L1303" s="13" t="str">
        <f aca="false">PROPER(TRIM(Raw_Data!N1303))</f>
        <v>No</v>
      </c>
      <c r="M1303" s="13" t="n">
        <f aca="false">IF(C1303="",0,1)</f>
        <v>1</v>
      </c>
      <c r="N1303" s="13" t="str">
        <f aca="false">IF(M1303=0,"Active",IF(TRIM(Raw_Data!L1303)="","Unknown",PROPER(TRIM(Raw_Data!L1303))))</f>
        <v>Involuntary</v>
      </c>
      <c r="O1303" s="13" t="str">
        <f aca="false">IF(M1303=0,"",IF(TRIM(Raw_Data!M1303)="","Not Recorded",TRIM(Raw_Data!M1303)))</f>
        <v>Poor Performance</v>
      </c>
      <c r="P1303" s="16" t="n">
        <f aca="false">ROUND((IF(C1303="",AsOfDate,C1303)-B1303)/365.25,2)</f>
        <v>1.19</v>
      </c>
      <c r="Q1303" s="13" t="str">
        <f aca="false">IF(D1303="","Unknown",IF(D1303&lt;25,"Under 25",IF(D1303&lt;35,"25-34",IF(D1303&lt;45,"35-44",IF(D1303&lt;55,"45-54","55+")))))</f>
        <v>Under 25</v>
      </c>
      <c r="R1303" s="13" t="str">
        <f aca="false">IF(P1303&lt;1,"0-1 yrs",IF(P1303&lt;3,"1-3 yrs",IF(P1303&lt;5,"3-5 yrs",IF(P1303&lt;10,"5-10 yrs","10+ yrs"))))</f>
        <v>1-3 yrs</v>
      </c>
      <c r="S1303" s="13" t="str">
        <f aca="false">IF(I1303&gt;=4,"High",IF(I1303=3,"Medium","Low"))</f>
        <v>Medium</v>
      </c>
      <c r="T1303" s="13" t="n">
        <f aca="false">IF(M1303=1,YEAR(C1303),"")</f>
        <v>2023</v>
      </c>
      <c r="U1303" s="13" t="str">
        <f aca="false">IF(M1303=1,YEAR(C1303)&amp;"-Q"&amp;ROUNDUP(MONTH(C1303)/3,0),"")</f>
        <v>2023-Q3</v>
      </c>
      <c r="V1303" s="13" t="n">
        <f aca="false">IF(M1303=1,MONTH(C1303),"")</f>
        <v>7</v>
      </c>
    </row>
    <row r="1304" customFormat="false" ht="15" hidden="false" customHeight="false" outlineLevel="0" collapsed="false">
      <c r="A1304" s="13" t="str">
        <f aca="false">TRIM(Raw_Data!A1304)</f>
        <v>EMP1303</v>
      </c>
      <c r="B1304" s="14" t="n">
        <f aca="false">Raw_Data!B1304</f>
        <v>44686</v>
      </c>
      <c r="C1304" s="14" t="str">
        <f aca="false">IF(Raw_Data!C1304="","",Raw_Data!C1304)</f>
        <v/>
      </c>
      <c r="D1304" s="13" t="n">
        <f aca="false">IF(Raw_Data!D1304="","",Raw_Data!D1304)</f>
        <v>32</v>
      </c>
      <c r="E1304" s="13" t="str">
        <f aca="false">IF(UPPER(LEFT(TRIM(Raw_Data!E1304),1))="M","Male",IF(UPPER(LEFT(TRIM(Raw_Data!E1304),1))="F","Female","Unknown"))</f>
        <v>Male</v>
      </c>
      <c r="F1304" s="13" t="str">
        <f aca="false">PROPER(TRIM(SUBSTITUTE(Raw_Data!F1304,"'","")))</f>
        <v>Doctorate</v>
      </c>
      <c r="G1304" s="13" t="str">
        <f aca="false">PROPER(TRIM(Raw_Data!G1304))</f>
        <v>Engineering</v>
      </c>
      <c r="H1304" s="13" t="str">
        <f aca="false">PROPER(TRIM(Raw_Data!H1304))</f>
        <v>Senior Analyst</v>
      </c>
      <c r="I1304" s="13" t="n">
        <f aca="false">IF(Raw_Data!I1304="",DefaultPerf,Raw_Data!I1304)</f>
        <v>2</v>
      </c>
      <c r="J1304" s="13" t="n">
        <f aca="false">IF(Raw_Data!J1304="",DefaultSat,Raw_Data!J1304)</f>
        <v>4</v>
      </c>
      <c r="K1304" s="15" t="n">
        <f aca="false">Raw_Data!K1304</f>
        <v>84000</v>
      </c>
      <c r="L1304" s="13" t="str">
        <f aca="false">PROPER(TRIM(Raw_Data!N1304))</f>
        <v>No</v>
      </c>
      <c r="M1304" s="13" t="n">
        <f aca="false">IF(C1304="",0,1)</f>
        <v>0</v>
      </c>
      <c r="N1304" s="13" t="str">
        <f aca="false">IF(M1304=0,"Active",IF(TRIM(Raw_Data!L1304)="","Unknown",PROPER(TRIM(Raw_Data!L1304))))</f>
        <v>Active</v>
      </c>
      <c r="O1304" s="13" t="str">
        <f aca="false">IF(M1304=0,"",IF(TRIM(Raw_Data!M1304)="","Not Recorded",TRIM(Raw_Data!M1304)))</f>
        <v/>
      </c>
      <c r="P1304" s="16" t="n">
        <f aca="false">ROUND((IF(C1304="",AsOfDate,C1304)-B1304)/365.25,2)</f>
        <v>3.66</v>
      </c>
      <c r="Q1304" s="13" t="str">
        <f aca="false">IF(D1304="","Unknown",IF(D1304&lt;25,"Under 25",IF(D1304&lt;35,"25-34",IF(D1304&lt;45,"35-44",IF(D1304&lt;55,"45-54","55+")))))</f>
        <v>25-34</v>
      </c>
      <c r="R1304" s="13" t="str">
        <f aca="false">IF(P1304&lt;1,"0-1 yrs",IF(P1304&lt;3,"1-3 yrs",IF(P1304&lt;5,"3-5 yrs",IF(P1304&lt;10,"5-10 yrs","10+ yrs"))))</f>
        <v>3-5 yrs</v>
      </c>
      <c r="S1304" s="13" t="str">
        <f aca="false">IF(I1304&gt;=4,"High",IF(I1304=3,"Medium","Low"))</f>
        <v>Low</v>
      </c>
      <c r="T1304" s="13" t="str">
        <f aca="false">IF(M1304=1,YEAR(C1304),"")</f>
        <v/>
      </c>
      <c r="U1304" s="13" t="str">
        <f aca="false">IF(M1304=1,YEAR(C1304)&amp;"-Q"&amp;ROUNDUP(MONTH(C1304)/3,0),"")</f>
        <v/>
      </c>
      <c r="V1304" s="13" t="str">
        <f aca="false">IF(M1304=1,MONTH(C1304),"")</f>
        <v/>
      </c>
    </row>
    <row r="1305" customFormat="false" ht="15" hidden="false" customHeight="false" outlineLevel="0" collapsed="false">
      <c r="A1305" s="13" t="str">
        <f aca="false">TRIM(Raw_Data!A1305)</f>
        <v>EMP1304</v>
      </c>
      <c r="B1305" s="14" t="n">
        <f aca="false">Raw_Data!B1305</f>
        <v>44689</v>
      </c>
      <c r="C1305" s="14" t="str">
        <f aca="false">IF(Raw_Data!C1305="","",Raw_Data!C1305)</f>
        <v/>
      </c>
      <c r="D1305" s="13" t="n">
        <f aca="false">IF(Raw_Data!D1305="","",Raw_Data!D1305)</f>
        <v>34</v>
      </c>
      <c r="E1305" s="13" t="str">
        <f aca="false">IF(UPPER(LEFT(TRIM(Raw_Data!E1305),1))="M","Male",IF(UPPER(LEFT(TRIM(Raw_Data!E1305),1))="F","Female","Unknown"))</f>
        <v>Male</v>
      </c>
      <c r="F1305" s="13" t="str">
        <f aca="false">PROPER(TRIM(SUBSTITUTE(Raw_Data!F1305,"'","")))</f>
        <v>High School</v>
      </c>
      <c r="G1305" s="13" t="str">
        <f aca="false">PROPER(TRIM(Raw_Data!G1305))</f>
        <v>Operations</v>
      </c>
      <c r="H1305" s="13" t="str">
        <f aca="false">PROPER(TRIM(Raw_Data!H1305))</f>
        <v>Specialist</v>
      </c>
      <c r="I1305" s="13" t="n">
        <f aca="false">IF(Raw_Data!I1305="",DefaultPerf,Raw_Data!I1305)</f>
        <v>5</v>
      </c>
      <c r="J1305" s="13" t="n">
        <f aca="false">IF(Raw_Data!J1305="",DefaultSat,Raw_Data!J1305)</f>
        <v>3</v>
      </c>
      <c r="K1305" s="15" t="n">
        <f aca="false">Raw_Data!K1305</f>
        <v>98500</v>
      </c>
      <c r="L1305" s="13" t="str">
        <f aca="false">PROPER(TRIM(Raw_Data!N1305))</f>
        <v>No</v>
      </c>
      <c r="M1305" s="13" t="n">
        <f aca="false">IF(C1305="",0,1)</f>
        <v>0</v>
      </c>
      <c r="N1305" s="13" t="str">
        <f aca="false">IF(M1305=0,"Active",IF(TRIM(Raw_Data!L1305)="","Unknown",PROPER(TRIM(Raw_Data!L1305))))</f>
        <v>Active</v>
      </c>
      <c r="O1305" s="13" t="str">
        <f aca="false">IF(M1305=0,"",IF(TRIM(Raw_Data!M1305)="","Not Recorded",TRIM(Raw_Data!M1305)))</f>
        <v/>
      </c>
      <c r="P1305" s="16" t="n">
        <f aca="false">ROUND((IF(C1305="",AsOfDate,C1305)-B1305)/365.25,2)</f>
        <v>3.65</v>
      </c>
      <c r="Q1305" s="13" t="str">
        <f aca="false">IF(D1305="","Unknown",IF(D1305&lt;25,"Under 25",IF(D1305&lt;35,"25-34",IF(D1305&lt;45,"35-44",IF(D1305&lt;55,"45-54","55+")))))</f>
        <v>25-34</v>
      </c>
      <c r="R1305" s="13" t="str">
        <f aca="false">IF(P1305&lt;1,"0-1 yrs",IF(P1305&lt;3,"1-3 yrs",IF(P1305&lt;5,"3-5 yrs",IF(P1305&lt;10,"5-10 yrs","10+ yrs"))))</f>
        <v>3-5 yrs</v>
      </c>
      <c r="S1305" s="13" t="str">
        <f aca="false">IF(I1305&gt;=4,"High",IF(I1305=3,"Medium","Low"))</f>
        <v>High</v>
      </c>
      <c r="T1305" s="13" t="str">
        <f aca="false">IF(M1305=1,YEAR(C1305),"")</f>
        <v/>
      </c>
      <c r="U1305" s="13" t="str">
        <f aca="false">IF(M1305=1,YEAR(C1305)&amp;"-Q"&amp;ROUNDUP(MONTH(C1305)/3,0),"")</f>
        <v/>
      </c>
      <c r="V1305" s="13" t="str">
        <f aca="false">IF(M1305=1,MONTH(C1305),"")</f>
        <v/>
      </c>
    </row>
    <row r="1306" customFormat="false" ht="15" hidden="false" customHeight="false" outlineLevel="0" collapsed="false">
      <c r="A1306" s="13" t="str">
        <f aca="false">TRIM(Raw_Data!A1306)</f>
        <v>EMP1305</v>
      </c>
      <c r="B1306" s="14" t="n">
        <f aca="false">Raw_Data!B1306</f>
        <v>44689</v>
      </c>
      <c r="C1306" s="14" t="str">
        <f aca="false">IF(Raw_Data!C1306="","",Raw_Data!C1306)</f>
        <v/>
      </c>
      <c r="D1306" s="13" t="n">
        <f aca="false">IF(Raw_Data!D1306="","",Raw_Data!D1306)</f>
        <v>28</v>
      </c>
      <c r="E1306" s="13" t="str">
        <f aca="false">IF(UPPER(LEFT(TRIM(Raw_Data!E1306),1))="M","Male",IF(UPPER(LEFT(TRIM(Raw_Data!E1306),1))="F","Female","Unknown"))</f>
        <v>Female</v>
      </c>
      <c r="F1306" s="13" t="str">
        <f aca="false">PROPER(TRIM(SUBSTITUTE(Raw_Data!F1306,"'","")))</f>
        <v>Bachelors</v>
      </c>
      <c r="G1306" s="13" t="str">
        <f aca="false">PROPER(TRIM(Raw_Data!G1306))</f>
        <v>Customer Support</v>
      </c>
      <c r="H1306" s="13" t="str">
        <f aca="false">PROPER(TRIM(Raw_Data!H1306))</f>
        <v>Specialist</v>
      </c>
      <c r="I1306" s="13" t="n">
        <f aca="false">IF(Raw_Data!I1306="",DefaultPerf,Raw_Data!I1306)</f>
        <v>4</v>
      </c>
      <c r="J1306" s="13" t="n">
        <f aca="false">IF(Raw_Data!J1306="",DefaultSat,Raw_Data!J1306)</f>
        <v>3</v>
      </c>
      <c r="K1306" s="15" t="n">
        <f aca="false">Raw_Data!K1306</f>
        <v>105000</v>
      </c>
      <c r="L1306" s="13" t="str">
        <f aca="false">PROPER(TRIM(Raw_Data!N1306))</f>
        <v>Yes</v>
      </c>
      <c r="M1306" s="13" t="n">
        <f aca="false">IF(C1306="",0,1)</f>
        <v>0</v>
      </c>
      <c r="N1306" s="13" t="str">
        <f aca="false">IF(M1306=0,"Active",IF(TRIM(Raw_Data!L1306)="","Unknown",PROPER(TRIM(Raw_Data!L1306))))</f>
        <v>Active</v>
      </c>
      <c r="O1306" s="13" t="str">
        <f aca="false">IF(M1306=0,"",IF(TRIM(Raw_Data!M1306)="","Not Recorded",TRIM(Raw_Data!M1306)))</f>
        <v/>
      </c>
      <c r="P1306" s="16" t="n">
        <f aca="false">ROUND((IF(C1306="",AsOfDate,C1306)-B1306)/365.25,2)</f>
        <v>3.65</v>
      </c>
      <c r="Q1306" s="13" t="str">
        <f aca="false">IF(D1306="","Unknown",IF(D1306&lt;25,"Under 25",IF(D1306&lt;35,"25-34",IF(D1306&lt;45,"35-44",IF(D1306&lt;55,"45-54","55+")))))</f>
        <v>25-34</v>
      </c>
      <c r="R1306" s="13" t="str">
        <f aca="false">IF(P1306&lt;1,"0-1 yrs",IF(P1306&lt;3,"1-3 yrs",IF(P1306&lt;5,"3-5 yrs",IF(P1306&lt;10,"5-10 yrs","10+ yrs"))))</f>
        <v>3-5 yrs</v>
      </c>
      <c r="S1306" s="13" t="str">
        <f aca="false">IF(I1306&gt;=4,"High",IF(I1306=3,"Medium","Low"))</f>
        <v>High</v>
      </c>
      <c r="T1306" s="13" t="str">
        <f aca="false">IF(M1306=1,YEAR(C1306),"")</f>
        <v/>
      </c>
      <c r="U1306" s="13" t="str">
        <f aca="false">IF(M1306=1,YEAR(C1306)&amp;"-Q"&amp;ROUNDUP(MONTH(C1306)/3,0),"")</f>
        <v/>
      </c>
      <c r="V1306" s="13" t="str">
        <f aca="false">IF(M1306=1,MONTH(C1306),"")</f>
        <v/>
      </c>
    </row>
    <row r="1307" customFormat="false" ht="15" hidden="false" customHeight="false" outlineLevel="0" collapsed="false">
      <c r="A1307" s="13" t="str">
        <f aca="false">TRIM(Raw_Data!A1307)</f>
        <v>EMP1306</v>
      </c>
      <c r="B1307" s="14" t="n">
        <f aca="false">Raw_Data!B1307</f>
        <v>44690</v>
      </c>
      <c r="C1307" s="14" t="str">
        <f aca="false">IF(Raw_Data!C1307="","",Raw_Data!C1307)</f>
        <v/>
      </c>
      <c r="D1307" s="13" t="n">
        <f aca="false">IF(Raw_Data!D1307="","",Raw_Data!D1307)</f>
        <v>36</v>
      </c>
      <c r="E1307" s="13" t="str">
        <f aca="false">IF(UPPER(LEFT(TRIM(Raw_Data!E1307),1))="M","Male",IF(UPPER(LEFT(TRIM(Raw_Data!E1307),1))="F","Female","Unknown"))</f>
        <v>Male</v>
      </c>
      <c r="F1307" s="13" t="str">
        <f aca="false">PROPER(TRIM(SUBSTITUTE(Raw_Data!F1307,"'","")))</f>
        <v>Diploma</v>
      </c>
      <c r="G1307" s="13" t="str">
        <f aca="false">PROPER(TRIM(Raw_Data!G1307))</f>
        <v>Engineering</v>
      </c>
      <c r="H1307" s="13" t="str">
        <f aca="false">PROPER(TRIM(Raw_Data!H1307))</f>
        <v>Team Lead</v>
      </c>
      <c r="I1307" s="13" t="n">
        <f aca="false">IF(Raw_Data!I1307="",DefaultPerf,Raw_Data!I1307)</f>
        <v>2</v>
      </c>
      <c r="J1307" s="13" t="n">
        <f aca="false">IF(Raw_Data!J1307="",DefaultSat,Raw_Data!J1307)</f>
        <v>3</v>
      </c>
      <c r="K1307" s="15" t="n">
        <f aca="false">Raw_Data!K1307</f>
        <v>140000</v>
      </c>
      <c r="L1307" s="13" t="str">
        <f aca="false">PROPER(TRIM(Raw_Data!N1307))</f>
        <v>No</v>
      </c>
      <c r="M1307" s="13" t="n">
        <f aca="false">IF(C1307="",0,1)</f>
        <v>0</v>
      </c>
      <c r="N1307" s="13" t="str">
        <f aca="false">IF(M1307=0,"Active",IF(TRIM(Raw_Data!L1307)="","Unknown",PROPER(TRIM(Raw_Data!L1307))))</f>
        <v>Active</v>
      </c>
      <c r="O1307" s="13" t="str">
        <f aca="false">IF(M1307=0,"",IF(TRIM(Raw_Data!M1307)="","Not Recorded",TRIM(Raw_Data!M1307)))</f>
        <v/>
      </c>
      <c r="P1307" s="16" t="n">
        <f aca="false">ROUND((IF(C1307="",AsOfDate,C1307)-B1307)/365.25,2)</f>
        <v>3.65</v>
      </c>
      <c r="Q1307" s="13" t="str">
        <f aca="false">IF(D1307="","Unknown",IF(D1307&lt;25,"Under 25",IF(D1307&lt;35,"25-34",IF(D1307&lt;45,"35-44",IF(D1307&lt;55,"45-54","55+")))))</f>
        <v>35-44</v>
      </c>
      <c r="R1307" s="13" t="str">
        <f aca="false">IF(P1307&lt;1,"0-1 yrs",IF(P1307&lt;3,"1-3 yrs",IF(P1307&lt;5,"3-5 yrs",IF(P1307&lt;10,"5-10 yrs","10+ yrs"))))</f>
        <v>3-5 yrs</v>
      </c>
      <c r="S1307" s="13" t="str">
        <f aca="false">IF(I1307&gt;=4,"High",IF(I1307=3,"Medium","Low"))</f>
        <v>Low</v>
      </c>
      <c r="T1307" s="13" t="str">
        <f aca="false">IF(M1307=1,YEAR(C1307),"")</f>
        <v/>
      </c>
      <c r="U1307" s="13" t="str">
        <f aca="false">IF(M1307=1,YEAR(C1307)&amp;"-Q"&amp;ROUNDUP(MONTH(C1307)/3,0),"")</f>
        <v/>
      </c>
      <c r="V1307" s="13" t="str">
        <f aca="false">IF(M1307=1,MONTH(C1307),"")</f>
        <v/>
      </c>
    </row>
    <row r="1308" customFormat="false" ht="15" hidden="false" customHeight="false" outlineLevel="0" collapsed="false">
      <c r="A1308" s="13" t="str">
        <f aca="false">TRIM(Raw_Data!A1308)</f>
        <v>EMP1307</v>
      </c>
      <c r="B1308" s="14" t="n">
        <f aca="false">Raw_Data!B1308</f>
        <v>44691</v>
      </c>
      <c r="C1308" s="14" t="str">
        <f aca="false">IF(Raw_Data!C1308="","",Raw_Data!C1308)</f>
        <v/>
      </c>
      <c r="D1308" s="13" t="n">
        <f aca="false">IF(Raw_Data!D1308="","",Raw_Data!D1308)</f>
        <v>31</v>
      </c>
      <c r="E1308" s="13" t="str">
        <f aca="false">IF(UPPER(LEFT(TRIM(Raw_Data!E1308),1))="M","Male",IF(UPPER(LEFT(TRIM(Raw_Data!E1308),1))="F","Female","Unknown"))</f>
        <v>Male</v>
      </c>
      <c r="F1308" s="13" t="str">
        <f aca="false">PROPER(TRIM(SUBSTITUTE(Raw_Data!F1308,"'","")))</f>
        <v>Bachelors</v>
      </c>
      <c r="G1308" s="13" t="str">
        <f aca="false">PROPER(TRIM(Raw_Data!G1308))</f>
        <v>Engineering</v>
      </c>
      <c r="H1308" s="13" t="str">
        <f aca="false">PROPER(TRIM(Raw_Data!H1308))</f>
        <v>Analyst</v>
      </c>
      <c r="I1308" s="13" t="n">
        <f aca="false">IF(Raw_Data!I1308="",DefaultPerf,Raw_Data!I1308)</f>
        <v>5</v>
      </c>
      <c r="J1308" s="17" t="n">
        <f aca="false">IF(Raw_Data!J1308="",DefaultSat,Raw_Data!J1308)</f>
        <v>3</v>
      </c>
      <c r="K1308" s="15" t="n">
        <f aca="false">Raw_Data!K1308</f>
        <v>59000</v>
      </c>
      <c r="L1308" s="13" t="str">
        <f aca="false">PROPER(TRIM(Raw_Data!N1308))</f>
        <v>No</v>
      </c>
      <c r="M1308" s="13" t="n">
        <f aca="false">IF(C1308="",0,1)</f>
        <v>0</v>
      </c>
      <c r="N1308" s="13" t="str">
        <f aca="false">IF(M1308=0,"Active",IF(TRIM(Raw_Data!L1308)="","Unknown",PROPER(TRIM(Raw_Data!L1308))))</f>
        <v>Active</v>
      </c>
      <c r="O1308" s="13" t="str">
        <f aca="false">IF(M1308=0,"",IF(TRIM(Raw_Data!M1308)="","Not Recorded",TRIM(Raw_Data!M1308)))</f>
        <v/>
      </c>
      <c r="P1308" s="16" t="n">
        <f aca="false">ROUND((IF(C1308="",AsOfDate,C1308)-B1308)/365.25,2)</f>
        <v>3.64</v>
      </c>
      <c r="Q1308" s="13" t="str">
        <f aca="false">IF(D1308="","Unknown",IF(D1308&lt;25,"Under 25",IF(D1308&lt;35,"25-34",IF(D1308&lt;45,"35-44",IF(D1308&lt;55,"45-54","55+")))))</f>
        <v>25-34</v>
      </c>
      <c r="R1308" s="13" t="str">
        <f aca="false">IF(P1308&lt;1,"0-1 yrs",IF(P1308&lt;3,"1-3 yrs",IF(P1308&lt;5,"3-5 yrs",IF(P1308&lt;10,"5-10 yrs","10+ yrs"))))</f>
        <v>3-5 yrs</v>
      </c>
      <c r="S1308" s="13" t="str">
        <f aca="false">IF(I1308&gt;=4,"High",IF(I1308=3,"Medium","Low"))</f>
        <v>High</v>
      </c>
      <c r="T1308" s="13" t="str">
        <f aca="false">IF(M1308=1,YEAR(C1308),"")</f>
        <v/>
      </c>
      <c r="U1308" s="13" t="str">
        <f aca="false">IF(M1308=1,YEAR(C1308)&amp;"-Q"&amp;ROUNDUP(MONTH(C1308)/3,0),"")</f>
        <v/>
      </c>
      <c r="V1308" s="13" t="str">
        <f aca="false">IF(M1308=1,MONTH(C1308),"")</f>
        <v/>
      </c>
    </row>
    <row r="1309" customFormat="false" ht="15" hidden="false" customHeight="false" outlineLevel="0" collapsed="false">
      <c r="A1309" s="13" t="str">
        <f aca="false">TRIM(Raw_Data!A1309)</f>
        <v>EMP1308</v>
      </c>
      <c r="B1309" s="14" t="n">
        <f aca="false">Raw_Data!B1309</f>
        <v>44695</v>
      </c>
      <c r="C1309" s="14" t="str">
        <f aca="false">IF(Raw_Data!C1309="","",Raw_Data!C1309)</f>
        <v/>
      </c>
      <c r="D1309" s="13" t="n">
        <f aca="false">IF(Raw_Data!D1309="","",Raw_Data!D1309)</f>
        <v>39</v>
      </c>
      <c r="E1309" s="13" t="str">
        <f aca="false">IF(UPPER(LEFT(TRIM(Raw_Data!E1309),1))="M","Male",IF(UPPER(LEFT(TRIM(Raw_Data!E1309),1))="F","Female","Unknown"))</f>
        <v>Male</v>
      </c>
      <c r="F1309" s="13" t="str">
        <f aca="false">PROPER(TRIM(SUBSTITUTE(Raw_Data!F1309,"'","")))</f>
        <v>Bachelors</v>
      </c>
      <c r="G1309" s="13" t="str">
        <f aca="false">PROPER(TRIM(Raw_Data!G1309))</f>
        <v>Operations</v>
      </c>
      <c r="H1309" s="13" t="str">
        <f aca="false">PROPER(TRIM(Raw_Data!H1309))</f>
        <v>Associate</v>
      </c>
      <c r="I1309" s="13" t="n">
        <f aca="false">IF(Raw_Data!I1309="",DefaultPerf,Raw_Data!I1309)</f>
        <v>3</v>
      </c>
      <c r="J1309" s="13" t="n">
        <f aca="false">IF(Raw_Data!J1309="",DefaultSat,Raw_Data!J1309)</f>
        <v>4</v>
      </c>
      <c r="K1309" s="15" t="n">
        <f aca="false">Raw_Data!K1309</f>
        <v>42000</v>
      </c>
      <c r="L1309" s="13" t="str">
        <f aca="false">PROPER(TRIM(Raw_Data!N1309))</f>
        <v>No</v>
      </c>
      <c r="M1309" s="13" t="n">
        <f aca="false">IF(C1309="",0,1)</f>
        <v>0</v>
      </c>
      <c r="N1309" s="13" t="str">
        <f aca="false">IF(M1309=0,"Active",IF(TRIM(Raw_Data!L1309)="","Unknown",PROPER(TRIM(Raw_Data!L1309))))</f>
        <v>Active</v>
      </c>
      <c r="O1309" s="13" t="str">
        <f aca="false">IF(M1309=0,"",IF(TRIM(Raw_Data!M1309)="","Not Recorded",TRIM(Raw_Data!M1309)))</f>
        <v/>
      </c>
      <c r="P1309" s="16" t="n">
        <f aca="false">ROUND((IF(C1309="",AsOfDate,C1309)-B1309)/365.25,2)</f>
        <v>3.63</v>
      </c>
      <c r="Q1309" s="13" t="str">
        <f aca="false">IF(D1309="","Unknown",IF(D1309&lt;25,"Under 25",IF(D1309&lt;35,"25-34",IF(D1309&lt;45,"35-44",IF(D1309&lt;55,"45-54","55+")))))</f>
        <v>35-44</v>
      </c>
      <c r="R1309" s="13" t="str">
        <f aca="false">IF(P1309&lt;1,"0-1 yrs",IF(P1309&lt;3,"1-3 yrs",IF(P1309&lt;5,"3-5 yrs",IF(P1309&lt;10,"5-10 yrs","10+ yrs"))))</f>
        <v>3-5 yrs</v>
      </c>
      <c r="S1309" s="13" t="str">
        <f aca="false">IF(I1309&gt;=4,"High",IF(I1309=3,"Medium","Low"))</f>
        <v>Medium</v>
      </c>
      <c r="T1309" s="13" t="str">
        <f aca="false">IF(M1309=1,YEAR(C1309),"")</f>
        <v/>
      </c>
      <c r="U1309" s="13" t="str">
        <f aca="false">IF(M1309=1,YEAR(C1309)&amp;"-Q"&amp;ROUNDUP(MONTH(C1309)/3,0),"")</f>
        <v/>
      </c>
      <c r="V1309" s="13" t="str">
        <f aca="false">IF(M1309=1,MONTH(C1309),"")</f>
        <v/>
      </c>
    </row>
    <row r="1310" customFormat="false" ht="15" hidden="false" customHeight="false" outlineLevel="0" collapsed="false">
      <c r="A1310" s="13" t="str">
        <f aca="false">TRIM(Raw_Data!A1310)</f>
        <v>EMP1309</v>
      </c>
      <c r="B1310" s="14" t="n">
        <f aca="false">Raw_Data!B1310</f>
        <v>44697</v>
      </c>
      <c r="C1310" s="14" t="str">
        <f aca="false">IF(Raw_Data!C1310="","",Raw_Data!C1310)</f>
        <v/>
      </c>
      <c r="D1310" s="13" t="n">
        <f aca="false">IF(Raw_Data!D1310="","",Raw_Data!D1310)</f>
        <v>25</v>
      </c>
      <c r="E1310" s="13" t="str">
        <f aca="false">IF(UPPER(LEFT(TRIM(Raw_Data!E1310),1))="M","Male",IF(UPPER(LEFT(TRIM(Raw_Data!E1310),1))="F","Female","Unknown"))</f>
        <v>Female</v>
      </c>
      <c r="F1310" s="13" t="str">
        <f aca="false">PROPER(TRIM(SUBSTITUTE(Raw_Data!F1310,"'","")))</f>
        <v>Bachelors</v>
      </c>
      <c r="G1310" s="13" t="str">
        <f aca="false">PROPER(TRIM(Raw_Data!G1310))</f>
        <v>Operations</v>
      </c>
      <c r="H1310" s="13" t="str">
        <f aca="false">PROPER(TRIM(Raw_Data!H1310))</f>
        <v>Associate</v>
      </c>
      <c r="I1310" s="13" t="n">
        <f aca="false">IF(Raw_Data!I1310="",DefaultPerf,Raw_Data!I1310)</f>
        <v>3</v>
      </c>
      <c r="J1310" s="13" t="n">
        <f aca="false">IF(Raw_Data!J1310="",DefaultSat,Raw_Data!J1310)</f>
        <v>4</v>
      </c>
      <c r="K1310" s="15" t="n">
        <f aca="false">Raw_Data!K1310</f>
        <v>35000</v>
      </c>
      <c r="L1310" s="13" t="str">
        <f aca="false">PROPER(TRIM(Raw_Data!N1310))</f>
        <v>No</v>
      </c>
      <c r="M1310" s="13" t="n">
        <f aca="false">IF(C1310="",0,1)</f>
        <v>0</v>
      </c>
      <c r="N1310" s="13" t="str">
        <f aca="false">IF(M1310=0,"Active",IF(TRIM(Raw_Data!L1310)="","Unknown",PROPER(TRIM(Raw_Data!L1310))))</f>
        <v>Active</v>
      </c>
      <c r="O1310" s="13" t="str">
        <f aca="false">IF(M1310=0,"",IF(TRIM(Raw_Data!M1310)="","Not Recorded",TRIM(Raw_Data!M1310)))</f>
        <v/>
      </c>
      <c r="P1310" s="16" t="n">
        <f aca="false">ROUND((IF(C1310="",AsOfDate,C1310)-B1310)/365.25,2)</f>
        <v>3.63</v>
      </c>
      <c r="Q1310" s="13" t="str">
        <f aca="false">IF(D1310="","Unknown",IF(D1310&lt;25,"Under 25",IF(D1310&lt;35,"25-34",IF(D1310&lt;45,"35-44",IF(D1310&lt;55,"45-54","55+")))))</f>
        <v>25-34</v>
      </c>
      <c r="R1310" s="13" t="str">
        <f aca="false">IF(P1310&lt;1,"0-1 yrs",IF(P1310&lt;3,"1-3 yrs",IF(P1310&lt;5,"3-5 yrs",IF(P1310&lt;10,"5-10 yrs","10+ yrs"))))</f>
        <v>3-5 yrs</v>
      </c>
      <c r="S1310" s="13" t="str">
        <f aca="false">IF(I1310&gt;=4,"High",IF(I1310=3,"Medium","Low"))</f>
        <v>Medium</v>
      </c>
      <c r="T1310" s="13" t="str">
        <f aca="false">IF(M1310=1,YEAR(C1310),"")</f>
        <v/>
      </c>
      <c r="U1310" s="13" t="str">
        <f aca="false">IF(M1310=1,YEAR(C1310)&amp;"-Q"&amp;ROUNDUP(MONTH(C1310)/3,0),"")</f>
        <v/>
      </c>
      <c r="V1310" s="13" t="str">
        <f aca="false">IF(M1310=1,MONTH(C1310),"")</f>
        <v/>
      </c>
    </row>
    <row r="1311" customFormat="false" ht="15" hidden="false" customHeight="false" outlineLevel="0" collapsed="false">
      <c r="A1311" s="13" t="str">
        <f aca="false">TRIM(Raw_Data!A1311)</f>
        <v>EMP1310</v>
      </c>
      <c r="B1311" s="14" t="n">
        <f aca="false">Raw_Data!B1311</f>
        <v>44698</v>
      </c>
      <c r="C1311" s="14" t="str">
        <f aca="false">IF(Raw_Data!C1311="","",Raw_Data!C1311)</f>
        <v/>
      </c>
      <c r="D1311" s="13" t="str">
        <f aca="false">IF(Raw_Data!D1311="","",Raw_Data!D1311)</f>
        <v/>
      </c>
      <c r="E1311" s="13" t="str">
        <f aca="false">IF(UPPER(LEFT(TRIM(Raw_Data!E1311),1))="M","Male",IF(UPPER(LEFT(TRIM(Raw_Data!E1311),1))="F","Female","Unknown"))</f>
        <v>Female</v>
      </c>
      <c r="F1311" s="13" t="str">
        <f aca="false">PROPER(TRIM(SUBSTITUTE(Raw_Data!F1311,"'","")))</f>
        <v>Bachelors</v>
      </c>
      <c r="G1311" s="13" t="str">
        <f aca="false">PROPER(TRIM(Raw_Data!G1311))</f>
        <v>Sales</v>
      </c>
      <c r="H1311" s="13" t="str">
        <f aca="false">PROPER(TRIM(Raw_Data!H1311))</f>
        <v>Manager</v>
      </c>
      <c r="I1311" s="13" t="n">
        <f aca="false">IF(Raw_Data!I1311="",DefaultPerf,Raw_Data!I1311)</f>
        <v>4</v>
      </c>
      <c r="J1311" s="13" t="n">
        <f aca="false">IF(Raw_Data!J1311="",DefaultSat,Raw_Data!J1311)</f>
        <v>3</v>
      </c>
      <c r="K1311" s="15" t="n">
        <f aca="false">Raw_Data!K1311</f>
        <v>201500</v>
      </c>
      <c r="L1311" s="13" t="str">
        <f aca="false">PROPER(TRIM(Raw_Data!N1311))</f>
        <v>Yes</v>
      </c>
      <c r="M1311" s="13" t="n">
        <f aca="false">IF(C1311="",0,1)</f>
        <v>0</v>
      </c>
      <c r="N1311" s="13" t="str">
        <f aca="false">IF(M1311=0,"Active",IF(TRIM(Raw_Data!L1311)="","Unknown",PROPER(TRIM(Raw_Data!L1311))))</f>
        <v>Active</v>
      </c>
      <c r="O1311" s="13" t="str">
        <f aca="false">IF(M1311=0,"",IF(TRIM(Raw_Data!M1311)="","Not Recorded",TRIM(Raw_Data!M1311)))</f>
        <v/>
      </c>
      <c r="P1311" s="16" t="n">
        <f aca="false">ROUND((IF(C1311="",AsOfDate,C1311)-B1311)/365.25,2)</f>
        <v>3.62</v>
      </c>
      <c r="Q1311" s="13" t="str">
        <f aca="false">IF(D1311="","Unknown",IF(D1311&lt;25,"Under 25",IF(D1311&lt;35,"25-34",IF(D1311&lt;45,"35-44",IF(D1311&lt;55,"45-54","55+")))))</f>
        <v>Unknown</v>
      </c>
      <c r="R1311" s="13" t="str">
        <f aca="false">IF(P1311&lt;1,"0-1 yrs",IF(P1311&lt;3,"1-3 yrs",IF(P1311&lt;5,"3-5 yrs",IF(P1311&lt;10,"5-10 yrs","10+ yrs"))))</f>
        <v>3-5 yrs</v>
      </c>
      <c r="S1311" s="13" t="str">
        <f aca="false">IF(I1311&gt;=4,"High",IF(I1311=3,"Medium","Low"))</f>
        <v>High</v>
      </c>
      <c r="T1311" s="13" t="str">
        <f aca="false">IF(M1311=1,YEAR(C1311),"")</f>
        <v/>
      </c>
      <c r="U1311" s="13" t="str">
        <f aca="false">IF(M1311=1,YEAR(C1311)&amp;"-Q"&amp;ROUNDUP(MONTH(C1311)/3,0),"")</f>
        <v/>
      </c>
      <c r="V1311" s="13" t="str">
        <f aca="false">IF(M1311=1,MONTH(C1311),"")</f>
        <v/>
      </c>
    </row>
    <row r="1312" customFormat="false" ht="15" hidden="false" customHeight="false" outlineLevel="0" collapsed="false">
      <c r="A1312" s="13" t="str">
        <f aca="false">TRIM(Raw_Data!A1312)</f>
        <v>EMP1311</v>
      </c>
      <c r="B1312" s="14" t="n">
        <f aca="false">Raw_Data!B1312</f>
        <v>44699</v>
      </c>
      <c r="C1312" s="14" t="str">
        <f aca="false">IF(Raw_Data!C1312="","",Raw_Data!C1312)</f>
        <v/>
      </c>
      <c r="D1312" s="13" t="n">
        <f aca="false">IF(Raw_Data!D1312="","",Raw_Data!D1312)</f>
        <v>38</v>
      </c>
      <c r="E1312" s="13" t="str">
        <f aca="false">IF(UPPER(LEFT(TRIM(Raw_Data!E1312),1))="M","Male",IF(UPPER(LEFT(TRIM(Raw_Data!E1312),1))="F","Female","Unknown"))</f>
        <v>Female</v>
      </c>
      <c r="F1312" s="13" t="str">
        <f aca="false">PROPER(TRIM(SUBSTITUTE(Raw_Data!F1312,"'","")))</f>
        <v>Bachelors</v>
      </c>
      <c r="G1312" s="13" t="str">
        <f aca="false">PROPER(TRIM(Raw_Data!G1312))</f>
        <v>Customer Support</v>
      </c>
      <c r="H1312" s="13" t="str">
        <f aca="false">PROPER(TRIM(Raw_Data!H1312))</f>
        <v>Senior Analyst</v>
      </c>
      <c r="I1312" s="13" t="n">
        <f aca="false">IF(Raw_Data!I1312="",DefaultPerf,Raw_Data!I1312)</f>
        <v>4</v>
      </c>
      <c r="J1312" s="13" t="n">
        <f aca="false">IF(Raw_Data!J1312="",DefaultSat,Raw_Data!J1312)</f>
        <v>3</v>
      </c>
      <c r="K1312" s="15" t="n">
        <f aca="false">Raw_Data!K1312</f>
        <v>104000</v>
      </c>
      <c r="L1312" s="13" t="str">
        <f aca="false">PROPER(TRIM(Raw_Data!N1312))</f>
        <v>No</v>
      </c>
      <c r="M1312" s="13" t="n">
        <f aca="false">IF(C1312="",0,1)</f>
        <v>0</v>
      </c>
      <c r="N1312" s="13" t="str">
        <f aca="false">IF(M1312=0,"Active",IF(TRIM(Raw_Data!L1312)="","Unknown",PROPER(TRIM(Raw_Data!L1312))))</f>
        <v>Active</v>
      </c>
      <c r="O1312" s="13" t="str">
        <f aca="false">IF(M1312=0,"",IF(TRIM(Raw_Data!M1312)="","Not Recorded",TRIM(Raw_Data!M1312)))</f>
        <v/>
      </c>
      <c r="P1312" s="16" t="n">
        <f aca="false">ROUND((IF(C1312="",AsOfDate,C1312)-B1312)/365.25,2)</f>
        <v>3.62</v>
      </c>
      <c r="Q1312" s="13" t="str">
        <f aca="false">IF(D1312="","Unknown",IF(D1312&lt;25,"Under 25",IF(D1312&lt;35,"25-34",IF(D1312&lt;45,"35-44",IF(D1312&lt;55,"45-54","55+")))))</f>
        <v>35-44</v>
      </c>
      <c r="R1312" s="13" t="str">
        <f aca="false">IF(P1312&lt;1,"0-1 yrs",IF(P1312&lt;3,"1-3 yrs",IF(P1312&lt;5,"3-5 yrs",IF(P1312&lt;10,"5-10 yrs","10+ yrs"))))</f>
        <v>3-5 yrs</v>
      </c>
      <c r="S1312" s="13" t="str">
        <f aca="false">IF(I1312&gt;=4,"High",IF(I1312=3,"Medium","Low"))</f>
        <v>High</v>
      </c>
      <c r="T1312" s="13" t="str">
        <f aca="false">IF(M1312=1,YEAR(C1312),"")</f>
        <v/>
      </c>
      <c r="U1312" s="13" t="str">
        <f aca="false">IF(M1312=1,YEAR(C1312)&amp;"-Q"&amp;ROUNDUP(MONTH(C1312)/3,0),"")</f>
        <v/>
      </c>
      <c r="V1312" s="13" t="str">
        <f aca="false">IF(M1312=1,MONTH(C1312),"")</f>
        <v/>
      </c>
    </row>
    <row r="1313" customFormat="false" ht="15" hidden="false" customHeight="false" outlineLevel="0" collapsed="false">
      <c r="A1313" s="13" t="str">
        <f aca="false">TRIM(Raw_Data!A1313)</f>
        <v>EMP1312</v>
      </c>
      <c r="B1313" s="14" t="n">
        <f aca="false">Raw_Data!B1313</f>
        <v>44701</v>
      </c>
      <c r="C1313" s="14" t="str">
        <f aca="false">IF(Raw_Data!C1313="","",Raw_Data!C1313)</f>
        <v/>
      </c>
      <c r="D1313" s="13" t="n">
        <f aca="false">IF(Raw_Data!D1313="","",Raw_Data!D1313)</f>
        <v>41</v>
      </c>
      <c r="E1313" s="13" t="str">
        <f aca="false">IF(UPPER(LEFT(TRIM(Raw_Data!E1313),1))="M","Male",IF(UPPER(LEFT(TRIM(Raw_Data!E1313),1))="F","Female","Unknown"))</f>
        <v>Male</v>
      </c>
      <c r="F1313" s="13" t="str">
        <f aca="false">PROPER(TRIM(SUBSTITUTE(Raw_Data!F1313,"'","")))</f>
        <v>Bachelors</v>
      </c>
      <c r="G1313" s="13" t="str">
        <f aca="false">PROPER(TRIM(Raw_Data!G1313))</f>
        <v>Engineering</v>
      </c>
      <c r="H1313" s="13" t="str">
        <f aca="false">PROPER(TRIM(Raw_Data!H1313))</f>
        <v>Manager</v>
      </c>
      <c r="I1313" s="13" t="n">
        <f aca="false">IF(Raw_Data!I1313="",DefaultPerf,Raw_Data!I1313)</f>
        <v>3</v>
      </c>
      <c r="J1313" s="13" t="n">
        <f aca="false">IF(Raw_Data!J1313="",DefaultSat,Raw_Data!J1313)</f>
        <v>3</v>
      </c>
      <c r="K1313" s="15" t="n">
        <f aca="false">Raw_Data!K1313</f>
        <v>191500</v>
      </c>
      <c r="L1313" s="13" t="str">
        <f aca="false">PROPER(TRIM(Raw_Data!N1313))</f>
        <v>No</v>
      </c>
      <c r="M1313" s="13" t="n">
        <f aca="false">IF(C1313="",0,1)</f>
        <v>0</v>
      </c>
      <c r="N1313" s="13" t="str">
        <f aca="false">IF(M1313=0,"Active",IF(TRIM(Raw_Data!L1313)="","Unknown",PROPER(TRIM(Raw_Data!L1313))))</f>
        <v>Active</v>
      </c>
      <c r="O1313" s="13" t="str">
        <f aca="false">IF(M1313=0,"",IF(TRIM(Raw_Data!M1313)="","Not Recorded",TRIM(Raw_Data!M1313)))</f>
        <v/>
      </c>
      <c r="P1313" s="16" t="n">
        <f aca="false">ROUND((IF(C1313="",AsOfDate,C1313)-B1313)/365.25,2)</f>
        <v>3.62</v>
      </c>
      <c r="Q1313" s="13" t="str">
        <f aca="false">IF(D1313="","Unknown",IF(D1313&lt;25,"Under 25",IF(D1313&lt;35,"25-34",IF(D1313&lt;45,"35-44",IF(D1313&lt;55,"45-54","55+")))))</f>
        <v>35-44</v>
      </c>
      <c r="R1313" s="13" t="str">
        <f aca="false">IF(P1313&lt;1,"0-1 yrs",IF(P1313&lt;3,"1-3 yrs",IF(P1313&lt;5,"3-5 yrs",IF(P1313&lt;10,"5-10 yrs","10+ yrs"))))</f>
        <v>3-5 yrs</v>
      </c>
      <c r="S1313" s="13" t="str">
        <f aca="false">IF(I1313&gt;=4,"High",IF(I1313=3,"Medium","Low"))</f>
        <v>Medium</v>
      </c>
      <c r="T1313" s="13" t="str">
        <f aca="false">IF(M1313=1,YEAR(C1313),"")</f>
        <v/>
      </c>
      <c r="U1313" s="13" t="str">
        <f aca="false">IF(M1313=1,YEAR(C1313)&amp;"-Q"&amp;ROUNDUP(MONTH(C1313)/3,0),"")</f>
        <v/>
      </c>
      <c r="V1313" s="13" t="str">
        <f aca="false">IF(M1313=1,MONTH(C1313),"")</f>
        <v/>
      </c>
    </row>
    <row r="1314" customFormat="false" ht="15" hidden="false" customHeight="false" outlineLevel="0" collapsed="false">
      <c r="A1314" s="13" t="str">
        <f aca="false">TRIM(Raw_Data!A1314)</f>
        <v>EMP1313</v>
      </c>
      <c r="B1314" s="14" t="n">
        <f aca="false">Raw_Data!B1314</f>
        <v>44702</v>
      </c>
      <c r="C1314" s="14" t="str">
        <f aca="false">IF(Raw_Data!C1314="","",Raw_Data!C1314)</f>
        <v/>
      </c>
      <c r="D1314" s="13" t="n">
        <f aca="false">IF(Raw_Data!D1314="","",Raw_Data!D1314)</f>
        <v>35</v>
      </c>
      <c r="E1314" s="13" t="str">
        <f aca="false">IF(UPPER(LEFT(TRIM(Raw_Data!E1314),1))="M","Male",IF(UPPER(LEFT(TRIM(Raw_Data!E1314),1))="F","Female","Unknown"))</f>
        <v>Male</v>
      </c>
      <c r="F1314" s="13" t="str">
        <f aca="false">PROPER(TRIM(SUBSTITUTE(Raw_Data!F1314,"'","")))</f>
        <v>Masters</v>
      </c>
      <c r="G1314" s="13" t="str">
        <f aca="false">PROPER(TRIM(Raw_Data!G1314))</f>
        <v>Sales</v>
      </c>
      <c r="H1314" s="13" t="str">
        <f aca="false">PROPER(TRIM(Raw_Data!H1314))</f>
        <v>Team Lead</v>
      </c>
      <c r="I1314" s="13" t="n">
        <f aca="false">IF(Raw_Data!I1314="",DefaultPerf,Raw_Data!I1314)</f>
        <v>4</v>
      </c>
      <c r="J1314" s="13" t="n">
        <f aca="false">IF(Raw_Data!J1314="",DefaultSat,Raw_Data!J1314)</f>
        <v>4</v>
      </c>
      <c r="K1314" s="15" t="n">
        <f aca="false">Raw_Data!K1314</f>
        <v>121500</v>
      </c>
      <c r="L1314" s="13" t="str">
        <f aca="false">PROPER(TRIM(Raw_Data!N1314))</f>
        <v>No</v>
      </c>
      <c r="M1314" s="13" t="n">
        <f aca="false">IF(C1314="",0,1)</f>
        <v>0</v>
      </c>
      <c r="N1314" s="13" t="str">
        <f aca="false">IF(M1314=0,"Active",IF(TRIM(Raw_Data!L1314)="","Unknown",PROPER(TRIM(Raw_Data!L1314))))</f>
        <v>Active</v>
      </c>
      <c r="O1314" s="13" t="str">
        <f aca="false">IF(M1314=0,"",IF(TRIM(Raw_Data!M1314)="","Not Recorded",TRIM(Raw_Data!M1314)))</f>
        <v/>
      </c>
      <c r="P1314" s="16" t="n">
        <f aca="false">ROUND((IF(C1314="",AsOfDate,C1314)-B1314)/365.25,2)</f>
        <v>3.61</v>
      </c>
      <c r="Q1314" s="13" t="str">
        <f aca="false">IF(D1314="","Unknown",IF(D1314&lt;25,"Under 25",IF(D1314&lt;35,"25-34",IF(D1314&lt;45,"35-44",IF(D1314&lt;55,"45-54","55+")))))</f>
        <v>35-44</v>
      </c>
      <c r="R1314" s="13" t="str">
        <f aca="false">IF(P1314&lt;1,"0-1 yrs",IF(P1314&lt;3,"1-3 yrs",IF(P1314&lt;5,"3-5 yrs",IF(P1314&lt;10,"5-10 yrs","10+ yrs"))))</f>
        <v>3-5 yrs</v>
      </c>
      <c r="S1314" s="13" t="str">
        <f aca="false">IF(I1314&gt;=4,"High",IF(I1314=3,"Medium","Low"))</f>
        <v>High</v>
      </c>
      <c r="T1314" s="13" t="str">
        <f aca="false">IF(M1314=1,YEAR(C1314),"")</f>
        <v/>
      </c>
      <c r="U1314" s="13" t="str">
        <f aca="false">IF(M1314=1,YEAR(C1314)&amp;"-Q"&amp;ROUNDUP(MONTH(C1314)/3,0),"")</f>
        <v/>
      </c>
      <c r="V1314" s="13" t="str">
        <f aca="false">IF(M1314=1,MONTH(C1314),"")</f>
        <v/>
      </c>
    </row>
    <row r="1315" customFormat="false" ht="15" hidden="false" customHeight="false" outlineLevel="0" collapsed="false">
      <c r="A1315" s="13" t="str">
        <f aca="false">TRIM(Raw_Data!A1315)</f>
        <v>EMP1314</v>
      </c>
      <c r="B1315" s="14" t="n">
        <f aca="false">Raw_Data!B1315</f>
        <v>44702</v>
      </c>
      <c r="C1315" s="14" t="str">
        <f aca="false">IF(Raw_Data!C1315="","",Raw_Data!C1315)</f>
        <v/>
      </c>
      <c r="D1315" s="13" t="n">
        <f aca="false">IF(Raw_Data!D1315="","",Raw_Data!D1315)</f>
        <v>28</v>
      </c>
      <c r="E1315" s="13" t="str">
        <f aca="false">IF(UPPER(LEFT(TRIM(Raw_Data!E1315),1))="M","Male",IF(UPPER(LEFT(TRIM(Raw_Data!E1315),1))="F","Female","Unknown"))</f>
        <v>Female</v>
      </c>
      <c r="F1315" s="13" t="str">
        <f aca="false">PROPER(TRIM(SUBSTITUTE(Raw_Data!F1315,"'","")))</f>
        <v>Bachelors</v>
      </c>
      <c r="G1315" s="13" t="str">
        <f aca="false">PROPER(TRIM(Raw_Data!G1315))</f>
        <v>Engineering</v>
      </c>
      <c r="H1315" s="13" t="str">
        <f aca="false">PROPER(TRIM(Raw_Data!H1315))</f>
        <v>Senior Analyst</v>
      </c>
      <c r="I1315" s="13" t="n">
        <f aca="false">IF(Raw_Data!I1315="",DefaultPerf,Raw_Data!I1315)</f>
        <v>1</v>
      </c>
      <c r="J1315" s="13" t="n">
        <f aca="false">IF(Raw_Data!J1315="",DefaultSat,Raw_Data!J1315)</f>
        <v>1</v>
      </c>
      <c r="K1315" s="15" t="n">
        <f aca="false">Raw_Data!K1315</f>
        <v>104000</v>
      </c>
      <c r="L1315" s="13" t="str">
        <f aca="false">PROPER(TRIM(Raw_Data!N1315))</f>
        <v>No</v>
      </c>
      <c r="M1315" s="13" t="n">
        <f aca="false">IF(C1315="",0,1)</f>
        <v>0</v>
      </c>
      <c r="N1315" s="13" t="str">
        <f aca="false">IF(M1315=0,"Active",IF(TRIM(Raw_Data!L1315)="","Unknown",PROPER(TRIM(Raw_Data!L1315))))</f>
        <v>Active</v>
      </c>
      <c r="O1315" s="13" t="str">
        <f aca="false">IF(M1315=0,"",IF(TRIM(Raw_Data!M1315)="","Not Recorded",TRIM(Raw_Data!M1315)))</f>
        <v/>
      </c>
      <c r="P1315" s="16" t="n">
        <f aca="false">ROUND((IF(C1315="",AsOfDate,C1315)-B1315)/365.25,2)</f>
        <v>3.61</v>
      </c>
      <c r="Q1315" s="13" t="str">
        <f aca="false">IF(D1315="","Unknown",IF(D1315&lt;25,"Under 25",IF(D1315&lt;35,"25-34",IF(D1315&lt;45,"35-44",IF(D1315&lt;55,"45-54","55+")))))</f>
        <v>25-34</v>
      </c>
      <c r="R1315" s="13" t="str">
        <f aca="false">IF(P1315&lt;1,"0-1 yrs",IF(P1315&lt;3,"1-3 yrs",IF(P1315&lt;5,"3-5 yrs",IF(P1315&lt;10,"5-10 yrs","10+ yrs"))))</f>
        <v>3-5 yrs</v>
      </c>
      <c r="S1315" s="13" t="str">
        <f aca="false">IF(I1315&gt;=4,"High",IF(I1315=3,"Medium","Low"))</f>
        <v>Low</v>
      </c>
      <c r="T1315" s="13" t="str">
        <f aca="false">IF(M1315=1,YEAR(C1315),"")</f>
        <v/>
      </c>
      <c r="U1315" s="13" t="str">
        <f aca="false">IF(M1315=1,YEAR(C1315)&amp;"-Q"&amp;ROUNDUP(MONTH(C1315)/3,0),"")</f>
        <v/>
      </c>
      <c r="V1315" s="13" t="str">
        <f aca="false">IF(M1315=1,MONTH(C1315),"")</f>
        <v/>
      </c>
    </row>
    <row r="1316" customFormat="false" ht="15" hidden="false" customHeight="false" outlineLevel="0" collapsed="false">
      <c r="A1316" s="13" t="str">
        <f aca="false">TRIM(Raw_Data!A1316)</f>
        <v>EMP1315</v>
      </c>
      <c r="B1316" s="14" t="n">
        <f aca="false">Raw_Data!B1316</f>
        <v>44705</v>
      </c>
      <c r="C1316" s="14" t="str">
        <f aca="false">IF(Raw_Data!C1316="","",Raw_Data!C1316)</f>
        <v/>
      </c>
      <c r="D1316" s="13" t="n">
        <f aca="false">IF(Raw_Data!D1316="","",Raw_Data!D1316)</f>
        <v>30</v>
      </c>
      <c r="E1316" s="13" t="str">
        <f aca="false">IF(UPPER(LEFT(TRIM(Raw_Data!E1316),1))="M","Male",IF(UPPER(LEFT(TRIM(Raw_Data!E1316),1))="F","Female","Unknown"))</f>
        <v>Male</v>
      </c>
      <c r="F1316" s="13" t="str">
        <f aca="false">PROPER(TRIM(SUBSTITUTE(Raw_Data!F1316,"'","")))</f>
        <v>Masters</v>
      </c>
      <c r="G1316" s="13" t="str">
        <f aca="false">PROPER(TRIM(Raw_Data!G1316))</f>
        <v>Engineering</v>
      </c>
      <c r="H1316" s="13" t="str">
        <f aca="false">PROPER(TRIM(Raw_Data!H1316))</f>
        <v>Specialist</v>
      </c>
      <c r="I1316" s="13" t="n">
        <f aca="false">IF(Raw_Data!I1316="",DefaultPerf,Raw_Data!I1316)</f>
        <v>4</v>
      </c>
      <c r="J1316" s="13" t="n">
        <f aca="false">IF(Raw_Data!J1316="",DefaultSat,Raw_Data!J1316)</f>
        <v>3</v>
      </c>
      <c r="K1316" s="15" t="n">
        <f aca="false">Raw_Data!K1316</f>
        <v>122500</v>
      </c>
      <c r="L1316" s="13" t="str">
        <f aca="false">PROPER(TRIM(Raw_Data!N1316))</f>
        <v>No</v>
      </c>
      <c r="M1316" s="13" t="n">
        <f aca="false">IF(C1316="",0,1)</f>
        <v>0</v>
      </c>
      <c r="N1316" s="13" t="str">
        <f aca="false">IF(M1316=0,"Active",IF(TRIM(Raw_Data!L1316)="","Unknown",PROPER(TRIM(Raw_Data!L1316))))</f>
        <v>Active</v>
      </c>
      <c r="O1316" s="13" t="str">
        <f aca="false">IF(M1316=0,"",IF(TRIM(Raw_Data!M1316)="","Not Recorded",TRIM(Raw_Data!M1316)))</f>
        <v/>
      </c>
      <c r="P1316" s="16" t="n">
        <f aca="false">ROUND((IF(C1316="",AsOfDate,C1316)-B1316)/365.25,2)</f>
        <v>3.61</v>
      </c>
      <c r="Q1316" s="13" t="str">
        <f aca="false">IF(D1316="","Unknown",IF(D1316&lt;25,"Under 25",IF(D1316&lt;35,"25-34",IF(D1316&lt;45,"35-44",IF(D1316&lt;55,"45-54","55+")))))</f>
        <v>25-34</v>
      </c>
      <c r="R1316" s="13" t="str">
        <f aca="false">IF(P1316&lt;1,"0-1 yrs",IF(P1316&lt;3,"1-3 yrs",IF(P1316&lt;5,"3-5 yrs",IF(P1316&lt;10,"5-10 yrs","10+ yrs"))))</f>
        <v>3-5 yrs</v>
      </c>
      <c r="S1316" s="13" t="str">
        <f aca="false">IF(I1316&gt;=4,"High",IF(I1316=3,"Medium","Low"))</f>
        <v>High</v>
      </c>
      <c r="T1316" s="13" t="str">
        <f aca="false">IF(M1316=1,YEAR(C1316),"")</f>
        <v/>
      </c>
      <c r="U1316" s="13" t="str">
        <f aca="false">IF(M1316=1,YEAR(C1316)&amp;"-Q"&amp;ROUNDUP(MONTH(C1316)/3,0),"")</f>
        <v/>
      </c>
      <c r="V1316" s="13" t="str">
        <f aca="false">IF(M1316=1,MONTH(C1316),"")</f>
        <v/>
      </c>
    </row>
    <row r="1317" customFormat="false" ht="15" hidden="false" customHeight="false" outlineLevel="0" collapsed="false">
      <c r="A1317" s="13" t="str">
        <f aca="false">TRIM(Raw_Data!A1317)</f>
        <v>EMP1316</v>
      </c>
      <c r="B1317" s="14" t="n">
        <f aca="false">Raw_Data!B1317</f>
        <v>44706</v>
      </c>
      <c r="C1317" s="14" t="str">
        <f aca="false">IF(Raw_Data!C1317="","",Raw_Data!C1317)</f>
        <v/>
      </c>
      <c r="D1317" s="13" t="n">
        <f aca="false">IF(Raw_Data!D1317="","",Raw_Data!D1317)</f>
        <v>27</v>
      </c>
      <c r="E1317" s="13" t="str">
        <f aca="false">IF(UPPER(LEFT(TRIM(Raw_Data!E1317),1))="M","Male",IF(UPPER(LEFT(TRIM(Raw_Data!E1317),1))="F","Female","Unknown"))</f>
        <v>Male</v>
      </c>
      <c r="F1317" s="13" t="str">
        <f aca="false">PROPER(TRIM(SUBSTITUTE(Raw_Data!F1317,"'","")))</f>
        <v>Bachelors</v>
      </c>
      <c r="G1317" s="13" t="str">
        <f aca="false">PROPER(TRIM(Raw_Data!G1317))</f>
        <v>Finance</v>
      </c>
      <c r="H1317" s="13" t="str">
        <f aca="false">PROPER(TRIM(Raw_Data!H1317))</f>
        <v>Associate</v>
      </c>
      <c r="I1317" s="13" t="n">
        <f aca="false">IF(Raw_Data!I1317="",DefaultPerf,Raw_Data!I1317)</f>
        <v>4</v>
      </c>
      <c r="J1317" s="13" t="n">
        <f aca="false">IF(Raw_Data!J1317="",DefaultSat,Raw_Data!J1317)</f>
        <v>2</v>
      </c>
      <c r="K1317" s="15" t="n">
        <f aca="false">Raw_Data!K1317</f>
        <v>40500</v>
      </c>
      <c r="L1317" s="13" t="str">
        <f aca="false">PROPER(TRIM(Raw_Data!N1317))</f>
        <v>No</v>
      </c>
      <c r="M1317" s="13" t="n">
        <f aca="false">IF(C1317="",0,1)</f>
        <v>0</v>
      </c>
      <c r="N1317" s="13" t="str">
        <f aca="false">IF(M1317=0,"Active",IF(TRIM(Raw_Data!L1317)="","Unknown",PROPER(TRIM(Raw_Data!L1317))))</f>
        <v>Active</v>
      </c>
      <c r="O1317" s="13" t="str">
        <f aca="false">IF(M1317=0,"",IF(TRIM(Raw_Data!M1317)="","Not Recorded",TRIM(Raw_Data!M1317)))</f>
        <v/>
      </c>
      <c r="P1317" s="16" t="n">
        <f aca="false">ROUND((IF(C1317="",AsOfDate,C1317)-B1317)/365.25,2)</f>
        <v>3.6</v>
      </c>
      <c r="Q1317" s="13" t="str">
        <f aca="false">IF(D1317="","Unknown",IF(D1317&lt;25,"Under 25",IF(D1317&lt;35,"25-34",IF(D1317&lt;45,"35-44",IF(D1317&lt;55,"45-54","55+")))))</f>
        <v>25-34</v>
      </c>
      <c r="R1317" s="13" t="str">
        <f aca="false">IF(P1317&lt;1,"0-1 yrs",IF(P1317&lt;3,"1-3 yrs",IF(P1317&lt;5,"3-5 yrs",IF(P1317&lt;10,"5-10 yrs","10+ yrs"))))</f>
        <v>3-5 yrs</v>
      </c>
      <c r="S1317" s="13" t="str">
        <f aca="false">IF(I1317&gt;=4,"High",IF(I1317=3,"Medium","Low"))</f>
        <v>High</v>
      </c>
      <c r="T1317" s="13" t="str">
        <f aca="false">IF(M1317=1,YEAR(C1317),"")</f>
        <v/>
      </c>
      <c r="U1317" s="13" t="str">
        <f aca="false">IF(M1317=1,YEAR(C1317)&amp;"-Q"&amp;ROUNDUP(MONTH(C1317)/3,0),"")</f>
        <v/>
      </c>
      <c r="V1317" s="13" t="str">
        <f aca="false">IF(M1317=1,MONTH(C1317),"")</f>
        <v/>
      </c>
    </row>
    <row r="1318" customFormat="false" ht="15" hidden="false" customHeight="false" outlineLevel="0" collapsed="false">
      <c r="A1318" s="13" t="str">
        <f aca="false">TRIM(Raw_Data!A1318)</f>
        <v>EMP1317</v>
      </c>
      <c r="B1318" s="14" t="n">
        <f aca="false">Raw_Data!B1318</f>
        <v>44707</v>
      </c>
      <c r="C1318" s="14" t="n">
        <f aca="false">IF(Raw_Data!C1318="","",Raw_Data!C1318)</f>
        <v>45253</v>
      </c>
      <c r="D1318" s="13" t="n">
        <f aca="false">IF(Raw_Data!D1318="","",Raw_Data!D1318)</f>
        <v>22</v>
      </c>
      <c r="E1318" s="13" t="str">
        <f aca="false">IF(UPPER(LEFT(TRIM(Raw_Data!E1318),1))="M","Male",IF(UPPER(LEFT(TRIM(Raw_Data!E1318),1))="F","Female","Unknown"))</f>
        <v>Male</v>
      </c>
      <c r="F1318" s="13" t="str">
        <f aca="false">PROPER(TRIM(SUBSTITUTE(Raw_Data!F1318,"'","")))</f>
        <v>Bachelors</v>
      </c>
      <c r="G1318" s="13" t="str">
        <f aca="false">PROPER(TRIM(Raw_Data!G1318))</f>
        <v>Sales</v>
      </c>
      <c r="H1318" s="13" t="str">
        <f aca="false">PROPER(TRIM(Raw_Data!H1318))</f>
        <v>Team Lead</v>
      </c>
      <c r="I1318" s="13" t="n">
        <f aca="false">IF(Raw_Data!I1318="",DefaultPerf,Raw_Data!I1318)</f>
        <v>1</v>
      </c>
      <c r="J1318" s="13" t="n">
        <f aca="false">IF(Raw_Data!J1318="",DefaultSat,Raw_Data!J1318)</f>
        <v>2</v>
      </c>
      <c r="K1318" s="15" t="n">
        <f aca="false">Raw_Data!K1318</f>
        <v>126500</v>
      </c>
      <c r="L1318" s="13" t="str">
        <f aca="false">PROPER(TRIM(Raw_Data!N1318))</f>
        <v>No</v>
      </c>
      <c r="M1318" s="13" t="n">
        <f aca="false">IF(C1318="",0,1)</f>
        <v>1</v>
      </c>
      <c r="N1318" s="13" t="str">
        <f aca="false">IF(M1318=0,"Active",IF(TRIM(Raw_Data!L1318)="","Unknown",PROPER(TRIM(Raw_Data!L1318))))</f>
        <v>Involuntary</v>
      </c>
      <c r="O1318" s="13" t="str">
        <f aca="false">IF(M1318=0,"",IF(TRIM(Raw_Data!M1318)="","Not Recorded",TRIM(Raw_Data!M1318)))</f>
        <v>Poor Performance</v>
      </c>
      <c r="P1318" s="16" t="n">
        <f aca="false">ROUND((IF(C1318="",AsOfDate,C1318)-B1318)/365.25,2)</f>
        <v>1.49</v>
      </c>
      <c r="Q1318" s="13" t="str">
        <f aca="false">IF(D1318="","Unknown",IF(D1318&lt;25,"Under 25",IF(D1318&lt;35,"25-34",IF(D1318&lt;45,"35-44",IF(D1318&lt;55,"45-54","55+")))))</f>
        <v>Under 25</v>
      </c>
      <c r="R1318" s="13" t="str">
        <f aca="false">IF(P1318&lt;1,"0-1 yrs",IF(P1318&lt;3,"1-3 yrs",IF(P1318&lt;5,"3-5 yrs",IF(P1318&lt;10,"5-10 yrs","10+ yrs"))))</f>
        <v>1-3 yrs</v>
      </c>
      <c r="S1318" s="13" t="str">
        <f aca="false">IF(I1318&gt;=4,"High",IF(I1318=3,"Medium","Low"))</f>
        <v>Low</v>
      </c>
      <c r="T1318" s="13" t="n">
        <f aca="false">IF(M1318=1,YEAR(C1318),"")</f>
        <v>2023</v>
      </c>
      <c r="U1318" s="13" t="str">
        <f aca="false">IF(M1318=1,YEAR(C1318)&amp;"-Q"&amp;ROUNDUP(MONTH(C1318)/3,0),"")</f>
        <v>2023-Q4</v>
      </c>
      <c r="V1318" s="13" t="n">
        <f aca="false">IF(M1318=1,MONTH(C1318),"")</f>
        <v>11</v>
      </c>
    </row>
    <row r="1319" customFormat="false" ht="15" hidden="false" customHeight="false" outlineLevel="0" collapsed="false">
      <c r="A1319" s="13" t="str">
        <f aca="false">TRIM(Raw_Data!A1319)</f>
        <v>EMP1318</v>
      </c>
      <c r="B1319" s="14" t="n">
        <f aca="false">Raw_Data!B1319</f>
        <v>44710</v>
      </c>
      <c r="C1319" s="14" t="n">
        <f aca="false">IF(Raw_Data!C1319="","",Raw_Data!C1319)</f>
        <v>45587</v>
      </c>
      <c r="D1319" s="13" t="n">
        <f aca="false">IF(Raw_Data!D1319="","",Raw_Data!D1319)</f>
        <v>34</v>
      </c>
      <c r="E1319" s="13" t="str">
        <f aca="false">IF(UPPER(LEFT(TRIM(Raw_Data!E1319),1))="M","Male",IF(UPPER(LEFT(TRIM(Raw_Data!E1319),1))="F","Female","Unknown"))</f>
        <v>Female</v>
      </c>
      <c r="F1319" s="13" t="str">
        <f aca="false">PROPER(TRIM(SUBSTITUTE(Raw_Data!F1319,"'","")))</f>
        <v>Diploma</v>
      </c>
      <c r="G1319" s="13" t="str">
        <f aca="false">PROPER(TRIM(Raw_Data!G1319))</f>
        <v>Engineering</v>
      </c>
      <c r="H1319" s="13" t="str">
        <f aca="false">PROPER(TRIM(Raw_Data!H1319))</f>
        <v>Team Lead</v>
      </c>
      <c r="I1319" s="13" t="n">
        <f aca="false">IF(Raw_Data!I1319="",DefaultPerf,Raw_Data!I1319)</f>
        <v>1</v>
      </c>
      <c r="J1319" s="13" t="n">
        <f aca="false">IF(Raw_Data!J1319="",DefaultSat,Raw_Data!J1319)</f>
        <v>2</v>
      </c>
      <c r="K1319" s="15" t="n">
        <f aca="false">Raw_Data!K1319</f>
        <v>139000</v>
      </c>
      <c r="L1319" s="13" t="str">
        <f aca="false">PROPER(TRIM(Raw_Data!N1319))</f>
        <v>Yes</v>
      </c>
      <c r="M1319" s="13" t="n">
        <f aca="false">IF(C1319="",0,1)</f>
        <v>1</v>
      </c>
      <c r="N1319" s="13" t="str">
        <f aca="false">IF(M1319=0,"Active",IF(TRIM(Raw_Data!L1319)="","Unknown",PROPER(TRIM(Raw_Data!L1319))))</f>
        <v>Voluntary</v>
      </c>
      <c r="O1319" s="13" t="str">
        <f aca="false">IF(M1319=0,"",IF(TRIM(Raw_Data!M1319)="","Not Recorded",TRIM(Raw_Data!M1319)))</f>
        <v>Job Dissatisfaction</v>
      </c>
      <c r="P1319" s="16" t="n">
        <f aca="false">ROUND((IF(C1319="",AsOfDate,C1319)-B1319)/365.25,2)</f>
        <v>2.4</v>
      </c>
      <c r="Q1319" s="13" t="str">
        <f aca="false">IF(D1319="","Unknown",IF(D1319&lt;25,"Under 25",IF(D1319&lt;35,"25-34",IF(D1319&lt;45,"35-44",IF(D1319&lt;55,"45-54","55+")))))</f>
        <v>25-34</v>
      </c>
      <c r="R1319" s="13" t="str">
        <f aca="false">IF(P1319&lt;1,"0-1 yrs",IF(P1319&lt;3,"1-3 yrs",IF(P1319&lt;5,"3-5 yrs",IF(P1319&lt;10,"5-10 yrs","10+ yrs"))))</f>
        <v>1-3 yrs</v>
      </c>
      <c r="S1319" s="13" t="str">
        <f aca="false">IF(I1319&gt;=4,"High",IF(I1319=3,"Medium","Low"))</f>
        <v>Low</v>
      </c>
      <c r="T1319" s="13" t="n">
        <f aca="false">IF(M1319=1,YEAR(C1319),"")</f>
        <v>2024</v>
      </c>
      <c r="U1319" s="13" t="str">
        <f aca="false">IF(M1319=1,YEAR(C1319)&amp;"-Q"&amp;ROUNDUP(MONTH(C1319)/3,0),"")</f>
        <v>2024-Q4</v>
      </c>
      <c r="V1319" s="13" t="n">
        <f aca="false">IF(M1319=1,MONTH(C1319),"")</f>
        <v>10</v>
      </c>
    </row>
    <row r="1320" customFormat="false" ht="15" hidden="false" customHeight="false" outlineLevel="0" collapsed="false">
      <c r="A1320" s="13" t="str">
        <f aca="false">TRIM(Raw_Data!A1320)</f>
        <v>EMP1319</v>
      </c>
      <c r="B1320" s="14" t="n">
        <f aca="false">Raw_Data!B1320</f>
        <v>44712</v>
      </c>
      <c r="C1320" s="14" t="str">
        <f aca="false">IF(Raw_Data!C1320="","",Raw_Data!C1320)</f>
        <v/>
      </c>
      <c r="D1320" s="13" t="n">
        <f aca="false">IF(Raw_Data!D1320="","",Raw_Data!D1320)</f>
        <v>29</v>
      </c>
      <c r="E1320" s="13" t="str">
        <f aca="false">IF(UPPER(LEFT(TRIM(Raw_Data!E1320),1))="M","Male",IF(UPPER(LEFT(TRIM(Raw_Data!E1320),1))="F","Female","Unknown"))</f>
        <v>Male</v>
      </c>
      <c r="F1320" s="13" t="str">
        <f aca="false">PROPER(TRIM(SUBSTITUTE(Raw_Data!F1320,"'","")))</f>
        <v>Masters</v>
      </c>
      <c r="G1320" s="13" t="str">
        <f aca="false">PROPER(TRIM(Raw_Data!G1320))</f>
        <v>Engineering</v>
      </c>
      <c r="H1320" s="13" t="str">
        <f aca="false">PROPER(TRIM(Raw_Data!H1320))</f>
        <v>Analyst</v>
      </c>
      <c r="I1320" s="13" t="n">
        <f aca="false">IF(Raw_Data!I1320="",DefaultPerf,Raw_Data!I1320)</f>
        <v>4</v>
      </c>
      <c r="J1320" s="13" t="n">
        <f aca="false">IF(Raw_Data!J1320="",DefaultSat,Raw_Data!J1320)</f>
        <v>4</v>
      </c>
      <c r="K1320" s="15" t="n">
        <f aca="false">Raw_Data!K1320</f>
        <v>69000</v>
      </c>
      <c r="L1320" s="13" t="str">
        <f aca="false">PROPER(TRIM(Raw_Data!N1320))</f>
        <v>No</v>
      </c>
      <c r="M1320" s="13" t="n">
        <f aca="false">IF(C1320="",0,1)</f>
        <v>0</v>
      </c>
      <c r="N1320" s="13" t="str">
        <f aca="false">IF(M1320=0,"Active",IF(TRIM(Raw_Data!L1320)="","Unknown",PROPER(TRIM(Raw_Data!L1320))))</f>
        <v>Active</v>
      </c>
      <c r="O1320" s="13" t="str">
        <f aca="false">IF(M1320=0,"",IF(TRIM(Raw_Data!M1320)="","Not Recorded",TRIM(Raw_Data!M1320)))</f>
        <v/>
      </c>
      <c r="P1320" s="16" t="n">
        <f aca="false">ROUND((IF(C1320="",AsOfDate,C1320)-B1320)/365.25,2)</f>
        <v>3.59</v>
      </c>
      <c r="Q1320" s="13" t="str">
        <f aca="false">IF(D1320="","Unknown",IF(D1320&lt;25,"Under 25",IF(D1320&lt;35,"25-34",IF(D1320&lt;45,"35-44",IF(D1320&lt;55,"45-54","55+")))))</f>
        <v>25-34</v>
      </c>
      <c r="R1320" s="13" t="str">
        <f aca="false">IF(P1320&lt;1,"0-1 yrs",IF(P1320&lt;3,"1-3 yrs",IF(P1320&lt;5,"3-5 yrs",IF(P1320&lt;10,"5-10 yrs","10+ yrs"))))</f>
        <v>3-5 yrs</v>
      </c>
      <c r="S1320" s="13" t="str">
        <f aca="false">IF(I1320&gt;=4,"High",IF(I1320=3,"Medium","Low"))</f>
        <v>High</v>
      </c>
      <c r="T1320" s="13" t="str">
        <f aca="false">IF(M1320=1,YEAR(C1320),"")</f>
        <v/>
      </c>
      <c r="U1320" s="13" t="str">
        <f aca="false">IF(M1320=1,YEAR(C1320)&amp;"-Q"&amp;ROUNDUP(MONTH(C1320)/3,0),"")</f>
        <v/>
      </c>
      <c r="V1320" s="13" t="str">
        <f aca="false">IF(M1320=1,MONTH(C1320),"")</f>
        <v/>
      </c>
    </row>
    <row r="1321" customFormat="false" ht="15" hidden="false" customHeight="false" outlineLevel="0" collapsed="false">
      <c r="A1321" s="13" t="str">
        <f aca="false">TRIM(Raw_Data!A1321)</f>
        <v>EMP1320</v>
      </c>
      <c r="B1321" s="14" t="n">
        <f aca="false">Raw_Data!B1321</f>
        <v>44713</v>
      </c>
      <c r="C1321" s="14" t="str">
        <f aca="false">IF(Raw_Data!C1321="","",Raw_Data!C1321)</f>
        <v/>
      </c>
      <c r="D1321" s="13" t="n">
        <f aca="false">IF(Raw_Data!D1321="","",Raw_Data!D1321)</f>
        <v>33</v>
      </c>
      <c r="E1321" s="13" t="str">
        <f aca="false">IF(UPPER(LEFT(TRIM(Raw_Data!E1321),1))="M","Male",IF(UPPER(LEFT(TRIM(Raw_Data!E1321),1))="F","Female","Unknown"))</f>
        <v>Female</v>
      </c>
      <c r="F1321" s="13" t="str">
        <f aca="false">PROPER(TRIM(SUBSTITUTE(Raw_Data!F1321,"'","")))</f>
        <v>Doctorate</v>
      </c>
      <c r="G1321" s="13" t="str">
        <f aca="false">PROPER(TRIM(Raw_Data!G1321))</f>
        <v>Engineering</v>
      </c>
      <c r="H1321" s="13" t="str">
        <f aca="false">PROPER(TRIM(Raw_Data!H1321))</f>
        <v>Analyst</v>
      </c>
      <c r="I1321" s="13" t="n">
        <f aca="false">IF(Raw_Data!I1321="",DefaultPerf,Raw_Data!I1321)</f>
        <v>3</v>
      </c>
      <c r="J1321" s="13" t="n">
        <f aca="false">IF(Raw_Data!J1321="",DefaultSat,Raw_Data!J1321)</f>
        <v>4</v>
      </c>
      <c r="K1321" s="15" t="n">
        <f aca="false">Raw_Data!K1321</f>
        <v>57000</v>
      </c>
      <c r="L1321" s="13" t="str">
        <f aca="false">PROPER(TRIM(Raw_Data!N1321))</f>
        <v>No</v>
      </c>
      <c r="M1321" s="13" t="n">
        <f aca="false">IF(C1321="",0,1)</f>
        <v>0</v>
      </c>
      <c r="N1321" s="13" t="str">
        <f aca="false">IF(M1321=0,"Active",IF(TRIM(Raw_Data!L1321)="","Unknown",PROPER(TRIM(Raw_Data!L1321))))</f>
        <v>Active</v>
      </c>
      <c r="O1321" s="13" t="str">
        <f aca="false">IF(M1321=0,"",IF(TRIM(Raw_Data!M1321)="","Not Recorded",TRIM(Raw_Data!M1321)))</f>
        <v/>
      </c>
      <c r="P1321" s="16" t="n">
        <f aca="false">ROUND((IF(C1321="",AsOfDate,C1321)-B1321)/365.25,2)</f>
        <v>3.58</v>
      </c>
      <c r="Q1321" s="13" t="str">
        <f aca="false">IF(D1321="","Unknown",IF(D1321&lt;25,"Under 25",IF(D1321&lt;35,"25-34",IF(D1321&lt;45,"35-44",IF(D1321&lt;55,"45-54","55+")))))</f>
        <v>25-34</v>
      </c>
      <c r="R1321" s="13" t="str">
        <f aca="false">IF(P1321&lt;1,"0-1 yrs",IF(P1321&lt;3,"1-3 yrs",IF(P1321&lt;5,"3-5 yrs",IF(P1321&lt;10,"5-10 yrs","10+ yrs"))))</f>
        <v>3-5 yrs</v>
      </c>
      <c r="S1321" s="13" t="str">
        <f aca="false">IF(I1321&gt;=4,"High",IF(I1321=3,"Medium","Low"))</f>
        <v>Medium</v>
      </c>
      <c r="T1321" s="13" t="str">
        <f aca="false">IF(M1321=1,YEAR(C1321),"")</f>
        <v/>
      </c>
      <c r="U1321" s="13" t="str">
        <f aca="false">IF(M1321=1,YEAR(C1321)&amp;"-Q"&amp;ROUNDUP(MONTH(C1321)/3,0),"")</f>
        <v/>
      </c>
      <c r="V1321" s="13" t="str">
        <f aca="false">IF(M1321=1,MONTH(C1321),"")</f>
        <v/>
      </c>
    </row>
    <row r="1322" customFormat="false" ht="15" hidden="false" customHeight="false" outlineLevel="0" collapsed="false">
      <c r="A1322" s="13" t="str">
        <f aca="false">TRIM(Raw_Data!A1322)</f>
        <v>EMP1321</v>
      </c>
      <c r="B1322" s="14" t="n">
        <f aca="false">Raw_Data!B1322</f>
        <v>44717</v>
      </c>
      <c r="C1322" s="14" t="str">
        <f aca="false">IF(Raw_Data!C1322="","",Raw_Data!C1322)</f>
        <v/>
      </c>
      <c r="D1322" s="13" t="n">
        <f aca="false">IF(Raw_Data!D1322="","",Raw_Data!D1322)</f>
        <v>39</v>
      </c>
      <c r="E1322" s="13" t="str">
        <f aca="false">IF(UPPER(LEFT(TRIM(Raw_Data!E1322),1))="M","Male",IF(UPPER(LEFT(TRIM(Raw_Data!E1322),1))="F","Female","Unknown"))</f>
        <v>Female</v>
      </c>
      <c r="F1322" s="13" t="str">
        <f aca="false">PROPER(TRIM(SUBSTITUTE(Raw_Data!F1322,"'","")))</f>
        <v>Diploma</v>
      </c>
      <c r="G1322" s="13" t="str">
        <f aca="false">PROPER(TRIM(Raw_Data!G1322))</f>
        <v>Engineering</v>
      </c>
      <c r="H1322" s="13" t="str">
        <f aca="false">PROPER(TRIM(Raw_Data!H1322))</f>
        <v>Analyst</v>
      </c>
      <c r="I1322" s="13" t="n">
        <f aca="false">IF(Raw_Data!I1322="",DefaultPerf,Raw_Data!I1322)</f>
        <v>5</v>
      </c>
      <c r="J1322" s="13" t="n">
        <f aca="false">IF(Raw_Data!J1322="",DefaultSat,Raw_Data!J1322)</f>
        <v>4</v>
      </c>
      <c r="K1322" s="15" t="n">
        <f aca="false">Raw_Data!K1322</f>
        <v>51000</v>
      </c>
      <c r="L1322" s="13" t="str">
        <f aca="false">PROPER(TRIM(Raw_Data!N1322))</f>
        <v>No</v>
      </c>
      <c r="M1322" s="13" t="n">
        <f aca="false">IF(C1322="",0,1)</f>
        <v>0</v>
      </c>
      <c r="N1322" s="13" t="str">
        <f aca="false">IF(M1322=0,"Active",IF(TRIM(Raw_Data!L1322)="","Unknown",PROPER(TRIM(Raw_Data!L1322))))</f>
        <v>Active</v>
      </c>
      <c r="O1322" s="13" t="str">
        <f aca="false">IF(M1322=0,"",IF(TRIM(Raw_Data!M1322)="","Not Recorded",TRIM(Raw_Data!M1322)))</f>
        <v/>
      </c>
      <c r="P1322" s="16" t="n">
        <f aca="false">ROUND((IF(C1322="",AsOfDate,C1322)-B1322)/365.25,2)</f>
        <v>3.57</v>
      </c>
      <c r="Q1322" s="13" t="str">
        <f aca="false">IF(D1322="","Unknown",IF(D1322&lt;25,"Under 25",IF(D1322&lt;35,"25-34",IF(D1322&lt;45,"35-44",IF(D1322&lt;55,"45-54","55+")))))</f>
        <v>35-44</v>
      </c>
      <c r="R1322" s="13" t="str">
        <f aca="false">IF(P1322&lt;1,"0-1 yrs",IF(P1322&lt;3,"1-3 yrs",IF(P1322&lt;5,"3-5 yrs",IF(P1322&lt;10,"5-10 yrs","10+ yrs"))))</f>
        <v>3-5 yrs</v>
      </c>
      <c r="S1322" s="13" t="str">
        <f aca="false">IF(I1322&gt;=4,"High",IF(I1322=3,"Medium","Low"))</f>
        <v>High</v>
      </c>
      <c r="T1322" s="13" t="str">
        <f aca="false">IF(M1322=1,YEAR(C1322),"")</f>
        <v/>
      </c>
      <c r="U1322" s="13" t="str">
        <f aca="false">IF(M1322=1,YEAR(C1322)&amp;"-Q"&amp;ROUNDUP(MONTH(C1322)/3,0),"")</f>
        <v/>
      </c>
      <c r="V1322" s="13" t="str">
        <f aca="false">IF(M1322=1,MONTH(C1322),"")</f>
        <v/>
      </c>
    </row>
    <row r="1323" customFormat="false" ht="15" hidden="false" customHeight="false" outlineLevel="0" collapsed="false">
      <c r="A1323" s="13" t="str">
        <f aca="false">TRIM(Raw_Data!A1323)</f>
        <v>EMP1322</v>
      </c>
      <c r="B1323" s="14" t="n">
        <f aca="false">Raw_Data!B1323</f>
        <v>44719</v>
      </c>
      <c r="C1323" s="14" t="str">
        <f aca="false">IF(Raw_Data!C1323="","",Raw_Data!C1323)</f>
        <v/>
      </c>
      <c r="D1323" s="13" t="n">
        <f aca="false">IF(Raw_Data!D1323="","",Raw_Data!D1323)</f>
        <v>26</v>
      </c>
      <c r="E1323" s="13" t="str">
        <f aca="false">IF(UPPER(LEFT(TRIM(Raw_Data!E1323),1))="M","Male",IF(UPPER(LEFT(TRIM(Raw_Data!E1323),1))="F","Female","Unknown"))</f>
        <v>Male</v>
      </c>
      <c r="F1323" s="13" t="str">
        <f aca="false">PROPER(TRIM(SUBSTITUTE(Raw_Data!F1323,"'","")))</f>
        <v>Masters</v>
      </c>
      <c r="G1323" s="13" t="str">
        <f aca="false">PROPER(TRIM(Raw_Data!G1323))</f>
        <v>Operations</v>
      </c>
      <c r="H1323" s="13" t="str">
        <f aca="false">PROPER(TRIM(Raw_Data!H1323))</f>
        <v>Senior Analyst</v>
      </c>
      <c r="I1323" s="13" t="n">
        <f aca="false">IF(Raw_Data!I1323="",DefaultPerf,Raw_Data!I1323)</f>
        <v>4</v>
      </c>
      <c r="J1323" s="13" t="n">
        <f aca="false">IF(Raw_Data!J1323="",DefaultSat,Raw_Data!J1323)</f>
        <v>3</v>
      </c>
      <c r="K1323" s="15" t="n">
        <f aca="false">Raw_Data!K1323</f>
        <v>95500</v>
      </c>
      <c r="L1323" s="13" t="str">
        <f aca="false">PROPER(TRIM(Raw_Data!N1323))</f>
        <v>No</v>
      </c>
      <c r="M1323" s="13" t="n">
        <f aca="false">IF(C1323="",0,1)</f>
        <v>0</v>
      </c>
      <c r="N1323" s="13" t="str">
        <f aca="false">IF(M1323=0,"Active",IF(TRIM(Raw_Data!L1323)="","Unknown",PROPER(TRIM(Raw_Data!L1323))))</f>
        <v>Active</v>
      </c>
      <c r="O1323" s="13" t="str">
        <f aca="false">IF(M1323=0,"",IF(TRIM(Raw_Data!M1323)="","Not Recorded",TRIM(Raw_Data!M1323)))</f>
        <v/>
      </c>
      <c r="P1323" s="16" t="n">
        <f aca="false">ROUND((IF(C1323="",AsOfDate,C1323)-B1323)/365.25,2)</f>
        <v>3.57</v>
      </c>
      <c r="Q1323" s="13" t="str">
        <f aca="false">IF(D1323="","Unknown",IF(D1323&lt;25,"Under 25",IF(D1323&lt;35,"25-34",IF(D1323&lt;45,"35-44",IF(D1323&lt;55,"45-54","55+")))))</f>
        <v>25-34</v>
      </c>
      <c r="R1323" s="13" t="str">
        <f aca="false">IF(P1323&lt;1,"0-1 yrs",IF(P1323&lt;3,"1-3 yrs",IF(P1323&lt;5,"3-5 yrs",IF(P1323&lt;10,"5-10 yrs","10+ yrs"))))</f>
        <v>3-5 yrs</v>
      </c>
      <c r="S1323" s="13" t="str">
        <f aca="false">IF(I1323&gt;=4,"High",IF(I1323=3,"Medium","Low"))</f>
        <v>High</v>
      </c>
      <c r="T1323" s="13" t="str">
        <f aca="false">IF(M1323=1,YEAR(C1323),"")</f>
        <v/>
      </c>
      <c r="U1323" s="13" t="str">
        <f aca="false">IF(M1323=1,YEAR(C1323)&amp;"-Q"&amp;ROUNDUP(MONTH(C1323)/3,0),"")</f>
        <v/>
      </c>
      <c r="V1323" s="13" t="str">
        <f aca="false">IF(M1323=1,MONTH(C1323),"")</f>
        <v/>
      </c>
    </row>
    <row r="1324" customFormat="false" ht="15" hidden="false" customHeight="false" outlineLevel="0" collapsed="false">
      <c r="A1324" s="13" t="str">
        <f aca="false">TRIM(Raw_Data!A1324)</f>
        <v>EMP1323</v>
      </c>
      <c r="B1324" s="14" t="n">
        <f aca="false">Raw_Data!B1324</f>
        <v>44722</v>
      </c>
      <c r="C1324" s="14" t="str">
        <f aca="false">IF(Raw_Data!C1324="","",Raw_Data!C1324)</f>
        <v/>
      </c>
      <c r="D1324" s="13" t="n">
        <f aca="false">IF(Raw_Data!D1324="","",Raw_Data!D1324)</f>
        <v>35</v>
      </c>
      <c r="E1324" s="13" t="str">
        <f aca="false">IF(UPPER(LEFT(TRIM(Raw_Data!E1324),1))="M","Male",IF(UPPER(LEFT(TRIM(Raw_Data!E1324),1))="F","Female","Unknown"))</f>
        <v>Female</v>
      </c>
      <c r="F1324" s="13" t="str">
        <f aca="false">PROPER(TRIM(SUBSTITUTE(Raw_Data!F1324,"'","")))</f>
        <v>Bachelors</v>
      </c>
      <c r="G1324" s="13" t="str">
        <f aca="false">PROPER(TRIM(Raw_Data!G1324))</f>
        <v>Finance</v>
      </c>
      <c r="H1324" s="13" t="str">
        <f aca="false">PROPER(TRIM(Raw_Data!H1324))</f>
        <v>Associate</v>
      </c>
      <c r="I1324" s="13" t="n">
        <f aca="false">IF(Raw_Data!I1324="",DefaultPerf,Raw_Data!I1324)</f>
        <v>3</v>
      </c>
      <c r="J1324" s="13" t="n">
        <f aca="false">IF(Raw_Data!J1324="",DefaultSat,Raw_Data!J1324)</f>
        <v>3</v>
      </c>
      <c r="K1324" s="15" t="n">
        <f aca="false">Raw_Data!K1324</f>
        <v>45000</v>
      </c>
      <c r="L1324" s="13" t="str">
        <f aca="false">PROPER(TRIM(Raw_Data!N1324))</f>
        <v>No</v>
      </c>
      <c r="M1324" s="13" t="n">
        <f aca="false">IF(C1324="",0,1)</f>
        <v>0</v>
      </c>
      <c r="N1324" s="13" t="str">
        <f aca="false">IF(M1324=0,"Active",IF(TRIM(Raw_Data!L1324)="","Unknown",PROPER(TRIM(Raw_Data!L1324))))</f>
        <v>Active</v>
      </c>
      <c r="O1324" s="13" t="str">
        <f aca="false">IF(M1324=0,"",IF(TRIM(Raw_Data!M1324)="","Not Recorded",TRIM(Raw_Data!M1324)))</f>
        <v/>
      </c>
      <c r="P1324" s="16" t="n">
        <f aca="false">ROUND((IF(C1324="",AsOfDate,C1324)-B1324)/365.25,2)</f>
        <v>3.56</v>
      </c>
      <c r="Q1324" s="13" t="str">
        <f aca="false">IF(D1324="","Unknown",IF(D1324&lt;25,"Under 25",IF(D1324&lt;35,"25-34",IF(D1324&lt;45,"35-44",IF(D1324&lt;55,"45-54","55+")))))</f>
        <v>35-44</v>
      </c>
      <c r="R1324" s="13" t="str">
        <f aca="false">IF(P1324&lt;1,"0-1 yrs",IF(P1324&lt;3,"1-3 yrs",IF(P1324&lt;5,"3-5 yrs",IF(P1324&lt;10,"5-10 yrs","10+ yrs"))))</f>
        <v>3-5 yrs</v>
      </c>
      <c r="S1324" s="13" t="str">
        <f aca="false">IF(I1324&gt;=4,"High",IF(I1324=3,"Medium","Low"))</f>
        <v>Medium</v>
      </c>
      <c r="T1324" s="13" t="str">
        <f aca="false">IF(M1324=1,YEAR(C1324),"")</f>
        <v/>
      </c>
      <c r="U1324" s="13" t="str">
        <f aca="false">IF(M1324=1,YEAR(C1324)&amp;"-Q"&amp;ROUNDUP(MONTH(C1324)/3,0),"")</f>
        <v/>
      </c>
      <c r="V1324" s="13" t="str">
        <f aca="false">IF(M1324=1,MONTH(C1324),"")</f>
        <v/>
      </c>
    </row>
    <row r="1325" customFormat="false" ht="15" hidden="false" customHeight="false" outlineLevel="0" collapsed="false">
      <c r="A1325" s="13" t="str">
        <f aca="false">TRIM(Raw_Data!A1325)</f>
        <v>EMP1324</v>
      </c>
      <c r="B1325" s="14" t="n">
        <f aca="false">Raw_Data!B1325</f>
        <v>44725</v>
      </c>
      <c r="C1325" s="14" t="n">
        <f aca="false">IF(Raw_Data!C1325="","",Raw_Data!C1325)</f>
        <v>45482</v>
      </c>
      <c r="D1325" s="13" t="n">
        <f aca="false">IF(Raw_Data!D1325="","",Raw_Data!D1325)</f>
        <v>25</v>
      </c>
      <c r="E1325" s="13" t="str">
        <f aca="false">IF(UPPER(LEFT(TRIM(Raw_Data!E1325),1))="M","Male",IF(UPPER(LEFT(TRIM(Raw_Data!E1325),1))="F","Female","Unknown"))</f>
        <v>Male</v>
      </c>
      <c r="F1325" s="13" t="str">
        <f aca="false">PROPER(TRIM(SUBSTITUTE(Raw_Data!F1325,"'","")))</f>
        <v>High School</v>
      </c>
      <c r="G1325" s="13" t="str">
        <f aca="false">PROPER(TRIM(Raw_Data!G1325))</f>
        <v>Engineering</v>
      </c>
      <c r="H1325" s="13" t="str">
        <f aca="false">PROPER(TRIM(Raw_Data!H1325))</f>
        <v>Manager</v>
      </c>
      <c r="I1325" s="13" t="n">
        <f aca="false">IF(Raw_Data!I1325="",DefaultPerf,Raw_Data!I1325)</f>
        <v>3</v>
      </c>
      <c r="J1325" s="13" t="n">
        <f aca="false">IF(Raw_Data!J1325="",DefaultSat,Raw_Data!J1325)</f>
        <v>3</v>
      </c>
      <c r="K1325" s="15" t="n">
        <f aca="false">Raw_Data!K1325</f>
        <v>185000</v>
      </c>
      <c r="L1325" s="13" t="str">
        <f aca="false">PROPER(TRIM(Raw_Data!N1325))</f>
        <v>No</v>
      </c>
      <c r="M1325" s="13" t="n">
        <f aca="false">IF(C1325="",0,1)</f>
        <v>1</v>
      </c>
      <c r="N1325" s="13" t="str">
        <f aca="false">IF(M1325=0,"Active",IF(TRIM(Raw_Data!L1325)="","Unknown",PROPER(TRIM(Raw_Data!L1325))))</f>
        <v>Voluntary</v>
      </c>
      <c r="O1325" s="13" t="str">
        <f aca="false">IF(M1325=0,"",IF(TRIM(Raw_Data!M1325)="","Not Recorded",TRIM(Raw_Data!M1325)))</f>
        <v>Work-Life Balance</v>
      </c>
      <c r="P1325" s="16" t="n">
        <f aca="false">ROUND((IF(C1325="",AsOfDate,C1325)-B1325)/365.25,2)</f>
        <v>2.07</v>
      </c>
      <c r="Q1325" s="13" t="str">
        <f aca="false">IF(D1325="","Unknown",IF(D1325&lt;25,"Under 25",IF(D1325&lt;35,"25-34",IF(D1325&lt;45,"35-44",IF(D1325&lt;55,"45-54","55+")))))</f>
        <v>25-34</v>
      </c>
      <c r="R1325" s="13" t="str">
        <f aca="false">IF(P1325&lt;1,"0-1 yrs",IF(P1325&lt;3,"1-3 yrs",IF(P1325&lt;5,"3-5 yrs",IF(P1325&lt;10,"5-10 yrs","10+ yrs"))))</f>
        <v>1-3 yrs</v>
      </c>
      <c r="S1325" s="13" t="str">
        <f aca="false">IF(I1325&gt;=4,"High",IF(I1325=3,"Medium","Low"))</f>
        <v>Medium</v>
      </c>
      <c r="T1325" s="13" t="n">
        <f aca="false">IF(M1325=1,YEAR(C1325),"")</f>
        <v>2024</v>
      </c>
      <c r="U1325" s="13" t="str">
        <f aca="false">IF(M1325=1,YEAR(C1325)&amp;"-Q"&amp;ROUNDUP(MONTH(C1325)/3,0),"")</f>
        <v>2024-Q3</v>
      </c>
      <c r="V1325" s="13" t="n">
        <f aca="false">IF(M1325=1,MONTH(C1325),"")</f>
        <v>7</v>
      </c>
    </row>
    <row r="1326" customFormat="false" ht="15" hidden="false" customHeight="false" outlineLevel="0" collapsed="false">
      <c r="A1326" s="13" t="str">
        <f aca="false">TRIM(Raw_Data!A1326)</f>
        <v>EMP1325</v>
      </c>
      <c r="B1326" s="14" t="n">
        <f aca="false">Raw_Data!B1326</f>
        <v>44725</v>
      </c>
      <c r="C1326" s="14" t="str">
        <f aca="false">IF(Raw_Data!C1326="","",Raw_Data!C1326)</f>
        <v/>
      </c>
      <c r="D1326" s="13" t="n">
        <f aca="false">IF(Raw_Data!D1326="","",Raw_Data!D1326)</f>
        <v>30</v>
      </c>
      <c r="E1326" s="13" t="str">
        <f aca="false">IF(UPPER(LEFT(TRIM(Raw_Data!E1326),1))="M","Male",IF(UPPER(LEFT(TRIM(Raw_Data!E1326),1))="F","Female","Unknown"))</f>
        <v>Male</v>
      </c>
      <c r="F1326" s="13" t="str">
        <f aca="false">PROPER(TRIM(SUBSTITUTE(Raw_Data!F1326,"'","")))</f>
        <v>Bachelors</v>
      </c>
      <c r="G1326" s="13" t="str">
        <f aca="false">PROPER(TRIM(Raw_Data!G1326))</f>
        <v>Engineering</v>
      </c>
      <c r="H1326" s="13" t="str">
        <f aca="false">PROPER(TRIM(Raw_Data!H1326))</f>
        <v>Analyst</v>
      </c>
      <c r="I1326" s="13" t="n">
        <f aca="false">IF(Raw_Data!I1326="",DefaultPerf,Raw_Data!I1326)</f>
        <v>3</v>
      </c>
      <c r="J1326" s="13" t="n">
        <f aca="false">IF(Raw_Data!J1326="",DefaultSat,Raw_Data!J1326)</f>
        <v>4</v>
      </c>
      <c r="K1326" s="15" t="n">
        <f aca="false">Raw_Data!K1326</f>
        <v>61000</v>
      </c>
      <c r="L1326" s="13" t="str">
        <f aca="false">PROPER(TRIM(Raw_Data!N1326))</f>
        <v>Yes</v>
      </c>
      <c r="M1326" s="13" t="n">
        <f aca="false">IF(C1326="",0,1)</f>
        <v>0</v>
      </c>
      <c r="N1326" s="13" t="str">
        <f aca="false">IF(M1326=0,"Active",IF(TRIM(Raw_Data!L1326)="","Unknown",PROPER(TRIM(Raw_Data!L1326))))</f>
        <v>Active</v>
      </c>
      <c r="O1326" s="13" t="str">
        <f aca="false">IF(M1326=0,"",IF(TRIM(Raw_Data!M1326)="","Not Recorded",TRIM(Raw_Data!M1326)))</f>
        <v/>
      </c>
      <c r="P1326" s="16" t="n">
        <f aca="false">ROUND((IF(C1326="",AsOfDate,C1326)-B1326)/365.25,2)</f>
        <v>3.55</v>
      </c>
      <c r="Q1326" s="13" t="str">
        <f aca="false">IF(D1326="","Unknown",IF(D1326&lt;25,"Under 25",IF(D1326&lt;35,"25-34",IF(D1326&lt;45,"35-44",IF(D1326&lt;55,"45-54","55+")))))</f>
        <v>25-34</v>
      </c>
      <c r="R1326" s="13" t="str">
        <f aca="false">IF(P1326&lt;1,"0-1 yrs",IF(P1326&lt;3,"1-3 yrs",IF(P1326&lt;5,"3-5 yrs",IF(P1326&lt;10,"5-10 yrs","10+ yrs"))))</f>
        <v>3-5 yrs</v>
      </c>
      <c r="S1326" s="13" t="str">
        <f aca="false">IF(I1326&gt;=4,"High",IF(I1326=3,"Medium","Low"))</f>
        <v>Medium</v>
      </c>
      <c r="T1326" s="13" t="str">
        <f aca="false">IF(M1326=1,YEAR(C1326),"")</f>
        <v/>
      </c>
      <c r="U1326" s="13" t="str">
        <f aca="false">IF(M1326=1,YEAR(C1326)&amp;"-Q"&amp;ROUNDUP(MONTH(C1326)/3,0),"")</f>
        <v/>
      </c>
      <c r="V1326" s="13" t="str">
        <f aca="false">IF(M1326=1,MONTH(C1326),"")</f>
        <v/>
      </c>
    </row>
    <row r="1327" customFormat="false" ht="15" hidden="false" customHeight="false" outlineLevel="0" collapsed="false">
      <c r="A1327" s="13" t="str">
        <f aca="false">TRIM(Raw_Data!A1327)</f>
        <v>EMP1326</v>
      </c>
      <c r="B1327" s="14" t="n">
        <f aca="false">Raw_Data!B1327</f>
        <v>44727</v>
      </c>
      <c r="C1327" s="14" t="n">
        <f aca="false">IF(Raw_Data!C1327="","",Raw_Data!C1327)</f>
        <v>45270</v>
      </c>
      <c r="D1327" s="13" t="n">
        <f aca="false">IF(Raw_Data!D1327="","",Raw_Data!D1327)</f>
        <v>26</v>
      </c>
      <c r="E1327" s="13" t="str">
        <f aca="false">IF(UPPER(LEFT(TRIM(Raw_Data!E1327),1))="M","Male",IF(UPPER(LEFT(TRIM(Raw_Data!E1327),1))="F","Female","Unknown"))</f>
        <v>Female</v>
      </c>
      <c r="F1327" s="13" t="str">
        <f aca="false">PROPER(TRIM(SUBSTITUTE(Raw_Data!F1327,"'","")))</f>
        <v>Bachelors</v>
      </c>
      <c r="G1327" s="13" t="str">
        <f aca="false">PROPER(TRIM(Raw_Data!G1327))</f>
        <v>Engineering</v>
      </c>
      <c r="H1327" s="13" t="str">
        <f aca="false">PROPER(TRIM(Raw_Data!H1327))</f>
        <v>Associate</v>
      </c>
      <c r="I1327" s="13" t="n">
        <f aca="false">IF(Raw_Data!I1327="",DefaultPerf,Raw_Data!I1327)</f>
        <v>3</v>
      </c>
      <c r="J1327" s="13" t="n">
        <f aca="false">IF(Raw_Data!J1327="",DefaultSat,Raw_Data!J1327)</f>
        <v>1</v>
      </c>
      <c r="K1327" s="15" t="n">
        <f aca="false">Raw_Data!K1327</f>
        <v>35500</v>
      </c>
      <c r="L1327" s="13" t="str">
        <f aca="false">PROPER(TRIM(Raw_Data!N1327))</f>
        <v>No</v>
      </c>
      <c r="M1327" s="13" t="n">
        <f aca="false">IF(C1327="",0,1)</f>
        <v>1</v>
      </c>
      <c r="N1327" s="13" t="str">
        <f aca="false">IF(M1327=0,"Active",IF(TRIM(Raw_Data!L1327)="","Unknown",PROPER(TRIM(Raw_Data!L1327))))</f>
        <v>Voluntary</v>
      </c>
      <c r="O1327" s="13" t="str">
        <f aca="false">IF(M1327=0,"",IF(TRIM(Raw_Data!M1327)="","Not Recorded",TRIM(Raw_Data!M1327)))</f>
        <v>Better Compensation</v>
      </c>
      <c r="P1327" s="16" t="n">
        <f aca="false">ROUND((IF(C1327="",AsOfDate,C1327)-B1327)/365.25,2)</f>
        <v>1.49</v>
      </c>
      <c r="Q1327" s="13" t="str">
        <f aca="false">IF(D1327="","Unknown",IF(D1327&lt;25,"Under 25",IF(D1327&lt;35,"25-34",IF(D1327&lt;45,"35-44",IF(D1327&lt;55,"45-54","55+")))))</f>
        <v>25-34</v>
      </c>
      <c r="R1327" s="13" t="str">
        <f aca="false">IF(P1327&lt;1,"0-1 yrs",IF(P1327&lt;3,"1-3 yrs",IF(P1327&lt;5,"3-5 yrs",IF(P1327&lt;10,"5-10 yrs","10+ yrs"))))</f>
        <v>1-3 yrs</v>
      </c>
      <c r="S1327" s="13" t="str">
        <f aca="false">IF(I1327&gt;=4,"High",IF(I1327=3,"Medium","Low"))</f>
        <v>Medium</v>
      </c>
      <c r="T1327" s="13" t="n">
        <f aca="false">IF(M1327=1,YEAR(C1327),"")</f>
        <v>2023</v>
      </c>
      <c r="U1327" s="13" t="str">
        <f aca="false">IF(M1327=1,YEAR(C1327)&amp;"-Q"&amp;ROUNDUP(MONTH(C1327)/3,0),"")</f>
        <v>2023-Q4</v>
      </c>
      <c r="V1327" s="13" t="n">
        <f aca="false">IF(M1327=1,MONTH(C1327),"")</f>
        <v>12</v>
      </c>
    </row>
    <row r="1328" customFormat="false" ht="15" hidden="false" customHeight="false" outlineLevel="0" collapsed="false">
      <c r="A1328" s="13" t="str">
        <f aca="false">TRIM(Raw_Data!A1328)</f>
        <v>EMP1327</v>
      </c>
      <c r="B1328" s="14" t="n">
        <f aca="false">Raw_Data!B1328</f>
        <v>44731</v>
      </c>
      <c r="C1328" s="14" t="n">
        <f aca="false">IF(Raw_Data!C1328="","",Raw_Data!C1328)</f>
        <v>45493</v>
      </c>
      <c r="D1328" s="13" t="n">
        <f aca="false">IF(Raw_Data!D1328="","",Raw_Data!D1328)</f>
        <v>31</v>
      </c>
      <c r="E1328" s="13" t="str">
        <f aca="false">IF(UPPER(LEFT(TRIM(Raw_Data!E1328),1))="M","Male",IF(UPPER(LEFT(TRIM(Raw_Data!E1328),1))="F","Female","Unknown"))</f>
        <v>Female</v>
      </c>
      <c r="F1328" s="13" t="str">
        <f aca="false">PROPER(TRIM(SUBSTITUTE(Raw_Data!F1328,"'","")))</f>
        <v>Diploma</v>
      </c>
      <c r="G1328" s="13" t="str">
        <f aca="false">PROPER(TRIM(Raw_Data!G1328))</f>
        <v>Operations</v>
      </c>
      <c r="H1328" s="13" t="str">
        <f aca="false">PROPER(TRIM(Raw_Data!H1328))</f>
        <v>Senior Analyst</v>
      </c>
      <c r="I1328" s="13" t="n">
        <f aca="false">IF(Raw_Data!I1328="",DefaultPerf,Raw_Data!I1328)</f>
        <v>4</v>
      </c>
      <c r="J1328" s="13" t="n">
        <f aca="false">IF(Raw_Data!J1328="",DefaultSat,Raw_Data!J1328)</f>
        <v>2</v>
      </c>
      <c r="K1328" s="15" t="n">
        <f aca="false">Raw_Data!K1328</f>
        <v>82000</v>
      </c>
      <c r="L1328" s="13" t="str">
        <f aca="false">PROPER(TRIM(Raw_Data!N1328))</f>
        <v>No</v>
      </c>
      <c r="M1328" s="13" t="n">
        <f aca="false">IF(C1328="",0,1)</f>
        <v>1</v>
      </c>
      <c r="N1328" s="13" t="str">
        <f aca="false">IF(M1328=0,"Active",IF(TRIM(Raw_Data!L1328)="","Unknown",PROPER(TRIM(Raw_Data!L1328))))</f>
        <v>Voluntary</v>
      </c>
      <c r="O1328" s="13" t="str">
        <f aca="false">IF(M1328=0,"",IF(TRIM(Raw_Data!M1328)="","Not Recorded",TRIM(Raw_Data!M1328)))</f>
        <v>Personal Reasons</v>
      </c>
      <c r="P1328" s="16" t="n">
        <f aca="false">ROUND((IF(C1328="",AsOfDate,C1328)-B1328)/365.25,2)</f>
        <v>2.09</v>
      </c>
      <c r="Q1328" s="13" t="str">
        <f aca="false">IF(D1328="","Unknown",IF(D1328&lt;25,"Under 25",IF(D1328&lt;35,"25-34",IF(D1328&lt;45,"35-44",IF(D1328&lt;55,"45-54","55+")))))</f>
        <v>25-34</v>
      </c>
      <c r="R1328" s="13" t="str">
        <f aca="false">IF(P1328&lt;1,"0-1 yrs",IF(P1328&lt;3,"1-3 yrs",IF(P1328&lt;5,"3-5 yrs",IF(P1328&lt;10,"5-10 yrs","10+ yrs"))))</f>
        <v>1-3 yrs</v>
      </c>
      <c r="S1328" s="13" t="str">
        <f aca="false">IF(I1328&gt;=4,"High",IF(I1328=3,"Medium","Low"))</f>
        <v>High</v>
      </c>
      <c r="T1328" s="13" t="n">
        <f aca="false">IF(M1328=1,YEAR(C1328),"")</f>
        <v>2024</v>
      </c>
      <c r="U1328" s="13" t="str">
        <f aca="false">IF(M1328=1,YEAR(C1328)&amp;"-Q"&amp;ROUNDUP(MONTH(C1328)/3,0),"")</f>
        <v>2024-Q3</v>
      </c>
      <c r="V1328" s="13" t="n">
        <f aca="false">IF(M1328=1,MONTH(C1328),"")</f>
        <v>7</v>
      </c>
    </row>
    <row r="1329" customFormat="false" ht="15" hidden="false" customHeight="false" outlineLevel="0" collapsed="false">
      <c r="A1329" s="13" t="str">
        <f aca="false">TRIM(Raw_Data!A1329)</f>
        <v>EMP1328</v>
      </c>
      <c r="B1329" s="14" t="n">
        <f aca="false">Raw_Data!B1329</f>
        <v>44733</v>
      </c>
      <c r="C1329" s="14" t="n">
        <f aca="false">IF(Raw_Data!C1329="","",Raw_Data!C1329)</f>
        <v>44872</v>
      </c>
      <c r="D1329" s="13" t="n">
        <f aca="false">IF(Raw_Data!D1329="","",Raw_Data!D1329)</f>
        <v>24</v>
      </c>
      <c r="E1329" s="13" t="str">
        <f aca="false">IF(UPPER(LEFT(TRIM(Raw_Data!E1329),1))="M","Male",IF(UPPER(LEFT(TRIM(Raw_Data!E1329),1))="F","Female","Unknown"))</f>
        <v>Female</v>
      </c>
      <c r="F1329" s="13" t="str">
        <f aca="false">PROPER(TRIM(SUBSTITUTE(Raw_Data!F1329,"'","")))</f>
        <v>High School</v>
      </c>
      <c r="G1329" s="13" t="str">
        <f aca="false">PROPER(TRIM(Raw_Data!G1329))</f>
        <v>Customer Support</v>
      </c>
      <c r="H1329" s="13" t="str">
        <f aca="false">PROPER(TRIM(Raw_Data!H1329))</f>
        <v>Associate</v>
      </c>
      <c r="I1329" s="13" t="n">
        <f aca="false">IF(Raw_Data!I1329="",DefaultPerf,Raw_Data!I1329)</f>
        <v>4</v>
      </c>
      <c r="J1329" s="13" t="n">
        <f aca="false">IF(Raw_Data!J1329="",DefaultSat,Raw_Data!J1329)</f>
        <v>2</v>
      </c>
      <c r="K1329" s="15" t="n">
        <f aca="false">Raw_Data!K1329</f>
        <v>41500</v>
      </c>
      <c r="L1329" s="13" t="str">
        <f aca="false">PROPER(TRIM(Raw_Data!N1329))</f>
        <v>No</v>
      </c>
      <c r="M1329" s="13" t="n">
        <f aca="false">IF(C1329="",0,1)</f>
        <v>1</v>
      </c>
      <c r="N1329" s="13" t="str">
        <f aca="false">IF(M1329=0,"Active",IF(TRIM(Raw_Data!L1329)="","Unknown",PROPER(TRIM(Raw_Data!L1329))))</f>
        <v>Voluntary</v>
      </c>
      <c r="O1329" s="13" t="str">
        <f aca="false">IF(M1329=0,"",IF(TRIM(Raw_Data!M1329)="","Not Recorded",TRIM(Raw_Data!M1329)))</f>
        <v>Career Growth</v>
      </c>
      <c r="P1329" s="16" t="n">
        <f aca="false">ROUND((IF(C1329="",AsOfDate,C1329)-B1329)/365.25,2)</f>
        <v>0.38</v>
      </c>
      <c r="Q1329" s="13" t="str">
        <f aca="false">IF(D1329="","Unknown",IF(D1329&lt;25,"Under 25",IF(D1329&lt;35,"25-34",IF(D1329&lt;45,"35-44",IF(D1329&lt;55,"45-54","55+")))))</f>
        <v>Under 25</v>
      </c>
      <c r="R1329" s="13" t="str">
        <f aca="false">IF(P1329&lt;1,"0-1 yrs",IF(P1329&lt;3,"1-3 yrs",IF(P1329&lt;5,"3-5 yrs",IF(P1329&lt;10,"5-10 yrs","10+ yrs"))))</f>
        <v>0-1 yrs</v>
      </c>
      <c r="S1329" s="13" t="str">
        <f aca="false">IF(I1329&gt;=4,"High",IF(I1329=3,"Medium","Low"))</f>
        <v>High</v>
      </c>
      <c r="T1329" s="13" t="n">
        <f aca="false">IF(M1329=1,YEAR(C1329),"")</f>
        <v>2022</v>
      </c>
      <c r="U1329" s="13" t="str">
        <f aca="false">IF(M1329=1,YEAR(C1329)&amp;"-Q"&amp;ROUNDUP(MONTH(C1329)/3,0),"")</f>
        <v>2022-Q4</v>
      </c>
      <c r="V1329" s="13" t="n">
        <f aca="false">IF(M1329=1,MONTH(C1329),"")</f>
        <v>11</v>
      </c>
    </row>
    <row r="1330" customFormat="false" ht="15" hidden="false" customHeight="false" outlineLevel="0" collapsed="false">
      <c r="A1330" s="13" t="str">
        <f aca="false">TRIM(Raw_Data!A1330)</f>
        <v>EMP1329</v>
      </c>
      <c r="B1330" s="14" t="n">
        <f aca="false">Raw_Data!B1330</f>
        <v>44734</v>
      </c>
      <c r="C1330" s="14" t="str">
        <f aca="false">IF(Raw_Data!C1330="","",Raw_Data!C1330)</f>
        <v/>
      </c>
      <c r="D1330" s="13" t="n">
        <f aca="false">IF(Raw_Data!D1330="","",Raw_Data!D1330)</f>
        <v>34</v>
      </c>
      <c r="E1330" s="13" t="str">
        <f aca="false">IF(UPPER(LEFT(TRIM(Raw_Data!E1330),1))="M","Male",IF(UPPER(LEFT(TRIM(Raw_Data!E1330),1))="F","Female","Unknown"))</f>
        <v>Male</v>
      </c>
      <c r="F1330" s="13" t="str">
        <f aca="false">PROPER(TRIM(SUBSTITUTE(Raw_Data!F1330,"'","")))</f>
        <v>Bachelors</v>
      </c>
      <c r="G1330" s="13" t="str">
        <f aca="false">PROPER(TRIM(Raw_Data!G1330))</f>
        <v>Operations</v>
      </c>
      <c r="H1330" s="13" t="str">
        <f aca="false">PROPER(TRIM(Raw_Data!H1330))</f>
        <v>Manager</v>
      </c>
      <c r="I1330" s="13" t="n">
        <f aca="false">IF(Raw_Data!I1330="",DefaultPerf,Raw_Data!I1330)</f>
        <v>4</v>
      </c>
      <c r="J1330" s="13" t="n">
        <f aca="false">IF(Raw_Data!J1330="",DefaultSat,Raw_Data!J1330)</f>
        <v>3</v>
      </c>
      <c r="K1330" s="15" t="n">
        <f aca="false">Raw_Data!K1330</f>
        <v>217000</v>
      </c>
      <c r="L1330" s="13" t="str">
        <f aca="false">PROPER(TRIM(Raw_Data!N1330))</f>
        <v>No</v>
      </c>
      <c r="M1330" s="13" t="n">
        <f aca="false">IF(C1330="",0,1)</f>
        <v>0</v>
      </c>
      <c r="N1330" s="13" t="str">
        <f aca="false">IF(M1330=0,"Active",IF(TRIM(Raw_Data!L1330)="","Unknown",PROPER(TRIM(Raw_Data!L1330))))</f>
        <v>Active</v>
      </c>
      <c r="O1330" s="13" t="str">
        <f aca="false">IF(M1330=0,"",IF(TRIM(Raw_Data!M1330)="","Not Recorded",TRIM(Raw_Data!M1330)))</f>
        <v/>
      </c>
      <c r="P1330" s="16" t="n">
        <f aca="false">ROUND((IF(C1330="",AsOfDate,C1330)-B1330)/365.25,2)</f>
        <v>3.53</v>
      </c>
      <c r="Q1330" s="13" t="str">
        <f aca="false">IF(D1330="","Unknown",IF(D1330&lt;25,"Under 25",IF(D1330&lt;35,"25-34",IF(D1330&lt;45,"35-44",IF(D1330&lt;55,"45-54","55+")))))</f>
        <v>25-34</v>
      </c>
      <c r="R1330" s="13" t="str">
        <f aca="false">IF(P1330&lt;1,"0-1 yrs",IF(P1330&lt;3,"1-3 yrs",IF(P1330&lt;5,"3-5 yrs",IF(P1330&lt;10,"5-10 yrs","10+ yrs"))))</f>
        <v>3-5 yrs</v>
      </c>
      <c r="S1330" s="13" t="str">
        <f aca="false">IF(I1330&gt;=4,"High",IF(I1330=3,"Medium","Low"))</f>
        <v>High</v>
      </c>
      <c r="T1330" s="13" t="str">
        <f aca="false">IF(M1330=1,YEAR(C1330),"")</f>
        <v/>
      </c>
      <c r="U1330" s="13" t="str">
        <f aca="false">IF(M1330=1,YEAR(C1330)&amp;"-Q"&amp;ROUNDUP(MONTH(C1330)/3,0),"")</f>
        <v/>
      </c>
      <c r="V1330" s="13" t="str">
        <f aca="false">IF(M1330=1,MONTH(C1330),"")</f>
        <v/>
      </c>
    </row>
    <row r="1331" customFormat="false" ht="15" hidden="false" customHeight="false" outlineLevel="0" collapsed="false">
      <c r="A1331" s="13" t="str">
        <f aca="false">TRIM(Raw_Data!A1331)</f>
        <v>EMP1330</v>
      </c>
      <c r="B1331" s="14" t="n">
        <f aca="false">Raw_Data!B1331</f>
        <v>44737</v>
      </c>
      <c r="C1331" s="14" t="str">
        <f aca="false">IF(Raw_Data!C1331="","",Raw_Data!C1331)</f>
        <v/>
      </c>
      <c r="D1331" s="13" t="n">
        <f aca="false">IF(Raw_Data!D1331="","",Raw_Data!D1331)</f>
        <v>28</v>
      </c>
      <c r="E1331" s="13" t="str">
        <f aca="false">IF(UPPER(LEFT(TRIM(Raw_Data!E1331),1))="M","Male",IF(UPPER(LEFT(TRIM(Raw_Data!E1331),1))="F","Female","Unknown"))</f>
        <v>Male</v>
      </c>
      <c r="F1331" s="13" t="str">
        <f aca="false">PROPER(TRIM(SUBSTITUTE(Raw_Data!F1331,"'","")))</f>
        <v>Doctorate</v>
      </c>
      <c r="G1331" s="13" t="str">
        <f aca="false">PROPER(TRIM(Raw_Data!G1331))</f>
        <v>Sales</v>
      </c>
      <c r="H1331" s="13" t="str">
        <f aca="false">PROPER(TRIM(Raw_Data!H1331))</f>
        <v>Manager</v>
      </c>
      <c r="I1331" s="13" t="n">
        <f aca="false">IF(Raw_Data!I1331="",DefaultPerf,Raw_Data!I1331)</f>
        <v>2</v>
      </c>
      <c r="J1331" s="13" t="n">
        <f aca="false">IF(Raw_Data!J1331="",DefaultSat,Raw_Data!J1331)</f>
        <v>4</v>
      </c>
      <c r="K1331" s="15" t="n">
        <f aca="false">Raw_Data!K1331</f>
        <v>189000</v>
      </c>
      <c r="L1331" s="13" t="str">
        <f aca="false">PROPER(TRIM(Raw_Data!N1331))</f>
        <v>Yes</v>
      </c>
      <c r="M1331" s="13" t="n">
        <f aca="false">IF(C1331="",0,1)</f>
        <v>0</v>
      </c>
      <c r="N1331" s="13" t="str">
        <f aca="false">IF(M1331=0,"Active",IF(TRIM(Raw_Data!L1331)="","Unknown",PROPER(TRIM(Raw_Data!L1331))))</f>
        <v>Active</v>
      </c>
      <c r="O1331" s="13" t="str">
        <f aca="false">IF(M1331=0,"",IF(TRIM(Raw_Data!M1331)="","Not Recorded",TRIM(Raw_Data!M1331)))</f>
        <v/>
      </c>
      <c r="P1331" s="16" t="n">
        <f aca="false">ROUND((IF(C1331="",AsOfDate,C1331)-B1331)/365.25,2)</f>
        <v>3.52</v>
      </c>
      <c r="Q1331" s="13" t="str">
        <f aca="false">IF(D1331="","Unknown",IF(D1331&lt;25,"Under 25",IF(D1331&lt;35,"25-34",IF(D1331&lt;45,"35-44",IF(D1331&lt;55,"45-54","55+")))))</f>
        <v>25-34</v>
      </c>
      <c r="R1331" s="13" t="str">
        <f aca="false">IF(P1331&lt;1,"0-1 yrs",IF(P1331&lt;3,"1-3 yrs",IF(P1331&lt;5,"3-5 yrs",IF(P1331&lt;10,"5-10 yrs","10+ yrs"))))</f>
        <v>3-5 yrs</v>
      </c>
      <c r="S1331" s="13" t="str">
        <f aca="false">IF(I1331&gt;=4,"High",IF(I1331=3,"Medium","Low"))</f>
        <v>Low</v>
      </c>
      <c r="T1331" s="13" t="str">
        <f aca="false">IF(M1331=1,YEAR(C1331),"")</f>
        <v/>
      </c>
      <c r="U1331" s="13" t="str">
        <f aca="false">IF(M1331=1,YEAR(C1331)&amp;"-Q"&amp;ROUNDUP(MONTH(C1331)/3,0),"")</f>
        <v/>
      </c>
      <c r="V1331" s="13" t="str">
        <f aca="false">IF(M1331=1,MONTH(C1331),"")</f>
        <v/>
      </c>
    </row>
    <row r="1332" customFormat="false" ht="15" hidden="false" customHeight="false" outlineLevel="0" collapsed="false">
      <c r="A1332" s="13" t="str">
        <f aca="false">TRIM(Raw_Data!A1332)</f>
        <v>EMP1331</v>
      </c>
      <c r="B1332" s="14" t="n">
        <f aca="false">Raw_Data!B1332</f>
        <v>44746</v>
      </c>
      <c r="C1332" s="14" t="n">
        <f aca="false">IF(Raw_Data!C1332="","",Raw_Data!C1332)</f>
        <v>45099</v>
      </c>
      <c r="D1332" s="13" t="n">
        <f aca="false">IF(Raw_Data!D1332="","",Raw_Data!D1332)</f>
        <v>30</v>
      </c>
      <c r="E1332" s="13" t="str">
        <f aca="false">IF(UPPER(LEFT(TRIM(Raw_Data!E1332),1))="M","Male",IF(UPPER(LEFT(TRIM(Raw_Data!E1332),1))="F","Female","Unknown"))</f>
        <v>Female</v>
      </c>
      <c r="F1332" s="13" t="str">
        <f aca="false">PROPER(TRIM(SUBSTITUTE(Raw_Data!F1332,"'","")))</f>
        <v>Bachelors</v>
      </c>
      <c r="G1332" s="13" t="str">
        <f aca="false">PROPER(TRIM(Raw_Data!G1332))</f>
        <v>Customer Support</v>
      </c>
      <c r="H1332" s="13" t="str">
        <f aca="false">PROPER(TRIM(Raw_Data!H1332))</f>
        <v>Specialist</v>
      </c>
      <c r="I1332" s="13" t="n">
        <f aca="false">IF(Raw_Data!I1332="",DefaultPerf,Raw_Data!I1332)</f>
        <v>3</v>
      </c>
      <c r="J1332" s="13" t="n">
        <f aca="false">IF(Raw_Data!J1332="",DefaultSat,Raw_Data!J1332)</f>
        <v>4</v>
      </c>
      <c r="K1332" s="15" t="n">
        <f aca="false">Raw_Data!K1332</f>
        <v>97500</v>
      </c>
      <c r="L1332" s="13" t="str">
        <f aca="false">PROPER(TRIM(Raw_Data!N1332))</f>
        <v>No</v>
      </c>
      <c r="M1332" s="13" t="n">
        <f aca="false">IF(C1332="",0,1)</f>
        <v>1</v>
      </c>
      <c r="N1332" s="13" t="str">
        <f aca="false">IF(M1332=0,"Active",IF(TRIM(Raw_Data!L1332)="","Unknown",PROPER(TRIM(Raw_Data!L1332))))</f>
        <v>Involuntary</v>
      </c>
      <c r="O1332" s="13" t="str">
        <f aca="false">IF(M1332=0,"",IF(TRIM(Raw_Data!M1332)="","Not Recorded",TRIM(Raw_Data!M1332)))</f>
        <v>Restructuring / Layoff</v>
      </c>
      <c r="P1332" s="16" t="n">
        <f aca="false">ROUND((IF(C1332="",AsOfDate,C1332)-B1332)/365.25,2)</f>
        <v>0.97</v>
      </c>
      <c r="Q1332" s="13" t="str">
        <f aca="false">IF(D1332="","Unknown",IF(D1332&lt;25,"Under 25",IF(D1332&lt;35,"25-34",IF(D1332&lt;45,"35-44",IF(D1332&lt;55,"45-54","55+")))))</f>
        <v>25-34</v>
      </c>
      <c r="R1332" s="13" t="str">
        <f aca="false">IF(P1332&lt;1,"0-1 yrs",IF(P1332&lt;3,"1-3 yrs",IF(P1332&lt;5,"3-5 yrs",IF(P1332&lt;10,"5-10 yrs","10+ yrs"))))</f>
        <v>0-1 yrs</v>
      </c>
      <c r="S1332" s="13" t="str">
        <f aca="false">IF(I1332&gt;=4,"High",IF(I1332=3,"Medium","Low"))</f>
        <v>Medium</v>
      </c>
      <c r="T1332" s="13" t="n">
        <f aca="false">IF(M1332=1,YEAR(C1332),"")</f>
        <v>2023</v>
      </c>
      <c r="U1332" s="13" t="str">
        <f aca="false">IF(M1332=1,YEAR(C1332)&amp;"-Q"&amp;ROUNDUP(MONTH(C1332)/3,0),"")</f>
        <v>2023-Q2</v>
      </c>
      <c r="V1332" s="13" t="n">
        <f aca="false">IF(M1332=1,MONTH(C1332),"")</f>
        <v>6</v>
      </c>
    </row>
    <row r="1333" customFormat="false" ht="15" hidden="false" customHeight="false" outlineLevel="0" collapsed="false">
      <c r="A1333" s="13" t="str">
        <f aca="false">TRIM(Raw_Data!A1333)</f>
        <v>EMP1332</v>
      </c>
      <c r="B1333" s="14" t="n">
        <f aca="false">Raw_Data!B1333</f>
        <v>44749</v>
      </c>
      <c r="C1333" s="14" t="str">
        <f aca="false">IF(Raw_Data!C1333="","",Raw_Data!C1333)</f>
        <v/>
      </c>
      <c r="D1333" s="13" t="n">
        <f aca="false">IF(Raw_Data!D1333="","",Raw_Data!D1333)</f>
        <v>32</v>
      </c>
      <c r="E1333" s="13" t="str">
        <f aca="false">IF(UPPER(LEFT(TRIM(Raw_Data!E1333),1))="M","Male",IF(UPPER(LEFT(TRIM(Raw_Data!E1333),1))="F","Female","Unknown"))</f>
        <v>Male</v>
      </c>
      <c r="F1333" s="13" t="str">
        <f aca="false">PROPER(TRIM(SUBSTITUTE(Raw_Data!F1333,"'","")))</f>
        <v>Doctorate</v>
      </c>
      <c r="G1333" s="13" t="str">
        <f aca="false">PROPER(TRIM(Raw_Data!G1333))</f>
        <v>Finance</v>
      </c>
      <c r="H1333" s="13" t="str">
        <f aca="false">PROPER(TRIM(Raw_Data!H1333))</f>
        <v>Associate</v>
      </c>
      <c r="I1333" s="13" t="n">
        <f aca="false">IF(Raw_Data!I1333="",DefaultPerf,Raw_Data!I1333)</f>
        <v>1</v>
      </c>
      <c r="J1333" s="13" t="n">
        <f aca="false">IF(Raw_Data!J1333="",DefaultSat,Raw_Data!J1333)</f>
        <v>3</v>
      </c>
      <c r="K1333" s="15" t="n">
        <f aca="false">Raw_Data!K1333</f>
        <v>34500</v>
      </c>
      <c r="L1333" s="13" t="str">
        <f aca="false">PROPER(TRIM(Raw_Data!N1333))</f>
        <v>No</v>
      </c>
      <c r="M1333" s="13" t="n">
        <f aca="false">IF(C1333="",0,1)</f>
        <v>0</v>
      </c>
      <c r="N1333" s="13" t="str">
        <f aca="false">IF(M1333=0,"Active",IF(TRIM(Raw_Data!L1333)="","Unknown",PROPER(TRIM(Raw_Data!L1333))))</f>
        <v>Active</v>
      </c>
      <c r="O1333" s="13" t="str">
        <f aca="false">IF(M1333=0,"",IF(TRIM(Raw_Data!M1333)="","Not Recorded",TRIM(Raw_Data!M1333)))</f>
        <v/>
      </c>
      <c r="P1333" s="16" t="n">
        <f aca="false">ROUND((IF(C1333="",AsOfDate,C1333)-B1333)/365.25,2)</f>
        <v>3.49</v>
      </c>
      <c r="Q1333" s="13" t="str">
        <f aca="false">IF(D1333="","Unknown",IF(D1333&lt;25,"Under 25",IF(D1333&lt;35,"25-34",IF(D1333&lt;45,"35-44",IF(D1333&lt;55,"45-54","55+")))))</f>
        <v>25-34</v>
      </c>
      <c r="R1333" s="13" t="str">
        <f aca="false">IF(P1333&lt;1,"0-1 yrs",IF(P1333&lt;3,"1-3 yrs",IF(P1333&lt;5,"3-5 yrs",IF(P1333&lt;10,"5-10 yrs","10+ yrs"))))</f>
        <v>3-5 yrs</v>
      </c>
      <c r="S1333" s="13" t="str">
        <f aca="false">IF(I1333&gt;=4,"High",IF(I1333=3,"Medium","Low"))</f>
        <v>Low</v>
      </c>
      <c r="T1333" s="13" t="str">
        <f aca="false">IF(M1333=1,YEAR(C1333),"")</f>
        <v/>
      </c>
      <c r="U1333" s="13" t="str">
        <f aca="false">IF(M1333=1,YEAR(C1333)&amp;"-Q"&amp;ROUNDUP(MONTH(C1333)/3,0),"")</f>
        <v/>
      </c>
      <c r="V1333" s="13" t="str">
        <f aca="false">IF(M1333=1,MONTH(C1333),"")</f>
        <v/>
      </c>
    </row>
    <row r="1334" customFormat="false" ht="15" hidden="false" customHeight="false" outlineLevel="0" collapsed="false">
      <c r="A1334" s="13" t="str">
        <f aca="false">TRIM(Raw_Data!A1334)</f>
        <v>EMP1333</v>
      </c>
      <c r="B1334" s="14" t="n">
        <f aca="false">Raw_Data!B1334</f>
        <v>44753</v>
      </c>
      <c r="C1334" s="14" t="n">
        <f aca="false">IF(Raw_Data!C1334="","",Raw_Data!C1334)</f>
        <v>45663</v>
      </c>
      <c r="D1334" s="13" t="n">
        <f aca="false">IF(Raw_Data!D1334="","",Raw_Data!D1334)</f>
        <v>31</v>
      </c>
      <c r="E1334" s="13" t="str">
        <f aca="false">IF(UPPER(LEFT(TRIM(Raw_Data!E1334),1))="M","Male",IF(UPPER(LEFT(TRIM(Raw_Data!E1334),1))="F","Female","Unknown"))</f>
        <v>Male</v>
      </c>
      <c r="F1334" s="13" t="str">
        <f aca="false">PROPER(TRIM(SUBSTITUTE(Raw_Data!F1334,"'","")))</f>
        <v>Diploma</v>
      </c>
      <c r="G1334" s="13" t="str">
        <f aca="false">PROPER(TRIM(Raw_Data!G1334))</f>
        <v>Operations</v>
      </c>
      <c r="H1334" s="13" t="str">
        <f aca="false">PROPER(TRIM(Raw_Data!H1334))</f>
        <v>Team Lead</v>
      </c>
      <c r="I1334" s="13" t="n">
        <f aca="false">IF(Raw_Data!I1334="",DefaultPerf,Raw_Data!I1334)</f>
        <v>3</v>
      </c>
      <c r="J1334" s="13" t="n">
        <f aca="false">IF(Raw_Data!J1334="",DefaultSat,Raw_Data!J1334)</f>
        <v>3</v>
      </c>
      <c r="K1334" s="15" t="n">
        <f aca="false">Raw_Data!K1334</f>
        <v>154500</v>
      </c>
      <c r="L1334" s="13" t="str">
        <f aca="false">PROPER(TRIM(Raw_Data!N1334))</f>
        <v>No</v>
      </c>
      <c r="M1334" s="13" t="n">
        <f aca="false">IF(C1334="",0,1)</f>
        <v>1</v>
      </c>
      <c r="N1334" s="13" t="str">
        <f aca="false">IF(M1334=0,"Active",IF(TRIM(Raw_Data!L1334)="","Unknown",PROPER(TRIM(Raw_Data!L1334))))</f>
        <v>Voluntary</v>
      </c>
      <c r="O1334" s="13" t="str">
        <f aca="false">IF(M1334=0,"",IF(TRIM(Raw_Data!M1334)="","Not Recorded",TRIM(Raw_Data!M1334)))</f>
        <v>Work-Life Balance</v>
      </c>
      <c r="P1334" s="16" t="n">
        <f aca="false">ROUND((IF(C1334="",AsOfDate,C1334)-B1334)/365.25,2)</f>
        <v>2.49</v>
      </c>
      <c r="Q1334" s="13" t="str">
        <f aca="false">IF(D1334="","Unknown",IF(D1334&lt;25,"Under 25",IF(D1334&lt;35,"25-34",IF(D1334&lt;45,"35-44",IF(D1334&lt;55,"45-54","55+")))))</f>
        <v>25-34</v>
      </c>
      <c r="R1334" s="13" t="str">
        <f aca="false">IF(P1334&lt;1,"0-1 yrs",IF(P1334&lt;3,"1-3 yrs",IF(P1334&lt;5,"3-5 yrs",IF(P1334&lt;10,"5-10 yrs","10+ yrs"))))</f>
        <v>1-3 yrs</v>
      </c>
      <c r="S1334" s="13" t="str">
        <f aca="false">IF(I1334&gt;=4,"High",IF(I1334=3,"Medium","Low"))</f>
        <v>Medium</v>
      </c>
      <c r="T1334" s="13" t="n">
        <f aca="false">IF(M1334=1,YEAR(C1334),"")</f>
        <v>2025</v>
      </c>
      <c r="U1334" s="13" t="str">
        <f aca="false">IF(M1334=1,YEAR(C1334)&amp;"-Q"&amp;ROUNDUP(MONTH(C1334)/3,0),"")</f>
        <v>2025-Q1</v>
      </c>
      <c r="V1334" s="13" t="n">
        <f aca="false">IF(M1334=1,MONTH(C1334),"")</f>
        <v>1</v>
      </c>
    </row>
    <row r="1335" customFormat="false" ht="15" hidden="false" customHeight="false" outlineLevel="0" collapsed="false">
      <c r="A1335" s="13" t="str">
        <f aca="false">TRIM(Raw_Data!A1335)</f>
        <v>EMP1334</v>
      </c>
      <c r="B1335" s="14" t="n">
        <f aca="false">Raw_Data!B1335</f>
        <v>44754</v>
      </c>
      <c r="C1335" s="14" t="str">
        <f aca="false">IF(Raw_Data!C1335="","",Raw_Data!C1335)</f>
        <v/>
      </c>
      <c r="D1335" s="13" t="n">
        <f aca="false">IF(Raw_Data!D1335="","",Raw_Data!D1335)</f>
        <v>39</v>
      </c>
      <c r="E1335" s="13" t="str">
        <f aca="false">IF(UPPER(LEFT(TRIM(Raw_Data!E1335),1))="M","Male",IF(UPPER(LEFT(TRIM(Raw_Data!E1335),1))="F","Female","Unknown"))</f>
        <v>Male</v>
      </c>
      <c r="F1335" s="13" t="str">
        <f aca="false">PROPER(TRIM(SUBSTITUTE(Raw_Data!F1335,"'","")))</f>
        <v>Bachelors</v>
      </c>
      <c r="G1335" s="13" t="str">
        <f aca="false">PROPER(TRIM(Raw_Data!G1335))</f>
        <v>Sales</v>
      </c>
      <c r="H1335" s="13" t="str">
        <f aca="false">PROPER(TRIM(Raw_Data!H1335))</f>
        <v>Associate</v>
      </c>
      <c r="I1335" s="13" t="n">
        <f aca="false">IF(Raw_Data!I1335="",DefaultPerf,Raw_Data!I1335)</f>
        <v>4</v>
      </c>
      <c r="J1335" s="13" t="n">
        <f aca="false">IF(Raw_Data!J1335="",DefaultSat,Raw_Data!J1335)</f>
        <v>3</v>
      </c>
      <c r="K1335" s="15" t="n">
        <f aca="false">Raw_Data!K1335</f>
        <v>35500</v>
      </c>
      <c r="L1335" s="13" t="str">
        <f aca="false">PROPER(TRIM(Raw_Data!N1335))</f>
        <v>No</v>
      </c>
      <c r="M1335" s="13" t="n">
        <f aca="false">IF(C1335="",0,1)</f>
        <v>0</v>
      </c>
      <c r="N1335" s="13" t="str">
        <f aca="false">IF(M1335=0,"Active",IF(TRIM(Raw_Data!L1335)="","Unknown",PROPER(TRIM(Raw_Data!L1335))))</f>
        <v>Active</v>
      </c>
      <c r="O1335" s="13" t="str">
        <f aca="false">IF(M1335=0,"",IF(TRIM(Raw_Data!M1335)="","Not Recorded",TRIM(Raw_Data!M1335)))</f>
        <v/>
      </c>
      <c r="P1335" s="16" t="n">
        <f aca="false">ROUND((IF(C1335="",AsOfDate,C1335)-B1335)/365.25,2)</f>
        <v>3.47</v>
      </c>
      <c r="Q1335" s="13" t="str">
        <f aca="false">IF(D1335="","Unknown",IF(D1335&lt;25,"Under 25",IF(D1335&lt;35,"25-34",IF(D1335&lt;45,"35-44",IF(D1335&lt;55,"45-54","55+")))))</f>
        <v>35-44</v>
      </c>
      <c r="R1335" s="13" t="str">
        <f aca="false">IF(P1335&lt;1,"0-1 yrs",IF(P1335&lt;3,"1-3 yrs",IF(P1335&lt;5,"3-5 yrs",IF(P1335&lt;10,"5-10 yrs","10+ yrs"))))</f>
        <v>3-5 yrs</v>
      </c>
      <c r="S1335" s="13" t="str">
        <f aca="false">IF(I1335&gt;=4,"High",IF(I1335=3,"Medium","Low"))</f>
        <v>High</v>
      </c>
      <c r="T1335" s="13" t="str">
        <f aca="false">IF(M1335=1,YEAR(C1335),"")</f>
        <v/>
      </c>
      <c r="U1335" s="13" t="str">
        <f aca="false">IF(M1335=1,YEAR(C1335)&amp;"-Q"&amp;ROUNDUP(MONTH(C1335)/3,0),"")</f>
        <v/>
      </c>
      <c r="V1335" s="13" t="str">
        <f aca="false">IF(M1335=1,MONTH(C1335),"")</f>
        <v/>
      </c>
    </row>
    <row r="1336" customFormat="false" ht="15" hidden="false" customHeight="false" outlineLevel="0" collapsed="false">
      <c r="A1336" s="13" t="str">
        <f aca="false">TRIM(Raw_Data!A1336)</f>
        <v>EMP1335</v>
      </c>
      <c r="B1336" s="14" t="n">
        <f aca="false">Raw_Data!B1336</f>
        <v>44755</v>
      </c>
      <c r="C1336" s="14" t="str">
        <f aca="false">IF(Raw_Data!C1336="","",Raw_Data!C1336)</f>
        <v/>
      </c>
      <c r="D1336" s="13" t="n">
        <f aca="false">IF(Raw_Data!D1336="","",Raw_Data!D1336)</f>
        <v>33</v>
      </c>
      <c r="E1336" s="13" t="str">
        <f aca="false">IF(UPPER(LEFT(TRIM(Raw_Data!E1336),1))="M","Male",IF(UPPER(LEFT(TRIM(Raw_Data!E1336),1))="F","Female","Unknown"))</f>
        <v>Female</v>
      </c>
      <c r="F1336" s="13" t="str">
        <f aca="false">PROPER(TRIM(SUBSTITUTE(Raw_Data!F1336,"'","")))</f>
        <v>Masters</v>
      </c>
      <c r="G1336" s="13" t="str">
        <f aca="false">PROPER(TRIM(Raw_Data!G1336))</f>
        <v>Engineering</v>
      </c>
      <c r="H1336" s="13" t="str">
        <f aca="false">PROPER(TRIM(Raw_Data!H1336))</f>
        <v>Senior Analyst</v>
      </c>
      <c r="I1336" s="13" t="n">
        <f aca="false">IF(Raw_Data!I1336="",DefaultPerf,Raw_Data!I1336)</f>
        <v>4</v>
      </c>
      <c r="J1336" s="13" t="n">
        <f aca="false">IF(Raw_Data!J1336="",DefaultSat,Raw_Data!J1336)</f>
        <v>1</v>
      </c>
      <c r="K1336" s="15" t="n">
        <f aca="false">Raw_Data!K1336</f>
        <v>91500</v>
      </c>
      <c r="L1336" s="13" t="str">
        <f aca="false">PROPER(TRIM(Raw_Data!N1336))</f>
        <v>No</v>
      </c>
      <c r="M1336" s="13" t="n">
        <f aca="false">IF(C1336="",0,1)</f>
        <v>0</v>
      </c>
      <c r="N1336" s="13" t="str">
        <f aca="false">IF(M1336=0,"Active",IF(TRIM(Raw_Data!L1336)="","Unknown",PROPER(TRIM(Raw_Data!L1336))))</f>
        <v>Active</v>
      </c>
      <c r="O1336" s="13" t="str">
        <f aca="false">IF(M1336=0,"",IF(TRIM(Raw_Data!M1336)="","Not Recorded",TRIM(Raw_Data!M1336)))</f>
        <v/>
      </c>
      <c r="P1336" s="16" t="n">
        <f aca="false">ROUND((IF(C1336="",AsOfDate,C1336)-B1336)/365.25,2)</f>
        <v>3.47</v>
      </c>
      <c r="Q1336" s="13" t="str">
        <f aca="false">IF(D1336="","Unknown",IF(D1336&lt;25,"Under 25",IF(D1336&lt;35,"25-34",IF(D1336&lt;45,"35-44",IF(D1336&lt;55,"45-54","55+")))))</f>
        <v>25-34</v>
      </c>
      <c r="R1336" s="13" t="str">
        <f aca="false">IF(P1336&lt;1,"0-1 yrs",IF(P1336&lt;3,"1-3 yrs",IF(P1336&lt;5,"3-5 yrs",IF(P1336&lt;10,"5-10 yrs","10+ yrs"))))</f>
        <v>3-5 yrs</v>
      </c>
      <c r="S1336" s="13" t="str">
        <f aca="false">IF(I1336&gt;=4,"High",IF(I1336=3,"Medium","Low"))</f>
        <v>High</v>
      </c>
      <c r="T1336" s="13" t="str">
        <f aca="false">IF(M1336=1,YEAR(C1336),"")</f>
        <v/>
      </c>
      <c r="U1336" s="13" t="str">
        <f aca="false">IF(M1336=1,YEAR(C1336)&amp;"-Q"&amp;ROUNDUP(MONTH(C1336)/3,0),"")</f>
        <v/>
      </c>
      <c r="V1336" s="13" t="str">
        <f aca="false">IF(M1336=1,MONTH(C1336),"")</f>
        <v/>
      </c>
    </row>
    <row r="1337" customFormat="false" ht="15" hidden="false" customHeight="false" outlineLevel="0" collapsed="false">
      <c r="A1337" s="13" t="str">
        <f aca="false">TRIM(Raw_Data!A1337)</f>
        <v>EMP1336</v>
      </c>
      <c r="B1337" s="14" t="n">
        <f aca="false">Raw_Data!B1337</f>
        <v>44756</v>
      </c>
      <c r="C1337" s="14" t="str">
        <f aca="false">IF(Raw_Data!C1337="","",Raw_Data!C1337)</f>
        <v/>
      </c>
      <c r="D1337" s="13" t="n">
        <f aca="false">IF(Raw_Data!D1337="","",Raw_Data!D1337)</f>
        <v>30</v>
      </c>
      <c r="E1337" s="13" t="str">
        <f aca="false">IF(UPPER(LEFT(TRIM(Raw_Data!E1337),1))="M","Male",IF(UPPER(LEFT(TRIM(Raw_Data!E1337),1))="F","Female","Unknown"))</f>
        <v>Female</v>
      </c>
      <c r="F1337" s="13" t="str">
        <f aca="false">PROPER(TRIM(SUBSTITUTE(Raw_Data!F1337,"'","")))</f>
        <v>Bachelors</v>
      </c>
      <c r="G1337" s="13" t="str">
        <f aca="false">PROPER(TRIM(Raw_Data!G1337))</f>
        <v>Operations</v>
      </c>
      <c r="H1337" s="13" t="str">
        <f aca="false">PROPER(TRIM(Raw_Data!H1337))</f>
        <v>Associate</v>
      </c>
      <c r="I1337" s="13" t="n">
        <f aca="false">IF(Raw_Data!I1337="",DefaultPerf,Raw_Data!I1337)</f>
        <v>2</v>
      </c>
      <c r="J1337" s="17" t="n">
        <f aca="false">IF(Raw_Data!J1337="",DefaultSat,Raw_Data!J1337)</f>
        <v>3</v>
      </c>
      <c r="K1337" s="15" t="n">
        <f aca="false">Raw_Data!K1337</f>
        <v>40000</v>
      </c>
      <c r="L1337" s="13" t="str">
        <f aca="false">PROPER(TRIM(Raw_Data!N1337))</f>
        <v>Yes</v>
      </c>
      <c r="M1337" s="13" t="n">
        <f aca="false">IF(C1337="",0,1)</f>
        <v>0</v>
      </c>
      <c r="N1337" s="13" t="str">
        <f aca="false">IF(M1337=0,"Active",IF(TRIM(Raw_Data!L1337)="","Unknown",PROPER(TRIM(Raw_Data!L1337))))</f>
        <v>Active</v>
      </c>
      <c r="O1337" s="13" t="str">
        <f aca="false">IF(M1337=0,"",IF(TRIM(Raw_Data!M1337)="","Not Recorded",TRIM(Raw_Data!M1337)))</f>
        <v/>
      </c>
      <c r="P1337" s="16" t="n">
        <f aca="false">ROUND((IF(C1337="",AsOfDate,C1337)-B1337)/365.25,2)</f>
        <v>3.47</v>
      </c>
      <c r="Q1337" s="13" t="str">
        <f aca="false">IF(D1337="","Unknown",IF(D1337&lt;25,"Under 25",IF(D1337&lt;35,"25-34",IF(D1337&lt;45,"35-44",IF(D1337&lt;55,"45-54","55+")))))</f>
        <v>25-34</v>
      </c>
      <c r="R1337" s="13" t="str">
        <f aca="false">IF(P1337&lt;1,"0-1 yrs",IF(P1337&lt;3,"1-3 yrs",IF(P1337&lt;5,"3-5 yrs",IF(P1337&lt;10,"5-10 yrs","10+ yrs"))))</f>
        <v>3-5 yrs</v>
      </c>
      <c r="S1337" s="13" t="str">
        <f aca="false">IF(I1337&gt;=4,"High",IF(I1337=3,"Medium","Low"))</f>
        <v>Low</v>
      </c>
      <c r="T1337" s="13" t="str">
        <f aca="false">IF(M1337=1,YEAR(C1337),"")</f>
        <v/>
      </c>
      <c r="U1337" s="13" t="str">
        <f aca="false">IF(M1337=1,YEAR(C1337)&amp;"-Q"&amp;ROUNDUP(MONTH(C1337)/3,0),"")</f>
        <v/>
      </c>
      <c r="V1337" s="13" t="str">
        <f aca="false">IF(M1337=1,MONTH(C1337),"")</f>
        <v/>
      </c>
    </row>
    <row r="1338" customFormat="false" ht="15" hidden="false" customHeight="false" outlineLevel="0" collapsed="false">
      <c r="A1338" s="13" t="str">
        <f aca="false">TRIM(Raw_Data!A1338)</f>
        <v>EMP1337</v>
      </c>
      <c r="B1338" s="14" t="n">
        <f aca="false">Raw_Data!B1338</f>
        <v>44756</v>
      </c>
      <c r="C1338" s="14" t="n">
        <f aca="false">IF(Raw_Data!C1338="","",Raw_Data!C1338)</f>
        <v>45011</v>
      </c>
      <c r="D1338" s="13" t="n">
        <f aca="false">IF(Raw_Data!D1338="","",Raw_Data!D1338)</f>
        <v>26</v>
      </c>
      <c r="E1338" s="13" t="str">
        <f aca="false">IF(UPPER(LEFT(TRIM(Raw_Data!E1338),1))="M","Male",IF(UPPER(LEFT(TRIM(Raw_Data!E1338),1))="F","Female","Unknown"))</f>
        <v>Female</v>
      </c>
      <c r="F1338" s="13" t="str">
        <f aca="false">PROPER(TRIM(SUBSTITUTE(Raw_Data!F1338,"'","")))</f>
        <v>Masters</v>
      </c>
      <c r="G1338" s="13" t="str">
        <f aca="false">PROPER(TRIM(Raw_Data!G1338))</f>
        <v>Customer Support</v>
      </c>
      <c r="H1338" s="13" t="str">
        <f aca="false">PROPER(TRIM(Raw_Data!H1338))</f>
        <v>Specialist</v>
      </c>
      <c r="I1338" s="13" t="n">
        <f aca="false">IF(Raw_Data!I1338="",DefaultPerf,Raw_Data!I1338)</f>
        <v>3</v>
      </c>
      <c r="J1338" s="13" t="n">
        <f aca="false">IF(Raw_Data!J1338="",DefaultSat,Raw_Data!J1338)</f>
        <v>3</v>
      </c>
      <c r="K1338" s="15" t="n">
        <f aca="false">Raw_Data!K1338</f>
        <v>114000</v>
      </c>
      <c r="L1338" s="13" t="str">
        <f aca="false">PROPER(TRIM(Raw_Data!N1338))</f>
        <v>No</v>
      </c>
      <c r="M1338" s="13" t="n">
        <f aca="false">IF(C1338="",0,1)</f>
        <v>1</v>
      </c>
      <c r="N1338" s="13" t="str">
        <f aca="false">IF(M1338=0,"Active",IF(TRIM(Raw_Data!L1338)="","Unknown",PROPER(TRIM(Raw_Data!L1338))))</f>
        <v>Voluntary</v>
      </c>
      <c r="O1338" s="13" t="str">
        <f aca="false">IF(M1338=0,"",IF(TRIM(Raw_Data!M1338)="","Not Recorded",TRIM(Raw_Data!M1338)))</f>
        <v>Job Dissatisfaction</v>
      </c>
      <c r="P1338" s="16" t="n">
        <f aca="false">ROUND((IF(C1338="",AsOfDate,C1338)-B1338)/365.25,2)</f>
        <v>0.7</v>
      </c>
      <c r="Q1338" s="13" t="str">
        <f aca="false">IF(D1338="","Unknown",IF(D1338&lt;25,"Under 25",IF(D1338&lt;35,"25-34",IF(D1338&lt;45,"35-44",IF(D1338&lt;55,"45-54","55+")))))</f>
        <v>25-34</v>
      </c>
      <c r="R1338" s="13" t="str">
        <f aca="false">IF(P1338&lt;1,"0-1 yrs",IF(P1338&lt;3,"1-3 yrs",IF(P1338&lt;5,"3-5 yrs",IF(P1338&lt;10,"5-10 yrs","10+ yrs"))))</f>
        <v>0-1 yrs</v>
      </c>
      <c r="S1338" s="13" t="str">
        <f aca="false">IF(I1338&gt;=4,"High",IF(I1338=3,"Medium","Low"))</f>
        <v>Medium</v>
      </c>
      <c r="T1338" s="13" t="n">
        <f aca="false">IF(M1338=1,YEAR(C1338),"")</f>
        <v>2023</v>
      </c>
      <c r="U1338" s="13" t="str">
        <f aca="false">IF(M1338=1,YEAR(C1338)&amp;"-Q"&amp;ROUNDUP(MONTH(C1338)/3,0),"")</f>
        <v>2023-Q1</v>
      </c>
      <c r="V1338" s="13" t="n">
        <f aca="false">IF(M1338=1,MONTH(C1338),"")</f>
        <v>3</v>
      </c>
    </row>
    <row r="1339" customFormat="false" ht="15" hidden="false" customHeight="false" outlineLevel="0" collapsed="false">
      <c r="A1339" s="13" t="str">
        <f aca="false">TRIM(Raw_Data!A1339)</f>
        <v>EMP1338</v>
      </c>
      <c r="B1339" s="14" t="n">
        <f aca="false">Raw_Data!B1339</f>
        <v>44757</v>
      </c>
      <c r="C1339" s="14" t="str">
        <f aca="false">IF(Raw_Data!C1339="","",Raw_Data!C1339)</f>
        <v/>
      </c>
      <c r="D1339" s="13" t="n">
        <f aca="false">IF(Raw_Data!D1339="","",Raw_Data!D1339)</f>
        <v>38</v>
      </c>
      <c r="E1339" s="13" t="str">
        <f aca="false">IF(UPPER(LEFT(TRIM(Raw_Data!E1339),1))="M","Male",IF(UPPER(LEFT(TRIM(Raw_Data!E1339),1))="F","Female","Unknown"))</f>
        <v>Female</v>
      </c>
      <c r="F1339" s="13" t="str">
        <f aca="false">PROPER(TRIM(SUBSTITUTE(Raw_Data!F1339,"'","")))</f>
        <v>Bachelors</v>
      </c>
      <c r="G1339" s="13" t="str">
        <f aca="false">PROPER(TRIM(Raw_Data!G1339))</f>
        <v>Sales</v>
      </c>
      <c r="H1339" s="13" t="str">
        <f aca="false">PROPER(TRIM(Raw_Data!H1339))</f>
        <v>Specialist</v>
      </c>
      <c r="I1339" s="13" t="n">
        <f aca="false">IF(Raw_Data!I1339="",DefaultPerf,Raw_Data!I1339)</f>
        <v>3</v>
      </c>
      <c r="J1339" s="13" t="n">
        <f aca="false">IF(Raw_Data!J1339="",DefaultSat,Raw_Data!J1339)</f>
        <v>4</v>
      </c>
      <c r="K1339" s="15" t="n">
        <f aca="false">Raw_Data!K1339</f>
        <v>103000</v>
      </c>
      <c r="L1339" s="13" t="str">
        <f aca="false">PROPER(TRIM(Raw_Data!N1339))</f>
        <v>No</v>
      </c>
      <c r="M1339" s="13" t="n">
        <f aca="false">IF(C1339="",0,1)</f>
        <v>0</v>
      </c>
      <c r="N1339" s="13" t="str">
        <f aca="false">IF(M1339=0,"Active",IF(TRIM(Raw_Data!L1339)="","Unknown",PROPER(TRIM(Raw_Data!L1339))))</f>
        <v>Active</v>
      </c>
      <c r="O1339" s="13" t="str">
        <f aca="false">IF(M1339=0,"",IF(TRIM(Raw_Data!M1339)="","Not Recorded",TRIM(Raw_Data!M1339)))</f>
        <v/>
      </c>
      <c r="P1339" s="16" t="n">
        <f aca="false">ROUND((IF(C1339="",AsOfDate,C1339)-B1339)/365.25,2)</f>
        <v>3.46</v>
      </c>
      <c r="Q1339" s="13" t="str">
        <f aca="false">IF(D1339="","Unknown",IF(D1339&lt;25,"Under 25",IF(D1339&lt;35,"25-34",IF(D1339&lt;45,"35-44",IF(D1339&lt;55,"45-54","55+")))))</f>
        <v>35-44</v>
      </c>
      <c r="R1339" s="13" t="str">
        <f aca="false">IF(P1339&lt;1,"0-1 yrs",IF(P1339&lt;3,"1-3 yrs",IF(P1339&lt;5,"3-5 yrs",IF(P1339&lt;10,"5-10 yrs","10+ yrs"))))</f>
        <v>3-5 yrs</v>
      </c>
      <c r="S1339" s="13" t="str">
        <f aca="false">IF(I1339&gt;=4,"High",IF(I1339=3,"Medium","Low"))</f>
        <v>Medium</v>
      </c>
      <c r="T1339" s="13" t="str">
        <f aca="false">IF(M1339=1,YEAR(C1339),"")</f>
        <v/>
      </c>
      <c r="U1339" s="13" t="str">
        <f aca="false">IF(M1339=1,YEAR(C1339)&amp;"-Q"&amp;ROUNDUP(MONTH(C1339)/3,0),"")</f>
        <v/>
      </c>
      <c r="V1339" s="13" t="str">
        <f aca="false">IF(M1339=1,MONTH(C1339),"")</f>
        <v/>
      </c>
    </row>
    <row r="1340" customFormat="false" ht="15" hidden="false" customHeight="false" outlineLevel="0" collapsed="false">
      <c r="A1340" s="13" t="str">
        <f aca="false">TRIM(Raw_Data!A1340)</f>
        <v>EMP1339</v>
      </c>
      <c r="B1340" s="14" t="n">
        <f aca="false">Raw_Data!B1340</f>
        <v>44757</v>
      </c>
      <c r="C1340" s="14" t="n">
        <f aca="false">IF(Raw_Data!C1340="","",Raw_Data!C1340)</f>
        <v>44814</v>
      </c>
      <c r="D1340" s="13" t="n">
        <f aca="false">IF(Raw_Data!D1340="","",Raw_Data!D1340)</f>
        <v>25</v>
      </c>
      <c r="E1340" s="13" t="str">
        <f aca="false">IF(UPPER(LEFT(TRIM(Raw_Data!E1340),1))="M","Male",IF(UPPER(LEFT(TRIM(Raw_Data!E1340),1))="F","Female","Unknown"))</f>
        <v>Female</v>
      </c>
      <c r="F1340" s="13" t="str">
        <f aca="false">PROPER(TRIM(SUBSTITUTE(Raw_Data!F1340,"'","")))</f>
        <v>Bachelors</v>
      </c>
      <c r="G1340" s="13" t="str">
        <f aca="false">PROPER(TRIM(Raw_Data!G1340))</f>
        <v>Engineering</v>
      </c>
      <c r="H1340" s="13" t="str">
        <f aca="false">PROPER(TRIM(Raw_Data!H1340))</f>
        <v>Analyst</v>
      </c>
      <c r="I1340" s="13" t="n">
        <f aca="false">IF(Raw_Data!I1340="",DefaultPerf,Raw_Data!I1340)</f>
        <v>3</v>
      </c>
      <c r="J1340" s="13" t="n">
        <f aca="false">IF(Raw_Data!J1340="",DefaultSat,Raw_Data!J1340)</f>
        <v>4</v>
      </c>
      <c r="K1340" s="15" t="n">
        <f aca="false">Raw_Data!K1340</f>
        <v>53000</v>
      </c>
      <c r="L1340" s="13" t="str">
        <f aca="false">PROPER(TRIM(Raw_Data!N1340))</f>
        <v>Yes</v>
      </c>
      <c r="M1340" s="13" t="n">
        <f aca="false">IF(C1340="",0,1)</f>
        <v>1</v>
      </c>
      <c r="N1340" s="13" t="str">
        <f aca="false">IF(M1340=0,"Active",IF(TRIM(Raw_Data!L1340)="","Unknown",PROPER(TRIM(Raw_Data!L1340))))</f>
        <v>Voluntary</v>
      </c>
      <c r="O1340" s="13" t="str">
        <f aca="false">IF(M1340=0,"",IF(TRIM(Raw_Data!M1340)="","Not Recorded",TRIM(Raw_Data!M1340)))</f>
        <v>Job Dissatisfaction</v>
      </c>
      <c r="P1340" s="16" t="n">
        <f aca="false">ROUND((IF(C1340="",AsOfDate,C1340)-B1340)/365.25,2)</f>
        <v>0.16</v>
      </c>
      <c r="Q1340" s="13" t="str">
        <f aca="false">IF(D1340="","Unknown",IF(D1340&lt;25,"Under 25",IF(D1340&lt;35,"25-34",IF(D1340&lt;45,"35-44",IF(D1340&lt;55,"45-54","55+")))))</f>
        <v>25-34</v>
      </c>
      <c r="R1340" s="13" t="str">
        <f aca="false">IF(P1340&lt;1,"0-1 yrs",IF(P1340&lt;3,"1-3 yrs",IF(P1340&lt;5,"3-5 yrs",IF(P1340&lt;10,"5-10 yrs","10+ yrs"))))</f>
        <v>0-1 yrs</v>
      </c>
      <c r="S1340" s="13" t="str">
        <f aca="false">IF(I1340&gt;=4,"High",IF(I1340=3,"Medium","Low"))</f>
        <v>Medium</v>
      </c>
      <c r="T1340" s="13" t="n">
        <f aca="false">IF(M1340=1,YEAR(C1340),"")</f>
        <v>2022</v>
      </c>
      <c r="U1340" s="13" t="str">
        <f aca="false">IF(M1340=1,YEAR(C1340)&amp;"-Q"&amp;ROUNDUP(MONTH(C1340)/3,0),"")</f>
        <v>2022-Q3</v>
      </c>
      <c r="V1340" s="13" t="n">
        <f aca="false">IF(M1340=1,MONTH(C1340),"")</f>
        <v>9</v>
      </c>
    </row>
    <row r="1341" customFormat="false" ht="15" hidden="false" customHeight="false" outlineLevel="0" collapsed="false">
      <c r="A1341" s="13" t="str">
        <f aca="false">TRIM(Raw_Data!A1341)</f>
        <v>EMP1340</v>
      </c>
      <c r="B1341" s="14" t="n">
        <f aca="false">Raw_Data!B1341</f>
        <v>44759</v>
      </c>
      <c r="C1341" s="14" t="str">
        <f aca="false">IF(Raw_Data!C1341="","",Raw_Data!C1341)</f>
        <v/>
      </c>
      <c r="D1341" s="13" t="n">
        <f aca="false">IF(Raw_Data!D1341="","",Raw_Data!D1341)</f>
        <v>29</v>
      </c>
      <c r="E1341" s="13" t="str">
        <f aca="false">IF(UPPER(LEFT(TRIM(Raw_Data!E1341),1))="M","Male",IF(UPPER(LEFT(TRIM(Raw_Data!E1341),1))="F","Female","Unknown"))</f>
        <v>Female</v>
      </c>
      <c r="F1341" s="13" t="str">
        <f aca="false">PROPER(TRIM(SUBSTITUTE(Raw_Data!F1341,"'","")))</f>
        <v>Masters</v>
      </c>
      <c r="G1341" s="13" t="str">
        <f aca="false">PROPER(TRIM(Raw_Data!G1341))</f>
        <v>Customer Support</v>
      </c>
      <c r="H1341" s="13" t="str">
        <f aca="false">PROPER(TRIM(Raw_Data!H1341))</f>
        <v>Associate</v>
      </c>
      <c r="I1341" s="13" t="n">
        <f aca="false">IF(Raw_Data!I1341="",DefaultPerf,Raw_Data!I1341)</f>
        <v>4</v>
      </c>
      <c r="J1341" s="13" t="n">
        <f aca="false">IF(Raw_Data!J1341="",DefaultSat,Raw_Data!J1341)</f>
        <v>4</v>
      </c>
      <c r="K1341" s="15" t="n">
        <f aca="false">Raw_Data!K1341</f>
        <v>36500</v>
      </c>
      <c r="L1341" s="13" t="str">
        <f aca="false">PROPER(TRIM(Raw_Data!N1341))</f>
        <v>No</v>
      </c>
      <c r="M1341" s="13" t="n">
        <f aca="false">IF(C1341="",0,1)</f>
        <v>0</v>
      </c>
      <c r="N1341" s="13" t="str">
        <f aca="false">IF(M1341=0,"Active",IF(TRIM(Raw_Data!L1341)="","Unknown",PROPER(TRIM(Raw_Data!L1341))))</f>
        <v>Active</v>
      </c>
      <c r="O1341" s="13" t="str">
        <f aca="false">IF(M1341=0,"",IF(TRIM(Raw_Data!M1341)="","Not Recorded",TRIM(Raw_Data!M1341)))</f>
        <v/>
      </c>
      <c r="P1341" s="16" t="n">
        <f aca="false">ROUND((IF(C1341="",AsOfDate,C1341)-B1341)/365.25,2)</f>
        <v>3.46</v>
      </c>
      <c r="Q1341" s="13" t="str">
        <f aca="false">IF(D1341="","Unknown",IF(D1341&lt;25,"Under 25",IF(D1341&lt;35,"25-34",IF(D1341&lt;45,"35-44",IF(D1341&lt;55,"45-54","55+")))))</f>
        <v>25-34</v>
      </c>
      <c r="R1341" s="13" t="str">
        <f aca="false">IF(P1341&lt;1,"0-1 yrs",IF(P1341&lt;3,"1-3 yrs",IF(P1341&lt;5,"3-5 yrs",IF(P1341&lt;10,"5-10 yrs","10+ yrs"))))</f>
        <v>3-5 yrs</v>
      </c>
      <c r="S1341" s="13" t="str">
        <f aca="false">IF(I1341&gt;=4,"High",IF(I1341=3,"Medium","Low"))</f>
        <v>High</v>
      </c>
      <c r="T1341" s="13" t="str">
        <f aca="false">IF(M1341=1,YEAR(C1341),"")</f>
        <v/>
      </c>
      <c r="U1341" s="13" t="str">
        <f aca="false">IF(M1341=1,YEAR(C1341)&amp;"-Q"&amp;ROUNDUP(MONTH(C1341)/3,0),"")</f>
        <v/>
      </c>
      <c r="V1341" s="13" t="str">
        <f aca="false">IF(M1341=1,MONTH(C1341),"")</f>
        <v/>
      </c>
    </row>
    <row r="1342" customFormat="false" ht="15" hidden="false" customHeight="false" outlineLevel="0" collapsed="false">
      <c r="A1342" s="13" t="str">
        <f aca="false">TRIM(Raw_Data!A1342)</f>
        <v>EMP1341</v>
      </c>
      <c r="B1342" s="14" t="n">
        <f aca="false">Raw_Data!B1342</f>
        <v>44761</v>
      </c>
      <c r="C1342" s="14" t="n">
        <f aca="false">IF(Raw_Data!C1342="","",Raw_Data!C1342)</f>
        <v>45243</v>
      </c>
      <c r="D1342" s="13" t="n">
        <f aca="false">IF(Raw_Data!D1342="","",Raw_Data!D1342)</f>
        <v>31</v>
      </c>
      <c r="E1342" s="13" t="str">
        <f aca="false">IF(UPPER(LEFT(TRIM(Raw_Data!E1342),1))="M","Male",IF(UPPER(LEFT(TRIM(Raw_Data!E1342),1))="F","Female","Unknown"))</f>
        <v>Male</v>
      </c>
      <c r="F1342" s="13" t="str">
        <f aca="false">PROPER(TRIM(SUBSTITUTE(Raw_Data!F1342,"'","")))</f>
        <v>Masters</v>
      </c>
      <c r="G1342" s="13" t="str">
        <f aca="false">PROPER(TRIM(Raw_Data!G1342))</f>
        <v>Sales</v>
      </c>
      <c r="H1342" s="13" t="str">
        <f aca="false">PROPER(TRIM(Raw_Data!H1342))</f>
        <v>Team Lead</v>
      </c>
      <c r="I1342" s="13" t="n">
        <f aca="false">IF(Raw_Data!I1342="",DefaultPerf,Raw_Data!I1342)</f>
        <v>5</v>
      </c>
      <c r="J1342" s="13" t="n">
        <f aca="false">IF(Raw_Data!J1342="",DefaultSat,Raw_Data!J1342)</f>
        <v>4</v>
      </c>
      <c r="K1342" s="15" t="n">
        <f aca="false">Raw_Data!K1342</f>
        <v>119500</v>
      </c>
      <c r="L1342" s="13" t="str">
        <f aca="false">PROPER(TRIM(Raw_Data!N1342))</f>
        <v>Yes</v>
      </c>
      <c r="M1342" s="13" t="n">
        <f aca="false">IF(C1342="",0,1)</f>
        <v>1</v>
      </c>
      <c r="N1342" s="13" t="str">
        <f aca="false">IF(M1342=0,"Active",IF(TRIM(Raw_Data!L1342)="","Unknown",PROPER(TRIM(Raw_Data!L1342))))</f>
        <v>Involuntary</v>
      </c>
      <c r="O1342" s="13" t="str">
        <f aca="false">IF(M1342=0,"",IF(TRIM(Raw_Data!M1342)="","Not Recorded",TRIM(Raw_Data!M1342)))</f>
        <v>Restructuring / Layoff</v>
      </c>
      <c r="P1342" s="16" t="n">
        <f aca="false">ROUND((IF(C1342="",AsOfDate,C1342)-B1342)/365.25,2)</f>
        <v>1.32</v>
      </c>
      <c r="Q1342" s="13" t="str">
        <f aca="false">IF(D1342="","Unknown",IF(D1342&lt;25,"Under 25",IF(D1342&lt;35,"25-34",IF(D1342&lt;45,"35-44",IF(D1342&lt;55,"45-54","55+")))))</f>
        <v>25-34</v>
      </c>
      <c r="R1342" s="13" t="str">
        <f aca="false">IF(P1342&lt;1,"0-1 yrs",IF(P1342&lt;3,"1-3 yrs",IF(P1342&lt;5,"3-5 yrs",IF(P1342&lt;10,"5-10 yrs","10+ yrs"))))</f>
        <v>1-3 yrs</v>
      </c>
      <c r="S1342" s="13" t="str">
        <f aca="false">IF(I1342&gt;=4,"High",IF(I1342=3,"Medium","Low"))</f>
        <v>High</v>
      </c>
      <c r="T1342" s="13" t="n">
        <f aca="false">IF(M1342=1,YEAR(C1342),"")</f>
        <v>2023</v>
      </c>
      <c r="U1342" s="13" t="str">
        <f aca="false">IF(M1342=1,YEAR(C1342)&amp;"-Q"&amp;ROUNDUP(MONTH(C1342)/3,0),"")</f>
        <v>2023-Q4</v>
      </c>
      <c r="V1342" s="13" t="n">
        <f aca="false">IF(M1342=1,MONTH(C1342),"")</f>
        <v>11</v>
      </c>
    </row>
    <row r="1343" customFormat="false" ht="15" hidden="false" customHeight="false" outlineLevel="0" collapsed="false">
      <c r="A1343" s="13" t="str">
        <f aca="false">TRIM(Raw_Data!A1343)</f>
        <v>EMP1342</v>
      </c>
      <c r="B1343" s="14" t="n">
        <f aca="false">Raw_Data!B1343</f>
        <v>44764</v>
      </c>
      <c r="C1343" s="14" t="str">
        <f aca="false">IF(Raw_Data!C1343="","",Raw_Data!C1343)</f>
        <v/>
      </c>
      <c r="D1343" s="13" t="n">
        <f aca="false">IF(Raw_Data!D1343="","",Raw_Data!D1343)</f>
        <v>34</v>
      </c>
      <c r="E1343" s="13" t="str">
        <f aca="false">IF(UPPER(LEFT(TRIM(Raw_Data!E1343),1))="M","Male",IF(UPPER(LEFT(TRIM(Raw_Data!E1343),1))="F","Female","Unknown"))</f>
        <v>Female</v>
      </c>
      <c r="F1343" s="13" t="str">
        <f aca="false">PROPER(TRIM(SUBSTITUTE(Raw_Data!F1343,"'","")))</f>
        <v>Diploma</v>
      </c>
      <c r="G1343" s="13" t="str">
        <f aca="false">PROPER(TRIM(Raw_Data!G1343))</f>
        <v>Engineering</v>
      </c>
      <c r="H1343" s="13" t="str">
        <f aca="false">PROPER(TRIM(Raw_Data!H1343))</f>
        <v>Manager</v>
      </c>
      <c r="I1343" s="13" t="n">
        <f aca="false">IF(Raw_Data!I1343="",DefaultPerf,Raw_Data!I1343)</f>
        <v>3</v>
      </c>
      <c r="J1343" s="13" t="n">
        <f aca="false">IF(Raw_Data!J1343="",DefaultSat,Raw_Data!J1343)</f>
        <v>4</v>
      </c>
      <c r="K1343" s="15" t="n">
        <f aca="false">Raw_Data!K1343</f>
        <v>186000</v>
      </c>
      <c r="L1343" s="13" t="str">
        <f aca="false">PROPER(TRIM(Raw_Data!N1343))</f>
        <v>No</v>
      </c>
      <c r="M1343" s="13" t="n">
        <f aca="false">IF(C1343="",0,1)</f>
        <v>0</v>
      </c>
      <c r="N1343" s="13" t="str">
        <f aca="false">IF(M1343=0,"Active",IF(TRIM(Raw_Data!L1343)="","Unknown",PROPER(TRIM(Raw_Data!L1343))))</f>
        <v>Active</v>
      </c>
      <c r="O1343" s="13" t="str">
        <f aca="false">IF(M1343=0,"",IF(TRIM(Raw_Data!M1343)="","Not Recorded",TRIM(Raw_Data!M1343)))</f>
        <v/>
      </c>
      <c r="P1343" s="16" t="n">
        <f aca="false">ROUND((IF(C1343="",AsOfDate,C1343)-B1343)/365.25,2)</f>
        <v>3.44</v>
      </c>
      <c r="Q1343" s="13" t="str">
        <f aca="false">IF(D1343="","Unknown",IF(D1343&lt;25,"Under 25",IF(D1343&lt;35,"25-34",IF(D1343&lt;45,"35-44",IF(D1343&lt;55,"45-54","55+")))))</f>
        <v>25-34</v>
      </c>
      <c r="R1343" s="13" t="str">
        <f aca="false">IF(P1343&lt;1,"0-1 yrs",IF(P1343&lt;3,"1-3 yrs",IF(P1343&lt;5,"3-5 yrs",IF(P1343&lt;10,"5-10 yrs","10+ yrs"))))</f>
        <v>3-5 yrs</v>
      </c>
      <c r="S1343" s="13" t="str">
        <f aca="false">IF(I1343&gt;=4,"High",IF(I1343=3,"Medium","Low"))</f>
        <v>Medium</v>
      </c>
      <c r="T1343" s="13" t="str">
        <f aca="false">IF(M1343=1,YEAR(C1343),"")</f>
        <v/>
      </c>
      <c r="U1343" s="13" t="str">
        <f aca="false">IF(M1343=1,YEAR(C1343)&amp;"-Q"&amp;ROUNDUP(MONTH(C1343)/3,0),"")</f>
        <v/>
      </c>
      <c r="V1343" s="13" t="str">
        <f aca="false">IF(M1343=1,MONTH(C1343),"")</f>
        <v/>
      </c>
    </row>
    <row r="1344" customFormat="false" ht="15" hidden="false" customHeight="false" outlineLevel="0" collapsed="false">
      <c r="A1344" s="13" t="str">
        <f aca="false">TRIM(Raw_Data!A1344)</f>
        <v>EMP1343</v>
      </c>
      <c r="B1344" s="14" t="n">
        <f aca="false">Raw_Data!B1344</f>
        <v>44766</v>
      </c>
      <c r="C1344" s="14" t="str">
        <f aca="false">IF(Raw_Data!C1344="","",Raw_Data!C1344)</f>
        <v/>
      </c>
      <c r="D1344" s="13" t="n">
        <f aca="false">IF(Raw_Data!D1344="","",Raw_Data!D1344)</f>
        <v>33</v>
      </c>
      <c r="E1344" s="13" t="str">
        <f aca="false">IF(UPPER(LEFT(TRIM(Raw_Data!E1344),1))="M","Male",IF(UPPER(LEFT(TRIM(Raw_Data!E1344),1))="F","Female","Unknown"))</f>
        <v>Female</v>
      </c>
      <c r="F1344" s="13" t="str">
        <f aca="false">PROPER(TRIM(SUBSTITUTE(Raw_Data!F1344,"'","")))</f>
        <v>Bachelors</v>
      </c>
      <c r="G1344" s="13" t="str">
        <f aca="false">PROPER(TRIM(Raw_Data!G1344))</f>
        <v>Engineering</v>
      </c>
      <c r="H1344" s="13" t="str">
        <f aca="false">PROPER(TRIM(Raw_Data!H1344))</f>
        <v>Associate</v>
      </c>
      <c r="I1344" s="13" t="n">
        <f aca="false">IF(Raw_Data!I1344="",DefaultPerf,Raw_Data!I1344)</f>
        <v>5</v>
      </c>
      <c r="J1344" s="13" t="n">
        <f aca="false">IF(Raw_Data!J1344="",DefaultSat,Raw_Data!J1344)</f>
        <v>4</v>
      </c>
      <c r="K1344" s="15" t="n">
        <f aca="false">Raw_Data!K1344</f>
        <v>35500</v>
      </c>
      <c r="L1344" s="13" t="str">
        <f aca="false">PROPER(TRIM(Raw_Data!N1344))</f>
        <v>No</v>
      </c>
      <c r="M1344" s="13" t="n">
        <f aca="false">IF(C1344="",0,1)</f>
        <v>0</v>
      </c>
      <c r="N1344" s="13" t="str">
        <f aca="false">IF(M1344=0,"Active",IF(TRIM(Raw_Data!L1344)="","Unknown",PROPER(TRIM(Raw_Data!L1344))))</f>
        <v>Active</v>
      </c>
      <c r="O1344" s="13" t="str">
        <f aca="false">IF(M1344=0,"",IF(TRIM(Raw_Data!M1344)="","Not Recorded",TRIM(Raw_Data!M1344)))</f>
        <v/>
      </c>
      <c r="P1344" s="16" t="n">
        <f aca="false">ROUND((IF(C1344="",AsOfDate,C1344)-B1344)/365.25,2)</f>
        <v>3.44</v>
      </c>
      <c r="Q1344" s="13" t="str">
        <f aca="false">IF(D1344="","Unknown",IF(D1344&lt;25,"Under 25",IF(D1344&lt;35,"25-34",IF(D1344&lt;45,"35-44",IF(D1344&lt;55,"45-54","55+")))))</f>
        <v>25-34</v>
      </c>
      <c r="R1344" s="13" t="str">
        <f aca="false">IF(P1344&lt;1,"0-1 yrs",IF(P1344&lt;3,"1-3 yrs",IF(P1344&lt;5,"3-5 yrs",IF(P1344&lt;10,"5-10 yrs","10+ yrs"))))</f>
        <v>3-5 yrs</v>
      </c>
      <c r="S1344" s="13" t="str">
        <f aca="false">IF(I1344&gt;=4,"High",IF(I1344=3,"Medium","Low"))</f>
        <v>High</v>
      </c>
      <c r="T1344" s="13" t="str">
        <f aca="false">IF(M1344=1,YEAR(C1344),"")</f>
        <v/>
      </c>
      <c r="U1344" s="13" t="str">
        <f aca="false">IF(M1344=1,YEAR(C1344)&amp;"-Q"&amp;ROUNDUP(MONTH(C1344)/3,0),"")</f>
        <v/>
      </c>
      <c r="V1344" s="13" t="str">
        <f aca="false">IF(M1344=1,MONTH(C1344),"")</f>
        <v/>
      </c>
    </row>
    <row r="1345" customFormat="false" ht="15" hidden="false" customHeight="false" outlineLevel="0" collapsed="false">
      <c r="A1345" s="13" t="str">
        <f aca="false">TRIM(Raw_Data!A1345)</f>
        <v>EMP1344</v>
      </c>
      <c r="B1345" s="14" t="n">
        <f aca="false">Raw_Data!B1345</f>
        <v>44766</v>
      </c>
      <c r="C1345" s="14" t="n">
        <f aca="false">IF(Raw_Data!C1345="","",Raw_Data!C1345)</f>
        <v>45119</v>
      </c>
      <c r="D1345" s="13" t="n">
        <f aca="false">IF(Raw_Data!D1345="","",Raw_Data!D1345)</f>
        <v>24</v>
      </c>
      <c r="E1345" s="13" t="str">
        <f aca="false">IF(UPPER(LEFT(TRIM(Raw_Data!E1345),1))="M","Male",IF(UPPER(LEFT(TRIM(Raw_Data!E1345),1))="F","Female","Unknown"))</f>
        <v>Female</v>
      </c>
      <c r="F1345" s="13" t="str">
        <f aca="false">PROPER(TRIM(SUBSTITUTE(Raw_Data!F1345,"'","")))</f>
        <v>Masters</v>
      </c>
      <c r="G1345" s="13" t="str">
        <f aca="false">PROPER(TRIM(Raw_Data!G1345))</f>
        <v>Operations</v>
      </c>
      <c r="H1345" s="13" t="str">
        <f aca="false">PROPER(TRIM(Raw_Data!H1345))</f>
        <v>Manager</v>
      </c>
      <c r="I1345" s="13" t="n">
        <f aca="false">IF(Raw_Data!I1345="",DefaultPerf,Raw_Data!I1345)</f>
        <v>3</v>
      </c>
      <c r="J1345" s="13" t="n">
        <f aca="false">IF(Raw_Data!J1345="",DefaultSat,Raw_Data!J1345)</f>
        <v>3</v>
      </c>
      <c r="K1345" s="15" t="n">
        <f aca="false">Raw_Data!K1345</f>
        <v>193500</v>
      </c>
      <c r="L1345" s="13" t="str">
        <f aca="false">PROPER(TRIM(Raw_Data!N1345))</f>
        <v>No</v>
      </c>
      <c r="M1345" s="13" t="n">
        <f aca="false">IF(C1345="",0,1)</f>
        <v>1</v>
      </c>
      <c r="N1345" s="13" t="str">
        <f aca="false">IF(M1345=0,"Active",IF(TRIM(Raw_Data!L1345)="","Unknown",PROPER(TRIM(Raw_Data!L1345))))</f>
        <v>Voluntary</v>
      </c>
      <c r="O1345" s="13" t="str">
        <f aca="false">IF(M1345=0,"",IF(TRIM(Raw_Data!M1345)="","Not Recorded",TRIM(Raw_Data!M1345)))</f>
        <v>Not Recorded</v>
      </c>
      <c r="P1345" s="16" t="n">
        <f aca="false">ROUND((IF(C1345="",AsOfDate,C1345)-B1345)/365.25,2)</f>
        <v>0.97</v>
      </c>
      <c r="Q1345" s="13" t="str">
        <f aca="false">IF(D1345="","Unknown",IF(D1345&lt;25,"Under 25",IF(D1345&lt;35,"25-34",IF(D1345&lt;45,"35-44",IF(D1345&lt;55,"45-54","55+")))))</f>
        <v>Under 25</v>
      </c>
      <c r="R1345" s="13" t="str">
        <f aca="false">IF(P1345&lt;1,"0-1 yrs",IF(P1345&lt;3,"1-3 yrs",IF(P1345&lt;5,"3-5 yrs",IF(P1345&lt;10,"5-10 yrs","10+ yrs"))))</f>
        <v>0-1 yrs</v>
      </c>
      <c r="S1345" s="13" t="str">
        <f aca="false">IF(I1345&gt;=4,"High",IF(I1345=3,"Medium","Low"))</f>
        <v>Medium</v>
      </c>
      <c r="T1345" s="13" t="n">
        <f aca="false">IF(M1345=1,YEAR(C1345),"")</f>
        <v>2023</v>
      </c>
      <c r="U1345" s="13" t="str">
        <f aca="false">IF(M1345=1,YEAR(C1345)&amp;"-Q"&amp;ROUNDUP(MONTH(C1345)/3,0),"")</f>
        <v>2023-Q3</v>
      </c>
      <c r="V1345" s="13" t="n">
        <f aca="false">IF(M1345=1,MONTH(C1345),"")</f>
        <v>7</v>
      </c>
    </row>
    <row r="1346" customFormat="false" ht="15" hidden="false" customHeight="false" outlineLevel="0" collapsed="false">
      <c r="A1346" s="13" t="str">
        <f aca="false">TRIM(Raw_Data!A1346)</f>
        <v>EMP1345</v>
      </c>
      <c r="B1346" s="14" t="n">
        <f aca="false">Raw_Data!B1346</f>
        <v>44767</v>
      </c>
      <c r="C1346" s="14" t="n">
        <f aca="false">IF(Raw_Data!C1346="","",Raw_Data!C1346)</f>
        <v>44815</v>
      </c>
      <c r="D1346" s="13" t="n">
        <f aca="false">IF(Raw_Data!D1346="","",Raw_Data!D1346)</f>
        <v>25</v>
      </c>
      <c r="E1346" s="13" t="str">
        <f aca="false">IF(UPPER(LEFT(TRIM(Raw_Data!E1346),1))="M","Male",IF(UPPER(LEFT(TRIM(Raw_Data!E1346),1))="F","Female","Unknown"))</f>
        <v>Female</v>
      </c>
      <c r="F1346" s="13" t="str">
        <f aca="false">PROPER(TRIM(SUBSTITUTE(Raw_Data!F1346,"'","")))</f>
        <v>Bachelors</v>
      </c>
      <c r="G1346" s="13" t="str">
        <f aca="false">PROPER(TRIM(Raw_Data!G1346))</f>
        <v>Customer Support</v>
      </c>
      <c r="H1346" s="13" t="str">
        <f aca="false">PROPER(TRIM(Raw_Data!H1346))</f>
        <v>Senior Analyst</v>
      </c>
      <c r="I1346" s="13" t="n">
        <f aca="false">IF(Raw_Data!I1346="",DefaultPerf,Raw_Data!I1346)</f>
        <v>3</v>
      </c>
      <c r="J1346" s="13" t="n">
        <f aca="false">IF(Raw_Data!J1346="",DefaultSat,Raw_Data!J1346)</f>
        <v>1</v>
      </c>
      <c r="K1346" s="15" t="n">
        <f aca="false">Raw_Data!K1346</f>
        <v>84000</v>
      </c>
      <c r="L1346" s="13" t="str">
        <f aca="false">PROPER(TRIM(Raw_Data!N1346))</f>
        <v>Yes</v>
      </c>
      <c r="M1346" s="13" t="n">
        <f aca="false">IF(C1346="",0,1)</f>
        <v>1</v>
      </c>
      <c r="N1346" s="13" t="str">
        <f aca="false">IF(M1346=0,"Active",IF(TRIM(Raw_Data!L1346)="","Unknown",PROPER(TRIM(Raw_Data!L1346))))</f>
        <v>Voluntary</v>
      </c>
      <c r="O1346" s="13" t="str">
        <f aca="false">IF(M1346=0,"",IF(TRIM(Raw_Data!M1346)="","Not Recorded",TRIM(Raw_Data!M1346)))</f>
        <v>Manager Issues</v>
      </c>
      <c r="P1346" s="16" t="n">
        <f aca="false">ROUND((IF(C1346="",AsOfDate,C1346)-B1346)/365.25,2)</f>
        <v>0.13</v>
      </c>
      <c r="Q1346" s="13" t="str">
        <f aca="false">IF(D1346="","Unknown",IF(D1346&lt;25,"Under 25",IF(D1346&lt;35,"25-34",IF(D1346&lt;45,"35-44",IF(D1346&lt;55,"45-54","55+")))))</f>
        <v>25-34</v>
      </c>
      <c r="R1346" s="13" t="str">
        <f aca="false">IF(P1346&lt;1,"0-1 yrs",IF(P1346&lt;3,"1-3 yrs",IF(P1346&lt;5,"3-5 yrs",IF(P1346&lt;10,"5-10 yrs","10+ yrs"))))</f>
        <v>0-1 yrs</v>
      </c>
      <c r="S1346" s="13" t="str">
        <f aca="false">IF(I1346&gt;=4,"High",IF(I1346=3,"Medium","Low"))</f>
        <v>Medium</v>
      </c>
      <c r="T1346" s="13" t="n">
        <f aca="false">IF(M1346=1,YEAR(C1346),"")</f>
        <v>2022</v>
      </c>
      <c r="U1346" s="13" t="str">
        <f aca="false">IF(M1346=1,YEAR(C1346)&amp;"-Q"&amp;ROUNDUP(MONTH(C1346)/3,0),"")</f>
        <v>2022-Q3</v>
      </c>
      <c r="V1346" s="13" t="n">
        <f aca="false">IF(M1346=1,MONTH(C1346),"")</f>
        <v>9</v>
      </c>
    </row>
    <row r="1347" customFormat="false" ht="15" hidden="false" customHeight="false" outlineLevel="0" collapsed="false">
      <c r="A1347" s="13" t="str">
        <f aca="false">TRIM(Raw_Data!A1347)</f>
        <v>EMP1346</v>
      </c>
      <c r="B1347" s="14" t="n">
        <f aca="false">Raw_Data!B1347</f>
        <v>44770</v>
      </c>
      <c r="C1347" s="14" t="str">
        <f aca="false">IF(Raw_Data!C1347="","",Raw_Data!C1347)</f>
        <v/>
      </c>
      <c r="D1347" s="13" t="n">
        <f aca="false">IF(Raw_Data!D1347="","",Raw_Data!D1347)</f>
        <v>24</v>
      </c>
      <c r="E1347" s="13" t="str">
        <f aca="false">IF(UPPER(LEFT(TRIM(Raw_Data!E1347),1))="M","Male",IF(UPPER(LEFT(TRIM(Raw_Data!E1347),1))="F","Female","Unknown"))</f>
        <v>Male</v>
      </c>
      <c r="F1347" s="13" t="str">
        <f aca="false">PROPER(TRIM(SUBSTITUTE(Raw_Data!F1347,"'","")))</f>
        <v>Diploma</v>
      </c>
      <c r="G1347" s="13" t="str">
        <f aca="false">PROPER(TRIM(Raw_Data!G1347))</f>
        <v>Customer Support</v>
      </c>
      <c r="H1347" s="13" t="str">
        <f aca="false">PROPER(TRIM(Raw_Data!H1347))</f>
        <v>Analyst</v>
      </c>
      <c r="I1347" s="13" t="n">
        <f aca="false">IF(Raw_Data!I1347="",DefaultPerf,Raw_Data!I1347)</f>
        <v>2</v>
      </c>
      <c r="J1347" s="13" t="n">
        <f aca="false">IF(Raw_Data!J1347="",DefaultSat,Raw_Data!J1347)</f>
        <v>4</v>
      </c>
      <c r="K1347" s="15" t="n">
        <f aca="false">Raw_Data!K1347</f>
        <v>59000</v>
      </c>
      <c r="L1347" s="13" t="str">
        <f aca="false">PROPER(TRIM(Raw_Data!N1347))</f>
        <v>No</v>
      </c>
      <c r="M1347" s="13" t="n">
        <f aca="false">IF(C1347="",0,1)</f>
        <v>0</v>
      </c>
      <c r="N1347" s="13" t="str">
        <f aca="false">IF(M1347=0,"Active",IF(TRIM(Raw_Data!L1347)="","Unknown",PROPER(TRIM(Raw_Data!L1347))))</f>
        <v>Active</v>
      </c>
      <c r="O1347" s="13" t="str">
        <f aca="false">IF(M1347=0,"",IF(TRIM(Raw_Data!M1347)="","Not Recorded",TRIM(Raw_Data!M1347)))</f>
        <v/>
      </c>
      <c r="P1347" s="16" t="n">
        <f aca="false">ROUND((IF(C1347="",AsOfDate,C1347)-B1347)/365.25,2)</f>
        <v>3.43</v>
      </c>
      <c r="Q1347" s="13" t="str">
        <f aca="false">IF(D1347="","Unknown",IF(D1347&lt;25,"Under 25",IF(D1347&lt;35,"25-34",IF(D1347&lt;45,"35-44",IF(D1347&lt;55,"45-54","55+")))))</f>
        <v>Under 25</v>
      </c>
      <c r="R1347" s="13" t="str">
        <f aca="false">IF(P1347&lt;1,"0-1 yrs",IF(P1347&lt;3,"1-3 yrs",IF(P1347&lt;5,"3-5 yrs",IF(P1347&lt;10,"5-10 yrs","10+ yrs"))))</f>
        <v>3-5 yrs</v>
      </c>
      <c r="S1347" s="13" t="str">
        <f aca="false">IF(I1347&gt;=4,"High",IF(I1347=3,"Medium","Low"))</f>
        <v>Low</v>
      </c>
      <c r="T1347" s="13" t="str">
        <f aca="false">IF(M1347=1,YEAR(C1347),"")</f>
        <v/>
      </c>
      <c r="U1347" s="13" t="str">
        <f aca="false">IF(M1347=1,YEAR(C1347)&amp;"-Q"&amp;ROUNDUP(MONTH(C1347)/3,0),"")</f>
        <v/>
      </c>
      <c r="V1347" s="13" t="str">
        <f aca="false">IF(M1347=1,MONTH(C1347),"")</f>
        <v/>
      </c>
    </row>
    <row r="1348" customFormat="false" ht="15" hidden="false" customHeight="false" outlineLevel="0" collapsed="false">
      <c r="A1348" s="13" t="str">
        <f aca="false">TRIM(Raw_Data!A1348)</f>
        <v>EMP1347</v>
      </c>
      <c r="B1348" s="14" t="n">
        <f aca="false">Raw_Data!B1348</f>
        <v>44771</v>
      </c>
      <c r="C1348" s="14" t="str">
        <f aca="false">IF(Raw_Data!C1348="","",Raw_Data!C1348)</f>
        <v/>
      </c>
      <c r="D1348" s="13" t="n">
        <f aca="false">IF(Raw_Data!D1348="","",Raw_Data!D1348)</f>
        <v>24</v>
      </c>
      <c r="E1348" s="13" t="str">
        <f aca="false">IF(UPPER(LEFT(TRIM(Raw_Data!E1348),1))="M","Male",IF(UPPER(LEFT(TRIM(Raw_Data!E1348),1))="F","Female","Unknown"))</f>
        <v>Male</v>
      </c>
      <c r="F1348" s="13" t="str">
        <f aca="false">PROPER(TRIM(SUBSTITUTE(Raw_Data!F1348,"'","")))</f>
        <v>Masters</v>
      </c>
      <c r="G1348" s="13" t="str">
        <f aca="false">PROPER(TRIM(Raw_Data!G1348))</f>
        <v>Sales</v>
      </c>
      <c r="H1348" s="13" t="str">
        <f aca="false">PROPER(TRIM(Raw_Data!H1348))</f>
        <v>Analyst</v>
      </c>
      <c r="I1348" s="13" t="n">
        <f aca="false">IF(Raw_Data!I1348="",DefaultPerf,Raw_Data!I1348)</f>
        <v>3</v>
      </c>
      <c r="J1348" s="13" t="n">
        <f aca="false">IF(Raw_Data!J1348="",DefaultSat,Raw_Data!J1348)</f>
        <v>4</v>
      </c>
      <c r="K1348" s="15" t="n">
        <f aca="false">Raw_Data!K1348</f>
        <v>65000</v>
      </c>
      <c r="L1348" s="13" t="str">
        <f aca="false">PROPER(TRIM(Raw_Data!N1348))</f>
        <v>No</v>
      </c>
      <c r="M1348" s="13" t="n">
        <f aca="false">IF(C1348="",0,1)</f>
        <v>0</v>
      </c>
      <c r="N1348" s="13" t="str">
        <f aca="false">IF(M1348=0,"Active",IF(TRIM(Raw_Data!L1348)="","Unknown",PROPER(TRIM(Raw_Data!L1348))))</f>
        <v>Active</v>
      </c>
      <c r="O1348" s="13" t="str">
        <f aca="false">IF(M1348=0,"",IF(TRIM(Raw_Data!M1348)="","Not Recorded",TRIM(Raw_Data!M1348)))</f>
        <v/>
      </c>
      <c r="P1348" s="16" t="n">
        <f aca="false">ROUND((IF(C1348="",AsOfDate,C1348)-B1348)/365.25,2)</f>
        <v>3.43</v>
      </c>
      <c r="Q1348" s="13" t="str">
        <f aca="false">IF(D1348="","Unknown",IF(D1348&lt;25,"Under 25",IF(D1348&lt;35,"25-34",IF(D1348&lt;45,"35-44",IF(D1348&lt;55,"45-54","55+")))))</f>
        <v>Under 25</v>
      </c>
      <c r="R1348" s="13" t="str">
        <f aca="false">IF(P1348&lt;1,"0-1 yrs",IF(P1348&lt;3,"1-3 yrs",IF(P1348&lt;5,"3-5 yrs",IF(P1348&lt;10,"5-10 yrs","10+ yrs"))))</f>
        <v>3-5 yrs</v>
      </c>
      <c r="S1348" s="13" t="str">
        <f aca="false">IF(I1348&gt;=4,"High",IF(I1348=3,"Medium","Low"))</f>
        <v>Medium</v>
      </c>
      <c r="T1348" s="13" t="str">
        <f aca="false">IF(M1348=1,YEAR(C1348),"")</f>
        <v/>
      </c>
      <c r="U1348" s="13" t="str">
        <f aca="false">IF(M1348=1,YEAR(C1348)&amp;"-Q"&amp;ROUNDUP(MONTH(C1348)/3,0),"")</f>
        <v/>
      </c>
      <c r="V1348" s="13" t="str">
        <f aca="false">IF(M1348=1,MONTH(C1348),"")</f>
        <v/>
      </c>
    </row>
    <row r="1349" customFormat="false" ht="15" hidden="false" customHeight="false" outlineLevel="0" collapsed="false">
      <c r="A1349" s="13" t="str">
        <f aca="false">TRIM(Raw_Data!A1349)</f>
        <v>EMP1348</v>
      </c>
      <c r="B1349" s="14" t="n">
        <f aca="false">Raw_Data!B1349</f>
        <v>44772</v>
      </c>
      <c r="C1349" s="14" t="n">
        <f aca="false">IF(Raw_Data!C1349="","",Raw_Data!C1349)</f>
        <v>44961</v>
      </c>
      <c r="D1349" s="13" t="n">
        <f aca="false">IF(Raw_Data!D1349="","",Raw_Data!D1349)</f>
        <v>22</v>
      </c>
      <c r="E1349" s="13" t="str">
        <f aca="false">IF(UPPER(LEFT(TRIM(Raw_Data!E1349),1))="M","Male",IF(UPPER(LEFT(TRIM(Raw_Data!E1349),1))="F","Female","Unknown"))</f>
        <v>Female</v>
      </c>
      <c r="F1349" s="13" t="str">
        <f aca="false">PROPER(TRIM(SUBSTITUTE(Raw_Data!F1349,"'","")))</f>
        <v>Bachelors</v>
      </c>
      <c r="G1349" s="13" t="str">
        <f aca="false">PROPER(TRIM(Raw_Data!G1349))</f>
        <v>Sales</v>
      </c>
      <c r="H1349" s="13" t="str">
        <f aca="false">PROPER(TRIM(Raw_Data!H1349))</f>
        <v>Associate</v>
      </c>
      <c r="I1349" s="13" t="n">
        <f aca="false">IF(Raw_Data!I1349="",DefaultPerf,Raw_Data!I1349)</f>
        <v>2</v>
      </c>
      <c r="J1349" s="13" t="n">
        <f aca="false">IF(Raw_Data!J1349="",DefaultSat,Raw_Data!J1349)</f>
        <v>3</v>
      </c>
      <c r="K1349" s="15" t="n">
        <f aca="false">Raw_Data!K1349</f>
        <v>42000</v>
      </c>
      <c r="L1349" s="13" t="str">
        <f aca="false">PROPER(TRIM(Raw_Data!N1349))</f>
        <v>No</v>
      </c>
      <c r="M1349" s="13" t="n">
        <f aca="false">IF(C1349="",0,1)</f>
        <v>1</v>
      </c>
      <c r="N1349" s="13" t="str">
        <f aca="false">IF(M1349=0,"Active",IF(TRIM(Raw_Data!L1349)="","Unknown",PROPER(TRIM(Raw_Data!L1349))))</f>
        <v>Involuntary</v>
      </c>
      <c r="O1349" s="13" t="str">
        <f aca="false">IF(M1349=0,"",IF(TRIM(Raw_Data!M1349)="","Not Recorded",TRIM(Raw_Data!M1349)))</f>
        <v>End of Contract</v>
      </c>
      <c r="P1349" s="16" t="n">
        <f aca="false">ROUND((IF(C1349="",AsOfDate,C1349)-B1349)/365.25,2)</f>
        <v>0.52</v>
      </c>
      <c r="Q1349" s="13" t="str">
        <f aca="false">IF(D1349="","Unknown",IF(D1349&lt;25,"Under 25",IF(D1349&lt;35,"25-34",IF(D1349&lt;45,"35-44",IF(D1349&lt;55,"45-54","55+")))))</f>
        <v>Under 25</v>
      </c>
      <c r="R1349" s="13" t="str">
        <f aca="false">IF(P1349&lt;1,"0-1 yrs",IF(P1349&lt;3,"1-3 yrs",IF(P1349&lt;5,"3-5 yrs",IF(P1349&lt;10,"5-10 yrs","10+ yrs"))))</f>
        <v>0-1 yrs</v>
      </c>
      <c r="S1349" s="13" t="str">
        <f aca="false">IF(I1349&gt;=4,"High",IF(I1349=3,"Medium","Low"))</f>
        <v>Low</v>
      </c>
      <c r="T1349" s="13" t="n">
        <f aca="false">IF(M1349=1,YEAR(C1349),"")</f>
        <v>2023</v>
      </c>
      <c r="U1349" s="13" t="str">
        <f aca="false">IF(M1349=1,YEAR(C1349)&amp;"-Q"&amp;ROUNDUP(MONTH(C1349)/3,0),"")</f>
        <v>2023-Q1</v>
      </c>
      <c r="V1349" s="13" t="n">
        <f aca="false">IF(M1349=1,MONTH(C1349),"")</f>
        <v>2</v>
      </c>
    </row>
    <row r="1350" customFormat="false" ht="15" hidden="false" customHeight="false" outlineLevel="0" collapsed="false">
      <c r="A1350" s="13" t="str">
        <f aca="false">TRIM(Raw_Data!A1350)</f>
        <v>EMP1349</v>
      </c>
      <c r="B1350" s="14" t="n">
        <f aca="false">Raw_Data!B1350</f>
        <v>44772</v>
      </c>
      <c r="C1350" s="14" t="str">
        <f aca="false">IF(Raw_Data!C1350="","",Raw_Data!C1350)</f>
        <v/>
      </c>
      <c r="D1350" s="13" t="n">
        <f aca="false">IF(Raw_Data!D1350="","",Raw_Data!D1350)</f>
        <v>34</v>
      </c>
      <c r="E1350" s="13" t="str">
        <f aca="false">IF(UPPER(LEFT(TRIM(Raw_Data!E1350),1))="M","Male",IF(UPPER(LEFT(TRIM(Raw_Data!E1350),1))="F","Female","Unknown"))</f>
        <v>Male</v>
      </c>
      <c r="F1350" s="13" t="str">
        <f aca="false">PROPER(TRIM(SUBSTITUTE(Raw_Data!F1350,"'","")))</f>
        <v>Masters</v>
      </c>
      <c r="G1350" s="13" t="str">
        <f aca="false">PROPER(TRIM(Raw_Data!G1350))</f>
        <v>Engineering</v>
      </c>
      <c r="H1350" s="13" t="str">
        <f aca="false">PROPER(TRIM(Raw_Data!H1350))</f>
        <v>Analyst</v>
      </c>
      <c r="I1350" s="13" t="n">
        <f aca="false">IF(Raw_Data!I1350="",DefaultPerf,Raw_Data!I1350)</f>
        <v>2</v>
      </c>
      <c r="J1350" s="13" t="n">
        <f aca="false">IF(Raw_Data!J1350="",DefaultSat,Raw_Data!J1350)</f>
        <v>3</v>
      </c>
      <c r="K1350" s="15" t="n">
        <f aca="false">Raw_Data!K1350</f>
        <v>50000</v>
      </c>
      <c r="L1350" s="13" t="str">
        <f aca="false">PROPER(TRIM(Raw_Data!N1350))</f>
        <v>No</v>
      </c>
      <c r="M1350" s="13" t="n">
        <f aca="false">IF(C1350="",0,1)</f>
        <v>0</v>
      </c>
      <c r="N1350" s="13" t="str">
        <f aca="false">IF(M1350=0,"Active",IF(TRIM(Raw_Data!L1350)="","Unknown",PROPER(TRIM(Raw_Data!L1350))))</f>
        <v>Active</v>
      </c>
      <c r="O1350" s="13" t="str">
        <f aca="false">IF(M1350=0,"",IF(TRIM(Raw_Data!M1350)="","Not Recorded",TRIM(Raw_Data!M1350)))</f>
        <v/>
      </c>
      <c r="P1350" s="16" t="n">
        <f aca="false">ROUND((IF(C1350="",AsOfDate,C1350)-B1350)/365.25,2)</f>
        <v>3.42</v>
      </c>
      <c r="Q1350" s="13" t="str">
        <f aca="false">IF(D1350="","Unknown",IF(D1350&lt;25,"Under 25",IF(D1350&lt;35,"25-34",IF(D1350&lt;45,"35-44",IF(D1350&lt;55,"45-54","55+")))))</f>
        <v>25-34</v>
      </c>
      <c r="R1350" s="13" t="str">
        <f aca="false">IF(P1350&lt;1,"0-1 yrs",IF(P1350&lt;3,"1-3 yrs",IF(P1350&lt;5,"3-5 yrs",IF(P1350&lt;10,"5-10 yrs","10+ yrs"))))</f>
        <v>3-5 yrs</v>
      </c>
      <c r="S1350" s="13" t="str">
        <f aca="false">IF(I1350&gt;=4,"High",IF(I1350=3,"Medium","Low"))</f>
        <v>Low</v>
      </c>
      <c r="T1350" s="13" t="str">
        <f aca="false">IF(M1350=1,YEAR(C1350),"")</f>
        <v/>
      </c>
      <c r="U1350" s="13" t="str">
        <f aca="false">IF(M1350=1,YEAR(C1350)&amp;"-Q"&amp;ROUNDUP(MONTH(C1350)/3,0),"")</f>
        <v/>
      </c>
      <c r="V1350" s="13" t="str">
        <f aca="false">IF(M1350=1,MONTH(C1350),"")</f>
        <v/>
      </c>
    </row>
    <row r="1351" customFormat="false" ht="15" hidden="false" customHeight="false" outlineLevel="0" collapsed="false">
      <c r="A1351" s="13" t="str">
        <f aca="false">TRIM(Raw_Data!A1351)</f>
        <v>EMP1350</v>
      </c>
      <c r="B1351" s="14" t="n">
        <f aca="false">Raw_Data!B1351</f>
        <v>44774</v>
      </c>
      <c r="C1351" s="14" t="n">
        <f aca="false">IF(Raw_Data!C1351="","",Raw_Data!C1351)</f>
        <v>44871</v>
      </c>
      <c r="D1351" s="13" t="n">
        <f aca="false">IF(Raw_Data!D1351="","",Raw_Data!D1351)</f>
        <v>27</v>
      </c>
      <c r="E1351" s="13" t="str">
        <f aca="false">IF(UPPER(LEFT(TRIM(Raw_Data!E1351),1))="M","Male",IF(UPPER(LEFT(TRIM(Raw_Data!E1351),1))="F","Female","Unknown"))</f>
        <v>Male</v>
      </c>
      <c r="F1351" s="13" t="str">
        <f aca="false">PROPER(TRIM(SUBSTITUTE(Raw_Data!F1351,"'","")))</f>
        <v>Bachelors</v>
      </c>
      <c r="G1351" s="13" t="str">
        <f aca="false">PROPER(TRIM(Raw_Data!G1351))</f>
        <v>Customer Support</v>
      </c>
      <c r="H1351" s="13" t="str">
        <f aca="false">PROPER(TRIM(Raw_Data!H1351))</f>
        <v>Senior Analyst</v>
      </c>
      <c r="I1351" s="13" t="n">
        <f aca="false">IF(Raw_Data!I1351="",DefaultPerf,Raw_Data!I1351)</f>
        <v>5</v>
      </c>
      <c r="J1351" s="13" t="n">
        <f aca="false">IF(Raw_Data!J1351="",DefaultSat,Raw_Data!J1351)</f>
        <v>1</v>
      </c>
      <c r="K1351" s="15" t="n">
        <f aca="false">Raw_Data!K1351</f>
        <v>97000</v>
      </c>
      <c r="L1351" s="13" t="str">
        <f aca="false">PROPER(TRIM(Raw_Data!N1351))</f>
        <v>No</v>
      </c>
      <c r="M1351" s="13" t="n">
        <f aca="false">IF(C1351="",0,1)</f>
        <v>1</v>
      </c>
      <c r="N1351" s="13" t="str">
        <f aca="false">IF(M1351=0,"Active",IF(TRIM(Raw_Data!L1351)="","Unknown",PROPER(TRIM(Raw_Data!L1351))))</f>
        <v>Involuntary</v>
      </c>
      <c r="O1351" s="13" t="str">
        <f aca="false">IF(M1351=0,"",IF(TRIM(Raw_Data!M1351)="","Not Recorded",TRIM(Raw_Data!M1351)))</f>
        <v>Poor Performance</v>
      </c>
      <c r="P1351" s="16" t="n">
        <f aca="false">ROUND((IF(C1351="",AsOfDate,C1351)-B1351)/365.25,2)</f>
        <v>0.27</v>
      </c>
      <c r="Q1351" s="13" t="str">
        <f aca="false">IF(D1351="","Unknown",IF(D1351&lt;25,"Under 25",IF(D1351&lt;35,"25-34",IF(D1351&lt;45,"35-44",IF(D1351&lt;55,"45-54","55+")))))</f>
        <v>25-34</v>
      </c>
      <c r="R1351" s="13" t="str">
        <f aca="false">IF(P1351&lt;1,"0-1 yrs",IF(P1351&lt;3,"1-3 yrs",IF(P1351&lt;5,"3-5 yrs",IF(P1351&lt;10,"5-10 yrs","10+ yrs"))))</f>
        <v>0-1 yrs</v>
      </c>
      <c r="S1351" s="13" t="str">
        <f aca="false">IF(I1351&gt;=4,"High",IF(I1351=3,"Medium","Low"))</f>
        <v>High</v>
      </c>
      <c r="T1351" s="13" t="n">
        <f aca="false">IF(M1351=1,YEAR(C1351),"")</f>
        <v>2022</v>
      </c>
      <c r="U1351" s="13" t="str">
        <f aca="false">IF(M1351=1,YEAR(C1351)&amp;"-Q"&amp;ROUNDUP(MONTH(C1351)/3,0),"")</f>
        <v>2022-Q4</v>
      </c>
      <c r="V1351" s="13" t="n">
        <f aca="false">IF(M1351=1,MONTH(C1351),"")</f>
        <v>11</v>
      </c>
    </row>
    <row r="1352" customFormat="false" ht="15" hidden="false" customHeight="false" outlineLevel="0" collapsed="false">
      <c r="A1352" s="13" t="str">
        <f aca="false">TRIM(Raw_Data!A1352)</f>
        <v>EMP1351</v>
      </c>
      <c r="B1352" s="14" t="n">
        <f aca="false">Raw_Data!B1352</f>
        <v>44775</v>
      </c>
      <c r="C1352" s="14" t="n">
        <f aca="false">IF(Raw_Data!C1352="","",Raw_Data!C1352)</f>
        <v>44921</v>
      </c>
      <c r="D1352" s="13" t="n">
        <f aca="false">IF(Raw_Data!D1352="","",Raw_Data!D1352)</f>
        <v>21</v>
      </c>
      <c r="E1352" s="13" t="str">
        <f aca="false">IF(UPPER(LEFT(TRIM(Raw_Data!E1352),1))="M","Male",IF(UPPER(LEFT(TRIM(Raw_Data!E1352),1))="F","Female","Unknown"))</f>
        <v>Male</v>
      </c>
      <c r="F1352" s="13" t="str">
        <f aca="false">PROPER(TRIM(SUBSTITUTE(Raw_Data!F1352,"'","")))</f>
        <v>Diploma</v>
      </c>
      <c r="G1352" s="13" t="str">
        <f aca="false">PROPER(TRIM(Raw_Data!G1352))</f>
        <v>Sales</v>
      </c>
      <c r="H1352" s="13" t="str">
        <f aca="false">PROPER(TRIM(Raw_Data!H1352))</f>
        <v>Analyst</v>
      </c>
      <c r="I1352" s="13" t="n">
        <f aca="false">IF(Raw_Data!I1352="",DefaultPerf,Raw_Data!I1352)</f>
        <v>4</v>
      </c>
      <c r="J1352" s="13" t="n">
        <f aca="false">IF(Raw_Data!J1352="",DefaultSat,Raw_Data!J1352)</f>
        <v>2</v>
      </c>
      <c r="K1352" s="15" t="n">
        <f aca="false">Raw_Data!K1352</f>
        <v>60000</v>
      </c>
      <c r="L1352" s="13" t="str">
        <f aca="false">PROPER(TRIM(Raw_Data!N1352))</f>
        <v>No</v>
      </c>
      <c r="M1352" s="13" t="n">
        <f aca="false">IF(C1352="",0,1)</f>
        <v>1</v>
      </c>
      <c r="N1352" s="13" t="str">
        <f aca="false">IF(M1352=0,"Active",IF(TRIM(Raw_Data!L1352)="","Unknown",PROPER(TRIM(Raw_Data!L1352))))</f>
        <v>Voluntary</v>
      </c>
      <c r="O1352" s="13" t="str">
        <f aca="false">IF(M1352=0,"",IF(TRIM(Raw_Data!M1352)="","Not Recorded",TRIM(Raw_Data!M1352)))</f>
        <v>Work-Life Balance</v>
      </c>
      <c r="P1352" s="16" t="n">
        <f aca="false">ROUND((IF(C1352="",AsOfDate,C1352)-B1352)/365.25,2)</f>
        <v>0.4</v>
      </c>
      <c r="Q1352" s="13" t="str">
        <f aca="false">IF(D1352="","Unknown",IF(D1352&lt;25,"Under 25",IF(D1352&lt;35,"25-34",IF(D1352&lt;45,"35-44",IF(D1352&lt;55,"45-54","55+")))))</f>
        <v>Under 25</v>
      </c>
      <c r="R1352" s="13" t="str">
        <f aca="false">IF(P1352&lt;1,"0-1 yrs",IF(P1352&lt;3,"1-3 yrs",IF(P1352&lt;5,"3-5 yrs",IF(P1352&lt;10,"5-10 yrs","10+ yrs"))))</f>
        <v>0-1 yrs</v>
      </c>
      <c r="S1352" s="13" t="str">
        <f aca="false">IF(I1352&gt;=4,"High",IF(I1352=3,"Medium","Low"))</f>
        <v>High</v>
      </c>
      <c r="T1352" s="13" t="n">
        <f aca="false">IF(M1352=1,YEAR(C1352),"")</f>
        <v>2022</v>
      </c>
      <c r="U1352" s="13" t="str">
        <f aca="false">IF(M1352=1,YEAR(C1352)&amp;"-Q"&amp;ROUNDUP(MONTH(C1352)/3,0),"")</f>
        <v>2022-Q4</v>
      </c>
      <c r="V1352" s="13" t="n">
        <f aca="false">IF(M1352=1,MONTH(C1352),"")</f>
        <v>12</v>
      </c>
    </row>
    <row r="1353" customFormat="false" ht="15" hidden="false" customHeight="false" outlineLevel="0" collapsed="false">
      <c r="A1353" s="13" t="str">
        <f aca="false">TRIM(Raw_Data!A1353)</f>
        <v>EMP1352</v>
      </c>
      <c r="B1353" s="14" t="n">
        <f aca="false">Raw_Data!B1353</f>
        <v>44776</v>
      </c>
      <c r="C1353" s="14" t="str">
        <f aca="false">IF(Raw_Data!C1353="","",Raw_Data!C1353)</f>
        <v/>
      </c>
      <c r="D1353" s="13" t="n">
        <f aca="false">IF(Raw_Data!D1353="","",Raw_Data!D1353)</f>
        <v>31</v>
      </c>
      <c r="E1353" s="13" t="str">
        <f aca="false">IF(UPPER(LEFT(TRIM(Raw_Data!E1353),1))="M","Male",IF(UPPER(LEFT(TRIM(Raw_Data!E1353),1))="F","Female","Unknown"))</f>
        <v>Male</v>
      </c>
      <c r="F1353" s="13" t="str">
        <f aca="false">PROPER(TRIM(SUBSTITUTE(Raw_Data!F1353,"'","")))</f>
        <v>Masters</v>
      </c>
      <c r="G1353" s="13" t="str">
        <f aca="false">PROPER(TRIM(Raw_Data!G1353))</f>
        <v>Customer Support</v>
      </c>
      <c r="H1353" s="13" t="str">
        <f aca="false">PROPER(TRIM(Raw_Data!H1353))</f>
        <v>Associate</v>
      </c>
      <c r="I1353" s="13" t="n">
        <f aca="false">IF(Raw_Data!I1353="",DefaultPerf,Raw_Data!I1353)</f>
        <v>3</v>
      </c>
      <c r="J1353" s="13" t="n">
        <f aca="false">IF(Raw_Data!J1353="",DefaultSat,Raw_Data!J1353)</f>
        <v>4</v>
      </c>
      <c r="K1353" s="15" t="n">
        <f aca="false">Raw_Data!K1353</f>
        <v>38000</v>
      </c>
      <c r="L1353" s="13" t="str">
        <f aca="false">PROPER(TRIM(Raw_Data!N1353))</f>
        <v>No</v>
      </c>
      <c r="M1353" s="13" t="n">
        <f aca="false">IF(C1353="",0,1)</f>
        <v>0</v>
      </c>
      <c r="N1353" s="13" t="str">
        <f aca="false">IF(M1353=0,"Active",IF(TRIM(Raw_Data!L1353)="","Unknown",PROPER(TRIM(Raw_Data!L1353))))</f>
        <v>Active</v>
      </c>
      <c r="O1353" s="13" t="str">
        <f aca="false">IF(M1353=0,"",IF(TRIM(Raw_Data!M1353)="","Not Recorded",TRIM(Raw_Data!M1353)))</f>
        <v/>
      </c>
      <c r="P1353" s="16" t="n">
        <f aca="false">ROUND((IF(C1353="",AsOfDate,C1353)-B1353)/365.25,2)</f>
        <v>3.41</v>
      </c>
      <c r="Q1353" s="13" t="str">
        <f aca="false">IF(D1353="","Unknown",IF(D1353&lt;25,"Under 25",IF(D1353&lt;35,"25-34",IF(D1353&lt;45,"35-44",IF(D1353&lt;55,"45-54","55+")))))</f>
        <v>25-34</v>
      </c>
      <c r="R1353" s="13" t="str">
        <f aca="false">IF(P1353&lt;1,"0-1 yrs",IF(P1353&lt;3,"1-3 yrs",IF(P1353&lt;5,"3-5 yrs",IF(P1353&lt;10,"5-10 yrs","10+ yrs"))))</f>
        <v>3-5 yrs</v>
      </c>
      <c r="S1353" s="13" t="str">
        <f aca="false">IF(I1353&gt;=4,"High",IF(I1353=3,"Medium","Low"))</f>
        <v>Medium</v>
      </c>
      <c r="T1353" s="13" t="str">
        <f aca="false">IF(M1353=1,YEAR(C1353),"")</f>
        <v/>
      </c>
      <c r="U1353" s="13" t="str">
        <f aca="false">IF(M1353=1,YEAR(C1353)&amp;"-Q"&amp;ROUNDUP(MONTH(C1353)/3,0),"")</f>
        <v/>
      </c>
      <c r="V1353" s="13" t="str">
        <f aca="false">IF(M1353=1,MONTH(C1353),"")</f>
        <v/>
      </c>
    </row>
    <row r="1354" customFormat="false" ht="15" hidden="false" customHeight="false" outlineLevel="0" collapsed="false">
      <c r="A1354" s="13" t="str">
        <f aca="false">TRIM(Raw_Data!A1354)</f>
        <v>EMP1353</v>
      </c>
      <c r="B1354" s="14" t="n">
        <f aca="false">Raw_Data!B1354</f>
        <v>44777</v>
      </c>
      <c r="C1354" s="14" t="str">
        <f aca="false">IF(Raw_Data!C1354="","",Raw_Data!C1354)</f>
        <v/>
      </c>
      <c r="D1354" s="13" t="n">
        <f aca="false">IF(Raw_Data!D1354="","",Raw_Data!D1354)</f>
        <v>31</v>
      </c>
      <c r="E1354" s="13" t="str">
        <f aca="false">IF(UPPER(LEFT(TRIM(Raw_Data!E1354),1))="M","Male",IF(UPPER(LEFT(TRIM(Raw_Data!E1354),1))="F","Female","Unknown"))</f>
        <v>Male</v>
      </c>
      <c r="F1354" s="13" t="str">
        <f aca="false">PROPER(TRIM(SUBSTITUTE(Raw_Data!F1354,"'","")))</f>
        <v>Diploma</v>
      </c>
      <c r="G1354" s="13" t="str">
        <f aca="false">PROPER(TRIM(Raw_Data!G1354))</f>
        <v>Sales</v>
      </c>
      <c r="H1354" s="13" t="str">
        <f aca="false">PROPER(TRIM(Raw_Data!H1354))</f>
        <v>Specialist</v>
      </c>
      <c r="I1354" s="13" t="n">
        <f aca="false">IF(Raw_Data!I1354="",DefaultPerf,Raw_Data!I1354)</f>
        <v>3</v>
      </c>
      <c r="J1354" s="13" t="n">
        <f aca="false">IF(Raw_Data!J1354="",DefaultSat,Raw_Data!J1354)</f>
        <v>4</v>
      </c>
      <c r="K1354" s="15" t="n">
        <f aca="false">Raw_Data!K1354</f>
        <v>96000</v>
      </c>
      <c r="L1354" s="13" t="str">
        <f aca="false">PROPER(TRIM(Raw_Data!N1354))</f>
        <v>No</v>
      </c>
      <c r="M1354" s="13" t="n">
        <f aca="false">IF(C1354="",0,1)</f>
        <v>0</v>
      </c>
      <c r="N1354" s="13" t="str">
        <f aca="false">IF(M1354=0,"Active",IF(TRIM(Raw_Data!L1354)="","Unknown",PROPER(TRIM(Raw_Data!L1354))))</f>
        <v>Active</v>
      </c>
      <c r="O1354" s="13" t="str">
        <f aca="false">IF(M1354=0,"",IF(TRIM(Raw_Data!M1354)="","Not Recorded",TRIM(Raw_Data!M1354)))</f>
        <v/>
      </c>
      <c r="P1354" s="16" t="n">
        <f aca="false">ROUND((IF(C1354="",AsOfDate,C1354)-B1354)/365.25,2)</f>
        <v>3.41</v>
      </c>
      <c r="Q1354" s="13" t="str">
        <f aca="false">IF(D1354="","Unknown",IF(D1354&lt;25,"Under 25",IF(D1354&lt;35,"25-34",IF(D1354&lt;45,"35-44",IF(D1354&lt;55,"45-54","55+")))))</f>
        <v>25-34</v>
      </c>
      <c r="R1354" s="13" t="str">
        <f aca="false">IF(P1354&lt;1,"0-1 yrs",IF(P1354&lt;3,"1-3 yrs",IF(P1354&lt;5,"3-5 yrs",IF(P1354&lt;10,"5-10 yrs","10+ yrs"))))</f>
        <v>3-5 yrs</v>
      </c>
      <c r="S1354" s="13" t="str">
        <f aca="false">IF(I1354&gt;=4,"High",IF(I1354=3,"Medium","Low"))</f>
        <v>Medium</v>
      </c>
      <c r="T1354" s="13" t="str">
        <f aca="false">IF(M1354=1,YEAR(C1354),"")</f>
        <v/>
      </c>
      <c r="U1354" s="13" t="str">
        <f aca="false">IF(M1354=1,YEAR(C1354)&amp;"-Q"&amp;ROUNDUP(MONTH(C1354)/3,0),"")</f>
        <v/>
      </c>
      <c r="V1354" s="13" t="str">
        <f aca="false">IF(M1354=1,MONTH(C1354),"")</f>
        <v/>
      </c>
    </row>
    <row r="1355" customFormat="false" ht="15" hidden="false" customHeight="false" outlineLevel="0" collapsed="false">
      <c r="A1355" s="13" t="str">
        <f aca="false">TRIM(Raw_Data!A1355)</f>
        <v>EMP1354</v>
      </c>
      <c r="B1355" s="14" t="n">
        <f aca="false">Raw_Data!B1355</f>
        <v>44777</v>
      </c>
      <c r="C1355" s="14" t="n">
        <f aca="false">IF(Raw_Data!C1355="","",Raw_Data!C1355)</f>
        <v>45638</v>
      </c>
      <c r="D1355" s="13" t="n">
        <f aca="false">IF(Raw_Data!D1355="","",Raw_Data!D1355)</f>
        <v>40</v>
      </c>
      <c r="E1355" s="13" t="str">
        <f aca="false">IF(UPPER(LEFT(TRIM(Raw_Data!E1355),1))="M","Male",IF(UPPER(LEFT(TRIM(Raw_Data!E1355),1))="F","Female","Unknown"))</f>
        <v>Female</v>
      </c>
      <c r="F1355" s="13" t="str">
        <f aca="false">PROPER(TRIM(SUBSTITUTE(Raw_Data!F1355,"'","")))</f>
        <v>Masters</v>
      </c>
      <c r="G1355" s="13" t="str">
        <f aca="false">PROPER(TRIM(Raw_Data!G1355))</f>
        <v>Engineering</v>
      </c>
      <c r="H1355" s="13" t="str">
        <f aca="false">PROPER(TRIM(Raw_Data!H1355))</f>
        <v>Analyst</v>
      </c>
      <c r="I1355" s="13" t="n">
        <f aca="false">IF(Raw_Data!I1355="",DefaultPerf,Raw_Data!I1355)</f>
        <v>3</v>
      </c>
      <c r="J1355" s="13" t="n">
        <f aca="false">IF(Raw_Data!J1355="",DefaultSat,Raw_Data!J1355)</f>
        <v>3</v>
      </c>
      <c r="K1355" s="15" t="n">
        <f aca="false">Raw_Data!K1355</f>
        <v>51500</v>
      </c>
      <c r="L1355" s="13" t="str">
        <f aca="false">PROPER(TRIM(Raw_Data!N1355))</f>
        <v>No</v>
      </c>
      <c r="M1355" s="13" t="n">
        <f aca="false">IF(C1355="",0,1)</f>
        <v>1</v>
      </c>
      <c r="N1355" s="13" t="str">
        <f aca="false">IF(M1355=0,"Active",IF(TRIM(Raw_Data!L1355)="","Unknown",PROPER(TRIM(Raw_Data!L1355))))</f>
        <v>Voluntary</v>
      </c>
      <c r="O1355" s="13" t="str">
        <f aca="false">IF(M1355=0,"",IF(TRIM(Raw_Data!M1355)="","Not Recorded",TRIM(Raw_Data!M1355)))</f>
        <v>Career Growth</v>
      </c>
      <c r="P1355" s="16" t="n">
        <f aca="false">ROUND((IF(C1355="",AsOfDate,C1355)-B1355)/365.25,2)</f>
        <v>2.36</v>
      </c>
      <c r="Q1355" s="13" t="str">
        <f aca="false">IF(D1355="","Unknown",IF(D1355&lt;25,"Under 25",IF(D1355&lt;35,"25-34",IF(D1355&lt;45,"35-44",IF(D1355&lt;55,"45-54","55+")))))</f>
        <v>35-44</v>
      </c>
      <c r="R1355" s="13" t="str">
        <f aca="false">IF(P1355&lt;1,"0-1 yrs",IF(P1355&lt;3,"1-3 yrs",IF(P1355&lt;5,"3-5 yrs",IF(P1355&lt;10,"5-10 yrs","10+ yrs"))))</f>
        <v>1-3 yrs</v>
      </c>
      <c r="S1355" s="13" t="str">
        <f aca="false">IF(I1355&gt;=4,"High",IF(I1355=3,"Medium","Low"))</f>
        <v>Medium</v>
      </c>
      <c r="T1355" s="13" t="n">
        <f aca="false">IF(M1355=1,YEAR(C1355),"")</f>
        <v>2024</v>
      </c>
      <c r="U1355" s="13" t="str">
        <f aca="false">IF(M1355=1,YEAR(C1355)&amp;"-Q"&amp;ROUNDUP(MONTH(C1355)/3,0),"")</f>
        <v>2024-Q4</v>
      </c>
      <c r="V1355" s="13" t="n">
        <f aca="false">IF(M1355=1,MONTH(C1355),"")</f>
        <v>12</v>
      </c>
    </row>
    <row r="1356" customFormat="false" ht="15" hidden="false" customHeight="false" outlineLevel="0" collapsed="false">
      <c r="A1356" s="13" t="str">
        <f aca="false">TRIM(Raw_Data!A1356)</f>
        <v>EMP1355</v>
      </c>
      <c r="B1356" s="14" t="n">
        <f aca="false">Raw_Data!B1356</f>
        <v>44780</v>
      </c>
      <c r="C1356" s="14" t="n">
        <f aca="false">IF(Raw_Data!C1356="","",Raw_Data!C1356)</f>
        <v>45815</v>
      </c>
      <c r="D1356" s="13" t="n">
        <f aca="false">IF(Raw_Data!D1356="","",Raw_Data!D1356)</f>
        <v>35</v>
      </c>
      <c r="E1356" s="13" t="str">
        <f aca="false">IF(UPPER(LEFT(TRIM(Raw_Data!E1356),1))="M","Male",IF(UPPER(LEFT(TRIM(Raw_Data!E1356),1))="F","Female","Unknown"))</f>
        <v>Female</v>
      </c>
      <c r="F1356" s="13" t="str">
        <f aca="false">PROPER(TRIM(SUBSTITUTE(Raw_Data!F1356,"'","")))</f>
        <v>Bachelors</v>
      </c>
      <c r="G1356" s="13" t="str">
        <f aca="false">PROPER(TRIM(Raw_Data!G1356))</f>
        <v>Customer Support</v>
      </c>
      <c r="H1356" s="13" t="str">
        <f aca="false">PROPER(TRIM(Raw_Data!H1356))</f>
        <v>Associate</v>
      </c>
      <c r="I1356" s="13" t="n">
        <f aca="false">IF(Raw_Data!I1356="",DefaultPerf,Raw_Data!I1356)</f>
        <v>2</v>
      </c>
      <c r="J1356" s="13" t="n">
        <f aca="false">IF(Raw_Data!J1356="",DefaultSat,Raw_Data!J1356)</f>
        <v>3</v>
      </c>
      <c r="K1356" s="15" t="n">
        <f aca="false">Raw_Data!K1356</f>
        <v>38500</v>
      </c>
      <c r="L1356" s="13" t="str">
        <f aca="false">PROPER(TRIM(Raw_Data!N1356))</f>
        <v>Yes</v>
      </c>
      <c r="M1356" s="13" t="n">
        <f aca="false">IF(C1356="",0,1)</f>
        <v>1</v>
      </c>
      <c r="N1356" s="13" t="str">
        <f aca="false">IF(M1356=0,"Active",IF(TRIM(Raw_Data!L1356)="","Unknown",PROPER(TRIM(Raw_Data!L1356))))</f>
        <v>Voluntary</v>
      </c>
      <c r="O1356" s="13" t="str">
        <f aca="false">IF(M1356=0,"",IF(TRIM(Raw_Data!M1356)="","Not Recorded",TRIM(Raw_Data!M1356)))</f>
        <v>Career Growth</v>
      </c>
      <c r="P1356" s="16" t="n">
        <f aca="false">ROUND((IF(C1356="",AsOfDate,C1356)-B1356)/365.25,2)</f>
        <v>2.83</v>
      </c>
      <c r="Q1356" s="13" t="str">
        <f aca="false">IF(D1356="","Unknown",IF(D1356&lt;25,"Under 25",IF(D1356&lt;35,"25-34",IF(D1356&lt;45,"35-44",IF(D1356&lt;55,"45-54","55+")))))</f>
        <v>35-44</v>
      </c>
      <c r="R1356" s="13" t="str">
        <f aca="false">IF(P1356&lt;1,"0-1 yrs",IF(P1356&lt;3,"1-3 yrs",IF(P1356&lt;5,"3-5 yrs",IF(P1356&lt;10,"5-10 yrs","10+ yrs"))))</f>
        <v>1-3 yrs</v>
      </c>
      <c r="S1356" s="13" t="str">
        <f aca="false">IF(I1356&gt;=4,"High",IF(I1356=3,"Medium","Low"))</f>
        <v>Low</v>
      </c>
      <c r="T1356" s="13" t="n">
        <f aca="false">IF(M1356=1,YEAR(C1356),"")</f>
        <v>2025</v>
      </c>
      <c r="U1356" s="13" t="str">
        <f aca="false">IF(M1356=1,YEAR(C1356)&amp;"-Q"&amp;ROUNDUP(MONTH(C1356)/3,0),"")</f>
        <v>2025-Q2</v>
      </c>
      <c r="V1356" s="13" t="n">
        <f aca="false">IF(M1356=1,MONTH(C1356),"")</f>
        <v>6</v>
      </c>
    </row>
    <row r="1357" customFormat="false" ht="15" hidden="false" customHeight="false" outlineLevel="0" collapsed="false">
      <c r="A1357" s="13" t="str">
        <f aca="false">TRIM(Raw_Data!A1357)</f>
        <v>EMP1356</v>
      </c>
      <c r="B1357" s="14" t="n">
        <f aca="false">Raw_Data!B1357</f>
        <v>44780</v>
      </c>
      <c r="C1357" s="14" t="n">
        <f aca="false">IF(Raw_Data!C1357="","",Raw_Data!C1357)</f>
        <v>45247</v>
      </c>
      <c r="D1357" s="13" t="n">
        <f aca="false">IF(Raw_Data!D1357="","",Raw_Data!D1357)</f>
        <v>33</v>
      </c>
      <c r="E1357" s="13" t="str">
        <f aca="false">IF(UPPER(LEFT(TRIM(Raw_Data!E1357),1))="M","Male",IF(UPPER(LEFT(TRIM(Raw_Data!E1357),1))="F","Female","Unknown"))</f>
        <v>Female</v>
      </c>
      <c r="F1357" s="13" t="str">
        <f aca="false">PROPER(TRIM(SUBSTITUTE(Raw_Data!F1357,"'","")))</f>
        <v>Bachelors</v>
      </c>
      <c r="G1357" s="13" t="str">
        <f aca="false">PROPER(TRIM(Raw_Data!G1357))</f>
        <v>Engineering</v>
      </c>
      <c r="H1357" s="13" t="str">
        <f aca="false">PROPER(TRIM(Raw_Data!H1357))</f>
        <v>Team Lead</v>
      </c>
      <c r="I1357" s="13" t="n">
        <f aca="false">IF(Raw_Data!I1357="",DefaultPerf,Raw_Data!I1357)</f>
        <v>4</v>
      </c>
      <c r="J1357" s="13" t="n">
        <f aca="false">IF(Raw_Data!J1357="",DefaultSat,Raw_Data!J1357)</f>
        <v>1</v>
      </c>
      <c r="K1357" s="15" t="n">
        <f aca="false">Raw_Data!K1357</f>
        <v>148500</v>
      </c>
      <c r="L1357" s="13" t="str">
        <f aca="false">PROPER(TRIM(Raw_Data!N1357))</f>
        <v>No</v>
      </c>
      <c r="M1357" s="13" t="n">
        <f aca="false">IF(C1357="",0,1)</f>
        <v>1</v>
      </c>
      <c r="N1357" s="13" t="str">
        <f aca="false">IF(M1357=0,"Active",IF(TRIM(Raw_Data!L1357)="","Unknown",PROPER(TRIM(Raw_Data!L1357))))</f>
        <v>Voluntary</v>
      </c>
      <c r="O1357" s="13" t="str">
        <f aca="false">IF(M1357=0,"",IF(TRIM(Raw_Data!M1357)="","Not Recorded",TRIM(Raw_Data!M1357)))</f>
        <v>Better Compensation</v>
      </c>
      <c r="P1357" s="16" t="n">
        <f aca="false">ROUND((IF(C1357="",AsOfDate,C1357)-B1357)/365.25,2)</f>
        <v>1.28</v>
      </c>
      <c r="Q1357" s="13" t="str">
        <f aca="false">IF(D1357="","Unknown",IF(D1357&lt;25,"Under 25",IF(D1357&lt;35,"25-34",IF(D1357&lt;45,"35-44",IF(D1357&lt;55,"45-54","55+")))))</f>
        <v>25-34</v>
      </c>
      <c r="R1357" s="13" t="str">
        <f aca="false">IF(P1357&lt;1,"0-1 yrs",IF(P1357&lt;3,"1-3 yrs",IF(P1357&lt;5,"3-5 yrs",IF(P1357&lt;10,"5-10 yrs","10+ yrs"))))</f>
        <v>1-3 yrs</v>
      </c>
      <c r="S1357" s="13" t="str">
        <f aca="false">IF(I1357&gt;=4,"High",IF(I1357=3,"Medium","Low"))</f>
        <v>High</v>
      </c>
      <c r="T1357" s="13" t="n">
        <f aca="false">IF(M1357=1,YEAR(C1357),"")</f>
        <v>2023</v>
      </c>
      <c r="U1357" s="13" t="str">
        <f aca="false">IF(M1357=1,YEAR(C1357)&amp;"-Q"&amp;ROUNDUP(MONTH(C1357)/3,0),"")</f>
        <v>2023-Q4</v>
      </c>
      <c r="V1357" s="13" t="n">
        <f aca="false">IF(M1357=1,MONTH(C1357),"")</f>
        <v>11</v>
      </c>
    </row>
    <row r="1358" customFormat="false" ht="15" hidden="false" customHeight="false" outlineLevel="0" collapsed="false">
      <c r="A1358" s="13" t="str">
        <f aca="false">TRIM(Raw_Data!A1358)</f>
        <v>EMP1357</v>
      </c>
      <c r="B1358" s="14" t="n">
        <f aca="false">Raw_Data!B1358</f>
        <v>44781</v>
      </c>
      <c r="C1358" s="14" t="n">
        <f aca="false">IF(Raw_Data!C1358="","",Raw_Data!C1358)</f>
        <v>45632</v>
      </c>
      <c r="D1358" s="13" t="n">
        <f aca="false">IF(Raw_Data!D1358="","",Raw_Data!D1358)</f>
        <v>41</v>
      </c>
      <c r="E1358" s="13" t="str">
        <f aca="false">IF(UPPER(LEFT(TRIM(Raw_Data!E1358),1))="M","Male",IF(UPPER(LEFT(TRIM(Raw_Data!E1358),1))="F","Female","Unknown"))</f>
        <v>Female</v>
      </c>
      <c r="F1358" s="13" t="str">
        <f aca="false">PROPER(TRIM(SUBSTITUTE(Raw_Data!F1358,"'","")))</f>
        <v>Bachelors</v>
      </c>
      <c r="G1358" s="13" t="str">
        <f aca="false">PROPER(TRIM(Raw_Data!G1358))</f>
        <v>Engineering</v>
      </c>
      <c r="H1358" s="13" t="str">
        <f aca="false">PROPER(TRIM(Raw_Data!H1358))</f>
        <v>Senior Analyst</v>
      </c>
      <c r="I1358" s="13" t="n">
        <f aca="false">IF(Raw_Data!I1358="",DefaultPerf,Raw_Data!I1358)</f>
        <v>5</v>
      </c>
      <c r="J1358" s="13" t="n">
        <f aca="false">IF(Raw_Data!J1358="",DefaultSat,Raw_Data!J1358)</f>
        <v>1</v>
      </c>
      <c r="K1358" s="15" t="n">
        <f aca="false">Raw_Data!K1358</f>
        <v>78000</v>
      </c>
      <c r="L1358" s="13" t="str">
        <f aca="false">PROPER(TRIM(Raw_Data!N1358))</f>
        <v>No</v>
      </c>
      <c r="M1358" s="13" t="n">
        <f aca="false">IF(C1358="",0,1)</f>
        <v>1</v>
      </c>
      <c r="N1358" s="13" t="str">
        <f aca="false">IF(M1358=0,"Active",IF(TRIM(Raw_Data!L1358)="","Unknown",PROPER(TRIM(Raw_Data!L1358))))</f>
        <v>Involuntary</v>
      </c>
      <c r="O1358" s="13" t="str">
        <f aca="false">IF(M1358=0,"",IF(TRIM(Raw_Data!M1358)="","Not Recorded",TRIM(Raw_Data!M1358)))</f>
        <v>Not Recorded</v>
      </c>
      <c r="P1358" s="16" t="n">
        <f aca="false">ROUND((IF(C1358="",AsOfDate,C1358)-B1358)/365.25,2)</f>
        <v>2.33</v>
      </c>
      <c r="Q1358" s="13" t="str">
        <f aca="false">IF(D1358="","Unknown",IF(D1358&lt;25,"Under 25",IF(D1358&lt;35,"25-34",IF(D1358&lt;45,"35-44",IF(D1358&lt;55,"45-54","55+")))))</f>
        <v>35-44</v>
      </c>
      <c r="R1358" s="13" t="str">
        <f aca="false">IF(P1358&lt;1,"0-1 yrs",IF(P1358&lt;3,"1-3 yrs",IF(P1358&lt;5,"3-5 yrs",IF(P1358&lt;10,"5-10 yrs","10+ yrs"))))</f>
        <v>1-3 yrs</v>
      </c>
      <c r="S1358" s="13" t="str">
        <f aca="false">IF(I1358&gt;=4,"High",IF(I1358=3,"Medium","Low"))</f>
        <v>High</v>
      </c>
      <c r="T1358" s="13" t="n">
        <f aca="false">IF(M1358=1,YEAR(C1358),"")</f>
        <v>2024</v>
      </c>
      <c r="U1358" s="13" t="str">
        <f aca="false">IF(M1358=1,YEAR(C1358)&amp;"-Q"&amp;ROUNDUP(MONTH(C1358)/3,0),"")</f>
        <v>2024-Q4</v>
      </c>
      <c r="V1358" s="13" t="n">
        <f aca="false">IF(M1358=1,MONTH(C1358),"")</f>
        <v>12</v>
      </c>
    </row>
    <row r="1359" customFormat="false" ht="15" hidden="false" customHeight="false" outlineLevel="0" collapsed="false">
      <c r="A1359" s="13" t="str">
        <f aca="false">TRIM(Raw_Data!A1359)</f>
        <v>EMP1358</v>
      </c>
      <c r="B1359" s="14" t="n">
        <f aca="false">Raw_Data!B1359</f>
        <v>44782</v>
      </c>
      <c r="C1359" s="14" t="str">
        <f aca="false">IF(Raw_Data!C1359="","",Raw_Data!C1359)</f>
        <v/>
      </c>
      <c r="D1359" s="13" t="n">
        <f aca="false">IF(Raw_Data!D1359="","",Raw_Data!D1359)</f>
        <v>36</v>
      </c>
      <c r="E1359" s="13" t="str">
        <f aca="false">IF(UPPER(LEFT(TRIM(Raw_Data!E1359),1))="M","Male",IF(UPPER(LEFT(TRIM(Raw_Data!E1359),1))="F","Female","Unknown"))</f>
        <v>Male</v>
      </c>
      <c r="F1359" s="13" t="str">
        <f aca="false">PROPER(TRIM(SUBSTITUTE(Raw_Data!F1359,"'","")))</f>
        <v>Masters</v>
      </c>
      <c r="G1359" s="13" t="str">
        <f aca="false">PROPER(TRIM(Raw_Data!G1359))</f>
        <v>Finance</v>
      </c>
      <c r="H1359" s="13" t="str">
        <f aca="false">PROPER(TRIM(Raw_Data!H1359))</f>
        <v>Associate</v>
      </c>
      <c r="I1359" s="13" t="n">
        <f aca="false">IF(Raw_Data!I1359="",DefaultPerf,Raw_Data!I1359)</f>
        <v>3</v>
      </c>
      <c r="J1359" s="13" t="n">
        <f aca="false">IF(Raw_Data!J1359="",DefaultSat,Raw_Data!J1359)</f>
        <v>4</v>
      </c>
      <c r="K1359" s="15" t="n">
        <f aca="false">Raw_Data!K1359</f>
        <v>37500</v>
      </c>
      <c r="L1359" s="13" t="str">
        <f aca="false">PROPER(TRIM(Raw_Data!N1359))</f>
        <v>Yes</v>
      </c>
      <c r="M1359" s="13" t="n">
        <f aca="false">IF(C1359="",0,1)</f>
        <v>0</v>
      </c>
      <c r="N1359" s="13" t="str">
        <f aca="false">IF(M1359=0,"Active",IF(TRIM(Raw_Data!L1359)="","Unknown",PROPER(TRIM(Raw_Data!L1359))))</f>
        <v>Active</v>
      </c>
      <c r="O1359" s="13" t="str">
        <f aca="false">IF(M1359=0,"",IF(TRIM(Raw_Data!M1359)="","Not Recorded",TRIM(Raw_Data!M1359)))</f>
        <v/>
      </c>
      <c r="P1359" s="16" t="n">
        <f aca="false">ROUND((IF(C1359="",AsOfDate,C1359)-B1359)/365.25,2)</f>
        <v>3.39</v>
      </c>
      <c r="Q1359" s="13" t="str">
        <f aca="false">IF(D1359="","Unknown",IF(D1359&lt;25,"Under 25",IF(D1359&lt;35,"25-34",IF(D1359&lt;45,"35-44",IF(D1359&lt;55,"45-54","55+")))))</f>
        <v>35-44</v>
      </c>
      <c r="R1359" s="13" t="str">
        <f aca="false">IF(P1359&lt;1,"0-1 yrs",IF(P1359&lt;3,"1-3 yrs",IF(P1359&lt;5,"3-5 yrs",IF(P1359&lt;10,"5-10 yrs","10+ yrs"))))</f>
        <v>3-5 yrs</v>
      </c>
      <c r="S1359" s="13" t="str">
        <f aca="false">IF(I1359&gt;=4,"High",IF(I1359=3,"Medium","Low"))</f>
        <v>Medium</v>
      </c>
      <c r="T1359" s="13" t="str">
        <f aca="false">IF(M1359=1,YEAR(C1359),"")</f>
        <v/>
      </c>
      <c r="U1359" s="13" t="str">
        <f aca="false">IF(M1359=1,YEAR(C1359)&amp;"-Q"&amp;ROUNDUP(MONTH(C1359)/3,0),"")</f>
        <v/>
      </c>
      <c r="V1359" s="13" t="str">
        <f aca="false">IF(M1359=1,MONTH(C1359),"")</f>
        <v/>
      </c>
    </row>
    <row r="1360" customFormat="false" ht="15" hidden="false" customHeight="false" outlineLevel="0" collapsed="false">
      <c r="A1360" s="13" t="str">
        <f aca="false">TRIM(Raw_Data!A1360)</f>
        <v>EMP1359</v>
      </c>
      <c r="B1360" s="14" t="n">
        <f aca="false">Raw_Data!B1360</f>
        <v>44782</v>
      </c>
      <c r="C1360" s="14" t="n">
        <f aca="false">IF(Raw_Data!C1360="","",Raw_Data!C1360)</f>
        <v>45359</v>
      </c>
      <c r="D1360" s="13" t="n">
        <f aca="false">IF(Raw_Data!D1360="","",Raw_Data!D1360)</f>
        <v>26</v>
      </c>
      <c r="E1360" s="13" t="str">
        <f aca="false">IF(UPPER(LEFT(TRIM(Raw_Data!E1360),1))="M","Male",IF(UPPER(LEFT(TRIM(Raw_Data!E1360),1))="F","Female","Unknown"))</f>
        <v>Male</v>
      </c>
      <c r="F1360" s="13" t="str">
        <f aca="false">PROPER(TRIM(SUBSTITUTE(Raw_Data!F1360,"'","")))</f>
        <v>Masters</v>
      </c>
      <c r="G1360" s="13" t="str">
        <f aca="false">PROPER(TRIM(Raw_Data!G1360))</f>
        <v>Sales</v>
      </c>
      <c r="H1360" s="13" t="str">
        <f aca="false">PROPER(TRIM(Raw_Data!H1360))</f>
        <v>Analyst</v>
      </c>
      <c r="I1360" s="13" t="n">
        <f aca="false">IF(Raw_Data!I1360="",DefaultPerf,Raw_Data!I1360)</f>
        <v>4</v>
      </c>
      <c r="J1360" s="13" t="n">
        <f aca="false">IF(Raw_Data!J1360="",DefaultSat,Raw_Data!J1360)</f>
        <v>1</v>
      </c>
      <c r="K1360" s="15" t="n">
        <f aca="false">Raw_Data!K1360</f>
        <v>64000</v>
      </c>
      <c r="L1360" s="13" t="str">
        <f aca="false">PROPER(TRIM(Raw_Data!N1360))</f>
        <v>No</v>
      </c>
      <c r="M1360" s="13" t="n">
        <f aca="false">IF(C1360="",0,1)</f>
        <v>1</v>
      </c>
      <c r="N1360" s="13" t="str">
        <f aca="false">IF(M1360=0,"Active",IF(TRIM(Raw_Data!L1360)="","Unknown",PROPER(TRIM(Raw_Data!L1360))))</f>
        <v>Voluntary</v>
      </c>
      <c r="O1360" s="13" t="str">
        <f aca="false">IF(M1360=0,"",IF(TRIM(Raw_Data!M1360)="","Not Recorded",TRIM(Raw_Data!M1360)))</f>
        <v>Career Growth</v>
      </c>
      <c r="P1360" s="16" t="n">
        <f aca="false">ROUND((IF(C1360="",AsOfDate,C1360)-B1360)/365.25,2)</f>
        <v>1.58</v>
      </c>
      <c r="Q1360" s="13" t="str">
        <f aca="false">IF(D1360="","Unknown",IF(D1360&lt;25,"Under 25",IF(D1360&lt;35,"25-34",IF(D1360&lt;45,"35-44",IF(D1360&lt;55,"45-54","55+")))))</f>
        <v>25-34</v>
      </c>
      <c r="R1360" s="13" t="str">
        <f aca="false">IF(P1360&lt;1,"0-1 yrs",IF(P1360&lt;3,"1-3 yrs",IF(P1360&lt;5,"3-5 yrs",IF(P1360&lt;10,"5-10 yrs","10+ yrs"))))</f>
        <v>1-3 yrs</v>
      </c>
      <c r="S1360" s="13" t="str">
        <f aca="false">IF(I1360&gt;=4,"High",IF(I1360=3,"Medium","Low"))</f>
        <v>High</v>
      </c>
      <c r="T1360" s="13" t="n">
        <f aca="false">IF(M1360=1,YEAR(C1360),"")</f>
        <v>2024</v>
      </c>
      <c r="U1360" s="13" t="str">
        <f aca="false">IF(M1360=1,YEAR(C1360)&amp;"-Q"&amp;ROUNDUP(MONTH(C1360)/3,0),"")</f>
        <v>2024-Q1</v>
      </c>
      <c r="V1360" s="13" t="n">
        <f aca="false">IF(M1360=1,MONTH(C1360),"")</f>
        <v>3</v>
      </c>
    </row>
    <row r="1361" customFormat="false" ht="15" hidden="false" customHeight="false" outlineLevel="0" collapsed="false">
      <c r="A1361" s="13" t="str">
        <f aca="false">TRIM(Raw_Data!A1361)</f>
        <v>EMP1360</v>
      </c>
      <c r="B1361" s="14" t="n">
        <f aca="false">Raw_Data!B1361</f>
        <v>44786</v>
      </c>
      <c r="C1361" s="14" t="str">
        <f aca="false">IF(Raw_Data!C1361="","",Raw_Data!C1361)</f>
        <v/>
      </c>
      <c r="D1361" s="13" t="n">
        <f aca="false">IF(Raw_Data!D1361="","",Raw_Data!D1361)</f>
        <v>27</v>
      </c>
      <c r="E1361" s="13" t="str">
        <f aca="false">IF(UPPER(LEFT(TRIM(Raw_Data!E1361),1))="M","Male",IF(UPPER(LEFT(TRIM(Raw_Data!E1361),1))="F","Female","Unknown"))</f>
        <v>Male</v>
      </c>
      <c r="F1361" s="13" t="str">
        <f aca="false">PROPER(TRIM(SUBSTITUTE(Raw_Data!F1361,"'","")))</f>
        <v>Diploma</v>
      </c>
      <c r="G1361" s="13" t="str">
        <f aca="false">PROPER(TRIM(Raw_Data!G1361))</f>
        <v>Customer Support</v>
      </c>
      <c r="H1361" s="13" t="str">
        <f aca="false">PROPER(TRIM(Raw_Data!H1361))</f>
        <v>Specialist</v>
      </c>
      <c r="I1361" s="13" t="n">
        <f aca="false">IF(Raw_Data!I1361="",DefaultPerf,Raw_Data!I1361)</f>
        <v>5</v>
      </c>
      <c r="J1361" s="13" t="n">
        <f aca="false">IF(Raw_Data!J1361="",DefaultSat,Raw_Data!J1361)</f>
        <v>3</v>
      </c>
      <c r="K1361" s="15" t="n">
        <f aca="false">Raw_Data!K1361</f>
        <v>114500</v>
      </c>
      <c r="L1361" s="13" t="str">
        <f aca="false">PROPER(TRIM(Raw_Data!N1361))</f>
        <v>No</v>
      </c>
      <c r="M1361" s="13" t="n">
        <f aca="false">IF(C1361="",0,1)</f>
        <v>0</v>
      </c>
      <c r="N1361" s="13" t="str">
        <f aca="false">IF(M1361=0,"Active",IF(TRIM(Raw_Data!L1361)="","Unknown",PROPER(TRIM(Raw_Data!L1361))))</f>
        <v>Active</v>
      </c>
      <c r="O1361" s="13" t="str">
        <f aca="false">IF(M1361=0,"",IF(TRIM(Raw_Data!M1361)="","Not Recorded",TRIM(Raw_Data!M1361)))</f>
        <v/>
      </c>
      <c r="P1361" s="16" t="n">
        <f aca="false">ROUND((IF(C1361="",AsOfDate,C1361)-B1361)/365.25,2)</f>
        <v>3.38</v>
      </c>
      <c r="Q1361" s="13" t="str">
        <f aca="false">IF(D1361="","Unknown",IF(D1361&lt;25,"Under 25",IF(D1361&lt;35,"25-34",IF(D1361&lt;45,"35-44",IF(D1361&lt;55,"45-54","55+")))))</f>
        <v>25-34</v>
      </c>
      <c r="R1361" s="13" t="str">
        <f aca="false">IF(P1361&lt;1,"0-1 yrs",IF(P1361&lt;3,"1-3 yrs",IF(P1361&lt;5,"3-5 yrs",IF(P1361&lt;10,"5-10 yrs","10+ yrs"))))</f>
        <v>3-5 yrs</v>
      </c>
      <c r="S1361" s="13" t="str">
        <f aca="false">IF(I1361&gt;=4,"High",IF(I1361=3,"Medium","Low"))</f>
        <v>High</v>
      </c>
      <c r="T1361" s="13" t="str">
        <f aca="false">IF(M1361=1,YEAR(C1361),"")</f>
        <v/>
      </c>
      <c r="U1361" s="13" t="str">
        <f aca="false">IF(M1361=1,YEAR(C1361)&amp;"-Q"&amp;ROUNDUP(MONTH(C1361)/3,0),"")</f>
        <v/>
      </c>
      <c r="V1361" s="13" t="str">
        <f aca="false">IF(M1361=1,MONTH(C1361),"")</f>
        <v/>
      </c>
    </row>
    <row r="1362" customFormat="false" ht="15" hidden="false" customHeight="false" outlineLevel="0" collapsed="false">
      <c r="A1362" s="13" t="str">
        <f aca="false">TRIM(Raw_Data!A1362)</f>
        <v>EMP1361</v>
      </c>
      <c r="B1362" s="14" t="n">
        <f aca="false">Raw_Data!B1362</f>
        <v>44786</v>
      </c>
      <c r="C1362" s="14" t="n">
        <f aca="false">IF(Raw_Data!C1362="","",Raw_Data!C1362)</f>
        <v>45361</v>
      </c>
      <c r="D1362" s="13" t="n">
        <f aca="false">IF(Raw_Data!D1362="","",Raw_Data!D1362)</f>
        <v>38</v>
      </c>
      <c r="E1362" s="13" t="str">
        <f aca="false">IF(UPPER(LEFT(TRIM(Raw_Data!E1362),1))="M","Male",IF(UPPER(LEFT(TRIM(Raw_Data!E1362),1))="F","Female","Unknown"))</f>
        <v>Male</v>
      </c>
      <c r="F1362" s="13" t="str">
        <f aca="false">PROPER(TRIM(SUBSTITUTE(Raw_Data!F1362,"'","")))</f>
        <v>Doctorate</v>
      </c>
      <c r="G1362" s="13" t="str">
        <f aca="false">PROPER(TRIM(Raw_Data!G1362))</f>
        <v>Operations</v>
      </c>
      <c r="H1362" s="13" t="str">
        <f aca="false">PROPER(TRIM(Raw_Data!H1362))</f>
        <v>Senior Analyst</v>
      </c>
      <c r="I1362" s="13" t="n">
        <f aca="false">IF(Raw_Data!I1362="",DefaultPerf,Raw_Data!I1362)</f>
        <v>3</v>
      </c>
      <c r="J1362" s="13" t="n">
        <f aca="false">IF(Raw_Data!J1362="",DefaultSat,Raw_Data!J1362)</f>
        <v>4</v>
      </c>
      <c r="K1362" s="15" t="n">
        <f aca="false">Raw_Data!K1362</f>
        <v>78500</v>
      </c>
      <c r="L1362" s="13" t="str">
        <f aca="false">PROPER(TRIM(Raw_Data!N1362))</f>
        <v>Yes</v>
      </c>
      <c r="M1362" s="13" t="n">
        <f aca="false">IF(C1362="",0,1)</f>
        <v>1</v>
      </c>
      <c r="N1362" s="13" t="str">
        <f aca="false">IF(M1362=0,"Active",IF(TRIM(Raw_Data!L1362)="","Unknown",PROPER(TRIM(Raw_Data!L1362))))</f>
        <v>Voluntary</v>
      </c>
      <c r="O1362" s="13" t="str">
        <f aca="false">IF(M1362=0,"",IF(TRIM(Raw_Data!M1362)="","Not Recorded",TRIM(Raw_Data!M1362)))</f>
        <v>Work-Life Balance</v>
      </c>
      <c r="P1362" s="16" t="n">
        <f aca="false">ROUND((IF(C1362="",AsOfDate,C1362)-B1362)/365.25,2)</f>
        <v>1.57</v>
      </c>
      <c r="Q1362" s="13" t="str">
        <f aca="false">IF(D1362="","Unknown",IF(D1362&lt;25,"Under 25",IF(D1362&lt;35,"25-34",IF(D1362&lt;45,"35-44",IF(D1362&lt;55,"45-54","55+")))))</f>
        <v>35-44</v>
      </c>
      <c r="R1362" s="13" t="str">
        <f aca="false">IF(P1362&lt;1,"0-1 yrs",IF(P1362&lt;3,"1-3 yrs",IF(P1362&lt;5,"3-5 yrs",IF(P1362&lt;10,"5-10 yrs","10+ yrs"))))</f>
        <v>1-3 yrs</v>
      </c>
      <c r="S1362" s="13" t="str">
        <f aca="false">IF(I1362&gt;=4,"High",IF(I1362=3,"Medium","Low"))</f>
        <v>Medium</v>
      </c>
      <c r="T1362" s="13" t="n">
        <f aca="false">IF(M1362=1,YEAR(C1362),"")</f>
        <v>2024</v>
      </c>
      <c r="U1362" s="13" t="str">
        <f aca="false">IF(M1362=1,YEAR(C1362)&amp;"-Q"&amp;ROUNDUP(MONTH(C1362)/3,0),"")</f>
        <v>2024-Q1</v>
      </c>
      <c r="V1362" s="13" t="n">
        <f aca="false">IF(M1362=1,MONTH(C1362),"")</f>
        <v>3</v>
      </c>
    </row>
    <row r="1363" customFormat="false" ht="15" hidden="false" customHeight="false" outlineLevel="0" collapsed="false">
      <c r="A1363" s="13" t="str">
        <f aca="false">TRIM(Raw_Data!A1363)</f>
        <v>EMP1362</v>
      </c>
      <c r="B1363" s="14" t="n">
        <f aca="false">Raw_Data!B1363</f>
        <v>44787</v>
      </c>
      <c r="C1363" s="14" t="str">
        <f aca="false">IF(Raw_Data!C1363="","",Raw_Data!C1363)</f>
        <v/>
      </c>
      <c r="D1363" s="13" t="n">
        <f aca="false">IF(Raw_Data!D1363="","",Raw_Data!D1363)</f>
        <v>43</v>
      </c>
      <c r="E1363" s="13" t="str">
        <f aca="false">IF(UPPER(LEFT(TRIM(Raw_Data!E1363),1))="M","Male",IF(UPPER(LEFT(TRIM(Raw_Data!E1363),1))="F","Female","Unknown"))</f>
        <v>Female</v>
      </c>
      <c r="F1363" s="13" t="str">
        <f aca="false">PROPER(TRIM(SUBSTITUTE(Raw_Data!F1363,"'","")))</f>
        <v>Diploma</v>
      </c>
      <c r="G1363" s="13" t="str">
        <f aca="false">PROPER(TRIM(Raw_Data!G1363))</f>
        <v>Operations</v>
      </c>
      <c r="H1363" s="13" t="str">
        <f aca="false">PROPER(TRIM(Raw_Data!H1363))</f>
        <v>Analyst</v>
      </c>
      <c r="I1363" s="13" t="n">
        <f aca="false">IF(Raw_Data!I1363="",DefaultPerf,Raw_Data!I1363)</f>
        <v>4</v>
      </c>
      <c r="J1363" s="13" t="n">
        <f aca="false">IF(Raw_Data!J1363="",DefaultSat,Raw_Data!J1363)</f>
        <v>4</v>
      </c>
      <c r="K1363" s="15" t="n">
        <f aca="false">Raw_Data!K1363</f>
        <v>61500</v>
      </c>
      <c r="L1363" s="13" t="str">
        <f aca="false">PROPER(TRIM(Raw_Data!N1363))</f>
        <v>No</v>
      </c>
      <c r="M1363" s="13" t="n">
        <f aca="false">IF(C1363="",0,1)</f>
        <v>0</v>
      </c>
      <c r="N1363" s="13" t="str">
        <f aca="false">IF(M1363=0,"Active",IF(TRIM(Raw_Data!L1363)="","Unknown",PROPER(TRIM(Raw_Data!L1363))))</f>
        <v>Active</v>
      </c>
      <c r="O1363" s="13" t="str">
        <f aca="false">IF(M1363=0,"",IF(TRIM(Raw_Data!M1363)="","Not Recorded",TRIM(Raw_Data!M1363)))</f>
        <v/>
      </c>
      <c r="P1363" s="16" t="n">
        <f aca="false">ROUND((IF(C1363="",AsOfDate,C1363)-B1363)/365.25,2)</f>
        <v>3.38</v>
      </c>
      <c r="Q1363" s="13" t="str">
        <f aca="false">IF(D1363="","Unknown",IF(D1363&lt;25,"Under 25",IF(D1363&lt;35,"25-34",IF(D1363&lt;45,"35-44",IF(D1363&lt;55,"45-54","55+")))))</f>
        <v>35-44</v>
      </c>
      <c r="R1363" s="13" t="str">
        <f aca="false">IF(P1363&lt;1,"0-1 yrs",IF(P1363&lt;3,"1-3 yrs",IF(P1363&lt;5,"3-5 yrs",IF(P1363&lt;10,"5-10 yrs","10+ yrs"))))</f>
        <v>3-5 yrs</v>
      </c>
      <c r="S1363" s="13" t="str">
        <f aca="false">IF(I1363&gt;=4,"High",IF(I1363=3,"Medium","Low"))</f>
        <v>High</v>
      </c>
      <c r="T1363" s="13" t="str">
        <f aca="false">IF(M1363=1,YEAR(C1363),"")</f>
        <v/>
      </c>
      <c r="U1363" s="13" t="str">
        <f aca="false">IF(M1363=1,YEAR(C1363)&amp;"-Q"&amp;ROUNDUP(MONTH(C1363)/3,0),"")</f>
        <v/>
      </c>
      <c r="V1363" s="13" t="str">
        <f aca="false">IF(M1363=1,MONTH(C1363),"")</f>
        <v/>
      </c>
    </row>
    <row r="1364" customFormat="false" ht="15" hidden="false" customHeight="false" outlineLevel="0" collapsed="false">
      <c r="A1364" s="13" t="str">
        <f aca="false">TRIM(Raw_Data!A1364)</f>
        <v>EMP1363</v>
      </c>
      <c r="B1364" s="14" t="n">
        <f aca="false">Raw_Data!B1364</f>
        <v>44787</v>
      </c>
      <c r="C1364" s="14" t="n">
        <f aca="false">IF(Raw_Data!C1364="","",Raw_Data!C1364)</f>
        <v>44807</v>
      </c>
      <c r="D1364" s="13" t="n">
        <f aca="false">IF(Raw_Data!D1364="","",Raw_Data!D1364)</f>
        <v>37</v>
      </c>
      <c r="E1364" s="13" t="str">
        <f aca="false">IF(UPPER(LEFT(TRIM(Raw_Data!E1364),1))="M","Male",IF(UPPER(LEFT(TRIM(Raw_Data!E1364),1))="F","Female","Unknown"))</f>
        <v>Male</v>
      </c>
      <c r="F1364" s="13" t="str">
        <f aca="false">PROPER(TRIM(SUBSTITUTE(Raw_Data!F1364,"'","")))</f>
        <v>Doctorate</v>
      </c>
      <c r="G1364" s="13" t="str">
        <f aca="false">PROPER(TRIM(Raw_Data!G1364))</f>
        <v>Engineering</v>
      </c>
      <c r="H1364" s="13" t="str">
        <f aca="false">PROPER(TRIM(Raw_Data!H1364))</f>
        <v>Specialist</v>
      </c>
      <c r="I1364" s="13" t="n">
        <f aca="false">IF(Raw_Data!I1364="",DefaultPerf,Raw_Data!I1364)</f>
        <v>3</v>
      </c>
      <c r="J1364" s="13" t="n">
        <f aca="false">IF(Raw_Data!J1364="",DefaultSat,Raw_Data!J1364)</f>
        <v>4</v>
      </c>
      <c r="K1364" s="15" t="n">
        <f aca="false">Raw_Data!K1364</f>
        <v>86000</v>
      </c>
      <c r="L1364" s="13" t="str">
        <f aca="false">PROPER(TRIM(Raw_Data!N1364))</f>
        <v>No</v>
      </c>
      <c r="M1364" s="13" t="n">
        <f aca="false">IF(C1364="",0,1)</f>
        <v>1</v>
      </c>
      <c r="N1364" s="13" t="str">
        <f aca="false">IF(M1364=0,"Active",IF(TRIM(Raw_Data!L1364)="","Unknown",PROPER(TRIM(Raw_Data!L1364))))</f>
        <v>Voluntary</v>
      </c>
      <c r="O1364" s="13" t="str">
        <f aca="false">IF(M1364=0,"",IF(TRIM(Raw_Data!M1364)="","Not Recorded",TRIM(Raw_Data!M1364)))</f>
        <v>Better Compensation</v>
      </c>
      <c r="P1364" s="16" t="n">
        <f aca="false">ROUND((IF(C1364="",AsOfDate,C1364)-B1364)/365.25,2)</f>
        <v>0.05</v>
      </c>
      <c r="Q1364" s="13" t="str">
        <f aca="false">IF(D1364="","Unknown",IF(D1364&lt;25,"Under 25",IF(D1364&lt;35,"25-34",IF(D1364&lt;45,"35-44",IF(D1364&lt;55,"45-54","55+")))))</f>
        <v>35-44</v>
      </c>
      <c r="R1364" s="13" t="str">
        <f aca="false">IF(P1364&lt;1,"0-1 yrs",IF(P1364&lt;3,"1-3 yrs",IF(P1364&lt;5,"3-5 yrs",IF(P1364&lt;10,"5-10 yrs","10+ yrs"))))</f>
        <v>0-1 yrs</v>
      </c>
      <c r="S1364" s="13" t="str">
        <f aca="false">IF(I1364&gt;=4,"High",IF(I1364=3,"Medium","Low"))</f>
        <v>Medium</v>
      </c>
      <c r="T1364" s="13" t="n">
        <f aca="false">IF(M1364=1,YEAR(C1364),"")</f>
        <v>2022</v>
      </c>
      <c r="U1364" s="13" t="str">
        <f aca="false">IF(M1364=1,YEAR(C1364)&amp;"-Q"&amp;ROUNDUP(MONTH(C1364)/3,0),"")</f>
        <v>2022-Q3</v>
      </c>
      <c r="V1364" s="13" t="n">
        <f aca="false">IF(M1364=1,MONTH(C1364),"")</f>
        <v>9</v>
      </c>
    </row>
    <row r="1365" customFormat="false" ht="15" hidden="false" customHeight="false" outlineLevel="0" collapsed="false">
      <c r="A1365" s="13" t="str">
        <f aca="false">TRIM(Raw_Data!A1365)</f>
        <v>EMP1364</v>
      </c>
      <c r="B1365" s="14" t="n">
        <f aca="false">Raw_Data!B1365</f>
        <v>44787</v>
      </c>
      <c r="C1365" s="14" t="n">
        <f aca="false">IF(Raw_Data!C1365="","",Raw_Data!C1365)</f>
        <v>45231</v>
      </c>
      <c r="D1365" s="13" t="n">
        <f aca="false">IF(Raw_Data!D1365="","",Raw_Data!D1365)</f>
        <v>39</v>
      </c>
      <c r="E1365" s="13" t="str">
        <f aca="false">IF(UPPER(LEFT(TRIM(Raw_Data!E1365),1))="M","Male",IF(UPPER(LEFT(TRIM(Raw_Data!E1365),1))="F","Female","Unknown"))</f>
        <v>Female</v>
      </c>
      <c r="F1365" s="13" t="str">
        <f aca="false">PROPER(TRIM(SUBSTITUTE(Raw_Data!F1365,"'","")))</f>
        <v>Bachelors</v>
      </c>
      <c r="G1365" s="13" t="str">
        <f aca="false">PROPER(TRIM(Raw_Data!G1365))</f>
        <v>Customer Support</v>
      </c>
      <c r="H1365" s="13" t="str">
        <f aca="false">PROPER(TRIM(Raw_Data!H1365))</f>
        <v>Analyst</v>
      </c>
      <c r="I1365" s="13" t="n">
        <f aca="false">IF(Raw_Data!I1365="",DefaultPerf,Raw_Data!I1365)</f>
        <v>4</v>
      </c>
      <c r="J1365" s="13" t="n">
        <f aca="false">IF(Raw_Data!J1365="",DefaultSat,Raw_Data!J1365)</f>
        <v>1</v>
      </c>
      <c r="K1365" s="15" t="n">
        <f aca="false">Raw_Data!K1365</f>
        <v>69500</v>
      </c>
      <c r="L1365" s="13" t="str">
        <f aca="false">PROPER(TRIM(Raw_Data!N1365))</f>
        <v>Yes</v>
      </c>
      <c r="M1365" s="13" t="n">
        <f aca="false">IF(C1365="",0,1)</f>
        <v>1</v>
      </c>
      <c r="N1365" s="13" t="str">
        <f aca="false">IF(M1365=0,"Active",IF(TRIM(Raw_Data!L1365)="","Unknown",PROPER(TRIM(Raw_Data!L1365))))</f>
        <v>Voluntary</v>
      </c>
      <c r="O1365" s="13" t="str">
        <f aca="false">IF(M1365=0,"",IF(TRIM(Raw_Data!M1365)="","Not Recorded",TRIM(Raw_Data!M1365)))</f>
        <v>Personal Reasons</v>
      </c>
      <c r="P1365" s="16" t="n">
        <f aca="false">ROUND((IF(C1365="",AsOfDate,C1365)-B1365)/365.25,2)</f>
        <v>1.22</v>
      </c>
      <c r="Q1365" s="13" t="str">
        <f aca="false">IF(D1365="","Unknown",IF(D1365&lt;25,"Under 25",IF(D1365&lt;35,"25-34",IF(D1365&lt;45,"35-44",IF(D1365&lt;55,"45-54","55+")))))</f>
        <v>35-44</v>
      </c>
      <c r="R1365" s="13" t="str">
        <f aca="false">IF(P1365&lt;1,"0-1 yrs",IF(P1365&lt;3,"1-3 yrs",IF(P1365&lt;5,"3-5 yrs",IF(P1365&lt;10,"5-10 yrs","10+ yrs"))))</f>
        <v>1-3 yrs</v>
      </c>
      <c r="S1365" s="13" t="str">
        <f aca="false">IF(I1365&gt;=4,"High",IF(I1365=3,"Medium","Low"))</f>
        <v>High</v>
      </c>
      <c r="T1365" s="13" t="n">
        <f aca="false">IF(M1365=1,YEAR(C1365),"")</f>
        <v>2023</v>
      </c>
      <c r="U1365" s="13" t="str">
        <f aca="false">IF(M1365=1,YEAR(C1365)&amp;"-Q"&amp;ROUNDUP(MONTH(C1365)/3,0),"")</f>
        <v>2023-Q4</v>
      </c>
      <c r="V1365" s="13" t="n">
        <f aca="false">IF(M1365=1,MONTH(C1365),"")</f>
        <v>11</v>
      </c>
    </row>
    <row r="1366" customFormat="false" ht="15" hidden="false" customHeight="false" outlineLevel="0" collapsed="false">
      <c r="A1366" s="13" t="str">
        <f aca="false">TRIM(Raw_Data!A1366)</f>
        <v>EMP1365</v>
      </c>
      <c r="B1366" s="14" t="n">
        <f aca="false">Raw_Data!B1366</f>
        <v>44788</v>
      </c>
      <c r="C1366" s="14" t="str">
        <f aca="false">IF(Raw_Data!C1366="","",Raw_Data!C1366)</f>
        <v/>
      </c>
      <c r="D1366" s="13" t="n">
        <f aca="false">IF(Raw_Data!D1366="","",Raw_Data!D1366)</f>
        <v>44</v>
      </c>
      <c r="E1366" s="13" t="str">
        <f aca="false">IF(UPPER(LEFT(TRIM(Raw_Data!E1366),1))="M","Male",IF(UPPER(LEFT(TRIM(Raw_Data!E1366),1))="F","Female","Unknown"))</f>
        <v>Male</v>
      </c>
      <c r="F1366" s="13" t="str">
        <f aca="false">PROPER(TRIM(SUBSTITUTE(Raw_Data!F1366,"'","")))</f>
        <v>Bachelors</v>
      </c>
      <c r="G1366" s="13" t="str">
        <f aca="false">PROPER(TRIM(Raw_Data!G1366))</f>
        <v>Sales</v>
      </c>
      <c r="H1366" s="13" t="str">
        <f aca="false">PROPER(TRIM(Raw_Data!H1366))</f>
        <v>Associate</v>
      </c>
      <c r="I1366" s="13" t="n">
        <f aca="false">IF(Raw_Data!I1366="",DefaultPerf,Raw_Data!I1366)</f>
        <v>3</v>
      </c>
      <c r="J1366" s="13" t="n">
        <f aca="false">IF(Raw_Data!J1366="",DefaultSat,Raw_Data!J1366)</f>
        <v>4</v>
      </c>
      <c r="K1366" s="15" t="n">
        <f aca="false">Raw_Data!K1366</f>
        <v>37500</v>
      </c>
      <c r="L1366" s="13" t="str">
        <f aca="false">PROPER(TRIM(Raw_Data!N1366))</f>
        <v>No</v>
      </c>
      <c r="M1366" s="13" t="n">
        <f aca="false">IF(C1366="",0,1)</f>
        <v>0</v>
      </c>
      <c r="N1366" s="13" t="str">
        <f aca="false">IF(M1366=0,"Active",IF(TRIM(Raw_Data!L1366)="","Unknown",PROPER(TRIM(Raw_Data!L1366))))</f>
        <v>Active</v>
      </c>
      <c r="O1366" s="13" t="str">
        <f aca="false">IF(M1366=0,"",IF(TRIM(Raw_Data!M1366)="","Not Recorded",TRIM(Raw_Data!M1366)))</f>
        <v/>
      </c>
      <c r="P1366" s="16" t="n">
        <f aca="false">ROUND((IF(C1366="",AsOfDate,C1366)-B1366)/365.25,2)</f>
        <v>3.38</v>
      </c>
      <c r="Q1366" s="13" t="str">
        <f aca="false">IF(D1366="","Unknown",IF(D1366&lt;25,"Under 25",IF(D1366&lt;35,"25-34",IF(D1366&lt;45,"35-44",IF(D1366&lt;55,"45-54","55+")))))</f>
        <v>35-44</v>
      </c>
      <c r="R1366" s="13" t="str">
        <f aca="false">IF(P1366&lt;1,"0-1 yrs",IF(P1366&lt;3,"1-3 yrs",IF(P1366&lt;5,"3-5 yrs",IF(P1366&lt;10,"5-10 yrs","10+ yrs"))))</f>
        <v>3-5 yrs</v>
      </c>
      <c r="S1366" s="13" t="str">
        <f aca="false">IF(I1366&gt;=4,"High",IF(I1366=3,"Medium","Low"))</f>
        <v>Medium</v>
      </c>
      <c r="T1366" s="13" t="str">
        <f aca="false">IF(M1366=1,YEAR(C1366),"")</f>
        <v/>
      </c>
      <c r="U1366" s="13" t="str">
        <f aca="false">IF(M1366=1,YEAR(C1366)&amp;"-Q"&amp;ROUNDUP(MONTH(C1366)/3,0),"")</f>
        <v/>
      </c>
      <c r="V1366" s="13" t="str">
        <f aca="false">IF(M1366=1,MONTH(C1366),"")</f>
        <v/>
      </c>
    </row>
    <row r="1367" customFormat="false" ht="15" hidden="false" customHeight="false" outlineLevel="0" collapsed="false">
      <c r="A1367" s="13" t="str">
        <f aca="false">TRIM(Raw_Data!A1367)</f>
        <v>EMP1366</v>
      </c>
      <c r="B1367" s="14" t="n">
        <f aca="false">Raw_Data!B1367</f>
        <v>44789</v>
      </c>
      <c r="C1367" s="14" t="n">
        <f aca="false">IF(Raw_Data!C1367="","",Raw_Data!C1367)</f>
        <v>45390</v>
      </c>
      <c r="D1367" s="13" t="n">
        <f aca="false">IF(Raw_Data!D1367="","",Raw_Data!D1367)</f>
        <v>37</v>
      </c>
      <c r="E1367" s="13" t="str">
        <f aca="false">IF(UPPER(LEFT(TRIM(Raw_Data!E1367),1))="M","Male",IF(UPPER(LEFT(TRIM(Raw_Data!E1367),1))="F","Female","Unknown"))</f>
        <v>Female</v>
      </c>
      <c r="F1367" s="13" t="str">
        <f aca="false">PROPER(TRIM(SUBSTITUTE(Raw_Data!F1367,"'","")))</f>
        <v>Masters</v>
      </c>
      <c r="G1367" s="13" t="str">
        <f aca="false">PROPER(TRIM(Raw_Data!G1367))</f>
        <v>Finance</v>
      </c>
      <c r="H1367" s="13" t="str">
        <f aca="false">PROPER(TRIM(Raw_Data!H1367))</f>
        <v>Associate</v>
      </c>
      <c r="I1367" s="13" t="n">
        <f aca="false">IF(Raw_Data!I1367="",DefaultPerf,Raw_Data!I1367)</f>
        <v>1</v>
      </c>
      <c r="J1367" s="13" t="n">
        <f aca="false">IF(Raw_Data!J1367="",DefaultSat,Raw_Data!J1367)</f>
        <v>4</v>
      </c>
      <c r="K1367" s="15" t="n">
        <f aca="false">Raw_Data!K1367</f>
        <v>40500</v>
      </c>
      <c r="L1367" s="13" t="str">
        <f aca="false">PROPER(TRIM(Raw_Data!N1367))</f>
        <v>No</v>
      </c>
      <c r="M1367" s="13" t="n">
        <f aca="false">IF(C1367="",0,1)</f>
        <v>1</v>
      </c>
      <c r="N1367" s="13" t="str">
        <f aca="false">IF(M1367=0,"Active",IF(TRIM(Raw_Data!L1367)="","Unknown",PROPER(TRIM(Raw_Data!L1367))))</f>
        <v>Voluntary</v>
      </c>
      <c r="O1367" s="13" t="str">
        <f aca="false">IF(M1367=0,"",IF(TRIM(Raw_Data!M1367)="","Not Recorded",TRIM(Raw_Data!M1367)))</f>
        <v>Work-Life Balance</v>
      </c>
      <c r="P1367" s="16" t="n">
        <f aca="false">ROUND((IF(C1367="",AsOfDate,C1367)-B1367)/365.25,2)</f>
        <v>1.65</v>
      </c>
      <c r="Q1367" s="13" t="str">
        <f aca="false">IF(D1367="","Unknown",IF(D1367&lt;25,"Under 25",IF(D1367&lt;35,"25-34",IF(D1367&lt;45,"35-44",IF(D1367&lt;55,"45-54","55+")))))</f>
        <v>35-44</v>
      </c>
      <c r="R1367" s="13" t="str">
        <f aca="false">IF(P1367&lt;1,"0-1 yrs",IF(P1367&lt;3,"1-3 yrs",IF(P1367&lt;5,"3-5 yrs",IF(P1367&lt;10,"5-10 yrs","10+ yrs"))))</f>
        <v>1-3 yrs</v>
      </c>
      <c r="S1367" s="13" t="str">
        <f aca="false">IF(I1367&gt;=4,"High",IF(I1367=3,"Medium","Low"))</f>
        <v>Low</v>
      </c>
      <c r="T1367" s="13" t="n">
        <f aca="false">IF(M1367=1,YEAR(C1367),"")</f>
        <v>2024</v>
      </c>
      <c r="U1367" s="13" t="str">
        <f aca="false">IF(M1367=1,YEAR(C1367)&amp;"-Q"&amp;ROUNDUP(MONTH(C1367)/3,0),"")</f>
        <v>2024-Q2</v>
      </c>
      <c r="V1367" s="13" t="n">
        <f aca="false">IF(M1367=1,MONTH(C1367),"")</f>
        <v>4</v>
      </c>
    </row>
    <row r="1368" customFormat="false" ht="15" hidden="false" customHeight="false" outlineLevel="0" collapsed="false">
      <c r="A1368" s="13" t="str">
        <f aca="false">TRIM(Raw_Data!A1368)</f>
        <v>EMP1367</v>
      </c>
      <c r="B1368" s="14" t="n">
        <f aca="false">Raw_Data!B1368</f>
        <v>44792</v>
      </c>
      <c r="C1368" s="14" t="str">
        <f aca="false">IF(Raw_Data!C1368="","",Raw_Data!C1368)</f>
        <v/>
      </c>
      <c r="D1368" s="13" t="n">
        <f aca="false">IF(Raw_Data!D1368="","",Raw_Data!D1368)</f>
        <v>31</v>
      </c>
      <c r="E1368" s="13" t="str">
        <f aca="false">IF(UPPER(LEFT(TRIM(Raw_Data!E1368),1))="M","Male",IF(UPPER(LEFT(TRIM(Raw_Data!E1368),1))="F","Female","Unknown"))</f>
        <v>Female</v>
      </c>
      <c r="F1368" s="13" t="str">
        <f aca="false">PROPER(TRIM(SUBSTITUTE(Raw_Data!F1368,"'","")))</f>
        <v>Masters</v>
      </c>
      <c r="G1368" s="13" t="str">
        <f aca="false">PROPER(TRIM(Raw_Data!G1368))</f>
        <v>Finance</v>
      </c>
      <c r="H1368" s="13" t="str">
        <f aca="false">PROPER(TRIM(Raw_Data!H1368))</f>
        <v>Team Lead</v>
      </c>
      <c r="I1368" s="13" t="n">
        <f aca="false">IF(Raw_Data!I1368="",DefaultPerf,Raw_Data!I1368)</f>
        <v>3</v>
      </c>
      <c r="J1368" s="13" t="n">
        <f aca="false">IF(Raw_Data!J1368="",DefaultSat,Raw_Data!J1368)</f>
        <v>2</v>
      </c>
      <c r="K1368" s="15" t="n">
        <f aca="false">Raw_Data!K1368</f>
        <v>131500</v>
      </c>
      <c r="L1368" s="13" t="str">
        <f aca="false">PROPER(TRIM(Raw_Data!N1368))</f>
        <v>No</v>
      </c>
      <c r="M1368" s="13" t="n">
        <f aca="false">IF(C1368="",0,1)</f>
        <v>0</v>
      </c>
      <c r="N1368" s="13" t="str">
        <f aca="false">IF(M1368=0,"Active",IF(TRIM(Raw_Data!L1368)="","Unknown",PROPER(TRIM(Raw_Data!L1368))))</f>
        <v>Active</v>
      </c>
      <c r="O1368" s="13" t="str">
        <f aca="false">IF(M1368=0,"",IF(TRIM(Raw_Data!M1368)="","Not Recorded",TRIM(Raw_Data!M1368)))</f>
        <v/>
      </c>
      <c r="P1368" s="16" t="n">
        <f aca="false">ROUND((IF(C1368="",AsOfDate,C1368)-B1368)/365.25,2)</f>
        <v>3.37</v>
      </c>
      <c r="Q1368" s="13" t="str">
        <f aca="false">IF(D1368="","Unknown",IF(D1368&lt;25,"Under 25",IF(D1368&lt;35,"25-34",IF(D1368&lt;45,"35-44",IF(D1368&lt;55,"45-54","55+")))))</f>
        <v>25-34</v>
      </c>
      <c r="R1368" s="13" t="str">
        <f aca="false">IF(P1368&lt;1,"0-1 yrs",IF(P1368&lt;3,"1-3 yrs",IF(P1368&lt;5,"3-5 yrs",IF(P1368&lt;10,"5-10 yrs","10+ yrs"))))</f>
        <v>3-5 yrs</v>
      </c>
      <c r="S1368" s="13" t="str">
        <f aca="false">IF(I1368&gt;=4,"High",IF(I1368=3,"Medium","Low"))</f>
        <v>Medium</v>
      </c>
      <c r="T1368" s="13" t="str">
        <f aca="false">IF(M1368=1,YEAR(C1368),"")</f>
        <v/>
      </c>
      <c r="U1368" s="13" t="str">
        <f aca="false">IF(M1368=1,YEAR(C1368)&amp;"-Q"&amp;ROUNDUP(MONTH(C1368)/3,0),"")</f>
        <v/>
      </c>
      <c r="V1368" s="13" t="str">
        <f aca="false">IF(M1368=1,MONTH(C1368),"")</f>
        <v/>
      </c>
    </row>
    <row r="1369" customFormat="false" ht="15" hidden="false" customHeight="false" outlineLevel="0" collapsed="false">
      <c r="A1369" s="13" t="str">
        <f aca="false">TRIM(Raw_Data!A1369)</f>
        <v>EMP1368</v>
      </c>
      <c r="B1369" s="14" t="n">
        <f aca="false">Raw_Data!B1369</f>
        <v>44795</v>
      </c>
      <c r="C1369" s="14" t="n">
        <f aca="false">IF(Raw_Data!C1369="","",Raw_Data!C1369)</f>
        <v>45186</v>
      </c>
      <c r="D1369" s="13" t="n">
        <f aca="false">IF(Raw_Data!D1369="","",Raw_Data!D1369)</f>
        <v>30</v>
      </c>
      <c r="E1369" s="13" t="str">
        <f aca="false">IF(UPPER(LEFT(TRIM(Raw_Data!E1369),1))="M","Male",IF(UPPER(LEFT(TRIM(Raw_Data!E1369),1))="F","Female","Unknown"))</f>
        <v>Female</v>
      </c>
      <c r="F1369" s="13" t="str">
        <f aca="false">PROPER(TRIM(SUBSTITUTE(Raw_Data!F1369,"'","")))</f>
        <v>Bachelors</v>
      </c>
      <c r="G1369" s="13" t="str">
        <f aca="false">PROPER(TRIM(Raw_Data!G1369))</f>
        <v>Sales</v>
      </c>
      <c r="H1369" s="13" t="str">
        <f aca="false">PROPER(TRIM(Raw_Data!H1369))</f>
        <v>Associate</v>
      </c>
      <c r="I1369" s="13" t="n">
        <f aca="false">IF(Raw_Data!I1369="",DefaultPerf,Raw_Data!I1369)</f>
        <v>3</v>
      </c>
      <c r="J1369" s="13" t="n">
        <f aca="false">IF(Raw_Data!J1369="",DefaultSat,Raw_Data!J1369)</f>
        <v>2</v>
      </c>
      <c r="K1369" s="15" t="n">
        <f aca="false">Raw_Data!K1369</f>
        <v>33000</v>
      </c>
      <c r="L1369" s="13" t="str">
        <f aca="false">PROPER(TRIM(Raw_Data!N1369))</f>
        <v>Yes</v>
      </c>
      <c r="M1369" s="13" t="n">
        <f aca="false">IF(C1369="",0,1)</f>
        <v>1</v>
      </c>
      <c r="N1369" s="13" t="str">
        <f aca="false">IF(M1369=0,"Active",IF(TRIM(Raw_Data!L1369)="","Unknown",PROPER(TRIM(Raw_Data!L1369))))</f>
        <v>Involuntary</v>
      </c>
      <c r="O1369" s="13" t="str">
        <f aca="false">IF(M1369=0,"",IF(TRIM(Raw_Data!M1369)="","Not Recorded",TRIM(Raw_Data!M1369)))</f>
        <v>Poor Performance</v>
      </c>
      <c r="P1369" s="16" t="n">
        <f aca="false">ROUND((IF(C1369="",AsOfDate,C1369)-B1369)/365.25,2)</f>
        <v>1.07</v>
      </c>
      <c r="Q1369" s="13" t="str">
        <f aca="false">IF(D1369="","Unknown",IF(D1369&lt;25,"Under 25",IF(D1369&lt;35,"25-34",IF(D1369&lt;45,"35-44",IF(D1369&lt;55,"45-54","55+")))))</f>
        <v>25-34</v>
      </c>
      <c r="R1369" s="13" t="str">
        <f aca="false">IF(P1369&lt;1,"0-1 yrs",IF(P1369&lt;3,"1-3 yrs",IF(P1369&lt;5,"3-5 yrs",IF(P1369&lt;10,"5-10 yrs","10+ yrs"))))</f>
        <v>1-3 yrs</v>
      </c>
      <c r="S1369" s="13" t="str">
        <f aca="false">IF(I1369&gt;=4,"High",IF(I1369=3,"Medium","Low"))</f>
        <v>Medium</v>
      </c>
      <c r="T1369" s="13" t="n">
        <f aca="false">IF(M1369=1,YEAR(C1369),"")</f>
        <v>2023</v>
      </c>
      <c r="U1369" s="13" t="str">
        <f aca="false">IF(M1369=1,YEAR(C1369)&amp;"-Q"&amp;ROUNDUP(MONTH(C1369)/3,0),"")</f>
        <v>2023-Q3</v>
      </c>
      <c r="V1369" s="13" t="n">
        <f aca="false">IF(M1369=1,MONTH(C1369),"")</f>
        <v>9</v>
      </c>
    </row>
    <row r="1370" customFormat="false" ht="15" hidden="false" customHeight="false" outlineLevel="0" collapsed="false">
      <c r="A1370" s="13" t="str">
        <f aca="false">TRIM(Raw_Data!A1370)</f>
        <v>EMP1369</v>
      </c>
      <c r="B1370" s="14" t="n">
        <f aca="false">Raw_Data!B1370</f>
        <v>44797</v>
      </c>
      <c r="C1370" s="14" t="str">
        <f aca="false">IF(Raw_Data!C1370="","",Raw_Data!C1370)</f>
        <v/>
      </c>
      <c r="D1370" s="13" t="n">
        <f aca="false">IF(Raw_Data!D1370="","",Raw_Data!D1370)</f>
        <v>32</v>
      </c>
      <c r="E1370" s="13" t="str">
        <f aca="false">IF(UPPER(LEFT(TRIM(Raw_Data!E1370),1))="M","Male",IF(UPPER(LEFT(TRIM(Raw_Data!E1370),1))="F","Female","Unknown"))</f>
        <v>Male</v>
      </c>
      <c r="F1370" s="13" t="str">
        <f aca="false">PROPER(TRIM(SUBSTITUTE(Raw_Data!F1370,"'","")))</f>
        <v>Masters</v>
      </c>
      <c r="G1370" s="13" t="str">
        <f aca="false">PROPER(TRIM(Raw_Data!G1370))</f>
        <v>Engineering</v>
      </c>
      <c r="H1370" s="13" t="str">
        <f aca="false">PROPER(TRIM(Raw_Data!H1370))</f>
        <v>Senior Analyst</v>
      </c>
      <c r="I1370" s="13" t="n">
        <f aca="false">IF(Raw_Data!I1370="",DefaultPerf,Raw_Data!I1370)</f>
        <v>3</v>
      </c>
      <c r="J1370" s="13" t="n">
        <f aca="false">IF(Raw_Data!J1370="",DefaultSat,Raw_Data!J1370)</f>
        <v>4</v>
      </c>
      <c r="K1370" s="15" t="n">
        <f aca="false">Raw_Data!K1370</f>
        <v>113500</v>
      </c>
      <c r="L1370" s="13" t="str">
        <f aca="false">PROPER(TRIM(Raw_Data!N1370))</f>
        <v>Yes</v>
      </c>
      <c r="M1370" s="13" t="n">
        <f aca="false">IF(C1370="",0,1)</f>
        <v>0</v>
      </c>
      <c r="N1370" s="13" t="str">
        <f aca="false">IF(M1370=0,"Active",IF(TRIM(Raw_Data!L1370)="","Unknown",PROPER(TRIM(Raw_Data!L1370))))</f>
        <v>Active</v>
      </c>
      <c r="O1370" s="13" t="str">
        <f aca="false">IF(M1370=0,"",IF(TRIM(Raw_Data!M1370)="","Not Recorded",TRIM(Raw_Data!M1370)))</f>
        <v/>
      </c>
      <c r="P1370" s="16" t="n">
        <f aca="false">ROUND((IF(C1370="",AsOfDate,C1370)-B1370)/365.25,2)</f>
        <v>3.35</v>
      </c>
      <c r="Q1370" s="13" t="str">
        <f aca="false">IF(D1370="","Unknown",IF(D1370&lt;25,"Under 25",IF(D1370&lt;35,"25-34",IF(D1370&lt;45,"35-44",IF(D1370&lt;55,"45-54","55+")))))</f>
        <v>25-34</v>
      </c>
      <c r="R1370" s="13" t="str">
        <f aca="false">IF(P1370&lt;1,"0-1 yrs",IF(P1370&lt;3,"1-3 yrs",IF(P1370&lt;5,"3-5 yrs",IF(P1370&lt;10,"5-10 yrs","10+ yrs"))))</f>
        <v>3-5 yrs</v>
      </c>
      <c r="S1370" s="13" t="str">
        <f aca="false">IF(I1370&gt;=4,"High",IF(I1370=3,"Medium","Low"))</f>
        <v>Medium</v>
      </c>
      <c r="T1370" s="13" t="str">
        <f aca="false">IF(M1370=1,YEAR(C1370),"")</f>
        <v/>
      </c>
      <c r="U1370" s="13" t="str">
        <f aca="false">IF(M1370=1,YEAR(C1370)&amp;"-Q"&amp;ROUNDUP(MONTH(C1370)/3,0),"")</f>
        <v/>
      </c>
      <c r="V1370" s="13" t="str">
        <f aca="false">IF(M1370=1,MONTH(C1370),"")</f>
        <v/>
      </c>
    </row>
    <row r="1371" customFormat="false" ht="15" hidden="false" customHeight="false" outlineLevel="0" collapsed="false">
      <c r="A1371" s="13" t="str">
        <f aca="false">TRIM(Raw_Data!A1371)</f>
        <v>EMP1370</v>
      </c>
      <c r="B1371" s="14" t="n">
        <f aca="false">Raw_Data!B1371</f>
        <v>44799</v>
      </c>
      <c r="C1371" s="14" t="n">
        <f aca="false">IF(Raw_Data!C1371="","",Raw_Data!C1371)</f>
        <v>44921</v>
      </c>
      <c r="D1371" s="13" t="n">
        <f aca="false">IF(Raw_Data!D1371="","",Raw_Data!D1371)</f>
        <v>28</v>
      </c>
      <c r="E1371" s="13" t="str">
        <f aca="false">IF(UPPER(LEFT(TRIM(Raw_Data!E1371),1))="M","Male",IF(UPPER(LEFT(TRIM(Raw_Data!E1371),1))="F","Female","Unknown"))</f>
        <v>Female</v>
      </c>
      <c r="F1371" s="13" t="str">
        <f aca="false">PROPER(TRIM(SUBSTITUTE(Raw_Data!F1371,"'","")))</f>
        <v>Masters</v>
      </c>
      <c r="G1371" s="13" t="str">
        <f aca="false">PROPER(TRIM(Raw_Data!G1371))</f>
        <v>Customer Support</v>
      </c>
      <c r="H1371" s="13" t="str">
        <f aca="false">PROPER(TRIM(Raw_Data!H1371))</f>
        <v>Associate</v>
      </c>
      <c r="I1371" s="13" t="n">
        <f aca="false">IF(Raw_Data!I1371="",DefaultPerf,Raw_Data!I1371)</f>
        <v>4</v>
      </c>
      <c r="J1371" s="13" t="n">
        <f aca="false">IF(Raw_Data!J1371="",DefaultSat,Raw_Data!J1371)</f>
        <v>1</v>
      </c>
      <c r="K1371" s="15" t="n">
        <f aca="false">Raw_Data!K1371</f>
        <v>40000</v>
      </c>
      <c r="L1371" s="13" t="str">
        <f aca="false">PROPER(TRIM(Raw_Data!N1371))</f>
        <v>No</v>
      </c>
      <c r="M1371" s="13" t="n">
        <f aca="false">IF(C1371="",0,1)</f>
        <v>1</v>
      </c>
      <c r="N1371" s="13" t="str">
        <f aca="false">IF(M1371=0,"Active",IF(TRIM(Raw_Data!L1371)="","Unknown",PROPER(TRIM(Raw_Data!L1371))))</f>
        <v>Voluntary</v>
      </c>
      <c r="O1371" s="13" t="str">
        <f aca="false">IF(M1371=0,"",IF(TRIM(Raw_Data!M1371)="","Not Recorded",TRIM(Raw_Data!M1371)))</f>
        <v>Personal Reasons</v>
      </c>
      <c r="P1371" s="16" t="n">
        <f aca="false">ROUND((IF(C1371="",AsOfDate,C1371)-B1371)/365.25,2)</f>
        <v>0.33</v>
      </c>
      <c r="Q1371" s="13" t="str">
        <f aca="false">IF(D1371="","Unknown",IF(D1371&lt;25,"Under 25",IF(D1371&lt;35,"25-34",IF(D1371&lt;45,"35-44",IF(D1371&lt;55,"45-54","55+")))))</f>
        <v>25-34</v>
      </c>
      <c r="R1371" s="13" t="str">
        <f aca="false">IF(P1371&lt;1,"0-1 yrs",IF(P1371&lt;3,"1-3 yrs",IF(P1371&lt;5,"3-5 yrs",IF(P1371&lt;10,"5-10 yrs","10+ yrs"))))</f>
        <v>0-1 yrs</v>
      </c>
      <c r="S1371" s="13" t="str">
        <f aca="false">IF(I1371&gt;=4,"High",IF(I1371=3,"Medium","Low"))</f>
        <v>High</v>
      </c>
      <c r="T1371" s="13" t="n">
        <f aca="false">IF(M1371=1,YEAR(C1371),"")</f>
        <v>2022</v>
      </c>
      <c r="U1371" s="13" t="str">
        <f aca="false">IF(M1371=1,YEAR(C1371)&amp;"-Q"&amp;ROUNDUP(MONTH(C1371)/3,0),"")</f>
        <v>2022-Q4</v>
      </c>
      <c r="V1371" s="13" t="n">
        <f aca="false">IF(M1371=1,MONTH(C1371),"")</f>
        <v>12</v>
      </c>
    </row>
    <row r="1372" customFormat="false" ht="15" hidden="false" customHeight="false" outlineLevel="0" collapsed="false">
      <c r="A1372" s="13" t="str">
        <f aca="false">TRIM(Raw_Data!A1372)</f>
        <v>EMP1371</v>
      </c>
      <c r="B1372" s="14" t="n">
        <f aca="false">Raw_Data!B1372</f>
        <v>44800</v>
      </c>
      <c r="C1372" s="14" t="n">
        <f aca="false">IF(Raw_Data!C1372="","",Raw_Data!C1372)</f>
        <v>45021</v>
      </c>
      <c r="D1372" s="13" t="n">
        <f aca="false">IF(Raw_Data!D1372="","",Raw_Data!D1372)</f>
        <v>27</v>
      </c>
      <c r="E1372" s="13" t="str">
        <f aca="false">IF(UPPER(LEFT(TRIM(Raw_Data!E1372),1))="M","Male",IF(UPPER(LEFT(TRIM(Raw_Data!E1372),1))="F","Female","Unknown"))</f>
        <v>Male</v>
      </c>
      <c r="F1372" s="13" t="str">
        <f aca="false">PROPER(TRIM(SUBSTITUTE(Raw_Data!F1372,"'","")))</f>
        <v>Bachelors</v>
      </c>
      <c r="G1372" s="13" t="str">
        <f aca="false">PROPER(TRIM(Raw_Data!G1372))</f>
        <v>Customer Support</v>
      </c>
      <c r="H1372" s="13" t="str">
        <f aca="false">PROPER(TRIM(Raw_Data!H1372))</f>
        <v>Analyst</v>
      </c>
      <c r="I1372" s="13" t="n">
        <f aca="false">IF(Raw_Data!I1372="",DefaultPerf,Raw_Data!I1372)</f>
        <v>5</v>
      </c>
      <c r="J1372" s="13" t="n">
        <f aca="false">IF(Raw_Data!J1372="",DefaultSat,Raw_Data!J1372)</f>
        <v>2</v>
      </c>
      <c r="K1372" s="15" t="n">
        <f aca="false">Raw_Data!K1372</f>
        <v>58000</v>
      </c>
      <c r="L1372" s="13" t="str">
        <f aca="false">PROPER(TRIM(Raw_Data!N1372))</f>
        <v>No</v>
      </c>
      <c r="M1372" s="13" t="n">
        <f aca="false">IF(C1372="",0,1)</f>
        <v>1</v>
      </c>
      <c r="N1372" s="13" t="str">
        <f aca="false">IF(M1372=0,"Active",IF(TRIM(Raw_Data!L1372)="","Unknown",PROPER(TRIM(Raw_Data!L1372))))</f>
        <v>Voluntary</v>
      </c>
      <c r="O1372" s="13" t="str">
        <f aca="false">IF(M1372=0,"",IF(TRIM(Raw_Data!M1372)="","Not Recorded",TRIM(Raw_Data!M1372)))</f>
        <v>Manager Issues</v>
      </c>
      <c r="P1372" s="16" t="n">
        <f aca="false">ROUND((IF(C1372="",AsOfDate,C1372)-B1372)/365.25,2)</f>
        <v>0.61</v>
      </c>
      <c r="Q1372" s="13" t="str">
        <f aca="false">IF(D1372="","Unknown",IF(D1372&lt;25,"Under 25",IF(D1372&lt;35,"25-34",IF(D1372&lt;45,"35-44",IF(D1372&lt;55,"45-54","55+")))))</f>
        <v>25-34</v>
      </c>
      <c r="R1372" s="13" t="str">
        <f aca="false">IF(P1372&lt;1,"0-1 yrs",IF(P1372&lt;3,"1-3 yrs",IF(P1372&lt;5,"3-5 yrs",IF(P1372&lt;10,"5-10 yrs","10+ yrs"))))</f>
        <v>0-1 yrs</v>
      </c>
      <c r="S1372" s="13" t="str">
        <f aca="false">IF(I1372&gt;=4,"High",IF(I1372=3,"Medium","Low"))</f>
        <v>High</v>
      </c>
      <c r="T1372" s="13" t="n">
        <f aca="false">IF(M1372=1,YEAR(C1372),"")</f>
        <v>2023</v>
      </c>
      <c r="U1372" s="13" t="str">
        <f aca="false">IF(M1372=1,YEAR(C1372)&amp;"-Q"&amp;ROUNDUP(MONTH(C1372)/3,0),"")</f>
        <v>2023-Q2</v>
      </c>
      <c r="V1372" s="13" t="n">
        <f aca="false">IF(M1372=1,MONTH(C1372),"")</f>
        <v>4</v>
      </c>
    </row>
    <row r="1373" customFormat="false" ht="15" hidden="false" customHeight="false" outlineLevel="0" collapsed="false">
      <c r="A1373" s="13" t="str">
        <f aca="false">TRIM(Raw_Data!A1373)</f>
        <v>EMP1372</v>
      </c>
      <c r="B1373" s="14" t="n">
        <f aca="false">Raw_Data!B1373</f>
        <v>44804</v>
      </c>
      <c r="C1373" s="14" t="n">
        <f aca="false">IF(Raw_Data!C1373="","",Raw_Data!C1373)</f>
        <v>45251</v>
      </c>
      <c r="D1373" s="13" t="n">
        <f aca="false">IF(Raw_Data!D1373="","",Raw_Data!D1373)</f>
        <v>29</v>
      </c>
      <c r="E1373" s="13" t="str">
        <f aca="false">IF(UPPER(LEFT(TRIM(Raw_Data!E1373),1))="M","Male",IF(UPPER(LEFT(TRIM(Raw_Data!E1373),1))="F","Female","Unknown"))</f>
        <v>Female</v>
      </c>
      <c r="F1373" s="13" t="str">
        <f aca="false">PROPER(TRIM(SUBSTITUTE(Raw_Data!F1373,"'","")))</f>
        <v>Masters</v>
      </c>
      <c r="G1373" s="13" t="str">
        <f aca="false">PROPER(TRIM(Raw_Data!G1373))</f>
        <v>Customer Support</v>
      </c>
      <c r="H1373" s="13" t="str">
        <f aca="false">PROPER(TRIM(Raw_Data!H1373))</f>
        <v>Analyst</v>
      </c>
      <c r="I1373" s="13" t="n">
        <f aca="false">IF(Raw_Data!I1373="",DefaultPerf,Raw_Data!I1373)</f>
        <v>3</v>
      </c>
      <c r="J1373" s="13" t="n">
        <f aca="false">IF(Raw_Data!J1373="",DefaultSat,Raw_Data!J1373)</f>
        <v>1</v>
      </c>
      <c r="K1373" s="15" t="n">
        <f aca="false">Raw_Data!K1373</f>
        <v>49000</v>
      </c>
      <c r="L1373" s="13" t="str">
        <f aca="false">PROPER(TRIM(Raw_Data!N1373))</f>
        <v>No</v>
      </c>
      <c r="M1373" s="13" t="n">
        <f aca="false">IF(C1373="",0,1)</f>
        <v>1</v>
      </c>
      <c r="N1373" s="13" t="str">
        <f aca="false">IF(M1373=0,"Active",IF(TRIM(Raw_Data!L1373)="","Unknown",PROPER(TRIM(Raw_Data!L1373))))</f>
        <v>Involuntary</v>
      </c>
      <c r="O1373" s="13" t="str">
        <f aca="false">IF(M1373=0,"",IF(TRIM(Raw_Data!M1373)="","Not Recorded",TRIM(Raw_Data!M1373)))</f>
        <v>Restructuring / Layoff</v>
      </c>
      <c r="P1373" s="16" t="n">
        <f aca="false">ROUND((IF(C1373="",AsOfDate,C1373)-B1373)/365.25,2)</f>
        <v>1.22</v>
      </c>
      <c r="Q1373" s="13" t="str">
        <f aca="false">IF(D1373="","Unknown",IF(D1373&lt;25,"Under 25",IF(D1373&lt;35,"25-34",IF(D1373&lt;45,"35-44",IF(D1373&lt;55,"45-54","55+")))))</f>
        <v>25-34</v>
      </c>
      <c r="R1373" s="13" t="str">
        <f aca="false">IF(P1373&lt;1,"0-1 yrs",IF(P1373&lt;3,"1-3 yrs",IF(P1373&lt;5,"3-5 yrs",IF(P1373&lt;10,"5-10 yrs","10+ yrs"))))</f>
        <v>1-3 yrs</v>
      </c>
      <c r="S1373" s="13" t="str">
        <f aca="false">IF(I1373&gt;=4,"High",IF(I1373=3,"Medium","Low"))</f>
        <v>Medium</v>
      </c>
      <c r="T1373" s="13" t="n">
        <f aca="false">IF(M1373=1,YEAR(C1373),"")</f>
        <v>2023</v>
      </c>
      <c r="U1373" s="13" t="str">
        <f aca="false">IF(M1373=1,YEAR(C1373)&amp;"-Q"&amp;ROUNDUP(MONTH(C1373)/3,0),"")</f>
        <v>2023-Q4</v>
      </c>
      <c r="V1373" s="13" t="n">
        <f aca="false">IF(M1373=1,MONTH(C1373),"")</f>
        <v>11</v>
      </c>
    </row>
    <row r="1374" customFormat="false" ht="15" hidden="false" customHeight="false" outlineLevel="0" collapsed="false">
      <c r="A1374" s="13" t="str">
        <f aca="false">TRIM(Raw_Data!A1374)</f>
        <v>EMP1373</v>
      </c>
      <c r="B1374" s="14" t="n">
        <f aca="false">Raw_Data!B1374</f>
        <v>44804</v>
      </c>
      <c r="C1374" s="14" t="n">
        <f aca="false">IF(Raw_Data!C1374="","",Raw_Data!C1374)</f>
        <v>44906</v>
      </c>
      <c r="D1374" s="13" t="n">
        <f aca="false">IF(Raw_Data!D1374="","",Raw_Data!D1374)</f>
        <v>37</v>
      </c>
      <c r="E1374" s="13" t="str">
        <f aca="false">IF(UPPER(LEFT(TRIM(Raw_Data!E1374),1))="M","Male",IF(UPPER(LEFT(TRIM(Raw_Data!E1374),1))="F","Female","Unknown"))</f>
        <v>Female</v>
      </c>
      <c r="F1374" s="13" t="str">
        <f aca="false">PROPER(TRIM(SUBSTITUTE(Raw_Data!F1374,"'","")))</f>
        <v>Bachelors</v>
      </c>
      <c r="G1374" s="13" t="str">
        <f aca="false">PROPER(TRIM(Raw_Data!G1374))</f>
        <v>Finance</v>
      </c>
      <c r="H1374" s="13" t="str">
        <f aca="false">PROPER(TRIM(Raw_Data!H1374))</f>
        <v>Associate</v>
      </c>
      <c r="I1374" s="13" t="n">
        <f aca="false">IF(Raw_Data!I1374="",DefaultPerf,Raw_Data!I1374)</f>
        <v>3</v>
      </c>
      <c r="J1374" s="13" t="n">
        <f aca="false">IF(Raw_Data!J1374="",DefaultSat,Raw_Data!J1374)</f>
        <v>1</v>
      </c>
      <c r="K1374" s="15" t="n">
        <f aca="false">Raw_Data!K1374</f>
        <v>44500</v>
      </c>
      <c r="L1374" s="13" t="str">
        <f aca="false">PROPER(TRIM(Raw_Data!N1374))</f>
        <v>No</v>
      </c>
      <c r="M1374" s="13" t="n">
        <f aca="false">IF(C1374="",0,1)</f>
        <v>1</v>
      </c>
      <c r="N1374" s="13" t="str">
        <f aca="false">IF(M1374=0,"Active",IF(TRIM(Raw_Data!L1374)="","Unknown",PROPER(TRIM(Raw_Data!L1374))))</f>
        <v>Voluntary</v>
      </c>
      <c r="O1374" s="13" t="str">
        <f aca="false">IF(M1374=0,"",IF(TRIM(Raw_Data!M1374)="","Not Recorded",TRIM(Raw_Data!M1374)))</f>
        <v>Manager Issues</v>
      </c>
      <c r="P1374" s="16" t="n">
        <f aca="false">ROUND((IF(C1374="",AsOfDate,C1374)-B1374)/365.25,2)</f>
        <v>0.28</v>
      </c>
      <c r="Q1374" s="13" t="str">
        <f aca="false">IF(D1374="","Unknown",IF(D1374&lt;25,"Under 25",IF(D1374&lt;35,"25-34",IF(D1374&lt;45,"35-44",IF(D1374&lt;55,"45-54","55+")))))</f>
        <v>35-44</v>
      </c>
      <c r="R1374" s="13" t="str">
        <f aca="false">IF(P1374&lt;1,"0-1 yrs",IF(P1374&lt;3,"1-3 yrs",IF(P1374&lt;5,"3-5 yrs",IF(P1374&lt;10,"5-10 yrs","10+ yrs"))))</f>
        <v>0-1 yrs</v>
      </c>
      <c r="S1374" s="13" t="str">
        <f aca="false">IF(I1374&gt;=4,"High",IF(I1374=3,"Medium","Low"))</f>
        <v>Medium</v>
      </c>
      <c r="T1374" s="13" t="n">
        <f aca="false">IF(M1374=1,YEAR(C1374),"")</f>
        <v>2022</v>
      </c>
      <c r="U1374" s="13" t="str">
        <f aca="false">IF(M1374=1,YEAR(C1374)&amp;"-Q"&amp;ROUNDUP(MONTH(C1374)/3,0),"")</f>
        <v>2022-Q4</v>
      </c>
      <c r="V1374" s="13" t="n">
        <f aca="false">IF(M1374=1,MONTH(C1374),"")</f>
        <v>12</v>
      </c>
    </row>
    <row r="1375" customFormat="false" ht="15" hidden="false" customHeight="false" outlineLevel="0" collapsed="false">
      <c r="A1375" s="13" t="str">
        <f aca="false">TRIM(Raw_Data!A1375)</f>
        <v>EMP1374</v>
      </c>
      <c r="B1375" s="14" t="n">
        <f aca="false">Raw_Data!B1375</f>
        <v>44806</v>
      </c>
      <c r="C1375" s="14" t="n">
        <f aca="false">IF(Raw_Data!C1375="","",Raw_Data!C1375)</f>
        <v>45089</v>
      </c>
      <c r="D1375" s="13" t="n">
        <f aca="false">IF(Raw_Data!D1375="","",Raw_Data!D1375)</f>
        <v>42</v>
      </c>
      <c r="E1375" s="13" t="str">
        <f aca="false">IF(UPPER(LEFT(TRIM(Raw_Data!E1375),1))="M","Male",IF(UPPER(LEFT(TRIM(Raw_Data!E1375),1))="F","Female","Unknown"))</f>
        <v>Female</v>
      </c>
      <c r="F1375" s="13" t="str">
        <f aca="false">PROPER(TRIM(SUBSTITUTE(Raw_Data!F1375,"'","")))</f>
        <v>Bachelors</v>
      </c>
      <c r="G1375" s="13" t="str">
        <f aca="false">PROPER(TRIM(Raw_Data!G1375))</f>
        <v>Operations</v>
      </c>
      <c r="H1375" s="13" t="str">
        <f aca="false">PROPER(TRIM(Raw_Data!H1375))</f>
        <v>Associate</v>
      </c>
      <c r="I1375" s="13" t="n">
        <f aca="false">IF(Raw_Data!I1375="",DefaultPerf,Raw_Data!I1375)</f>
        <v>3</v>
      </c>
      <c r="J1375" s="13" t="n">
        <f aca="false">IF(Raw_Data!J1375="",DefaultSat,Raw_Data!J1375)</f>
        <v>4</v>
      </c>
      <c r="K1375" s="15" t="n">
        <f aca="false">Raw_Data!K1375</f>
        <v>34500</v>
      </c>
      <c r="L1375" s="13" t="str">
        <f aca="false">PROPER(TRIM(Raw_Data!N1375))</f>
        <v>No</v>
      </c>
      <c r="M1375" s="13" t="n">
        <f aca="false">IF(C1375="",0,1)</f>
        <v>1</v>
      </c>
      <c r="N1375" s="13" t="str">
        <f aca="false">IF(M1375=0,"Active",IF(TRIM(Raw_Data!L1375)="","Unknown",PROPER(TRIM(Raw_Data!L1375))))</f>
        <v>Involuntary</v>
      </c>
      <c r="O1375" s="13" t="str">
        <f aca="false">IF(M1375=0,"",IF(TRIM(Raw_Data!M1375)="","Not Recorded",TRIM(Raw_Data!M1375)))</f>
        <v>Poor Performance</v>
      </c>
      <c r="P1375" s="16" t="n">
        <f aca="false">ROUND((IF(C1375="",AsOfDate,C1375)-B1375)/365.25,2)</f>
        <v>0.77</v>
      </c>
      <c r="Q1375" s="13" t="str">
        <f aca="false">IF(D1375="","Unknown",IF(D1375&lt;25,"Under 25",IF(D1375&lt;35,"25-34",IF(D1375&lt;45,"35-44",IF(D1375&lt;55,"45-54","55+")))))</f>
        <v>35-44</v>
      </c>
      <c r="R1375" s="13" t="str">
        <f aca="false">IF(P1375&lt;1,"0-1 yrs",IF(P1375&lt;3,"1-3 yrs",IF(P1375&lt;5,"3-5 yrs",IF(P1375&lt;10,"5-10 yrs","10+ yrs"))))</f>
        <v>0-1 yrs</v>
      </c>
      <c r="S1375" s="13" t="str">
        <f aca="false">IF(I1375&gt;=4,"High",IF(I1375=3,"Medium","Low"))</f>
        <v>Medium</v>
      </c>
      <c r="T1375" s="13" t="n">
        <f aca="false">IF(M1375=1,YEAR(C1375),"")</f>
        <v>2023</v>
      </c>
      <c r="U1375" s="13" t="str">
        <f aca="false">IF(M1375=1,YEAR(C1375)&amp;"-Q"&amp;ROUNDUP(MONTH(C1375)/3,0),"")</f>
        <v>2023-Q2</v>
      </c>
      <c r="V1375" s="13" t="n">
        <f aca="false">IF(M1375=1,MONTH(C1375),"")</f>
        <v>6</v>
      </c>
    </row>
    <row r="1376" customFormat="false" ht="15" hidden="false" customHeight="false" outlineLevel="0" collapsed="false">
      <c r="A1376" s="13" t="str">
        <f aca="false">TRIM(Raw_Data!A1376)</f>
        <v>EMP1375</v>
      </c>
      <c r="B1376" s="14" t="n">
        <f aca="false">Raw_Data!B1376</f>
        <v>44807</v>
      </c>
      <c r="C1376" s="14" t="str">
        <f aca="false">IF(Raw_Data!C1376="","",Raw_Data!C1376)</f>
        <v/>
      </c>
      <c r="D1376" s="13" t="n">
        <f aca="false">IF(Raw_Data!D1376="","",Raw_Data!D1376)</f>
        <v>36</v>
      </c>
      <c r="E1376" s="13" t="str">
        <f aca="false">IF(UPPER(LEFT(TRIM(Raw_Data!E1376),1))="M","Male",IF(UPPER(LEFT(TRIM(Raw_Data!E1376),1))="F","Female","Unknown"))</f>
        <v>Female</v>
      </c>
      <c r="F1376" s="13" t="str">
        <f aca="false">PROPER(TRIM(SUBSTITUTE(Raw_Data!F1376,"'","")))</f>
        <v>Bachelors</v>
      </c>
      <c r="G1376" s="13" t="str">
        <f aca="false">PROPER(TRIM(Raw_Data!G1376))</f>
        <v>Engineering</v>
      </c>
      <c r="H1376" s="13" t="str">
        <f aca="false">PROPER(TRIM(Raw_Data!H1376))</f>
        <v>Associate</v>
      </c>
      <c r="I1376" s="13" t="n">
        <f aca="false">IF(Raw_Data!I1376="",DefaultPerf,Raw_Data!I1376)</f>
        <v>4</v>
      </c>
      <c r="J1376" s="13" t="n">
        <f aca="false">IF(Raw_Data!J1376="",DefaultSat,Raw_Data!J1376)</f>
        <v>3</v>
      </c>
      <c r="K1376" s="15" t="n">
        <f aca="false">Raw_Data!K1376</f>
        <v>38500</v>
      </c>
      <c r="L1376" s="13" t="str">
        <f aca="false">PROPER(TRIM(Raw_Data!N1376))</f>
        <v>No</v>
      </c>
      <c r="M1376" s="13" t="n">
        <f aca="false">IF(C1376="",0,1)</f>
        <v>0</v>
      </c>
      <c r="N1376" s="13" t="str">
        <f aca="false">IF(M1376=0,"Active",IF(TRIM(Raw_Data!L1376)="","Unknown",PROPER(TRIM(Raw_Data!L1376))))</f>
        <v>Active</v>
      </c>
      <c r="O1376" s="13" t="str">
        <f aca="false">IF(M1376=0,"",IF(TRIM(Raw_Data!M1376)="","Not Recorded",TRIM(Raw_Data!M1376)))</f>
        <v/>
      </c>
      <c r="P1376" s="16" t="n">
        <f aca="false">ROUND((IF(C1376="",AsOfDate,C1376)-B1376)/365.25,2)</f>
        <v>3.33</v>
      </c>
      <c r="Q1376" s="13" t="str">
        <f aca="false">IF(D1376="","Unknown",IF(D1376&lt;25,"Under 25",IF(D1376&lt;35,"25-34",IF(D1376&lt;45,"35-44",IF(D1376&lt;55,"45-54","55+")))))</f>
        <v>35-44</v>
      </c>
      <c r="R1376" s="13" t="str">
        <f aca="false">IF(P1376&lt;1,"0-1 yrs",IF(P1376&lt;3,"1-3 yrs",IF(P1376&lt;5,"3-5 yrs",IF(P1376&lt;10,"5-10 yrs","10+ yrs"))))</f>
        <v>3-5 yrs</v>
      </c>
      <c r="S1376" s="13" t="str">
        <f aca="false">IF(I1376&gt;=4,"High",IF(I1376=3,"Medium","Low"))</f>
        <v>High</v>
      </c>
      <c r="T1376" s="13" t="str">
        <f aca="false">IF(M1376=1,YEAR(C1376),"")</f>
        <v/>
      </c>
      <c r="U1376" s="13" t="str">
        <f aca="false">IF(M1376=1,YEAR(C1376)&amp;"-Q"&amp;ROUNDUP(MONTH(C1376)/3,0),"")</f>
        <v/>
      </c>
      <c r="V1376" s="13" t="str">
        <f aca="false">IF(M1376=1,MONTH(C1376),"")</f>
        <v/>
      </c>
    </row>
    <row r="1377" customFormat="false" ht="15" hidden="false" customHeight="false" outlineLevel="0" collapsed="false">
      <c r="A1377" s="13" t="str">
        <f aca="false">TRIM(Raw_Data!A1377)</f>
        <v>EMP1376</v>
      </c>
      <c r="B1377" s="14" t="n">
        <f aca="false">Raw_Data!B1377</f>
        <v>44813</v>
      </c>
      <c r="C1377" s="14" t="str">
        <f aca="false">IF(Raw_Data!C1377="","",Raw_Data!C1377)</f>
        <v/>
      </c>
      <c r="D1377" s="13" t="n">
        <f aca="false">IF(Raw_Data!D1377="","",Raw_Data!D1377)</f>
        <v>27</v>
      </c>
      <c r="E1377" s="13" t="str">
        <f aca="false">IF(UPPER(LEFT(TRIM(Raw_Data!E1377),1))="M","Male",IF(UPPER(LEFT(TRIM(Raw_Data!E1377),1))="F","Female","Unknown"))</f>
        <v>Male</v>
      </c>
      <c r="F1377" s="13" t="str">
        <f aca="false">PROPER(TRIM(SUBSTITUTE(Raw_Data!F1377,"'","")))</f>
        <v>Diploma</v>
      </c>
      <c r="G1377" s="13" t="str">
        <f aca="false">PROPER(TRIM(Raw_Data!G1377))</f>
        <v>Sales</v>
      </c>
      <c r="H1377" s="13" t="str">
        <f aca="false">PROPER(TRIM(Raw_Data!H1377))</f>
        <v>Specialist</v>
      </c>
      <c r="I1377" s="13" t="n">
        <f aca="false">IF(Raw_Data!I1377="",DefaultPerf,Raw_Data!I1377)</f>
        <v>3</v>
      </c>
      <c r="J1377" s="13" t="n">
        <f aca="false">IF(Raw_Data!J1377="",DefaultSat,Raw_Data!J1377)</f>
        <v>2</v>
      </c>
      <c r="K1377" s="15" t="n">
        <f aca="false">Raw_Data!K1377</f>
        <v>115000</v>
      </c>
      <c r="L1377" s="13" t="str">
        <f aca="false">PROPER(TRIM(Raw_Data!N1377))</f>
        <v>No</v>
      </c>
      <c r="M1377" s="13" t="n">
        <f aca="false">IF(C1377="",0,1)</f>
        <v>0</v>
      </c>
      <c r="N1377" s="13" t="str">
        <f aca="false">IF(M1377=0,"Active",IF(TRIM(Raw_Data!L1377)="","Unknown",PROPER(TRIM(Raw_Data!L1377))))</f>
        <v>Active</v>
      </c>
      <c r="O1377" s="13" t="str">
        <f aca="false">IF(M1377=0,"",IF(TRIM(Raw_Data!M1377)="","Not Recorded",TRIM(Raw_Data!M1377)))</f>
        <v/>
      </c>
      <c r="P1377" s="16" t="n">
        <f aca="false">ROUND((IF(C1377="",AsOfDate,C1377)-B1377)/365.25,2)</f>
        <v>3.31</v>
      </c>
      <c r="Q1377" s="13" t="str">
        <f aca="false">IF(D1377="","Unknown",IF(D1377&lt;25,"Under 25",IF(D1377&lt;35,"25-34",IF(D1377&lt;45,"35-44",IF(D1377&lt;55,"45-54","55+")))))</f>
        <v>25-34</v>
      </c>
      <c r="R1377" s="13" t="str">
        <f aca="false">IF(P1377&lt;1,"0-1 yrs",IF(P1377&lt;3,"1-3 yrs",IF(P1377&lt;5,"3-5 yrs",IF(P1377&lt;10,"5-10 yrs","10+ yrs"))))</f>
        <v>3-5 yrs</v>
      </c>
      <c r="S1377" s="13" t="str">
        <f aca="false">IF(I1377&gt;=4,"High",IF(I1377=3,"Medium","Low"))</f>
        <v>Medium</v>
      </c>
      <c r="T1377" s="13" t="str">
        <f aca="false">IF(M1377=1,YEAR(C1377),"")</f>
        <v/>
      </c>
      <c r="U1377" s="13" t="str">
        <f aca="false">IF(M1377=1,YEAR(C1377)&amp;"-Q"&amp;ROUNDUP(MONTH(C1377)/3,0),"")</f>
        <v/>
      </c>
      <c r="V1377" s="13" t="str">
        <f aca="false">IF(M1377=1,MONTH(C1377),"")</f>
        <v/>
      </c>
    </row>
    <row r="1378" customFormat="false" ht="15" hidden="false" customHeight="false" outlineLevel="0" collapsed="false">
      <c r="A1378" s="13" t="str">
        <f aca="false">TRIM(Raw_Data!A1378)</f>
        <v>EMP1377</v>
      </c>
      <c r="B1378" s="14" t="n">
        <f aca="false">Raw_Data!B1378</f>
        <v>44813</v>
      </c>
      <c r="C1378" s="14" t="n">
        <f aca="false">IF(Raw_Data!C1378="","",Raw_Data!C1378)</f>
        <v>45575</v>
      </c>
      <c r="D1378" s="13" t="n">
        <f aca="false">IF(Raw_Data!D1378="","",Raw_Data!D1378)</f>
        <v>27</v>
      </c>
      <c r="E1378" s="13" t="str">
        <f aca="false">IF(UPPER(LEFT(TRIM(Raw_Data!E1378),1))="M","Male",IF(UPPER(LEFT(TRIM(Raw_Data!E1378),1))="F","Female","Unknown"))</f>
        <v>Male</v>
      </c>
      <c r="F1378" s="13" t="str">
        <f aca="false">PROPER(TRIM(SUBSTITUTE(Raw_Data!F1378,"'","")))</f>
        <v>Masters</v>
      </c>
      <c r="G1378" s="13" t="str">
        <f aca="false">PROPER(TRIM(Raw_Data!G1378))</f>
        <v>Human Resources</v>
      </c>
      <c r="H1378" s="13" t="str">
        <f aca="false">PROPER(TRIM(Raw_Data!H1378))</f>
        <v>Associate</v>
      </c>
      <c r="I1378" s="13" t="n">
        <f aca="false">IF(Raw_Data!I1378="",DefaultPerf,Raw_Data!I1378)</f>
        <v>3</v>
      </c>
      <c r="J1378" s="13" t="n">
        <f aca="false">IF(Raw_Data!J1378="",DefaultSat,Raw_Data!J1378)</f>
        <v>3</v>
      </c>
      <c r="K1378" s="15" t="n">
        <f aca="false">Raw_Data!K1378</f>
        <v>43000</v>
      </c>
      <c r="L1378" s="13" t="str">
        <f aca="false">PROPER(TRIM(Raw_Data!N1378))</f>
        <v>Yes</v>
      </c>
      <c r="M1378" s="13" t="n">
        <f aca="false">IF(C1378="",0,1)</f>
        <v>1</v>
      </c>
      <c r="N1378" s="13" t="str">
        <f aca="false">IF(M1378=0,"Active",IF(TRIM(Raw_Data!L1378)="","Unknown",PROPER(TRIM(Raw_Data!L1378))))</f>
        <v>Voluntary</v>
      </c>
      <c r="O1378" s="13" t="str">
        <f aca="false">IF(M1378=0,"",IF(TRIM(Raw_Data!M1378)="","Not Recorded",TRIM(Raw_Data!M1378)))</f>
        <v>Work-Life Balance</v>
      </c>
      <c r="P1378" s="16" t="n">
        <f aca="false">ROUND((IF(C1378="",AsOfDate,C1378)-B1378)/365.25,2)</f>
        <v>2.09</v>
      </c>
      <c r="Q1378" s="13" t="str">
        <f aca="false">IF(D1378="","Unknown",IF(D1378&lt;25,"Under 25",IF(D1378&lt;35,"25-34",IF(D1378&lt;45,"35-44",IF(D1378&lt;55,"45-54","55+")))))</f>
        <v>25-34</v>
      </c>
      <c r="R1378" s="13" t="str">
        <f aca="false">IF(P1378&lt;1,"0-1 yrs",IF(P1378&lt;3,"1-3 yrs",IF(P1378&lt;5,"3-5 yrs",IF(P1378&lt;10,"5-10 yrs","10+ yrs"))))</f>
        <v>1-3 yrs</v>
      </c>
      <c r="S1378" s="13" t="str">
        <f aca="false">IF(I1378&gt;=4,"High",IF(I1378=3,"Medium","Low"))</f>
        <v>Medium</v>
      </c>
      <c r="T1378" s="13" t="n">
        <f aca="false">IF(M1378=1,YEAR(C1378),"")</f>
        <v>2024</v>
      </c>
      <c r="U1378" s="13" t="str">
        <f aca="false">IF(M1378=1,YEAR(C1378)&amp;"-Q"&amp;ROUNDUP(MONTH(C1378)/3,0),"")</f>
        <v>2024-Q4</v>
      </c>
      <c r="V1378" s="13" t="n">
        <f aca="false">IF(M1378=1,MONTH(C1378),"")</f>
        <v>10</v>
      </c>
    </row>
    <row r="1379" customFormat="false" ht="15" hidden="false" customHeight="false" outlineLevel="0" collapsed="false">
      <c r="A1379" s="13" t="str">
        <f aca="false">TRIM(Raw_Data!A1379)</f>
        <v>EMP1378</v>
      </c>
      <c r="B1379" s="14" t="n">
        <f aca="false">Raw_Data!B1379</f>
        <v>44813</v>
      </c>
      <c r="C1379" s="14" t="n">
        <f aca="false">IF(Raw_Data!C1379="","",Raw_Data!C1379)</f>
        <v>45744</v>
      </c>
      <c r="D1379" s="13" t="n">
        <f aca="false">IF(Raw_Data!D1379="","",Raw_Data!D1379)</f>
        <v>31</v>
      </c>
      <c r="E1379" s="13" t="str">
        <f aca="false">IF(UPPER(LEFT(TRIM(Raw_Data!E1379),1))="M","Male",IF(UPPER(LEFT(TRIM(Raw_Data!E1379),1))="F","Female","Unknown"))</f>
        <v>Female</v>
      </c>
      <c r="F1379" s="13" t="str">
        <f aca="false">PROPER(TRIM(SUBSTITUTE(Raw_Data!F1379,"'","")))</f>
        <v>Bachelors</v>
      </c>
      <c r="G1379" s="13" t="str">
        <f aca="false">PROPER(TRIM(Raw_Data!G1379))</f>
        <v>Sales</v>
      </c>
      <c r="H1379" s="13" t="str">
        <f aca="false">PROPER(TRIM(Raw_Data!H1379))</f>
        <v>Analyst</v>
      </c>
      <c r="I1379" s="13" t="n">
        <f aca="false">IF(Raw_Data!I1379="",DefaultPerf,Raw_Data!I1379)</f>
        <v>2</v>
      </c>
      <c r="J1379" s="13" t="n">
        <f aca="false">IF(Raw_Data!J1379="",DefaultSat,Raw_Data!J1379)</f>
        <v>2</v>
      </c>
      <c r="K1379" s="15" t="n">
        <f aca="false">Raw_Data!K1379</f>
        <v>58500</v>
      </c>
      <c r="L1379" s="13" t="str">
        <f aca="false">PROPER(TRIM(Raw_Data!N1379))</f>
        <v>No</v>
      </c>
      <c r="M1379" s="13" t="n">
        <f aca="false">IF(C1379="",0,1)</f>
        <v>1</v>
      </c>
      <c r="N1379" s="13" t="str">
        <f aca="false">IF(M1379=0,"Active",IF(TRIM(Raw_Data!L1379)="","Unknown",PROPER(TRIM(Raw_Data!L1379))))</f>
        <v>Involuntary</v>
      </c>
      <c r="O1379" s="13" t="str">
        <f aca="false">IF(M1379=0,"",IF(TRIM(Raw_Data!M1379)="","Not Recorded",TRIM(Raw_Data!M1379)))</f>
        <v>Poor Performance</v>
      </c>
      <c r="P1379" s="16" t="n">
        <f aca="false">ROUND((IF(C1379="",AsOfDate,C1379)-B1379)/365.25,2)</f>
        <v>2.55</v>
      </c>
      <c r="Q1379" s="13" t="str">
        <f aca="false">IF(D1379="","Unknown",IF(D1379&lt;25,"Under 25",IF(D1379&lt;35,"25-34",IF(D1379&lt;45,"35-44",IF(D1379&lt;55,"45-54","55+")))))</f>
        <v>25-34</v>
      </c>
      <c r="R1379" s="13" t="str">
        <f aca="false">IF(P1379&lt;1,"0-1 yrs",IF(P1379&lt;3,"1-3 yrs",IF(P1379&lt;5,"3-5 yrs",IF(P1379&lt;10,"5-10 yrs","10+ yrs"))))</f>
        <v>1-3 yrs</v>
      </c>
      <c r="S1379" s="13" t="str">
        <f aca="false">IF(I1379&gt;=4,"High",IF(I1379=3,"Medium","Low"))</f>
        <v>Low</v>
      </c>
      <c r="T1379" s="13" t="n">
        <f aca="false">IF(M1379=1,YEAR(C1379),"")</f>
        <v>2025</v>
      </c>
      <c r="U1379" s="13" t="str">
        <f aca="false">IF(M1379=1,YEAR(C1379)&amp;"-Q"&amp;ROUNDUP(MONTH(C1379)/3,0),"")</f>
        <v>2025-Q1</v>
      </c>
      <c r="V1379" s="13" t="n">
        <f aca="false">IF(M1379=1,MONTH(C1379),"")</f>
        <v>3</v>
      </c>
    </row>
    <row r="1380" customFormat="false" ht="15" hidden="false" customHeight="false" outlineLevel="0" collapsed="false">
      <c r="A1380" s="13" t="str">
        <f aca="false">TRIM(Raw_Data!A1380)</f>
        <v>EMP1379</v>
      </c>
      <c r="B1380" s="14" t="n">
        <f aca="false">Raw_Data!B1380</f>
        <v>44814</v>
      </c>
      <c r="C1380" s="14" t="n">
        <f aca="false">IF(Raw_Data!C1380="","",Raw_Data!C1380)</f>
        <v>45072</v>
      </c>
      <c r="D1380" s="13" t="n">
        <f aca="false">IF(Raw_Data!D1380="","",Raw_Data!D1380)</f>
        <v>31</v>
      </c>
      <c r="E1380" s="13" t="str">
        <f aca="false">IF(UPPER(LEFT(TRIM(Raw_Data!E1380),1))="M","Male",IF(UPPER(LEFT(TRIM(Raw_Data!E1380),1))="F","Female","Unknown"))</f>
        <v>Male</v>
      </c>
      <c r="F1380" s="13" t="str">
        <f aca="false">PROPER(TRIM(SUBSTITUTE(Raw_Data!F1380,"'","")))</f>
        <v>High School</v>
      </c>
      <c r="G1380" s="13" t="str">
        <f aca="false">PROPER(TRIM(Raw_Data!G1380))</f>
        <v>Customer Support</v>
      </c>
      <c r="H1380" s="13" t="str">
        <f aca="false">PROPER(TRIM(Raw_Data!H1380))</f>
        <v>Senior Analyst</v>
      </c>
      <c r="I1380" s="13" t="n">
        <f aca="false">IF(Raw_Data!I1380="",DefaultPerf,Raw_Data!I1380)</f>
        <v>2</v>
      </c>
      <c r="J1380" s="13" t="n">
        <f aca="false">IF(Raw_Data!J1380="",DefaultSat,Raw_Data!J1380)</f>
        <v>3</v>
      </c>
      <c r="K1380" s="15" t="n">
        <f aca="false">Raw_Data!K1380</f>
        <v>94000</v>
      </c>
      <c r="L1380" s="13" t="str">
        <f aca="false">PROPER(TRIM(Raw_Data!N1380))</f>
        <v>No</v>
      </c>
      <c r="M1380" s="13" t="n">
        <f aca="false">IF(C1380="",0,1)</f>
        <v>1</v>
      </c>
      <c r="N1380" s="13" t="str">
        <f aca="false">IF(M1380=0,"Active",IF(TRIM(Raw_Data!L1380)="","Unknown",PROPER(TRIM(Raw_Data!L1380))))</f>
        <v>Involuntary</v>
      </c>
      <c r="O1380" s="13" t="str">
        <f aca="false">IF(M1380=0,"",IF(TRIM(Raw_Data!M1380)="","Not Recorded",TRIM(Raw_Data!M1380)))</f>
        <v>Restructuring / Layoff</v>
      </c>
      <c r="P1380" s="16" t="n">
        <f aca="false">ROUND((IF(C1380="",AsOfDate,C1380)-B1380)/365.25,2)</f>
        <v>0.71</v>
      </c>
      <c r="Q1380" s="13" t="str">
        <f aca="false">IF(D1380="","Unknown",IF(D1380&lt;25,"Under 25",IF(D1380&lt;35,"25-34",IF(D1380&lt;45,"35-44",IF(D1380&lt;55,"45-54","55+")))))</f>
        <v>25-34</v>
      </c>
      <c r="R1380" s="13" t="str">
        <f aca="false">IF(P1380&lt;1,"0-1 yrs",IF(P1380&lt;3,"1-3 yrs",IF(P1380&lt;5,"3-5 yrs",IF(P1380&lt;10,"5-10 yrs","10+ yrs"))))</f>
        <v>0-1 yrs</v>
      </c>
      <c r="S1380" s="13" t="str">
        <f aca="false">IF(I1380&gt;=4,"High",IF(I1380=3,"Medium","Low"))</f>
        <v>Low</v>
      </c>
      <c r="T1380" s="13" t="n">
        <f aca="false">IF(M1380=1,YEAR(C1380),"")</f>
        <v>2023</v>
      </c>
      <c r="U1380" s="13" t="str">
        <f aca="false">IF(M1380=1,YEAR(C1380)&amp;"-Q"&amp;ROUNDUP(MONTH(C1380)/3,0),"")</f>
        <v>2023-Q2</v>
      </c>
      <c r="V1380" s="13" t="n">
        <f aca="false">IF(M1380=1,MONTH(C1380),"")</f>
        <v>5</v>
      </c>
    </row>
    <row r="1381" customFormat="false" ht="15" hidden="false" customHeight="false" outlineLevel="0" collapsed="false">
      <c r="A1381" s="13" t="str">
        <f aca="false">TRIM(Raw_Data!A1381)</f>
        <v>EMP1380</v>
      </c>
      <c r="B1381" s="14" t="n">
        <f aca="false">Raw_Data!B1381</f>
        <v>44815</v>
      </c>
      <c r="C1381" s="14" t="str">
        <f aca="false">IF(Raw_Data!C1381="","",Raw_Data!C1381)</f>
        <v/>
      </c>
      <c r="D1381" s="13" t="n">
        <f aca="false">IF(Raw_Data!D1381="","",Raw_Data!D1381)</f>
        <v>35</v>
      </c>
      <c r="E1381" s="13" t="str">
        <f aca="false">IF(UPPER(LEFT(TRIM(Raw_Data!E1381),1))="M","Male",IF(UPPER(LEFT(TRIM(Raw_Data!E1381),1))="F","Female","Unknown"))</f>
        <v>Male</v>
      </c>
      <c r="F1381" s="13" t="str">
        <f aca="false">PROPER(TRIM(SUBSTITUTE(Raw_Data!F1381,"'","")))</f>
        <v>Bachelors</v>
      </c>
      <c r="G1381" s="13" t="str">
        <f aca="false">PROPER(TRIM(Raw_Data!G1381))</f>
        <v>Finance</v>
      </c>
      <c r="H1381" s="13" t="str">
        <f aca="false">PROPER(TRIM(Raw_Data!H1381))</f>
        <v>Analyst</v>
      </c>
      <c r="I1381" s="13" t="n">
        <f aca="false">IF(Raw_Data!I1381="",DefaultPerf,Raw_Data!I1381)</f>
        <v>3</v>
      </c>
      <c r="J1381" s="13" t="n">
        <f aca="false">IF(Raw_Data!J1381="",DefaultSat,Raw_Data!J1381)</f>
        <v>2</v>
      </c>
      <c r="K1381" s="15" t="n">
        <f aca="false">Raw_Data!K1381</f>
        <v>64000</v>
      </c>
      <c r="L1381" s="13" t="str">
        <f aca="false">PROPER(TRIM(Raw_Data!N1381))</f>
        <v>No</v>
      </c>
      <c r="M1381" s="13" t="n">
        <f aca="false">IF(C1381="",0,1)</f>
        <v>0</v>
      </c>
      <c r="N1381" s="13" t="str">
        <f aca="false">IF(M1381=0,"Active",IF(TRIM(Raw_Data!L1381)="","Unknown",PROPER(TRIM(Raw_Data!L1381))))</f>
        <v>Active</v>
      </c>
      <c r="O1381" s="13" t="str">
        <f aca="false">IF(M1381=0,"",IF(TRIM(Raw_Data!M1381)="","Not Recorded",TRIM(Raw_Data!M1381)))</f>
        <v/>
      </c>
      <c r="P1381" s="16" t="n">
        <f aca="false">ROUND((IF(C1381="",AsOfDate,C1381)-B1381)/365.25,2)</f>
        <v>3.3</v>
      </c>
      <c r="Q1381" s="13" t="str">
        <f aca="false">IF(D1381="","Unknown",IF(D1381&lt;25,"Under 25",IF(D1381&lt;35,"25-34",IF(D1381&lt;45,"35-44",IF(D1381&lt;55,"45-54","55+")))))</f>
        <v>35-44</v>
      </c>
      <c r="R1381" s="13" t="str">
        <f aca="false">IF(P1381&lt;1,"0-1 yrs",IF(P1381&lt;3,"1-3 yrs",IF(P1381&lt;5,"3-5 yrs",IF(P1381&lt;10,"5-10 yrs","10+ yrs"))))</f>
        <v>3-5 yrs</v>
      </c>
      <c r="S1381" s="13" t="str">
        <f aca="false">IF(I1381&gt;=4,"High",IF(I1381=3,"Medium","Low"))</f>
        <v>Medium</v>
      </c>
      <c r="T1381" s="13" t="str">
        <f aca="false">IF(M1381=1,YEAR(C1381),"")</f>
        <v/>
      </c>
      <c r="U1381" s="13" t="str">
        <f aca="false">IF(M1381=1,YEAR(C1381)&amp;"-Q"&amp;ROUNDUP(MONTH(C1381)/3,0),"")</f>
        <v/>
      </c>
      <c r="V1381" s="13" t="str">
        <f aca="false">IF(M1381=1,MONTH(C1381),"")</f>
        <v/>
      </c>
    </row>
    <row r="1382" customFormat="false" ht="15" hidden="false" customHeight="false" outlineLevel="0" collapsed="false">
      <c r="A1382" s="13" t="str">
        <f aca="false">TRIM(Raw_Data!A1382)</f>
        <v>EMP1381</v>
      </c>
      <c r="B1382" s="14" t="n">
        <f aca="false">Raw_Data!B1382</f>
        <v>44815</v>
      </c>
      <c r="C1382" s="14" t="str">
        <f aca="false">IF(Raw_Data!C1382="","",Raw_Data!C1382)</f>
        <v/>
      </c>
      <c r="D1382" s="13" t="n">
        <f aca="false">IF(Raw_Data!D1382="","",Raw_Data!D1382)</f>
        <v>34</v>
      </c>
      <c r="E1382" s="13" t="str">
        <f aca="false">IF(UPPER(LEFT(TRIM(Raw_Data!E1382),1))="M","Male",IF(UPPER(LEFT(TRIM(Raw_Data!E1382),1))="F","Female","Unknown"))</f>
        <v>Female</v>
      </c>
      <c r="F1382" s="13" t="str">
        <f aca="false">PROPER(TRIM(SUBSTITUTE(Raw_Data!F1382,"'","")))</f>
        <v>Bachelors</v>
      </c>
      <c r="G1382" s="13" t="str">
        <f aca="false">PROPER(TRIM(Raw_Data!G1382))</f>
        <v>Human Resources</v>
      </c>
      <c r="H1382" s="13" t="str">
        <f aca="false">PROPER(TRIM(Raw_Data!H1382))</f>
        <v>Team Lead</v>
      </c>
      <c r="I1382" s="13" t="n">
        <f aca="false">IF(Raw_Data!I1382="",DefaultPerf,Raw_Data!I1382)</f>
        <v>2</v>
      </c>
      <c r="J1382" s="13" t="n">
        <f aca="false">IF(Raw_Data!J1382="",DefaultSat,Raw_Data!J1382)</f>
        <v>4</v>
      </c>
      <c r="K1382" s="15" t="n">
        <f aca="false">Raw_Data!K1382</f>
        <v>135000</v>
      </c>
      <c r="L1382" s="13" t="str">
        <f aca="false">PROPER(TRIM(Raw_Data!N1382))</f>
        <v>Yes</v>
      </c>
      <c r="M1382" s="13" t="n">
        <f aca="false">IF(C1382="",0,1)</f>
        <v>0</v>
      </c>
      <c r="N1382" s="13" t="str">
        <f aca="false">IF(M1382=0,"Active",IF(TRIM(Raw_Data!L1382)="","Unknown",PROPER(TRIM(Raw_Data!L1382))))</f>
        <v>Active</v>
      </c>
      <c r="O1382" s="13" t="str">
        <f aca="false">IF(M1382=0,"",IF(TRIM(Raw_Data!M1382)="","Not Recorded",TRIM(Raw_Data!M1382)))</f>
        <v/>
      </c>
      <c r="P1382" s="16" t="n">
        <f aca="false">ROUND((IF(C1382="",AsOfDate,C1382)-B1382)/365.25,2)</f>
        <v>3.3</v>
      </c>
      <c r="Q1382" s="13" t="str">
        <f aca="false">IF(D1382="","Unknown",IF(D1382&lt;25,"Under 25",IF(D1382&lt;35,"25-34",IF(D1382&lt;45,"35-44",IF(D1382&lt;55,"45-54","55+")))))</f>
        <v>25-34</v>
      </c>
      <c r="R1382" s="13" t="str">
        <f aca="false">IF(P1382&lt;1,"0-1 yrs",IF(P1382&lt;3,"1-3 yrs",IF(P1382&lt;5,"3-5 yrs",IF(P1382&lt;10,"5-10 yrs","10+ yrs"))))</f>
        <v>3-5 yrs</v>
      </c>
      <c r="S1382" s="13" t="str">
        <f aca="false">IF(I1382&gt;=4,"High",IF(I1382=3,"Medium","Low"))</f>
        <v>Low</v>
      </c>
      <c r="T1382" s="13" t="str">
        <f aca="false">IF(M1382=1,YEAR(C1382),"")</f>
        <v/>
      </c>
      <c r="U1382" s="13" t="str">
        <f aca="false">IF(M1382=1,YEAR(C1382)&amp;"-Q"&amp;ROUNDUP(MONTH(C1382)/3,0),"")</f>
        <v/>
      </c>
      <c r="V1382" s="13" t="str">
        <f aca="false">IF(M1382=1,MONTH(C1382),"")</f>
        <v/>
      </c>
    </row>
    <row r="1383" customFormat="false" ht="15" hidden="false" customHeight="false" outlineLevel="0" collapsed="false">
      <c r="A1383" s="13" t="str">
        <f aca="false">TRIM(Raw_Data!A1383)</f>
        <v>EMP1382</v>
      </c>
      <c r="B1383" s="14" t="n">
        <f aca="false">Raw_Data!B1383</f>
        <v>44815</v>
      </c>
      <c r="C1383" s="14" t="str">
        <f aca="false">IF(Raw_Data!C1383="","",Raw_Data!C1383)</f>
        <v/>
      </c>
      <c r="D1383" s="13" t="n">
        <f aca="false">IF(Raw_Data!D1383="","",Raw_Data!D1383)</f>
        <v>41</v>
      </c>
      <c r="E1383" s="13" t="str">
        <f aca="false">IF(UPPER(LEFT(TRIM(Raw_Data!E1383),1))="M","Male",IF(UPPER(LEFT(TRIM(Raw_Data!E1383),1))="F","Female","Unknown"))</f>
        <v>Male</v>
      </c>
      <c r="F1383" s="13" t="str">
        <f aca="false">PROPER(TRIM(SUBSTITUTE(Raw_Data!F1383,"'","")))</f>
        <v>Bachelors</v>
      </c>
      <c r="G1383" s="13" t="str">
        <f aca="false">PROPER(TRIM(Raw_Data!G1383))</f>
        <v>Customer Support</v>
      </c>
      <c r="H1383" s="13" t="str">
        <f aca="false">PROPER(TRIM(Raw_Data!H1383))</f>
        <v>Specialist</v>
      </c>
      <c r="I1383" s="13" t="n">
        <f aca="false">IF(Raw_Data!I1383="",DefaultPerf,Raw_Data!I1383)</f>
        <v>4</v>
      </c>
      <c r="J1383" s="13" t="n">
        <f aca="false">IF(Raw_Data!J1383="",DefaultSat,Raw_Data!J1383)</f>
        <v>2</v>
      </c>
      <c r="K1383" s="15" t="n">
        <f aca="false">Raw_Data!K1383</f>
        <v>82000</v>
      </c>
      <c r="L1383" s="13" t="str">
        <f aca="false">PROPER(TRIM(Raw_Data!N1383))</f>
        <v>Yes</v>
      </c>
      <c r="M1383" s="13" t="n">
        <f aca="false">IF(C1383="",0,1)</f>
        <v>0</v>
      </c>
      <c r="N1383" s="13" t="str">
        <f aca="false">IF(M1383=0,"Active",IF(TRIM(Raw_Data!L1383)="","Unknown",PROPER(TRIM(Raw_Data!L1383))))</f>
        <v>Active</v>
      </c>
      <c r="O1383" s="13" t="str">
        <f aca="false">IF(M1383=0,"",IF(TRIM(Raw_Data!M1383)="","Not Recorded",TRIM(Raw_Data!M1383)))</f>
        <v/>
      </c>
      <c r="P1383" s="16" t="n">
        <f aca="false">ROUND((IF(C1383="",AsOfDate,C1383)-B1383)/365.25,2)</f>
        <v>3.3</v>
      </c>
      <c r="Q1383" s="13" t="str">
        <f aca="false">IF(D1383="","Unknown",IF(D1383&lt;25,"Under 25",IF(D1383&lt;35,"25-34",IF(D1383&lt;45,"35-44",IF(D1383&lt;55,"45-54","55+")))))</f>
        <v>35-44</v>
      </c>
      <c r="R1383" s="13" t="str">
        <f aca="false">IF(P1383&lt;1,"0-1 yrs",IF(P1383&lt;3,"1-3 yrs",IF(P1383&lt;5,"3-5 yrs",IF(P1383&lt;10,"5-10 yrs","10+ yrs"))))</f>
        <v>3-5 yrs</v>
      </c>
      <c r="S1383" s="13" t="str">
        <f aca="false">IF(I1383&gt;=4,"High",IF(I1383=3,"Medium","Low"))</f>
        <v>High</v>
      </c>
      <c r="T1383" s="13" t="str">
        <f aca="false">IF(M1383=1,YEAR(C1383),"")</f>
        <v/>
      </c>
      <c r="U1383" s="13" t="str">
        <f aca="false">IF(M1383=1,YEAR(C1383)&amp;"-Q"&amp;ROUNDUP(MONTH(C1383)/3,0),"")</f>
        <v/>
      </c>
      <c r="V1383" s="13" t="str">
        <f aca="false">IF(M1383=1,MONTH(C1383),"")</f>
        <v/>
      </c>
    </row>
    <row r="1384" customFormat="false" ht="15" hidden="false" customHeight="false" outlineLevel="0" collapsed="false">
      <c r="A1384" s="13" t="str">
        <f aca="false">TRIM(Raw_Data!A1384)</f>
        <v>EMP1383</v>
      </c>
      <c r="B1384" s="14" t="n">
        <f aca="false">Raw_Data!B1384</f>
        <v>44820</v>
      </c>
      <c r="C1384" s="14" t="n">
        <f aca="false">IF(Raw_Data!C1384="","",Raw_Data!C1384)</f>
        <v>45772</v>
      </c>
      <c r="D1384" s="13" t="n">
        <f aca="false">IF(Raw_Data!D1384="","",Raw_Data!D1384)</f>
        <v>35</v>
      </c>
      <c r="E1384" s="13" t="str">
        <f aca="false">IF(UPPER(LEFT(TRIM(Raw_Data!E1384),1))="M","Male",IF(UPPER(LEFT(TRIM(Raw_Data!E1384),1))="F","Female","Unknown"))</f>
        <v>Male</v>
      </c>
      <c r="F1384" s="13" t="str">
        <f aca="false">PROPER(TRIM(SUBSTITUTE(Raw_Data!F1384,"'","")))</f>
        <v>Masters</v>
      </c>
      <c r="G1384" s="13" t="str">
        <f aca="false">PROPER(TRIM(Raw_Data!G1384))</f>
        <v>Customer Support</v>
      </c>
      <c r="H1384" s="13" t="str">
        <f aca="false">PROPER(TRIM(Raw_Data!H1384))</f>
        <v>Team Lead</v>
      </c>
      <c r="I1384" s="13" t="n">
        <f aca="false">IF(Raw_Data!I1384="",DefaultPerf,Raw_Data!I1384)</f>
        <v>5</v>
      </c>
      <c r="J1384" s="13" t="n">
        <f aca="false">IF(Raw_Data!J1384="",DefaultSat,Raw_Data!J1384)</f>
        <v>2</v>
      </c>
      <c r="K1384" s="15" t="n">
        <f aca="false">Raw_Data!K1384</f>
        <v>134000</v>
      </c>
      <c r="L1384" s="13" t="str">
        <f aca="false">PROPER(TRIM(Raw_Data!N1384))</f>
        <v>No</v>
      </c>
      <c r="M1384" s="13" t="n">
        <f aca="false">IF(C1384="",0,1)</f>
        <v>1</v>
      </c>
      <c r="N1384" s="13" t="str">
        <f aca="false">IF(M1384=0,"Active",IF(TRIM(Raw_Data!L1384)="","Unknown",PROPER(TRIM(Raw_Data!L1384))))</f>
        <v>Voluntary</v>
      </c>
      <c r="O1384" s="13" t="str">
        <f aca="false">IF(M1384=0,"",IF(TRIM(Raw_Data!M1384)="","Not Recorded",TRIM(Raw_Data!M1384)))</f>
        <v>Better Compensation</v>
      </c>
      <c r="P1384" s="16" t="n">
        <f aca="false">ROUND((IF(C1384="",AsOfDate,C1384)-B1384)/365.25,2)</f>
        <v>2.61</v>
      </c>
      <c r="Q1384" s="13" t="str">
        <f aca="false">IF(D1384="","Unknown",IF(D1384&lt;25,"Under 25",IF(D1384&lt;35,"25-34",IF(D1384&lt;45,"35-44",IF(D1384&lt;55,"45-54","55+")))))</f>
        <v>35-44</v>
      </c>
      <c r="R1384" s="13" t="str">
        <f aca="false">IF(P1384&lt;1,"0-1 yrs",IF(P1384&lt;3,"1-3 yrs",IF(P1384&lt;5,"3-5 yrs",IF(P1384&lt;10,"5-10 yrs","10+ yrs"))))</f>
        <v>1-3 yrs</v>
      </c>
      <c r="S1384" s="13" t="str">
        <f aca="false">IF(I1384&gt;=4,"High",IF(I1384=3,"Medium","Low"))</f>
        <v>High</v>
      </c>
      <c r="T1384" s="13" t="n">
        <f aca="false">IF(M1384=1,YEAR(C1384),"")</f>
        <v>2025</v>
      </c>
      <c r="U1384" s="13" t="str">
        <f aca="false">IF(M1384=1,YEAR(C1384)&amp;"-Q"&amp;ROUNDUP(MONTH(C1384)/3,0),"")</f>
        <v>2025-Q2</v>
      </c>
      <c r="V1384" s="13" t="n">
        <f aca="false">IF(M1384=1,MONTH(C1384),"")</f>
        <v>4</v>
      </c>
    </row>
    <row r="1385" customFormat="false" ht="15" hidden="false" customHeight="false" outlineLevel="0" collapsed="false">
      <c r="A1385" s="13" t="str">
        <f aca="false">TRIM(Raw_Data!A1385)</f>
        <v>EMP1384</v>
      </c>
      <c r="B1385" s="14" t="n">
        <f aca="false">Raw_Data!B1385</f>
        <v>44820</v>
      </c>
      <c r="C1385" s="14" t="n">
        <f aca="false">IF(Raw_Data!C1385="","",Raw_Data!C1385)</f>
        <v>45215</v>
      </c>
      <c r="D1385" s="13" t="n">
        <f aca="false">IF(Raw_Data!D1385="","",Raw_Data!D1385)</f>
        <v>36</v>
      </c>
      <c r="E1385" s="13" t="str">
        <f aca="false">IF(UPPER(LEFT(TRIM(Raw_Data!E1385),1))="M","Male",IF(UPPER(LEFT(TRIM(Raw_Data!E1385),1))="F","Female","Unknown"))</f>
        <v>Female</v>
      </c>
      <c r="F1385" s="13" t="str">
        <f aca="false">PROPER(TRIM(SUBSTITUTE(Raw_Data!F1385,"'","")))</f>
        <v>High School</v>
      </c>
      <c r="G1385" s="13" t="str">
        <f aca="false">PROPER(TRIM(Raw_Data!G1385))</f>
        <v>Operations</v>
      </c>
      <c r="H1385" s="13" t="str">
        <f aca="false">PROPER(TRIM(Raw_Data!H1385))</f>
        <v>Analyst</v>
      </c>
      <c r="I1385" s="13" t="n">
        <f aca="false">IF(Raw_Data!I1385="",DefaultPerf,Raw_Data!I1385)</f>
        <v>3</v>
      </c>
      <c r="J1385" s="13" t="n">
        <f aca="false">IF(Raw_Data!J1385="",DefaultSat,Raw_Data!J1385)</f>
        <v>4</v>
      </c>
      <c r="K1385" s="15" t="n">
        <f aca="false">Raw_Data!K1385</f>
        <v>57000</v>
      </c>
      <c r="L1385" s="13" t="str">
        <f aca="false">PROPER(TRIM(Raw_Data!N1385))</f>
        <v>No</v>
      </c>
      <c r="M1385" s="13" t="n">
        <f aca="false">IF(C1385="",0,1)</f>
        <v>1</v>
      </c>
      <c r="N1385" s="13" t="str">
        <f aca="false">IF(M1385=0,"Active",IF(TRIM(Raw_Data!L1385)="","Unknown",PROPER(TRIM(Raw_Data!L1385))))</f>
        <v>Voluntary</v>
      </c>
      <c r="O1385" s="13" t="str">
        <f aca="false">IF(M1385=0,"",IF(TRIM(Raw_Data!M1385)="","Not Recorded",TRIM(Raw_Data!M1385)))</f>
        <v>Job Dissatisfaction</v>
      </c>
      <c r="P1385" s="16" t="n">
        <f aca="false">ROUND((IF(C1385="",AsOfDate,C1385)-B1385)/365.25,2)</f>
        <v>1.08</v>
      </c>
      <c r="Q1385" s="13" t="str">
        <f aca="false">IF(D1385="","Unknown",IF(D1385&lt;25,"Under 25",IF(D1385&lt;35,"25-34",IF(D1385&lt;45,"35-44",IF(D1385&lt;55,"45-54","55+")))))</f>
        <v>35-44</v>
      </c>
      <c r="R1385" s="13" t="str">
        <f aca="false">IF(P1385&lt;1,"0-1 yrs",IF(P1385&lt;3,"1-3 yrs",IF(P1385&lt;5,"3-5 yrs",IF(P1385&lt;10,"5-10 yrs","10+ yrs"))))</f>
        <v>1-3 yrs</v>
      </c>
      <c r="S1385" s="13" t="str">
        <f aca="false">IF(I1385&gt;=4,"High",IF(I1385=3,"Medium","Low"))</f>
        <v>Medium</v>
      </c>
      <c r="T1385" s="13" t="n">
        <f aca="false">IF(M1385=1,YEAR(C1385),"")</f>
        <v>2023</v>
      </c>
      <c r="U1385" s="13" t="str">
        <f aca="false">IF(M1385=1,YEAR(C1385)&amp;"-Q"&amp;ROUNDUP(MONTH(C1385)/3,0),"")</f>
        <v>2023-Q4</v>
      </c>
      <c r="V1385" s="13" t="n">
        <f aca="false">IF(M1385=1,MONTH(C1385),"")</f>
        <v>10</v>
      </c>
    </row>
    <row r="1386" customFormat="false" ht="15" hidden="false" customHeight="false" outlineLevel="0" collapsed="false">
      <c r="A1386" s="13" t="str">
        <f aca="false">TRIM(Raw_Data!A1386)</f>
        <v>EMP1385</v>
      </c>
      <c r="B1386" s="14" t="n">
        <f aca="false">Raw_Data!B1386</f>
        <v>44826</v>
      </c>
      <c r="C1386" s="14" t="str">
        <f aca="false">IF(Raw_Data!C1386="","",Raw_Data!C1386)</f>
        <v/>
      </c>
      <c r="D1386" s="13" t="n">
        <f aca="false">IF(Raw_Data!D1386="","",Raw_Data!D1386)</f>
        <v>35</v>
      </c>
      <c r="E1386" s="13" t="str">
        <f aca="false">IF(UPPER(LEFT(TRIM(Raw_Data!E1386),1))="M","Male",IF(UPPER(LEFT(TRIM(Raw_Data!E1386),1))="F","Female","Unknown"))</f>
        <v>Female</v>
      </c>
      <c r="F1386" s="13" t="str">
        <f aca="false">PROPER(TRIM(SUBSTITUTE(Raw_Data!F1386,"'","")))</f>
        <v>Masters</v>
      </c>
      <c r="G1386" s="13" t="str">
        <f aca="false">PROPER(TRIM(Raw_Data!G1386))</f>
        <v>Human Resources</v>
      </c>
      <c r="H1386" s="13" t="str">
        <f aca="false">PROPER(TRIM(Raw_Data!H1386))</f>
        <v>Manager</v>
      </c>
      <c r="I1386" s="13" t="n">
        <f aca="false">IF(Raw_Data!I1386="",DefaultPerf,Raw_Data!I1386)</f>
        <v>4</v>
      </c>
      <c r="J1386" s="13" t="n">
        <f aca="false">IF(Raw_Data!J1386="",DefaultSat,Raw_Data!J1386)</f>
        <v>4</v>
      </c>
      <c r="K1386" s="15" t="n">
        <f aca="false">Raw_Data!K1386</f>
        <v>196000</v>
      </c>
      <c r="L1386" s="13" t="str">
        <f aca="false">PROPER(TRIM(Raw_Data!N1386))</f>
        <v>No</v>
      </c>
      <c r="M1386" s="13" t="n">
        <f aca="false">IF(C1386="",0,1)</f>
        <v>0</v>
      </c>
      <c r="N1386" s="13" t="str">
        <f aca="false">IF(M1386=0,"Active",IF(TRIM(Raw_Data!L1386)="","Unknown",PROPER(TRIM(Raw_Data!L1386))))</f>
        <v>Active</v>
      </c>
      <c r="O1386" s="13" t="str">
        <f aca="false">IF(M1386=0,"",IF(TRIM(Raw_Data!M1386)="","Not Recorded",TRIM(Raw_Data!M1386)))</f>
        <v/>
      </c>
      <c r="P1386" s="16" t="n">
        <f aca="false">ROUND((IF(C1386="",AsOfDate,C1386)-B1386)/365.25,2)</f>
        <v>3.27</v>
      </c>
      <c r="Q1386" s="13" t="str">
        <f aca="false">IF(D1386="","Unknown",IF(D1386&lt;25,"Under 25",IF(D1386&lt;35,"25-34",IF(D1386&lt;45,"35-44",IF(D1386&lt;55,"45-54","55+")))))</f>
        <v>35-44</v>
      </c>
      <c r="R1386" s="13" t="str">
        <f aca="false">IF(P1386&lt;1,"0-1 yrs",IF(P1386&lt;3,"1-3 yrs",IF(P1386&lt;5,"3-5 yrs",IF(P1386&lt;10,"5-10 yrs","10+ yrs"))))</f>
        <v>3-5 yrs</v>
      </c>
      <c r="S1386" s="13" t="str">
        <f aca="false">IF(I1386&gt;=4,"High",IF(I1386=3,"Medium","Low"))</f>
        <v>High</v>
      </c>
      <c r="T1386" s="13" t="str">
        <f aca="false">IF(M1386=1,YEAR(C1386),"")</f>
        <v/>
      </c>
      <c r="U1386" s="13" t="str">
        <f aca="false">IF(M1386=1,YEAR(C1386)&amp;"-Q"&amp;ROUNDUP(MONTH(C1386)/3,0),"")</f>
        <v/>
      </c>
      <c r="V1386" s="13" t="str">
        <f aca="false">IF(M1386=1,MONTH(C1386),"")</f>
        <v/>
      </c>
    </row>
    <row r="1387" customFormat="false" ht="15" hidden="false" customHeight="false" outlineLevel="0" collapsed="false">
      <c r="A1387" s="13" t="str">
        <f aca="false">TRIM(Raw_Data!A1387)</f>
        <v>EMP1386</v>
      </c>
      <c r="B1387" s="14" t="n">
        <f aca="false">Raw_Data!B1387</f>
        <v>44828</v>
      </c>
      <c r="C1387" s="14" t="str">
        <f aca="false">IF(Raw_Data!C1387="","",Raw_Data!C1387)</f>
        <v/>
      </c>
      <c r="D1387" s="13" t="n">
        <f aca="false">IF(Raw_Data!D1387="","",Raw_Data!D1387)</f>
        <v>37</v>
      </c>
      <c r="E1387" s="13" t="str">
        <f aca="false">IF(UPPER(LEFT(TRIM(Raw_Data!E1387),1))="M","Male",IF(UPPER(LEFT(TRIM(Raw_Data!E1387),1))="F","Female","Unknown"))</f>
        <v>Male</v>
      </c>
      <c r="F1387" s="13" t="str">
        <f aca="false">PROPER(TRIM(SUBSTITUTE(Raw_Data!F1387,"'","")))</f>
        <v>Bachelors</v>
      </c>
      <c r="G1387" s="13" t="str">
        <f aca="false">PROPER(TRIM(Raw_Data!G1387))</f>
        <v>Engineering</v>
      </c>
      <c r="H1387" s="13" t="str">
        <f aca="false">PROPER(TRIM(Raw_Data!H1387))</f>
        <v>Manager</v>
      </c>
      <c r="I1387" s="13" t="n">
        <f aca="false">IF(Raw_Data!I1387="",DefaultPerf,Raw_Data!I1387)</f>
        <v>3</v>
      </c>
      <c r="J1387" s="13" t="n">
        <f aca="false">IF(Raw_Data!J1387="",DefaultSat,Raw_Data!J1387)</f>
        <v>3</v>
      </c>
      <c r="K1387" s="15" t="n">
        <f aca="false">Raw_Data!K1387</f>
        <v>164000</v>
      </c>
      <c r="L1387" s="13" t="str">
        <f aca="false">PROPER(TRIM(Raw_Data!N1387))</f>
        <v>No</v>
      </c>
      <c r="M1387" s="13" t="n">
        <f aca="false">IF(C1387="",0,1)</f>
        <v>0</v>
      </c>
      <c r="N1387" s="13" t="str">
        <f aca="false">IF(M1387=0,"Active",IF(TRIM(Raw_Data!L1387)="","Unknown",PROPER(TRIM(Raw_Data!L1387))))</f>
        <v>Active</v>
      </c>
      <c r="O1387" s="13" t="str">
        <f aca="false">IF(M1387=0,"",IF(TRIM(Raw_Data!M1387)="","Not Recorded",TRIM(Raw_Data!M1387)))</f>
        <v/>
      </c>
      <c r="P1387" s="16" t="n">
        <f aca="false">ROUND((IF(C1387="",AsOfDate,C1387)-B1387)/365.25,2)</f>
        <v>3.27</v>
      </c>
      <c r="Q1387" s="13" t="str">
        <f aca="false">IF(D1387="","Unknown",IF(D1387&lt;25,"Under 25",IF(D1387&lt;35,"25-34",IF(D1387&lt;45,"35-44",IF(D1387&lt;55,"45-54","55+")))))</f>
        <v>35-44</v>
      </c>
      <c r="R1387" s="13" t="str">
        <f aca="false">IF(P1387&lt;1,"0-1 yrs",IF(P1387&lt;3,"1-3 yrs",IF(P1387&lt;5,"3-5 yrs",IF(P1387&lt;10,"5-10 yrs","10+ yrs"))))</f>
        <v>3-5 yrs</v>
      </c>
      <c r="S1387" s="13" t="str">
        <f aca="false">IF(I1387&gt;=4,"High",IF(I1387=3,"Medium","Low"))</f>
        <v>Medium</v>
      </c>
      <c r="T1387" s="13" t="str">
        <f aca="false">IF(M1387=1,YEAR(C1387),"")</f>
        <v/>
      </c>
      <c r="U1387" s="13" t="str">
        <f aca="false">IF(M1387=1,YEAR(C1387)&amp;"-Q"&amp;ROUNDUP(MONTH(C1387)/3,0),"")</f>
        <v/>
      </c>
      <c r="V1387" s="13" t="str">
        <f aca="false">IF(M1387=1,MONTH(C1387),"")</f>
        <v/>
      </c>
    </row>
    <row r="1388" customFormat="false" ht="15" hidden="false" customHeight="false" outlineLevel="0" collapsed="false">
      <c r="A1388" s="13" t="str">
        <f aca="false">TRIM(Raw_Data!A1388)</f>
        <v>EMP1387</v>
      </c>
      <c r="B1388" s="14" t="n">
        <f aca="false">Raw_Data!B1388</f>
        <v>44830</v>
      </c>
      <c r="C1388" s="14" t="str">
        <f aca="false">IF(Raw_Data!C1388="","",Raw_Data!C1388)</f>
        <v/>
      </c>
      <c r="D1388" s="13" t="n">
        <f aca="false">IF(Raw_Data!D1388="","",Raw_Data!D1388)</f>
        <v>30</v>
      </c>
      <c r="E1388" s="13" t="str">
        <f aca="false">IF(UPPER(LEFT(TRIM(Raw_Data!E1388),1))="M","Male",IF(UPPER(LEFT(TRIM(Raw_Data!E1388),1))="F","Female","Unknown"))</f>
        <v>Female</v>
      </c>
      <c r="F1388" s="13" t="str">
        <f aca="false">PROPER(TRIM(SUBSTITUTE(Raw_Data!F1388,"'","")))</f>
        <v>High School</v>
      </c>
      <c r="G1388" s="13" t="str">
        <f aca="false">PROPER(TRIM(Raw_Data!G1388))</f>
        <v>Operations</v>
      </c>
      <c r="H1388" s="13" t="str">
        <f aca="false">PROPER(TRIM(Raw_Data!H1388))</f>
        <v>Senior Analyst</v>
      </c>
      <c r="I1388" s="13" t="n">
        <f aca="false">IF(Raw_Data!I1388="",DefaultPerf,Raw_Data!I1388)</f>
        <v>2</v>
      </c>
      <c r="J1388" s="13" t="n">
        <f aca="false">IF(Raw_Data!J1388="",DefaultSat,Raw_Data!J1388)</f>
        <v>2</v>
      </c>
      <c r="K1388" s="15" t="n">
        <f aca="false">Raw_Data!K1388</f>
        <v>91000</v>
      </c>
      <c r="L1388" s="13" t="str">
        <f aca="false">PROPER(TRIM(Raw_Data!N1388))</f>
        <v>No</v>
      </c>
      <c r="M1388" s="13" t="n">
        <f aca="false">IF(C1388="",0,1)</f>
        <v>0</v>
      </c>
      <c r="N1388" s="13" t="str">
        <f aca="false">IF(M1388=0,"Active",IF(TRIM(Raw_Data!L1388)="","Unknown",PROPER(TRIM(Raw_Data!L1388))))</f>
        <v>Active</v>
      </c>
      <c r="O1388" s="13" t="str">
        <f aca="false">IF(M1388=0,"",IF(TRIM(Raw_Data!M1388)="","Not Recorded",TRIM(Raw_Data!M1388)))</f>
        <v/>
      </c>
      <c r="P1388" s="16" t="n">
        <f aca="false">ROUND((IF(C1388="",AsOfDate,C1388)-B1388)/365.25,2)</f>
        <v>3.26</v>
      </c>
      <c r="Q1388" s="13" t="str">
        <f aca="false">IF(D1388="","Unknown",IF(D1388&lt;25,"Under 25",IF(D1388&lt;35,"25-34",IF(D1388&lt;45,"35-44",IF(D1388&lt;55,"45-54","55+")))))</f>
        <v>25-34</v>
      </c>
      <c r="R1388" s="13" t="str">
        <f aca="false">IF(P1388&lt;1,"0-1 yrs",IF(P1388&lt;3,"1-3 yrs",IF(P1388&lt;5,"3-5 yrs",IF(P1388&lt;10,"5-10 yrs","10+ yrs"))))</f>
        <v>3-5 yrs</v>
      </c>
      <c r="S1388" s="13" t="str">
        <f aca="false">IF(I1388&gt;=4,"High",IF(I1388=3,"Medium","Low"))</f>
        <v>Low</v>
      </c>
      <c r="T1388" s="13" t="str">
        <f aca="false">IF(M1388=1,YEAR(C1388),"")</f>
        <v/>
      </c>
      <c r="U1388" s="13" t="str">
        <f aca="false">IF(M1388=1,YEAR(C1388)&amp;"-Q"&amp;ROUNDUP(MONTH(C1388)/3,0),"")</f>
        <v/>
      </c>
      <c r="V1388" s="13" t="str">
        <f aca="false">IF(M1388=1,MONTH(C1388),"")</f>
        <v/>
      </c>
    </row>
    <row r="1389" customFormat="false" ht="15" hidden="false" customHeight="false" outlineLevel="0" collapsed="false">
      <c r="A1389" s="13" t="str">
        <f aca="false">TRIM(Raw_Data!A1389)</f>
        <v>EMP1388</v>
      </c>
      <c r="B1389" s="14" t="n">
        <f aca="false">Raw_Data!B1389</f>
        <v>44835</v>
      </c>
      <c r="C1389" s="14" t="n">
        <f aca="false">IF(Raw_Data!C1389="","",Raw_Data!C1389)</f>
        <v>45941</v>
      </c>
      <c r="D1389" s="13" t="n">
        <f aca="false">IF(Raw_Data!D1389="","",Raw_Data!D1389)</f>
        <v>31</v>
      </c>
      <c r="E1389" s="13" t="str">
        <f aca="false">IF(UPPER(LEFT(TRIM(Raw_Data!E1389),1))="M","Male",IF(UPPER(LEFT(TRIM(Raw_Data!E1389),1))="F","Female","Unknown"))</f>
        <v>Male</v>
      </c>
      <c r="F1389" s="13" t="str">
        <f aca="false">PROPER(TRIM(SUBSTITUTE(Raw_Data!F1389,"'","")))</f>
        <v>Diploma</v>
      </c>
      <c r="G1389" s="13" t="str">
        <f aca="false">PROPER(TRIM(Raw_Data!G1389))</f>
        <v>Customer Support</v>
      </c>
      <c r="H1389" s="13" t="str">
        <f aca="false">PROPER(TRIM(Raw_Data!H1389))</f>
        <v>Specialist</v>
      </c>
      <c r="I1389" s="13" t="n">
        <f aca="false">IF(Raw_Data!I1389="",DefaultPerf,Raw_Data!I1389)</f>
        <v>3</v>
      </c>
      <c r="J1389" s="13" t="n">
        <f aca="false">IF(Raw_Data!J1389="",DefaultSat,Raw_Data!J1389)</f>
        <v>4</v>
      </c>
      <c r="K1389" s="15" t="n">
        <f aca="false">Raw_Data!K1389</f>
        <v>102500</v>
      </c>
      <c r="L1389" s="13" t="str">
        <f aca="false">PROPER(TRIM(Raw_Data!N1389))</f>
        <v>No</v>
      </c>
      <c r="M1389" s="13" t="n">
        <f aca="false">IF(C1389="",0,1)</f>
        <v>1</v>
      </c>
      <c r="N1389" s="13" t="str">
        <f aca="false">IF(M1389=0,"Active",IF(TRIM(Raw_Data!L1389)="","Unknown",PROPER(TRIM(Raw_Data!L1389))))</f>
        <v>Voluntary</v>
      </c>
      <c r="O1389" s="13" t="str">
        <f aca="false">IF(M1389=0,"",IF(TRIM(Raw_Data!M1389)="","Not Recorded",TRIM(Raw_Data!M1389)))</f>
        <v>Personal Reasons</v>
      </c>
      <c r="P1389" s="16" t="n">
        <f aca="false">ROUND((IF(C1389="",AsOfDate,C1389)-B1389)/365.25,2)</f>
        <v>3.03</v>
      </c>
      <c r="Q1389" s="13" t="str">
        <f aca="false">IF(D1389="","Unknown",IF(D1389&lt;25,"Under 25",IF(D1389&lt;35,"25-34",IF(D1389&lt;45,"35-44",IF(D1389&lt;55,"45-54","55+")))))</f>
        <v>25-34</v>
      </c>
      <c r="R1389" s="13" t="str">
        <f aca="false">IF(P1389&lt;1,"0-1 yrs",IF(P1389&lt;3,"1-3 yrs",IF(P1389&lt;5,"3-5 yrs",IF(P1389&lt;10,"5-10 yrs","10+ yrs"))))</f>
        <v>3-5 yrs</v>
      </c>
      <c r="S1389" s="13" t="str">
        <f aca="false">IF(I1389&gt;=4,"High",IF(I1389=3,"Medium","Low"))</f>
        <v>Medium</v>
      </c>
      <c r="T1389" s="13" t="n">
        <f aca="false">IF(M1389=1,YEAR(C1389),"")</f>
        <v>2025</v>
      </c>
      <c r="U1389" s="13" t="str">
        <f aca="false">IF(M1389=1,YEAR(C1389)&amp;"-Q"&amp;ROUNDUP(MONTH(C1389)/3,0),"")</f>
        <v>2025-Q4</v>
      </c>
      <c r="V1389" s="13" t="n">
        <f aca="false">IF(M1389=1,MONTH(C1389),"")</f>
        <v>10</v>
      </c>
    </row>
    <row r="1390" customFormat="false" ht="15" hidden="false" customHeight="false" outlineLevel="0" collapsed="false">
      <c r="A1390" s="13" t="str">
        <f aca="false">TRIM(Raw_Data!A1390)</f>
        <v>EMP1389</v>
      </c>
      <c r="B1390" s="14" t="n">
        <f aca="false">Raw_Data!B1390</f>
        <v>44836</v>
      </c>
      <c r="C1390" s="14" t="str">
        <f aca="false">IF(Raw_Data!C1390="","",Raw_Data!C1390)</f>
        <v/>
      </c>
      <c r="D1390" s="13" t="n">
        <f aca="false">IF(Raw_Data!D1390="","",Raw_Data!D1390)</f>
        <v>39</v>
      </c>
      <c r="E1390" s="13" t="str">
        <f aca="false">IF(UPPER(LEFT(TRIM(Raw_Data!E1390),1))="M","Male",IF(UPPER(LEFT(TRIM(Raw_Data!E1390),1))="F","Female","Unknown"))</f>
        <v>Male</v>
      </c>
      <c r="F1390" s="13" t="str">
        <f aca="false">PROPER(TRIM(SUBSTITUTE(Raw_Data!F1390,"'","")))</f>
        <v>Doctorate</v>
      </c>
      <c r="G1390" s="13" t="str">
        <f aca="false">PROPER(TRIM(Raw_Data!G1390))</f>
        <v>Engineering</v>
      </c>
      <c r="H1390" s="13" t="str">
        <f aca="false">PROPER(TRIM(Raw_Data!H1390))</f>
        <v>Associate</v>
      </c>
      <c r="I1390" s="13" t="n">
        <f aca="false">IF(Raw_Data!I1390="",DefaultPerf,Raw_Data!I1390)</f>
        <v>4</v>
      </c>
      <c r="J1390" s="13" t="n">
        <f aca="false">IF(Raw_Data!J1390="",DefaultSat,Raw_Data!J1390)</f>
        <v>4</v>
      </c>
      <c r="K1390" s="15" t="n">
        <f aca="false">Raw_Data!K1390</f>
        <v>38000</v>
      </c>
      <c r="L1390" s="13" t="str">
        <f aca="false">PROPER(TRIM(Raw_Data!N1390))</f>
        <v>Yes</v>
      </c>
      <c r="M1390" s="13" t="n">
        <f aca="false">IF(C1390="",0,1)</f>
        <v>0</v>
      </c>
      <c r="N1390" s="13" t="str">
        <f aca="false">IF(M1390=0,"Active",IF(TRIM(Raw_Data!L1390)="","Unknown",PROPER(TRIM(Raw_Data!L1390))))</f>
        <v>Active</v>
      </c>
      <c r="O1390" s="13" t="str">
        <f aca="false">IF(M1390=0,"",IF(TRIM(Raw_Data!M1390)="","Not Recorded",TRIM(Raw_Data!M1390)))</f>
        <v/>
      </c>
      <c r="P1390" s="16" t="n">
        <f aca="false">ROUND((IF(C1390="",AsOfDate,C1390)-B1390)/365.25,2)</f>
        <v>3.25</v>
      </c>
      <c r="Q1390" s="13" t="str">
        <f aca="false">IF(D1390="","Unknown",IF(D1390&lt;25,"Under 25",IF(D1390&lt;35,"25-34",IF(D1390&lt;45,"35-44",IF(D1390&lt;55,"45-54","55+")))))</f>
        <v>35-44</v>
      </c>
      <c r="R1390" s="13" t="str">
        <f aca="false">IF(P1390&lt;1,"0-1 yrs",IF(P1390&lt;3,"1-3 yrs",IF(P1390&lt;5,"3-5 yrs",IF(P1390&lt;10,"5-10 yrs","10+ yrs"))))</f>
        <v>3-5 yrs</v>
      </c>
      <c r="S1390" s="13" t="str">
        <f aca="false">IF(I1390&gt;=4,"High",IF(I1390=3,"Medium","Low"))</f>
        <v>High</v>
      </c>
      <c r="T1390" s="13" t="str">
        <f aca="false">IF(M1390=1,YEAR(C1390),"")</f>
        <v/>
      </c>
      <c r="U1390" s="13" t="str">
        <f aca="false">IF(M1390=1,YEAR(C1390)&amp;"-Q"&amp;ROUNDUP(MONTH(C1390)/3,0),"")</f>
        <v/>
      </c>
      <c r="V1390" s="13" t="str">
        <f aca="false">IF(M1390=1,MONTH(C1390),"")</f>
        <v/>
      </c>
    </row>
    <row r="1391" customFormat="false" ht="15" hidden="false" customHeight="false" outlineLevel="0" collapsed="false">
      <c r="A1391" s="13" t="str">
        <f aca="false">TRIM(Raw_Data!A1391)</f>
        <v>EMP1390</v>
      </c>
      <c r="B1391" s="14" t="n">
        <f aca="false">Raw_Data!B1391</f>
        <v>44836</v>
      </c>
      <c r="C1391" s="14" t="str">
        <f aca="false">IF(Raw_Data!C1391="","",Raw_Data!C1391)</f>
        <v/>
      </c>
      <c r="D1391" s="13" t="n">
        <f aca="false">IF(Raw_Data!D1391="","",Raw_Data!D1391)</f>
        <v>25</v>
      </c>
      <c r="E1391" s="13" t="str">
        <f aca="false">IF(UPPER(LEFT(TRIM(Raw_Data!E1391),1))="M","Male",IF(UPPER(LEFT(TRIM(Raw_Data!E1391),1))="F","Female","Unknown"))</f>
        <v>Female</v>
      </c>
      <c r="F1391" s="13" t="str">
        <f aca="false">PROPER(TRIM(SUBSTITUTE(Raw_Data!F1391,"'","")))</f>
        <v>Bachelors</v>
      </c>
      <c r="G1391" s="13" t="str">
        <f aca="false">PROPER(TRIM(Raw_Data!G1391))</f>
        <v>Engineering</v>
      </c>
      <c r="H1391" s="13" t="str">
        <f aca="false">PROPER(TRIM(Raw_Data!H1391))</f>
        <v>Manager</v>
      </c>
      <c r="I1391" s="13" t="n">
        <f aca="false">IF(Raw_Data!I1391="",DefaultPerf,Raw_Data!I1391)</f>
        <v>3</v>
      </c>
      <c r="J1391" s="13" t="n">
        <f aca="false">IF(Raw_Data!J1391="",DefaultSat,Raw_Data!J1391)</f>
        <v>3</v>
      </c>
      <c r="K1391" s="15" t="n">
        <f aca="false">Raw_Data!K1391</f>
        <v>164000</v>
      </c>
      <c r="L1391" s="13" t="str">
        <f aca="false">PROPER(TRIM(Raw_Data!N1391))</f>
        <v>Yes</v>
      </c>
      <c r="M1391" s="13" t="n">
        <f aca="false">IF(C1391="",0,1)</f>
        <v>0</v>
      </c>
      <c r="N1391" s="13" t="str">
        <f aca="false">IF(M1391=0,"Active",IF(TRIM(Raw_Data!L1391)="","Unknown",PROPER(TRIM(Raw_Data!L1391))))</f>
        <v>Active</v>
      </c>
      <c r="O1391" s="13" t="str">
        <f aca="false">IF(M1391=0,"",IF(TRIM(Raw_Data!M1391)="","Not Recorded",TRIM(Raw_Data!M1391)))</f>
        <v/>
      </c>
      <c r="P1391" s="16" t="n">
        <f aca="false">ROUND((IF(C1391="",AsOfDate,C1391)-B1391)/365.25,2)</f>
        <v>3.25</v>
      </c>
      <c r="Q1391" s="13" t="str">
        <f aca="false">IF(D1391="","Unknown",IF(D1391&lt;25,"Under 25",IF(D1391&lt;35,"25-34",IF(D1391&lt;45,"35-44",IF(D1391&lt;55,"45-54","55+")))))</f>
        <v>25-34</v>
      </c>
      <c r="R1391" s="13" t="str">
        <f aca="false">IF(P1391&lt;1,"0-1 yrs",IF(P1391&lt;3,"1-3 yrs",IF(P1391&lt;5,"3-5 yrs",IF(P1391&lt;10,"5-10 yrs","10+ yrs"))))</f>
        <v>3-5 yrs</v>
      </c>
      <c r="S1391" s="13" t="str">
        <f aca="false">IF(I1391&gt;=4,"High",IF(I1391=3,"Medium","Low"))</f>
        <v>Medium</v>
      </c>
      <c r="T1391" s="13" t="str">
        <f aca="false">IF(M1391=1,YEAR(C1391),"")</f>
        <v/>
      </c>
      <c r="U1391" s="13" t="str">
        <f aca="false">IF(M1391=1,YEAR(C1391)&amp;"-Q"&amp;ROUNDUP(MONTH(C1391)/3,0),"")</f>
        <v/>
      </c>
      <c r="V1391" s="13" t="str">
        <f aca="false">IF(M1391=1,MONTH(C1391),"")</f>
        <v/>
      </c>
    </row>
    <row r="1392" customFormat="false" ht="15" hidden="false" customHeight="false" outlineLevel="0" collapsed="false">
      <c r="A1392" s="13" t="str">
        <f aca="false">TRIM(Raw_Data!A1392)</f>
        <v>EMP1391</v>
      </c>
      <c r="B1392" s="14" t="n">
        <f aca="false">Raw_Data!B1392</f>
        <v>44836</v>
      </c>
      <c r="C1392" s="14" t="str">
        <f aca="false">IF(Raw_Data!C1392="","",Raw_Data!C1392)</f>
        <v/>
      </c>
      <c r="D1392" s="13" t="n">
        <f aca="false">IF(Raw_Data!D1392="","",Raw_Data!D1392)</f>
        <v>27</v>
      </c>
      <c r="E1392" s="13" t="str">
        <f aca="false">IF(UPPER(LEFT(TRIM(Raw_Data!E1392),1))="M","Male",IF(UPPER(LEFT(TRIM(Raw_Data!E1392),1))="F","Female","Unknown"))</f>
        <v>Male</v>
      </c>
      <c r="F1392" s="13" t="str">
        <f aca="false">PROPER(TRIM(SUBSTITUTE(Raw_Data!F1392,"'","")))</f>
        <v>Bachelors</v>
      </c>
      <c r="G1392" s="13" t="str">
        <f aca="false">PROPER(TRIM(Raw_Data!G1392))</f>
        <v>Engineering</v>
      </c>
      <c r="H1392" s="13" t="str">
        <f aca="false">PROPER(TRIM(Raw_Data!H1392))</f>
        <v>Associate</v>
      </c>
      <c r="I1392" s="13" t="n">
        <f aca="false">IF(Raw_Data!I1392="",DefaultPerf,Raw_Data!I1392)</f>
        <v>3</v>
      </c>
      <c r="J1392" s="13" t="n">
        <f aca="false">IF(Raw_Data!J1392="",DefaultSat,Raw_Data!J1392)</f>
        <v>3</v>
      </c>
      <c r="K1392" s="15" t="n">
        <f aca="false">Raw_Data!K1392</f>
        <v>35500</v>
      </c>
      <c r="L1392" s="13" t="str">
        <f aca="false">PROPER(TRIM(Raw_Data!N1392))</f>
        <v>No</v>
      </c>
      <c r="M1392" s="13" t="n">
        <f aca="false">IF(C1392="",0,1)</f>
        <v>0</v>
      </c>
      <c r="N1392" s="13" t="str">
        <f aca="false">IF(M1392=0,"Active",IF(TRIM(Raw_Data!L1392)="","Unknown",PROPER(TRIM(Raw_Data!L1392))))</f>
        <v>Active</v>
      </c>
      <c r="O1392" s="13" t="str">
        <f aca="false">IF(M1392=0,"",IF(TRIM(Raw_Data!M1392)="","Not Recorded",TRIM(Raw_Data!M1392)))</f>
        <v/>
      </c>
      <c r="P1392" s="16" t="n">
        <f aca="false">ROUND((IF(C1392="",AsOfDate,C1392)-B1392)/365.25,2)</f>
        <v>3.25</v>
      </c>
      <c r="Q1392" s="13" t="str">
        <f aca="false">IF(D1392="","Unknown",IF(D1392&lt;25,"Under 25",IF(D1392&lt;35,"25-34",IF(D1392&lt;45,"35-44",IF(D1392&lt;55,"45-54","55+")))))</f>
        <v>25-34</v>
      </c>
      <c r="R1392" s="13" t="str">
        <f aca="false">IF(P1392&lt;1,"0-1 yrs",IF(P1392&lt;3,"1-3 yrs",IF(P1392&lt;5,"3-5 yrs",IF(P1392&lt;10,"5-10 yrs","10+ yrs"))))</f>
        <v>3-5 yrs</v>
      </c>
      <c r="S1392" s="13" t="str">
        <f aca="false">IF(I1392&gt;=4,"High",IF(I1392=3,"Medium","Low"))</f>
        <v>Medium</v>
      </c>
      <c r="T1392" s="13" t="str">
        <f aca="false">IF(M1392=1,YEAR(C1392),"")</f>
        <v/>
      </c>
      <c r="U1392" s="13" t="str">
        <f aca="false">IF(M1392=1,YEAR(C1392)&amp;"-Q"&amp;ROUNDUP(MONTH(C1392)/3,0),"")</f>
        <v/>
      </c>
      <c r="V1392" s="13" t="str">
        <f aca="false">IF(M1392=1,MONTH(C1392),"")</f>
        <v/>
      </c>
    </row>
    <row r="1393" customFormat="false" ht="15" hidden="false" customHeight="false" outlineLevel="0" collapsed="false">
      <c r="A1393" s="13" t="str">
        <f aca="false">TRIM(Raw_Data!A1393)</f>
        <v>EMP1392</v>
      </c>
      <c r="B1393" s="14" t="n">
        <f aca="false">Raw_Data!B1393</f>
        <v>44837</v>
      </c>
      <c r="C1393" s="14" t="n">
        <f aca="false">IF(Raw_Data!C1393="","",Raw_Data!C1393)</f>
        <v>45467</v>
      </c>
      <c r="D1393" s="13" t="n">
        <f aca="false">IF(Raw_Data!D1393="","",Raw_Data!D1393)</f>
        <v>38</v>
      </c>
      <c r="E1393" s="13" t="str">
        <f aca="false">IF(UPPER(LEFT(TRIM(Raw_Data!E1393),1))="M","Male",IF(UPPER(LEFT(TRIM(Raw_Data!E1393),1))="F","Female","Unknown"))</f>
        <v>Male</v>
      </c>
      <c r="F1393" s="13" t="str">
        <f aca="false">PROPER(TRIM(SUBSTITUTE(Raw_Data!F1393,"'","")))</f>
        <v>Masters</v>
      </c>
      <c r="G1393" s="13" t="str">
        <f aca="false">PROPER(TRIM(Raw_Data!G1393))</f>
        <v>Customer Support</v>
      </c>
      <c r="H1393" s="13" t="str">
        <f aca="false">PROPER(TRIM(Raw_Data!H1393))</f>
        <v>Specialist</v>
      </c>
      <c r="I1393" s="13" t="n">
        <f aca="false">IF(Raw_Data!I1393="",DefaultPerf,Raw_Data!I1393)</f>
        <v>3</v>
      </c>
      <c r="J1393" s="13" t="n">
        <f aca="false">IF(Raw_Data!J1393="",DefaultSat,Raw_Data!J1393)</f>
        <v>3</v>
      </c>
      <c r="K1393" s="15" t="n">
        <f aca="false">Raw_Data!K1393</f>
        <v>107000</v>
      </c>
      <c r="L1393" s="13" t="str">
        <f aca="false">PROPER(TRIM(Raw_Data!N1393))</f>
        <v>No</v>
      </c>
      <c r="M1393" s="13" t="n">
        <f aca="false">IF(C1393="",0,1)</f>
        <v>1</v>
      </c>
      <c r="N1393" s="13" t="str">
        <f aca="false">IF(M1393=0,"Active",IF(TRIM(Raw_Data!L1393)="","Unknown",PROPER(TRIM(Raw_Data!L1393))))</f>
        <v>Voluntary</v>
      </c>
      <c r="O1393" s="13" t="str">
        <f aca="false">IF(M1393=0,"",IF(TRIM(Raw_Data!M1393)="","Not Recorded",TRIM(Raw_Data!M1393)))</f>
        <v>Career Growth</v>
      </c>
      <c r="P1393" s="16" t="n">
        <f aca="false">ROUND((IF(C1393="",AsOfDate,C1393)-B1393)/365.25,2)</f>
        <v>1.72</v>
      </c>
      <c r="Q1393" s="13" t="str">
        <f aca="false">IF(D1393="","Unknown",IF(D1393&lt;25,"Under 25",IF(D1393&lt;35,"25-34",IF(D1393&lt;45,"35-44",IF(D1393&lt;55,"45-54","55+")))))</f>
        <v>35-44</v>
      </c>
      <c r="R1393" s="13" t="str">
        <f aca="false">IF(P1393&lt;1,"0-1 yrs",IF(P1393&lt;3,"1-3 yrs",IF(P1393&lt;5,"3-5 yrs",IF(P1393&lt;10,"5-10 yrs","10+ yrs"))))</f>
        <v>1-3 yrs</v>
      </c>
      <c r="S1393" s="13" t="str">
        <f aca="false">IF(I1393&gt;=4,"High",IF(I1393=3,"Medium","Low"))</f>
        <v>Medium</v>
      </c>
      <c r="T1393" s="13" t="n">
        <f aca="false">IF(M1393=1,YEAR(C1393),"")</f>
        <v>2024</v>
      </c>
      <c r="U1393" s="13" t="str">
        <f aca="false">IF(M1393=1,YEAR(C1393)&amp;"-Q"&amp;ROUNDUP(MONTH(C1393)/3,0),"")</f>
        <v>2024-Q2</v>
      </c>
      <c r="V1393" s="13" t="n">
        <f aca="false">IF(M1393=1,MONTH(C1393),"")</f>
        <v>6</v>
      </c>
    </row>
    <row r="1394" customFormat="false" ht="15" hidden="false" customHeight="false" outlineLevel="0" collapsed="false">
      <c r="A1394" s="13" t="str">
        <f aca="false">TRIM(Raw_Data!A1394)</f>
        <v>EMP1393</v>
      </c>
      <c r="B1394" s="14" t="n">
        <f aca="false">Raw_Data!B1394</f>
        <v>44837</v>
      </c>
      <c r="C1394" s="14" t="str">
        <f aca="false">IF(Raw_Data!C1394="","",Raw_Data!C1394)</f>
        <v/>
      </c>
      <c r="D1394" s="13" t="n">
        <f aca="false">IF(Raw_Data!D1394="","",Raw_Data!D1394)</f>
        <v>36</v>
      </c>
      <c r="E1394" s="13" t="str">
        <f aca="false">IF(UPPER(LEFT(TRIM(Raw_Data!E1394),1))="M","Male",IF(UPPER(LEFT(TRIM(Raw_Data!E1394),1))="F","Female","Unknown"))</f>
        <v>Male</v>
      </c>
      <c r="F1394" s="13" t="str">
        <f aca="false">PROPER(TRIM(SUBSTITUTE(Raw_Data!F1394,"'","")))</f>
        <v>High School</v>
      </c>
      <c r="G1394" s="13" t="str">
        <f aca="false">PROPER(TRIM(Raw_Data!G1394))</f>
        <v>Operations</v>
      </c>
      <c r="H1394" s="13" t="str">
        <f aca="false">PROPER(TRIM(Raw_Data!H1394))</f>
        <v>Associate</v>
      </c>
      <c r="I1394" s="13" t="n">
        <f aca="false">IF(Raw_Data!I1394="",DefaultPerf,Raw_Data!I1394)</f>
        <v>4</v>
      </c>
      <c r="J1394" s="13" t="n">
        <f aca="false">IF(Raw_Data!J1394="",DefaultSat,Raw_Data!J1394)</f>
        <v>3</v>
      </c>
      <c r="K1394" s="15" t="n">
        <f aca="false">Raw_Data!K1394</f>
        <v>50500</v>
      </c>
      <c r="L1394" s="13" t="str">
        <f aca="false">PROPER(TRIM(Raw_Data!N1394))</f>
        <v>No</v>
      </c>
      <c r="M1394" s="13" t="n">
        <f aca="false">IF(C1394="",0,1)</f>
        <v>0</v>
      </c>
      <c r="N1394" s="13" t="str">
        <f aca="false">IF(M1394=0,"Active",IF(TRIM(Raw_Data!L1394)="","Unknown",PROPER(TRIM(Raw_Data!L1394))))</f>
        <v>Active</v>
      </c>
      <c r="O1394" s="13" t="str">
        <f aca="false">IF(M1394=0,"",IF(TRIM(Raw_Data!M1394)="","Not Recorded",TRIM(Raw_Data!M1394)))</f>
        <v/>
      </c>
      <c r="P1394" s="16" t="n">
        <f aca="false">ROUND((IF(C1394="",AsOfDate,C1394)-B1394)/365.25,2)</f>
        <v>3.24</v>
      </c>
      <c r="Q1394" s="13" t="str">
        <f aca="false">IF(D1394="","Unknown",IF(D1394&lt;25,"Under 25",IF(D1394&lt;35,"25-34",IF(D1394&lt;45,"35-44",IF(D1394&lt;55,"45-54","55+")))))</f>
        <v>35-44</v>
      </c>
      <c r="R1394" s="13" t="str">
        <f aca="false">IF(P1394&lt;1,"0-1 yrs",IF(P1394&lt;3,"1-3 yrs",IF(P1394&lt;5,"3-5 yrs",IF(P1394&lt;10,"5-10 yrs","10+ yrs"))))</f>
        <v>3-5 yrs</v>
      </c>
      <c r="S1394" s="13" t="str">
        <f aca="false">IF(I1394&gt;=4,"High",IF(I1394=3,"Medium","Low"))</f>
        <v>High</v>
      </c>
      <c r="T1394" s="13" t="str">
        <f aca="false">IF(M1394=1,YEAR(C1394),"")</f>
        <v/>
      </c>
      <c r="U1394" s="13" t="str">
        <f aca="false">IF(M1394=1,YEAR(C1394)&amp;"-Q"&amp;ROUNDUP(MONTH(C1394)/3,0),"")</f>
        <v/>
      </c>
      <c r="V1394" s="13" t="str">
        <f aca="false">IF(M1394=1,MONTH(C1394),"")</f>
        <v/>
      </c>
    </row>
    <row r="1395" customFormat="false" ht="15" hidden="false" customHeight="false" outlineLevel="0" collapsed="false">
      <c r="A1395" s="13" t="str">
        <f aca="false">TRIM(Raw_Data!A1395)</f>
        <v>EMP1394</v>
      </c>
      <c r="B1395" s="14" t="n">
        <f aca="false">Raw_Data!B1395</f>
        <v>44840</v>
      </c>
      <c r="C1395" s="14" t="n">
        <f aca="false">IF(Raw_Data!C1395="","",Raw_Data!C1395)</f>
        <v>45142</v>
      </c>
      <c r="D1395" s="13" t="n">
        <f aca="false">IF(Raw_Data!D1395="","",Raw_Data!D1395)</f>
        <v>27</v>
      </c>
      <c r="E1395" s="13" t="str">
        <f aca="false">IF(UPPER(LEFT(TRIM(Raw_Data!E1395),1))="M","Male",IF(UPPER(LEFT(TRIM(Raw_Data!E1395),1))="F","Female","Unknown"))</f>
        <v>Female</v>
      </c>
      <c r="F1395" s="13" t="str">
        <f aca="false">PROPER(TRIM(SUBSTITUTE(Raw_Data!F1395,"'","")))</f>
        <v>Doctorate</v>
      </c>
      <c r="G1395" s="13" t="str">
        <f aca="false">PROPER(TRIM(Raw_Data!G1395))</f>
        <v>Engineering</v>
      </c>
      <c r="H1395" s="13" t="str">
        <f aca="false">PROPER(TRIM(Raw_Data!H1395))</f>
        <v>Specialist</v>
      </c>
      <c r="I1395" s="13" t="n">
        <f aca="false">IF(Raw_Data!I1395="",DefaultPerf,Raw_Data!I1395)</f>
        <v>3</v>
      </c>
      <c r="J1395" s="13" t="n">
        <f aca="false">IF(Raw_Data!J1395="",DefaultSat,Raw_Data!J1395)</f>
        <v>4</v>
      </c>
      <c r="K1395" s="15" t="n">
        <f aca="false">Raw_Data!K1395</f>
        <v>102000</v>
      </c>
      <c r="L1395" s="13" t="str">
        <f aca="false">PROPER(TRIM(Raw_Data!N1395))</f>
        <v>Yes</v>
      </c>
      <c r="M1395" s="13" t="n">
        <f aca="false">IF(C1395="",0,1)</f>
        <v>1</v>
      </c>
      <c r="N1395" s="13" t="str">
        <f aca="false">IF(M1395=0,"Active",IF(TRIM(Raw_Data!L1395)="","Unknown",PROPER(TRIM(Raw_Data!L1395))))</f>
        <v>Voluntary</v>
      </c>
      <c r="O1395" s="13" t="str">
        <f aca="false">IF(M1395=0,"",IF(TRIM(Raw_Data!M1395)="","Not Recorded",TRIM(Raw_Data!M1395)))</f>
        <v>Job Dissatisfaction</v>
      </c>
      <c r="P1395" s="16" t="n">
        <f aca="false">ROUND((IF(C1395="",AsOfDate,C1395)-B1395)/365.25,2)</f>
        <v>0.83</v>
      </c>
      <c r="Q1395" s="13" t="str">
        <f aca="false">IF(D1395="","Unknown",IF(D1395&lt;25,"Under 25",IF(D1395&lt;35,"25-34",IF(D1395&lt;45,"35-44",IF(D1395&lt;55,"45-54","55+")))))</f>
        <v>25-34</v>
      </c>
      <c r="R1395" s="13" t="str">
        <f aca="false">IF(P1395&lt;1,"0-1 yrs",IF(P1395&lt;3,"1-3 yrs",IF(P1395&lt;5,"3-5 yrs",IF(P1395&lt;10,"5-10 yrs","10+ yrs"))))</f>
        <v>0-1 yrs</v>
      </c>
      <c r="S1395" s="13" t="str">
        <f aca="false">IF(I1395&gt;=4,"High",IF(I1395=3,"Medium","Low"))</f>
        <v>Medium</v>
      </c>
      <c r="T1395" s="13" t="n">
        <f aca="false">IF(M1395=1,YEAR(C1395),"")</f>
        <v>2023</v>
      </c>
      <c r="U1395" s="13" t="str">
        <f aca="false">IF(M1395=1,YEAR(C1395)&amp;"-Q"&amp;ROUNDUP(MONTH(C1395)/3,0),"")</f>
        <v>2023-Q3</v>
      </c>
      <c r="V1395" s="13" t="n">
        <f aca="false">IF(M1395=1,MONTH(C1395),"")</f>
        <v>8</v>
      </c>
    </row>
    <row r="1396" customFormat="false" ht="15" hidden="false" customHeight="false" outlineLevel="0" collapsed="false">
      <c r="A1396" s="13" t="str">
        <f aca="false">TRIM(Raw_Data!A1396)</f>
        <v>EMP1395</v>
      </c>
      <c r="B1396" s="14" t="n">
        <f aca="false">Raw_Data!B1396</f>
        <v>44844</v>
      </c>
      <c r="C1396" s="14" t="str">
        <f aca="false">IF(Raw_Data!C1396="","",Raw_Data!C1396)</f>
        <v/>
      </c>
      <c r="D1396" s="13" t="n">
        <f aca="false">IF(Raw_Data!D1396="","",Raw_Data!D1396)</f>
        <v>28</v>
      </c>
      <c r="E1396" s="13" t="str">
        <f aca="false">IF(UPPER(LEFT(TRIM(Raw_Data!E1396),1))="M","Male",IF(UPPER(LEFT(TRIM(Raw_Data!E1396),1))="F","Female","Unknown"))</f>
        <v>Male</v>
      </c>
      <c r="F1396" s="13" t="str">
        <f aca="false">PROPER(TRIM(SUBSTITUTE(Raw_Data!F1396,"'","")))</f>
        <v>Bachelors</v>
      </c>
      <c r="G1396" s="13" t="str">
        <f aca="false">PROPER(TRIM(Raw_Data!G1396))</f>
        <v>Finance</v>
      </c>
      <c r="H1396" s="13" t="str">
        <f aca="false">PROPER(TRIM(Raw_Data!H1396))</f>
        <v>Senior Analyst</v>
      </c>
      <c r="I1396" s="13" t="n">
        <f aca="false">IF(Raw_Data!I1396="",DefaultPerf,Raw_Data!I1396)</f>
        <v>3</v>
      </c>
      <c r="J1396" s="13" t="n">
        <f aca="false">IF(Raw_Data!J1396="",DefaultSat,Raw_Data!J1396)</f>
        <v>2</v>
      </c>
      <c r="K1396" s="15" t="n">
        <f aca="false">Raw_Data!K1396</f>
        <v>101500</v>
      </c>
      <c r="L1396" s="13" t="str">
        <f aca="false">PROPER(TRIM(Raw_Data!N1396))</f>
        <v>No</v>
      </c>
      <c r="M1396" s="13" t="n">
        <f aca="false">IF(C1396="",0,1)</f>
        <v>0</v>
      </c>
      <c r="N1396" s="13" t="str">
        <f aca="false">IF(M1396=0,"Active",IF(TRIM(Raw_Data!L1396)="","Unknown",PROPER(TRIM(Raw_Data!L1396))))</f>
        <v>Active</v>
      </c>
      <c r="O1396" s="13" t="str">
        <f aca="false">IF(M1396=0,"",IF(TRIM(Raw_Data!M1396)="","Not Recorded",TRIM(Raw_Data!M1396)))</f>
        <v/>
      </c>
      <c r="P1396" s="16" t="n">
        <f aca="false">ROUND((IF(C1396="",AsOfDate,C1396)-B1396)/365.25,2)</f>
        <v>3.23</v>
      </c>
      <c r="Q1396" s="13" t="str">
        <f aca="false">IF(D1396="","Unknown",IF(D1396&lt;25,"Under 25",IF(D1396&lt;35,"25-34",IF(D1396&lt;45,"35-44",IF(D1396&lt;55,"45-54","55+")))))</f>
        <v>25-34</v>
      </c>
      <c r="R1396" s="13" t="str">
        <f aca="false">IF(P1396&lt;1,"0-1 yrs",IF(P1396&lt;3,"1-3 yrs",IF(P1396&lt;5,"3-5 yrs",IF(P1396&lt;10,"5-10 yrs","10+ yrs"))))</f>
        <v>3-5 yrs</v>
      </c>
      <c r="S1396" s="13" t="str">
        <f aca="false">IF(I1396&gt;=4,"High",IF(I1396=3,"Medium","Low"))</f>
        <v>Medium</v>
      </c>
      <c r="T1396" s="13" t="str">
        <f aca="false">IF(M1396=1,YEAR(C1396),"")</f>
        <v/>
      </c>
      <c r="U1396" s="13" t="str">
        <f aca="false">IF(M1396=1,YEAR(C1396)&amp;"-Q"&amp;ROUNDUP(MONTH(C1396)/3,0),"")</f>
        <v/>
      </c>
      <c r="V1396" s="13" t="str">
        <f aca="false">IF(M1396=1,MONTH(C1396),"")</f>
        <v/>
      </c>
    </row>
    <row r="1397" customFormat="false" ht="15" hidden="false" customHeight="false" outlineLevel="0" collapsed="false">
      <c r="A1397" s="13" t="str">
        <f aca="false">TRIM(Raw_Data!A1397)</f>
        <v>EMP1396</v>
      </c>
      <c r="B1397" s="14" t="n">
        <f aca="false">Raw_Data!B1397</f>
        <v>44846</v>
      </c>
      <c r="C1397" s="14" t="n">
        <f aca="false">IF(Raw_Data!C1397="","",Raw_Data!C1397)</f>
        <v>44924</v>
      </c>
      <c r="D1397" s="13" t="n">
        <f aca="false">IF(Raw_Data!D1397="","",Raw_Data!D1397)</f>
        <v>37</v>
      </c>
      <c r="E1397" s="13" t="str">
        <f aca="false">IF(UPPER(LEFT(TRIM(Raw_Data!E1397),1))="M","Male",IF(UPPER(LEFT(TRIM(Raw_Data!E1397),1))="F","Female","Unknown"))</f>
        <v>Female</v>
      </c>
      <c r="F1397" s="13" t="str">
        <f aca="false">PROPER(TRIM(SUBSTITUTE(Raw_Data!F1397,"'","")))</f>
        <v>High School</v>
      </c>
      <c r="G1397" s="13" t="str">
        <f aca="false">PROPER(TRIM(Raw_Data!G1397))</f>
        <v>Engineering</v>
      </c>
      <c r="H1397" s="13" t="str">
        <f aca="false">PROPER(TRIM(Raw_Data!H1397))</f>
        <v>Analyst</v>
      </c>
      <c r="I1397" s="13" t="n">
        <f aca="false">IF(Raw_Data!I1397="",DefaultPerf,Raw_Data!I1397)</f>
        <v>3</v>
      </c>
      <c r="J1397" s="13" t="n">
        <f aca="false">IF(Raw_Data!J1397="",DefaultSat,Raw_Data!J1397)</f>
        <v>3</v>
      </c>
      <c r="K1397" s="15" t="n">
        <f aca="false">Raw_Data!K1397</f>
        <v>62500</v>
      </c>
      <c r="L1397" s="13" t="str">
        <f aca="false">PROPER(TRIM(Raw_Data!N1397))</f>
        <v>No</v>
      </c>
      <c r="M1397" s="13" t="n">
        <f aca="false">IF(C1397="",0,1)</f>
        <v>1</v>
      </c>
      <c r="N1397" s="13" t="str">
        <f aca="false">IF(M1397=0,"Active",IF(TRIM(Raw_Data!L1397)="","Unknown",PROPER(TRIM(Raw_Data!L1397))))</f>
        <v>Voluntary</v>
      </c>
      <c r="O1397" s="13" t="str">
        <f aca="false">IF(M1397=0,"",IF(TRIM(Raw_Data!M1397)="","Not Recorded",TRIM(Raw_Data!M1397)))</f>
        <v>Career Growth</v>
      </c>
      <c r="P1397" s="16" t="n">
        <f aca="false">ROUND((IF(C1397="",AsOfDate,C1397)-B1397)/365.25,2)</f>
        <v>0.21</v>
      </c>
      <c r="Q1397" s="13" t="str">
        <f aca="false">IF(D1397="","Unknown",IF(D1397&lt;25,"Under 25",IF(D1397&lt;35,"25-34",IF(D1397&lt;45,"35-44",IF(D1397&lt;55,"45-54","55+")))))</f>
        <v>35-44</v>
      </c>
      <c r="R1397" s="13" t="str">
        <f aca="false">IF(P1397&lt;1,"0-1 yrs",IF(P1397&lt;3,"1-3 yrs",IF(P1397&lt;5,"3-5 yrs",IF(P1397&lt;10,"5-10 yrs","10+ yrs"))))</f>
        <v>0-1 yrs</v>
      </c>
      <c r="S1397" s="13" t="str">
        <f aca="false">IF(I1397&gt;=4,"High",IF(I1397=3,"Medium","Low"))</f>
        <v>Medium</v>
      </c>
      <c r="T1397" s="13" t="n">
        <f aca="false">IF(M1397=1,YEAR(C1397),"")</f>
        <v>2022</v>
      </c>
      <c r="U1397" s="13" t="str">
        <f aca="false">IF(M1397=1,YEAR(C1397)&amp;"-Q"&amp;ROUNDUP(MONTH(C1397)/3,0),"")</f>
        <v>2022-Q4</v>
      </c>
      <c r="V1397" s="13" t="n">
        <f aca="false">IF(M1397=1,MONTH(C1397),"")</f>
        <v>12</v>
      </c>
    </row>
    <row r="1398" customFormat="false" ht="15" hidden="false" customHeight="false" outlineLevel="0" collapsed="false">
      <c r="A1398" s="13" t="str">
        <f aca="false">TRIM(Raw_Data!A1398)</f>
        <v>EMP1397</v>
      </c>
      <c r="B1398" s="14" t="n">
        <f aca="false">Raw_Data!B1398</f>
        <v>44846</v>
      </c>
      <c r="C1398" s="14" t="n">
        <f aca="false">IF(Raw_Data!C1398="","",Raw_Data!C1398)</f>
        <v>45817</v>
      </c>
      <c r="D1398" s="13" t="n">
        <f aca="false">IF(Raw_Data!D1398="","",Raw_Data!D1398)</f>
        <v>31</v>
      </c>
      <c r="E1398" s="13" t="str">
        <f aca="false">IF(UPPER(LEFT(TRIM(Raw_Data!E1398),1))="M","Male",IF(UPPER(LEFT(TRIM(Raw_Data!E1398),1))="F","Female","Unknown"))</f>
        <v>Female</v>
      </c>
      <c r="F1398" s="13" t="str">
        <f aca="false">PROPER(TRIM(SUBSTITUTE(Raw_Data!F1398,"'","")))</f>
        <v>Bachelors</v>
      </c>
      <c r="G1398" s="13" t="str">
        <f aca="false">PROPER(TRIM(Raw_Data!G1398))</f>
        <v>Engineering</v>
      </c>
      <c r="H1398" s="13" t="str">
        <f aca="false">PROPER(TRIM(Raw_Data!H1398))</f>
        <v>Associate</v>
      </c>
      <c r="I1398" s="13" t="n">
        <f aca="false">IF(Raw_Data!I1398="",DefaultPerf,Raw_Data!I1398)</f>
        <v>4</v>
      </c>
      <c r="J1398" s="13" t="n">
        <f aca="false">IF(Raw_Data!J1398="",DefaultSat,Raw_Data!J1398)</f>
        <v>1</v>
      </c>
      <c r="K1398" s="15" t="n">
        <f aca="false">Raw_Data!K1398</f>
        <v>43500</v>
      </c>
      <c r="L1398" s="13" t="str">
        <f aca="false">PROPER(TRIM(Raw_Data!N1398))</f>
        <v>Yes</v>
      </c>
      <c r="M1398" s="13" t="n">
        <f aca="false">IF(C1398="",0,1)</f>
        <v>1</v>
      </c>
      <c r="N1398" s="13" t="str">
        <f aca="false">IF(M1398=0,"Active",IF(TRIM(Raw_Data!L1398)="","Unknown",PROPER(TRIM(Raw_Data!L1398))))</f>
        <v>Voluntary</v>
      </c>
      <c r="O1398" s="13" t="str">
        <f aca="false">IF(M1398=0,"",IF(TRIM(Raw_Data!M1398)="","Not Recorded",TRIM(Raw_Data!M1398)))</f>
        <v>Relocation</v>
      </c>
      <c r="P1398" s="16" t="n">
        <f aca="false">ROUND((IF(C1398="",AsOfDate,C1398)-B1398)/365.25,2)</f>
        <v>2.66</v>
      </c>
      <c r="Q1398" s="13" t="str">
        <f aca="false">IF(D1398="","Unknown",IF(D1398&lt;25,"Under 25",IF(D1398&lt;35,"25-34",IF(D1398&lt;45,"35-44",IF(D1398&lt;55,"45-54","55+")))))</f>
        <v>25-34</v>
      </c>
      <c r="R1398" s="13" t="str">
        <f aca="false">IF(P1398&lt;1,"0-1 yrs",IF(P1398&lt;3,"1-3 yrs",IF(P1398&lt;5,"3-5 yrs",IF(P1398&lt;10,"5-10 yrs","10+ yrs"))))</f>
        <v>1-3 yrs</v>
      </c>
      <c r="S1398" s="13" t="str">
        <f aca="false">IF(I1398&gt;=4,"High",IF(I1398=3,"Medium","Low"))</f>
        <v>High</v>
      </c>
      <c r="T1398" s="13" t="n">
        <f aca="false">IF(M1398=1,YEAR(C1398),"")</f>
        <v>2025</v>
      </c>
      <c r="U1398" s="13" t="str">
        <f aca="false">IF(M1398=1,YEAR(C1398)&amp;"-Q"&amp;ROUNDUP(MONTH(C1398)/3,0),"")</f>
        <v>2025-Q2</v>
      </c>
      <c r="V1398" s="13" t="n">
        <f aca="false">IF(M1398=1,MONTH(C1398),"")</f>
        <v>6</v>
      </c>
    </row>
    <row r="1399" customFormat="false" ht="15" hidden="false" customHeight="false" outlineLevel="0" collapsed="false">
      <c r="A1399" s="13" t="str">
        <f aca="false">TRIM(Raw_Data!A1399)</f>
        <v>EMP1398</v>
      </c>
      <c r="B1399" s="14" t="n">
        <f aca="false">Raw_Data!B1399</f>
        <v>44847</v>
      </c>
      <c r="C1399" s="14" t="n">
        <f aca="false">IF(Raw_Data!C1399="","",Raw_Data!C1399)</f>
        <v>45761</v>
      </c>
      <c r="D1399" s="13" t="n">
        <f aca="false">IF(Raw_Data!D1399="","",Raw_Data!D1399)</f>
        <v>39</v>
      </c>
      <c r="E1399" s="13" t="str">
        <f aca="false">IF(UPPER(LEFT(TRIM(Raw_Data!E1399),1))="M","Male",IF(UPPER(LEFT(TRIM(Raw_Data!E1399),1))="F","Female","Unknown"))</f>
        <v>Female</v>
      </c>
      <c r="F1399" s="13" t="str">
        <f aca="false">PROPER(TRIM(SUBSTITUTE(Raw_Data!F1399,"'","")))</f>
        <v>Masters</v>
      </c>
      <c r="G1399" s="13" t="str">
        <f aca="false">PROPER(TRIM(Raw_Data!G1399))</f>
        <v>Engineering</v>
      </c>
      <c r="H1399" s="13" t="str">
        <f aca="false">PROPER(TRIM(Raw_Data!H1399))</f>
        <v>Analyst</v>
      </c>
      <c r="I1399" s="13" t="n">
        <f aca="false">IF(Raw_Data!I1399="",DefaultPerf,Raw_Data!I1399)</f>
        <v>5</v>
      </c>
      <c r="J1399" s="13" t="n">
        <f aca="false">IF(Raw_Data!J1399="",DefaultSat,Raw_Data!J1399)</f>
        <v>3</v>
      </c>
      <c r="K1399" s="15" t="n">
        <f aca="false">Raw_Data!K1399</f>
        <v>49000</v>
      </c>
      <c r="L1399" s="13" t="str">
        <f aca="false">PROPER(TRIM(Raw_Data!N1399))</f>
        <v>No</v>
      </c>
      <c r="M1399" s="13" t="n">
        <f aca="false">IF(C1399="",0,1)</f>
        <v>1</v>
      </c>
      <c r="N1399" s="13" t="str">
        <f aca="false">IF(M1399=0,"Active",IF(TRIM(Raw_Data!L1399)="","Unknown",PROPER(TRIM(Raw_Data!L1399))))</f>
        <v>Involuntary</v>
      </c>
      <c r="O1399" s="13" t="str">
        <f aca="false">IF(M1399=0,"",IF(TRIM(Raw_Data!M1399)="","Not Recorded",TRIM(Raw_Data!M1399)))</f>
        <v>End of Contract</v>
      </c>
      <c r="P1399" s="16" t="n">
        <f aca="false">ROUND((IF(C1399="",AsOfDate,C1399)-B1399)/365.25,2)</f>
        <v>2.5</v>
      </c>
      <c r="Q1399" s="13" t="str">
        <f aca="false">IF(D1399="","Unknown",IF(D1399&lt;25,"Under 25",IF(D1399&lt;35,"25-34",IF(D1399&lt;45,"35-44",IF(D1399&lt;55,"45-54","55+")))))</f>
        <v>35-44</v>
      </c>
      <c r="R1399" s="13" t="str">
        <f aca="false">IF(P1399&lt;1,"0-1 yrs",IF(P1399&lt;3,"1-3 yrs",IF(P1399&lt;5,"3-5 yrs",IF(P1399&lt;10,"5-10 yrs","10+ yrs"))))</f>
        <v>1-3 yrs</v>
      </c>
      <c r="S1399" s="13" t="str">
        <f aca="false">IF(I1399&gt;=4,"High",IF(I1399=3,"Medium","Low"))</f>
        <v>High</v>
      </c>
      <c r="T1399" s="13" t="n">
        <f aca="false">IF(M1399=1,YEAR(C1399),"")</f>
        <v>2025</v>
      </c>
      <c r="U1399" s="13" t="str">
        <f aca="false">IF(M1399=1,YEAR(C1399)&amp;"-Q"&amp;ROUNDUP(MONTH(C1399)/3,0),"")</f>
        <v>2025-Q2</v>
      </c>
      <c r="V1399" s="13" t="n">
        <f aca="false">IF(M1399=1,MONTH(C1399),"")</f>
        <v>4</v>
      </c>
    </row>
    <row r="1400" customFormat="false" ht="15" hidden="false" customHeight="false" outlineLevel="0" collapsed="false">
      <c r="A1400" s="13" t="str">
        <f aca="false">TRIM(Raw_Data!A1400)</f>
        <v>EMP1399</v>
      </c>
      <c r="B1400" s="14" t="n">
        <f aca="false">Raw_Data!B1400</f>
        <v>44848</v>
      </c>
      <c r="C1400" s="14" t="n">
        <f aca="false">IF(Raw_Data!C1400="","",Raw_Data!C1400)</f>
        <v>46006</v>
      </c>
      <c r="D1400" s="13" t="n">
        <f aca="false">IF(Raw_Data!D1400="","",Raw_Data!D1400)</f>
        <v>35</v>
      </c>
      <c r="E1400" s="13" t="str">
        <f aca="false">IF(UPPER(LEFT(TRIM(Raw_Data!E1400),1))="M","Male",IF(UPPER(LEFT(TRIM(Raw_Data!E1400),1))="F","Female","Unknown"))</f>
        <v>Male</v>
      </c>
      <c r="F1400" s="13" t="str">
        <f aca="false">PROPER(TRIM(SUBSTITUTE(Raw_Data!F1400,"'","")))</f>
        <v>Bachelors</v>
      </c>
      <c r="G1400" s="13" t="str">
        <f aca="false">PROPER(TRIM(Raw_Data!G1400))</f>
        <v>Engineering</v>
      </c>
      <c r="H1400" s="13" t="str">
        <f aca="false">PROPER(TRIM(Raw_Data!H1400))</f>
        <v>Analyst</v>
      </c>
      <c r="I1400" s="13" t="n">
        <f aca="false">IF(Raw_Data!I1400="",DefaultPerf,Raw_Data!I1400)</f>
        <v>5</v>
      </c>
      <c r="J1400" s="13" t="n">
        <f aca="false">IF(Raw_Data!J1400="",DefaultSat,Raw_Data!J1400)</f>
        <v>3</v>
      </c>
      <c r="K1400" s="15" t="n">
        <f aca="false">Raw_Data!K1400</f>
        <v>48000</v>
      </c>
      <c r="L1400" s="13" t="str">
        <f aca="false">PROPER(TRIM(Raw_Data!N1400))</f>
        <v>No</v>
      </c>
      <c r="M1400" s="13" t="n">
        <f aca="false">IF(C1400="",0,1)</f>
        <v>1</v>
      </c>
      <c r="N1400" s="13" t="str">
        <f aca="false">IF(M1400=0,"Active",IF(TRIM(Raw_Data!L1400)="","Unknown",PROPER(TRIM(Raw_Data!L1400))))</f>
        <v>Involuntary</v>
      </c>
      <c r="O1400" s="13" t="str">
        <f aca="false">IF(M1400=0,"",IF(TRIM(Raw_Data!M1400)="","Not Recorded",TRIM(Raw_Data!M1400)))</f>
        <v>Restructuring / Layoff</v>
      </c>
      <c r="P1400" s="16" t="n">
        <f aca="false">ROUND((IF(C1400="",AsOfDate,C1400)-B1400)/365.25,2)</f>
        <v>3.17</v>
      </c>
      <c r="Q1400" s="13" t="str">
        <f aca="false">IF(D1400="","Unknown",IF(D1400&lt;25,"Under 25",IF(D1400&lt;35,"25-34",IF(D1400&lt;45,"35-44",IF(D1400&lt;55,"45-54","55+")))))</f>
        <v>35-44</v>
      </c>
      <c r="R1400" s="13" t="str">
        <f aca="false">IF(P1400&lt;1,"0-1 yrs",IF(P1400&lt;3,"1-3 yrs",IF(P1400&lt;5,"3-5 yrs",IF(P1400&lt;10,"5-10 yrs","10+ yrs"))))</f>
        <v>3-5 yrs</v>
      </c>
      <c r="S1400" s="13" t="str">
        <f aca="false">IF(I1400&gt;=4,"High",IF(I1400=3,"Medium","Low"))</f>
        <v>High</v>
      </c>
      <c r="T1400" s="13" t="n">
        <f aca="false">IF(M1400=1,YEAR(C1400),"")</f>
        <v>2025</v>
      </c>
      <c r="U1400" s="13" t="str">
        <f aca="false">IF(M1400=1,YEAR(C1400)&amp;"-Q"&amp;ROUNDUP(MONTH(C1400)/3,0),"")</f>
        <v>2025-Q4</v>
      </c>
      <c r="V1400" s="13" t="n">
        <f aca="false">IF(M1400=1,MONTH(C1400),"")</f>
        <v>12</v>
      </c>
    </row>
    <row r="1401" customFormat="false" ht="15" hidden="false" customHeight="false" outlineLevel="0" collapsed="false">
      <c r="A1401" s="13" t="str">
        <f aca="false">TRIM(Raw_Data!A1401)</f>
        <v>EMP1400</v>
      </c>
      <c r="B1401" s="14" t="n">
        <f aca="false">Raw_Data!B1401</f>
        <v>44849</v>
      </c>
      <c r="C1401" s="14" t="n">
        <f aca="false">IF(Raw_Data!C1401="","",Raw_Data!C1401)</f>
        <v>45605</v>
      </c>
      <c r="D1401" s="13" t="n">
        <f aca="false">IF(Raw_Data!D1401="","",Raw_Data!D1401)</f>
        <v>34</v>
      </c>
      <c r="E1401" s="13" t="str">
        <f aca="false">IF(UPPER(LEFT(TRIM(Raw_Data!E1401),1))="M","Male",IF(UPPER(LEFT(TRIM(Raw_Data!E1401),1))="F","Female","Unknown"))</f>
        <v>Male</v>
      </c>
      <c r="F1401" s="13" t="str">
        <f aca="false">PROPER(TRIM(SUBSTITUTE(Raw_Data!F1401,"'","")))</f>
        <v>High School</v>
      </c>
      <c r="G1401" s="13" t="str">
        <f aca="false">PROPER(TRIM(Raw_Data!G1401))</f>
        <v>Finance</v>
      </c>
      <c r="H1401" s="13" t="str">
        <f aca="false">PROPER(TRIM(Raw_Data!H1401))</f>
        <v>Analyst</v>
      </c>
      <c r="I1401" s="13" t="n">
        <f aca="false">IF(Raw_Data!I1401="",DefaultPerf,Raw_Data!I1401)</f>
        <v>3</v>
      </c>
      <c r="J1401" s="13" t="n">
        <f aca="false">IF(Raw_Data!J1401="",DefaultSat,Raw_Data!J1401)</f>
        <v>3</v>
      </c>
      <c r="K1401" s="15" t="n">
        <f aca="false">Raw_Data!K1401</f>
        <v>59500</v>
      </c>
      <c r="L1401" s="13" t="str">
        <f aca="false">PROPER(TRIM(Raw_Data!N1401))</f>
        <v>No</v>
      </c>
      <c r="M1401" s="13" t="n">
        <f aca="false">IF(C1401="",0,1)</f>
        <v>1</v>
      </c>
      <c r="N1401" s="13" t="str">
        <f aca="false">IF(M1401=0,"Active",IF(TRIM(Raw_Data!L1401)="","Unknown",PROPER(TRIM(Raw_Data!L1401))))</f>
        <v>Voluntary</v>
      </c>
      <c r="O1401" s="13" t="str">
        <f aca="false">IF(M1401=0,"",IF(TRIM(Raw_Data!M1401)="","Not Recorded",TRIM(Raw_Data!M1401)))</f>
        <v>Better Compensation</v>
      </c>
      <c r="P1401" s="16" t="n">
        <f aca="false">ROUND((IF(C1401="",AsOfDate,C1401)-B1401)/365.25,2)</f>
        <v>2.07</v>
      </c>
      <c r="Q1401" s="13" t="str">
        <f aca="false">IF(D1401="","Unknown",IF(D1401&lt;25,"Under 25",IF(D1401&lt;35,"25-34",IF(D1401&lt;45,"35-44",IF(D1401&lt;55,"45-54","55+")))))</f>
        <v>25-34</v>
      </c>
      <c r="R1401" s="13" t="str">
        <f aca="false">IF(P1401&lt;1,"0-1 yrs",IF(P1401&lt;3,"1-3 yrs",IF(P1401&lt;5,"3-5 yrs",IF(P1401&lt;10,"5-10 yrs","10+ yrs"))))</f>
        <v>1-3 yrs</v>
      </c>
      <c r="S1401" s="13" t="str">
        <f aca="false">IF(I1401&gt;=4,"High",IF(I1401=3,"Medium","Low"))</f>
        <v>Medium</v>
      </c>
      <c r="T1401" s="13" t="n">
        <f aca="false">IF(M1401=1,YEAR(C1401),"")</f>
        <v>2024</v>
      </c>
      <c r="U1401" s="13" t="str">
        <f aca="false">IF(M1401=1,YEAR(C1401)&amp;"-Q"&amp;ROUNDUP(MONTH(C1401)/3,0),"")</f>
        <v>2024-Q4</v>
      </c>
      <c r="V1401" s="13" t="n">
        <f aca="false">IF(M1401=1,MONTH(C1401),"")</f>
        <v>11</v>
      </c>
    </row>
    <row r="1402" customFormat="false" ht="15" hidden="false" customHeight="false" outlineLevel="0" collapsed="false">
      <c r="A1402" s="13" t="str">
        <f aca="false">TRIM(Raw_Data!A1402)</f>
        <v>EMP1401</v>
      </c>
      <c r="B1402" s="14" t="n">
        <f aca="false">Raw_Data!B1402</f>
        <v>44850</v>
      </c>
      <c r="C1402" s="14" t="n">
        <f aca="false">IF(Raw_Data!C1402="","",Raw_Data!C1402)</f>
        <v>45105</v>
      </c>
      <c r="D1402" s="13" t="n">
        <f aca="false">IF(Raw_Data!D1402="","",Raw_Data!D1402)</f>
        <v>30</v>
      </c>
      <c r="E1402" s="13" t="str">
        <f aca="false">IF(UPPER(LEFT(TRIM(Raw_Data!E1402),1))="M","Male",IF(UPPER(LEFT(TRIM(Raw_Data!E1402),1))="F","Female","Unknown"))</f>
        <v>Male</v>
      </c>
      <c r="F1402" s="13" t="str">
        <f aca="false">PROPER(TRIM(SUBSTITUTE(Raw_Data!F1402,"'","")))</f>
        <v>Bachelors</v>
      </c>
      <c r="G1402" s="13" t="str">
        <f aca="false">PROPER(TRIM(Raw_Data!G1402))</f>
        <v>Sales</v>
      </c>
      <c r="H1402" s="13" t="str">
        <f aca="false">PROPER(TRIM(Raw_Data!H1402))</f>
        <v>Manager</v>
      </c>
      <c r="I1402" s="13" t="n">
        <f aca="false">IF(Raw_Data!I1402="",DefaultPerf,Raw_Data!I1402)</f>
        <v>3</v>
      </c>
      <c r="J1402" s="13" t="n">
        <f aca="false">IF(Raw_Data!J1402="",DefaultSat,Raw_Data!J1402)</f>
        <v>1</v>
      </c>
      <c r="K1402" s="15" t="n">
        <f aca="false">Raw_Data!K1402</f>
        <v>176500</v>
      </c>
      <c r="L1402" s="13" t="str">
        <f aca="false">PROPER(TRIM(Raw_Data!N1402))</f>
        <v>Yes</v>
      </c>
      <c r="M1402" s="13" t="n">
        <f aca="false">IF(C1402="",0,1)</f>
        <v>1</v>
      </c>
      <c r="N1402" s="13" t="str">
        <f aca="false">IF(M1402=0,"Active",IF(TRIM(Raw_Data!L1402)="","Unknown",PROPER(TRIM(Raw_Data!L1402))))</f>
        <v>Involuntary</v>
      </c>
      <c r="O1402" s="13" t="str">
        <f aca="false">IF(M1402=0,"",IF(TRIM(Raw_Data!M1402)="","Not Recorded",TRIM(Raw_Data!M1402)))</f>
        <v>End of Contract</v>
      </c>
      <c r="P1402" s="16" t="n">
        <f aca="false">ROUND((IF(C1402="",AsOfDate,C1402)-B1402)/365.25,2)</f>
        <v>0.7</v>
      </c>
      <c r="Q1402" s="13" t="str">
        <f aca="false">IF(D1402="","Unknown",IF(D1402&lt;25,"Under 25",IF(D1402&lt;35,"25-34",IF(D1402&lt;45,"35-44",IF(D1402&lt;55,"45-54","55+")))))</f>
        <v>25-34</v>
      </c>
      <c r="R1402" s="13" t="str">
        <f aca="false">IF(P1402&lt;1,"0-1 yrs",IF(P1402&lt;3,"1-3 yrs",IF(P1402&lt;5,"3-5 yrs",IF(P1402&lt;10,"5-10 yrs","10+ yrs"))))</f>
        <v>0-1 yrs</v>
      </c>
      <c r="S1402" s="13" t="str">
        <f aca="false">IF(I1402&gt;=4,"High",IF(I1402=3,"Medium","Low"))</f>
        <v>Medium</v>
      </c>
      <c r="T1402" s="13" t="n">
        <f aca="false">IF(M1402=1,YEAR(C1402),"")</f>
        <v>2023</v>
      </c>
      <c r="U1402" s="13" t="str">
        <f aca="false">IF(M1402=1,YEAR(C1402)&amp;"-Q"&amp;ROUNDUP(MONTH(C1402)/3,0),"")</f>
        <v>2023-Q2</v>
      </c>
      <c r="V1402" s="13" t="n">
        <f aca="false">IF(M1402=1,MONTH(C1402),"")</f>
        <v>6</v>
      </c>
    </row>
    <row r="1403" customFormat="false" ht="15" hidden="false" customHeight="false" outlineLevel="0" collapsed="false">
      <c r="A1403" s="13" t="str">
        <f aca="false">TRIM(Raw_Data!A1403)</f>
        <v>EMP1402</v>
      </c>
      <c r="B1403" s="14" t="n">
        <f aca="false">Raw_Data!B1403</f>
        <v>44851</v>
      </c>
      <c r="C1403" s="14" t="str">
        <f aca="false">IF(Raw_Data!C1403="","",Raw_Data!C1403)</f>
        <v/>
      </c>
      <c r="D1403" s="13" t="n">
        <f aca="false">IF(Raw_Data!D1403="","",Raw_Data!D1403)</f>
        <v>30</v>
      </c>
      <c r="E1403" s="13" t="str">
        <f aca="false">IF(UPPER(LEFT(TRIM(Raw_Data!E1403),1))="M","Male",IF(UPPER(LEFT(TRIM(Raw_Data!E1403),1))="F","Female","Unknown"))</f>
        <v>Male</v>
      </c>
      <c r="F1403" s="13" t="str">
        <f aca="false">PROPER(TRIM(SUBSTITUTE(Raw_Data!F1403,"'","")))</f>
        <v>Diploma</v>
      </c>
      <c r="G1403" s="13" t="str">
        <f aca="false">PROPER(TRIM(Raw_Data!G1403))</f>
        <v>Engineering</v>
      </c>
      <c r="H1403" s="13" t="str">
        <f aca="false">PROPER(TRIM(Raw_Data!H1403))</f>
        <v>Analyst</v>
      </c>
      <c r="I1403" s="13" t="n">
        <f aca="false">IF(Raw_Data!I1403="",DefaultPerf,Raw_Data!I1403)</f>
        <v>1</v>
      </c>
      <c r="J1403" s="13" t="n">
        <f aca="false">IF(Raw_Data!J1403="",DefaultSat,Raw_Data!J1403)</f>
        <v>4</v>
      </c>
      <c r="K1403" s="15" t="n">
        <f aca="false">Raw_Data!K1403</f>
        <v>56000</v>
      </c>
      <c r="L1403" s="13" t="str">
        <f aca="false">PROPER(TRIM(Raw_Data!N1403))</f>
        <v>No</v>
      </c>
      <c r="M1403" s="13" t="n">
        <f aca="false">IF(C1403="",0,1)</f>
        <v>0</v>
      </c>
      <c r="N1403" s="13" t="str">
        <f aca="false">IF(M1403=0,"Active",IF(TRIM(Raw_Data!L1403)="","Unknown",PROPER(TRIM(Raw_Data!L1403))))</f>
        <v>Active</v>
      </c>
      <c r="O1403" s="13" t="str">
        <f aca="false">IF(M1403=0,"",IF(TRIM(Raw_Data!M1403)="","Not Recorded",TRIM(Raw_Data!M1403)))</f>
        <v/>
      </c>
      <c r="P1403" s="16" t="n">
        <f aca="false">ROUND((IF(C1403="",AsOfDate,C1403)-B1403)/365.25,2)</f>
        <v>3.21</v>
      </c>
      <c r="Q1403" s="13" t="str">
        <f aca="false">IF(D1403="","Unknown",IF(D1403&lt;25,"Under 25",IF(D1403&lt;35,"25-34",IF(D1403&lt;45,"35-44",IF(D1403&lt;55,"45-54","55+")))))</f>
        <v>25-34</v>
      </c>
      <c r="R1403" s="13" t="str">
        <f aca="false">IF(P1403&lt;1,"0-1 yrs",IF(P1403&lt;3,"1-3 yrs",IF(P1403&lt;5,"3-5 yrs",IF(P1403&lt;10,"5-10 yrs","10+ yrs"))))</f>
        <v>3-5 yrs</v>
      </c>
      <c r="S1403" s="13" t="str">
        <f aca="false">IF(I1403&gt;=4,"High",IF(I1403=3,"Medium","Low"))</f>
        <v>Low</v>
      </c>
      <c r="T1403" s="13" t="str">
        <f aca="false">IF(M1403=1,YEAR(C1403),"")</f>
        <v/>
      </c>
      <c r="U1403" s="13" t="str">
        <f aca="false">IF(M1403=1,YEAR(C1403)&amp;"-Q"&amp;ROUNDUP(MONTH(C1403)/3,0),"")</f>
        <v/>
      </c>
      <c r="V1403" s="13" t="str">
        <f aca="false">IF(M1403=1,MONTH(C1403),"")</f>
        <v/>
      </c>
    </row>
    <row r="1404" customFormat="false" ht="15" hidden="false" customHeight="false" outlineLevel="0" collapsed="false">
      <c r="A1404" s="13" t="str">
        <f aca="false">TRIM(Raw_Data!A1404)</f>
        <v>EMP1403</v>
      </c>
      <c r="B1404" s="14" t="n">
        <f aca="false">Raw_Data!B1404</f>
        <v>44852</v>
      </c>
      <c r="C1404" s="14" t="str">
        <f aca="false">IF(Raw_Data!C1404="","",Raw_Data!C1404)</f>
        <v/>
      </c>
      <c r="D1404" s="13" t="n">
        <f aca="false">IF(Raw_Data!D1404="","",Raw_Data!D1404)</f>
        <v>29</v>
      </c>
      <c r="E1404" s="13" t="str">
        <f aca="false">IF(UPPER(LEFT(TRIM(Raw_Data!E1404),1))="M","Male",IF(UPPER(LEFT(TRIM(Raw_Data!E1404),1))="F","Female","Unknown"))</f>
        <v>Female</v>
      </c>
      <c r="F1404" s="13" t="str">
        <f aca="false">PROPER(TRIM(SUBSTITUTE(Raw_Data!F1404,"'","")))</f>
        <v>High School</v>
      </c>
      <c r="G1404" s="13" t="str">
        <f aca="false">PROPER(TRIM(Raw_Data!G1404))</f>
        <v>Finance</v>
      </c>
      <c r="H1404" s="13" t="str">
        <f aca="false">PROPER(TRIM(Raw_Data!H1404))</f>
        <v>Team Lead</v>
      </c>
      <c r="I1404" s="13" t="n">
        <f aca="false">IF(Raw_Data!I1404="",DefaultPerf,Raw_Data!I1404)</f>
        <v>3</v>
      </c>
      <c r="J1404" s="13" t="n">
        <f aca="false">IF(Raw_Data!J1404="",DefaultSat,Raw_Data!J1404)</f>
        <v>3</v>
      </c>
      <c r="K1404" s="15" t="n">
        <f aca="false">Raw_Data!K1404</f>
        <v>126000</v>
      </c>
      <c r="L1404" s="13" t="str">
        <f aca="false">PROPER(TRIM(Raw_Data!N1404))</f>
        <v>No</v>
      </c>
      <c r="M1404" s="13" t="n">
        <f aca="false">IF(C1404="",0,1)</f>
        <v>0</v>
      </c>
      <c r="N1404" s="13" t="str">
        <f aca="false">IF(M1404=0,"Active",IF(TRIM(Raw_Data!L1404)="","Unknown",PROPER(TRIM(Raw_Data!L1404))))</f>
        <v>Active</v>
      </c>
      <c r="O1404" s="13" t="str">
        <f aca="false">IF(M1404=0,"",IF(TRIM(Raw_Data!M1404)="","Not Recorded",TRIM(Raw_Data!M1404)))</f>
        <v/>
      </c>
      <c r="P1404" s="16" t="n">
        <f aca="false">ROUND((IF(C1404="",AsOfDate,C1404)-B1404)/365.25,2)</f>
        <v>3.2</v>
      </c>
      <c r="Q1404" s="13" t="str">
        <f aca="false">IF(D1404="","Unknown",IF(D1404&lt;25,"Under 25",IF(D1404&lt;35,"25-34",IF(D1404&lt;45,"35-44",IF(D1404&lt;55,"45-54","55+")))))</f>
        <v>25-34</v>
      </c>
      <c r="R1404" s="13" t="str">
        <f aca="false">IF(P1404&lt;1,"0-1 yrs",IF(P1404&lt;3,"1-3 yrs",IF(P1404&lt;5,"3-5 yrs",IF(P1404&lt;10,"5-10 yrs","10+ yrs"))))</f>
        <v>3-5 yrs</v>
      </c>
      <c r="S1404" s="13" t="str">
        <f aca="false">IF(I1404&gt;=4,"High",IF(I1404=3,"Medium","Low"))</f>
        <v>Medium</v>
      </c>
      <c r="T1404" s="13" t="str">
        <f aca="false">IF(M1404=1,YEAR(C1404),"")</f>
        <v/>
      </c>
      <c r="U1404" s="13" t="str">
        <f aca="false">IF(M1404=1,YEAR(C1404)&amp;"-Q"&amp;ROUNDUP(MONTH(C1404)/3,0),"")</f>
        <v/>
      </c>
      <c r="V1404" s="13" t="str">
        <f aca="false">IF(M1404=1,MONTH(C1404),"")</f>
        <v/>
      </c>
    </row>
    <row r="1405" customFormat="false" ht="15" hidden="false" customHeight="false" outlineLevel="0" collapsed="false">
      <c r="A1405" s="13" t="str">
        <f aca="false">TRIM(Raw_Data!A1405)</f>
        <v>EMP1404</v>
      </c>
      <c r="B1405" s="14" t="n">
        <f aca="false">Raw_Data!B1405</f>
        <v>44856</v>
      </c>
      <c r="C1405" s="14" t="str">
        <f aca="false">IF(Raw_Data!C1405="","",Raw_Data!C1405)</f>
        <v/>
      </c>
      <c r="D1405" s="13" t="n">
        <f aca="false">IF(Raw_Data!D1405="","",Raw_Data!D1405)</f>
        <v>29</v>
      </c>
      <c r="E1405" s="13" t="str">
        <f aca="false">IF(UPPER(LEFT(TRIM(Raw_Data!E1405),1))="M","Male",IF(UPPER(LEFT(TRIM(Raw_Data!E1405),1))="F","Female","Unknown"))</f>
        <v>Female</v>
      </c>
      <c r="F1405" s="13" t="str">
        <f aca="false">PROPER(TRIM(SUBSTITUTE(Raw_Data!F1405,"'","")))</f>
        <v>Masters</v>
      </c>
      <c r="G1405" s="13" t="str">
        <f aca="false">PROPER(TRIM(Raw_Data!G1405))</f>
        <v>Sales</v>
      </c>
      <c r="H1405" s="13" t="str">
        <f aca="false">PROPER(TRIM(Raw_Data!H1405))</f>
        <v>Analyst</v>
      </c>
      <c r="I1405" s="13" t="n">
        <f aca="false">IF(Raw_Data!I1405="",DefaultPerf,Raw_Data!I1405)</f>
        <v>3</v>
      </c>
      <c r="J1405" s="13" t="n">
        <f aca="false">IF(Raw_Data!J1405="",DefaultSat,Raw_Data!J1405)</f>
        <v>3</v>
      </c>
      <c r="K1405" s="15" t="n">
        <f aca="false">Raw_Data!K1405</f>
        <v>64000</v>
      </c>
      <c r="L1405" s="13" t="str">
        <f aca="false">PROPER(TRIM(Raw_Data!N1405))</f>
        <v>No</v>
      </c>
      <c r="M1405" s="13" t="n">
        <f aca="false">IF(C1405="",0,1)</f>
        <v>0</v>
      </c>
      <c r="N1405" s="13" t="str">
        <f aca="false">IF(M1405=0,"Active",IF(TRIM(Raw_Data!L1405)="","Unknown",PROPER(TRIM(Raw_Data!L1405))))</f>
        <v>Active</v>
      </c>
      <c r="O1405" s="13" t="str">
        <f aca="false">IF(M1405=0,"",IF(TRIM(Raw_Data!M1405)="","Not Recorded",TRIM(Raw_Data!M1405)))</f>
        <v/>
      </c>
      <c r="P1405" s="16" t="n">
        <f aca="false">ROUND((IF(C1405="",AsOfDate,C1405)-B1405)/365.25,2)</f>
        <v>3.19</v>
      </c>
      <c r="Q1405" s="13" t="str">
        <f aca="false">IF(D1405="","Unknown",IF(D1405&lt;25,"Under 25",IF(D1405&lt;35,"25-34",IF(D1405&lt;45,"35-44",IF(D1405&lt;55,"45-54","55+")))))</f>
        <v>25-34</v>
      </c>
      <c r="R1405" s="13" t="str">
        <f aca="false">IF(P1405&lt;1,"0-1 yrs",IF(P1405&lt;3,"1-3 yrs",IF(P1405&lt;5,"3-5 yrs",IF(P1405&lt;10,"5-10 yrs","10+ yrs"))))</f>
        <v>3-5 yrs</v>
      </c>
      <c r="S1405" s="13" t="str">
        <f aca="false">IF(I1405&gt;=4,"High",IF(I1405=3,"Medium","Low"))</f>
        <v>Medium</v>
      </c>
      <c r="T1405" s="13" t="str">
        <f aca="false">IF(M1405=1,YEAR(C1405),"")</f>
        <v/>
      </c>
      <c r="U1405" s="13" t="str">
        <f aca="false">IF(M1405=1,YEAR(C1405)&amp;"-Q"&amp;ROUNDUP(MONTH(C1405)/3,0),"")</f>
        <v/>
      </c>
      <c r="V1405" s="13" t="str">
        <f aca="false">IF(M1405=1,MONTH(C1405),"")</f>
        <v/>
      </c>
    </row>
    <row r="1406" customFormat="false" ht="15" hidden="false" customHeight="false" outlineLevel="0" collapsed="false">
      <c r="A1406" s="13" t="str">
        <f aca="false">TRIM(Raw_Data!A1406)</f>
        <v>EMP1405</v>
      </c>
      <c r="B1406" s="14" t="n">
        <f aca="false">Raw_Data!B1406</f>
        <v>44858</v>
      </c>
      <c r="C1406" s="14" t="str">
        <f aca="false">IF(Raw_Data!C1406="","",Raw_Data!C1406)</f>
        <v/>
      </c>
      <c r="D1406" s="13" t="n">
        <f aca="false">IF(Raw_Data!D1406="","",Raw_Data!D1406)</f>
        <v>41</v>
      </c>
      <c r="E1406" s="13" t="str">
        <f aca="false">IF(UPPER(LEFT(TRIM(Raw_Data!E1406),1))="M","Male",IF(UPPER(LEFT(TRIM(Raw_Data!E1406),1))="F","Female","Unknown"))</f>
        <v>Male</v>
      </c>
      <c r="F1406" s="13" t="str">
        <f aca="false">PROPER(TRIM(SUBSTITUTE(Raw_Data!F1406,"'","")))</f>
        <v>Masters</v>
      </c>
      <c r="G1406" s="13" t="str">
        <f aca="false">PROPER(TRIM(Raw_Data!G1406))</f>
        <v>Engineering</v>
      </c>
      <c r="H1406" s="13" t="str">
        <f aca="false">PROPER(TRIM(Raw_Data!H1406))</f>
        <v>Team Lead</v>
      </c>
      <c r="I1406" s="13" t="n">
        <f aca="false">IF(Raw_Data!I1406="",DefaultPerf,Raw_Data!I1406)</f>
        <v>4</v>
      </c>
      <c r="J1406" s="13" t="n">
        <f aca="false">IF(Raw_Data!J1406="",DefaultSat,Raw_Data!J1406)</f>
        <v>3</v>
      </c>
      <c r="K1406" s="15" t="n">
        <f aca="false">Raw_Data!K1406</f>
        <v>162500</v>
      </c>
      <c r="L1406" s="13" t="str">
        <f aca="false">PROPER(TRIM(Raw_Data!N1406))</f>
        <v>No</v>
      </c>
      <c r="M1406" s="13" t="n">
        <f aca="false">IF(C1406="",0,1)</f>
        <v>0</v>
      </c>
      <c r="N1406" s="13" t="str">
        <f aca="false">IF(M1406=0,"Active",IF(TRIM(Raw_Data!L1406)="","Unknown",PROPER(TRIM(Raw_Data!L1406))))</f>
        <v>Active</v>
      </c>
      <c r="O1406" s="13" t="str">
        <f aca="false">IF(M1406=0,"",IF(TRIM(Raw_Data!M1406)="","Not Recorded",TRIM(Raw_Data!M1406)))</f>
        <v/>
      </c>
      <c r="P1406" s="16" t="n">
        <f aca="false">ROUND((IF(C1406="",AsOfDate,C1406)-B1406)/365.25,2)</f>
        <v>3.19</v>
      </c>
      <c r="Q1406" s="13" t="str">
        <f aca="false">IF(D1406="","Unknown",IF(D1406&lt;25,"Under 25",IF(D1406&lt;35,"25-34",IF(D1406&lt;45,"35-44",IF(D1406&lt;55,"45-54","55+")))))</f>
        <v>35-44</v>
      </c>
      <c r="R1406" s="13" t="str">
        <f aca="false">IF(P1406&lt;1,"0-1 yrs",IF(P1406&lt;3,"1-3 yrs",IF(P1406&lt;5,"3-5 yrs",IF(P1406&lt;10,"5-10 yrs","10+ yrs"))))</f>
        <v>3-5 yrs</v>
      </c>
      <c r="S1406" s="13" t="str">
        <f aca="false">IF(I1406&gt;=4,"High",IF(I1406=3,"Medium","Low"))</f>
        <v>High</v>
      </c>
      <c r="T1406" s="13" t="str">
        <f aca="false">IF(M1406=1,YEAR(C1406),"")</f>
        <v/>
      </c>
      <c r="U1406" s="13" t="str">
        <f aca="false">IF(M1406=1,YEAR(C1406)&amp;"-Q"&amp;ROUNDUP(MONTH(C1406)/3,0),"")</f>
        <v/>
      </c>
      <c r="V1406" s="13" t="str">
        <f aca="false">IF(M1406=1,MONTH(C1406),"")</f>
        <v/>
      </c>
    </row>
    <row r="1407" customFormat="false" ht="15" hidden="false" customHeight="false" outlineLevel="0" collapsed="false">
      <c r="A1407" s="13" t="str">
        <f aca="false">TRIM(Raw_Data!A1407)</f>
        <v>EMP1406</v>
      </c>
      <c r="B1407" s="14" t="n">
        <f aca="false">Raw_Data!B1407</f>
        <v>44858</v>
      </c>
      <c r="C1407" s="14" t="n">
        <f aca="false">IF(Raw_Data!C1407="","",Raw_Data!C1407)</f>
        <v>45123</v>
      </c>
      <c r="D1407" s="13" t="n">
        <f aca="false">IF(Raw_Data!D1407="","",Raw_Data!D1407)</f>
        <v>35</v>
      </c>
      <c r="E1407" s="13" t="str">
        <f aca="false">IF(UPPER(LEFT(TRIM(Raw_Data!E1407),1))="M","Male",IF(UPPER(LEFT(TRIM(Raw_Data!E1407),1))="F","Female","Unknown"))</f>
        <v>Male</v>
      </c>
      <c r="F1407" s="13" t="str">
        <f aca="false">PROPER(TRIM(SUBSTITUTE(Raw_Data!F1407,"'","")))</f>
        <v>High School</v>
      </c>
      <c r="G1407" s="13" t="str">
        <f aca="false">PROPER(TRIM(Raw_Data!G1407))</f>
        <v>Human Resources</v>
      </c>
      <c r="H1407" s="13" t="str">
        <f aca="false">PROPER(TRIM(Raw_Data!H1407))</f>
        <v>Specialist</v>
      </c>
      <c r="I1407" s="13" t="n">
        <f aca="false">IF(Raw_Data!I1407="",DefaultPerf,Raw_Data!I1407)</f>
        <v>4</v>
      </c>
      <c r="J1407" s="13" t="n">
        <f aca="false">IF(Raw_Data!J1407="",DefaultSat,Raw_Data!J1407)</f>
        <v>4</v>
      </c>
      <c r="K1407" s="15" t="n">
        <f aca="false">Raw_Data!K1407</f>
        <v>84500</v>
      </c>
      <c r="L1407" s="13" t="str">
        <f aca="false">PROPER(TRIM(Raw_Data!N1407))</f>
        <v>No</v>
      </c>
      <c r="M1407" s="13" t="n">
        <f aca="false">IF(C1407="",0,1)</f>
        <v>1</v>
      </c>
      <c r="N1407" s="13" t="str">
        <f aca="false">IF(M1407=0,"Active",IF(TRIM(Raw_Data!L1407)="","Unknown",PROPER(TRIM(Raw_Data!L1407))))</f>
        <v>Involuntary</v>
      </c>
      <c r="O1407" s="13" t="str">
        <f aca="false">IF(M1407=0,"",IF(TRIM(Raw_Data!M1407)="","Not Recorded",TRIM(Raw_Data!M1407)))</f>
        <v>Restructuring / Layoff</v>
      </c>
      <c r="P1407" s="16" t="n">
        <f aca="false">ROUND((IF(C1407="",AsOfDate,C1407)-B1407)/365.25,2)</f>
        <v>0.73</v>
      </c>
      <c r="Q1407" s="13" t="str">
        <f aca="false">IF(D1407="","Unknown",IF(D1407&lt;25,"Under 25",IF(D1407&lt;35,"25-34",IF(D1407&lt;45,"35-44",IF(D1407&lt;55,"45-54","55+")))))</f>
        <v>35-44</v>
      </c>
      <c r="R1407" s="13" t="str">
        <f aca="false">IF(P1407&lt;1,"0-1 yrs",IF(P1407&lt;3,"1-3 yrs",IF(P1407&lt;5,"3-5 yrs",IF(P1407&lt;10,"5-10 yrs","10+ yrs"))))</f>
        <v>0-1 yrs</v>
      </c>
      <c r="S1407" s="13" t="str">
        <f aca="false">IF(I1407&gt;=4,"High",IF(I1407=3,"Medium","Low"))</f>
        <v>High</v>
      </c>
      <c r="T1407" s="13" t="n">
        <f aca="false">IF(M1407=1,YEAR(C1407),"")</f>
        <v>2023</v>
      </c>
      <c r="U1407" s="13" t="str">
        <f aca="false">IF(M1407=1,YEAR(C1407)&amp;"-Q"&amp;ROUNDUP(MONTH(C1407)/3,0),"")</f>
        <v>2023-Q3</v>
      </c>
      <c r="V1407" s="13" t="n">
        <f aca="false">IF(M1407=1,MONTH(C1407),"")</f>
        <v>7</v>
      </c>
    </row>
    <row r="1408" customFormat="false" ht="15" hidden="false" customHeight="false" outlineLevel="0" collapsed="false">
      <c r="A1408" s="13" t="str">
        <f aca="false">TRIM(Raw_Data!A1408)</f>
        <v>EMP1407</v>
      </c>
      <c r="B1408" s="14" t="n">
        <f aca="false">Raw_Data!B1408</f>
        <v>44860</v>
      </c>
      <c r="C1408" s="14" t="str">
        <f aca="false">IF(Raw_Data!C1408="","",Raw_Data!C1408)</f>
        <v/>
      </c>
      <c r="D1408" s="13" t="n">
        <f aca="false">IF(Raw_Data!D1408="","",Raw_Data!D1408)</f>
        <v>39</v>
      </c>
      <c r="E1408" s="13" t="str">
        <f aca="false">IF(UPPER(LEFT(TRIM(Raw_Data!E1408),1))="M","Male",IF(UPPER(LEFT(TRIM(Raw_Data!E1408),1))="F","Female","Unknown"))</f>
        <v>Male</v>
      </c>
      <c r="F1408" s="13" t="str">
        <f aca="false">PROPER(TRIM(SUBSTITUTE(Raw_Data!F1408,"'","")))</f>
        <v>Bachelors</v>
      </c>
      <c r="G1408" s="13" t="str">
        <f aca="false">PROPER(TRIM(Raw_Data!G1408))</f>
        <v>Customer Support</v>
      </c>
      <c r="H1408" s="13" t="str">
        <f aca="false">PROPER(TRIM(Raw_Data!H1408))</f>
        <v>Team Lead</v>
      </c>
      <c r="I1408" s="13" t="n">
        <f aca="false">IF(Raw_Data!I1408="",DefaultPerf,Raw_Data!I1408)</f>
        <v>4</v>
      </c>
      <c r="J1408" s="13" t="n">
        <f aca="false">IF(Raw_Data!J1408="",DefaultSat,Raw_Data!J1408)</f>
        <v>3</v>
      </c>
      <c r="K1408" s="15" t="n">
        <f aca="false">Raw_Data!K1408</f>
        <v>119500</v>
      </c>
      <c r="L1408" s="13" t="str">
        <f aca="false">PROPER(TRIM(Raw_Data!N1408))</f>
        <v>No</v>
      </c>
      <c r="M1408" s="13" t="n">
        <f aca="false">IF(C1408="",0,1)</f>
        <v>0</v>
      </c>
      <c r="N1408" s="13" t="str">
        <f aca="false">IF(M1408=0,"Active",IF(TRIM(Raw_Data!L1408)="","Unknown",PROPER(TRIM(Raw_Data!L1408))))</f>
        <v>Active</v>
      </c>
      <c r="O1408" s="13" t="str">
        <f aca="false">IF(M1408=0,"",IF(TRIM(Raw_Data!M1408)="","Not Recorded",TRIM(Raw_Data!M1408)))</f>
        <v/>
      </c>
      <c r="P1408" s="16" t="n">
        <f aca="false">ROUND((IF(C1408="",AsOfDate,C1408)-B1408)/365.25,2)</f>
        <v>3.18</v>
      </c>
      <c r="Q1408" s="13" t="str">
        <f aca="false">IF(D1408="","Unknown",IF(D1408&lt;25,"Under 25",IF(D1408&lt;35,"25-34",IF(D1408&lt;45,"35-44",IF(D1408&lt;55,"45-54","55+")))))</f>
        <v>35-44</v>
      </c>
      <c r="R1408" s="13" t="str">
        <f aca="false">IF(P1408&lt;1,"0-1 yrs",IF(P1408&lt;3,"1-3 yrs",IF(P1408&lt;5,"3-5 yrs",IF(P1408&lt;10,"5-10 yrs","10+ yrs"))))</f>
        <v>3-5 yrs</v>
      </c>
      <c r="S1408" s="13" t="str">
        <f aca="false">IF(I1408&gt;=4,"High",IF(I1408=3,"Medium","Low"))</f>
        <v>High</v>
      </c>
      <c r="T1408" s="13" t="str">
        <f aca="false">IF(M1408=1,YEAR(C1408),"")</f>
        <v/>
      </c>
      <c r="U1408" s="13" t="str">
        <f aca="false">IF(M1408=1,YEAR(C1408)&amp;"-Q"&amp;ROUNDUP(MONTH(C1408)/3,0),"")</f>
        <v/>
      </c>
      <c r="V1408" s="13" t="str">
        <f aca="false">IF(M1408=1,MONTH(C1408),"")</f>
        <v/>
      </c>
    </row>
    <row r="1409" customFormat="false" ht="15" hidden="false" customHeight="false" outlineLevel="0" collapsed="false">
      <c r="A1409" s="13" t="str">
        <f aca="false">TRIM(Raw_Data!A1409)</f>
        <v>EMP1408</v>
      </c>
      <c r="B1409" s="14" t="n">
        <f aca="false">Raw_Data!B1409</f>
        <v>44862</v>
      </c>
      <c r="C1409" s="14" t="n">
        <f aca="false">IF(Raw_Data!C1409="","",Raw_Data!C1409)</f>
        <v>45025</v>
      </c>
      <c r="D1409" s="13" t="n">
        <f aca="false">IF(Raw_Data!D1409="","",Raw_Data!D1409)</f>
        <v>27</v>
      </c>
      <c r="E1409" s="13" t="str">
        <f aca="false">IF(UPPER(LEFT(TRIM(Raw_Data!E1409),1))="M","Male",IF(UPPER(LEFT(TRIM(Raw_Data!E1409),1))="F","Female","Unknown"))</f>
        <v>Female</v>
      </c>
      <c r="F1409" s="13" t="str">
        <f aca="false">PROPER(TRIM(SUBSTITUTE(Raw_Data!F1409,"'","")))</f>
        <v>Masters</v>
      </c>
      <c r="G1409" s="13" t="str">
        <f aca="false">PROPER(TRIM(Raw_Data!G1409))</f>
        <v>Operations</v>
      </c>
      <c r="H1409" s="13" t="str">
        <f aca="false">PROPER(TRIM(Raw_Data!H1409))</f>
        <v>Specialist</v>
      </c>
      <c r="I1409" s="13" t="n">
        <f aca="false">IF(Raw_Data!I1409="",DefaultPerf,Raw_Data!I1409)</f>
        <v>4</v>
      </c>
      <c r="J1409" s="13" t="n">
        <f aca="false">IF(Raw_Data!J1409="",DefaultSat,Raw_Data!J1409)</f>
        <v>3</v>
      </c>
      <c r="K1409" s="15" t="n">
        <f aca="false">Raw_Data!K1409</f>
        <v>106500</v>
      </c>
      <c r="L1409" s="13" t="str">
        <f aca="false">PROPER(TRIM(Raw_Data!N1409))</f>
        <v>No</v>
      </c>
      <c r="M1409" s="13" t="n">
        <f aca="false">IF(C1409="",0,1)</f>
        <v>1</v>
      </c>
      <c r="N1409" s="13" t="str">
        <f aca="false">IF(M1409=0,"Active",IF(TRIM(Raw_Data!L1409)="","Unknown",PROPER(TRIM(Raw_Data!L1409))))</f>
        <v>Voluntary</v>
      </c>
      <c r="O1409" s="13" t="str">
        <f aca="false">IF(M1409=0,"",IF(TRIM(Raw_Data!M1409)="","Not Recorded",TRIM(Raw_Data!M1409)))</f>
        <v>Job Dissatisfaction</v>
      </c>
      <c r="P1409" s="16" t="n">
        <f aca="false">ROUND((IF(C1409="",AsOfDate,C1409)-B1409)/365.25,2)</f>
        <v>0.45</v>
      </c>
      <c r="Q1409" s="13" t="str">
        <f aca="false">IF(D1409="","Unknown",IF(D1409&lt;25,"Under 25",IF(D1409&lt;35,"25-34",IF(D1409&lt;45,"35-44",IF(D1409&lt;55,"45-54","55+")))))</f>
        <v>25-34</v>
      </c>
      <c r="R1409" s="13" t="str">
        <f aca="false">IF(P1409&lt;1,"0-1 yrs",IF(P1409&lt;3,"1-3 yrs",IF(P1409&lt;5,"3-5 yrs",IF(P1409&lt;10,"5-10 yrs","10+ yrs"))))</f>
        <v>0-1 yrs</v>
      </c>
      <c r="S1409" s="13" t="str">
        <f aca="false">IF(I1409&gt;=4,"High",IF(I1409=3,"Medium","Low"))</f>
        <v>High</v>
      </c>
      <c r="T1409" s="13" t="n">
        <f aca="false">IF(M1409=1,YEAR(C1409),"")</f>
        <v>2023</v>
      </c>
      <c r="U1409" s="13" t="str">
        <f aca="false">IF(M1409=1,YEAR(C1409)&amp;"-Q"&amp;ROUNDUP(MONTH(C1409)/3,0),"")</f>
        <v>2023-Q2</v>
      </c>
      <c r="V1409" s="13" t="n">
        <f aca="false">IF(M1409=1,MONTH(C1409),"")</f>
        <v>4</v>
      </c>
    </row>
    <row r="1410" customFormat="false" ht="15" hidden="false" customHeight="false" outlineLevel="0" collapsed="false">
      <c r="A1410" s="13" t="str">
        <f aca="false">TRIM(Raw_Data!A1410)</f>
        <v>EMP1409</v>
      </c>
      <c r="B1410" s="14" t="n">
        <f aca="false">Raw_Data!B1410</f>
        <v>44862</v>
      </c>
      <c r="C1410" s="14" t="n">
        <f aca="false">IF(Raw_Data!C1410="","",Raw_Data!C1410)</f>
        <v>45175</v>
      </c>
      <c r="D1410" s="13" t="n">
        <f aca="false">IF(Raw_Data!D1410="","",Raw_Data!D1410)</f>
        <v>29</v>
      </c>
      <c r="E1410" s="13" t="str">
        <f aca="false">IF(UPPER(LEFT(TRIM(Raw_Data!E1410),1))="M","Male",IF(UPPER(LEFT(TRIM(Raw_Data!E1410),1))="F","Female","Unknown"))</f>
        <v>Female</v>
      </c>
      <c r="F1410" s="13" t="str">
        <f aca="false">PROPER(TRIM(SUBSTITUTE(Raw_Data!F1410,"'","")))</f>
        <v>Diploma</v>
      </c>
      <c r="G1410" s="13" t="str">
        <f aca="false">PROPER(TRIM(Raw_Data!G1410))</f>
        <v>Engineering</v>
      </c>
      <c r="H1410" s="13" t="str">
        <f aca="false">PROPER(TRIM(Raw_Data!H1410))</f>
        <v>Senior Analyst</v>
      </c>
      <c r="I1410" s="13" t="n">
        <f aca="false">IF(Raw_Data!I1410="",DefaultPerf,Raw_Data!I1410)</f>
        <v>2</v>
      </c>
      <c r="J1410" s="13" t="n">
        <f aca="false">IF(Raw_Data!J1410="",DefaultSat,Raw_Data!J1410)</f>
        <v>4</v>
      </c>
      <c r="K1410" s="15" t="n">
        <f aca="false">Raw_Data!K1410</f>
        <v>81000</v>
      </c>
      <c r="L1410" s="13" t="str">
        <f aca="false">PROPER(TRIM(Raw_Data!N1410))</f>
        <v>Yes</v>
      </c>
      <c r="M1410" s="13" t="n">
        <f aca="false">IF(C1410="",0,1)</f>
        <v>1</v>
      </c>
      <c r="N1410" s="13" t="str">
        <f aca="false">IF(M1410=0,"Active",IF(TRIM(Raw_Data!L1410)="","Unknown",PROPER(TRIM(Raw_Data!L1410))))</f>
        <v>Involuntary</v>
      </c>
      <c r="O1410" s="13" t="str">
        <f aca="false">IF(M1410=0,"",IF(TRIM(Raw_Data!M1410)="","Not Recorded",TRIM(Raw_Data!M1410)))</f>
        <v>End of Contract</v>
      </c>
      <c r="P1410" s="16" t="n">
        <f aca="false">ROUND((IF(C1410="",AsOfDate,C1410)-B1410)/365.25,2)</f>
        <v>0.86</v>
      </c>
      <c r="Q1410" s="13" t="str">
        <f aca="false">IF(D1410="","Unknown",IF(D1410&lt;25,"Under 25",IF(D1410&lt;35,"25-34",IF(D1410&lt;45,"35-44",IF(D1410&lt;55,"45-54","55+")))))</f>
        <v>25-34</v>
      </c>
      <c r="R1410" s="13" t="str">
        <f aca="false">IF(P1410&lt;1,"0-1 yrs",IF(P1410&lt;3,"1-3 yrs",IF(P1410&lt;5,"3-5 yrs",IF(P1410&lt;10,"5-10 yrs","10+ yrs"))))</f>
        <v>0-1 yrs</v>
      </c>
      <c r="S1410" s="13" t="str">
        <f aca="false">IF(I1410&gt;=4,"High",IF(I1410=3,"Medium","Low"))</f>
        <v>Low</v>
      </c>
      <c r="T1410" s="13" t="n">
        <f aca="false">IF(M1410=1,YEAR(C1410),"")</f>
        <v>2023</v>
      </c>
      <c r="U1410" s="13" t="str">
        <f aca="false">IF(M1410=1,YEAR(C1410)&amp;"-Q"&amp;ROUNDUP(MONTH(C1410)/3,0),"")</f>
        <v>2023-Q3</v>
      </c>
      <c r="V1410" s="13" t="n">
        <f aca="false">IF(M1410=1,MONTH(C1410),"")</f>
        <v>9</v>
      </c>
    </row>
    <row r="1411" customFormat="false" ht="15" hidden="false" customHeight="false" outlineLevel="0" collapsed="false">
      <c r="A1411" s="13" t="str">
        <f aca="false">TRIM(Raw_Data!A1411)</f>
        <v>EMP1410</v>
      </c>
      <c r="B1411" s="14" t="n">
        <f aca="false">Raw_Data!B1411</f>
        <v>44865</v>
      </c>
      <c r="C1411" s="14" t="n">
        <f aca="false">IF(Raw_Data!C1411="","",Raw_Data!C1411)</f>
        <v>45033</v>
      </c>
      <c r="D1411" s="13" t="n">
        <f aca="false">IF(Raw_Data!D1411="","",Raw_Data!D1411)</f>
        <v>21</v>
      </c>
      <c r="E1411" s="13" t="str">
        <f aca="false">IF(UPPER(LEFT(TRIM(Raw_Data!E1411),1))="M","Male",IF(UPPER(LEFT(TRIM(Raw_Data!E1411),1))="F","Female","Unknown"))</f>
        <v>Male</v>
      </c>
      <c r="F1411" s="13" t="str">
        <f aca="false">PROPER(TRIM(SUBSTITUTE(Raw_Data!F1411,"'","")))</f>
        <v>Bachelors</v>
      </c>
      <c r="G1411" s="13" t="str">
        <f aca="false">PROPER(TRIM(Raw_Data!G1411))</f>
        <v>Customer Support</v>
      </c>
      <c r="H1411" s="13" t="str">
        <f aca="false">PROPER(TRIM(Raw_Data!H1411))</f>
        <v>Team Lead</v>
      </c>
      <c r="I1411" s="13" t="n">
        <f aca="false">IF(Raw_Data!I1411="",DefaultPerf,Raw_Data!I1411)</f>
        <v>3</v>
      </c>
      <c r="J1411" s="13" t="n">
        <f aca="false">IF(Raw_Data!J1411="",DefaultSat,Raw_Data!J1411)</f>
        <v>2</v>
      </c>
      <c r="K1411" s="15" t="n">
        <f aca="false">Raw_Data!K1411</f>
        <v>127000</v>
      </c>
      <c r="L1411" s="13" t="str">
        <f aca="false">PROPER(TRIM(Raw_Data!N1411))</f>
        <v>No</v>
      </c>
      <c r="M1411" s="13" t="n">
        <f aca="false">IF(C1411="",0,1)</f>
        <v>1</v>
      </c>
      <c r="N1411" s="13" t="str">
        <f aca="false">IF(M1411=0,"Active",IF(TRIM(Raw_Data!L1411)="","Unknown",PROPER(TRIM(Raw_Data!L1411))))</f>
        <v>Voluntary</v>
      </c>
      <c r="O1411" s="13" t="str">
        <f aca="false">IF(M1411=0,"",IF(TRIM(Raw_Data!M1411)="","Not Recorded",TRIM(Raw_Data!M1411)))</f>
        <v>Job Dissatisfaction</v>
      </c>
      <c r="P1411" s="16" t="n">
        <f aca="false">ROUND((IF(C1411="",AsOfDate,C1411)-B1411)/365.25,2)</f>
        <v>0.46</v>
      </c>
      <c r="Q1411" s="13" t="str">
        <f aca="false">IF(D1411="","Unknown",IF(D1411&lt;25,"Under 25",IF(D1411&lt;35,"25-34",IF(D1411&lt;45,"35-44",IF(D1411&lt;55,"45-54","55+")))))</f>
        <v>Under 25</v>
      </c>
      <c r="R1411" s="13" t="str">
        <f aca="false">IF(P1411&lt;1,"0-1 yrs",IF(P1411&lt;3,"1-3 yrs",IF(P1411&lt;5,"3-5 yrs",IF(P1411&lt;10,"5-10 yrs","10+ yrs"))))</f>
        <v>0-1 yrs</v>
      </c>
      <c r="S1411" s="13" t="str">
        <f aca="false">IF(I1411&gt;=4,"High",IF(I1411=3,"Medium","Low"))</f>
        <v>Medium</v>
      </c>
      <c r="T1411" s="13" t="n">
        <f aca="false">IF(M1411=1,YEAR(C1411),"")</f>
        <v>2023</v>
      </c>
      <c r="U1411" s="13" t="str">
        <f aca="false">IF(M1411=1,YEAR(C1411)&amp;"-Q"&amp;ROUNDUP(MONTH(C1411)/3,0),"")</f>
        <v>2023-Q2</v>
      </c>
      <c r="V1411" s="13" t="n">
        <f aca="false">IF(M1411=1,MONTH(C1411),"")</f>
        <v>4</v>
      </c>
    </row>
    <row r="1412" customFormat="false" ht="15" hidden="false" customHeight="false" outlineLevel="0" collapsed="false">
      <c r="A1412" s="13" t="str">
        <f aca="false">TRIM(Raw_Data!A1412)</f>
        <v>EMP1411</v>
      </c>
      <c r="B1412" s="14" t="n">
        <f aca="false">Raw_Data!B1412</f>
        <v>44867</v>
      </c>
      <c r="C1412" s="14" t="n">
        <f aca="false">IF(Raw_Data!C1412="","",Raw_Data!C1412)</f>
        <v>44923</v>
      </c>
      <c r="D1412" s="13" t="n">
        <f aca="false">IF(Raw_Data!D1412="","",Raw_Data!D1412)</f>
        <v>28</v>
      </c>
      <c r="E1412" s="13" t="str">
        <f aca="false">IF(UPPER(LEFT(TRIM(Raw_Data!E1412),1))="M","Male",IF(UPPER(LEFT(TRIM(Raw_Data!E1412),1))="F","Female","Unknown"))</f>
        <v>Male</v>
      </c>
      <c r="F1412" s="13" t="str">
        <f aca="false">PROPER(TRIM(SUBSTITUTE(Raw_Data!F1412,"'","")))</f>
        <v>Diploma</v>
      </c>
      <c r="G1412" s="13" t="str">
        <f aca="false">PROPER(TRIM(Raw_Data!G1412))</f>
        <v>Engineering</v>
      </c>
      <c r="H1412" s="13" t="str">
        <f aca="false">PROPER(TRIM(Raw_Data!H1412))</f>
        <v>Senior Analyst</v>
      </c>
      <c r="I1412" s="13" t="n">
        <f aca="false">IF(Raw_Data!I1412="",DefaultPerf,Raw_Data!I1412)</f>
        <v>4</v>
      </c>
      <c r="J1412" s="13" t="n">
        <f aca="false">IF(Raw_Data!J1412="",DefaultSat,Raw_Data!J1412)</f>
        <v>1</v>
      </c>
      <c r="K1412" s="15" t="n">
        <f aca="false">Raw_Data!K1412</f>
        <v>86500</v>
      </c>
      <c r="L1412" s="13" t="str">
        <f aca="false">PROPER(TRIM(Raw_Data!N1412))</f>
        <v>No</v>
      </c>
      <c r="M1412" s="13" t="n">
        <f aca="false">IF(C1412="",0,1)</f>
        <v>1</v>
      </c>
      <c r="N1412" s="13" t="str">
        <f aca="false">IF(M1412=0,"Active",IF(TRIM(Raw_Data!L1412)="","Unknown",PROPER(TRIM(Raw_Data!L1412))))</f>
        <v>Voluntary</v>
      </c>
      <c r="O1412" s="13" t="str">
        <f aca="false">IF(M1412=0,"",IF(TRIM(Raw_Data!M1412)="","Not Recorded",TRIM(Raw_Data!M1412)))</f>
        <v>Work-Life Balance</v>
      </c>
      <c r="P1412" s="16" t="n">
        <f aca="false">ROUND((IF(C1412="",AsOfDate,C1412)-B1412)/365.25,2)</f>
        <v>0.15</v>
      </c>
      <c r="Q1412" s="13" t="str">
        <f aca="false">IF(D1412="","Unknown",IF(D1412&lt;25,"Under 25",IF(D1412&lt;35,"25-34",IF(D1412&lt;45,"35-44",IF(D1412&lt;55,"45-54","55+")))))</f>
        <v>25-34</v>
      </c>
      <c r="R1412" s="13" t="str">
        <f aca="false">IF(P1412&lt;1,"0-1 yrs",IF(P1412&lt;3,"1-3 yrs",IF(P1412&lt;5,"3-5 yrs",IF(P1412&lt;10,"5-10 yrs","10+ yrs"))))</f>
        <v>0-1 yrs</v>
      </c>
      <c r="S1412" s="13" t="str">
        <f aca="false">IF(I1412&gt;=4,"High",IF(I1412=3,"Medium","Low"))</f>
        <v>High</v>
      </c>
      <c r="T1412" s="13" t="n">
        <f aca="false">IF(M1412=1,YEAR(C1412),"")</f>
        <v>2022</v>
      </c>
      <c r="U1412" s="13" t="str">
        <f aca="false">IF(M1412=1,YEAR(C1412)&amp;"-Q"&amp;ROUNDUP(MONTH(C1412)/3,0),"")</f>
        <v>2022-Q4</v>
      </c>
      <c r="V1412" s="13" t="n">
        <f aca="false">IF(M1412=1,MONTH(C1412),"")</f>
        <v>12</v>
      </c>
    </row>
    <row r="1413" customFormat="false" ht="15" hidden="false" customHeight="false" outlineLevel="0" collapsed="false">
      <c r="A1413" s="13" t="str">
        <f aca="false">TRIM(Raw_Data!A1413)</f>
        <v>EMP1412</v>
      </c>
      <c r="B1413" s="14" t="n">
        <f aca="false">Raw_Data!B1413</f>
        <v>44868</v>
      </c>
      <c r="C1413" s="14" t="n">
        <f aca="false">IF(Raw_Data!C1413="","",Raw_Data!C1413)</f>
        <v>45955</v>
      </c>
      <c r="D1413" s="13" t="n">
        <f aca="false">IF(Raw_Data!D1413="","",Raw_Data!D1413)</f>
        <v>31</v>
      </c>
      <c r="E1413" s="13" t="str">
        <f aca="false">IF(UPPER(LEFT(TRIM(Raw_Data!E1413),1))="M","Male",IF(UPPER(LEFT(TRIM(Raw_Data!E1413),1))="F","Female","Unknown"))</f>
        <v>Female</v>
      </c>
      <c r="F1413" s="13" t="str">
        <f aca="false">PROPER(TRIM(SUBSTITUTE(Raw_Data!F1413,"'","")))</f>
        <v>High School</v>
      </c>
      <c r="G1413" s="13" t="str">
        <f aca="false">PROPER(TRIM(Raw_Data!G1413))</f>
        <v>Sales</v>
      </c>
      <c r="H1413" s="13" t="str">
        <f aca="false">PROPER(TRIM(Raw_Data!H1413))</f>
        <v>Team Lead</v>
      </c>
      <c r="I1413" s="13" t="n">
        <f aca="false">IF(Raw_Data!I1413="",DefaultPerf,Raw_Data!I1413)</f>
        <v>3</v>
      </c>
      <c r="J1413" s="13" t="n">
        <f aca="false">IF(Raw_Data!J1413="",DefaultSat,Raw_Data!J1413)</f>
        <v>2</v>
      </c>
      <c r="K1413" s="15" t="n">
        <f aca="false">Raw_Data!K1413</f>
        <v>120000</v>
      </c>
      <c r="L1413" s="13" t="str">
        <f aca="false">PROPER(TRIM(Raw_Data!N1413))</f>
        <v>No</v>
      </c>
      <c r="M1413" s="13" t="n">
        <f aca="false">IF(C1413="",0,1)</f>
        <v>1</v>
      </c>
      <c r="N1413" s="13" t="str">
        <f aca="false">IF(M1413=0,"Active",IF(TRIM(Raw_Data!L1413)="","Unknown",PROPER(TRIM(Raw_Data!L1413))))</f>
        <v>Voluntary</v>
      </c>
      <c r="O1413" s="13" t="str">
        <f aca="false">IF(M1413=0,"",IF(TRIM(Raw_Data!M1413)="","Not Recorded",TRIM(Raw_Data!M1413)))</f>
        <v>Personal Reasons</v>
      </c>
      <c r="P1413" s="16" t="n">
        <f aca="false">ROUND((IF(C1413="",AsOfDate,C1413)-B1413)/365.25,2)</f>
        <v>2.98</v>
      </c>
      <c r="Q1413" s="13" t="str">
        <f aca="false">IF(D1413="","Unknown",IF(D1413&lt;25,"Under 25",IF(D1413&lt;35,"25-34",IF(D1413&lt;45,"35-44",IF(D1413&lt;55,"45-54","55+")))))</f>
        <v>25-34</v>
      </c>
      <c r="R1413" s="13" t="str">
        <f aca="false">IF(P1413&lt;1,"0-1 yrs",IF(P1413&lt;3,"1-3 yrs",IF(P1413&lt;5,"3-5 yrs",IF(P1413&lt;10,"5-10 yrs","10+ yrs"))))</f>
        <v>1-3 yrs</v>
      </c>
      <c r="S1413" s="13" t="str">
        <f aca="false">IF(I1413&gt;=4,"High",IF(I1413=3,"Medium","Low"))</f>
        <v>Medium</v>
      </c>
      <c r="T1413" s="13" t="n">
        <f aca="false">IF(M1413=1,YEAR(C1413),"")</f>
        <v>2025</v>
      </c>
      <c r="U1413" s="13" t="str">
        <f aca="false">IF(M1413=1,YEAR(C1413)&amp;"-Q"&amp;ROUNDUP(MONTH(C1413)/3,0),"")</f>
        <v>2025-Q4</v>
      </c>
      <c r="V1413" s="13" t="n">
        <f aca="false">IF(M1413=1,MONTH(C1413),"")</f>
        <v>10</v>
      </c>
    </row>
    <row r="1414" customFormat="false" ht="15" hidden="false" customHeight="false" outlineLevel="0" collapsed="false">
      <c r="A1414" s="13" t="str">
        <f aca="false">TRIM(Raw_Data!A1414)</f>
        <v>EMP1413</v>
      </c>
      <c r="B1414" s="14" t="n">
        <f aca="false">Raw_Data!B1414</f>
        <v>44868</v>
      </c>
      <c r="C1414" s="14" t="str">
        <f aca="false">IF(Raw_Data!C1414="","",Raw_Data!C1414)</f>
        <v/>
      </c>
      <c r="D1414" s="13" t="n">
        <f aca="false">IF(Raw_Data!D1414="","",Raw_Data!D1414)</f>
        <v>24</v>
      </c>
      <c r="E1414" s="13" t="str">
        <f aca="false">IF(UPPER(LEFT(TRIM(Raw_Data!E1414),1))="M","Male",IF(UPPER(LEFT(TRIM(Raw_Data!E1414),1))="F","Female","Unknown"))</f>
        <v>Male</v>
      </c>
      <c r="F1414" s="13" t="str">
        <f aca="false">PROPER(TRIM(SUBSTITUTE(Raw_Data!F1414,"'","")))</f>
        <v>Masters</v>
      </c>
      <c r="G1414" s="13" t="str">
        <f aca="false">PROPER(TRIM(Raw_Data!G1414))</f>
        <v>Human Resources</v>
      </c>
      <c r="H1414" s="13" t="str">
        <f aca="false">PROPER(TRIM(Raw_Data!H1414))</f>
        <v>Senior Analyst</v>
      </c>
      <c r="I1414" s="13" t="n">
        <f aca="false">IF(Raw_Data!I1414="",DefaultPerf,Raw_Data!I1414)</f>
        <v>4</v>
      </c>
      <c r="J1414" s="13" t="n">
        <f aca="false">IF(Raw_Data!J1414="",DefaultSat,Raw_Data!J1414)</f>
        <v>4</v>
      </c>
      <c r="K1414" s="15" t="n">
        <f aca="false">Raw_Data!K1414</f>
        <v>92000</v>
      </c>
      <c r="L1414" s="13" t="str">
        <f aca="false">PROPER(TRIM(Raw_Data!N1414))</f>
        <v>No</v>
      </c>
      <c r="M1414" s="13" t="n">
        <f aca="false">IF(C1414="",0,1)</f>
        <v>0</v>
      </c>
      <c r="N1414" s="13" t="str">
        <f aca="false">IF(M1414=0,"Active",IF(TRIM(Raw_Data!L1414)="","Unknown",PROPER(TRIM(Raw_Data!L1414))))</f>
        <v>Active</v>
      </c>
      <c r="O1414" s="13" t="str">
        <f aca="false">IF(M1414=0,"",IF(TRIM(Raw_Data!M1414)="","Not Recorded",TRIM(Raw_Data!M1414)))</f>
        <v/>
      </c>
      <c r="P1414" s="16" t="n">
        <f aca="false">ROUND((IF(C1414="",AsOfDate,C1414)-B1414)/365.25,2)</f>
        <v>3.16</v>
      </c>
      <c r="Q1414" s="13" t="str">
        <f aca="false">IF(D1414="","Unknown",IF(D1414&lt;25,"Under 25",IF(D1414&lt;35,"25-34",IF(D1414&lt;45,"35-44",IF(D1414&lt;55,"45-54","55+")))))</f>
        <v>Under 25</v>
      </c>
      <c r="R1414" s="13" t="str">
        <f aca="false">IF(P1414&lt;1,"0-1 yrs",IF(P1414&lt;3,"1-3 yrs",IF(P1414&lt;5,"3-5 yrs",IF(P1414&lt;10,"5-10 yrs","10+ yrs"))))</f>
        <v>3-5 yrs</v>
      </c>
      <c r="S1414" s="13" t="str">
        <f aca="false">IF(I1414&gt;=4,"High",IF(I1414=3,"Medium","Low"))</f>
        <v>High</v>
      </c>
      <c r="T1414" s="13" t="str">
        <f aca="false">IF(M1414=1,YEAR(C1414),"")</f>
        <v/>
      </c>
      <c r="U1414" s="13" t="str">
        <f aca="false">IF(M1414=1,YEAR(C1414)&amp;"-Q"&amp;ROUNDUP(MONTH(C1414)/3,0),"")</f>
        <v/>
      </c>
      <c r="V1414" s="13" t="str">
        <f aca="false">IF(M1414=1,MONTH(C1414),"")</f>
        <v/>
      </c>
    </row>
    <row r="1415" customFormat="false" ht="15" hidden="false" customHeight="false" outlineLevel="0" collapsed="false">
      <c r="A1415" s="13" t="str">
        <f aca="false">TRIM(Raw_Data!A1415)</f>
        <v>EMP1414</v>
      </c>
      <c r="B1415" s="14" t="n">
        <f aca="false">Raw_Data!B1415</f>
        <v>44869</v>
      </c>
      <c r="C1415" s="14" t="n">
        <f aca="false">IF(Raw_Data!C1415="","",Raw_Data!C1415)</f>
        <v>45479</v>
      </c>
      <c r="D1415" s="13" t="n">
        <f aca="false">IF(Raw_Data!D1415="","",Raw_Data!D1415)</f>
        <v>29</v>
      </c>
      <c r="E1415" s="13" t="str">
        <f aca="false">IF(UPPER(LEFT(TRIM(Raw_Data!E1415),1))="M","Male",IF(UPPER(LEFT(TRIM(Raw_Data!E1415),1))="F","Female","Unknown"))</f>
        <v>Male</v>
      </c>
      <c r="F1415" s="13" t="str">
        <f aca="false">PROPER(TRIM(SUBSTITUTE(Raw_Data!F1415,"'","")))</f>
        <v>Bachelors</v>
      </c>
      <c r="G1415" s="13" t="str">
        <f aca="false">PROPER(TRIM(Raw_Data!G1415))</f>
        <v>Engineering</v>
      </c>
      <c r="H1415" s="13" t="str">
        <f aca="false">PROPER(TRIM(Raw_Data!H1415))</f>
        <v>Analyst</v>
      </c>
      <c r="I1415" s="13" t="n">
        <f aca="false">IF(Raw_Data!I1415="",DefaultPerf,Raw_Data!I1415)</f>
        <v>4</v>
      </c>
      <c r="J1415" s="13" t="n">
        <f aca="false">IF(Raw_Data!J1415="",DefaultSat,Raw_Data!J1415)</f>
        <v>2</v>
      </c>
      <c r="K1415" s="15" t="n">
        <f aca="false">Raw_Data!K1415</f>
        <v>55500</v>
      </c>
      <c r="L1415" s="13" t="str">
        <f aca="false">PROPER(TRIM(Raw_Data!N1415))</f>
        <v>No</v>
      </c>
      <c r="M1415" s="13" t="n">
        <f aca="false">IF(C1415="",0,1)</f>
        <v>1</v>
      </c>
      <c r="N1415" s="13" t="str">
        <f aca="false">IF(M1415=0,"Active",IF(TRIM(Raw_Data!L1415)="","Unknown",PROPER(TRIM(Raw_Data!L1415))))</f>
        <v>Voluntary</v>
      </c>
      <c r="O1415" s="13" t="str">
        <f aca="false">IF(M1415=0,"",IF(TRIM(Raw_Data!M1415)="","Not Recorded",TRIM(Raw_Data!M1415)))</f>
        <v>Manager Issues</v>
      </c>
      <c r="P1415" s="16" t="n">
        <f aca="false">ROUND((IF(C1415="",AsOfDate,C1415)-B1415)/365.25,2)</f>
        <v>1.67</v>
      </c>
      <c r="Q1415" s="13" t="str">
        <f aca="false">IF(D1415="","Unknown",IF(D1415&lt;25,"Under 25",IF(D1415&lt;35,"25-34",IF(D1415&lt;45,"35-44",IF(D1415&lt;55,"45-54","55+")))))</f>
        <v>25-34</v>
      </c>
      <c r="R1415" s="13" t="str">
        <f aca="false">IF(P1415&lt;1,"0-1 yrs",IF(P1415&lt;3,"1-3 yrs",IF(P1415&lt;5,"3-5 yrs",IF(P1415&lt;10,"5-10 yrs","10+ yrs"))))</f>
        <v>1-3 yrs</v>
      </c>
      <c r="S1415" s="13" t="str">
        <f aca="false">IF(I1415&gt;=4,"High",IF(I1415=3,"Medium","Low"))</f>
        <v>High</v>
      </c>
      <c r="T1415" s="13" t="n">
        <f aca="false">IF(M1415=1,YEAR(C1415),"")</f>
        <v>2024</v>
      </c>
      <c r="U1415" s="13" t="str">
        <f aca="false">IF(M1415=1,YEAR(C1415)&amp;"-Q"&amp;ROUNDUP(MONTH(C1415)/3,0),"")</f>
        <v>2024-Q3</v>
      </c>
      <c r="V1415" s="13" t="n">
        <f aca="false">IF(M1415=1,MONTH(C1415),"")</f>
        <v>7</v>
      </c>
    </row>
    <row r="1416" customFormat="false" ht="15" hidden="false" customHeight="false" outlineLevel="0" collapsed="false">
      <c r="A1416" s="13" t="str">
        <f aca="false">TRIM(Raw_Data!A1416)</f>
        <v>EMP1415</v>
      </c>
      <c r="B1416" s="14" t="n">
        <f aca="false">Raw_Data!B1416</f>
        <v>44871</v>
      </c>
      <c r="C1416" s="14" t="n">
        <f aca="false">IF(Raw_Data!C1416="","",Raw_Data!C1416)</f>
        <v>45763</v>
      </c>
      <c r="D1416" s="13" t="n">
        <f aca="false">IF(Raw_Data!D1416="","",Raw_Data!D1416)</f>
        <v>23</v>
      </c>
      <c r="E1416" s="13" t="str">
        <f aca="false">IF(UPPER(LEFT(TRIM(Raw_Data!E1416),1))="M","Male",IF(UPPER(LEFT(TRIM(Raw_Data!E1416),1))="F","Female","Unknown"))</f>
        <v>Male</v>
      </c>
      <c r="F1416" s="13" t="str">
        <f aca="false">PROPER(TRIM(SUBSTITUTE(Raw_Data!F1416,"'","")))</f>
        <v>Bachelors</v>
      </c>
      <c r="G1416" s="13" t="str">
        <f aca="false">PROPER(TRIM(Raw_Data!G1416))</f>
        <v>Finance</v>
      </c>
      <c r="H1416" s="13" t="str">
        <f aca="false">PROPER(TRIM(Raw_Data!H1416))</f>
        <v>Analyst</v>
      </c>
      <c r="I1416" s="13" t="n">
        <f aca="false">IF(Raw_Data!I1416="",DefaultPerf,Raw_Data!I1416)</f>
        <v>4</v>
      </c>
      <c r="J1416" s="13" t="n">
        <f aca="false">IF(Raw_Data!J1416="",DefaultSat,Raw_Data!J1416)</f>
        <v>3</v>
      </c>
      <c r="K1416" s="15" t="n">
        <f aca="false">Raw_Data!K1416</f>
        <v>61500</v>
      </c>
      <c r="L1416" s="13" t="str">
        <f aca="false">PROPER(TRIM(Raw_Data!N1416))</f>
        <v>No</v>
      </c>
      <c r="M1416" s="13" t="n">
        <f aca="false">IF(C1416="",0,1)</f>
        <v>1</v>
      </c>
      <c r="N1416" s="13" t="str">
        <f aca="false">IF(M1416=0,"Active",IF(TRIM(Raw_Data!L1416)="","Unknown",PROPER(TRIM(Raw_Data!L1416))))</f>
        <v>Involuntary</v>
      </c>
      <c r="O1416" s="13" t="str">
        <f aca="false">IF(M1416=0,"",IF(TRIM(Raw_Data!M1416)="","Not Recorded",TRIM(Raw_Data!M1416)))</f>
        <v>End of Contract</v>
      </c>
      <c r="P1416" s="16" t="n">
        <f aca="false">ROUND((IF(C1416="",AsOfDate,C1416)-B1416)/365.25,2)</f>
        <v>2.44</v>
      </c>
      <c r="Q1416" s="13" t="str">
        <f aca="false">IF(D1416="","Unknown",IF(D1416&lt;25,"Under 25",IF(D1416&lt;35,"25-34",IF(D1416&lt;45,"35-44",IF(D1416&lt;55,"45-54","55+")))))</f>
        <v>Under 25</v>
      </c>
      <c r="R1416" s="13" t="str">
        <f aca="false">IF(P1416&lt;1,"0-1 yrs",IF(P1416&lt;3,"1-3 yrs",IF(P1416&lt;5,"3-5 yrs",IF(P1416&lt;10,"5-10 yrs","10+ yrs"))))</f>
        <v>1-3 yrs</v>
      </c>
      <c r="S1416" s="13" t="str">
        <f aca="false">IF(I1416&gt;=4,"High",IF(I1416=3,"Medium","Low"))</f>
        <v>High</v>
      </c>
      <c r="T1416" s="13" t="n">
        <f aca="false">IF(M1416=1,YEAR(C1416),"")</f>
        <v>2025</v>
      </c>
      <c r="U1416" s="13" t="str">
        <f aca="false">IF(M1416=1,YEAR(C1416)&amp;"-Q"&amp;ROUNDUP(MONTH(C1416)/3,0),"")</f>
        <v>2025-Q2</v>
      </c>
      <c r="V1416" s="13" t="n">
        <f aca="false">IF(M1416=1,MONTH(C1416),"")</f>
        <v>4</v>
      </c>
    </row>
    <row r="1417" customFormat="false" ht="15" hidden="false" customHeight="false" outlineLevel="0" collapsed="false">
      <c r="A1417" s="13" t="str">
        <f aca="false">TRIM(Raw_Data!A1417)</f>
        <v>EMP1416</v>
      </c>
      <c r="B1417" s="14" t="n">
        <f aca="false">Raw_Data!B1417</f>
        <v>44875</v>
      </c>
      <c r="C1417" s="14" t="n">
        <f aca="false">IF(Raw_Data!C1417="","",Raw_Data!C1417)</f>
        <v>45042</v>
      </c>
      <c r="D1417" s="13" t="n">
        <f aca="false">IF(Raw_Data!D1417="","",Raw_Data!D1417)</f>
        <v>30</v>
      </c>
      <c r="E1417" s="13" t="str">
        <f aca="false">IF(UPPER(LEFT(TRIM(Raw_Data!E1417),1))="M","Male",IF(UPPER(LEFT(TRIM(Raw_Data!E1417),1))="F","Female","Unknown"))</f>
        <v>Female</v>
      </c>
      <c r="F1417" s="13" t="str">
        <f aca="false">PROPER(TRIM(SUBSTITUTE(Raw_Data!F1417,"'","")))</f>
        <v>Bachelors</v>
      </c>
      <c r="G1417" s="13" t="str">
        <f aca="false">PROPER(TRIM(Raw_Data!G1417))</f>
        <v>Human Resources</v>
      </c>
      <c r="H1417" s="13" t="str">
        <f aca="false">PROPER(TRIM(Raw_Data!H1417))</f>
        <v>Analyst</v>
      </c>
      <c r="I1417" s="13" t="n">
        <f aca="false">IF(Raw_Data!I1417="",DefaultPerf,Raw_Data!I1417)</f>
        <v>3</v>
      </c>
      <c r="J1417" s="13" t="n">
        <f aca="false">IF(Raw_Data!J1417="",DefaultSat,Raw_Data!J1417)</f>
        <v>3</v>
      </c>
      <c r="K1417" s="15" t="n">
        <f aca="false">Raw_Data!K1417</f>
        <v>70500</v>
      </c>
      <c r="L1417" s="13" t="str">
        <f aca="false">PROPER(TRIM(Raw_Data!N1417))</f>
        <v>Yes</v>
      </c>
      <c r="M1417" s="13" t="n">
        <f aca="false">IF(C1417="",0,1)</f>
        <v>1</v>
      </c>
      <c r="N1417" s="13" t="str">
        <f aca="false">IF(M1417=0,"Active",IF(TRIM(Raw_Data!L1417)="","Unknown",PROPER(TRIM(Raw_Data!L1417))))</f>
        <v>Voluntary</v>
      </c>
      <c r="O1417" s="13" t="str">
        <f aca="false">IF(M1417=0,"",IF(TRIM(Raw_Data!M1417)="","Not Recorded",TRIM(Raw_Data!M1417)))</f>
        <v>Better Compensation</v>
      </c>
      <c r="P1417" s="16" t="n">
        <f aca="false">ROUND((IF(C1417="",AsOfDate,C1417)-B1417)/365.25,2)</f>
        <v>0.46</v>
      </c>
      <c r="Q1417" s="13" t="str">
        <f aca="false">IF(D1417="","Unknown",IF(D1417&lt;25,"Under 25",IF(D1417&lt;35,"25-34",IF(D1417&lt;45,"35-44",IF(D1417&lt;55,"45-54","55+")))))</f>
        <v>25-34</v>
      </c>
      <c r="R1417" s="13" t="str">
        <f aca="false">IF(P1417&lt;1,"0-1 yrs",IF(P1417&lt;3,"1-3 yrs",IF(P1417&lt;5,"3-5 yrs",IF(P1417&lt;10,"5-10 yrs","10+ yrs"))))</f>
        <v>0-1 yrs</v>
      </c>
      <c r="S1417" s="13" t="str">
        <f aca="false">IF(I1417&gt;=4,"High",IF(I1417=3,"Medium","Low"))</f>
        <v>Medium</v>
      </c>
      <c r="T1417" s="13" t="n">
        <f aca="false">IF(M1417=1,YEAR(C1417),"")</f>
        <v>2023</v>
      </c>
      <c r="U1417" s="13" t="str">
        <f aca="false">IF(M1417=1,YEAR(C1417)&amp;"-Q"&amp;ROUNDUP(MONTH(C1417)/3,0),"")</f>
        <v>2023-Q2</v>
      </c>
      <c r="V1417" s="13" t="n">
        <f aca="false">IF(M1417=1,MONTH(C1417),"")</f>
        <v>4</v>
      </c>
    </row>
    <row r="1418" customFormat="false" ht="15" hidden="false" customHeight="false" outlineLevel="0" collapsed="false">
      <c r="A1418" s="13" t="str">
        <f aca="false">TRIM(Raw_Data!A1418)</f>
        <v>EMP1417</v>
      </c>
      <c r="B1418" s="14" t="n">
        <f aca="false">Raw_Data!B1418</f>
        <v>44878</v>
      </c>
      <c r="C1418" s="14" t="n">
        <f aca="false">IF(Raw_Data!C1418="","",Raw_Data!C1418)</f>
        <v>45575</v>
      </c>
      <c r="D1418" s="13" t="n">
        <f aca="false">IF(Raw_Data!D1418="","",Raw_Data!D1418)</f>
        <v>36</v>
      </c>
      <c r="E1418" s="13" t="str">
        <f aca="false">IF(UPPER(LEFT(TRIM(Raw_Data!E1418),1))="M","Male",IF(UPPER(LEFT(TRIM(Raw_Data!E1418),1))="F","Female","Unknown"))</f>
        <v>Female</v>
      </c>
      <c r="F1418" s="13" t="str">
        <f aca="false">PROPER(TRIM(SUBSTITUTE(Raw_Data!F1418,"'","")))</f>
        <v>Masters</v>
      </c>
      <c r="G1418" s="13" t="str">
        <f aca="false">PROPER(TRIM(Raw_Data!G1418))</f>
        <v>Human Resources</v>
      </c>
      <c r="H1418" s="13" t="str">
        <f aca="false">PROPER(TRIM(Raw_Data!H1418))</f>
        <v>Team Lead</v>
      </c>
      <c r="I1418" s="13" t="n">
        <f aca="false">IF(Raw_Data!I1418="",DefaultPerf,Raw_Data!I1418)</f>
        <v>3</v>
      </c>
      <c r="J1418" s="13" t="n">
        <f aca="false">IF(Raw_Data!J1418="",DefaultSat,Raw_Data!J1418)</f>
        <v>2</v>
      </c>
      <c r="K1418" s="15" t="n">
        <f aca="false">Raw_Data!K1418</f>
        <v>119500</v>
      </c>
      <c r="L1418" s="13" t="str">
        <f aca="false">PROPER(TRIM(Raw_Data!N1418))</f>
        <v>Yes</v>
      </c>
      <c r="M1418" s="13" t="n">
        <f aca="false">IF(C1418="",0,1)</f>
        <v>1</v>
      </c>
      <c r="N1418" s="13" t="str">
        <f aca="false">IF(M1418=0,"Active",IF(TRIM(Raw_Data!L1418)="","Unknown",PROPER(TRIM(Raw_Data!L1418))))</f>
        <v>Voluntary</v>
      </c>
      <c r="O1418" s="13" t="str">
        <f aca="false">IF(M1418=0,"",IF(TRIM(Raw_Data!M1418)="","Not Recorded",TRIM(Raw_Data!M1418)))</f>
        <v>Better Compensation</v>
      </c>
      <c r="P1418" s="16" t="n">
        <f aca="false">ROUND((IF(C1418="",AsOfDate,C1418)-B1418)/365.25,2)</f>
        <v>1.91</v>
      </c>
      <c r="Q1418" s="13" t="str">
        <f aca="false">IF(D1418="","Unknown",IF(D1418&lt;25,"Under 25",IF(D1418&lt;35,"25-34",IF(D1418&lt;45,"35-44",IF(D1418&lt;55,"45-54","55+")))))</f>
        <v>35-44</v>
      </c>
      <c r="R1418" s="13" t="str">
        <f aca="false">IF(P1418&lt;1,"0-1 yrs",IF(P1418&lt;3,"1-3 yrs",IF(P1418&lt;5,"3-5 yrs",IF(P1418&lt;10,"5-10 yrs","10+ yrs"))))</f>
        <v>1-3 yrs</v>
      </c>
      <c r="S1418" s="13" t="str">
        <f aca="false">IF(I1418&gt;=4,"High",IF(I1418=3,"Medium","Low"))</f>
        <v>Medium</v>
      </c>
      <c r="T1418" s="13" t="n">
        <f aca="false">IF(M1418=1,YEAR(C1418),"")</f>
        <v>2024</v>
      </c>
      <c r="U1418" s="13" t="str">
        <f aca="false">IF(M1418=1,YEAR(C1418)&amp;"-Q"&amp;ROUNDUP(MONTH(C1418)/3,0),"")</f>
        <v>2024-Q4</v>
      </c>
      <c r="V1418" s="13" t="n">
        <f aca="false">IF(M1418=1,MONTH(C1418),"")</f>
        <v>10</v>
      </c>
    </row>
    <row r="1419" customFormat="false" ht="15" hidden="false" customHeight="false" outlineLevel="0" collapsed="false">
      <c r="A1419" s="13" t="str">
        <f aca="false">TRIM(Raw_Data!A1419)</f>
        <v>EMP1418</v>
      </c>
      <c r="B1419" s="14" t="n">
        <f aca="false">Raw_Data!B1419</f>
        <v>44880</v>
      </c>
      <c r="C1419" s="14" t="n">
        <f aca="false">IF(Raw_Data!C1419="","",Raw_Data!C1419)</f>
        <v>45493</v>
      </c>
      <c r="D1419" s="13" t="n">
        <f aca="false">IF(Raw_Data!D1419="","",Raw_Data!D1419)</f>
        <v>30</v>
      </c>
      <c r="E1419" s="13" t="str">
        <f aca="false">IF(UPPER(LEFT(TRIM(Raw_Data!E1419),1))="M","Male",IF(UPPER(LEFT(TRIM(Raw_Data!E1419),1))="F","Female","Unknown"))</f>
        <v>Female</v>
      </c>
      <c r="F1419" s="13" t="str">
        <f aca="false">PROPER(TRIM(SUBSTITUTE(Raw_Data!F1419,"'","")))</f>
        <v>Diploma</v>
      </c>
      <c r="G1419" s="13" t="str">
        <f aca="false">PROPER(TRIM(Raw_Data!G1419))</f>
        <v>Engineering</v>
      </c>
      <c r="H1419" s="13" t="str">
        <f aca="false">PROPER(TRIM(Raw_Data!H1419))</f>
        <v>Associate</v>
      </c>
      <c r="I1419" s="13" t="n">
        <f aca="false">IF(Raw_Data!I1419="",DefaultPerf,Raw_Data!I1419)</f>
        <v>2</v>
      </c>
      <c r="J1419" s="13" t="n">
        <f aca="false">IF(Raw_Data!J1419="",DefaultSat,Raw_Data!J1419)</f>
        <v>3</v>
      </c>
      <c r="K1419" s="15" t="n">
        <f aca="false">Raw_Data!K1419</f>
        <v>39500</v>
      </c>
      <c r="L1419" s="13" t="str">
        <f aca="false">PROPER(TRIM(Raw_Data!N1419))</f>
        <v>Yes</v>
      </c>
      <c r="M1419" s="13" t="n">
        <f aca="false">IF(C1419="",0,1)</f>
        <v>1</v>
      </c>
      <c r="N1419" s="13" t="str">
        <f aca="false">IF(M1419=0,"Active",IF(TRIM(Raw_Data!L1419)="","Unknown",PROPER(TRIM(Raw_Data!L1419))))</f>
        <v>Voluntary</v>
      </c>
      <c r="O1419" s="13" t="str">
        <f aca="false">IF(M1419=0,"",IF(TRIM(Raw_Data!M1419)="","Not Recorded",TRIM(Raw_Data!M1419)))</f>
        <v>Better Compensation</v>
      </c>
      <c r="P1419" s="16" t="n">
        <f aca="false">ROUND((IF(C1419="",AsOfDate,C1419)-B1419)/365.25,2)</f>
        <v>1.68</v>
      </c>
      <c r="Q1419" s="13" t="str">
        <f aca="false">IF(D1419="","Unknown",IF(D1419&lt;25,"Under 25",IF(D1419&lt;35,"25-34",IF(D1419&lt;45,"35-44",IF(D1419&lt;55,"45-54","55+")))))</f>
        <v>25-34</v>
      </c>
      <c r="R1419" s="13" t="str">
        <f aca="false">IF(P1419&lt;1,"0-1 yrs",IF(P1419&lt;3,"1-3 yrs",IF(P1419&lt;5,"3-5 yrs",IF(P1419&lt;10,"5-10 yrs","10+ yrs"))))</f>
        <v>1-3 yrs</v>
      </c>
      <c r="S1419" s="13" t="str">
        <f aca="false">IF(I1419&gt;=4,"High",IF(I1419=3,"Medium","Low"))</f>
        <v>Low</v>
      </c>
      <c r="T1419" s="13" t="n">
        <f aca="false">IF(M1419=1,YEAR(C1419),"")</f>
        <v>2024</v>
      </c>
      <c r="U1419" s="13" t="str">
        <f aca="false">IF(M1419=1,YEAR(C1419)&amp;"-Q"&amp;ROUNDUP(MONTH(C1419)/3,0),"")</f>
        <v>2024-Q3</v>
      </c>
      <c r="V1419" s="13" t="n">
        <f aca="false">IF(M1419=1,MONTH(C1419),"")</f>
        <v>7</v>
      </c>
    </row>
    <row r="1420" customFormat="false" ht="15" hidden="false" customHeight="false" outlineLevel="0" collapsed="false">
      <c r="A1420" s="13" t="str">
        <f aca="false">TRIM(Raw_Data!A1420)</f>
        <v>EMP1419</v>
      </c>
      <c r="B1420" s="14" t="n">
        <f aca="false">Raw_Data!B1420</f>
        <v>44881</v>
      </c>
      <c r="C1420" s="14" t="str">
        <f aca="false">IF(Raw_Data!C1420="","",Raw_Data!C1420)</f>
        <v/>
      </c>
      <c r="D1420" s="13" t="n">
        <f aca="false">IF(Raw_Data!D1420="","",Raw_Data!D1420)</f>
        <v>31</v>
      </c>
      <c r="E1420" s="13" t="str">
        <f aca="false">IF(UPPER(LEFT(TRIM(Raw_Data!E1420),1))="M","Male",IF(UPPER(LEFT(TRIM(Raw_Data!E1420),1))="F","Female","Unknown"))</f>
        <v>Female</v>
      </c>
      <c r="F1420" s="13" t="str">
        <f aca="false">PROPER(TRIM(SUBSTITUTE(Raw_Data!F1420,"'","")))</f>
        <v>Bachelors</v>
      </c>
      <c r="G1420" s="13" t="str">
        <f aca="false">PROPER(TRIM(Raw_Data!G1420))</f>
        <v>Human Resources</v>
      </c>
      <c r="H1420" s="13" t="str">
        <f aca="false">PROPER(TRIM(Raw_Data!H1420))</f>
        <v>Analyst</v>
      </c>
      <c r="I1420" s="13" t="n">
        <f aca="false">IF(Raw_Data!I1420="",DefaultPerf,Raw_Data!I1420)</f>
        <v>1</v>
      </c>
      <c r="J1420" s="13" t="n">
        <f aca="false">IF(Raw_Data!J1420="",DefaultSat,Raw_Data!J1420)</f>
        <v>3</v>
      </c>
      <c r="K1420" s="15" t="n">
        <f aca="false">Raw_Data!K1420</f>
        <v>57500</v>
      </c>
      <c r="L1420" s="13" t="str">
        <f aca="false">PROPER(TRIM(Raw_Data!N1420))</f>
        <v>Yes</v>
      </c>
      <c r="M1420" s="13" t="n">
        <f aca="false">IF(C1420="",0,1)</f>
        <v>0</v>
      </c>
      <c r="N1420" s="13" t="str">
        <f aca="false">IF(M1420=0,"Active",IF(TRIM(Raw_Data!L1420)="","Unknown",PROPER(TRIM(Raw_Data!L1420))))</f>
        <v>Active</v>
      </c>
      <c r="O1420" s="13" t="str">
        <f aca="false">IF(M1420=0,"",IF(TRIM(Raw_Data!M1420)="","Not Recorded",TRIM(Raw_Data!M1420)))</f>
        <v/>
      </c>
      <c r="P1420" s="16" t="n">
        <f aca="false">ROUND((IF(C1420="",AsOfDate,C1420)-B1420)/365.25,2)</f>
        <v>3.12</v>
      </c>
      <c r="Q1420" s="13" t="str">
        <f aca="false">IF(D1420="","Unknown",IF(D1420&lt;25,"Under 25",IF(D1420&lt;35,"25-34",IF(D1420&lt;45,"35-44",IF(D1420&lt;55,"45-54","55+")))))</f>
        <v>25-34</v>
      </c>
      <c r="R1420" s="13" t="str">
        <f aca="false">IF(P1420&lt;1,"0-1 yrs",IF(P1420&lt;3,"1-3 yrs",IF(P1420&lt;5,"3-5 yrs",IF(P1420&lt;10,"5-10 yrs","10+ yrs"))))</f>
        <v>3-5 yrs</v>
      </c>
      <c r="S1420" s="13" t="str">
        <f aca="false">IF(I1420&gt;=4,"High",IF(I1420=3,"Medium","Low"))</f>
        <v>Low</v>
      </c>
      <c r="T1420" s="13" t="str">
        <f aca="false">IF(M1420=1,YEAR(C1420),"")</f>
        <v/>
      </c>
      <c r="U1420" s="13" t="str">
        <f aca="false">IF(M1420=1,YEAR(C1420)&amp;"-Q"&amp;ROUNDUP(MONTH(C1420)/3,0),"")</f>
        <v/>
      </c>
      <c r="V1420" s="13" t="str">
        <f aca="false">IF(M1420=1,MONTH(C1420),"")</f>
        <v/>
      </c>
    </row>
    <row r="1421" customFormat="false" ht="15" hidden="false" customHeight="false" outlineLevel="0" collapsed="false">
      <c r="A1421" s="13" t="str">
        <f aca="false">TRIM(Raw_Data!A1421)</f>
        <v>EMP1420</v>
      </c>
      <c r="B1421" s="14" t="n">
        <f aca="false">Raw_Data!B1421</f>
        <v>44882</v>
      </c>
      <c r="C1421" s="14" t="n">
        <f aca="false">IF(Raw_Data!C1421="","",Raw_Data!C1421)</f>
        <v>45122</v>
      </c>
      <c r="D1421" s="13" t="n">
        <f aca="false">IF(Raw_Data!D1421="","",Raw_Data!D1421)</f>
        <v>31</v>
      </c>
      <c r="E1421" s="13" t="str">
        <f aca="false">IF(UPPER(LEFT(TRIM(Raw_Data!E1421),1))="M","Male",IF(UPPER(LEFT(TRIM(Raw_Data!E1421),1))="F","Female","Unknown"))</f>
        <v>Male</v>
      </c>
      <c r="F1421" s="13" t="str">
        <f aca="false">PROPER(TRIM(SUBSTITUTE(Raw_Data!F1421,"'","")))</f>
        <v>High School</v>
      </c>
      <c r="G1421" s="13" t="str">
        <f aca="false">PROPER(TRIM(Raw_Data!G1421))</f>
        <v>Engineering</v>
      </c>
      <c r="H1421" s="13" t="str">
        <f aca="false">PROPER(TRIM(Raw_Data!H1421))</f>
        <v>Manager</v>
      </c>
      <c r="I1421" s="13" t="n">
        <f aca="false">IF(Raw_Data!I1421="",DefaultPerf,Raw_Data!I1421)</f>
        <v>2</v>
      </c>
      <c r="J1421" s="13" t="n">
        <f aca="false">IF(Raw_Data!J1421="",DefaultSat,Raw_Data!J1421)</f>
        <v>1</v>
      </c>
      <c r="K1421" s="15" t="n">
        <f aca="false">Raw_Data!K1421</f>
        <v>170000</v>
      </c>
      <c r="L1421" s="13" t="str">
        <f aca="false">PROPER(TRIM(Raw_Data!N1421))</f>
        <v>Yes</v>
      </c>
      <c r="M1421" s="13" t="n">
        <f aca="false">IF(C1421="",0,1)</f>
        <v>1</v>
      </c>
      <c r="N1421" s="13" t="str">
        <f aca="false">IF(M1421=0,"Active",IF(TRIM(Raw_Data!L1421)="","Unknown",PROPER(TRIM(Raw_Data!L1421))))</f>
        <v>Voluntary</v>
      </c>
      <c r="O1421" s="13" t="str">
        <f aca="false">IF(M1421=0,"",IF(TRIM(Raw_Data!M1421)="","Not Recorded",TRIM(Raw_Data!M1421)))</f>
        <v>Better Compensation</v>
      </c>
      <c r="P1421" s="16" t="n">
        <f aca="false">ROUND((IF(C1421="",AsOfDate,C1421)-B1421)/365.25,2)</f>
        <v>0.66</v>
      </c>
      <c r="Q1421" s="13" t="str">
        <f aca="false">IF(D1421="","Unknown",IF(D1421&lt;25,"Under 25",IF(D1421&lt;35,"25-34",IF(D1421&lt;45,"35-44",IF(D1421&lt;55,"45-54","55+")))))</f>
        <v>25-34</v>
      </c>
      <c r="R1421" s="13" t="str">
        <f aca="false">IF(P1421&lt;1,"0-1 yrs",IF(P1421&lt;3,"1-3 yrs",IF(P1421&lt;5,"3-5 yrs",IF(P1421&lt;10,"5-10 yrs","10+ yrs"))))</f>
        <v>0-1 yrs</v>
      </c>
      <c r="S1421" s="13" t="str">
        <f aca="false">IF(I1421&gt;=4,"High",IF(I1421=3,"Medium","Low"))</f>
        <v>Low</v>
      </c>
      <c r="T1421" s="13" t="n">
        <f aca="false">IF(M1421=1,YEAR(C1421),"")</f>
        <v>2023</v>
      </c>
      <c r="U1421" s="13" t="str">
        <f aca="false">IF(M1421=1,YEAR(C1421)&amp;"-Q"&amp;ROUNDUP(MONTH(C1421)/3,0),"")</f>
        <v>2023-Q3</v>
      </c>
      <c r="V1421" s="13" t="n">
        <f aca="false">IF(M1421=1,MONTH(C1421),"")</f>
        <v>7</v>
      </c>
    </row>
    <row r="1422" customFormat="false" ht="15" hidden="false" customHeight="false" outlineLevel="0" collapsed="false">
      <c r="A1422" s="13" t="str">
        <f aca="false">TRIM(Raw_Data!A1422)</f>
        <v>EMP1421</v>
      </c>
      <c r="B1422" s="14" t="n">
        <f aca="false">Raw_Data!B1422</f>
        <v>44886</v>
      </c>
      <c r="C1422" s="14" t="str">
        <f aca="false">IF(Raw_Data!C1422="","",Raw_Data!C1422)</f>
        <v/>
      </c>
      <c r="D1422" s="13" t="n">
        <f aca="false">IF(Raw_Data!D1422="","",Raw_Data!D1422)</f>
        <v>32</v>
      </c>
      <c r="E1422" s="13" t="str">
        <f aca="false">IF(UPPER(LEFT(TRIM(Raw_Data!E1422),1))="M","Male",IF(UPPER(LEFT(TRIM(Raw_Data!E1422),1))="F","Female","Unknown"))</f>
        <v>Male</v>
      </c>
      <c r="F1422" s="13" t="str">
        <f aca="false">PROPER(TRIM(SUBSTITUTE(Raw_Data!F1422,"'","")))</f>
        <v>Masters</v>
      </c>
      <c r="G1422" s="13" t="str">
        <f aca="false">PROPER(TRIM(Raw_Data!G1422))</f>
        <v>Customer Support</v>
      </c>
      <c r="H1422" s="13" t="str">
        <f aca="false">PROPER(TRIM(Raw_Data!H1422))</f>
        <v>Senior Analyst</v>
      </c>
      <c r="I1422" s="13" t="n">
        <f aca="false">IF(Raw_Data!I1422="",DefaultPerf,Raw_Data!I1422)</f>
        <v>2</v>
      </c>
      <c r="J1422" s="13" t="n">
        <f aca="false">IF(Raw_Data!J1422="",DefaultSat,Raw_Data!J1422)</f>
        <v>3</v>
      </c>
      <c r="K1422" s="15" t="n">
        <f aca="false">Raw_Data!K1422</f>
        <v>97500</v>
      </c>
      <c r="L1422" s="13" t="str">
        <f aca="false">PROPER(TRIM(Raw_Data!N1422))</f>
        <v>No</v>
      </c>
      <c r="M1422" s="13" t="n">
        <f aca="false">IF(C1422="",0,1)</f>
        <v>0</v>
      </c>
      <c r="N1422" s="13" t="str">
        <f aca="false">IF(M1422=0,"Active",IF(TRIM(Raw_Data!L1422)="","Unknown",PROPER(TRIM(Raw_Data!L1422))))</f>
        <v>Active</v>
      </c>
      <c r="O1422" s="13" t="str">
        <f aca="false">IF(M1422=0,"",IF(TRIM(Raw_Data!M1422)="","Not Recorded",TRIM(Raw_Data!M1422)))</f>
        <v/>
      </c>
      <c r="P1422" s="16" t="n">
        <f aca="false">ROUND((IF(C1422="",AsOfDate,C1422)-B1422)/365.25,2)</f>
        <v>3.11</v>
      </c>
      <c r="Q1422" s="13" t="str">
        <f aca="false">IF(D1422="","Unknown",IF(D1422&lt;25,"Under 25",IF(D1422&lt;35,"25-34",IF(D1422&lt;45,"35-44",IF(D1422&lt;55,"45-54","55+")))))</f>
        <v>25-34</v>
      </c>
      <c r="R1422" s="13" t="str">
        <f aca="false">IF(P1422&lt;1,"0-1 yrs",IF(P1422&lt;3,"1-3 yrs",IF(P1422&lt;5,"3-5 yrs",IF(P1422&lt;10,"5-10 yrs","10+ yrs"))))</f>
        <v>3-5 yrs</v>
      </c>
      <c r="S1422" s="13" t="str">
        <f aca="false">IF(I1422&gt;=4,"High",IF(I1422=3,"Medium","Low"))</f>
        <v>Low</v>
      </c>
      <c r="T1422" s="13" t="str">
        <f aca="false">IF(M1422=1,YEAR(C1422),"")</f>
        <v/>
      </c>
      <c r="U1422" s="13" t="str">
        <f aca="false">IF(M1422=1,YEAR(C1422)&amp;"-Q"&amp;ROUNDUP(MONTH(C1422)/3,0),"")</f>
        <v/>
      </c>
      <c r="V1422" s="13" t="str">
        <f aca="false">IF(M1422=1,MONTH(C1422),"")</f>
        <v/>
      </c>
    </row>
    <row r="1423" customFormat="false" ht="15" hidden="false" customHeight="false" outlineLevel="0" collapsed="false">
      <c r="A1423" s="13" t="str">
        <f aca="false">TRIM(Raw_Data!A1423)</f>
        <v>EMP1422</v>
      </c>
      <c r="B1423" s="14" t="n">
        <f aca="false">Raw_Data!B1423</f>
        <v>44890</v>
      </c>
      <c r="C1423" s="14" t="n">
        <f aca="false">IF(Raw_Data!C1423="","",Raw_Data!C1423)</f>
        <v>45415</v>
      </c>
      <c r="D1423" s="13" t="n">
        <f aca="false">IF(Raw_Data!D1423="","",Raw_Data!D1423)</f>
        <v>37</v>
      </c>
      <c r="E1423" s="13" t="str">
        <f aca="false">IF(UPPER(LEFT(TRIM(Raw_Data!E1423),1))="M","Male",IF(UPPER(LEFT(TRIM(Raw_Data!E1423),1))="F","Female","Unknown"))</f>
        <v>Female</v>
      </c>
      <c r="F1423" s="13" t="str">
        <f aca="false">PROPER(TRIM(SUBSTITUTE(Raw_Data!F1423,"'","")))</f>
        <v>Bachelors</v>
      </c>
      <c r="G1423" s="13" t="str">
        <f aca="false">PROPER(TRIM(Raw_Data!G1423))</f>
        <v>Sales</v>
      </c>
      <c r="H1423" s="13" t="str">
        <f aca="false">PROPER(TRIM(Raw_Data!H1423))</f>
        <v>Analyst</v>
      </c>
      <c r="I1423" s="13" t="n">
        <f aca="false">IF(Raw_Data!I1423="",DefaultPerf,Raw_Data!I1423)</f>
        <v>5</v>
      </c>
      <c r="J1423" s="13" t="n">
        <f aca="false">IF(Raw_Data!J1423="",DefaultSat,Raw_Data!J1423)</f>
        <v>3</v>
      </c>
      <c r="K1423" s="15" t="n">
        <f aca="false">Raw_Data!K1423</f>
        <v>62500</v>
      </c>
      <c r="L1423" s="13" t="str">
        <f aca="false">PROPER(TRIM(Raw_Data!N1423))</f>
        <v>Yes</v>
      </c>
      <c r="M1423" s="13" t="n">
        <f aca="false">IF(C1423="",0,1)</f>
        <v>1</v>
      </c>
      <c r="N1423" s="13" t="str">
        <f aca="false">IF(M1423=0,"Active",IF(TRIM(Raw_Data!L1423)="","Unknown",PROPER(TRIM(Raw_Data!L1423))))</f>
        <v>Voluntary</v>
      </c>
      <c r="O1423" s="13" t="str">
        <f aca="false">IF(M1423=0,"",IF(TRIM(Raw_Data!M1423)="","Not Recorded",TRIM(Raw_Data!M1423)))</f>
        <v>Personal Reasons</v>
      </c>
      <c r="P1423" s="16" t="n">
        <f aca="false">ROUND((IF(C1423="",AsOfDate,C1423)-B1423)/365.25,2)</f>
        <v>1.44</v>
      </c>
      <c r="Q1423" s="13" t="str">
        <f aca="false">IF(D1423="","Unknown",IF(D1423&lt;25,"Under 25",IF(D1423&lt;35,"25-34",IF(D1423&lt;45,"35-44",IF(D1423&lt;55,"45-54","55+")))))</f>
        <v>35-44</v>
      </c>
      <c r="R1423" s="13" t="str">
        <f aca="false">IF(P1423&lt;1,"0-1 yrs",IF(P1423&lt;3,"1-3 yrs",IF(P1423&lt;5,"3-5 yrs",IF(P1423&lt;10,"5-10 yrs","10+ yrs"))))</f>
        <v>1-3 yrs</v>
      </c>
      <c r="S1423" s="13" t="str">
        <f aca="false">IF(I1423&gt;=4,"High",IF(I1423=3,"Medium","Low"))</f>
        <v>High</v>
      </c>
      <c r="T1423" s="13" t="n">
        <f aca="false">IF(M1423=1,YEAR(C1423),"")</f>
        <v>2024</v>
      </c>
      <c r="U1423" s="13" t="str">
        <f aca="false">IF(M1423=1,YEAR(C1423)&amp;"-Q"&amp;ROUNDUP(MONTH(C1423)/3,0),"")</f>
        <v>2024-Q2</v>
      </c>
      <c r="V1423" s="13" t="n">
        <f aca="false">IF(M1423=1,MONTH(C1423),"")</f>
        <v>5</v>
      </c>
    </row>
    <row r="1424" customFormat="false" ht="15" hidden="false" customHeight="false" outlineLevel="0" collapsed="false">
      <c r="A1424" s="13" t="str">
        <f aca="false">TRIM(Raw_Data!A1424)</f>
        <v>EMP1423</v>
      </c>
      <c r="B1424" s="14" t="n">
        <f aca="false">Raw_Data!B1424</f>
        <v>44894</v>
      </c>
      <c r="C1424" s="14" t="str">
        <f aca="false">IF(Raw_Data!C1424="","",Raw_Data!C1424)</f>
        <v/>
      </c>
      <c r="D1424" s="13" t="n">
        <f aca="false">IF(Raw_Data!D1424="","",Raw_Data!D1424)</f>
        <v>28</v>
      </c>
      <c r="E1424" s="13" t="str">
        <f aca="false">IF(UPPER(LEFT(TRIM(Raw_Data!E1424),1))="M","Male",IF(UPPER(LEFT(TRIM(Raw_Data!E1424),1))="F","Female","Unknown"))</f>
        <v>Female</v>
      </c>
      <c r="F1424" s="13" t="str">
        <f aca="false">PROPER(TRIM(SUBSTITUTE(Raw_Data!F1424,"'","")))</f>
        <v>Masters</v>
      </c>
      <c r="G1424" s="13" t="str">
        <f aca="false">PROPER(TRIM(Raw_Data!G1424))</f>
        <v>Human Resources</v>
      </c>
      <c r="H1424" s="13" t="str">
        <f aca="false">PROPER(TRIM(Raw_Data!H1424))</f>
        <v>Specialist</v>
      </c>
      <c r="I1424" s="13" t="n">
        <f aca="false">IF(Raw_Data!I1424="",DefaultPerf,Raw_Data!I1424)</f>
        <v>4</v>
      </c>
      <c r="J1424" s="13" t="n">
        <f aca="false">IF(Raw_Data!J1424="",DefaultSat,Raw_Data!J1424)</f>
        <v>4</v>
      </c>
      <c r="K1424" s="15" t="n">
        <f aca="false">Raw_Data!K1424</f>
        <v>100500</v>
      </c>
      <c r="L1424" s="13" t="str">
        <f aca="false">PROPER(TRIM(Raw_Data!N1424))</f>
        <v>Yes</v>
      </c>
      <c r="M1424" s="13" t="n">
        <f aca="false">IF(C1424="",0,1)</f>
        <v>0</v>
      </c>
      <c r="N1424" s="13" t="str">
        <f aca="false">IF(M1424=0,"Active",IF(TRIM(Raw_Data!L1424)="","Unknown",PROPER(TRIM(Raw_Data!L1424))))</f>
        <v>Active</v>
      </c>
      <c r="O1424" s="13" t="str">
        <f aca="false">IF(M1424=0,"",IF(TRIM(Raw_Data!M1424)="","Not Recorded",TRIM(Raw_Data!M1424)))</f>
        <v/>
      </c>
      <c r="P1424" s="16" t="n">
        <f aca="false">ROUND((IF(C1424="",AsOfDate,C1424)-B1424)/365.25,2)</f>
        <v>3.09</v>
      </c>
      <c r="Q1424" s="13" t="str">
        <f aca="false">IF(D1424="","Unknown",IF(D1424&lt;25,"Under 25",IF(D1424&lt;35,"25-34",IF(D1424&lt;45,"35-44",IF(D1424&lt;55,"45-54","55+")))))</f>
        <v>25-34</v>
      </c>
      <c r="R1424" s="13" t="str">
        <f aca="false">IF(P1424&lt;1,"0-1 yrs",IF(P1424&lt;3,"1-3 yrs",IF(P1424&lt;5,"3-5 yrs",IF(P1424&lt;10,"5-10 yrs","10+ yrs"))))</f>
        <v>3-5 yrs</v>
      </c>
      <c r="S1424" s="13" t="str">
        <f aca="false">IF(I1424&gt;=4,"High",IF(I1424=3,"Medium","Low"))</f>
        <v>High</v>
      </c>
      <c r="T1424" s="13" t="str">
        <f aca="false">IF(M1424=1,YEAR(C1424),"")</f>
        <v/>
      </c>
      <c r="U1424" s="13" t="str">
        <f aca="false">IF(M1424=1,YEAR(C1424)&amp;"-Q"&amp;ROUNDUP(MONTH(C1424)/3,0),"")</f>
        <v/>
      </c>
      <c r="V1424" s="13" t="str">
        <f aca="false">IF(M1424=1,MONTH(C1424),"")</f>
        <v/>
      </c>
    </row>
    <row r="1425" customFormat="false" ht="15" hidden="false" customHeight="false" outlineLevel="0" collapsed="false">
      <c r="A1425" s="13" t="str">
        <f aca="false">TRIM(Raw_Data!A1425)</f>
        <v>EMP1424</v>
      </c>
      <c r="B1425" s="14" t="n">
        <f aca="false">Raw_Data!B1425</f>
        <v>44895</v>
      </c>
      <c r="C1425" s="14" t="str">
        <f aca="false">IF(Raw_Data!C1425="","",Raw_Data!C1425)</f>
        <v/>
      </c>
      <c r="D1425" s="13" t="n">
        <f aca="false">IF(Raw_Data!D1425="","",Raw_Data!D1425)</f>
        <v>35</v>
      </c>
      <c r="E1425" s="13" t="str">
        <f aca="false">IF(UPPER(LEFT(TRIM(Raw_Data!E1425),1))="M","Male",IF(UPPER(LEFT(TRIM(Raw_Data!E1425),1))="F","Female","Unknown"))</f>
        <v>Female</v>
      </c>
      <c r="F1425" s="13" t="str">
        <f aca="false">PROPER(TRIM(SUBSTITUTE(Raw_Data!F1425,"'","")))</f>
        <v>Masters</v>
      </c>
      <c r="G1425" s="13" t="str">
        <f aca="false">PROPER(TRIM(Raw_Data!G1425))</f>
        <v>Sales</v>
      </c>
      <c r="H1425" s="13" t="str">
        <f aca="false">PROPER(TRIM(Raw_Data!H1425))</f>
        <v>Analyst</v>
      </c>
      <c r="I1425" s="13" t="n">
        <f aca="false">IF(Raw_Data!I1425="",DefaultPerf,Raw_Data!I1425)</f>
        <v>4</v>
      </c>
      <c r="J1425" s="13" t="n">
        <f aca="false">IF(Raw_Data!J1425="",DefaultSat,Raw_Data!J1425)</f>
        <v>2</v>
      </c>
      <c r="K1425" s="15" t="n">
        <f aca="false">Raw_Data!K1425</f>
        <v>64000</v>
      </c>
      <c r="L1425" s="13" t="str">
        <f aca="false">PROPER(TRIM(Raw_Data!N1425))</f>
        <v>No</v>
      </c>
      <c r="M1425" s="13" t="n">
        <f aca="false">IF(C1425="",0,1)</f>
        <v>0</v>
      </c>
      <c r="N1425" s="13" t="str">
        <f aca="false">IF(M1425=0,"Active",IF(TRIM(Raw_Data!L1425)="","Unknown",PROPER(TRIM(Raw_Data!L1425))))</f>
        <v>Active</v>
      </c>
      <c r="O1425" s="13" t="str">
        <f aca="false">IF(M1425=0,"",IF(TRIM(Raw_Data!M1425)="","Not Recorded",TRIM(Raw_Data!M1425)))</f>
        <v/>
      </c>
      <c r="P1425" s="16" t="n">
        <f aca="false">ROUND((IF(C1425="",AsOfDate,C1425)-B1425)/365.25,2)</f>
        <v>3.09</v>
      </c>
      <c r="Q1425" s="13" t="str">
        <f aca="false">IF(D1425="","Unknown",IF(D1425&lt;25,"Under 25",IF(D1425&lt;35,"25-34",IF(D1425&lt;45,"35-44",IF(D1425&lt;55,"45-54","55+")))))</f>
        <v>35-44</v>
      </c>
      <c r="R1425" s="13" t="str">
        <f aca="false">IF(P1425&lt;1,"0-1 yrs",IF(P1425&lt;3,"1-3 yrs",IF(P1425&lt;5,"3-5 yrs",IF(P1425&lt;10,"5-10 yrs","10+ yrs"))))</f>
        <v>3-5 yrs</v>
      </c>
      <c r="S1425" s="13" t="str">
        <f aca="false">IF(I1425&gt;=4,"High",IF(I1425=3,"Medium","Low"))</f>
        <v>High</v>
      </c>
      <c r="T1425" s="13" t="str">
        <f aca="false">IF(M1425=1,YEAR(C1425),"")</f>
        <v/>
      </c>
      <c r="U1425" s="13" t="str">
        <f aca="false">IF(M1425=1,YEAR(C1425)&amp;"-Q"&amp;ROUNDUP(MONTH(C1425)/3,0),"")</f>
        <v/>
      </c>
      <c r="V1425" s="13" t="str">
        <f aca="false">IF(M1425=1,MONTH(C1425),"")</f>
        <v/>
      </c>
    </row>
    <row r="1426" customFormat="false" ht="15" hidden="false" customHeight="false" outlineLevel="0" collapsed="false">
      <c r="A1426" s="13" t="str">
        <f aca="false">TRIM(Raw_Data!A1426)</f>
        <v>EMP1425</v>
      </c>
      <c r="B1426" s="14" t="n">
        <f aca="false">Raw_Data!B1426</f>
        <v>44898</v>
      </c>
      <c r="C1426" s="14" t="n">
        <f aca="false">IF(Raw_Data!C1426="","",Raw_Data!C1426)</f>
        <v>45315</v>
      </c>
      <c r="D1426" s="13" t="n">
        <f aca="false">IF(Raw_Data!D1426="","",Raw_Data!D1426)</f>
        <v>29</v>
      </c>
      <c r="E1426" s="13" t="str">
        <f aca="false">IF(UPPER(LEFT(TRIM(Raw_Data!E1426),1))="M","Male",IF(UPPER(LEFT(TRIM(Raw_Data!E1426),1))="F","Female","Unknown"))</f>
        <v>Male</v>
      </c>
      <c r="F1426" s="13" t="str">
        <f aca="false">PROPER(TRIM(SUBSTITUTE(Raw_Data!F1426,"'","")))</f>
        <v>Bachelors</v>
      </c>
      <c r="G1426" s="13" t="str">
        <f aca="false">PROPER(TRIM(Raw_Data!G1426))</f>
        <v>Finance</v>
      </c>
      <c r="H1426" s="13" t="str">
        <f aca="false">PROPER(TRIM(Raw_Data!H1426))</f>
        <v>Associate</v>
      </c>
      <c r="I1426" s="13" t="n">
        <f aca="false">IF(Raw_Data!I1426="",DefaultPerf,Raw_Data!I1426)</f>
        <v>4</v>
      </c>
      <c r="J1426" s="13" t="n">
        <f aca="false">IF(Raw_Data!J1426="",DefaultSat,Raw_Data!J1426)</f>
        <v>2</v>
      </c>
      <c r="K1426" s="15" t="n">
        <f aca="false">Raw_Data!K1426</f>
        <v>32500</v>
      </c>
      <c r="L1426" s="13" t="str">
        <f aca="false">PROPER(TRIM(Raw_Data!N1426))</f>
        <v>No</v>
      </c>
      <c r="M1426" s="13" t="n">
        <f aca="false">IF(C1426="",0,1)</f>
        <v>1</v>
      </c>
      <c r="N1426" s="13" t="str">
        <f aca="false">IF(M1426=0,"Active",IF(TRIM(Raw_Data!L1426)="","Unknown",PROPER(TRIM(Raw_Data!L1426))))</f>
        <v>Voluntary</v>
      </c>
      <c r="O1426" s="13" t="str">
        <f aca="false">IF(M1426=0,"",IF(TRIM(Raw_Data!M1426)="","Not Recorded",TRIM(Raw_Data!M1426)))</f>
        <v>Work-Life Balance</v>
      </c>
      <c r="P1426" s="16" t="n">
        <f aca="false">ROUND((IF(C1426="",AsOfDate,C1426)-B1426)/365.25,2)</f>
        <v>1.14</v>
      </c>
      <c r="Q1426" s="13" t="str">
        <f aca="false">IF(D1426="","Unknown",IF(D1426&lt;25,"Under 25",IF(D1426&lt;35,"25-34",IF(D1426&lt;45,"35-44",IF(D1426&lt;55,"45-54","55+")))))</f>
        <v>25-34</v>
      </c>
      <c r="R1426" s="13" t="str">
        <f aca="false">IF(P1426&lt;1,"0-1 yrs",IF(P1426&lt;3,"1-3 yrs",IF(P1426&lt;5,"3-5 yrs",IF(P1426&lt;10,"5-10 yrs","10+ yrs"))))</f>
        <v>1-3 yrs</v>
      </c>
      <c r="S1426" s="13" t="str">
        <f aca="false">IF(I1426&gt;=4,"High",IF(I1426=3,"Medium","Low"))</f>
        <v>High</v>
      </c>
      <c r="T1426" s="13" t="n">
        <f aca="false">IF(M1426=1,YEAR(C1426),"")</f>
        <v>2024</v>
      </c>
      <c r="U1426" s="13" t="str">
        <f aca="false">IF(M1426=1,YEAR(C1426)&amp;"-Q"&amp;ROUNDUP(MONTH(C1426)/3,0),"")</f>
        <v>2024-Q1</v>
      </c>
      <c r="V1426" s="13" t="n">
        <f aca="false">IF(M1426=1,MONTH(C1426),"")</f>
        <v>1</v>
      </c>
    </row>
    <row r="1427" customFormat="false" ht="15" hidden="false" customHeight="false" outlineLevel="0" collapsed="false">
      <c r="A1427" s="13" t="str">
        <f aca="false">TRIM(Raw_Data!A1427)</f>
        <v>EMP1426</v>
      </c>
      <c r="B1427" s="14" t="n">
        <f aca="false">Raw_Data!B1427</f>
        <v>44900</v>
      </c>
      <c r="C1427" s="14" t="n">
        <f aca="false">IF(Raw_Data!C1427="","",Raw_Data!C1427)</f>
        <v>45274</v>
      </c>
      <c r="D1427" s="13" t="n">
        <f aca="false">IF(Raw_Data!D1427="","",Raw_Data!D1427)</f>
        <v>23</v>
      </c>
      <c r="E1427" s="13" t="str">
        <f aca="false">IF(UPPER(LEFT(TRIM(Raw_Data!E1427),1))="M","Male",IF(UPPER(LEFT(TRIM(Raw_Data!E1427),1))="F","Female","Unknown"))</f>
        <v>Female</v>
      </c>
      <c r="F1427" s="13" t="str">
        <f aca="false">PROPER(TRIM(SUBSTITUTE(Raw_Data!F1427,"'","")))</f>
        <v>Diploma</v>
      </c>
      <c r="G1427" s="13" t="str">
        <f aca="false">PROPER(TRIM(Raw_Data!G1427))</f>
        <v>Customer Support</v>
      </c>
      <c r="H1427" s="13" t="str">
        <f aca="false">PROPER(TRIM(Raw_Data!H1427))</f>
        <v>Team Lead</v>
      </c>
      <c r="I1427" s="13" t="n">
        <f aca="false">IF(Raw_Data!I1427="",DefaultPerf,Raw_Data!I1427)</f>
        <v>2</v>
      </c>
      <c r="J1427" s="13" t="n">
        <f aca="false">IF(Raw_Data!J1427="",DefaultSat,Raw_Data!J1427)</f>
        <v>2</v>
      </c>
      <c r="K1427" s="15" t="n">
        <f aca="false">Raw_Data!K1427</f>
        <v>128500</v>
      </c>
      <c r="L1427" s="13" t="str">
        <f aca="false">PROPER(TRIM(Raw_Data!N1427))</f>
        <v>No</v>
      </c>
      <c r="M1427" s="13" t="n">
        <f aca="false">IF(C1427="",0,1)</f>
        <v>1</v>
      </c>
      <c r="N1427" s="13" t="str">
        <f aca="false">IF(M1427=0,"Active",IF(TRIM(Raw_Data!L1427)="","Unknown",PROPER(TRIM(Raw_Data!L1427))))</f>
        <v>Involuntary</v>
      </c>
      <c r="O1427" s="13" t="str">
        <f aca="false">IF(M1427=0,"",IF(TRIM(Raw_Data!M1427)="","Not Recorded",TRIM(Raw_Data!M1427)))</f>
        <v>Restructuring / Layoff</v>
      </c>
      <c r="P1427" s="16" t="n">
        <f aca="false">ROUND((IF(C1427="",AsOfDate,C1427)-B1427)/365.25,2)</f>
        <v>1.02</v>
      </c>
      <c r="Q1427" s="13" t="str">
        <f aca="false">IF(D1427="","Unknown",IF(D1427&lt;25,"Under 25",IF(D1427&lt;35,"25-34",IF(D1427&lt;45,"35-44",IF(D1427&lt;55,"45-54","55+")))))</f>
        <v>Under 25</v>
      </c>
      <c r="R1427" s="13" t="str">
        <f aca="false">IF(P1427&lt;1,"0-1 yrs",IF(P1427&lt;3,"1-3 yrs",IF(P1427&lt;5,"3-5 yrs",IF(P1427&lt;10,"5-10 yrs","10+ yrs"))))</f>
        <v>1-3 yrs</v>
      </c>
      <c r="S1427" s="13" t="str">
        <f aca="false">IF(I1427&gt;=4,"High",IF(I1427=3,"Medium","Low"))</f>
        <v>Low</v>
      </c>
      <c r="T1427" s="13" t="n">
        <f aca="false">IF(M1427=1,YEAR(C1427),"")</f>
        <v>2023</v>
      </c>
      <c r="U1427" s="13" t="str">
        <f aca="false">IF(M1427=1,YEAR(C1427)&amp;"-Q"&amp;ROUNDUP(MONTH(C1427)/3,0),"")</f>
        <v>2023-Q4</v>
      </c>
      <c r="V1427" s="13" t="n">
        <f aca="false">IF(M1427=1,MONTH(C1427),"")</f>
        <v>12</v>
      </c>
    </row>
    <row r="1428" customFormat="false" ht="15" hidden="false" customHeight="false" outlineLevel="0" collapsed="false">
      <c r="A1428" s="13" t="str">
        <f aca="false">TRIM(Raw_Data!A1428)</f>
        <v>EMP1427</v>
      </c>
      <c r="B1428" s="14" t="n">
        <f aca="false">Raw_Data!B1428</f>
        <v>44903</v>
      </c>
      <c r="C1428" s="14" t="n">
        <f aca="false">IF(Raw_Data!C1428="","",Raw_Data!C1428)</f>
        <v>44938</v>
      </c>
      <c r="D1428" s="13" t="n">
        <f aca="false">IF(Raw_Data!D1428="","",Raw_Data!D1428)</f>
        <v>30</v>
      </c>
      <c r="E1428" s="13" t="str">
        <f aca="false">IF(UPPER(LEFT(TRIM(Raw_Data!E1428),1))="M","Male",IF(UPPER(LEFT(TRIM(Raw_Data!E1428),1))="F","Female","Unknown"))</f>
        <v>Male</v>
      </c>
      <c r="F1428" s="13" t="str">
        <f aca="false">PROPER(TRIM(SUBSTITUTE(Raw_Data!F1428,"'","")))</f>
        <v>Bachelors</v>
      </c>
      <c r="G1428" s="13" t="str">
        <f aca="false">PROPER(TRIM(Raw_Data!G1428))</f>
        <v>Sales</v>
      </c>
      <c r="H1428" s="13" t="str">
        <f aca="false">PROPER(TRIM(Raw_Data!H1428))</f>
        <v>Associate</v>
      </c>
      <c r="I1428" s="13" t="n">
        <f aca="false">IF(Raw_Data!I1428="",DefaultPerf,Raw_Data!I1428)</f>
        <v>5</v>
      </c>
      <c r="J1428" s="13" t="n">
        <f aca="false">IF(Raw_Data!J1428="",DefaultSat,Raw_Data!J1428)</f>
        <v>1</v>
      </c>
      <c r="K1428" s="15" t="n">
        <f aca="false">Raw_Data!K1428</f>
        <v>38500</v>
      </c>
      <c r="L1428" s="13" t="str">
        <f aca="false">PROPER(TRIM(Raw_Data!N1428))</f>
        <v>Yes</v>
      </c>
      <c r="M1428" s="13" t="n">
        <f aca="false">IF(C1428="",0,1)</f>
        <v>1</v>
      </c>
      <c r="N1428" s="13" t="str">
        <f aca="false">IF(M1428=0,"Active",IF(TRIM(Raw_Data!L1428)="","Unknown",PROPER(TRIM(Raw_Data!L1428))))</f>
        <v>Voluntary</v>
      </c>
      <c r="O1428" s="13" t="str">
        <f aca="false">IF(M1428=0,"",IF(TRIM(Raw_Data!M1428)="","Not Recorded",TRIM(Raw_Data!M1428)))</f>
        <v>Career Growth</v>
      </c>
      <c r="P1428" s="16" t="n">
        <f aca="false">ROUND((IF(C1428="",AsOfDate,C1428)-B1428)/365.25,2)</f>
        <v>0.1</v>
      </c>
      <c r="Q1428" s="13" t="str">
        <f aca="false">IF(D1428="","Unknown",IF(D1428&lt;25,"Under 25",IF(D1428&lt;35,"25-34",IF(D1428&lt;45,"35-44",IF(D1428&lt;55,"45-54","55+")))))</f>
        <v>25-34</v>
      </c>
      <c r="R1428" s="13" t="str">
        <f aca="false">IF(P1428&lt;1,"0-1 yrs",IF(P1428&lt;3,"1-3 yrs",IF(P1428&lt;5,"3-5 yrs",IF(P1428&lt;10,"5-10 yrs","10+ yrs"))))</f>
        <v>0-1 yrs</v>
      </c>
      <c r="S1428" s="13" t="str">
        <f aca="false">IF(I1428&gt;=4,"High",IF(I1428=3,"Medium","Low"))</f>
        <v>High</v>
      </c>
      <c r="T1428" s="13" t="n">
        <f aca="false">IF(M1428=1,YEAR(C1428),"")</f>
        <v>2023</v>
      </c>
      <c r="U1428" s="13" t="str">
        <f aca="false">IF(M1428=1,YEAR(C1428)&amp;"-Q"&amp;ROUNDUP(MONTH(C1428)/3,0),"")</f>
        <v>2023-Q1</v>
      </c>
      <c r="V1428" s="13" t="n">
        <f aca="false">IF(M1428=1,MONTH(C1428),"")</f>
        <v>1</v>
      </c>
    </row>
    <row r="1429" customFormat="false" ht="15" hidden="false" customHeight="false" outlineLevel="0" collapsed="false">
      <c r="A1429" s="13" t="str">
        <f aca="false">TRIM(Raw_Data!A1429)</f>
        <v>EMP1428</v>
      </c>
      <c r="B1429" s="14" t="n">
        <f aca="false">Raw_Data!B1429</f>
        <v>44905</v>
      </c>
      <c r="C1429" s="14" t="str">
        <f aca="false">IF(Raw_Data!C1429="","",Raw_Data!C1429)</f>
        <v/>
      </c>
      <c r="D1429" s="13" t="n">
        <f aca="false">IF(Raw_Data!D1429="","",Raw_Data!D1429)</f>
        <v>36</v>
      </c>
      <c r="E1429" s="13" t="str">
        <f aca="false">IF(UPPER(LEFT(TRIM(Raw_Data!E1429),1))="M","Male",IF(UPPER(LEFT(TRIM(Raw_Data!E1429),1))="F","Female","Unknown"))</f>
        <v>Female</v>
      </c>
      <c r="F1429" s="13" t="str">
        <f aca="false">PROPER(TRIM(SUBSTITUTE(Raw_Data!F1429,"'","")))</f>
        <v>Masters</v>
      </c>
      <c r="G1429" s="13" t="str">
        <f aca="false">PROPER(TRIM(Raw_Data!G1429))</f>
        <v>Customer Support</v>
      </c>
      <c r="H1429" s="13" t="str">
        <f aca="false">PROPER(TRIM(Raw_Data!H1429))</f>
        <v>Manager</v>
      </c>
      <c r="I1429" s="13" t="n">
        <f aca="false">IF(Raw_Data!I1429="",DefaultPerf,Raw_Data!I1429)</f>
        <v>4</v>
      </c>
      <c r="J1429" s="13" t="n">
        <f aca="false">IF(Raw_Data!J1429="",DefaultSat,Raw_Data!J1429)</f>
        <v>3</v>
      </c>
      <c r="K1429" s="15" t="n">
        <f aca="false">Raw_Data!K1429</f>
        <v>150500</v>
      </c>
      <c r="L1429" s="13" t="str">
        <f aca="false">PROPER(TRIM(Raw_Data!N1429))</f>
        <v>No</v>
      </c>
      <c r="M1429" s="13" t="n">
        <f aca="false">IF(C1429="",0,1)</f>
        <v>0</v>
      </c>
      <c r="N1429" s="13" t="str">
        <f aca="false">IF(M1429=0,"Active",IF(TRIM(Raw_Data!L1429)="","Unknown",PROPER(TRIM(Raw_Data!L1429))))</f>
        <v>Active</v>
      </c>
      <c r="O1429" s="13" t="str">
        <f aca="false">IF(M1429=0,"",IF(TRIM(Raw_Data!M1429)="","Not Recorded",TRIM(Raw_Data!M1429)))</f>
        <v/>
      </c>
      <c r="P1429" s="16" t="n">
        <f aca="false">ROUND((IF(C1429="",AsOfDate,C1429)-B1429)/365.25,2)</f>
        <v>3.06</v>
      </c>
      <c r="Q1429" s="13" t="str">
        <f aca="false">IF(D1429="","Unknown",IF(D1429&lt;25,"Under 25",IF(D1429&lt;35,"25-34",IF(D1429&lt;45,"35-44",IF(D1429&lt;55,"45-54","55+")))))</f>
        <v>35-44</v>
      </c>
      <c r="R1429" s="13" t="str">
        <f aca="false">IF(P1429&lt;1,"0-1 yrs",IF(P1429&lt;3,"1-3 yrs",IF(P1429&lt;5,"3-5 yrs",IF(P1429&lt;10,"5-10 yrs","10+ yrs"))))</f>
        <v>3-5 yrs</v>
      </c>
      <c r="S1429" s="13" t="str">
        <f aca="false">IF(I1429&gt;=4,"High",IF(I1429=3,"Medium","Low"))</f>
        <v>High</v>
      </c>
      <c r="T1429" s="13" t="str">
        <f aca="false">IF(M1429=1,YEAR(C1429),"")</f>
        <v/>
      </c>
      <c r="U1429" s="13" t="str">
        <f aca="false">IF(M1429=1,YEAR(C1429)&amp;"-Q"&amp;ROUNDUP(MONTH(C1429)/3,0),"")</f>
        <v/>
      </c>
      <c r="V1429" s="13" t="str">
        <f aca="false">IF(M1429=1,MONTH(C1429),"")</f>
        <v/>
      </c>
    </row>
    <row r="1430" customFormat="false" ht="15" hidden="false" customHeight="false" outlineLevel="0" collapsed="false">
      <c r="A1430" s="13" t="str">
        <f aca="false">TRIM(Raw_Data!A1430)</f>
        <v>EMP1429</v>
      </c>
      <c r="B1430" s="14" t="n">
        <f aca="false">Raw_Data!B1430</f>
        <v>44905</v>
      </c>
      <c r="C1430" s="14" t="str">
        <f aca="false">IF(Raw_Data!C1430="","",Raw_Data!C1430)</f>
        <v/>
      </c>
      <c r="D1430" s="13" t="n">
        <f aca="false">IF(Raw_Data!D1430="","",Raw_Data!D1430)</f>
        <v>39</v>
      </c>
      <c r="E1430" s="13" t="str">
        <f aca="false">IF(UPPER(LEFT(TRIM(Raw_Data!E1430),1))="M","Male",IF(UPPER(LEFT(TRIM(Raw_Data!E1430),1))="F","Female","Unknown"))</f>
        <v>Female</v>
      </c>
      <c r="F1430" s="13" t="str">
        <f aca="false">PROPER(TRIM(SUBSTITUTE(Raw_Data!F1430,"'","")))</f>
        <v>Bachelors</v>
      </c>
      <c r="G1430" s="13" t="str">
        <f aca="false">PROPER(TRIM(Raw_Data!G1430))</f>
        <v>Finance</v>
      </c>
      <c r="H1430" s="13" t="str">
        <f aca="false">PROPER(TRIM(Raw_Data!H1430))</f>
        <v>Analyst</v>
      </c>
      <c r="I1430" s="13" t="n">
        <f aca="false">IF(Raw_Data!I1430="",DefaultPerf,Raw_Data!I1430)</f>
        <v>3</v>
      </c>
      <c r="J1430" s="13" t="n">
        <f aca="false">IF(Raw_Data!J1430="",DefaultSat,Raw_Data!J1430)</f>
        <v>1</v>
      </c>
      <c r="K1430" s="15" t="n">
        <f aca="false">Raw_Data!K1430</f>
        <v>71500</v>
      </c>
      <c r="L1430" s="13" t="str">
        <f aca="false">PROPER(TRIM(Raw_Data!N1430))</f>
        <v>No</v>
      </c>
      <c r="M1430" s="13" t="n">
        <f aca="false">IF(C1430="",0,1)</f>
        <v>0</v>
      </c>
      <c r="N1430" s="13" t="str">
        <f aca="false">IF(M1430=0,"Active",IF(TRIM(Raw_Data!L1430)="","Unknown",PROPER(TRIM(Raw_Data!L1430))))</f>
        <v>Active</v>
      </c>
      <c r="O1430" s="13" t="str">
        <f aca="false">IF(M1430=0,"",IF(TRIM(Raw_Data!M1430)="","Not Recorded",TRIM(Raw_Data!M1430)))</f>
        <v/>
      </c>
      <c r="P1430" s="16" t="n">
        <f aca="false">ROUND((IF(C1430="",AsOfDate,C1430)-B1430)/365.25,2)</f>
        <v>3.06</v>
      </c>
      <c r="Q1430" s="13" t="str">
        <f aca="false">IF(D1430="","Unknown",IF(D1430&lt;25,"Under 25",IF(D1430&lt;35,"25-34",IF(D1430&lt;45,"35-44",IF(D1430&lt;55,"45-54","55+")))))</f>
        <v>35-44</v>
      </c>
      <c r="R1430" s="13" t="str">
        <f aca="false">IF(P1430&lt;1,"0-1 yrs",IF(P1430&lt;3,"1-3 yrs",IF(P1430&lt;5,"3-5 yrs",IF(P1430&lt;10,"5-10 yrs","10+ yrs"))))</f>
        <v>3-5 yrs</v>
      </c>
      <c r="S1430" s="13" t="str">
        <f aca="false">IF(I1430&gt;=4,"High",IF(I1430=3,"Medium","Low"))</f>
        <v>Medium</v>
      </c>
      <c r="T1430" s="13" t="str">
        <f aca="false">IF(M1430=1,YEAR(C1430),"")</f>
        <v/>
      </c>
      <c r="U1430" s="13" t="str">
        <f aca="false">IF(M1430=1,YEAR(C1430)&amp;"-Q"&amp;ROUNDUP(MONTH(C1430)/3,0),"")</f>
        <v/>
      </c>
      <c r="V1430" s="13" t="str">
        <f aca="false">IF(M1430=1,MONTH(C1430),"")</f>
        <v/>
      </c>
    </row>
    <row r="1431" customFormat="false" ht="15" hidden="false" customHeight="false" outlineLevel="0" collapsed="false">
      <c r="A1431" s="13" t="str">
        <f aca="false">TRIM(Raw_Data!A1431)</f>
        <v>EMP1430</v>
      </c>
      <c r="B1431" s="14" t="n">
        <f aca="false">Raw_Data!B1431</f>
        <v>44905</v>
      </c>
      <c r="C1431" s="14" t="str">
        <f aca="false">IF(Raw_Data!C1431="","",Raw_Data!C1431)</f>
        <v/>
      </c>
      <c r="D1431" s="13" t="n">
        <f aca="false">IF(Raw_Data!D1431="","",Raw_Data!D1431)</f>
        <v>25</v>
      </c>
      <c r="E1431" s="13" t="str">
        <f aca="false">IF(UPPER(LEFT(TRIM(Raw_Data!E1431),1))="M","Male",IF(UPPER(LEFT(TRIM(Raw_Data!E1431),1))="F","Female","Unknown"))</f>
        <v>Male</v>
      </c>
      <c r="F1431" s="13" t="str">
        <f aca="false">PROPER(TRIM(SUBSTITUTE(Raw_Data!F1431,"'","")))</f>
        <v>Bachelors</v>
      </c>
      <c r="G1431" s="13" t="str">
        <f aca="false">PROPER(TRIM(Raw_Data!G1431))</f>
        <v>Human Resources</v>
      </c>
      <c r="H1431" s="13" t="str">
        <f aca="false">PROPER(TRIM(Raw_Data!H1431))</f>
        <v>Senior Analyst</v>
      </c>
      <c r="I1431" s="13" t="n">
        <f aca="false">IF(Raw_Data!I1431="",DefaultPerf,Raw_Data!I1431)</f>
        <v>3</v>
      </c>
      <c r="J1431" s="13" t="n">
        <f aca="false">IF(Raw_Data!J1431="",DefaultSat,Raw_Data!J1431)</f>
        <v>4</v>
      </c>
      <c r="K1431" s="15" t="n">
        <f aca="false">Raw_Data!K1431</f>
        <v>88500</v>
      </c>
      <c r="L1431" s="13" t="str">
        <f aca="false">PROPER(TRIM(Raw_Data!N1431))</f>
        <v>No</v>
      </c>
      <c r="M1431" s="13" t="n">
        <f aca="false">IF(C1431="",0,1)</f>
        <v>0</v>
      </c>
      <c r="N1431" s="13" t="str">
        <f aca="false">IF(M1431=0,"Active",IF(TRIM(Raw_Data!L1431)="","Unknown",PROPER(TRIM(Raw_Data!L1431))))</f>
        <v>Active</v>
      </c>
      <c r="O1431" s="13" t="str">
        <f aca="false">IF(M1431=0,"",IF(TRIM(Raw_Data!M1431)="","Not Recorded",TRIM(Raw_Data!M1431)))</f>
        <v/>
      </c>
      <c r="P1431" s="16" t="n">
        <f aca="false">ROUND((IF(C1431="",AsOfDate,C1431)-B1431)/365.25,2)</f>
        <v>3.06</v>
      </c>
      <c r="Q1431" s="13" t="str">
        <f aca="false">IF(D1431="","Unknown",IF(D1431&lt;25,"Under 25",IF(D1431&lt;35,"25-34",IF(D1431&lt;45,"35-44",IF(D1431&lt;55,"45-54","55+")))))</f>
        <v>25-34</v>
      </c>
      <c r="R1431" s="13" t="str">
        <f aca="false">IF(P1431&lt;1,"0-1 yrs",IF(P1431&lt;3,"1-3 yrs",IF(P1431&lt;5,"3-5 yrs",IF(P1431&lt;10,"5-10 yrs","10+ yrs"))))</f>
        <v>3-5 yrs</v>
      </c>
      <c r="S1431" s="13" t="str">
        <f aca="false">IF(I1431&gt;=4,"High",IF(I1431=3,"Medium","Low"))</f>
        <v>Medium</v>
      </c>
      <c r="T1431" s="13" t="str">
        <f aca="false">IF(M1431=1,YEAR(C1431),"")</f>
        <v/>
      </c>
      <c r="U1431" s="13" t="str">
        <f aca="false">IF(M1431=1,YEAR(C1431)&amp;"-Q"&amp;ROUNDUP(MONTH(C1431)/3,0),"")</f>
        <v/>
      </c>
      <c r="V1431" s="13" t="str">
        <f aca="false">IF(M1431=1,MONTH(C1431),"")</f>
        <v/>
      </c>
    </row>
    <row r="1432" customFormat="false" ht="15" hidden="false" customHeight="false" outlineLevel="0" collapsed="false">
      <c r="A1432" s="13" t="str">
        <f aca="false">TRIM(Raw_Data!A1432)</f>
        <v>EMP1431</v>
      </c>
      <c r="B1432" s="14" t="n">
        <f aca="false">Raw_Data!B1432</f>
        <v>44906</v>
      </c>
      <c r="C1432" s="14" t="str">
        <f aca="false">IF(Raw_Data!C1432="","",Raw_Data!C1432)</f>
        <v/>
      </c>
      <c r="D1432" s="13" t="n">
        <f aca="false">IF(Raw_Data!D1432="","",Raw_Data!D1432)</f>
        <v>29</v>
      </c>
      <c r="E1432" s="13" t="str">
        <f aca="false">IF(UPPER(LEFT(TRIM(Raw_Data!E1432),1))="M","Male",IF(UPPER(LEFT(TRIM(Raw_Data!E1432),1))="F","Female","Unknown"))</f>
        <v>Female</v>
      </c>
      <c r="F1432" s="13" t="str">
        <f aca="false">PROPER(TRIM(SUBSTITUTE(Raw_Data!F1432,"'","")))</f>
        <v>Bachelors</v>
      </c>
      <c r="G1432" s="13" t="str">
        <f aca="false">PROPER(TRIM(Raw_Data!G1432))</f>
        <v>Operations</v>
      </c>
      <c r="H1432" s="13" t="str">
        <f aca="false">PROPER(TRIM(Raw_Data!H1432))</f>
        <v>Analyst</v>
      </c>
      <c r="I1432" s="13" t="n">
        <f aca="false">IF(Raw_Data!I1432="",DefaultPerf,Raw_Data!I1432)</f>
        <v>4</v>
      </c>
      <c r="J1432" s="13" t="n">
        <f aca="false">IF(Raw_Data!J1432="",DefaultSat,Raw_Data!J1432)</f>
        <v>3</v>
      </c>
      <c r="K1432" s="15" t="n">
        <f aca="false">Raw_Data!K1432</f>
        <v>57000</v>
      </c>
      <c r="L1432" s="13" t="str">
        <f aca="false">PROPER(TRIM(Raw_Data!N1432))</f>
        <v>No</v>
      </c>
      <c r="M1432" s="13" t="n">
        <f aca="false">IF(C1432="",0,1)</f>
        <v>0</v>
      </c>
      <c r="N1432" s="13" t="str">
        <f aca="false">IF(M1432=0,"Active",IF(TRIM(Raw_Data!L1432)="","Unknown",PROPER(TRIM(Raw_Data!L1432))))</f>
        <v>Active</v>
      </c>
      <c r="O1432" s="13" t="str">
        <f aca="false">IF(M1432=0,"",IF(TRIM(Raw_Data!M1432)="","Not Recorded",TRIM(Raw_Data!M1432)))</f>
        <v/>
      </c>
      <c r="P1432" s="16" t="n">
        <f aca="false">ROUND((IF(C1432="",AsOfDate,C1432)-B1432)/365.25,2)</f>
        <v>3.06</v>
      </c>
      <c r="Q1432" s="13" t="str">
        <f aca="false">IF(D1432="","Unknown",IF(D1432&lt;25,"Under 25",IF(D1432&lt;35,"25-34",IF(D1432&lt;45,"35-44",IF(D1432&lt;55,"45-54","55+")))))</f>
        <v>25-34</v>
      </c>
      <c r="R1432" s="13" t="str">
        <f aca="false">IF(P1432&lt;1,"0-1 yrs",IF(P1432&lt;3,"1-3 yrs",IF(P1432&lt;5,"3-5 yrs",IF(P1432&lt;10,"5-10 yrs","10+ yrs"))))</f>
        <v>3-5 yrs</v>
      </c>
      <c r="S1432" s="13" t="str">
        <f aca="false">IF(I1432&gt;=4,"High",IF(I1432=3,"Medium","Low"))</f>
        <v>High</v>
      </c>
      <c r="T1432" s="13" t="str">
        <f aca="false">IF(M1432=1,YEAR(C1432),"")</f>
        <v/>
      </c>
      <c r="U1432" s="13" t="str">
        <f aca="false">IF(M1432=1,YEAR(C1432)&amp;"-Q"&amp;ROUNDUP(MONTH(C1432)/3,0),"")</f>
        <v/>
      </c>
      <c r="V1432" s="13" t="str">
        <f aca="false">IF(M1432=1,MONTH(C1432),"")</f>
        <v/>
      </c>
    </row>
    <row r="1433" customFormat="false" ht="15" hidden="false" customHeight="false" outlineLevel="0" collapsed="false">
      <c r="A1433" s="13" t="str">
        <f aca="false">TRIM(Raw_Data!A1433)</f>
        <v>EMP1432</v>
      </c>
      <c r="B1433" s="14" t="n">
        <f aca="false">Raw_Data!B1433</f>
        <v>44907</v>
      </c>
      <c r="C1433" s="14" t="str">
        <f aca="false">IF(Raw_Data!C1433="","",Raw_Data!C1433)</f>
        <v/>
      </c>
      <c r="D1433" s="13" t="n">
        <f aca="false">IF(Raw_Data!D1433="","",Raw_Data!D1433)</f>
        <v>32</v>
      </c>
      <c r="E1433" s="13" t="str">
        <f aca="false">IF(UPPER(LEFT(TRIM(Raw_Data!E1433),1))="M","Male",IF(UPPER(LEFT(TRIM(Raw_Data!E1433),1))="F","Female","Unknown"))</f>
        <v>Female</v>
      </c>
      <c r="F1433" s="13" t="str">
        <f aca="false">PROPER(TRIM(SUBSTITUTE(Raw_Data!F1433,"'","")))</f>
        <v>Masters</v>
      </c>
      <c r="G1433" s="13" t="str">
        <f aca="false">PROPER(TRIM(Raw_Data!G1433))</f>
        <v>Sales</v>
      </c>
      <c r="H1433" s="13" t="str">
        <f aca="false">PROPER(TRIM(Raw_Data!H1433))</f>
        <v>Analyst</v>
      </c>
      <c r="I1433" s="13" t="n">
        <f aca="false">IF(Raw_Data!I1433="",DefaultPerf,Raw_Data!I1433)</f>
        <v>3</v>
      </c>
      <c r="J1433" s="13" t="n">
        <f aca="false">IF(Raw_Data!J1433="",DefaultSat,Raw_Data!J1433)</f>
        <v>2</v>
      </c>
      <c r="K1433" s="15" t="n">
        <f aca="false">Raw_Data!K1433</f>
        <v>65000</v>
      </c>
      <c r="L1433" s="13" t="str">
        <f aca="false">PROPER(TRIM(Raw_Data!N1433))</f>
        <v>No</v>
      </c>
      <c r="M1433" s="13" t="n">
        <f aca="false">IF(C1433="",0,1)</f>
        <v>0</v>
      </c>
      <c r="N1433" s="13" t="str">
        <f aca="false">IF(M1433=0,"Active",IF(TRIM(Raw_Data!L1433)="","Unknown",PROPER(TRIM(Raw_Data!L1433))))</f>
        <v>Active</v>
      </c>
      <c r="O1433" s="13" t="str">
        <f aca="false">IF(M1433=0,"",IF(TRIM(Raw_Data!M1433)="","Not Recorded",TRIM(Raw_Data!M1433)))</f>
        <v/>
      </c>
      <c r="P1433" s="16" t="n">
        <f aca="false">ROUND((IF(C1433="",AsOfDate,C1433)-B1433)/365.25,2)</f>
        <v>3.05</v>
      </c>
      <c r="Q1433" s="13" t="str">
        <f aca="false">IF(D1433="","Unknown",IF(D1433&lt;25,"Under 25",IF(D1433&lt;35,"25-34",IF(D1433&lt;45,"35-44",IF(D1433&lt;55,"45-54","55+")))))</f>
        <v>25-34</v>
      </c>
      <c r="R1433" s="13" t="str">
        <f aca="false">IF(P1433&lt;1,"0-1 yrs",IF(P1433&lt;3,"1-3 yrs",IF(P1433&lt;5,"3-5 yrs",IF(P1433&lt;10,"5-10 yrs","10+ yrs"))))</f>
        <v>3-5 yrs</v>
      </c>
      <c r="S1433" s="13" t="str">
        <f aca="false">IF(I1433&gt;=4,"High",IF(I1433=3,"Medium","Low"))</f>
        <v>Medium</v>
      </c>
      <c r="T1433" s="13" t="str">
        <f aca="false">IF(M1433=1,YEAR(C1433),"")</f>
        <v/>
      </c>
      <c r="U1433" s="13" t="str">
        <f aca="false">IF(M1433=1,YEAR(C1433)&amp;"-Q"&amp;ROUNDUP(MONTH(C1433)/3,0),"")</f>
        <v/>
      </c>
      <c r="V1433" s="13" t="str">
        <f aca="false">IF(M1433=1,MONTH(C1433),"")</f>
        <v/>
      </c>
    </row>
    <row r="1434" customFormat="false" ht="15" hidden="false" customHeight="false" outlineLevel="0" collapsed="false">
      <c r="A1434" s="13" t="str">
        <f aca="false">TRIM(Raw_Data!A1434)</f>
        <v>EMP1433</v>
      </c>
      <c r="B1434" s="14" t="n">
        <f aca="false">Raw_Data!B1434</f>
        <v>44908</v>
      </c>
      <c r="C1434" s="14" t="n">
        <f aca="false">IF(Raw_Data!C1434="","",Raw_Data!C1434)</f>
        <v>45654</v>
      </c>
      <c r="D1434" s="13" t="n">
        <f aca="false">IF(Raw_Data!D1434="","",Raw_Data!D1434)</f>
        <v>23</v>
      </c>
      <c r="E1434" s="13" t="str">
        <f aca="false">IF(UPPER(LEFT(TRIM(Raw_Data!E1434),1))="M","Male",IF(UPPER(LEFT(TRIM(Raw_Data!E1434),1))="F","Female","Unknown"))</f>
        <v>Male</v>
      </c>
      <c r="F1434" s="13" t="str">
        <f aca="false">PROPER(TRIM(SUBSTITUTE(Raw_Data!F1434,"'","")))</f>
        <v>Masters</v>
      </c>
      <c r="G1434" s="13" t="str">
        <f aca="false">PROPER(TRIM(Raw_Data!G1434))</f>
        <v>Engineering</v>
      </c>
      <c r="H1434" s="13" t="str">
        <f aca="false">PROPER(TRIM(Raw_Data!H1434))</f>
        <v>Team Lead</v>
      </c>
      <c r="I1434" s="13" t="n">
        <f aca="false">IF(Raw_Data!I1434="",DefaultPerf,Raw_Data!I1434)</f>
        <v>3</v>
      </c>
      <c r="J1434" s="13" t="n">
        <f aca="false">IF(Raw_Data!J1434="",DefaultSat,Raw_Data!J1434)</f>
        <v>2</v>
      </c>
      <c r="K1434" s="15" t="n">
        <f aca="false">Raw_Data!K1434</f>
        <v>142500</v>
      </c>
      <c r="L1434" s="13" t="str">
        <f aca="false">PROPER(TRIM(Raw_Data!N1434))</f>
        <v>Yes</v>
      </c>
      <c r="M1434" s="13" t="n">
        <f aca="false">IF(C1434="",0,1)</f>
        <v>1</v>
      </c>
      <c r="N1434" s="13" t="str">
        <f aca="false">IF(M1434=0,"Active",IF(TRIM(Raw_Data!L1434)="","Unknown",PROPER(TRIM(Raw_Data!L1434))))</f>
        <v>Voluntary</v>
      </c>
      <c r="O1434" s="13" t="str">
        <f aca="false">IF(M1434=0,"",IF(TRIM(Raw_Data!M1434)="","Not Recorded",TRIM(Raw_Data!M1434)))</f>
        <v>Manager Issues</v>
      </c>
      <c r="P1434" s="16" t="n">
        <f aca="false">ROUND((IF(C1434="",AsOfDate,C1434)-B1434)/365.25,2)</f>
        <v>2.04</v>
      </c>
      <c r="Q1434" s="13" t="str">
        <f aca="false">IF(D1434="","Unknown",IF(D1434&lt;25,"Under 25",IF(D1434&lt;35,"25-34",IF(D1434&lt;45,"35-44",IF(D1434&lt;55,"45-54","55+")))))</f>
        <v>Under 25</v>
      </c>
      <c r="R1434" s="13" t="str">
        <f aca="false">IF(P1434&lt;1,"0-1 yrs",IF(P1434&lt;3,"1-3 yrs",IF(P1434&lt;5,"3-5 yrs",IF(P1434&lt;10,"5-10 yrs","10+ yrs"))))</f>
        <v>1-3 yrs</v>
      </c>
      <c r="S1434" s="13" t="str">
        <f aca="false">IF(I1434&gt;=4,"High",IF(I1434=3,"Medium","Low"))</f>
        <v>Medium</v>
      </c>
      <c r="T1434" s="13" t="n">
        <f aca="false">IF(M1434=1,YEAR(C1434),"")</f>
        <v>2024</v>
      </c>
      <c r="U1434" s="13" t="str">
        <f aca="false">IF(M1434=1,YEAR(C1434)&amp;"-Q"&amp;ROUNDUP(MONTH(C1434)/3,0),"")</f>
        <v>2024-Q4</v>
      </c>
      <c r="V1434" s="13" t="n">
        <f aca="false">IF(M1434=1,MONTH(C1434),"")</f>
        <v>12</v>
      </c>
    </row>
    <row r="1435" customFormat="false" ht="15" hidden="false" customHeight="false" outlineLevel="0" collapsed="false">
      <c r="A1435" s="13" t="str">
        <f aca="false">TRIM(Raw_Data!A1435)</f>
        <v>EMP1434</v>
      </c>
      <c r="B1435" s="14" t="n">
        <f aca="false">Raw_Data!B1435</f>
        <v>44909</v>
      </c>
      <c r="C1435" s="14" t="str">
        <f aca="false">IF(Raw_Data!C1435="","",Raw_Data!C1435)</f>
        <v/>
      </c>
      <c r="D1435" s="13" t="n">
        <f aca="false">IF(Raw_Data!D1435="","",Raw_Data!D1435)</f>
        <v>30</v>
      </c>
      <c r="E1435" s="13" t="str">
        <f aca="false">IF(UPPER(LEFT(TRIM(Raw_Data!E1435),1))="M","Male",IF(UPPER(LEFT(TRIM(Raw_Data!E1435),1))="F","Female","Unknown"))</f>
        <v>Female</v>
      </c>
      <c r="F1435" s="13" t="str">
        <f aca="false">PROPER(TRIM(SUBSTITUTE(Raw_Data!F1435,"'","")))</f>
        <v>Bachelors</v>
      </c>
      <c r="G1435" s="13" t="str">
        <f aca="false">PROPER(TRIM(Raw_Data!G1435))</f>
        <v>Engineering</v>
      </c>
      <c r="H1435" s="13" t="str">
        <f aca="false">PROPER(TRIM(Raw_Data!H1435))</f>
        <v>Analyst</v>
      </c>
      <c r="I1435" s="13" t="n">
        <f aca="false">IF(Raw_Data!I1435="",DefaultPerf,Raw_Data!I1435)</f>
        <v>4</v>
      </c>
      <c r="J1435" s="13" t="n">
        <f aca="false">IF(Raw_Data!J1435="",DefaultSat,Raw_Data!J1435)</f>
        <v>4</v>
      </c>
      <c r="K1435" s="15" t="n">
        <f aca="false">Raw_Data!K1435</f>
        <v>61500</v>
      </c>
      <c r="L1435" s="13" t="str">
        <f aca="false">PROPER(TRIM(Raw_Data!N1435))</f>
        <v>Yes</v>
      </c>
      <c r="M1435" s="13" t="n">
        <f aca="false">IF(C1435="",0,1)</f>
        <v>0</v>
      </c>
      <c r="N1435" s="13" t="str">
        <f aca="false">IF(M1435=0,"Active",IF(TRIM(Raw_Data!L1435)="","Unknown",PROPER(TRIM(Raw_Data!L1435))))</f>
        <v>Active</v>
      </c>
      <c r="O1435" s="13" t="str">
        <f aca="false">IF(M1435=0,"",IF(TRIM(Raw_Data!M1435)="","Not Recorded",TRIM(Raw_Data!M1435)))</f>
        <v/>
      </c>
      <c r="P1435" s="16" t="n">
        <f aca="false">ROUND((IF(C1435="",AsOfDate,C1435)-B1435)/365.25,2)</f>
        <v>3.05</v>
      </c>
      <c r="Q1435" s="13" t="str">
        <f aca="false">IF(D1435="","Unknown",IF(D1435&lt;25,"Under 25",IF(D1435&lt;35,"25-34",IF(D1435&lt;45,"35-44",IF(D1435&lt;55,"45-54","55+")))))</f>
        <v>25-34</v>
      </c>
      <c r="R1435" s="13" t="str">
        <f aca="false">IF(P1435&lt;1,"0-1 yrs",IF(P1435&lt;3,"1-3 yrs",IF(P1435&lt;5,"3-5 yrs",IF(P1435&lt;10,"5-10 yrs","10+ yrs"))))</f>
        <v>3-5 yrs</v>
      </c>
      <c r="S1435" s="13" t="str">
        <f aca="false">IF(I1435&gt;=4,"High",IF(I1435=3,"Medium","Low"))</f>
        <v>High</v>
      </c>
      <c r="T1435" s="13" t="str">
        <f aca="false">IF(M1435=1,YEAR(C1435),"")</f>
        <v/>
      </c>
      <c r="U1435" s="13" t="str">
        <f aca="false">IF(M1435=1,YEAR(C1435)&amp;"-Q"&amp;ROUNDUP(MONTH(C1435)/3,0),"")</f>
        <v/>
      </c>
      <c r="V1435" s="13" t="str">
        <f aca="false">IF(M1435=1,MONTH(C1435),"")</f>
        <v/>
      </c>
    </row>
    <row r="1436" customFormat="false" ht="15" hidden="false" customHeight="false" outlineLevel="0" collapsed="false">
      <c r="A1436" s="13" t="str">
        <f aca="false">TRIM(Raw_Data!A1436)</f>
        <v>EMP1435</v>
      </c>
      <c r="B1436" s="14" t="n">
        <f aca="false">Raw_Data!B1436</f>
        <v>44909</v>
      </c>
      <c r="C1436" s="14" t="str">
        <f aca="false">IF(Raw_Data!C1436="","",Raw_Data!C1436)</f>
        <v/>
      </c>
      <c r="D1436" s="13" t="n">
        <f aca="false">IF(Raw_Data!D1436="","",Raw_Data!D1436)</f>
        <v>34</v>
      </c>
      <c r="E1436" s="13" t="str">
        <f aca="false">IF(UPPER(LEFT(TRIM(Raw_Data!E1436),1))="M","Male",IF(UPPER(LEFT(TRIM(Raw_Data!E1436),1))="F","Female","Unknown"))</f>
        <v>Male</v>
      </c>
      <c r="F1436" s="13" t="str">
        <f aca="false">PROPER(TRIM(SUBSTITUTE(Raw_Data!F1436,"'","")))</f>
        <v>Masters</v>
      </c>
      <c r="G1436" s="13" t="str">
        <f aca="false">PROPER(TRIM(Raw_Data!G1436))</f>
        <v>Customer Support</v>
      </c>
      <c r="H1436" s="13" t="str">
        <f aca="false">PROPER(TRIM(Raw_Data!H1436))</f>
        <v>Manager</v>
      </c>
      <c r="I1436" s="13" t="n">
        <f aca="false">IF(Raw_Data!I1436="",DefaultPerf,Raw_Data!I1436)</f>
        <v>2</v>
      </c>
      <c r="J1436" s="13" t="n">
        <f aca="false">IF(Raw_Data!J1436="",DefaultSat,Raw_Data!J1436)</f>
        <v>4</v>
      </c>
      <c r="K1436" s="15" t="n">
        <f aca="false">Raw_Data!K1436</f>
        <v>191500</v>
      </c>
      <c r="L1436" s="13" t="str">
        <f aca="false">PROPER(TRIM(Raw_Data!N1436))</f>
        <v>No</v>
      </c>
      <c r="M1436" s="13" t="n">
        <f aca="false">IF(C1436="",0,1)</f>
        <v>0</v>
      </c>
      <c r="N1436" s="13" t="str">
        <f aca="false">IF(M1436=0,"Active",IF(TRIM(Raw_Data!L1436)="","Unknown",PROPER(TRIM(Raw_Data!L1436))))</f>
        <v>Active</v>
      </c>
      <c r="O1436" s="13" t="str">
        <f aca="false">IF(M1436=0,"",IF(TRIM(Raw_Data!M1436)="","Not Recorded",TRIM(Raw_Data!M1436)))</f>
        <v/>
      </c>
      <c r="P1436" s="16" t="n">
        <f aca="false">ROUND((IF(C1436="",AsOfDate,C1436)-B1436)/365.25,2)</f>
        <v>3.05</v>
      </c>
      <c r="Q1436" s="13" t="str">
        <f aca="false">IF(D1436="","Unknown",IF(D1436&lt;25,"Under 25",IF(D1436&lt;35,"25-34",IF(D1436&lt;45,"35-44",IF(D1436&lt;55,"45-54","55+")))))</f>
        <v>25-34</v>
      </c>
      <c r="R1436" s="13" t="str">
        <f aca="false">IF(P1436&lt;1,"0-1 yrs",IF(P1436&lt;3,"1-3 yrs",IF(P1436&lt;5,"3-5 yrs",IF(P1436&lt;10,"5-10 yrs","10+ yrs"))))</f>
        <v>3-5 yrs</v>
      </c>
      <c r="S1436" s="13" t="str">
        <f aca="false">IF(I1436&gt;=4,"High",IF(I1436=3,"Medium","Low"))</f>
        <v>Low</v>
      </c>
      <c r="T1436" s="13" t="str">
        <f aca="false">IF(M1436=1,YEAR(C1436),"")</f>
        <v/>
      </c>
      <c r="U1436" s="13" t="str">
        <f aca="false">IF(M1436=1,YEAR(C1436)&amp;"-Q"&amp;ROUNDUP(MONTH(C1436)/3,0),"")</f>
        <v/>
      </c>
      <c r="V1436" s="13" t="str">
        <f aca="false">IF(M1436=1,MONTH(C1436),"")</f>
        <v/>
      </c>
    </row>
    <row r="1437" customFormat="false" ht="15" hidden="false" customHeight="false" outlineLevel="0" collapsed="false">
      <c r="A1437" s="13" t="str">
        <f aca="false">TRIM(Raw_Data!A1437)</f>
        <v>EMP1436</v>
      </c>
      <c r="B1437" s="14" t="n">
        <f aca="false">Raw_Data!B1437</f>
        <v>44910</v>
      </c>
      <c r="C1437" s="14" t="n">
        <f aca="false">IF(Raw_Data!C1437="","",Raw_Data!C1437)</f>
        <v>45552</v>
      </c>
      <c r="D1437" s="13" t="n">
        <f aca="false">IF(Raw_Data!D1437="","",Raw_Data!D1437)</f>
        <v>40</v>
      </c>
      <c r="E1437" s="13" t="str">
        <f aca="false">IF(UPPER(LEFT(TRIM(Raw_Data!E1437),1))="M","Male",IF(UPPER(LEFT(TRIM(Raw_Data!E1437),1))="F","Female","Unknown"))</f>
        <v>Male</v>
      </c>
      <c r="F1437" s="13" t="str">
        <f aca="false">PROPER(TRIM(SUBSTITUTE(Raw_Data!F1437,"'","")))</f>
        <v>Diploma</v>
      </c>
      <c r="G1437" s="13" t="str">
        <f aca="false">PROPER(TRIM(Raw_Data!G1437))</f>
        <v>Sales</v>
      </c>
      <c r="H1437" s="13" t="str">
        <f aca="false">PROPER(TRIM(Raw_Data!H1437))</f>
        <v>Senior Analyst</v>
      </c>
      <c r="I1437" s="13" t="n">
        <f aca="false">IF(Raw_Data!I1437="",DefaultPerf,Raw_Data!I1437)</f>
        <v>5</v>
      </c>
      <c r="J1437" s="13" t="n">
        <f aca="false">IF(Raw_Data!J1437="",DefaultSat,Raw_Data!J1437)</f>
        <v>1</v>
      </c>
      <c r="K1437" s="15" t="n">
        <f aca="false">Raw_Data!K1437</f>
        <v>88000</v>
      </c>
      <c r="L1437" s="13" t="str">
        <f aca="false">PROPER(TRIM(Raw_Data!N1437))</f>
        <v>No</v>
      </c>
      <c r="M1437" s="13" t="n">
        <f aca="false">IF(C1437="",0,1)</f>
        <v>1</v>
      </c>
      <c r="N1437" s="13" t="str">
        <f aca="false">IF(M1437=0,"Active",IF(TRIM(Raw_Data!L1437)="","Unknown",PROPER(TRIM(Raw_Data!L1437))))</f>
        <v>Involuntary</v>
      </c>
      <c r="O1437" s="13" t="str">
        <f aca="false">IF(M1437=0,"",IF(TRIM(Raw_Data!M1437)="","Not Recorded",TRIM(Raw_Data!M1437)))</f>
        <v>Restructuring / Layoff</v>
      </c>
      <c r="P1437" s="16" t="n">
        <f aca="false">ROUND((IF(C1437="",AsOfDate,C1437)-B1437)/365.25,2)</f>
        <v>1.76</v>
      </c>
      <c r="Q1437" s="13" t="str">
        <f aca="false">IF(D1437="","Unknown",IF(D1437&lt;25,"Under 25",IF(D1437&lt;35,"25-34",IF(D1437&lt;45,"35-44",IF(D1437&lt;55,"45-54","55+")))))</f>
        <v>35-44</v>
      </c>
      <c r="R1437" s="13" t="str">
        <f aca="false">IF(P1437&lt;1,"0-1 yrs",IF(P1437&lt;3,"1-3 yrs",IF(P1437&lt;5,"3-5 yrs",IF(P1437&lt;10,"5-10 yrs","10+ yrs"))))</f>
        <v>1-3 yrs</v>
      </c>
      <c r="S1437" s="13" t="str">
        <f aca="false">IF(I1437&gt;=4,"High",IF(I1437=3,"Medium","Low"))</f>
        <v>High</v>
      </c>
      <c r="T1437" s="13" t="n">
        <f aca="false">IF(M1437=1,YEAR(C1437),"")</f>
        <v>2024</v>
      </c>
      <c r="U1437" s="13" t="str">
        <f aca="false">IF(M1437=1,YEAR(C1437)&amp;"-Q"&amp;ROUNDUP(MONTH(C1437)/3,0),"")</f>
        <v>2024-Q3</v>
      </c>
      <c r="V1437" s="13" t="n">
        <f aca="false">IF(M1437=1,MONTH(C1437),"")</f>
        <v>9</v>
      </c>
    </row>
    <row r="1438" customFormat="false" ht="15" hidden="false" customHeight="false" outlineLevel="0" collapsed="false">
      <c r="A1438" s="13" t="str">
        <f aca="false">TRIM(Raw_Data!A1438)</f>
        <v>EMP1437</v>
      </c>
      <c r="B1438" s="14" t="n">
        <f aca="false">Raw_Data!B1438</f>
        <v>44910</v>
      </c>
      <c r="C1438" s="14" t="str">
        <f aca="false">IF(Raw_Data!C1438="","",Raw_Data!C1438)</f>
        <v/>
      </c>
      <c r="D1438" s="13" t="n">
        <f aca="false">IF(Raw_Data!D1438="","",Raw_Data!D1438)</f>
        <v>34</v>
      </c>
      <c r="E1438" s="13" t="str">
        <f aca="false">IF(UPPER(LEFT(TRIM(Raw_Data!E1438),1))="M","Male",IF(UPPER(LEFT(TRIM(Raw_Data!E1438),1))="F","Female","Unknown"))</f>
        <v>Female</v>
      </c>
      <c r="F1438" s="13" t="str">
        <f aca="false">PROPER(TRIM(SUBSTITUTE(Raw_Data!F1438,"'","")))</f>
        <v>Masters</v>
      </c>
      <c r="G1438" s="13" t="str">
        <f aca="false">PROPER(TRIM(Raw_Data!G1438))</f>
        <v>Customer Support</v>
      </c>
      <c r="H1438" s="13" t="str">
        <f aca="false">PROPER(TRIM(Raw_Data!H1438))</f>
        <v>Team Lead</v>
      </c>
      <c r="I1438" s="13" t="n">
        <f aca="false">IF(Raw_Data!I1438="",DefaultPerf,Raw_Data!I1438)</f>
        <v>3</v>
      </c>
      <c r="J1438" s="13" t="n">
        <f aca="false">IF(Raw_Data!J1438="",DefaultSat,Raw_Data!J1438)</f>
        <v>2</v>
      </c>
      <c r="K1438" s="15" t="n">
        <f aca="false">Raw_Data!K1438</f>
        <v>111000</v>
      </c>
      <c r="L1438" s="13" t="str">
        <f aca="false">PROPER(TRIM(Raw_Data!N1438))</f>
        <v>No</v>
      </c>
      <c r="M1438" s="13" t="n">
        <f aca="false">IF(C1438="",0,1)</f>
        <v>0</v>
      </c>
      <c r="N1438" s="13" t="str">
        <f aca="false">IF(M1438=0,"Active",IF(TRIM(Raw_Data!L1438)="","Unknown",PROPER(TRIM(Raw_Data!L1438))))</f>
        <v>Active</v>
      </c>
      <c r="O1438" s="13" t="str">
        <f aca="false">IF(M1438=0,"",IF(TRIM(Raw_Data!M1438)="","Not Recorded",TRIM(Raw_Data!M1438)))</f>
        <v/>
      </c>
      <c r="P1438" s="16" t="n">
        <f aca="false">ROUND((IF(C1438="",AsOfDate,C1438)-B1438)/365.25,2)</f>
        <v>3.04</v>
      </c>
      <c r="Q1438" s="13" t="str">
        <f aca="false">IF(D1438="","Unknown",IF(D1438&lt;25,"Under 25",IF(D1438&lt;35,"25-34",IF(D1438&lt;45,"35-44",IF(D1438&lt;55,"45-54","55+")))))</f>
        <v>25-34</v>
      </c>
      <c r="R1438" s="13" t="str">
        <f aca="false">IF(P1438&lt;1,"0-1 yrs",IF(P1438&lt;3,"1-3 yrs",IF(P1438&lt;5,"3-5 yrs",IF(P1438&lt;10,"5-10 yrs","10+ yrs"))))</f>
        <v>3-5 yrs</v>
      </c>
      <c r="S1438" s="13" t="str">
        <f aca="false">IF(I1438&gt;=4,"High",IF(I1438=3,"Medium","Low"))</f>
        <v>Medium</v>
      </c>
      <c r="T1438" s="13" t="str">
        <f aca="false">IF(M1438=1,YEAR(C1438),"")</f>
        <v/>
      </c>
      <c r="U1438" s="13" t="str">
        <f aca="false">IF(M1438=1,YEAR(C1438)&amp;"-Q"&amp;ROUNDUP(MONTH(C1438)/3,0),"")</f>
        <v/>
      </c>
      <c r="V1438" s="13" t="str">
        <f aca="false">IF(M1438=1,MONTH(C1438),"")</f>
        <v/>
      </c>
    </row>
    <row r="1439" customFormat="false" ht="15" hidden="false" customHeight="false" outlineLevel="0" collapsed="false">
      <c r="A1439" s="13" t="str">
        <f aca="false">TRIM(Raw_Data!A1439)</f>
        <v>EMP1438</v>
      </c>
      <c r="B1439" s="14" t="n">
        <f aca="false">Raw_Data!B1439</f>
        <v>44911</v>
      </c>
      <c r="C1439" s="14" t="n">
        <f aca="false">IF(Raw_Data!C1439="","",Raw_Data!C1439)</f>
        <v>45065</v>
      </c>
      <c r="D1439" s="13" t="n">
        <f aca="false">IF(Raw_Data!D1439="","",Raw_Data!D1439)</f>
        <v>23</v>
      </c>
      <c r="E1439" s="13" t="str">
        <f aca="false">IF(UPPER(LEFT(TRIM(Raw_Data!E1439),1))="M","Male",IF(UPPER(LEFT(TRIM(Raw_Data!E1439),1))="F","Female","Unknown"))</f>
        <v>Male</v>
      </c>
      <c r="F1439" s="13" t="str">
        <f aca="false">PROPER(TRIM(SUBSTITUTE(Raw_Data!F1439,"'","")))</f>
        <v>Diploma</v>
      </c>
      <c r="G1439" s="13" t="str">
        <f aca="false">PROPER(TRIM(Raw_Data!G1439))</f>
        <v>Sales</v>
      </c>
      <c r="H1439" s="13" t="str">
        <f aca="false">PROPER(TRIM(Raw_Data!H1439))</f>
        <v>Associate</v>
      </c>
      <c r="I1439" s="13" t="n">
        <f aca="false">IF(Raw_Data!I1439="",DefaultPerf,Raw_Data!I1439)</f>
        <v>3</v>
      </c>
      <c r="J1439" s="13" t="n">
        <f aca="false">IF(Raw_Data!J1439="",DefaultSat,Raw_Data!J1439)</f>
        <v>4</v>
      </c>
      <c r="K1439" s="15" t="n">
        <f aca="false">Raw_Data!K1439</f>
        <v>32500</v>
      </c>
      <c r="L1439" s="13" t="str">
        <f aca="false">PROPER(TRIM(Raw_Data!N1439))</f>
        <v>No</v>
      </c>
      <c r="M1439" s="13" t="n">
        <f aca="false">IF(C1439="",0,1)</f>
        <v>1</v>
      </c>
      <c r="N1439" s="13" t="str">
        <f aca="false">IF(M1439=0,"Active",IF(TRIM(Raw_Data!L1439)="","Unknown",PROPER(TRIM(Raw_Data!L1439))))</f>
        <v>Voluntary</v>
      </c>
      <c r="O1439" s="13" t="str">
        <f aca="false">IF(M1439=0,"",IF(TRIM(Raw_Data!M1439)="","Not Recorded",TRIM(Raw_Data!M1439)))</f>
        <v>Better Compensation</v>
      </c>
      <c r="P1439" s="16" t="n">
        <f aca="false">ROUND((IF(C1439="",AsOfDate,C1439)-B1439)/365.25,2)</f>
        <v>0.42</v>
      </c>
      <c r="Q1439" s="13" t="str">
        <f aca="false">IF(D1439="","Unknown",IF(D1439&lt;25,"Under 25",IF(D1439&lt;35,"25-34",IF(D1439&lt;45,"35-44",IF(D1439&lt;55,"45-54","55+")))))</f>
        <v>Under 25</v>
      </c>
      <c r="R1439" s="13" t="str">
        <f aca="false">IF(P1439&lt;1,"0-1 yrs",IF(P1439&lt;3,"1-3 yrs",IF(P1439&lt;5,"3-5 yrs",IF(P1439&lt;10,"5-10 yrs","10+ yrs"))))</f>
        <v>0-1 yrs</v>
      </c>
      <c r="S1439" s="13" t="str">
        <f aca="false">IF(I1439&gt;=4,"High",IF(I1439=3,"Medium","Low"))</f>
        <v>Medium</v>
      </c>
      <c r="T1439" s="13" t="n">
        <f aca="false">IF(M1439=1,YEAR(C1439),"")</f>
        <v>2023</v>
      </c>
      <c r="U1439" s="13" t="str">
        <f aca="false">IF(M1439=1,YEAR(C1439)&amp;"-Q"&amp;ROUNDUP(MONTH(C1439)/3,0),"")</f>
        <v>2023-Q2</v>
      </c>
      <c r="V1439" s="13" t="n">
        <f aca="false">IF(M1439=1,MONTH(C1439),"")</f>
        <v>5</v>
      </c>
    </row>
    <row r="1440" customFormat="false" ht="15" hidden="false" customHeight="false" outlineLevel="0" collapsed="false">
      <c r="A1440" s="13" t="str">
        <f aca="false">TRIM(Raw_Data!A1440)</f>
        <v>EMP1439</v>
      </c>
      <c r="B1440" s="14" t="n">
        <f aca="false">Raw_Data!B1440</f>
        <v>44912</v>
      </c>
      <c r="C1440" s="14" t="str">
        <f aca="false">IF(Raw_Data!C1440="","",Raw_Data!C1440)</f>
        <v/>
      </c>
      <c r="D1440" s="13" t="n">
        <f aca="false">IF(Raw_Data!D1440="","",Raw_Data!D1440)</f>
        <v>35</v>
      </c>
      <c r="E1440" s="13" t="str">
        <f aca="false">IF(UPPER(LEFT(TRIM(Raw_Data!E1440),1))="M","Male",IF(UPPER(LEFT(TRIM(Raw_Data!E1440),1))="F","Female","Unknown"))</f>
        <v>Female</v>
      </c>
      <c r="F1440" s="13" t="str">
        <f aca="false">PROPER(TRIM(SUBSTITUTE(Raw_Data!F1440,"'","")))</f>
        <v>Bachelors</v>
      </c>
      <c r="G1440" s="13" t="str">
        <f aca="false">PROPER(TRIM(Raw_Data!G1440))</f>
        <v>Sales</v>
      </c>
      <c r="H1440" s="13" t="str">
        <f aca="false">PROPER(TRIM(Raw_Data!H1440))</f>
        <v>Associate</v>
      </c>
      <c r="I1440" s="13" t="n">
        <f aca="false">IF(Raw_Data!I1440="",DefaultPerf,Raw_Data!I1440)</f>
        <v>3</v>
      </c>
      <c r="J1440" s="13" t="n">
        <f aca="false">IF(Raw_Data!J1440="",DefaultSat,Raw_Data!J1440)</f>
        <v>2</v>
      </c>
      <c r="K1440" s="15" t="n">
        <f aca="false">Raw_Data!K1440</f>
        <v>37000</v>
      </c>
      <c r="L1440" s="13" t="str">
        <f aca="false">PROPER(TRIM(Raw_Data!N1440))</f>
        <v>No</v>
      </c>
      <c r="M1440" s="13" t="n">
        <f aca="false">IF(C1440="",0,1)</f>
        <v>0</v>
      </c>
      <c r="N1440" s="13" t="str">
        <f aca="false">IF(M1440=0,"Active",IF(TRIM(Raw_Data!L1440)="","Unknown",PROPER(TRIM(Raw_Data!L1440))))</f>
        <v>Active</v>
      </c>
      <c r="O1440" s="13" t="str">
        <f aca="false">IF(M1440=0,"",IF(TRIM(Raw_Data!M1440)="","Not Recorded",TRIM(Raw_Data!M1440)))</f>
        <v/>
      </c>
      <c r="P1440" s="16" t="n">
        <f aca="false">ROUND((IF(C1440="",AsOfDate,C1440)-B1440)/365.25,2)</f>
        <v>3.04</v>
      </c>
      <c r="Q1440" s="13" t="str">
        <f aca="false">IF(D1440="","Unknown",IF(D1440&lt;25,"Under 25",IF(D1440&lt;35,"25-34",IF(D1440&lt;45,"35-44",IF(D1440&lt;55,"45-54","55+")))))</f>
        <v>35-44</v>
      </c>
      <c r="R1440" s="13" t="str">
        <f aca="false">IF(P1440&lt;1,"0-1 yrs",IF(P1440&lt;3,"1-3 yrs",IF(P1440&lt;5,"3-5 yrs",IF(P1440&lt;10,"5-10 yrs","10+ yrs"))))</f>
        <v>3-5 yrs</v>
      </c>
      <c r="S1440" s="13" t="str">
        <f aca="false">IF(I1440&gt;=4,"High",IF(I1440=3,"Medium","Low"))</f>
        <v>Medium</v>
      </c>
      <c r="T1440" s="13" t="str">
        <f aca="false">IF(M1440=1,YEAR(C1440),"")</f>
        <v/>
      </c>
      <c r="U1440" s="13" t="str">
        <f aca="false">IF(M1440=1,YEAR(C1440)&amp;"-Q"&amp;ROUNDUP(MONTH(C1440)/3,0),"")</f>
        <v/>
      </c>
      <c r="V1440" s="13" t="str">
        <f aca="false">IF(M1440=1,MONTH(C1440),"")</f>
        <v/>
      </c>
    </row>
    <row r="1441" customFormat="false" ht="15" hidden="false" customHeight="false" outlineLevel="0" collapsed="false">
      <c r="A1441" s="13" t="str">
        <f aca="false">TRIM(Raw_Data!A1441)</f>
        <v>EMP1440</v>
      </c>
      <c r="B1441" s="14" t="n">
        <f aca="false">Raw_Data!B1441</f>
        <v>44914</v>
      </c>
      <c r="C1441" s="14" t="n">
        <f aca="false">IF(Raw_Data!C1441="","",Raw_Data!C1441)</f>
        <v>44936</v>
      </c>
      <c r="D1441" s="13" t="n">
        <f aca="false">IF(Raw_Data!D1441="","",Raw_Data!D1441)</f>
        <v>33</v>
      </c>
      <c r="E1441" s="13" t="str">
        <f aca="false">IF(UPPER(LEFT(TRIM(Raw_Data!E1441),1))="M","Male",IF(UPPER(LEFT(TRIM(Raw_Data!E1441),1))="F","Female","Unknown"))</f>
        <v>Female</v>
      </c>
      <c r="F1441" s="13" t="str">
        <f aca="false">PROPER(TRIM(SUBSTITUTE(Raw_Data!F1441,"'","")))</f>
        <v>Masters</v>
      </c>
      <c r="G1441" s="13" t="str">
        <f aca="false">PROPER(TRIM(Raw_Data!G1441))</f>
        <v>Finance</v>
      </c>
      <c r="H1441" s="13" t="str">
        <f aca="false">PROPER(TRIM(Raw_Data!H1441))</f>
        <v>Analyst</v>
      </c>
      <c r="I1441" s="13" t="n">
        <f aca="false">IF(Raw_Data!I1441="",DefaultPerf,Raw_Data!I1441)</f>
        <v>4</v>
      </c>
      <c r="J1441" s="13" t="n">
        <f aca="false">IF(Raw_Data!J1441="",DefaultSat,Raw_Data!J1441)</f>
        <v>2</v>
      </c>
      <c r="K1441" s="15" t="n">
        <f aca="false">Raw_Data!K1441</f>
        <v>68500</v>
      </c>
      <c r="L1441" s="13" t="str">
        <f aca="false">PROPER(TRIM(Raw_Data!N1441))</f>
        <v>No</v>
      </c>
      <c r="M1441" s="13" t="n">
        <f aca="false">IF(C1441="",0,1)</f>
        <v>1</v>
      </c>
      <c r="N1441" s="13" t="str">
        <f aca="false">IF(M1441=0,"Active",IF(TRIM(Raw_Data!L1441)="","Unknown",PROPER(TRIM(Raw_Data!L1441))))</f>
        <v>Voluntary</v>
      </c>
      <c r="O1441" s="13" t="str">
        <f aca="false">IF(M1441=0,"",IF(TRIM(Raw_Data!M1441)="","Not Recorded",TRIM(Raw_Data!M1441)))</f>
        <v>Work-Life Balance</v>
      </c>
      <c r="P1441" s="16" t="n">
        <f aca="false">ROUND((IF(C1441="",AsOfDate,C1441)-B1441)/365.25,2)</f>
        <v>0.06</v>
      </c>
      <c r="Q1441" s="13" t="str">
        <f aca="false">IF(D1441="","Unknown",IF(D1441&lt;25,"Under 25",IF(D1441&lt;35,"25-34",IF(D1441&lt;45,"35-44",IF(D1441&lt;55,"45-54","55+")))))</f>
        <v>25-34</v>
      </c>
      <c r="R1441" s="13" t="str">
        <f aca="false">IF(P1441&lt;1,"0-1 yrs",IF(P1441&lt;3,"1-3 yrs",IF(P1441&lt;5,"3-5 yrs",IF(P1441&lt;10,"5-10 yrs","10+ yrs"))))</f>
        <v>0-1 yrs</v>
      </c>
      <c r="S1441" s="13" t="str">
        <f aca="false">IF(I1441&gt;=4,"High",IF(I1441=3,"Medium","Low"))</f>
        <v>High</v>
      </c>
      <c r="T1441" s="13" t="n">
        <f aca="false">IF(M1441=1,YEAR(C1441),"")</f>
        <v>2023</v>
      </c>
      <c r="U1441" s="13" t="str">
        <f aca="false">IF(M1441=1,YEAR(C1441)&amp;"-Q"&amp;ROUNDUP(MONTH(C1441)/3,0),"")</f>
        <v>2023-Q1</v>
      </c>
      <c r="V1441" s="13" t="n">
        <f aca="false">IF(M1441=1,MONTH(C1441),"")</f>
        <v>1</v>
      </c>
    </row>
    <row r="1442" customFormat="false" ht="15" hidden="false" customHeight="false" outlineLevel="0" collapsed="false">
      <c r="A1442" s="13" t="str">
        <f aca="false">TRIM(Raw_Data!A1442)</f>
        <v>EMP1441</v>
      </c>
      <c r="B1442" s="14" t="n">
        <f aca="false">Raw_Data!B1442</f>
        <v>44914</v>
      </c>
      <c r="C1442" s="14" t="n">
        <f aca="false">IF(Raw_Data!C1442="","",Raw_Data!C1442)</f>
        <v>45691</v>
      </c>
      <c r="D1442" s="13" t="n">
        <f aca="false">IF(Raw_Data!D1442="","",Raw_Data!D1442)</f>
        <v>23</v>
      </c>
      <c r="E1442" s="13" t="str">
        <f aca="false">IF(UPPER(LEFT(TRIM(Raw_Data!E1442),1))="M","Male",IF(UPPER(LEFT(TRIM(Raw_Data!E1442),1))="F","Female","Unknown"))</f>
        <v>Female</v>
      </c>
      <c r="F1442" s="13" t="str">
        <f aca="false">PROPER(TRIM(SUBSTITUTE(Raw_Data!F1442,"'","")))</f>
        <v>Masters</v>
      </c>
      <c r="G1442" s="13" t="str">
        <f aca="false">PROPER(TRIM(Raw_Data!G1442))</f>
        <v>Customer Support</v>
      </c>
      <c r="H1442" s="13" t="str">
        <f aca="false">PROPER(TRIM(Raw_Data!H1442))</f>
        <v>Team Lead</v>
      </c>
      <c r="I1442" s="13" t="n">
        <f aca="false">IF(Raw_Data!I1442="",DefaultPerf,Raw_Data!I1442)</f>
        <v>4</v>
      </c>
      <c r="J1442" s="13" t="n">
        <f aca="false">IF(Raw_Data!J1442="",DefaultSat,Raw_Data!J1442)</f>
        <v>3</v>
      </c>
      <c r="K1442" s="15" t="n">
        <f aca="false">Raw_Data!K1442</f>
        <v>116500</v>
      </c>
      <c r="L1442" s="13" t="str">
        <f aca="false">PROPER(TRIM(Raw_Data!N1442))</f>
        <v>No</v>
      </c>
      <c r="M1442" s="13" t="n">
        <f aca="false">IF(C1442="",0,1)</f>
        <v>1</v>
      </c>
      <c r="N1442" s="13" t="str">
        <f aca="false">IF(M1442=0,"Active",IF(TRIM(Raw_Data!L1442)="","Unknown",PROPER(TRIM(Raw_Data!L1442))))</f>
        <v>Voluntary</v>
      </c>
      <c r="O1442" s="13" t="str">
        <f aca="false">IF(M1442=0,"",IF(TRIM(Raw_Data!M1442)="","Not Recorded",TRIM(Raw_Data!M1442)))</f>
        <v>Career Growth</v>
      </c>
      <c r="P1442" s="16" t="n">
        <f aca="false">ROUND((IF(C1442="",AsOfDate,C1442)-B1442)/365.25,2)</f>
        <v>2.13</v>
      </c>
      <c r="Q1442" s="13" t="str">
        <f aca="false">IF(D1442="","Unknown",IF(D1442&lt;25,"Under 25",IF(D1442&lt;35,"25-34",IF(D1442&lt;45,"35-44",IF(D1442&lt;55,"45-54","55+")))))</f>
        <v>Under 25</v>
      </c>
      <c r="R1442" s="13" t="str">
        <f aca="false">IF(P1442&lt;1,"0-1 yrs",IF(P1442&lt;3,"1-3 yrs",IF(P1442&lt;5,"3-5 yrs",IF(P1442&lt;10,"5-10 yrs","10+ yrs"))))</f>
        <v>1-3 yrs</v>
      </c>
      <c r="S1442" s="13" t="str">
        <f aca="false">IF(I1442&gt;=4,"High",IF(I1442=3,"Medium","Low"))</f>
        <v>High</v>
      </c>
      <c r="T1442" s="13" t="n">
        <f aca="false">IF(M1442=1,YEAR(C1442),"")</f>
        <v>2025</v>
      </c>
      <c r="U1442" s="13" t="str">
        <f aca="false">IF(M1442=1,YEAR(C1442)&amp;"-Q"&amp;ROUNDUP(MONTH(C1442)/3,0),"")</f>
        <v>2025-Q1</v>
      </c>
      <c r="V1442" s="13" t="n">
        <f aca="false">IF(M1442=1,MONTH(C1442),"")</f>
        <v>2</v>
      </c>
    </row>
    <row r="1443" customFormat="false" ht="15" hidden="false" customHeight="false" outlineLevel="0" collapsed="false">
      <c r="A1443" s="13" t="str">
        <f aca="false">TRIM(Raw_Data!A1443)</f>
        <v>EMP1442</v>
      </c>
      <c r="B1443" s="14" t="n">
        <f aca="false">Raw_Data!B1443</f>
        <v>44914</v>
      </c>
      <c r="C1443" s="14" t="str">
        <f aca="false">IF(Raw_Data!C1443="","",Raw_Data!C1443)</f>
        <v/>
      </c>
      <c r="D1443" s="13" t="n">
        <f aca="false">IF(Raw_Data!D1443="","",Raw_Data!D1443)</f>
        <v>34</v>
      </c>
      <c r="E1443" s="13" t="str">
        <f aca="false">IF(UPPER(LEFT(TRIM(Raw_Data!E1443),1))="M","Male",IF(UPPER(LEFT(TRIM(Raw_Data!E1443),1))="F","Female","Unknown"))</f>
        <v>Female</v>
      </c>
      <c r="F1443" s="13" t="str">
        <f aca="false">PROPER(TRIM(SUBSTITUTE(Raw_Data!F1443,"'","")))</f>
        <v>High School</v>
      </c>
      <c r="G1443" s="13" t="str">
        <f aca="false">PROPER(TRIM(Raw_Data!G1443))</f>
        <v>Human Resources</v>
      </c>
      <c r="H1443" s="13" t="str">
        <f aca="false">PROPER(TRIM(Raw_Data!H1443))</f>
        <v>Analyst</v>
      </c>
      <c r="I1443" s="13" t="n">
        <f aca="false">IF(Raw_Data!I1443="",DefaultPerf,Raw_Data!I1443)</f>
        <v>4</v>
      </c>
      <c r="J1443" s="13" t="n">
        <f aca="false">IF(Raw_Data!J1443="",DefaultSat,Raw_Data!J1443)</f>
        <v>4</v>
      </c>
      <c r="K1443" s="15" t="n">
        <f aca="false">Raw_Data!K1443</f>
        <v>65500</v>
      </c>
      <c r="L1443" s="13" t="str">
        <f aca="false">PROPER(TRIM(Raw_Data!N1443))</f>
        <v>Yes</v>
      </c>
      <c r="M1443" s="13" t="n">
        <f aca="false">IF(C1443="",0,1)</f>
        <v>0</v>
      </c>
      <c r="N1443" s="13" t="str">
        <f aca="false">IF(M1443=0,"Active",IF(TRIM(Raw_Data!L1443)="","Unknown",PROPER(TRIM(Raw_Data!L1443))))</f>
        <v>Active</v>
      </c>
      <c r="O1443" s="13" t="str">
        <f aca="false">IF(M1443=0,"",IF(TRIM(Raw_Data!M1443)="","Not Recorded",TRIM(Raw_Data!M1443)))</f>
        <v/>
      </c>
      <c r="P1443" s="16" t="n">
        <f aca="false">ROUND((IF(C1443="",AsOfDate,C1443)-B1443)/365.25,2)</f>
        <v>3.03</v>
      </c>
      <c r="Q1443" s="13" t="str">
        <f aca="false">IF(D1443="","Unknown",IF(D1443&lt;25,"Under 25",IF(D1443&lt;35,"25-34",IF(D1443&lt;45,"35-44",IF(D1443&lt;55,"45-54","55+")))))</f>
        <v>25-34</v>
      </c>
      <c r="R1443" s="13" t="str">
        <f aca="false">IF(P1443&lt;1,"0-1 yrs",IF(P1443&lt;3,"1-3 yrs",IF(P1443&lt;5,"3-5 yrs",IF(P1443&lt;10,"5-10 yrs","10+ yrs"))))</f>
        <v>3-5 yrs</v>
      </c>
      <c r="S1443" s="13" t="str">
        <f aca="false">IF(I1443&gt;=4,"High",IF(I1443=3,"Medium","Low"))</f>
        <v>High</v>
      </c>
      <c r="T1443" s="13" t="str">
        <f aca="false">IF(M1443=1,YEAR(C1443),"")</f>
        <v/>
      </c>
      <c r="U1443" s="13" t="str">
        <f aca="false">IF(M1443=1,YEAR(C1443)&amp;"-Q"&amp;ROUNDUP(MONTH(C1443)/3,0),"")</f>
        <v/>
      </c>
      <c r="V1443" s="13" t="str">
        <f aca="false">IF(M1443=1,MONTH(C1443),"")</f>
        <v/>
      </c>
    </row>
    <row r="1444" customFormat="false" ht="15" hidden="false" customHeight="false" outlineLevel="0" collapsed="false">
      <c r="A1444" s="13" t="str">
        <f aca="false">TRIM(Raw_Data!A1444)</f>
        <v>EMP1443</v>
      </c>
      <c r="B1444" s="14" t="n">
        <f aca="false">Raw_Data!B1444</f>
        <v>44917</v>
      </c>
      <c r="C1444" s="14" t="str">
        <f aca="false">IF(Raw_Data!C1444="","",Raw_Data!C1444)</f>
        <v/>
      </c>
      <c r="D1444" s="13" t="n">
        <f aca="false">IF(Raw_Data!D1444="","",Raw_Data!D1444)</f>
        <v>41</v>
      </c>
      <c r="E1444" s="13" t="str">
        <f aca="false">IF(UPPER(LEFT(TRIM(Raw_Data!E1444),1))="M","Male",IF(UPPER(LEFT(TRIM(Raw_Data!E1444),1))="F","Female","Unknown"))</f>
        <v>Male</v>
      </c>
      <c r="F1444" s="13" t="str">
        <f aca="false">PROPER(TRIM(SUBSTITUTE(Raw_Data!F1444,"'","")))</f>
        <v>Masters</v>
      </c>
      <c r="G1444" s="13" t="str">
        <f aca="false">PROPER(TRIM(Raw_Data!G1444))</f>
        <v>Customer Support</v>
      </c>
      <c r="H1444" s="13" t="str">
        <f aca="false">PROPER(TRIM(Raw_Data!H1444))</f>
        <v>Specialist</v>
      </c>
      <c r="I1444" s="13" t="n">
        <f aca="false">IF(Raw_Data!I1444="",DefaultPerf,Raw_Data!I1444)</f>
        <v>3</v>
      </c>
      <c r="J1444" s="13" t="n">
        <f aca="false">IF(Raw_Data!J1444="",DefaultSat,Raw_Data!J1444)</f>
        <v>3</v>
      </c>
      <c r="K1444" s="15" t="n">
        <f aca="false">Raw_Data!K1444</f>
        <v>92500</v>
      </c>
      <c r="L1444" s="13" t="str">
        <f aca="false">PROPER(TRIM(Raw_Data!N1444))</f>
        <v>No</v>
      </c>
      <c r="M1444" s="13" t="n">
        <f aca="false">IF(C1444="",0,1)</f>
        <v>0</v>
      </c>
      <c r="N1444" s="13" t="str">
        <f aca="false">IF(M1444=0,"Active",IF(TRIM(Raw_Data!L1444)="","Unknown",PROPER(TRIM(Raw_Data!L1444))))</f>
        <v>Active</v>
      </c>
      <c r="O1444" s="13" t="str">
        <f aca="false">IF(M1444=0,"",IF(TRIM(Raw_Data!M1444)="","Not Recorded",TRIM(Raw_Data!M1444)))</f>
        <v/>
      </c>
      <c r="P1444" s="16" t="n">
        <f aca="false">ROUND((IF(C1444="",AsOfDate,C1444)-B1444)/365.25,2)</f>
        <v>3.03</v>
      </c>
      <c r="Q1444" s="13" t="str">
        <f aca="false">IF(D1444="","Unknown",IF(D1444&lt;25,"Under 25",IF(D1444&lt;35,"25-34",IF(D1444&lt;45,"35-44",IF(D1444&lt;55,"45-54","55+")))))</f>
        <v>35-44</v>
      </c>
      <c r="R1444" s="13" t="str">
        <f aca="false">IF(P1444&lt;1,"0-1 yrs",IF(P1444&lt;3,"1-3 yrs",IF(P1444&lt;5,"3-5 yrs",IF(P1444&lt;10,"5-10 yrs","10+ yrs"))))</f>
        <v>3-5 yrs</v>
      </c>
      <c r="S1444" s="13" t="str">
        <f aca="false">IF(I1444&gt;=4,"High",IF(I1444=3,"Medium","Low"))</f>
        <v>Medium</v>
      </c>
      <c r="T1444" s="13" t="str">
        <f aca="false">IF(M1444=1,YEAR(C1444),"")</f>
        <v/>
      </c>
      <c r="U1444" s="13" t="str">
        <f aca="false">IF(M1444=1,YEAR(C1444)&amp;"-Q"&amp;ROUNDUP(MONTH(C1444)/3,0),"")</f>
        <v/>
      </c>
      <c r="V1444" s="13" t="str">
        <f aca="false">IF(M1444=1,MONTH(C1444),"")</f>
        <v/>
      </c>
    </row>
    <row r="1445" customFormat="false" ht="15" hidden="false" customHeight="false" outlineLevel="0" collapsed="false">
      <c r="A1445" s="13" t="str">
        <f aca="false">TRIM(Raw_Data!A1445)</f>
        <v>EMP1444</v>
      </c>
      <c r="B1445" s="14" t="n">
        <f aca="false">Raw_Data!B1445</f>
        <v>44918</v>
      </c>
      <c r="C1445" s="14" t="n">
        <f aca="false">IF(Raw_Data!C1445="","",Raw_Data!C1445)</f>
        <v>45090</v>
      </c>
      <c r="D1445" s="13" t="n">
        <f aca="false">IF(Raw_Data!D1445="","",Raw_Data!D1445)</f>
        <v>32</v>
      </c>
      <c r="E1445" s="13" t="str">
        <f aca="false">IF(UPPER(LEFT(TRIM(Raw_Data!E1445),1))="M","Male",IF(UPPER(LEFT(TRIM(Raw_Data!E1445),1))="F","Female","Unknown"))</f>
        <v>Male</v>
      </c>
      <c r="F1445" s="13" t="str">
        <f aca="false">PROPER(TRIM(SUBSTITUTE(Raw_Data!F1445,"'","")))</f>
        <v>Bachelors</v>
      </c>
      <c r="G1445" s="13" t="str">
        <f aca="false">PROPER(TRIM(Raw_Data!G1445))</f>
        <v>Operations</v>
      </c>
      <c r="H1445" s="13" t="str">
        <f aca="false">PROPER(TRIM(Raw_Data!H1445))</f>
        <v>Specialist</v>
      </c>
      <c r="I1445" s="17" t="n">
        <f aca="false">IF(Raw_Data!I1445="",DefaultPerf,Raw_Data!I1445)</f>
        <v>3</v>
      </c>
      <c r="J1445" s="13" t="n">
        <f aca="false">IF(Raw_Data!J1445="",DefaultSat,Raw_Data!J1445)</f>
        <v>3</v>
      </c>
      <c r="K1445" s="15" t="n">
        <f aca="false">Raw_Data!K1445</f>
        <v>103500</v>
      </c>
      <c r="L1445" s="13" t="str">
        <f aca="false">PROPER(TRIM(Raw_Data!N1445))</f>
        <v>Yes</v>
      </c>
      <c r="M1445" s="13" t="n">
        <f aca="false">IF(C1445="",0,1)</f>
        <v>1</v>
      </c>
      <c r="N1445" s="13" t="str">
        <f aca="false">IF(M1445=0,"Active",IF(TRIM(Raw_Data!L1445)="","Unknown",PROPER(TRIM(Raw_Data!L1445))))</f>
        <v>Voluntary</v>
      </c>
      <c r="O1445" s="13" t="str">
        <f aca="false">IF(M1445=0,"",IF(TRIM(Raw_Data!M1445)="","Not Recorded",TRIM(Raw_Data!M1445)))</f>
        <v>Work-Life Balance</v>
      </c>
      <c r="P1445" s="16" t="n">
        <f aca="false">ROUND((IF(C1445="",AsOfDate,C1445)-B1445)/365.25,2)</f>
        <v>0.47</v>
      </c>
      <c r="Q1445" s="13" t="str">
        <f aca="false">IF(D1445="","Unknown",IF(D1445&lt;25,"Under 25",IF(D1445&lt;35,"25-34",IF(D1445&lt;45,"35-44",IF(D1445&lt;55,"45-54","55+")))))</f>
        <v>25-34</v>
      </c>
      <c r="R1445" s="13" t="str">
        <f aca="false">IF(P1445&lt;1,"0-1 yrs",IF(P1445&lt;3,"1-3 yrs",IF(P1445&lt;5,"3-5 yrs",IF(P1445&lt;10,"5-10 yrs","10+ yrs"))))</f>
        <v>0-1 yrs</v>
      </c>
      <c r="S1445" s="13" t="str">
        <f aca="false">IF(I1445&gt;=4,"High",IF(I1445=3,"Medium","Low"))</f>
        <v>Medium</v>
      </c>
      <c r="T1445" s="13" t="n">
        <f aca="false">IF(M1445=1,YEAR(C1445),"")</f>
        <v>2023</v>
      </c>
      <c r="U1445" s="13" t="str">
        <f aca="false">IF(M1445=1,YEAR(C1445)&amp;"-Q"&amp;ROUNDUP(MONTH(C1445)/3,0),"")</f>
        <v>2023-Q2</v>
      </c>
      <c r="V1445" s="13" t="n">
        <f aca="false">IF(M1445=1,MONTH(C1445),"")</f>
        <v>6</v>
      </c>
    </row>
    <row r="1446" customFormat="false" ht="15" hidden="false" customHeight="false" outlineLevel="0" collapsed="false">
      <c r="A1446" s="13" t="str">
        <f aca="false">TRIM(Raw_Data!A1446)</f>
        <v>EMP1445</v>
      </c>
      <c r="B1446" s="14" t="n">
        <f aca="false">Raw_Data!B1446</f>
        <v>44918</v>
      </c>
      <c r="C1446" s="14" t="str">
        <f aca="false">IF(Raw_Data!C1446="","",Raw_Data!C1446)</f>
        <v/>
      </c>
      <c r="D1446" s="13" t="n">
        <f aca="false">IF(Raw_Data!D1446="","",Raw_Data!D1446)</f>
        <v>32</v>
      </c>
      <c r="E1446" s="13" t="str">
        <f aca="false">IF(UPPER(LEFT(TRIM(Raw_Data!E1446),1))="M","Male",IF(UPPER(LEFT(TRIM(Raw_Data!E1446),1))="F","Female","Unknown"))</f>
        <v>Male</v>
      </c>
      <c r="F1446" s="13" t="str">
        <f aca="false">PROPER(TRIM(SUBSTITUTE(Raw_Data!F1446,"'","")))</f>
        <v>Diploma</v>
      </c>
      <c r="G1446" s="13" t="str">
        <f aca="false">PROPER(TRIM(Raw_Data!G1446))</f>
        <v>Engineering</v>
      </c>
      <c r="H1446" s="13" t="str">
        <f aca="false">PROPER(TRIM(Raw_Data!H1446))</f>
        <v>Associate</v>
      </c>
      <c r="I1446" s="13" t="n">
        <f aca="false">IF(Raw_Data!I1446="",DefaultPerf,Raw_Data!I1446)</f>
        <v>4</v>
      </c>
      <c r="J1446" s="13" t="n">
        <f aca="false">IF(Raw_Data!J1446="",DefaultSat,Raw_Data!J1446)</f>
        <v>3</v>
      </c>
      <c r="K1446" s="15" t="n">
        <f aca="false">Raw_Data!K1446</f>
        <v>43500</v>
      </c>
      <c r="L1446" s="13" t="str">
        <f aca="false">PROPER(TRIM(Raw_Data!N1446))</f>
        <v>No</v>
      </c>
      <c r="M1446" s="13" t="n">
        <f aca="false">IF(C1446="",0,1)</f>
        <v>0</v>
      </c>
      <c r="N1446" s="13" t="str">
        <f aca="false">IF(M1446=0,"Active",IF(TRIM(Raw_Data!L1446)="","Unknown",PROPER(TRIM(Raw_Data!L1446))))</f>
        <v>Active</v>
      </c>
      <c r="O1446" s="13" t="str">
        <f aca="false">IF(M1446=0,"",IF(TRIM(Raw_Data!M1446)="","Not Recorded",TRIM(Raw_Data!M1446)))</f>
        <v/>
      </c>
      <c r="P1446" s="16" t="n">
        <f aca="false">ROUND((IF(C1446="",AsOfDate,C1446)-B1446)/365.25,2)</f>
        <v>3.02</v>
      </c>
      <c r="Q1446" s="13" t="str">
        <f aca="false">IF(D1446="","Unknown",IF(D1446&lt;25,"Under 25",IF(D1446&lt;35,"25-34",IF(D1446&lt;45,"35-44",IF(D1446&lt;55,"45-54","55+")))))</f>
        <v>25-34</v>
      </c>
      <c r="R1446" s="13" t="str">
        <f aca="false">IF(P1446&lt;1,"0-1 yrs",IF(P1446&lt;3,"1-3 yrs",IF(P1446&lt;5,"3-5 yrs",IF(P1446&lt;10,"5-10 yrs","10+ yrs"))))</f>
        <v>3-5 yrs</v>
      </c>
      <c r="S1446" s="13" t="str">
        <f aca="false">IF(I1446&gt;=4,"High",IF(I1446=3,"Medium","Low"))</f>
        <v>High</v>
      </c>
      <c r="T1446" s="13" t="str">
        <f aca="false">IF(M1446=1,YEAR(C1446),"")</f>
        <v/>
      </c>
      <c r="U1446" s="13" t="str">
        <f aca="false">IF(M1446=1,YEAR(C1446)&amp;"-Q"&amp;ROUNDUP(MONTH(C1446)/3,0),"")</f>
        <v/>
      </c>
      <c r="V1446" s="13" t="str">
        <f aca="false">IF(M1446=1,MONTH(C1446),"")</f>
        <v/>
      </c>
    </row>
    <row r="1447" customFormat="false" ht="15" hidden="false" customHeight="false" outlineLevel="0" collapsed="false">
      <c r="A1447" s="13" t="str">
        <f aca="false">TRIM(Raw_Data!A1447)</f>
        <v>EMP1446</v>
      </c>
      <c r="B1447" s="14" t="n">
        <f aca="false">Raw_Data!B1447</f>
        <v>44922</v>
      </c>
      <c r="C1447" s="14" t="n">
        <f aca="false">IF(Raw_Data!C1447="","",Raw_Data!C1447)</f>
        <v>45411</v>
      </c>
      <c r="D1447" s="13" t="n">
        <f aca="false">IF(Raw_Data!D1447="","",Raw_Data!D1447)</f>
        <v>26</v>
      </c>
      <c r="E1447" s="13" t="str">
        <f aca="false">IF(UPPER(LEFT(TRIM(Raw_Data!E1447),1))="M","Male",IF(UPPER(LEFT(TRIM(Raw_Data!E1447),1))="F","Female","Unknown"))</f>
        <v>Male</v>
      </c>
      <c r="F1447" s="13" t="str">
        <f aca="false">PROPER(TRIM(SUBSTITUTE(Raw_Data!F1447,"'","")))</f>
        <v>Doctorate</v>
      </c>
      <c r="G1447" s="13" t="str">
        <f aca="false">PROPER(TRIM(Raw_Data!G1447))</f>
        <v>Sales</v>
      </c>
      <c r="H1447" s="13" t="str">
        <f aca="false">PROPER(TRIM(Raw_Data!H1447))</f>
        <v>Analyst</v>
      </c>
      <c r="I1447" s="13" t="n">
        <f aca="false">IF(Raw_Data!I1447="",DefaultPerf,Raw_Data!I1447)</f>
        <v>3</v>
      </c>
      <c r="J1447" s="13" t="n">
        <f aca="false">IF(Raw_Data!J1447="",DefaultSat,Raw_Data!J1447)</f>
        <v>3</v>
      </c>
      <c r="K1447" s="15" t="n">
        <f aca="false">Raw_Data!K1447</f>
        <v>57000</v>
      </c>
      <c r="L1447" s="13" t="str">
        <f aca="false">PROPER(TRIM(Raw_Data!N1447))</f>
        <v>No</v>
      </c>
      <c r="M1447" s="13" t="n">
        <f aca="false">IF(C1447="",0,1)</f>
        <v>1</v>
      </c>
      <c r="N1447" s="13" t="str">
        <f aca="false">IF(M1447=0,"Active",IF(TRIM(Raw_Data!L1447)="","Unknown",PROPER(TRIM(Raw_Data!L1447))))</f>
        <v>Voluntary</v>
      </c>
      <c r="O1447" s="13" t="str">
        <f aca="false">IF(M1447=0,"",IF(TRIM(Raw_Data!M1447)="","Not Recorded",TRIM(Raw_Data!M1447)))</f>
        <v>Relocation</v>
      </c>
      <c r="P1447" s="16" t="n">
        <f aca="false">ROUND((IF(C1447="",AsOfDate,C1447)-B1447)/365.25,2)</f>
        <v>1.34</v>
      </c>
      <c r="Q1447" s="13" t="str">
        <f aca="false">IF(D1447="","Unknown",IF(D1447&lt;25,"Under 25",IF(D1447&lt;35,"25-34",IF(D1447&lt;45,"35-44",IF(D1447&lt;55,"45-54","55+")))))</f>
        <v>25-34</v>
      </c>
      <c r="R1447" s="13" t="str">
        <f aca="false">IF(P1447&lt;1,"0-1 yrs",IF(P1447&lt;3,"1-3 yrs",IF(P1447&lt;5,"3-5 yrs",IF(P1447&lt;10,"5-10 yrs","10+ yrs"))))</f>
        <v>1-3 yrs</v>
      </c>
      <c r="S1447" s="13" t="str">
        <f aca="false">IF(I1447&gt;=4,"High",IF(I1447=3,"Medium","Low"))</f>
        <v>Medium</v>
      </c>
      <c r="T1447" s="13" t="n">
        <f aca="false">IF(M1447=1,YEAR(C1447),"")</f>
        <v>2024</v>
      </c>
      <c r="U1447" s="13" t="str">
        <f aca="false">IF(M1447=1,YEAR(C1447)&amp;"-Q"&amp;ROUNDUP(MONTH(C1447)/3,0),"")</f>
        <v>2024-Q2</v>
      </c>
      <c r="V1447" s="13" t="n">
        <f aca="false">IF(M1447=1,MONTH(C1447),"")</f>
        <v>4</v>
      </c>
    </row>
    <row r="1448" customFormat="false" ht="15" hidden="false" customHeight="false" outlineLevel="0" collapsed="false">
      <c r="A1448" s="13" t="str">
        <f aca="false">TRIM(Raw_Data!A1448)</f>
        <v>EMP1447</v>
      </c>
      <c r="B1448" s="14" t="n">
        <f aca="false">Raw_Data!B1448</f>
        <v>44923</v>
      </c>
      <c r="C1448" s="14" t="n">
        <f aca="false">IF(Raw_Data!C1448="","",Raw_Data!C1448)</f>
        <v>45613</v>
      </c>
      <c r="D1448" s="13" t="n">
        <f aca="false">IF(Raw_Data!D1448="","",Raw_Data!D1448)</f>
        <v>27</v>
      </c>
      <c r="E1448" s="13" t="str">
        <f aca="false">IF(UPPER(LEFT(TRIM(Raw_Data!E1448),1))="M","Male",IF(UPPER(LEFT(TRIM(Raw_Data!E1448),1))="F","Female","Unknown"))</f>
        <v>Male</v>
      </c>
      <c r="F1448" s="13" t="str">
        <f aca="false">PROPER(TRIM(SUBSTITUTE(Raw_Data!F1448,"'","")))</f>
        <v>Bachelors</v>
      </c>
      <c r="G1448" s="13" t="str">
        <f aca="false">PROPER(TRIM(Raw_Data!G1448))</f>
        <v>Operations</v>
      </c>
      <c r="H1448" s="13" t="str">
        <f aca="false">PROPER(TRIM(Raw_Data!H1448))</f>
        <v>Associate</v>
      </c>
      <c r="I1448" s="13" t="n">
        <f aca="false">IF(Raw_Data!I1448="",DefaultPerf,Raw_Data!I1448)</f>
        <v>3</v>
      </c>
      <c r="J1448" s="13" t="n">
        <f aca="false">IF(Raw_Data!J1448="",DefaultSat,Raw_Data!J1448)</f>
        <v>2</v>
      </c>
      <c r="K1448" s="15" t="n">
        <f aca="false">Raw_Data!K1448</f>
        <v>30000</v>
      </c>
      <c r="L1448" s="13" t="str">
        <f aca="false">PROPER(TRIM(Raw_Data!N1448))</f>
        <v>No</v>
      </c>
      <c r="M1448" s="13" t="n">
        <f aca="false">IF(C1448="",0,1)</f>
        <v>1</v>
      </c>
      <c r="N1448" s="13" t="str">
        <f aca="false">IF(M1448=0,"Active",IF(TRIM(Raw_Data!L1448)="","Unknown",PROPER(TRIM(Raw_Data!L1448))))</f>
        <v>Voluntary</v>
      </c>
      <c r="O1448" s="13" t="str">
        <f aca="false">IF(M1448=0,"",IF(TRIM(Raw_Data!M1448)="","Not Recorded",TRIM(Raw_Data!M1448)))</f>
        <v>Better Compensation</v>
      </c>
      <c r="P1448" s="16" t="n">
        <f aca="false">ROUND((IF(C1448="",AsOfDate,C1448)-B1448)/365.25,2)</f>
        <v>1.89</v>
      </c>
      <c r="Q1448" s="13" t="str">
        <f aca="false">IF(D1448="","Unknown",IF(D1448&lt;25,"Under 25",IF(D1448&lt;35,"25-34",IF(D1448&lt;45,"35-44",IF(D1448&lt;55,"45-54","55+")))))</f>
        <v>25-34</v>
      </c>
      <c r="R1448" s="13" t="str">
        <f aca="false">IF(P1448&lt;1,"0-1 yrs",IF(P1448&lt;3,"1-3 yrs",IF(P1448&lt;5,"3-5 yrs",IF(P1448&lt;10,"5-10 yrs","10+ yrs"))))</f>
        <v>1-3 yrs</v>
      </c>
      <c r="S1448" s="13" t="str">
        <f aca="false">IF(I1448&gt;=4,"High",IF(I1448=3,"Medium","Low"))</f>
        <v>Medium</v>
      </c>
      <c r="T1448" s="13" t="n">
        <f aca="false">IF(M1448=1,YEAR(C1448),"")</f>
        <v>2024</v>
      </c>
      <c r="U1448" s="13" t="str">
        <f aca="false">IF(M1448=1,YEAR(C1448)&amp;"-Q"&amp;ROUNDUP(MONTH(C1448)/3,0),"")</f>
        <v>2024-Q4</v>
      </c>
      <c r="V1448" s="13" t="n">
        <f aca="false">IF(M1448=1,MONTH(C1448),"")</f>
        <v>11</v>
      </c>
    </row>
    <row r="1449" customFormat="false" ht="15" hidden="false" customHeight="false" outlineLevel="0" collapsed="false">
      <c r="A1449" s="13" t="str">
        <f aca="false">TRIM(Raw_Data!A1449)</f>
        <v>EMP1448</v>
      </c>
      <c r="B1449" s="14" t="n">
        <f aca="false">Raw_Data!B1449</f>
        <v>44925</v>
      </c>
      <c r="C1449" s="14" t="n">
        <f aca="false">IF(Raw_Data!C1449="","",Raw_Data!C1449)</f>
        <v>45267</v>
      </c>
      <c r="D1449" s="13" t="n">
        <f aca="false">IF(Raw_Data!D1449="","",Raw_Data!D1449)</f>
        <v>40</v>
      </c>
      <c r="E1449" s="13" t="str">
        <f aca="false">IF(UPPER(LEFT(TRIM(Raw_Data!E1449),1))="M","Male",IF(UPPER(LEFT(TRIM(Raw_Data!E1449),1))="F","Female","Unknown"))</f>
        <v>Male</v>
      </c>
      <c r="F1449" s="13" t="str">
        <f aca="false">PROPER(TRIM(SUBSTITUTE(Raw_Data!F1449,"'","")))</f>
        <v>Diploma</v>
      </c>
      <c r="G1449" s="13" t="str">
        <f aca="false">PROPER(TRIM(Raw_Data!G1449))</f>
        <v>Sales</v>
      </c>
      <c r="H1449" s="13" t="str">
        <f aca="false">PROPER(TRIM(Raw_Data!H1449))</f>
        <v>Analyst</v>
      </c>
      <c r="I1449" s="13" t="n">
        <f aca="false">IF(Raw_Data!I1449="",DefaultPerf,Raw_Data!I1449)</f>
        <v>3</v>
      </c>
      <c r="J1449" s="13" t="n">
        <f aca="false">IF(Raw_Data!J1449="",DefaultSat,Raw_Data!J1449)</f>
        <v>3</v>
      </c>
      <c r="K1449" s="15" t="n">
        <f aca="false">Raw_Data!K1449</f>
        <v>70000</v>
      </c>
      <c r="L1449" s="13" t="str">
        <f aca="false">PROPER(TRIM(Raw_Data!N1449))</f>
        <v>No</v>
      </c>
      <c r="M1449" s="13" t="n">
        <f aca="false">IF(C1449="",0,1)</f>
        <v>1</v>
      </c>
      <c r="N1449" s="13" t="str">
        <f aca="false">IF(M1449=0,"Active",IF(TRIM(Raw_Data!L1449)="","Unknown",PROPER(TRIM(Raw_Data!L1449))))</f>
        <v>Voluntary</v>
      </c>
      <c r="O1449" s="13" t="str">
        <f aca="false">IF(M1449=0,"",IF(TRIM(Raw_Data!M1449)="","Not Recorded",TRIM(Raw_Data!M1449)))</f>
        <v>Not Recorded</v>
      </c>
      <c r="P1449" s="16" t="n">
        <f aca="false">ROUND((IF(C1449="",AsOfDate,C1449)-B1449)/365.25,2)</f>
        <v>0.94</v>
      </c>
      <c r="Q1449" s="13" t="str">
        <f aca="false">IF(D1449="","Unknown",IF(D1449&lt;25,"Under 25",IF(D1449&lt;35,"25-34",IF(D1449&lt;45,"35-44",IF(D1449&lt;55,"45-54","55+")))))</f>
        <v>35-44</v>
      </c>
      <c r="R1449" s="13" t="str">
        <f aca="false">IF(P1449&lt;1,"0-1 yrs",IF(P1449&lt;3,"1-3 yrs",IF(P1449&lt;5,"3-5 yrs",IF(P1449&lt;10,"5-10 yrs","10+ yrs"))))</f>
        <v>0-1 yrs</v>
      </c>
      <c r="S1449" s="13" t="str">
        <f aca="false">IF(I1449&gt;=4,"High",IF(I1449=3,"Medium","Low"))</f>
        <v>Medium</v>
      </c>
      <c r="T1449" s="13" t="n">
        <f aca="false">IF(M1449=1,YEAR(C1449),"")</f>
        <v>2023</v>
      </c>
      <c r="U1449" s="13" t="str">
        <f aca="false">IF(M1449=1,YEAR(C1449)&amp;"-Q"&amp;ROUNDUP(MONTH(C1449)/3,0),"")</f>
        <v>2023-Q4</v>
      </c>
      <c r="V1449" s="13" t="n">
        <f aca="false">IF(M1449=1,MONTH(C1449),"")</f>
        <v>12</v>
      </c>
    </row>
    <row r="1450" customFormat="false" ht="15" hidden="false" customHeight="false" outlineLevel="0" collapsed="false">
      <c r="A1450" s="13" t="str">
        <f aca="false">TRIM(Raw_Data!A1450)</f>
        <v>EMP1449</v>
      </c>
      <c r="B1450" s="14" t="n">
        <f aca="false">Raw_Data!B1450</f>
        <v>44929</v>
      </c>
      <c r="C1450" s="14" t="str">
        <f aca="false">IF(Raw_Data!C1450="","",Raw_Data!C1450)</f>
        <v/>
      </c>
      <c r="D1450" s="13" t="n">
        <f aca="false">IF(Raw_Data!D1450="","",Raw_Data!D1450)</f>
        <v>32</v>
      </c>
      <c r="E1450" s="13" t="str">
        <f aca="false">IF(UPPER(LEFT(TRIM(Raw_Data!E1450),1))="M","Male",IF(UPPER(LEFT(TRIM(Raw_Data!E1450),1))="F","Female","Unknown"))</f>
        <v>Male</v>
      </c>
      <c r="F1450" s="13" t="str">
        <f aca="false">PROPER(TRIM(SUBSTITUTE(Raw_Data!F1450,"'","")))</f>
        <v>Masters</v>
      </c>
      <c r="G1450" s="13" t="str">
        <f aca="false">PROPER(TRIM(Raw_Data!G1450))</f>
        <v>Operations</v>
      </c>
      <c r="H1450" s="13" t="str">
        <f aca="false">PROPER(TRIM(Raw_Data!H1450))</f>
        <v>Associate</v>
      </c>
      <c r="I1450" s="13" t="n">
        <f aca="false">IF(Raw_Data!I1450="",DefaultPerf,Raw_Data!I1450)</f>
        <v>3</v>
      </c>
      <c r="J1450" s="13" t="n">
        <f aca="false">IF(Raw_Data!J1450="",DefaultSat,Raw_Data!J1450)</f>
        <v>4</v>
      </c>
      <c r="K1450" s="15" t="n">
        <f aca="false">Raw_Data!K1450</f>
        <v>34500</v>
      </c>
      <c r="L1450" s="13" t="str">
        <f aca="false">PROPER(TRIM(Raw_Data!N1450))</f>
        <v>No</v>
      </c>
      <c r="M1450" s="13" t="n">
        <f aca="false">IF(C1450="",0,1)</f>
        <v>0</v>
      </c>
      <c r="N1450" s="13" t="str">
        <f aca="false">IF(M1450=0,"Active",IF(TRIM(Raw_Data!L1450)="","Unknown",PROPER(TRIM(Raw_Data!L1450))))</f>
        <v>Active</v>
      </c>
      <c r="O1450" s="13" t="str">
        <f aca="false">IF(M1450=0,"",IF(TRIM(Raw_Data!M1450)="","Not Recorded",TRIM(Raw_Data!M1450)))</f>
        <v/>
      </c>
      <c r="P1450" s="16" t="n">
        <f aca="false">ROUND((IF(C1450="",AsOfDate,C1450)-B1450)/365.25,2)</f>
        <v>2.99</v>
      </c>
      <c r="Q1450" s="13" t="str">
        <f aca="false">IF(D1450="","Unknown",IF(D1450&lt;25,"Under 25",IF(D1450&lt;35,"25-34",IF(D1450&lt;45,"35-44",IF(D1450&lt;55,"45-54","55+")))))</f>
        <v>25-34</v>
      </c>
      <c r="R1450" s="13" t="str">
        <f aca="false">IF(P1450&lt;1,"0-1 yrs",IF(P1450&lt;3,"1-3 yrs",IF(P1450&lt;5,"3-5 yrs",IF(P1450&lt;10,"5-10 yrs","10+ yrs"))))</f>
        <v>1-3 yrs</v>
      </c>
      <c r="S1450" s="13" t="str">
        <f aca="false">IF(I1450&gt;=4,"High",IF(I1450=3,"Medium","Low"))</f>
        <v>Medium</v>
      </c>
      <c r="T1450" s="13" t="str">
        <f aca="false">IF(M1450=1,YEAR(C1450),"")</f>
        <v/>
      </c>
      <c r="U1450" s="13" t="str">
        <f aca="false">IF(M1450=1,YEAR(C1450)&amp;"-Q"&amp;ROUNDUP(MONTH(C1450)/3,0),"")</f>
        <v/>
      </c>
      <c r="V1450" s="13" t="str">
        <f aca="false">IF(M1450=1,MONTH(C1450),"")</f>
        <v/>
      </c>
    </row>
    <row r="1451" customFormat="false" ht="15" hidden="false" customHeight="false" outlineLevel="0" collapsed="false">
      <c r="A1451" s="13" t="str">
        <f aca="false">TRIM(Raw_Data!A1451)</f>
        <v>EMP1450</v>
      </c>
      <c r="B1451" s="14" t="n">
        <f aca="false">Raw_Data!B1451</f>
        <v>44932</v>
      </c>
      <c r="C1451" s="14" t="n">
        <f aca="false">IF(Raw_Data!C1451="","",Raw_Data!C1451)</f>
        <v>45336</v>
      </c>
      <c r="D1451" s="13" t="n">
        <f aca="false">IF(Raw_Data!D1451="","",Raw_Data!D1451)</f>
        <v>34</v>
      </c>
      <c r="E1451" s="13" t="str">
        <f aca="false">IF(UPPER(LEFT(TRIM(Raw_Data!E1451),1))="M","Male",IF(UPPER(LEFT(TRIM(Raw_Data!E1451),1))="F","Female","Unknown"))</f>
        <v>Female</v>
      </c>
      <c r="F1451" s="13" t="str">
        <f aca="false">PROPER(TRIM(SUBSTITUTE(Raw_Data!F1451,"'","")))</f>
        <v>Bachelors</v>
      </c>
      <c r="G1451" s="13" t="str">
        <f aca="false">PROPER(TRIM(Raw_Data!G1451))</f>
        <v>Sales</v>
      </c>
      <c r="H1451" s="13" t="str">
        <f aca="false">PROPER(TRIM(Raw_Data!H1451))</f>
        <v>Senior Analyst</v>
      </c>
      <c r="I1451" s="13" t="n">
        <f aca="false">IF(Raw_Data!I1451="",DefaultPerf,Raw_Data!I1451)</f>
        <v>3</v>
      </c>
      <c r="J1451" s="13" t="n">
        <f aca="false">IF(Raw_Data!J1451="",DefaultSat,Raw_Data!J1451)</f>
        <v>2</v>
      </c>
      <c r="K1451" s="15" t="n">
        <f aca="false">Raw_Data!K1451</f>
        <v>111500</v>
      </c>
      <c r="L1451" s="13" t="str">
        <f aca="false">PROPER(TRIM(Raw_Data!N1451))</f>
        <v>Yes</v>
      </c>
      <c r="M1451" s="13" t="n">
        <f aca="false">IF(C1451="",0,1)</f>
        <v>1</v>
      </c>
      <c r="N1451" s="13" t="str">
        <f aca="false">IF(M1451=0,"Active",IF(TRIM(Raw_Data!L1451)="","Unknown",PROPER(TRIM(Raw_Data!L1451))))</f>
        <v>Voluntary</v>
      </c>
      <c r="O1451" s="13" t="str">
        <f aca="false">IF(M1451=0,"",IF(TRIM(Raw_Data!M1451)="","Not Recorded",TRIM(Raw_Data!M1451)))</f>
        <v>Manager Issues</v>
      </c>
      <c r="P1451" s="16" t="n">
        <f aca="false">ROUND((IF(C1451="",AsOfDate,C1451)-B1451)/365.25,2)</f>
        <v>1.11</v>
      </c>
      <c r="Q1451" s="13" t="str">
        <f aca="false">IF(D1451="","Unknown",IF(D1451&lt;25,"Under 25",IF(D1451&lt;35,"25-34",IF(D1451&lt;45,"35-44",IF(D1451&lt;55,"45-54","55+")))))</f>
        <v>25-34</v>
      </c>
      <c r="R1451" s="13" t="str">
        <f aca="false">IF(P1451&lt;1,"0-1 yrs",IF(P1451&lt;3,"1-3 yrs",IF(P1451&lt;5,"3-5 yrs",IF(P1451&lt;10,"5-10 yrs","10+ yrs"))))</f>
        <v>1-3 yrs</v>
      </c>
      <c r="S1451" s="13" t="str">
        <f aca="false">IF(I1451&gt;=4,"High",IF(I1451=3,"Medium","Low"))</f>
        <v>Medium</v>
      </c>
      <c r="T1451" s="13" t="n">
        <f aca="false">IF(M1451=1,YEAR(C1451),"")</f>
        <v>2024</v>
      </c>
      <c r="U1451" s="13" t="str">
        <f aca="false">IF(M1451=1,YEAR(C1451)&amp;"-Q"&amp;ROUNDUP(MONTH(C1451)/3,0),"")</f>
        <v>2024-Q1</v>
      </c>
      <c r="V1451" s="13" t="n">
        <f aca="false">IF(M1451=1,MONTH(C1451),"")</f>
        <v>2</v>
      </c>
    </row>
    <row r="1452" customFormat="false" ht="15" hidden="false" customHeight="false" outlineLevel="0" collapsed="false">
      <c r="A1452" s="13" t="str">
        <f aca="false">TRIM(Raw_Data!A1452)</f>
        <v>EMP1451</v>
      </c>
      <c r="B1452" s="14" t="n">
        <f aca="false">Raw_Data!B1452</f>
        <v>44938</v>
      </c>
      <c r="C1452" s="14" t="str">
        <f aca="false">IF(Raw_Data!C1452="","",Raw_Data!C1452)</f>
        <v/>
      </c>
      <c r="D1452" s="13" t="n">
        <f aca="false">IF(Raw_Data!D1452="","",Raw_Data!D1452)</f>
        <v>38</v>
      </c>
      <c r="E1452" s="13" t="str">
        <f aca="false">IF(UPPER(LEFT(TRIM(Raw_Data!E1452),1))="M","Male",IF(UPPER(LEFT(TRIM(Raw_Data!E1452),1))="F","Female","Unknown"))</f>
        <v>Female</v>
      </c>
      <c r="F1452" s="13" t="str">
        <f aca="false">PROPER(TRIM(SUBSTITUTE(Raw_Data!F1452,"'","")))</f>
        <v>Diploma</v>
      </c>
      <c r="G1452" s="13" t="str">
        <f aca="false">PROPER(TRIM(Raw_Data!G1452))</f>
        <v>Customer Support</v>
      </c>
      <c r="H1452" s="13" t="str">
        <f aca="false">PROPER(TRIM(Raw_Data!H1452))</f>
        <v>Analyst</v>
      </c>
      <c r="I1452" s="13" t="n">
        <f aca="false">IF(Raw_Data!I1452="",DefaultPerf,Raw_Data!I1452)</f>
        <v>4</v>
      </c>
      <c r="J1452" s="13" t="n">
        <f aca="false">IF(Raw_Data!J1452="",DefaultSat,Raw_Data!J1452)</f>
        <v>4</v>
      </c>
      <c r="K1452" s="15" t="n">
        <f aca="false">Raw_Data!K1452</f>
        <v>69000</v>
      </c>
      <c r="L1452" s="13" t="str">
        <f aca="false">PROPER(TRIM(Raw_Data!N1452))</f>
        <v>No</v>
      </c>
      <c r="M1452" s="13" t="n">
        <f aca="false">IF(C1452="",0,1)</f>
        <v>0</v>
      </c>
      <c r="N1452" s="13" t="str">
        <f aca="false">IF(M1452=0,"Active",IF(TRIM(Raw_Data!L1452)="","Unknown",PROPER(TRIM(Raw_Data!L1452))))</f>
        <v>Active</v>
      </c>
      <c r="O1452" s="13" t="str">
        <f aca="false">IF(M1452=0,"",IF(TRIM(Raw_Data!M1452)="","Not Recorded",TRIM(Raw_Data!M1452)))</f>
        <v/>
      </c>
      <c r="P1452" s="16" t="n">
        <f aca="false">ROUND((IF(C1452="",AsOfDate,C1452)-B1452)/365.25,2)</f>
        <v>2.97</v>
      </c>
      <c r="Q1452" s="13" t="str">
        <f aca="false">IF(D1452="","Unknown",IF(D1452&lt;25,"Under 25",IF(D1452&lt;35,"25-34",IF(D1452&lt;45,"35-44",IF(D1452&lt;55,"45-54","55+")))))</f>
        <v>35-44</v>
      </c>
      <c r="R1452" s="13" t="str">
        <f aca="false">IF(P1452&lt;1,"0-1 yrs",IF(P1452&lt;3,"1-3 yrs",IF(P1452&lt;5,"3-5 yrs",IF(P1452&lt;10,"5-10 yrs","10+ yrs"))))</f>
        <v>1-3 yrs</v>
      </c>
      <c r="S1452" s="13" t="str">
        <f aca="false">IF(I1452&gt;=4,"High",IF(I1452=3,"Medium","Low"))</f>
        <v>High</v>
      </c>
      <c r="T1452" s="13" t="str">
        <f aca="false">IF(M1452=1,YEAR(C1452),"")</f>
        <v/>
      </c>
      <c r="U1452" s="13" t="str">
        <f aca="false">IF(M1452=1,YEAR(C1452)&amp;"-Q"&amp;ROUNDUP(MONTH(C1452)/3,0),"")</f>
        <v/>
      </c>
      <c r="V1452" s="13" t="str">
        <f aca="false">IF(M1452=1,MONTH(C1452),"")</f>
        <v/>
      </c>
    </row>
    <row r="1453" customFormat="false" ht="15" hidden="false" customHeight="false" outlineLevel="0" collapsed="false">
      <c r="A1453" s="13" t="str">
        <f aca="false">TRIM(Raw_Data!A1453)</f>
        <v>EMP1452</v>
      </c>
      <c r="B1453" s="14" t="n">
        <f aca="false">Raw_Data!B1453</f>
        <v>44940</v>
      </c>
      <c r="C1453" s="14" t="str">
        <f aca="false">IF(Raw_Data!C1453="","",Raw_Data!C1453)</f>
        <v/>
      </c>
      <c r="D1453" s="13" t="n">
        <f aca="false">IF(Raw_Data!D1453="","",Raw_Data!D1453)</f>
        <v>36</v>
      </c>
      <c r="E1453" s="13" t="str">
        <f aca="false">IF(UPPER(LEFT(TRIM(Raw_Data!E1453),1))="M","Male",IF(UPPER(LEFT(TRIM(Raw_Data!E1453),1))="F","Female","Unknown"))</f>
        <v>Male</v>
      </c>
      <c r="F1453" s="13" t="str">
        <f aca="false">PROPER(TRIM(SUBSTITUTE(Raw_Data!F1453,"'","")))</f>
        <v>High School</v>
      </c>
      <c r="G1453" s="13" t="str">
        <f aca="false">PROPER(TRIM(Raw_Data!G1453))</f>
        <v>Engineering</v>
      </c>
      <c r="H1453" s="13" t="str">
        <f aca="false">PROPER(TRIM(Raw_Data!H1453))</f>
        <v>Senior Analyst</v>
      </c>
      <c r="I1453" s="13" t="n">
        <f aca="false">IF(Raw_Data!I1453="",DefaultPerf,Raw_Data!I1453)</f>
        <v>4</v>
      </c>
      <c r="J1453" s="13" t="n">
        <f aca="false">IF(Raw_Data!J1453="",DefaultSat,Raw_Data!J1453)</f>
        <v>3</v>
      </c>
      <c r="K1453" s="15" t="n">
        <f aca="false">Raw_Data!K1453</f>
        <v>110500</v>
      </c>
      <c r="L1453" s="13" t="str">
        <f aca="false">PROPER(TRIM(Raw_Data!N1453))</f>
        <v>No</v>
      </c>
      <c r="M1453" s="13" t="n">
        <f aca="false">IF(C1453="",0,1)</f>
        <v>0</v>
      </c>
      <c r="N1453" s="13" t="str">
        <f aca="false">IF(M1453=0,"Active",IF(TRIM(Raw_Data!L1453)="","Unknown",PROPER(TRIM(Raw_Data!L1453))))</f>
        <v>Active</v>
      </c>
      <c r="O1453" s="13" t="str">
        <f aca="false">IF(M1453=0,"",IF(TRIM(Raw_Data!M1453)="","Not Recorded",TRIM(Raw_Data!M1453)))</f>
        <v/>
      </c>
      <c r="P1453" s="16" t="n">
        <f aca="false">ROUND((IF(C1453="",AsOfDate,C1453)-B1453)/365.25,2)</f>
        <v>2.96</v>
      </c>
      <c r="Q1453" s="13" t="str">
        <f aca="false">IF(D1453="","Unknown",IF(D1453&lt;25,"Under 25",IF(D1453&lt;35,"25-34",IF(D1453&lt;45,"35-44",IF(D1453&lt;55,"45-54","55+")))))</f>
        <v>35-44</v>
      </c>
      <c r="R1453" s="13" t="str">
        <f aca="false">IF(P1453&lt;1,"0-1 yrs",IF(P1453&lt;3,"1-3 yrs",IF(P1453&lt;5,"3-5 yrs",IF(P1453&lt;10,"5-10 yrs","10+ yrs"))))</f>
        <v>1-3 yrs</v>
      </c>
      <c r="S1453" s="13" t="str">
        <f aca="false">IF(I1453&gt;=4,"High",IF(I1453=3,"Medium","Low"))</f>
        <v>High</v>
      </c>
      <c r="T1453" s="13" t="str">
        <f aca="false">IF(M1453=1,YEAR(C1453),"")</f>
        <v/>
      </c>
      <c r="U1453" s="13" t="str">
        <f aca="false">IF(M1453=1,YEAR(C1453)&amp;"-Q"&amp;ROUNDUP(MONTH(C1453)/3,0),"")</f>
        <v/>
      </c>
      <c r="V1453" s="13" t="str">
        <f aca="false">IF(M1453=1,MONTH(C1453),"")</f>
        <v/>
      </c>
    </row>
    <row r="1454" customFormat="false" ht="15" hidden="false" customHeight="false" outlineLevel="0" collapsed="false">
      <c r="A1454" s="13" t="str">
        <f aca="false">TRIM(Raw_Data!A1454)</f>
        <v>EMP1453</v>
      </c>
      <c r="B1454" s="14" t="n">
        <f aca="false">Raw_Data!B1454</f>
        <v>44942</v>
      </c>
      <c r="C1454" s="14" t="str">
        <f aca="false">IF(Raw_Data!C1454="","",Raw_Data!C1454)</f>
        <v/>
      </c>
      <c r="D1454" s="13" t="n">
        <f aca="false">IF(Raw_Data!D1454="","",Raw_Data!D1454)</f>
        <v>33</v>
      </c>
      <c r="E1454" s="13" t="str">
        <f aca="false">IF(UPPER(LEFT(TRIM(Raw_Data!E1454),1))="M","Male",IF(UPPER(LEFT(TRIM(Raw_Data!E1454),1))="F","Female","Unknown"))</f>
        <v>Male</v>
      </c>
      <c r="F1454" s="13" t="str">
        <f aca="false">PROPER(TRIM(SUBSTITUTE(Raw_Data!F1454,"'","")))</f>
        <v>Masters</v>
      </c>
      <c r="G1454" s="13" t="str">
        <f aca="false">PROPER(TRIM(Raw_Data!G1454))</f>
        <v>Customer Support</v>
      </c>
      <c r="H1454" s="13" t="str">
        <f aca="false">PROPER(TRIM(Raw_Data!H1454))</f>
        <v>Analyst</v>
      </c>
      <c r="I1454" s="13" t="n">
        <f aca="false">IF(Raw_Data!I1454="",DefaultPerf,Raw_Data!I1454)</f>
        <v>5</v>
      </c>
      <c r="J1454" s="13" t="n">
        <f aca="false">IF(Raw_Data!J1454="",DefaultSat,Raw_Data!J1454)</f>
        <v>4</v>
      </c>
      <c r="K1454" s="15" t="n">
        <f aca="false">Raw_Data!K1454</f>
        <v>60500</v>
      </c>
      <c r="L1454" s="13" t="str">
        <f aca="false">PROPER(TRIM(Raw_Data!N1454))</f>
        <v>No</v>
      </c>
      <c r="M1454" s="13" t="n">
        <f aca="false">IF(C1454="",0,1)</f>
        <v>0</v>
      </c>
      <c r="N1454" s="13" t="str">
        <f aca="false">IF(M1454=0,"Active",IF(TRIM(Raw_Data!L1454)="","Unknown",PROPER(TRIM(Raw_Data!L1454))))</f>
        <v>Active</v>
      </c>
      <c r="O1454" s="13" t="str">
        <f aca="false">IF(M1454=0,"",IF(TRIM(Raw_Data!M1454)="","Not Recorded",TRIM(Raw_Data!M1454)))</f>
        <v/>
      </c>
      <c r="P1454" s="16" t="n">
        <f aca="false">ROUND((IF(C1454="",AsOfDate,C1454)-B1454)/365.25,2)</f>
        <v>2.96</v>
      </c>
      <c r="Q1454" s="13" t="str">
        <f aca="false">IF(D1454="","Unknown",IF(D1454&lt;25,"Under 25",IF(D1454&lt;35,"25-34",IF(D1454&lt;45,"35-44",IF(D1454&lt;55,"45-54","55+")))))</f>
        <v>25-34</v>
      </c>
      <c r="R1454" s="13" t="str">
        <f aca="false">IF(P1454&lt;1,"0-1 yrs",IF(P1454&lt;3,"1-3 yrs",IF(P1454&lt;5,"3-5 yrs",IF(P1454&lt;10,"5-10 yrs","10+ yrs"))))</f>
        <v>1-3 yrs</v>
      </c>
      <c r="S1454" s="13" t="str">
        <f aca="false">IF(I1454&gt;=4,"High",IF(I1454=3,"Medium","Low"))</f>
        <v>High</v>
      </c>
      <c r="T1454" s="13" t="str">
        <f aca="false">IF(M1454=1,YEAR(C1454),"")</f>
        <v/>
      </c>
      <c r="U1454" s="13" t="str">
        <f aca="false">IF(M1454=1,YEAR(C1454)&amp;"-Q"&amp;ROUNDUP(MONTH(C1454)/3,0),"")</f>
        <v/>
      </c>
      <c r="V1454" s="13" t="str">
        <f aca="false">IF(M1454=1,MONTH(C1454),"")</f>
        <v/>
      </c>
    </row>
    <row r="1455" customFormat="false" ht="15" hidden="false" customHeight="false" outlineLevel="0" collapsed="false">
      <c r="A1455" s="13" t="str">
        <f aca="false">TRIM(Raw_Data!A1455)</f>
        <v>EMP1454</v>
      </c>
      <c r="B1455" s="14" t="n">
        <f aca="false">Raw_Data!B1455</f>
        <v>44943</v>
      </c>
      <c r="C1455" s="14" t="str">
        <f aca="false">IF(Raw_Data!C1455="","",Raw_Data!C1455)</f>
        <v/>
      </c>
      <c r="D1455" s="13" t="n">
        <f aca="false">IF(Raw_Data!D1455="","",Raw_Data!D1455)</f>
        <v>34</v>
      </c>
      <c r="E1455" s="13" t="str">
        <f aca="false">IF(UPPER(LEFT(TRIM(Raw_Data!E1455),1))="M","Male",IF(UPPER(LEFT(TRIM(Raw_Data!E1455),1))="F","Female","Unknown"))</f>
        <v>Female</v>
      </c>
      <c r="F1455" s="13" t="str">
        <f aca="false">PROPER(TRIM(SUBSTITUTE(Raw_Data!F1455,"'","")))</f>
        <v>Doctorate</v>
      </c>
      <c r="G1455" s="13" t="str">
        <f aca="false">PROPER(TRIM(Raw_Data!G1455))</f>
        <v>Sales</v>
      </c>
      <c r="H1455" s="13" t="str">
        <f aca="false">PROPER(TRIM(Raw_Data!H1455))</f>
        <v>Senior Analyst</v>
      </c>
      <c r="I1455" s="13" t="n">
        <f aca="false">IF(Raw_Data!I1455="",DefaultPerf,Raw_Data!I1455)</f>
        <v>3</v>
      </c>
      <c r="J1455" s="13" t="n">
        <f aca="false">IF(Raw_Data!J1455="",DefaultSat,Raw_Data!J1455)</f>
        <v>3</v>
      </c>
      <c r="K1455" s="15" t="n">
        <f aca="false">Raw_Data!K1455</f>
        <v>110000</v>
      </c>
      <c r="L1455" s="13" t="str">
        <f aca="false">PROPER(TRIM(Raw_Data!N1455))</f>
        <v>No</v>
      </c>
      <c r="M1455" s="13" t="n">
        <f aca="false">IF(C1455="",0,1)</f>
        <v>0</v>
      </c>
      <c r="N1455" s="13" t="str">
        <f aca="false">IF(M1455=0,"Active",IF(TRIM(Raw_Data!L1455)="","Unknown",PROPER(TRIM(Raw_Data!L1455))))</f>
        <v>Active</v>
      </c>
      <c r="O1455" s="13" t="str">
        <f aca="false">IF(M1455=0,"",IF(TRIM(Raw_Data!M1455)="","Not Recorded",TRIM(Raw_Data!M1455)))</f>
        <v/>
      </c>
      <c r="P1455" s="16" t="n">
        <f aca="false">ROUND((IF(C1455="",AsOfDate,C1455)-B1455)/365.25,2)</f>
        <v>2.95</v>
      </c>
      <c r="Q1455" s="13" t="str">
        <f aca="false">IF(D1455="","Unknown",IF(D1455&lt;25,"Under 25",IF(D1455&lt;35,"25-34",IF(D1455&lt;45,"35-44",IF(D1455&lt;55,"45-54","55+")))))</f>
        <v>25-34</v>
      </c>
      <c r="R1455" s="13" t="str">
        <f aca="false">IF(P1455&lt;1,"0-1 yrs",IF(P1455&lt;3,"1-3 yrs",IF(P1455&lt;5,"3-5 yrs",IF(P1455&lt;10,"5-10 yrs","10+ yrs"))))</f>
        <v>1-3 yrs</v>
      </c>
      <c r="S1455" s="13" t="str">
        <f aca="false">IF(I1455&gt;=4,"High",IF(I1455=3,"Medium","Low"))</f>
        <v>Medium</v>
      </c>
      <c r="T1455" s="13" t="str">
        <f aca="false">IF(M1455=1,YEAR(C1455),"")</f>
        <v/>
      </c>
      <c r="U1455" s="13" t="str">
        <f aca="false">IF(M1455=1,YEAR(C1455)&amp;"-Q"&amp;ROUNDUP(MONTH(C1455)/3,0),"")</f>
        <v/>
      </c>
      <c r="V1455" s="13" t="str">
        <f aca="false">IF(M1455=1,MONTH(C1455),"")</f>
        <v/>
      </c>
    </row>
    <row r="1456" customFormat="false" ht="15" hidden="false" customHeight="false" outlineLevel="0" collapsed="false">
      <c r="A1456" s="13" t="str">
        <f aca="false">TRIM(Raw_Data!A1456)</f>
        <v>EMP1455</v>
      </c>
      <c r="B1456" s="14" t="n">
        <f aca="false">Raw_Data!B1456</f>
        <v>44943</v>
      </c>
      <c r="C1456" s="14" t="n">
        <f aca="false">IF(Raw_Data!C1456="","",Raw_Data!C1456)</f>
        <v>45585</v>
      </c>
      <c r="D1456" s="13" t="n">
        <f aca="false">IF(Raw_Data!D1456="","",Raw_Data!D1456)</f>
        <v>23</v>
      </c>
      <c r="E1456" s="13" t="str">
        <f aca="false">IF(UPPER(LEFT(TRIM(Raw_Data!E1456),1))="M","Male",IF(UPPER(LEFT(TRIM(Raw_Data!E1456),1))="F","Female","Unknown"))</f>
        <v>Female</v>
      </c>
      <c r="F1456" s="13" t="str">
        <f aca="false">PROPER(TRIM(SUBSTITUTE(Raw_Data!F1456,"'","")))</f>
        <v>Masters</v>
      </c>
      <c r="G1456" s="13" t="str">
        <f aca="false">PROPER(TRIM(Raw_Data!G1456))</f>
        <v>Sales</v>
      </c>
      <c r="H1456" s="13" t="str">
        <f aca="false">PROPER(TRIM(Raw_Data!H1456))</f>
        <v>Analyst</v>
      </c>
      <c r="I1456" s="13" t="n">
        <f aca="false">IF(Raw_Data!I1456="",DefaultPerf,Raw_Data!I1456)</f>
        <v>3</v>
      </c>
      <c r="J1456" s="13" t="n">
        <f aca="false">IF(Raw_Data!J1456="",DefaultSat,Raw_Data!J1456)</f>
        <v>2</v>
      </c>
      <c r="K1456" s="15" t="n">
        <f aca="false">Raw_Data!K1456</f>
        <v>58000</v>
      </c>
      <c r="L1456" s="13" t="str">
        <f aca="false">PROPER(TRIM(Raw_Data!N1456))</f>
        <v>No</v>
      </c>
      <c r="M1456" s="13" t="n">
        <f aca="false">IF(C1456="",0,1)</f>
        <v>1</v>
      </c>
      <c r="N1456" s="13" t="str">
        <f aca="false">IF(M1456=0,"Active",IF(TRIM(Raw_Data!L1456)="","Unknown",PROPER(TRIM(Raw_Data!L1456))))</f>
        <v>Voluntary</v>
      </c>
      <c r="O1456" s="13" t="str">
        <f aca="false">IF(M1456=0,"",IF(TRIM(Raw_Data!M1456)="","Not Recorded",TRIM(Raw_Data!M1456)))</f>
        <v>Work-Life Balance</v>
      </c>
      <c r="P1456" s="16" t="n">
        <f aca="false">ROUND((IF(C1456="",AsOfDate,C1456)-B1456)/365.25,2)</f>
        <v>1.76</v>
      </c>
      <c r="Q1456" s="13" t="str">
        <f aca="false">IF(D1456="","Unknown",IF(D1456&lt;25,"Under 25",IF(D1456&lt;35,"25-34",IF(D1456&lt;45,"35-44",IF(D1456&lt;55,"45-54","55+")))))</f>
        <v>Under 25</v>
      </c>
      <c r="R1456" s="13" t="str">
        <f aca="false">IF(P1456&lt;1,"0-1 yrs",IF(P1456&lt;3,"1-3 yrs",IF(P1456&lt;5,"3-5 yrs",IF(P1456&lt;10,"5-10 yrs","10+ yrs"))))</f>
        <v>1-3 yrs</v>
      </c>
      <c r="S1456" s="13" t="str">
        <f aca="false">IF(I1456&gt;=4,"High",IF(I1456=3,"Medium","Low"))</f>
        <v>Medium</v>
      </c>
      <c r="T1456" s="13" t="n">
        <f aca="false">IF(M1456=1,YEAR(C1456),"")</f>
        <v>2024</v>
      </c>
      <c r="U1456" s="13" t="str">
        <f aca="false">IF(M1456=1,YEAR(C1456)&amp;"-Q"&amp;ROUNDUP(MONTH(C1456)/3,0),"")</f>
        <v>2024-Q4</v>
      </c>
      <c r="V1456" s="13" t="n">
        <f aca="false">IF(M1456=1,MONTH(C1456),"")</f>
        <v>10</v>
      </c>
    </row>
    <row r="1457" customFormat="false" ht="15" hidden="false" customHeight="false" outlineLevel="0" collapsed="false">
      <c r="A1457" s="13" t="str">
        <f aca="false">TRIM(Raw_Data!A1457)</f>
        <v>EMP1456</v>
      </c>
      <c r="B1457" s="14" t="n">
        <f aca="false">Raw_Data!B1457</f>
        <v>44943</v>
      </c>
      <c r="C1457" s="14" t="str">
        <f aca="false">IF(Raw_Data!C1457="","",Raw_Data!C1457)</f>
        <v/>
      </c>
      <c r="D1457" s="13" t="n">
        <f aca="false">IF(Raw_Data!D1457="","",Raw_Data!D1457)</f>
        <v>27</v>
      </c>
      <c r="E1457" s="13" t="str">
        <f aca="false">IF(UPPER(LEFT(TRIM(Raw_Data!E1457),1))="M","Male",IF(UPPER(LEFT(TRIM(Raw_Data!E1457),1))="F","Female","Unknown"))</f>
        <v>Male</v>
      </c>
      <c r="F1457" s="13" t="str">
        <f aca="false">PROPER(TRIM(SUBSTITUTE(Raw_Data!F1457,"'","")))</f>
        <v>Masters</v>
      </c>
      <c r="G1457" s="13" t="str">
        <f aca="false">PROPER(TRIM(Raw_Data!G1457))</f>
        <v>Engineering</v>
      </c>
      <c r="H1457" s="13" t="str">
        <f aca="false">PROPER(TRIM(Raw_Data!H1457))</f>
        <v>Analyst</v>
      </c>
      <c r="I1457" s="13" t="n">
        <f aca="false">IF(Raw_Data!I1457="",DefaultPerf,Raw_Data!I1457)</f>
        <v>4</v>
      </c>
      <c r="J1457" s="13" t="n">
        <f aca="false">IF(Raw_Data!J1457="",DefaultSat,Raw_Data!J1457)</f>
        <v>4</v>
      </c>
      <c r="K1457" s="15" t="n">
        <f aca="false">Raw_Data!K1457</f>
        <v>67500</v>
      </c>
      <c r="L1457" s="13" t="str">
        <f aca="false">PROPER(TRIM(Raw_Data!N1457))</f>
        <v>No</v>
      </c>
      <c r="M1457" s="13" t="n">
        <f aca="false">IF(C1457="",0,1)</f>
        <v>0</v>
      </c>
      <c r="N1457" s="13" t="str">
        <f aca="false">IF(M1457=0,"Active",IF(TRIM(Raw_Data!L1457)="","Unknown",PROPER(TRIM(Raw_Data!L1457))))</f>
        <v>Active</v>
      </c>
      <c r="O1457" s="13" t="str">
        <f aca="false">IF(M1457=0,"",IF(TRIM(Raw_Data!M1457)="","Not Recorded",TRIM(Raw_Data!M1457)))</f>
        <v/>
      </c>
      <c r="P1457" s="16" t="n">
        <f aca="false">ROUND((IF(C1457="",AsOfDate,C1457)-B1457)/365.25,2)</f>
        <v>2.95</v>
      </c>
      <c r="Q1457" s="13" t="str">
        <f aca="false">IF(D1457="","Unknown",IF(D1457&lt;25,"Under 25",IF(D1457&lt;35,"25-34",IF(D1457&lt;45,"35-44",IF(D1457&lt;55,"45-54","55+")))))</f>
        <v>25-34</v>
      </c>
      <c r="R1457" s="13" t="str">
        <f aca="false">IF(P1457&lt;1,"0-1 yrs",IF(P1457&lt;3,"1-3 yrs",IF(P1457&lt;5,"3-5 yrs",IF(P1457&lt;10,"5-10 yrs","10+ yrs"))))</f>
        <v>1-3 yrs</v>
      </c>
      <c r="S1457" s="13" t="str">
        <f aca="false">IF(I1457&gt;=4,"High",IF(I1457=3,"Medium","Low"))</f>
        <v>High</v>
      </c>
      <c r="T1457" s="13" t="str">
        <f aca="false">IF(M1457=1,YEAR(C1457),"")</f>
        <v/>
      </c>
      <c r="U1457" s="13" t="str">
        <f aca="false">IF(M1457=1,YEAR(C1457)&amp;"-Q"&amp;ROUNDUP(MONTH(C1457)/3,0),"")</f>
        <v/>
      </c>
      <c r="V1457" s="13" t="str">
        <f aca="false">IF(M1457=1,MONTH(C1457),"")</f>
        <v/>
      </c>
    </row>
    <row r="1458" customFormat="false" ht="15" hidden="false" customHeight="false" outlineLevel="0" collapsed="false">
      <c r="A1458" s="13" t="str">
        <f aca="false">TRIM(Raw_Data!A1458)</f>
        <v>EMP1457</v>
      </c>
      <c r="B1458" s="14" t="n">
        <f aca="false">Raw_Data!B1458</f>
        <v>44944</v>
      </c>
      <c r="C1458" s="14" t="n">
        <f aca="false">IF(Raw_Data!C1458="","",Raw_Data!C1458)</f>
        <v>45620</v>
      </c>
      <c r="D1458" s="13" t="n">
        <f aca="false">IF(Raw_Data!D1458="","",Raw_Data!D1458)</f>
        <v>31</v>
      </c>
      <c r="E1458" s="13" t="str">
        <f aca="false">IF(UPPER(LEFT(TRIM(Raw_Data!E1458),1))="M","Male",IF(UPPER(LEFT(TRIM(Raw_Data!E1458),1))="F","Female","Unknown"))</f>
        <v>Female</v>
      </c>
      <c r="F1458" s="13" t="str">
        <f aca="false">PROPER(TRIM(SUBSTITUTE(Raw_Data!F1458,"'","")))</f>
        <v>High School</v>
      </c>
      <c r="G1458" s="13" t="str">
        <f aca="false">PROPER(TRIM(Raw_Data!G1458))</f>
        <v>Operations</v>
      </c>
      <c r="H1458" s="13" t="str">
        <f aca="false">PROPER(TRIM(Raw_Data!H1458))</f>
        <v>Manager</v>
      </c>
      <c r="I1458" s="13" t="n">
        <f aca="false">IF(Raw_Data!I1458="",DefaultPerf,Raw_Data!I1458)</f>
        <v>4</v>
      </c>
      <c r="J1458" s="13" t="n">
        <f aca="false">IF(Raw_Data!J1458="",DefaultSat,Raw_Data!J1458)</f>
        <v>4</v>
      </c>
      <c r="K1458" s="15" t="n">
        <f aca="false">Raw_Data!K1458</f>
        <v>179500</v>
      </c>
      <c r="L1458" s="13" t="str">
        <f aca="false">PROPER(TRIM(Raw_Data!N1458))</f>
        <v>No</v>
      </c>
      <c r="M1458" s="13" t="n">
        <f aca="false">IF(C1458="",0,1)</f>
        <v>1</v>
      </c>
      <c r="N1458" s="13" t="str">
        <f aca="false">IF(M1458=0,"Active",IF(TRIM(Raw_Data!L1458)="","Unknown",PROPER(TRIM(Raw_Data!L1458))))</f>
        <v>Voluntary</v>
      </c>
      <c r="O1458" s="13" t="str">
        <f aca="false">IF(M1458=0,"",IF(TRIM(Raw_Data!M1458)="","Not Recorded",TRIM(Raw_Data!M1458)))</f>
        <v>Personal Reasons</v>
      </c>
      <c r="P1458" s="16" t="n">
        <f aca="false">ROUND((IF(C1458="",AsOfDate,C1458)-B1458)/365.25,2)</f>
        <v>1.85</v>
      </c>
      <c r="Q1458" s="13" t="str">
        <f aca="false">IF(D1458="","Unknown",IF(D1458&lt;25,"Under 25",IF(D1458&lt;35,"25-34",IF(D1458&lt;45,"35-44",IF(D1458&lt;55,"45-54","55+")))))</f>
        <v>25-34</v>
      </c>
      <c r="R1458" s="13" t="str">
        <f aca="false">IF(P1458&lt;1,"0-1 yrs",IF(P1458&lt;3,"1-3 yrs",IF(P1458&lt;5,"3-5 yrs",IF(P1458&lt;10,"5-10 yrs","10+ yrs"))))</f>
        <v>1-3 yrs</v>
      </c>
      <c r="S1458" s="13" t="str">
        <f aca="false">IF(I1458&gt;=4,"High",IF(I1458=3,"Medium","Low"))</f>
        <v>High</v>
      </c>
      <c r="T1458" s="13" t="n">
        <f aca="false">IF(M1458=1,YEAR(C1458),"")</f>
        <v>2024</v>
      </c>
      <c r="U1458" s="13" t="str">
        <f aca="false">IF(M1458=1,YEAR(C1458)&amp;"-Q"&amp;ROUNDUP(MONTH(C1458)/3,0),"")</f>
        <v>2024-Q4</v>
      </c>
      <c r="V1458" s="13" t="n">
        <f aca="false">IF(M1458=1,MONTH(C1458),"")</f>
        <v>11</v>
      </c>
    </row>
    <row r="1459" customFormat="false" ht="15" hidden="false" customHeight="false" outlineLevel="0" collapsed="false">
      <c r="A1459" s="13" t="str">
        <f aca="false">TRIM(Raw_Data!A1459)</f>
        <v>EMP1458</v>
      </c>
      <c r="B1459" s="14" t="n">
        <f aca="false">Raw_Data!B1459</f>
        <v>44945</v>
      </c>
      <c r="C1459" s="14" t="n">
        <f aca="false">IF(Raw_Data!C1459="","",Raw_Data!C1459)</f>
        <v>45083</v>
      </c>
      <c r="D1459" s="13" t="n">
        <f aca="false">IF(Raw_Data!D1459="","",Raw_Data!D1459)</f>
        <v>35</v>
      </c>
      <c r="E1459" s="13" t="str">
        <f aca="false">IF(UPPER(LEFT(TRIM(Raw_Data!E1459),1))="M","Male",IF(UPPER(LEFT(TRIM(Raw_Data!E1459),1))="F","Female","Unknown"))</f>
        <v>Male</v>
      </c>
      <c r="F1459" s="13" t="str">
        <f aca="false">PROPER(TRIM(SUBSTITUTE(Raw_Data!F1459,"'","")))</f>
        <v>Masters</v>
      </c>
      <c r="G1459" s="13" t="str">
        <f aca="false">PROPER(TRIM(Raw_Data!G1459))</f>
        <v>Engineering</v>
      </c>
      <c r="H1459" s="13" t="str">
        <f aca="false">PROPER(TRIM(Raw_Data!H1459))</f>
        <v>Senior Analyst</v>
      </c>
      <c r="I1459" s="13" t="n">
        <f aca="false">IF(Raw_Data!I1459="",DefaultPerf,Raw_Data!I1459)</f>
        <v>5</v>
      </c>
      <c r="J1459" s="13" t="n">
        <f aca="false">IF(Raw_Data!J1459="",DefaultSat,Raw_Data!J1459)</f>
        <v>2</v>
      </c>
      <c r="K1459" s="15" t="n">
        <f aca="false">Raw_Data!K1459</f>
        <v>98000</v>
      </c>
      <c r="L1459" s="13" t="str">
        <f aca="false">PROPER(TRIM(Raw_Data!N1459))</f>
        <v>Yes</v>
      </c>
      <c r="M1459" s="13" t="n">
        <f aca="false">IF(C1459="",0,1)</f>
        <v>1</v>
      </c>
      <c r="N1459" s="13" t="str">
        <f aca="false">IF(M1459=0,"Active",IF(TRIM(Raw_Data!L1459)="","Unknown",PROPER(TRIM(Raw_Data!L1459))))</f>
        <v>Voluntary</v>
      </c>
      <c r="O1459" s="13" t="str">
        <f aca="false">IF(M1459=0,"",IF(TRIM(Raw_Data!M1459)="","Not Recorded",TRIM(Raw_Data!M1459)))</f>
        <v>Manager Issues</v>
      </c>
      <c r="P1459" s="16" t="n">
        <f aca="false">ROUND((IF(C1459="",AsOfDate,C1459)-B1459)/365.25,2)</f>
        <v>0.38</v>
      </c>
      <c r="Q1459" s="13" t="str">
        <f aca="false">IF(D1459="","Unknown",IF(D1459&lt;25,"Under 25",IF(D1459&lt;35,"25-34",IF(D1459&lt;45,"35-44",IF(D1459&lt;55,"45-54","55+")))))</f>
        <v>35-44</v>
      </c>
      <c r="R1459" s="13" t="str">
        <f aca="false">IF(P1459&lt;1,"0-1 yrs",IF(P1459&lt;3,"1-3 yrs",IF(P1459&lt;5,"3-5 yrs",IF(P1459&lt;10,"5-10 yrs","10+ yrs"))))</f>
        <v>0-1 yrs</v>
      </c>
      <c r="S1459" s="13" t="str">
        <f aca="false">IF(I1459&gt;=4,"High",IF(I1459=3,"Medium","Low"))</f>
        <v>High</v>
      </c>
      <c r="T1459" s="13" t="n">
        <f aca="false">IF(M1459=1,YEAR(C1459),"")</f>
        <v>2023</v>
      </c>
      <c r="U1459" s="13" t="str">
        <f aca="false">IF(M1459=1,YEAR(C1459)&amp;"-Q"&amp;ROUNDUP(MONTH(C1459)/3,0),"")</f>
        <v>2023-Q2</v>
      </c>
      <c r="V1459" s="13" t="n">
        <f aca="false">IF(M1459=1,MONTH(C1459),"")</f>
        <v>6</v>
      </c>
    </row>
    <row r="1460" customFormat="false" ht="15" hidden="false" customHeight="false" outlineLevel="0" collapsed="false">
      <c r="A1460" s="13" t="str">
        <f aca="false">TRIM(Raw_Data!A1460)</f>
        <v>EMP1459</v>
      </c>
      <c r="B1460" s="14" t="n">
        <f aca="false">Raw_Data!B1460</f>
        <v>44945</v>
      </c>
      <c r="C1460" s="14" t="str">
        <f aca="false">IF(Raw_Data!C1460="","",Raw_Data!C1460)</f>
        <v/>
      </c>
      <c r="D1460" s="13" t="n">
        <f aca="false">IF(Raw_Data!D1460="","",Raw_Data!D1460)</f>
        <v>45</v>
      </c>
      <c r="E1460" s="13" t="str">
        <f aca="false">IF(UPPER(LEFT(TRIM(Raw_Data!E1460),1))="M","Male",IF(UPPER(LEFT(TRIM(Raw_Data!E1460),1))="F","Female","Unknown"))</f>
        <v>Female</v>
      </c>
      <c r="F1460" s="13" t="str">
        <f aca="false">PROPER(TRIM(SUBSTITUTE(Raw_Data!F1460,"'","")))</f>
        <v>Bachelors</v>
      </c>
      <c r="G1460" s="13" t="str">
        <f aca="false">PROPER(TRIM(Raw_Data!G1460))</f>
        <v>Sales</v>
      </c>
      <c r="H1460" s="13" t="str">
        <f aca="false">PROPER(TRIM(Raw_Data!H1460))</f>
        <v>Associate</v>
      </c>
      <c r="I1460" s="13" t="n">
        <f aca="false">IF(Raw_Data!I1460="",DefaultPerf,Raw_Data!I1460)</f>
        <v>3</v>
      </c>
      <c r="J1460" s="13" t="n">
        <f aca="false">IF(Raw_Data!J1460="",DefaultSat,Raw_Data!J1460)</f>
        <v>3</v>
      </c>
      <c r="K1460" s="15" t="n">
        <f aca="false">Raw_Data!K1460</f>
        <v>42000</v>
      </c>
      <c r="L1460" s="13" t="str">
        <f aca="false">PROPER(TRIM(Raw_Data!N1460))</f>
        <v>Yes</v>
      </c>
      <c r="M1460" s="13" t="n">
        <f aca="false">IF(C1460="",0,1)</f>
        <v>0</v>
      </c>
      <c r="N1460" s="13" t="str">
        <f aca="false">IF(M1460=0,"Active",IF(TRIM(Raw_Data!L1460)="","Unknown",PROPER(TRIM(Raw_Data!L1460))))</f>
        <v>Active</v>
      </c>
      <c r="O1460" s="13" t="str">
        <f aca="false">IF(M1460=0,"",IF(TRIM(Raw_Data!M1460)="","Not Recorded",TRIM(Raw_Data!M1460)))</f>
        <v/>
      </c>
      <c r="P1460" s="16" t="n">
        <f aca="false">ROUND((IF(C1460="",AsOfDate,C1460)-B1460)/365.25,2)</f>
        <v>2.95</v>
      </c>
      <c r="Q1460" s="13" t="str">
        <f aca="false">IF(D1460="","Unknown",IF(D1460&lt;25,"Under 25",IF(D1460&lt;35,"25-34",IF(D1460&lt;45,"35-44",IF(D1460&lt;55,"45-54","55+")))))</f>
        <v>45-54</v>
      </c>
      <c r="R1460" s="13" t="str">
        <f aca="false">IF(P1460&lt;1,"0-1 yrs",IF(P1460&lt;3,"1-3 yrs",IF(P1460&lt;5,"3-5 yrs",IF(P1460&lt;10,"5-10 yrs","10+ yrs"))))</f>
        <v>1-3 yrs</v>
      </c>
      <c r="S1460" s="13" t="str">
        <f aca="false">IF(I1460&gt;=4,"High",IF(I1460=3,"Medium","Low"))</f>
        <v>Medium</v>
      </c>
      <c r="T1460" s="13" t="str">
        <f aca="false">IF(M1460=1,YEAR(C1460),"")</f>
        <v/>
      </c>
      <c r="U1460" s="13" t="str">
        <f aca="false">IF(M1460=1,YEAR(C1460)&amp;"-Q"&amp;ROUNDUP(MONTH(C1460)/3,0),"")</f>
        <v/>
      </c>
      <c r="V1460" s="13" t="str">
        <f aca="false">IF(M1460=1,MONTH(C1460),"")</f>
        <v/>
      </c>
    </row>
    <row r="1461" customFormat="false" ht="15" hidden="false" customHeight="false" outlineLevel="0" collapsed="false">
      <c r="A1461" s="13" t="str">
        <f aca="false">TRIM(Raw_Data!A1461)</f>
        <v>EMP1460</v>
      </c>
      <c r="B1461" s="14" t="n">
        <f aca="false">Raw_Data!B1461</f>
        <v>44947</v>
      </c>
      <c r="C1461" s="14" t="str">
        <f aca="false">IF(Raw_Data!C1461="","",Raw_Data!C1461)</f>
        <v/>
      </c>
      <c r="D1461" s="13" t="n">
        <f aca="false">IF(Raw_Data!D1461="","",Raw_Data!D1461)</f>
        <v>30</v>
      </c>
      <c r="E1461" s="13" t="str">
        <f aca="false">IF(UPPER(LEFT(TRIM(Raw_Data!E1461),1))="M","Male",IF(UPPER(LEFT(TRIM(Raw_Data!E1461),1))="F","Female","Unknown"))</f>
        <v>Male</v>
      </c>
      <c r="F1461" s="13" t="str">
        <f aca="false">PROPER(TRIM(SUBSTITUTE(Raw_Data!F1461,"'","")))</f>
        <v>Bachelors</v>
      </c>
      <c r="G1461" s="13" t="str">
        <f aca="false">PROPER(TRIM(Raw_Data!G1461))</f>
        <v>Operations</v>
      </c>
      <c r="H1461" s="13" t="str">
        <f aca="false">PROPER(TRIM(Raw_Data!H1461))</f>
        <v>Analyst</v>
      </c>
      <c r="I1461" s="13" t="n">
        <f aca="false">IF(Raw_Data!I1461="",DefaultPerf,Raw_Data!I1461)</f>
        <v>1</v>
      </c>
      <c r="J1461" s="13" t="n">
        <f aca="false">IF(Raw_Data!J1461="",DefaultSat,Raw_Data!J1461)</f>
        <v>4</v>
      </c>
      <c r="K1461" s="15" t="n">
        <f aca="false">Raw_Data!K1461</f>
        <v>57000</v>
      </c>
      <c r="L1461" s="13" t="str">
        <f aca="false">PROPER(TRIM(Raw_Data!N1461))</f>
        <v>No</v>
      </c>
      <c r="M1461" s="13" t="n">
        <f aca="false">IF(C1461="",0,1)</f>
        <v>0</v>
      </c>
      <c r="N1461" s="13" t="str">
        <f aca="false">IF(M1461=0,"Active",IF(TRIM(Raw_Data!L1461)="","Unknown",PROPER(TRIM(Raw_Data!L1461))))</f>
        <v>Active</v>
      </c>
      <c r="O1461" s="13" t="str">
        <f aca="false">IF(M1461=0,"",IF(TRIM(Raw_Data!M1461)="","Not Recorded",TRIM(Raw_Data!M1461)))</f>
        <v/>
      </c>
      <c r="P1461" s="16" t="n">
        <f aca="false">ROUND((IF(C1461="",AsOfDate,C1461)-B1461)/365.25,2)</f>
        <v>2.94</v>
      </c>
      <c r="Q1461" s="13" t="str">
        <f aca="false">IF(D1461="","Unknown",IF(D1461&lt;25,"Under 25",IF(D1461&lt;35,"25-34",IF(D1461&lt;45,"35-44",IF(D1461&lt;55,"45-54","55+")))))</f>
        <v>25-34</v>
      </c>
      <c r="R1461" s="13" t="str">
        <f aca="false">IF(P1461&lt;1,"0-1 yrs",IF(P1461&lt;3,"1-3 yrs",IF(P1461&lt;5,"3-5 yrs",IF(P1461&lt;10,"5-10 yrs","10+ yrs"))))</f>
        <v>1-3 yrs</v>
      </c>
      <c r="S1461" s="13" t="str">
        <f aca="false">IF(I1461&gt;=4,"High",IF(I1461=3,"Medium","Low"))</f>
        <v>Low</v>
      </c>
      <c r="T1461" s="13" t="str">
        <f aca="false">IF(M1461=1,YEAR(C1461),"")</f>
        <v/>
      </c>
      <c r="U1461" s="13" t="str">
        <f aca="false">IF(M1461=1,YEAR(C1461)&amp;"-Q"&amp;ROUNDUP(MONTH(C1461)/3,0),"")</f>
        <v/>
      </c>
      <c r="V1461" s="13" t="str">
        <f aca="false">IF(M1461=1,MONTH(C1461),"")</f>
        <v/>
      </c>
    </row>
    <row r="1462" customFormat="false" ht="15" hidden="false" customHeight="false" outlineLevel="0" collapsed="false">
      <c r="A1462" s="13" t="str">
        <f aca="false">TRIM(Raw_Data!A1462)</f>
        <v>EMP1461</v>
      </c>
      <c r="B1462" s="14" t="n">
        <f aca="false">Raw_Data!B1462</f>
        <v>44948</v>
      </c>
      <c r="C1462" s="14" t="str">
        <f aca="false">IF(Raw_Data!C1462="","",Raw_Data!C1462)</f>
        <v/>
      </c>
      <c r="D1462" s="13" t="n">
        <f aca="false">IF(Raw_Data!D1462="","",Raw_Data!D1462)</f>
        <v>39</v>
      </c>
      <c r="E1462" s="13" t="str">
        <f aca="false">IF(UPPER(LEFT(TRIM(Raw_Data!E1462),1))="M","Male",IF(UPPER(LEFT(TRIM(Raw_Data!E1462),1))="F","Female","Unknown"))</f>
        <v>Male</v>
      </c>
      <c r="F1462" s="13" t="str">
        <f aca="false">PROPER(TRIM(SUBSTITUTE(Raw_Data!F1462,"'","")))</f>
        <v>Diploma</v>
      </c>
      <c r="G1462" s="13" t="str">
        <f aca="false">PROPER(TRIM(Raw_Data!G1462))</f>
        <v>Sales</v>
      </c>
      <c r="H1462" s="13" t="str">
        <f aca="false">PROPER(TRIM(Raw_Data!H1462))</f>
        <v>Specialist</v>
      </c>
      <c r="I1462" s="13" t="n">
        <f aca="false">IF(Raw_Data!I1462="",DefaultPerf,Raw_Data!I1462)</f>
        <v>5</v>
      </c>
      <c r="J1462" s="13" t="n">
        <f aca="false">IF(Raw_Data!J1462="",DefaultSat,Raw_Data!J1462)</f>
        <v>3</v>
      </c>
      <c r="K1462" s="15" t="n">
        <f aca="false">Raw_Data!K1462</f>
        <v>89500</v>
      </c>
      <c r="L1462" s="13" t="str">
        <f aca="false">PROPER(TRIM(Raw_Data!N1462))</f>
        <v>No</v>
      </c>
      <c r="M1462" s="13" t="n">
        <f aca="false">IF(C1462="",0,1)</f>
        <v>0</v>
      </c>
      <c r="N1462" s="13" t="str">
        <f aca="false">IF(M1462=0,"Active",IF(TRIM(Raw_Data!L1462)="","Unknown",PROPER(TRIM(Raw_Data!L1462))))</f>
        <v>Active</v>
      </c>
      <c r="O1462" s="13" t="str">
        <f aca="false">IF(M1462=0,"",IF(TRIM(Raw_Data!M1462)="","Not Recorded",TRIM(Raw_Data!M1462)))</f>
        <v/>
      </c>
      <c r="P1462" s="16" t="n">
        <f aca="false">ROUND((IF(C1462="",AsOfDate,C1462)-B1462)/365.25,2)</f>
        <v>2.94</v>
      </c>
      <c r="Q1462" s="13" t="str">
        <f aca="false">IF(D1462="","Unknown",IF(D1462&lt;25,"Under 25",IF(D1462&lt;35,"25-34",IF(D1462&lt;45,"35-44",IF(D1462&lt;55,"45-54","55+")))))</f>
        <v>35-44</v>
      </c>
      <c r="R1462" s="13" t="str">
        <f aca="false">IF(P1462&lt;1,"0-1 yrs",IF(P1462&lt;3,"1-3 yrs",IF(P1462&lt;5,"3-5 yrs",IF(P1462&lt;10,"5-10 yrs","10+ yrs"))))</f>
        <v>1-3 yrs</v>
      </c>
      <c r="S1462" s="13" t="str">
        <f aca="false">IF(I1462&gt;=4,"High",IF(I1462=3,"Medium","Low"))</f>
        <v>High</v>
      </c>
      <c r="T1462" s="13" t="str">
        <f aca="false">IF(M1462=1,YEAR(C1462),"")</f>
        <v/>
      </c>
      <c r="U1462" s="13" t="str">
        <f aca="false">IF(M1462=1,YEAR(C1462)&amp;"-Q"&amp;ROUNDUP(MONTH(C1462)/3,0),"")</f>
        <v/>
      </c>
      <c r="V1462" s="13" t="str">
        <f aca="false">IF(M1462=1,MONTH(C1462),"")</f>
        <v/>
      </c>
    </row>
    <row r="1463" customFormat="false" ht="15" hidden="false" customHeight="false" outlineLevel="0" collapsed="false">
      <c r="A1463" s="13" t="str">
        <f aca="false">TRIM(Raw_Data!A1463)</f>
        <v>EMP1462</v>
      </c>
      <c r="B1463" s="14" t="n">
        <f aca="false">Raw_Data!B1463</f>
        <v>44949</v>
      </c>
      <c r="C1463" s="14" t="str">
        <f aca="false">IF(Raw_Data!C1463="","",Raw_Data!C1463)</f>
        <v/>
      </c>
      <c r="D1463" s="13" t="n">
        <f aca="false">IF(Raw_Data!D1463="","",Raw_Data!D1463)</f>
        <v>37</v>
      </c>
      <c r="E1463" s="13" t="str">
        <f aca="false">IF(UPPER(LEFT(TRIM(Raw_Data!E1463),1))="M","Male",IF(UPPER(LEFT(TRIM(Raw_Data!E1463),1))="F","Female","Unknown"))</f>
        <v>Female</v>
      </c>
      <c r="F1463" s="13" t="str">
        <f aca="false">PROPER(TRIM(SUBSTITUTE(Raw_Data!F1463,"'","")))</f>
        <v>Bachelors</v>
      </c>
      <c r="G1463" s="13" t="str">
        <f aca="false">PROPER(TRIM(Raw_Data!G1463))</f>
        <v>Engineering</v>
      </c>
      <c r="H1463" s="13" t="str">
        <f aca="false">PROPER(TRIM(Raw_Data!H1463))</f>
        <v>Senior Analyst</v>
      </c>
      <c r="I1463" s="13" t="n">
        <f aca="false">IF(Raw_Data!I1463="",DefaultPerf,Raw_Data!I1463)</f>
        <v>3</v>
      </c>
      <c r="J1463" s="13" t="n">
        <f aca="false">IF(Raw_Data!J1463="",DefaultSat,Raw_Data!J1463)</f>
        <v>2</v>
      </c>
      <c r="K1463" s="15" t="n">
        <f aca="false">Raw_Data!K1463</f>
        <v>96000</v>
      </c>
      <c r="L1463" s="13" t="str">
        <f aca="false">PROPER(TRIM(Raw_Data!N1463))</f>
        <v>No</v>
      </c>
      <c r="M1463" s="13" t="n">
        <f aca="false">IF(C1463="",0,1)</f>
        <v>0</v>
      </c>
      <c r="N1463" s="13" t="str">
        <f aca="false">IF(M1463=0,"Active",IF(TRIM(Raw_Data!L1463)="","Unknown",PROPER(TRIM(Raw_Data!L1463))))</f>
        <v>Active</v>
      </c>
      <c r="O1463" s="13" t="str">
        <f aca="false">IF(M1463=0,"",IF(TRIM(Raw_Data!M1463)="","Not Recorded",TRIM(Raw_Data!M1463)))</f>
        <v/>
      </c>
      <c r="P1463" s="16" t="n">
        <f aca="false">ROUND((IF(C1463="",AsOfDate,C1463)-B1463)/365.25,2)</f>
        <v>2.94</v>
      </c>
      <c r="Q1463" s="13" t="str">
        <f aca="false">IF(D1463="","Unknown",IF(D1463&lt;25,"Under 25",IF(D1463&lt;35,"25-34",IF(D1463&lt;45,"35-44",IF(D1463&lt;55,"45-54","55+")))))</f>
        <v>35-44</v>
      </c>
      <c r="R1463" s="13" t="str">
        <f aca="false">IF(P1463&lt;1,"0-1 yrs",IF(P1463&lt;3,"1-3 yrs",IF(P1463&lt;5,"3-5 yrs",IF(P1463&lt;10,"5-10 yrs","10+ yrs"))))</f>
        <v>1-3 yrs</v>
      </c>
      <c r="S1463" s="13" t="str">
        <f aca="false">IF(I1463&gt;=4,"High",IF(I1463=3,"Medium","Low"))</f>
        <v>Medium</v>
      </c>
      <c r="T1463" s="13" t="str">
        <f aca="false">IF(M1463=1,YEAR(C1463),"")</f>
        <v/>
      </c>
      <c r="U1463" s="13" t="str">
        <f aca="false">IF(M1463=1,YEAR(C1463)&amp;"-Q"&amp;ROUNDUP(MONTH(C1463)/3,0),"")</f>
        <v/>
      </c>
      <c r="V1463" s="13" t="str">
        <f aca="false">IF(M1463=1,MONTH(C1463),"")</f>
        <v/>
      </c>
    </row>
    <row r="1464" customFormat="false" ht="15" hidden="false" customHeight="false" outlineLevel="0" collapsed="false">
      <c r="A1464" s="13" t="str">
        <f aca="false">TRIM(Raw_Data!A1464)</f>
        <v>EMP1463</v>
      </c>
      <c r="B1464" s="14" t="n">
        <f aca="false">Raw_Data!B1464</f>
        <v>44954</v>
      </c>
      <c r="C1464" s="14" t="n">
        <f aca="false">IF(Raw_Data!C1464="","",Raw_Data!C1464)</f>
        <v>45450</v>
      </c>
      <c r="D1464" s="13" t="n">
        <f aca="false">IF(Raw_Data!D1464="","",Raw_Data!D1464)</f>
        <v>28</v>
      </c>
      <c r="E1464" s="13" t="str">
        <f aca="false">IF(UPPER(LEFT(TRIM(Raw_Data!E1464),1))="M","Male",IF(UPPER(LEFT(TRIM(Raw_Data!E1464),1))="F","Female","Unknown"))</f>
        <v>Male</v>
      </c>
      <c r="F1464" s="13" t="str">
        <f aca="false">PROPER(TRIM(SUBSTITUTE(Raw_Data!F1464,"'","")))</f>
        <v>High School</v>
      </c>
      <c r="G1464" s="13" t="str">
        <f aca="false">PROPER(TRIM(Raw_Data!G1464))</f>
        <v>Customer Support</v>
      </c>
      <c r="H1464" s="13" t="str">
        <f aca="false">PROPER(TRIM(Raw_Data!H1464))</f>
        <v>Analyst</v>
      </c>
      <c r="I1464" s="13" t="n">
        <f aca="false">IF(Raw_Data!I1464="",DefaultPerf,Raw_Data!I1464)</f>
        <v>3</v>
      </c>
      <c r="J1464" s="13" t="n">
        <f aca="false">IF(Raw_Data!J1464="",DefaultSat,Raw_Data!J1464)</f>
        <v>2</v>
      </c>
      <c r="K1464" s="15" t="n">
        <f aca="false">Raw_Data!K1464</f>
        <v>61000</v>
      </c>
      <c r="L1464" s="13" t="str">
        <f aca="false">PROPER(TRIM(Raw_Data!N1464))</f>
        <v>No</v>
      </c>
      <c r="M1464" s="13" t="n">
        <f aca="false">IF(C1464="",0,1)</f>
        <v>1</v>
      </c>
      <c r="N1464" s="13" t="str">
        <f aca="false">IF(M1464=0,"Active",IF(TRIM(Raw_Data!L1464)="","Unknown",PROPER(TRIM(Raw_Data!L1464))))</f>
        <v>Voluntary</v>
      </c>
      <c r="O1464" s="13" t="str">
        <f aca="false">IF(M1464=0,"",IF(TRIM(Raw_Data!M1464)="","Not Recorded",TRIM(Raw_Data!M1464)))</f>
        <v>Personal Reasons</v>
      </c>
      <c r="P1464" s="16" t="n">
        <f aca="false">ROUND((IF(C1464="",AsOfDate,C1464)-B1464)/365.25,2)</f>
        <v>1.36</v>
      </c>
      <c r="Q1464" s="13" t="str">
        <f aca="false">IF(D1464="","Unknown",IF(D1464&lt;25,"Under 25",IF(D1464&lt;35,"25-34",IF(D1464&lt;45,"35-44",IF(D1464&lt;55,"45-54","55+")))))</f>
        <v>25-34</v>
      </c>
      <c r="R1464" s="13" t="str">
        <f aca="false">IF(P1464&lt;1,"0-1 yrs",IF(P1464&lt;3,"1-3 yrs",IF(P1464&lt;5,"3-5 yrs",IF(P1464&lt;10,"5-10 yrs","10+ yrs"))))</f>
        <v>1-3 yrs</v>
      </c>
      <c r="S1464" s="13" t="str">
        <f aca="false">IF(I1464&gt;=4,"High",IF(I1464=3,"Medium","Low"))</f>
        <v>Medium</v>
      </c>
      <c r="T1464" s="13" t="n">
        <f aca="false">IF(M1464=1,YEAR(C1464),"")</f>
        <v>2024</v>
      </c>
      <c r="U1464" s="13" t="str">
        <f aca="false">IF(M1464=1,YEAR(C1464)&amp;"-Q"&amp;ROUNDUP(MONTH(C1464)/3,0),"")</f>
        <v>2024-Q2</v>
      </c>
      <c r="V1464" s="13" t="n">
        <f aca="false">IF(M1464=1,MONTH(C1464),"")</f>
        <v>6</v>
      </c>
    </row>
    <row r="1465" customFormat="false" ht="15" hidden="false" customHeight="false" outlineLevel="0" collapsed="false">
      <c r="A1465" s="13" t="str">
        <f aca="false">TRIM(Raw_Data!A1465)</f>
        <v>EMP1464</v>
      </c>
      <c r="B1465" s="14" t="n">
        <f aca="false">Raw_Data!B1465</f>
        <v>44956</v>
      </c>
      <c r="C1465" s="14" t="str">
        <f aca="false">IF(Raw_Data!C1465="","",Raw_Data!C1465)</f>
        <v/>
      </c>
      <c r="D1465" s="13" t="n">
        <f aca="false">IF(Raw_Data!D1465="","",Raw_Data!D1465)</f>
        <v>31</v>
      </c>
      <c r="E1465" s="13" t="str">
        <f aca="false">IF(UPPER(LEFT(TRIM(Raw_Data!E1465),1))="M","Male",IF(UPPER(LEFT(TRIM(Raw_Data!E1465),1))="F","Female","Unknown"))</f>
        <v>Female</v>
      </c>
      <c r="F1465" s="13" t="str">
        <f aca="false">PROPER(TRIM(SUBSTITUTE(Raw_Data!F1465,"'","")))</f>
        <v>Masters</v>
      </c>
      <c r="G1465" s="13" t="str">
        <f aca="false">PROPER(TRIM(Raw_Data!G1465))</f>
        <v>Engineering</v>
      </c>
      <c r="H1465" s="13" t="str">
        <f aca="false">PROPER(TRIM(Raw_Data!H1465))</f>
        <v>Senior Analyst</v>
      </c>
      <c r="I1465" s="13" t="n">
        <f aca="false">IF(Raw_Data!I1465="",DefaultPerf,Raw_Data!I1465)</f>
        <v>4</v>
      </c>
      <c r="J1465" s="13" t="n">
        <f aca="false">IF(Raw_Data!J1465="",DefaultSat,Raw_Data!J1465)</f>
        <v>3</v>
      </c>
      <c r="K1465" s="15" t="n">
        <f aca="false">Raw_Data!K1465</f>
        <v>93500</v>
      </c>
      <c r="L1465" s="13" t="str">
        <f aca="false">PROPER(TRIM(Raw_Data!N1465))</f>
        <v>No</v>
      </c>
      <c r="M1465" s="13" t="n">
        <f aca="false">IF(C1465="",0,1)</f>
        <v>0</v>
      </c>
      <c r="N1465" s="13" t="str">
        <f aca="false">IF(M1465=0,"Active",IF(TRIM(Raw_Data!L1465)="","Unknown",PROPER(TRIM(Raw_Data!L1465))))</f>
        <v>Active</v>
      </c>
      <c r="O1465" s="13" t="str">
        <f aca="false">IF(M1465=0,"",IF(TRIM(Raw_Data!M1465)="","Not Recorded",TRIM(Raw_Data!M1465)))</f>
        <v/>
      </c>
      <c r="P1465" s="16" t="n">
        <f aca="false">ROUND((IF(C1465="",AsOfDate,C1465)-B1465)/365.25,2)</f>
        <v>2.92</v>
      </c>
      <c r="Q1465" s="13" t="str">
        <f aca="false">IF(D1465="","Unknown",IF(D1465&lt;25,"Under 25",IF(D1465&lt;35,"25-34",IF(D1465&lt;45,"35-44",IF(D1465&lt;55,"45-54","55+")))))</f>
        <v>25-34</v>
      </c>
      <c r="R1465" s="13" t="str">
        <f aca="false">IF(P1465&lt;1,"0-1 yrs",IF(P1465&lt;3,"1-3 yrs",IF(P1465&lt;5,"3-5 yrs",IF(P1465&lt;10,"5-10 yrs","10+ yrs"))))</f>
        <v>1-3 yrs</v>
      </c>
      <c r="S1465" s="13" t="str">
        <f aca="false">IF(I1465&gt;=4,"High",IF(I1465=3,"Medium","Low"))</f>
        <v>High</v>
      </c>
      <c r="T1465" s="13" t="str">
        <f aca="false">IF(M1465=1,YEAR(C1465),"")</f>
        <v/>
      </c>
      <c r="U1465" s="13" t="str">
        <f aca="false">IF(M1465=1,YEAR(C1465)&amp;"-Q"&amp;ROUNDUP(MONTH(C1465)/3,0),"")</f>
        <v/>
      </c>
      <c r="V1465" s="13" t="str">
        <f aca="false">IF(M1465=1,MONTH(C1465),"")</f>
        <v/>
      </c>
    </row>
    <row r="1466" customFormat="false" ht="15" hidden="false" customHeight="false" outlineLevel="0" collapsed="false">
      <c r="A1466" s="13" t="str">
        <f aca="false">TRIM(Raw_Data!A1466)</f>
        <v>EMP1465</v>
      </c>
      <c r="B1466" s="14" t="n">
        <f aca="false">Raw_Data!B1466</f>
        <v>44956</v>
      </c>
      <c r="C1466" s="14" t="n">
        <f aca="false">IF(Raw_Data!C1466="","",Raw_Data!C1466)</f>
        <v>45738</v>
      </c>
      <c r="D1466" s="13" t="n">
        <f aca="false">IF(Raw_Data!D1466="","",Raw_Data!D1466)</f>
        <v>25</v>
      </c>
      <c r="E1466" s="13" t="str">
        <f aca="false">IF(UPPER(LEFT(TRIM(Raw_Data!E1466),1))="M","Male",IF(UPPER(LEFT(TRIM(Raw_Data!E1466),1))="F","Female","Unknown"))</f>
        <v>Male</v>
      </c>
      <c r="F1466" s="13" t="str">
        <f aca="false">PROPER(TRIM(SUBSTITUTE(Raw_Data!F1466,"'","")))</f>
        <v>High School</v>
      </c>
      <c r="G1466" s="13" t="str">
        <f aca="false">PROPER(TRIM(Raw_Data!G1466))</f>
        <v>Finance</v>
      </c>
      <c r="H1466" s="13" t="str">
        <f aca="false">PROPER(TRIM(Raw_Data!H1466))</f>
        <v>Specialist</v>
      </c>
      <c r="I1466" s="13" t="n">
        <f aca="false">IF(Raw_Data!I1466="",DefaultPerf,Raw_Data!I1466)</f>
        <v>4</v>
      </c>
      <c r="J1466" s="13" t="n">
        <f aca="false">IF(Raw_Data!J1466="",DefaultSat,Raw_Data!J1466)</f>
        <v>3</v>
      </c>
      <c r="K1466" s="15" t="n">
        <f aca="false">Raw_Data!K1466</f>
        <v>112000</v>
      </c>
      <c r="L1466" s="13" t="str">
        <f aca="false">PROPER(TRIM(Raw_Data!N1466))</f>
        <v>No</v>
      </c>
      <c r="M1466" s="13" t="n">
        <f aca="false">IF(C1466="",0,1)</f>
        <v>1</v>
      </c>
      <c r="N1466" s="13" t="str">
        <f aca="false">IF(M1466=0,"Active",IF(TRIM(Raw_Data!L1466)="","Unknown",PROPER(TRIM(Raw_Data!L1466))))</f>
        <v>Involuntary</v>
      </c>
      <c r="O1466" s="13" t="str">
        <f aca="false">IF(M1466=0,"",IF(TRIM(Raw_Data!M1466)="","Not Recorded",TRIM(Raw_Data!M1466)))</f>
        <v>Poor Performance</v>
      </c>
      <c r="P1466" s="16" t="n">
        <f aca="false">ROUND((IF(C1466="",AsOfDate,C1466)-B1466)/365.25,2)</f>
        <v>2.14</v>
      </c>
      <c r="Q1466" s="13" t="str">
        <f aca="false">IF(D1466="","Unknown",IF(D1466&lt;25,"Under 25",IF(D1466&lt;35,"25-34",IF(D1466&lt;45,"35-44",IF(D1466&lt;55,"45-54","55+")))))</f>
        <v>25-34</v>
      </c>
      <c r="R1466" s="13" t="str">
        <f aca="false">IF(P1466&lt;1,"0-1 yrs",IF(P1466&lt;3,"1-3 yrs",IF(P1466&lt;5,"3-5 yrs",IF(P1466&lt;10,"5-10 yrs","10+ yrs"))))</f>
        <v>1-3 yrs</v>
      </c>
      <c r="S1466" s="13" t="str">
        <f aca="false">IF(I1466&gt;=4,"High",IF(I1466=3,"Medium","Low"))</f>
        <v>High</v>
      </c>
      <c r="T1466" s="13" t="n">
        <f aca="false">IF(M1466=1,YEAR(C1466),"")</f>
        <v>2025</v>
      </c>
      <c r="U1466" s="13" t="str">
        <f aca="false">IF(M1466=1,YEAR(C1466)&amp;"-Q"&amp;ROUNDUP(MONTH(C1466)/3,0),"")</f>
        <v>2025-Q1</v>
      </c>
      <c r="V1466" s="13" t="n">
        <f aca="false">IF(M1466=1,MONTH(C1466),"")</f>
        <v>3</v>
      </c>
    </row>
    <row r="1467" customFormat="false" ht="15" hidden="false" customHeight="false" outlineLevel="0" collapsed="false">
      <c r="A1467" s="13" t="str">
        <f aca="false">TRIM(Raw_Data!A1467)</f>
        <v>EMP1466</v>
      </c>
      <c r="B1467" s="14" t="n">
        <f aca="false">Raw_Data!B1467</f>
        <v>44960</v>
      </c>
      <c r="C1467" s="14" t="n">
        <f aca="false">IF(Raw_Data!C1467="","",Raw_Data!C1467)</f>
        <v>45256</v>
      </c>
      <c r="D1467" s="13" t="n">
        <f aca="false">IF(Raw_Data!D1467="","",Raw_Data!D1467)</f>
        <v>35</v>
      </c>
      <c r="E1467" s="13" t="str">
        <f aca="false">IF(UPPER(LEFT(TRIM(Raw_Data!E1467),1))="M","Male",IF(UPPER(LEFT(TRIM(Raw_Data!E1467),1))="F","Female","Unknown"))</f>
        <v>Male</v>
      </c>
      <c r="F1467" s="13" t="str">
        <f aca="false">PROPER(TRIM(SUBSTITUTE(Raw_Data!F1467,"'","")))</f>
        <v>Doctorate</v>
      </c>
      <c r="G1467" s="13" t="str">
        <f aca="false">PROPER(TRIM(Raw_Data!G1467))</f>
        <v>Engineering</v>
      </c>
      <c r="H1467" s="13" t="str">
        <f aca="false">PROPER(TRIM(Raw_Data!H1467))</f>
        <v>Manager</v>
      </c>
      <c r="I1467" s="13" t="n">
        <f aca="false">IF(Raw_Data!I1467="",DefaultPerf,Raw_Data!I1467)</f>
        <v>3</v>
      </c>
      <c r="J1467" s="13" t="n">
        <f aca="false">IF(Raw_Data!J1467="",DefaultSat,Raw_Data!J1467)</f>
        <v>1</v>
      </c>
      <c r="K1467" s="15" t="n">
        <f aca="false">Raw_Data!K1467</f>
        <v>172500</v>
      </c>
      <c r="L1467" s="13" t="str">
        <f aca="false">PROPER(TRIM(Raw_Data!N1467))</f>
        <v>No</v>
      </c>
      <c r="M1467" s="13" t="n">
        <f aca="false">IF(C1467="",0,1)</f>
        <v>1</v>
      </c>
      <c r="N1467" s="13" t="str">
        <f aca="false">IF(M1467=0,"Active",IF(TRIM(Raw_Data!L1467)="","Unknown",PROPER(TRIM(Raw_Data!L1467))))</f>
        <v>Involuntary</v>
      </c>
      <c r="O1467" s="13" t="str">
        <f aca="false">IF(M1467=0,"",IF(TRIM(Raw_Data!M1467)="","Not Recorded",TRIM(Raw_Data!M1467)))</f>
        <v>Restructuring / Layoff</v>
      </c>
      <c r="P1467" s="16" t="n">
        <f aca="false">ROUND((IF(C1467="",AsOfDate,C1467)-B1467)/365.25,2)</f>
        <v>0.81</v>
      </c>
      <c r="Q1467" s="13" t="str">
        <f aca="false">IF(D1467="","Unknown",IF(D1467&lt;25,"Under 25",IF(D1467&lt;35,"25-34",IF(D1467&lt;45,"35-44",IF(D1467&lt;55,"45-54","55+")))))</f>
        <v>35-44</v>
      </c>
      <c r="R1467" s="13" t="str">
        <f aca="false">IF(P1467&lt;1,"0-1 yrs",IF(P1467&lt;3,"1-3 yrs",IF(P1467&lt;5,"3-5 yrs",IF(P1467&lt;10,"5-10 yrs","10+ yrs"))))</f>
        <v>0-1 yrs</v>
      </c>
      <c r="S1467" s="13" t="str">
        <f aca="false">IF(I1467&gt;=4,"High",IF(I1467=3,"Medium","Low"))</f>
        <v>Medium</v>
      </c>
      <c r="T1467" s="13" t="n">
        <f aca="false">IF(M1467=1,YEAR(C1467),"")</f>
        <v>2023</v>
      </c>
      <c r="U1467" s="13" t="str">
        <f aca="false">IF(M1467=1,YEAR(C1467)&amp;"-Q"&amp;ROUNDUP(MONTH(C1467)/3,0),"")</f>
        <v>2023-Q4</v>
      </c>
      <c r="V1467" s="13" t="n">
        <f aca="false">IF(M1467=1,MONTH(C1467),"")</f>
        <v>11</v>
      </c>
    </row>
    <row r="1468" customFormat="false" ht="15" hidden="false" customHeight="false" outlineLevel="0" collapsed="false">
      <c r="A1468" s="13" t="str">
        <f aca="false">TRIM(Raw_Data!A1468)</f>
        <v>EMP1467</v>
      </c>
      <c r="B1468" s="14" t="n">
        <f aca="false">Raw_Data!B1468</f>
        <v>44963</v>
      </c>
      <c r="C1468" s="14" t="str">
        <f aca="false">IF(Raw_Data!C1468="","",Raw_Data!C1468)</f>
        <v/>
      </c>
      <c r="D1468" s="13" t="n">
        <f aca="false">IF(Raw_Data!D1468="","",Raw_Data!D1468)</f>
        <v>41</v>
      </c>
      <c r="E1468" s="13" t="str">
        <f aca="false">IF(UPPER(LEFT(TRIM(Raw_Data!E1468),1))="M","Male",IF(UPPER(LEFT(TRIM(Raw_Data!E1468),1))="F","Female","Unknown"))</f>
        <v>Male</v>
      </c>
      <c r="F1468" s="13" t="str">
        <f aca="false">PROPER(TRIM(SUBSTITUTE(Raw_Data!F1468,"'","")))</f>
        <v>High School</v>
      </c>
      <c r="G1468" s="13" t="str">
        <f aca="false">PROPER(TRIM(Raw_Data!G1468))</f>
        <v>Human Resources</v>
      </c>
      <c r="H1468" s="13" t="str">
        <f aca="false">PROPER(TRIM(Raw_Data!H1468))</f>
        <v>Associate</v>
      </c>
      <c r="I1468" s="13" t="n">
        <f aca="false">IF(Raw_Data!I1468="",DefaultPerf,Raw_Data!I1468)</f>
        <v>4</v>
      </c>
      <c r="J1468" s="13" t="n">
        <f aca="false">IF(Raw_Data!J1468="",DefaultSat,Raw_Data!J1468)</f>
        <v>3</v>
      </c>
      <c r="K1468" s="15" t="n">
        <f aca="false">Raw_Data!K1468</f>
        <v>31500</v>
      </c>
      <c r="L1468" s="13" t="str">
        <f aca="false">PROPER(TRIM(Raw_Data!N1468))</f>
        <v>No</v>
      </c>
      <c r="M1468" s="13" t="n">
        <f aca="false">IF(C1468="",0,1)</f>
        <v>0</v>
      </c>
      <c r="N1468" s="13" t="str">
        <f aca="false">IF(M1468=0,"Active",IF(TRIM(Raw_Data!L1468)="","Unknown",PROPER(TRIM(Raw_Data!L1468))))</f>
        <v>Active</v>
      </c>
      <c r="O1468" s="13" t="str">
        <f aca="false">IF(M1468=0,"",IF(TRIM(Raw_Data!M1468)="","Not Recorded",TRIM(Raw_Data!M1468)))</f>
        <v/>
      </c>
      <c r="P1468" s="16" t="n">
        <f aca="false">ROUND((IF(C1468="",AsOfDate,C1468)-B1468)/365.25,2)</f>
        <v>2.9</v>
      </c>
      <c r="Q1468" s="13" t="str">
        <f aca="false">IF(D1468="","Unknown",IF(D1468&lt;25,"Under 25",IF(D1468&lt;35,"25-34",IF(D1468&lt;45,"35-44",IF(D1468&lt;55,"45-54","55+")))))</f>
        <v>35-44</v>
      </c>
      <c r="R1468" s="13" t="str">
        <f aca="false">IF(P1468&lt;1,"0-1 yrs",IF(P1468&lt;3,"1-3 yrs",IF(P1468&lt;5,"3-5 yrs",IF(P1468&lt;10,"5-10 yrs","10+ yrs"))))</f>
        <v>1-3 yrs</v>
      </c>
      <c r="S1468" s="13" t="str">
        <f aca="false">IF(I1468&gt;=4,"High",IF(I1468=3,"Medium","Low"))</f>
        <v>High</v>
      </c>
      <c r="T1468" s="13" t="str">
        <f aca="false">IF(M1468=1,YEAR(C1468),"")</f>
        <v/>
      </c>
      <c r="U1468" s="13" t="str">
        <f aca="false">IF(M1468=1,YEAR(C1468)&amp;"-Q"&amp;ROUNDUP(MONTH(C1468)/3,0),"")</f>
        <v/>
      </c>
      <c r="V1468" s="13" t="str">
        <f aca="false">IF(M1468=1,MONTH(C1468),"")</f>
        <v/>
      </c>
    </row>
    <row r="1469" customFormat="false" ht="15" hidden="false" customHeight="false" outlineLevel="0" collapsed="false">
      <c r="A1469" s="13" t="str">
        <f aca="false">TRIM(Raw_Data!A1469)</f>
        <v>EMP1468</v>
      </c>
      <c r="B1469" s="14" t="n">
        <f aca="false">Raw_Data!B1469</f>
        <v>44965</v>
      </c>
      <c r="C1469" s="14" t="str">
        <f aca="false">IF(Raw_Data!C1469="","",Raw_Data!C1469)</f>
        <v/>
      </c>
      <c r="D1469" s="13" t="n">
        <f aca="false">IF(Raw_Data!D1469="","",Raw_Data!D1469)</f>
        <v>31</v>
      </c>
      <c r="E1469" s="13" t="str">
        <f aca="false">IF(UPPER(LEFT(TRIM(Raw_Data!E1469),1))="M","Male",IF(UPPER(LEFT(TRIM(Raw_Data!E1469),1))="F","Female","Unknown"))</f>
        <v>Female</v>
      </c>
      <c r="F1469" s="13" t="str">
        <f aca="false">PROPER(TRIM(SUBSTITUTE(Raw_Data!F1469,"'","")))</f>
        <v>Bachelors</v>
      </c>
      <c r="G1469" s="13" t="str">
        <f aca="false">PROPER(TRIM(Raw_Data!G1469))</f>
        <v>Sales</v>
      </c>
      <c r="H1469" s="13" t="str">
        <f aca="false">PROPER(TRIM(Raw_Data!H1469))</f>
        <v>Manager</v>
      </c>
      <c r="I1469" s="13" t="n">
        <f aca="false">IF(Raw_Data!I1469="",DefaultPerf,Raw_Data!I1469)</f>
        <v>3</v>
      </c>
      <c r="J1469" s="13" t="n">
        <f aca="false">IF(Raw_Data!J1469="",DefaultSat,Raw_Data!J1469)</f>
        <v>3</v>
      </c>
      <c r="K1469" s="15" t="n">
        <f aca="false">Raw_Data!K1469</f>
        <v>159500</v>
      </c>
      <c r="L1469" s="13" t="str">
        <f aca="false">PROPER(TRIM(Raw_Data!N1469))</f>
        <v>Yes</v>
      </c>
      <c r="M1469" s="13" t="n">
        <f aca="false">IF(C1469="",0,1)</f>
        <v>0</v>
      </c>
      <c r="N1469" s="13" t="str">
        <f aca="false">IF(M1469=0,"Active",IF(TRIM(Raw_Data!L1469)="","Unknown",PROPER(TRIM(Raw_Data!L1469))))</f>
        <v>Active</v>
      </c>
      <c r="O1469" s="13" t="str">
        <f aca="false">IF(M1469=0,"",IF(TRIM(Raw_Data!M1469)="","Not Recorded",TRIM(Raw_Data!M1469)))</f>
        <v/>
      </c>
      <c r="P1469" s="16" t="n">
        <f aca="false">ROUND((IF(C1469="",AsOfDate,C1469)-B1469)/365.25,2)</f>
        <v>2.89</v>
      </c>
      <c r="Q1469" s="13" t="str">
        <f aca="false">IF(D1469="","Unknown",IF(D1469&lt;25,"Under 25",IF(D1469&lt;35,"25-34",IF(D1469&lt;45,"35-44",IF(D1469&lt;55,"45-54","55+")))))</f>
        <v>25-34</v>
      </c>
      <c r="R1469" s="13" t="str">
        <f aca="false">IF(P1469&lt;1,"0-1 yrs",IF(P1469&lt;3,"1-3 yrs",IF(P1469&lt;5,"3-5 yrs",IF(P1469&lt;10,"5-10 yrs","10+ yrs"))))</f>
        <v>1-3 yrs</v>
      </c>
      <c r="S1469" s="13" t="str">
        <f aca="false">IF(I1469&gt;=4,"High",IF(I1469=3,"Medium","Low"))</f>
        <v>Medium</v>
      </c>
      <c r="T1469" s="13" t="str">
        <f aca="false">IF(M1469=1,YEAR(C1469),"")</f>
        <v/>
      </c>
      <c r="U1469" s="13" t="str">
        <f aca="false">IF(M1469=1,YEAR(C1469)&amp;"-Q"&amp;ROUNDUP(MONTH(C1469)/3,0),"")</f>
        <v/>
      </c>
      <c r="V1469" s="13" t="str">
        <f aca="false">IF(M1469=1,MONTH(C1469),"")</f>
        <v/>
      </c>
    </row>
    <row r="1470" customFormat="false" ht="15" hidden="false" customHeight="false" outlineLevel="0" collapsed="false">
      <c r="A1470" s="13" t="str">
        <f aca="false">TRIM(Raw_Data!A1470)</f>
        <v>EMP1469</v>
      </c>
      <c r="B1470" s="14" t="n">
        <f aca="false">Raw_Data!B1470</f>
        <v>44966</v>
      </c>
      <c r="C1470" s="14" t="str">
        <f aca="false">IF(Raw_Data!C1470="","",Raw_Data!C1470)</f>
        <v/>
      </c>
      <c r="D1470" s="13" t="n">
        <f aca="false">IF(Raw_Data!D1470="","",Raw_Data!D1470)</f>
        <v>32</v>
      </c>
      <c r="E1470" s="13" t="str">
        <f aca="false">IF(UPPER(LEFT(TRIM(Raw_Data!E1470),1))="M","Male",IF(UPPER(LEFT(TRIM(Raw_Data!E1470),1))="F","Female","Unknown"))</f>
        <v>Male</v>
      </c>
      <c r="F1470" s="13" t="str">
        <f aca="false">PROPER(TRIM(SUBSTITUTE(Raw_Data!F1470,"'","")))</f>
        <v>High School</v>
      </c>
      <c r="G1470" s="13" t="str">
        <f aca="false">PROPER(TRIM(Raw_Data!G1470))</f>
        <v>Operations</v>
      </c>
      <c r="H1470" s="13" t="str">
        <f aca="false">PROPER(TRIM(Raw_Data!H1470))</f>
        <v>Analyst</v>
      </c>
      <c r="I1470" s="13" t="n">
        <f aca="false">IF(Raw_Data!I1470="",DefaultPerf,Raw_Data!I1470)</f>
        <v>3</v>
      </c>
      <c r="J1470" s="13" t="n">
        <f aca="false">IF(Raw_Data!J1470="",DefaultSat,Raw_Data!J1470)</f>
        <v>4</v>
      </c>
      <c r="K1470" s="15" t="n">
        <f aca="false">Raw_Data!K1470</f>
        <v>56500</v>
      </c>
      <c r="L1470" s="13" t="str">
        <f aca="false">PROPER(TRIM(Raw_Data!N1470))</f>
        <v>Yes</v>
      </c>
      <c r="M1470" s="13" t="n">
        <f aca="false">IF(C1470="",0,1)</f>
        <v>0</v>
      </c>
      <c r="N1470" s="13" t="str">
        <f aca="false">IF(M1470=0,"Active",IF(TRIM(Raw_Data!L1470)="","Unknown",PROPER(TRIM(Raw_Data!L1470))))</f>
        <v>Active</v>
      </c>
      <c r="O1470" s="13" t="str">
        <f aca="false">IF(M1470=0,"",IF(TRIM(Raw_Data!M1470)="","Not Recorded",TRIM(Raw_Data!M1470)))</f>
        <v/>
      </c>
      <c r="P1470" s="16" t="n">
        <f aca="false">ROUND((IF(C1470="",AsOfDate,C1470)-B1470)/365.25,2)</f>
        <v>2.89</v>
      </c>
      <c r="Q1470" s="13" t="str">
        <f aca="false">IF(D1470="","Unknown",IF(D1470&lt;25,"Under 25",IF(D1470&lt;35,"25-34",IF(D1470&lt;45,"35-44",IF(D1470&lt;55,"45-54","55+")))))</f>
        <v>25-34</v>
      </c>
      <c r="R1470" s="13" t="str">
        <f aca="false">IF(P1470&lt;1,"0-1 yrs",IF(P1470&lt;3,"1-3 yrs",IF(P1470&lt;5,"3-5 yrs",IF(P1470&lt;10,"5-10 yrs","10+ yrs"))))</f>
        <v>1-3 yrs</v>
      </c>
      <c r="S1470" s="13" t="str">
        <f aca="false">IF(I1470&gt;=4,"High",IF(I1470=3,"Medium","Low"))</f>
        <v>Medium</v>
      </c>
      <c r="T1470" s="13" t="str">
        <f aca="false">IF(M1470=1,YEAR(C1470),"")</f>
        <v/>
      </c>
      <c r="U1470" s="13" t="str">
        <f aca="false">IF(M1470=1,YEAR(C1470)&amp;"-Q"&amp;ROUNDUP(MONTH(C1470)/3,0),"")</f>
        <v/>
      </c>
      <c r="V1470" s="13" t="str">
        <f aca="false">IF(M1470=1,MONTH(C1470),"")</f>
        <v/>
      </c>
    </row>
    <row r="1471" customFormat="false" ht="15" hidden="false" customHeight="false" outlineLevel="0" collapsed="false">
      <c r="A1471" s="13" t="str">
        <f aca="false">TRIM(Raw_Data!A1471)</f>
        <v>EMP1470</v>
      </c>
      <c r="B1471" s="14" t="n">
        <f aca="false">Raw_Data!B1471</f>
        <v>44967</v>
      </c>
      <c r="C1471" s="14" t="str">
        <f aca="false">IF(Raw_Data!C1471="","",Raw_Data!C1471)</f>
        <v/>
      </c>
      <c r="D1471" s="13" t="n">
        <f aca="false">IF(Raw_Data!D1471="","",Raw_Data!D1471)</f>
        <v>36</v>
      </c>
      <c r="E1471" s="13" t="str">
        <f aca="false">IF(UPPER(LEFT(TRIM(Raw_Data!E1471),1))="M","Male",IF(UPPER(LEFT(TRIM(Raw_Data!E1471),1))="F","Female","Unknown"))</f>
        <v>Male</v>
      </c>
      <c r="F1471" s="13" t="str">
        <f aca="false">PROPER(TRIM(SUBSTITUTE(Raw_Data!F1471,"'","")))</f>
        <v>Masters</v>
      </c>
      <c r="G1471" s="13" t="str">
        <f aca="false">PROPER(TRIM(Raw_Data!G1471))</f>
        <v>Operations</v>
      </c>
      <c r="H1471" s="13" t="str">
        <f aca="false">PROPER(TRIM(Raw_Data!H1471))</f>
        <v>Senior Analyst</v>
      </c>
      <c r="I1471" s="13" t="n">
        <f aca="false">IF(Raw_Data!I1471="",DefaultPerf,Raw_Data!I1471)</f>
        <v>4</v>
      </c>
      <c r="J1471" s="13" t="n">
        <f aca="false">IF(Raw_Data!J1471="",DefaultSat,Raw_Data!J1471)</f>
        <v>3</v>
      </c>
      <c r="K1471" s="15" t="n">
        <f aca="false">Raw_Data!K1471</f>
        <v>78500</v>
      </c>
      <c r="L1471" s="13" t="str">
        <f aca="false">PROPER(TRIM(Raw_Data!N1471))</f>
        <v>No</v>
      </c>
      <c r="M1471" s="13" t="n">
        <f aca="false">IF(C1471="",0,1)</f>
        <v>0</v>
      </c>
      <c r="N1471" s="13" t="str">
        <f aca="false">IF(M1471=0,"Active",IF(TRIM(Raw_Data!L1471)="","Unknown",PROPER(TRIM(Raw_Data!L1471))))</f>
        <v>Active</v>
      </c>
      <c r="O1471" s="13" t="str">
        <f aca="false">IF(M1471=0,"",IF(TRIM(Raw_Data!M1471)="","Not Recorded",TRIM(Raw_Data!M1471)))</f>
        <v/>
      </c>
      <c r="P1471" s="16" t="n">
        <f aca="false">ROUND((IF(C1471="",AsOfDate,C1471)-B1471)/365.25,2)</f>
        <v>2.89</v>
      </c>
      <c r="Q1471" s="13" t="str">
        <f aca="false">IF(D1471="","Unknown",IF(D1471&lt;25,"Under 25",IF(D1471&lt;35,"25-34",IF(D1471&lt;45,"35-44",IF(D1471&lt;55,"45-54","55+")))))</f>
        <v>35-44</v>
      </c>
      <c r="R1471" s="13" t="str">
        <f aca="false">IF(P1471&lt;1,"0-1 yrs",IF(P1471&lt;3,"1-3 yrs",IF(P1471&lt;5,"3-5 yrs",IF(P1471&lt;10,"5-10 yrs","10+ yrs"))))</f>
        <v>1-3 yrs</v>
      </c>
      <c r="S1471" s="13" t="str">
        <f aca="false">IF(I1471&gt;=4,"High",IF(I1471=3,"Medium","Low"))</f>
        <v>High</v>
      </c>
      <c r="T1471" s="13" t="str">
        <f aca="false">IF(M1471=1,YEAR(C1471),"")</f>
        <v/>
      </c>
      <c r="U1471" s="13" t="str">
        <f aca="false">IF(M1471=1,YEAR(C1471)&amp;"-Q"&amp;ROUNDUP(MONTH(C1471)/3,0),"")</f>
        <v/>
      </c>
      <c r="V1471" s="13" t="str">
        <f aca="false">IF(M1471=1,MONTH(C1471),"")</f>
        <v/>
      </c>
    </row>
    <row r="1472" customFormat="false" ht="15" hidden="false" customHeight="false" outlineLevel="0" collapsed="false">
      <c r="A1472" s="13" t="str">
        <f aca="false">TRIM(Raw_Data!A1472)</f>
        <v>EMP1471</v>
      </c>
      <c r="B1472" s="14" t="n">
        <f aca="false">Raw_Data!B1472</f>
        <v>44972</v>
      </c>
      <c r="C1472" s="14" t="str">
        <f aca="false">IF(Raw_Data!C1472="","",Raw_Data!C1472)</f>
        <v/>
      </c>
      <c r="D1472" s="13" t="n">
        <f aca="false">IF(Raw_Data!D1472="","",Raw_Data!D1472)</f>
        <v>36</v>
      </c>
      <c r="E1472" s="13" t="str">
        <f aca="false">IF(UPPER(LEFT(TRIM(Raw_Data!E1472),1))="M","Male",IF(UPPER(LEFT(TRIM(Raw_Data!E1472),1))="F","Female","Unknown"))</f>
        <v>Male</v>
      </c>
      <c r="F1472" s="13" t="str">
        <f aca="false">PROPER(TRIM(SUBSTITUTE(Raw_Data!F1472,"'","")))</f>
        <v>Diploma</v>
      </c>
      <c r="G1472" s="13" t="str">
        <f aca="false">PROPER(TRIM(Raw_Data!G1472))</f>
        <v>Engineering</v>
      </c>
      <c r="H1472" s="13" t="str">
        <f aca="false">PROPER(TRIM(Raw_Data!H1472))</f>
        <v>Analyst</v>
      </c>
      <c r="I1472" s="13" t="n">
        <f aca="false">IF(Raw_Data!I1472="",DefaultPerf,Raw_Data!I1472)</f>
        <v>4</v>
      </c>
      <c r="J1472" s="13" t="n">
        <f aca="false">IF(Raw_Data!J1472="",DefaultSat,Raw_Data!J1472)</f>
        <v>4</v>
      </c>
      <c r="K1472" s="15" t="n">
        <f aca="false">Raw_Data!K1472</f>
        <v>58500</v>
      </c>
      <c r="L1472" s="13" t="str">
        <f aca="false">PROPER(TRIM(Raw_Data!N1472))</f>
        <v>Yes</v>
      </c>
      <c r="M1472" s="13" t="n">
        <f aca="false">IF(C1472="",0,1)</f>
        <v>0</v>
      </c>
      <c r="N1472" s="13" t="str">
        <f aca="false">IF(M1472=0,"Active",IF(TRIM(Raw_Data!L1472)="","Unknown",PROPER(TRIM(Raw_Data!L1472))))</f>
        <v>Active</v>
      </c>
      <c r="O1472" s="13" t="str">
        <f aca="false">IF(M1472=0,"",IF(TRIM(Raw_Data!M1472)="","Not Recorded",TRIM(Raw_Data!M1472)))</f>
        <v/>
      </c>
      <c r="P1472" s="16" t="n">
        <f aca="false">ROUND((IF(C1472="",AsOfDate,C1472)-B1472)/365.25,2)</f>
        <v>2.87</v>
      </c>
      <c r="Q1472" s="13" t="str">
        <f aca="false">IF(D1472="","Unknown",IF(D1472&lt;25,"Under 25",IF(D1472&lt;35,"25-34",IF(D1472&lt;45,"35-44",IF(D1472&lt;55,"45-54","55+")))))</f>
        <v>35-44</v>
      </c>
      <c r="R1472" s="13" t="str">
        <f aca="false">IF(P1472&lt;1,"0-1 yrs",IF(P1472&lt;3,"1-3 yrs",IF(P1472&lt;5,"3-5 yrs",IF(P1472&lt;10,"5-10 yrs","10+ yrs"))))</f>
        <v>1-3 yrs</v>
      </c>
      <c r="S1472" s="13" t="str">
        <f aca="false">IF(I1472&gt;=4,"High",IF(I1472=3,"Medium","Low"))</f>
        <v>High</v>
      </c>
      <c r="T1472" s="13" t="str">
        <f aca="false">IF(M1472=1,YEAR(C1472),"")</f>
        <v/>
      </c>
      <c r="U1472" s="13" t="str">
        <f aca="false">IF(M1472=1,YEAR(C1472)&amp;"-Q"&amp;ROUNDUP(MONTH(C1472)/3,0),"")</f>
        <v/>
      </c>
      <c r="V1472" s="13" t="str">
        <f aca="false">IF(M1472=1,MONTH(C1472),"")</f>
        <v/>
      </c>
    </row>
    <row r="1473" customFormat="false" ht="15" hidden="false" customHeight="false" outlineLevel="0" collapsed="false">
      <c r="A1473" s="13" t="str">
        <f aca="false">TRIM(Raw_Data!A1473)</f>
        <v>EMP1472</v>
      </c>
      <c r="B1473" s="14" t="n">
        <f aca="false">Raw_Data!B1473</f>
        <v>44974</v>
      </c>
      <c r="C1473" s="14" t="n">
        <f aca="false">IF(Raw_Data!C1473="","",Raw_Data!C1473)</f>
        <v>45226</v>
      </c>
      <c r="D1473" s="13" t="n">
        <f aca="false">IF(Raw_Data!D1473="","",Raw_Data!D1473)</f>
        <v>26</v>
      </c>
      <c r="E1473" s="13" t="str">
        <f aca="false">IF(UPPER(LEFT(TRIM(Raw_Data!E1473),1))="M","Male",IF(UPPER(LEFT(TRIM(Raw_Data!E1473),1))="F","Female","Unknown"))</f>
        <v>Female</v>
      </c>
      <c r="F1473" s="13" t="str">
        <f aca="false">PROPER(TRIM(SUBSTITUTE(Raw_Data!F1473,"'","")))</f>
        <v>Masters</v>
      </c>
      <c r="G1473" s="13" t="str">
        <f aca="false">PROPER(TRIM(Raw_Data!G1473))</f>
        <v>Sales</v>
      </c>
      <c r="H1473" s="13" t="str">
        <f aca="false">PROPER(TRIM(Raw_Data!H1473))</f>
        <v>Analyst</v>
      </c>
      <c r="I1473" s="13" t="n">
        <f aca="false">IF(Raw_Data!I1473="",DefaultPerf,Raw_Data!I1473)</f>
        <v>4</v>
      </c>
      <c r="J1473" s="13" t="n">
        <f aca="false">IF(Raw_Data!J1473="",DefaultSat,Raw_Data!J1473)</f>
        <v>4</v>
      </c>
      <c r="K1473" s="15" t="n">
        <f aca="false">Raw_Data!K1473</f>
        <v>59500</v>
      </c>
      <c r="L1473" s="13" t="str">
        <f aca="false">PROPER(TRIM(Raw_Data!N1473))</f>
        <v>Yes</v>
      </c>
      <c r="M1473" s="13" t="n">
        <f aca="false">IF(C1473="",0,1)</f>
        <v>1</v>
      </c>
      <c r="N1473" s="13" t="str">
        <f aca="false">IF(M1473=0,"Active",IF(TRIM(Raw_Data!L1473)="","Unknown",PROPER(TRIM(Raw_Data!L1473))))</f>
        <v>Involuntary</v>
      </c>
      <c r="O1473" s="13" t="str">
        <f aca="false">IF(M1473=0,"",IF(TRIM(Raw_Data!M1473)="","Not Recorded",TRIM(Raw_Data!M1473)))</f>
        <v>Restructuring / Layoff</v>
      </c>
      <c r="P1473" s="16" t="n">
        <f aca="false">ROUND((IF(C1473="",AsOfDate,C1473)-B1473)/365.25,2)</f>
        <v>0.69</v>
      </c>
      <c r="Q1473" s="13" t="str">
        <f aca="false">IF(D1473="","Unknown",IF(D1473&lt;25,"Under 25",IF(D1473&lt;35,"25-34",IF(D1473&lt;45,"35-44",IF(D1473&lt;55,"45-54","55+")))))</f>
        <v>25-34</v>
      </c>
      <c r="R1473" s="13" t="str">
        <f aca="false">IF(P1473&lt;1,"0-1 yrs",IF(P1473&lt;3,"1-3 yrs",IF(P1473&lt;5,"3-5 yrs",IF(P1473&lt;10,"5-10 yrs","10+ yrs"))))</f>
        <v>0-1 yrs</v>
      </c>
      <c r="S1473" s="13" t="str">
        <f aca="false">IF(I1473&gt;=4,"High",IF(I1473=3,"Medium","Low"))</f>
        <v>High</v>
      </c>
      <c r="T1473" s="13" t="n">
        <f aca="false">IF(M1473=1,YEAR(C1473),"")</f>
        <v>2023</v>
      </c>
      <c r="U1473" s="13" t="str">
        <f aca="false">IF(M1473=1,YEAR(C1473)&amp;"-Q"&amp;ROUNDUP(MONTH(C1473)/3,0),"")</f>
        <v>2023-Q4</v>
      </c>
      <c r="V1473" s="13" t="n">
        <f aca="false">IF(M1473=1,MONTH(C1473),"")</f>
        <v>10</v>
      </c>
    </row>
    <row r="1474" customFormat="false" ht="15" hidden="false" customHeight="false" outlineLevel="0" collapsed="false">
      <c r="A1474" s="13" t="str">
        <f aca="false">TRIM(Raw_Data!A1474)</f>
        <v>EMP1473</v>
      </c>
      <c r="B1474" s="14" t="n">
        <f aca="false">Raw_Data!B1474</f>
        <v>44976</v>
      </c>
      <c r="C1474" s="14" t="n">
        <f aca="false">IF(Raw_Data!C1474="","",Raw_Data!C1474)</f>
        <v>45361</v>
      </c>
      <c r="D1474" s="13" t="n">
        <f aca="false">IF(Raw_Data!D1474="","",Raw_Data!D1474)</f>
        <v>33</v>
      </c>
      <c r="E1474" s="13" t="str">
        <f aca="false">IF(UPPER(LEFT(TRIM(Raw_Data!E1474),1))="M","Male",IF(UPPER(LEFT(TRIM(Raw_Data!E1474),1))="F","Female","Unknown"))</f>
        <v>Male</v>
      </c>
      <c r="F1474" s="13" t="str">
        <f aca="false">PROPER(TRIM(SUBSTITUTE(Raw_Data!F1474,"'","")))</f>
        <v>Masters</v>
      </c>
      <c r="G1474" s="13" t="str">
        <f aca="false">PROPER(TRIM(Raw_Data!G1474))</f>
        <v>Operations</v>
      </c>
      <c r="H1474" s="13" t="str">
        <f aca="false">PROPER(TRIM(Raw_Data!H1474))</f>
        <v>Analyst</v>
      </c>
      <c r="I1474" s="13" t="n">
        <f aca="false">IF(Raw_Data!I1474="",DefaultPerf,Raw_Data!I1474)</f>
        <v>3</v>
      </c>
      <c r="J1474" s="13" t="n">
        <f aca="false">IF(Raw_Data!J1474="",DefaultSat,Raw_Data!J1474)</f>
        <v>2</v>
      </c>
      <c r="K1474" s="15" t="n">
        <f aca="false">Raw_Data!K1474</f>
        <v>51000</v>
      </c>
      <c r="L1474" s="13" t="str">
        <f aca="false">PROPER(TRIM(Raw_Data!N1474))</f>
        <v>Yes</v>
      </c>
      <c r="M1474" s="13" t="n">
        <f aca="false">IF(C1474="",0,1)</f>
        <v>1</v>
      </c>
      <c r="N1474" s="13" t="str">
        <f aca="false">IF(M1474=0,"Active",IF(TRIM(Raw_Data!L1474)="","Unknown",PROPER(TRIM(Raw_Data!L1474))))</f>
        <v>Involuntary</v>
      </c>
      <c r="O1474" s="13" t="str">
        <f aca="false">IF(M1474=0,"",IF(TRIM(Raw_Data!M1474)="","Not Recorded",TRIM(Raw_Data!M1474)))</f>
        <v>End of Contract</v>
      </c>
      <c r="P1474" s="16" t="n">
        <f aca="false">ROUND((IF(C1474="",AsOfDate,C1474)-B1474)/365.25,2)</f>
        <v>1.05</v>
      </c>
      <c r="Q1474" s="13" t="str">
        <f aca="false">IF(D1474="","Unknown",IF(D1474&lt;25,"Under 25",IF(D1474&lt;35,"25-34",IF(D1474&lt;45,"35-44",IF(D1474&lt;55,"45-54","55+")))))</f>
        <v>25-34</v>
      </c>
      <c r="R1474" s="13" t="str">
        <f aca="false">IF(P1474&lt;1,"0-1 yrs",IF(P1474&lt;3,"1-3 yrs",IF(P1474&lt;5,"3-5 yrs",IF(P1474&lt;10,"5-10 yrs","10+ yrs"))))</f>
        <v>1-3 yrs</v>
      </c>
      <c r="S1474" s="13" t="str">
        <f aca="false">IF(I1474&gt;=4,"High",IF(I1474=3,"Medium","Low"))</f>
        <v>Medium</v>
      </c>
      <c r="T1474" s="13" t="n">
        <f aca="false">IF(M1474=1,YEAR(C1474),"")</f>
        <v>2024</v>
      </c>
      <c r="U1474" s="13" t="str">
        <f aca="false">IF(M1474=1,YEAR(C1474)&amp;"-Q"&amp;ROUNDUP(MONTH(C1474)/3,0),"")</f>
        <v>2024-Q1</v>
      </c>
      <c r="V1474" s="13" t="n">
        <f aca="false">IF(M1474=1,MONTH(C1474),"")</f>
        <v>3</v>
      </c>
    </row>
    <row r="1475" customFormat="false" ht="15" hidden="false" customHeight="false" outlineLevel="0" collapsed="false">
      <c r="A1475" s="13" t="str">
        <f aca="false">TRIM(Raw_Data!A1475)</f>
        <v>EMP1474</v>
      </c>
      <c r="B1475" s="14" t="n">
        <f aca="false">Raw_Data!B1475</f>
        <v>44978</v>
      </c>
      <c r="C1475" s="14" t="n">
        <f aca="false">IF(Raw_Data!C1475="","",Raw_Data!C1475)</f>
        <v>45332</v>
      </c>
      <c r="D1475" s="13" t="n">
        <f aca="false">IF(Raw_Data!D1475="","",Raw_Data!D1475)</f>
        <v>29</v>
      </c>
      <c r="E1475" s="13" t="str">
        <f aca="false">IF(UPPER(LEFT(TRIM(Raw_Data!E1475),1))="M","Male",IF(UPPER(LEFT(TRIM(Raw_Data!E1475),1))="F","Female","Unknown"))</f>
        <v>Female</v>
      </c>
      <c r="F1475" s="13" t="str">
        <f aca="false">PROPER(TRIM(SUBSTITUTE(Raw_Data!F1475,"'","")))</f>
        <v>Masters</v>
      </c>
      <c r="G1475" s="13" t="str">
        <f aca="false">PROPER(TRIM(Raw_Data!G1475))</f>
        <v>Engineering</v>
      </c>
      <c r="H1475" s="13" t="str">
        <f aca="false">PROPER(TRIM(Raw_Data!H1475))</f>
        <v>Specialist</v>
      </c>
      <c r="I1475" s="13" t="n">
        <f aca="false">IF(Raw_Data!I1475="",DefaultPerf,Raw_Data!I1475)</f>
        <v>3</v>
      </c>
      <c r="J1475" s="13" t="n">
        <f aca="false">IF(Raw_Data!J1475="",DefaultSat,Raw_Data!J1475)</f>
        <v>3</v>
      </c>
      <c r="K1475" s="15" t="n">
        <f aca="false">Raw_Data!K1475</f>
        <v>108000</v>
      </c>
      <c r="L1475" s="13" t="str">
        <f aca="false">PROPER(TRIM(Raw_Data!N1475))</f>
        <v>No</v>
      </c>
      <c r="M1475" s="13" t="n">
        <f aca="false">IF(C1475="",0,1)</f>
        <v>1</v>
      </c>
      <c r="N1475" s="13" t="str">
        <f aca="false">IF(M1475=0,"Active",IF(TRIM(Raw_Data!L1475)="","Unknown",PROPER(TRIM(Raw_Data!L1475))))</f>
        <v>Voluntary</v>
      </c>
      <c r="O1475" s="13" t="str">
        <f aca="false">IF(M1475=0,"",IF(TRIM(Raw_Data!M1475)="","Not Recorded",TRIM(Raw_Data!M1475)))</f>
        <v>Personal Reasons</v>
      </c>
      <c r="P1475" s="16" t="n">
        <f aca="false">ROUND((IF(C1475="",AsOfDate,C1475)-B1475)/365.25,2)</f>
        <v>0.97</v>
      </c>
      <c r="Q1475" s="13" t="str">
        <f aca="false">IF(D1475="","Unknown",IF(D1475&lt;25,"Under 25",IF(D1475&lt;35,"25-34",IF(D1475&lt;45,"35-44",IF(D1475&lt;55,"45-54","55+")))))</f>
        <v>25-34</v>
      </c>
      <c r="R1475" s="13" t="str">
        <f aca="false">IF(P1475&lt;1,"0-1 yrs",IF(P1475&lt;3,"1-3 yrs",IF(P1475&lt;5,"3-5 yrs",IF(P1475&lt;10,"5-10 yrs","10+ yrs"))))</f>
        <v>0-1 yrs</v>
      </c>
      <c r="S1475" s="13" t="str">
        <f aca="false">IF(I1475&gt;=4,"High",IF(I1475=3,"Medium","Low"))</f>
        <v>Medium</v>
      </c>
      <c r="T1475" s="13" t="n">
        <f aca="false">IF(M1475=1,YEAR(C1475),"")</f>
        <v>2024</v>
      </c>
      <c r="U1475" s="13" t="str">
        <f aca="false">IF(M1475=1,YEAR(C1475)&amp;"-Q"&amp;ROUNDUP(MONTH(C1475)/3,0),"")</f>
        <v>2024-Q1</v>
      </c>
      <c r="V1475" s="13" t="n">
        <f aca="false">IF(M1475=1,MONTH(C1475),"")</f>
        <v>2</v>
      </c>
    </row>
    <row r="1476" customFormat="false" ht="15" hidden="false" customHeight="false" outlineLevel="0" collapsed="false">
      <c r="A1476" s="13" t="str">
        <f aca="false">TRIM(Raw_Data!A1476)</f>
        <v>EMP1475</v>
      </c>
      <c r="B1476" s="14" t="n">
        <f aca="false">Raw_Data!B1476</f>
        <v>44979</v>
      </c>
      <c r="C1476" s="14" t="str">
        <f aca="false">IF(Raw_Data!C1476="","",Raw_Data!C1476)</f>
        <v/>
      </c>
      <c r="D1476" s="13" t="n">
        <f aca="false">IF(Raw_Data!D1476="","",Raw_Data!D1476)</f>
        <v>39</v>
      </c>
      <c r="E1476" s="13" t="str">
        <f aca="false">IF(UPPER(LEFT(TRIM(Raw_Data!E1476),1))="M","Male",IF(UPPER(LEFT(TRIM(Raw_Data!E1476),1))="F","Female","Unknown"))</f>
        <v>Female</v>
      </c>
      <c r="F1476" s="13" t="str">
        <f aca="false">PROPER(TRIM(SUBSTITUTE(Raw_Data!F1476,"'","")))</f>
        <v>Diploma</v>
      </c>
      <c r="G1476" s="13" t="str">
        <f aca="false">PROPER(TRIM(Raw_Data!G1476))</f>
        <v>Engineering</v>
      </c>
      <c r="H1476" s="13" t="str">
        <f aca="false">PROPER(TRIM(Raw_Data!H1476))</f>
        <v>Analyst</v>
      </c>
      <c r="I1476" s="13" t="n">
        <f aca="false">IF(Raw_Data!I1476="",DefaultPerf,Raw_Data!I1476)</f>
        <v>4</v>
      </c>
      <c r="J1476" s="13" t="n">
        <f aca="false">IF(Raw_Data!J1476="",DefaultSat,Raw_Data!J1476)</f>
        <v>3</v>
      </c>
      <c r="K1476" s="15" t="n">
        <f aca="false">Raw_Data!K1476</f>
        <v>54500</v>
      </c>
      <c r="L1476" s="13" t="str">
        <f aca="false">PROPER(TRIM(Raw_Data!N1476))</f>
        <v>No</v>
      </c>
      <c r="M1476" s="13" t="n">
        <f aca="false">IF(C1476="",0,1)</f>
        <v>0</v>
      </c>
      <c r="N1476" s="13" t="str">
        <f aca="false">IF(M1476=0,"Active",IF(TRIM(Raw_Data!L1476)="","Unknown",PROPER(TRIM(Raw_Data!L1476))))</f>
        <v>Active</v>
      </c>
      <c r="O1476" s="13" t="str">
        <f aca="false">IF(M1476=0,"",IF(TRIM(Raw_Data!M1476)="","Not Recorded",TRIM(Raw_Data!M1476)))</f>
        <v/>
      </c>
      <c r="P1476" s="16" t="n">
        <f aca="false">ROUND((IF(C1476="",AsOfDate,C1476)-B1476)/365.25,2)</f>
        <v>2.86</v>
      </c>
      <c r="Q1476" s="13" t="str">
        <f aca="false">IF(D1476="","Unknown",IF(D1476&lt;25,"Under 25",IF(D1476&lt;35,"25-34",IF(D1476&lt;45,"35-44",IF(D1476&lt;55,"45-54","55+")))))</f>
        <v>35-44</v>
      </c>
      <c r="R1476" s="13" t="str">
        <f aca="false">IF(P1476&lt;1,"0-1 yrs",IF(P1476&lt;3,"1-3 yrs",IF(P1476&lt;5,"3-5 yrs",IF(P1476&lt;10,"5-10 yrs","10+ yrs"))))</f>
        <v>1-3 yrs</v>
      </c>
      <c r="S1476" s="13" t="str">
        <f aca="false">IF(I1476&gt;=4,"High",IF(I1476=3,"Medium","Low"))</f>
        <v>High</v>
      </c>
      <c r="T1476" s="13" t="str">
        <f aca="false">IF(M1476=1,YEAR(C1476),"")</f>
        <v/>
      </c>
      <c r="U1476" s="13" t="str">
        <f aca="false">IF(M1476=1,YEAR(C1476)&amp;"-Q"&amp;ROUNDUP(MONTH(C1476)/3,0),"")</f>
        <v/>
      </c>
      <c r="V1476" s="13" t="str">
        <f aca="false">IF(M1476=1,MONTH(C1476),"")</f>
        <v/>
      </c>
    </row>
    <row r="1477" customFormat="false" ht="15" hidden="false" customHeight="false" outlineLevel="0" collapsed="false">
      <c r="A1477" s="13" t="str">
        <f aca="false">TRIM(Raw_Data!A1477)</f>
        <v>EMP1476</v>
      </c>
      <c r="B1477" s="14" t="n">
        <f aca="false">Raw_Data!B1477</f>
        <v>44979</v>
      </c>
      <c r="C1477" s="14" t="n">
        <f aca="false">IF(Raw_Data!C1477="","",Raw_Data!C1477)</f>
        <v>45312</v>
      </c>
      <c r="D1477" s="13" t="n">
        <f aca="false">IF(Raw_Data!D1477="","",Raw_Data!D1477)</f>
        <v>34</v>
      </c>
      <c r="E1477" s="13" t="str">
        <f aca="false">IF(UPPER(LEFT(TRIM(Raw_Data!E1477),1))="M","Male",IF(UPPER(LEFT(TRIM(Raw_Data!E1477),1))="F","Female","Unknown"))</f>
        <v>Female</v>
      </c>
      <c r="F1477" s="13" t="str">
        <f aca="false">PROPER(TRIM(SUBSTITUTE(Raw_Data!F1477,"'","")))</f>
        <v>Masters</v>
      </c>
      <c r="G1477" s="13" t="str">
        <f aca="false">PROPER(TRIM(Raw_Data!G1477))</f>
        <v>Customer Support</v>
      </c>
      <c r="H1477" s="13" t="str">
        <f aca="false">PROPER(TRIM(Raw_Data!H1477))</f>
        <v>Specialist</v>
      </c>
      <c r="I1477" s="13" t="n">
        <f aca="false">IF(Raw_Data!I1477="",DefaultPerf,Raw_Data!I1477)</f>
        <v>4</v>
      </c>
      <c r="J1477" s="13" t="n">
        <f aca="false">IF(Raw_Data!J1477="",DefaultSat,Raw_Data!J1477)</f>
        <v>4</v>
      </c>
      <c r="K1477" s="15" t="n">
        <f aca="false">Raw_Data!K1477</f>
        <v>84500</v>
      </c>
      <c r="L1477" s="13" t="str">
        <f aca="false">PROPER(TRIM(Raw_Data!N1477))</f>
        <v>Yes</v>
      </c>
      <c r="M1477" s="13" t="n">
        <f aca="false">IF(C1477="",0,1)</f>
        <v>1</v>
      </c>
      <c r="N1477" s="13" t="str">
        <f aca="false">IF(M1477=0,"Active",IF(TRIM(Raw_Data!L1477)="","Unknown",PROPER(TRIM(Raw_Data!L1477))))</f>
        <v>Involuntary</v>
      </c>
      <c r="O1477" s="13" t="str">
        <f aca="false">IF(M1477=0,"",IF(TRIM(Raw_Data!M1477)="","Not Recorded",TRIM(Raw_Data!M1477)))</f>
        <v>Poor Performance</v>
      </c>
      <c r="P1477" s="16" t="n">
        <f aca="false">ROUND((IF(C1477="",AsOfDate,C1477)-B1477)/365.25,2)</f>
        <v>0.91</v>
      </c>
      <c r="Q1477" s="13" t="str">
        <f aca="false">IF(D1477="","Unknown",IF(D1477&lt;25,"Under 25",IF(D1477&lt;35,"25-34",IF(D1477&lt;45,"35-44",IF(D1477&lt;55,"45-54","55+")))))</f>
        <v>25-34</v>
      </c>
      <c r="R1477" s="13" t="str">
        <f aca="false">IF(P1477&lt;1,"0-1 yrs",IF(P1477&lt;3,"1-3 yrs",IF(P1477&lt;5,"3-5 yrs",IF(P1477&lt;10,"5-10 yrs","10+ yrs"))))</f>
        <v>0-1 yrs</v>
      </c>
      <c r="S1477" s="13" t="str">
        <f aca="false">IF(I1477&gt;=4,"High",IF(I1477=3,"Medium","Low"))</f>
        <v>High</v>
      </c>
      <c r="T1477" s="13" t="n">
        <f aca="false">IF(M1477=1,YEAR(C1477),"")</f>
        <v>2024</v>
      </c>
      <c r="U1477" s="13" t="str">
        <f aca="false">IF(M1477=1,YEAR(C1477)&amp;"-Q"&amp;ROUNDUP(MONTH(C1477)/3,0),"")</f>
        <v>2024-Q1</v>
      </c>
      <c r="V1477" s="13" t="n">
        <f aca="false">IF(M1477=1,MONTH(C1477),"")</f>
        <v>1</v>
      </c>
    </row>
    <row r="1478" customFormat="false" ht="15" hidden="false" customHeight="false" outlineLevel="0" collapsed="false">
      <c r="A1478" s="13" t="str">
        <f aca="false">TRIM(Raw_Data!A1478)</f>
        <v>EMP1477</v>
      </c>
      <c r="B1478" s="14" t="n">
        <f aca="false">Raw_Data!B1478</f>
        <v>44981</v>
      </c>
      <c r="C1478" s="14" t="n">
        <f aca="false">IF(Raw_Data!C1478="","",Raw_Data!C1478)</f>
        <v>45760</v>
      </c>
      <c r="D1478" s="13" t="n">
        <f aca="false">IF(Raw_Data!D1478="","",Raw_Data!D1478)</f>
        <v>26</v>
      </c>
      <c r="E1478" s="13" t="str">
        <f aca="false">IF(UPPER(LEFT(TRIM(Raw_Data!E1478),1))="M","Male",IF(UPPER(LEFT(TRIM(Raw_Data!E1478),1))="F","Female","Unknown"))</f>
        <v>Male</v>
      </c>
      <c r="F1478" s="13" t="str">
        <f aca="false">PROPER(TRIM(SUBSTITUTE(Raw_Data!F1478,"'","")))</f>
        <v>Bachelors</v>
      </c>
      <c r="G1478" s="13" t="str">
        <f aca="false">PROPER(TRIM(Raw_Data!G1478))</f>
        <v>Customer Support</v>
      </c>
      <c r="H1478" s="13" t="str">
        <f aca="false">PROPER(TRIM(Raw_Data!H1478))</f>
        <v>Associate</v>
      </c>
      <c r="I1478" s="13" t="n">
        <f aca="false">IF(Raw_Data!I1478="",DefaultPerf,Raw_Data!I1478)</f>
        <v>4</v>
      </c>
      <c r="J1478" s="13" t="n">
        <f aca="false">IF(Raw_Data!J1478="",DefaultSat,Raw_Data!J1478)</f>
        <v>3</v>
      </c>
      <c r="K1478" s="15" t="n">
        <f aca="false">Raw_Data!K1478</f>
        <v>40500</v>
      </c>
      <c r="L1478" s="13" t="str">
        <f aca="false">PROPER(TRIM(Raw_Data!N1478))</f>
        <v>No</v>
      </c>
      <c r="M1478" s="13" t="n">
        <f aca="false">IF(C1478="",0,1)</f>
        <v>1</v>
      </c>
      <c r="N1478" s="13" t="str">
        <f aca="false">IF(M1478=0,"Active",IF(TRIM(Raw_Data!L1478)="","Unknown",PROPER(TRIM(Raw_Data!L1478))))</f>
        <v>Voluntary</v>
      </c>
      <c r="O1478" s="13" t="str">
        <f aca="false">IF(M1478=0,"",IF(TRIM(Raw_Data!M1478)="","Not Recorded",TRIM(Raw_Data!M1478)))</f>
        <v>Career Growth</v>
      </c>
      <c r="P1478" s="16" t="n">
        <f aca="false">ROUND((IF(C1478="",AsOfDate,C1478)-B1478)/365.25,2)</f>
        <v>2.13</v>
      </c>
      <c r="Q1478" s="13" t="str">
        <f aca="false">IF(D1478="","Unknown",IF(D1478&lt;25,"Under 25",IF(D1478&lt;35,"25-34",IF(D1478&lt;45,"35-44",IF(D1478&lt;55,"45-54","55+")))))</f>
        <v>25-34</v>
      </c>
      <c r="R1478" s="13" t="str">
        <f aca="false">IF(P1478&lt;1,"0-1 yrs",IF(P1478&lt;3,"1-3 yrs",IF(P1478&lt;5,"3-5 yrs",IF(P1478&lt;10,"5-10 yrs","10+ yrs"))))</f>
        <v>1-3 yrs</v>
      </c>
      <c r="S1478" s="13" t="str">
        <f aca="false">IF(I1478&gt;=4,"High",IF(I1478=3,"Medium","Low"))</f>
        <v>High</v>
      </c>
      <c r="T1478" s="13" t="n">
        <f aca="false">IF(M1478=1,YEAR(C1478),"")</f>
        <v>2025</v>
      </c>
      <c r="U1478" s="13" t="str">
        <f aca="false">IF(M1478=1,YEAR(C1478)&amp;"-Q"&amp;ROUNDUP(MONTH(C1478)/3,0),"")</f>
        <v>2025-Q2</v>
      </c>
      <c r="V1478" s="13" t="n">
        <f aca="false">IF(M1478=1,MONTH(C1478),"")</f>
        <v>4</v>
      </c>
    </row>
    <row r="1479" customFormat="false" ht="15" hidden="false" customHeight="false" outlineLevel="0" collapsed="false">
      <c r="A1479" s="13" t="str">
        <f aca="false">TRIM(Raw_Data!A1479)</f>
        <v>EMP1478</v>
      </c>
      <c r="B1479" s="14" t="n">
        <f aca="false">Raw_Data!B1479</f>
        <v>44982</v>
      </c>
      <c r="C1479" s="14" t="n">
        <f aca="false">IF(Raw_Data!C1479="","",Raw_Data!C1479)</f>
        <v>45647</v>
      </c>
      <c r="D1479" s="13" t="n">
        <f aca="false">IF(Raw_Data!D1479="","",Raw_Data!D1479)</f>
        <v>32</v>
      </c>
      <c r="E1479" s="13" t="str">
        <f aca="false">IF(UPPER(LEFT(TRIM(Raw_Data!E1479),1))="M","Male",IF(UPPER(LEFT(TRIM(Raw_Data!E1479),1))="F","Female","Unknown"))</f>
        <v>Male</v>
      </c>
      <c r="F1479" s="13" t="str">
        <f aca="false">PROPER(TRIM(SUBSTITUTE(Raw_Data!F1479,"'","")))</f>
        <v>Masters</v>
      </c>
      <c r="G1479" s="13" t="str">
        <f aca="false">PROPER(TRIM(Raw_Data!G1479))</f>
        <v>Operations</v>
      </c>
      <c r="H1479" s="13" t="str">
        <f aca="false">PROPER(TRIM(Raw_Data!H1479))</f>
        <v>Associate</v>
      </c>
      <c r="I1479" s="13" t="n">
        <f aca="false">IF(Raw_Data!I1479="",DefaultPerf,Raw_Data!I1479)</f>
        <v>4</v>
      </c>
      <c r="J1479" s="13" t="n">
        <f aca="false">IF(Raw_Data!J1479="",DefaultSat,Raw_Data!J1479)</f>
        <v>2</v>
      </c>
      <c r="K1479" s="15" t="n">
        <f aca="false">Raw_Data!K1479</f>
        <v>36500</v>
      </c>
      <c r="L1479" s="13" t="str">
        <f aca="false">PROPER(TRIM(Raw_Data!N1479))</f>
        <v>No</v>
      </c>
      <c r="M1479" s="13" t="n">
        <f aca="false">IF(C1479="",0,1)</f>
        <v>1</v>
      </c>
      <c r="N1479" s="13" t="str">
        <f aca="false">IF(M1479=0,"Active",IF(TRIM(Raw_Data!L1479)="","Unknown",PROPER(TRIM(Raw_Data!L1479))))</f>
        <v>Voluntary</v>
      </c>
      <c r="O1479" s="13" t="str">
        <f aca="false">IF(M1479=0,"",IF(TRIM(Raw_Data!M1479)="","Not Recorded",TRIM(Raw_Data!M1479)))</f>
        <v>Job Dissatisfaction</v>
      </c>
      <c r="P1479" s="16" t="n">
        <f aca="false">ROUND((IF(C1479="",AsOfDate,C1479)-B1479)/365.25,2)</f>
        <v>1.82</v>
      </c>
      <c r="Q1479" s="13" t="str">
        <f aca="false">IF(D1479="","Unknown",IF(D1479&lt;25,"Under 25",IF(D1479&lt;35,"25-34",IF(D1479&lt;45,"35-44",IF(D1479&lt;55,"45-54","55+")))))</f>
        <v>25-34</v>
      </c>
      <c r="R1479" s="13" t="str">
        <f aca="false">IF(P1479&lt;1,"0-1 yrs",IF(P1479&lt;3,"1-3 yrs",IF(P1479&lt;5,"3-5 yrs",IF(P1479&lt;10,"5-10 yrs","10+ yrs"))))</f>
        <v>1-3 yrs</v>
      </c>
      <c r="S1479" s="13" t="str">
        <f aca="false">IF(I1479&gt;=4,"High",IF(I1479=3,"Medium","Low"))</f>
        <v>High</v>
      </c>
      <c r="T1479" s="13" t="n">
        <f aca="false">IF(M1479=1,YEAR(C1479),"")</f>
        <v>2024</v>
      </c>
      <c r="U1479" s="13" t="str">
        <f aca="false">IF(M1479=1,YEAR(C1479)&amp;"-Q"&amp;ROUNDUP(MONTH(C1479)/3,0),"")</f>
        <v>2024-Q4</v>
      </c>
      <c r="V1479" s="13" t="n">
        <f aca="false">IF(M1479=1,MONTH(C1479),"")</f>
        <v>12</v>
      </c>
    </row>
    <row r="1480" customFormat="false" ht="15" hidden="false" customHeight="false" outlineLevel="0" collapsed="false">
      <c r="A1480" s="13" t="str">
        <f aca="false">TRIM(Raw_Data!A1480)</f>
        <v>EMP1479</v>
      </c>
      <c r="B1480" s="14" t="n">
        <f aca="false">Raw_Data!B1480</f>
        <v>44984</v>
      </c>
      <c r="C1480" s="14" t="n">
        <f aca="false">IF(Raw_Data!C1480="","",Raw_Data!C1480)</f>
        <v>45233</v>
      </c>
      <c r="D1480" s="13" t="n">
        <f aca="false">IF(Raw_Data!D1480="","",Raw_Data!D1480)</f>
        <v>35</v>
      </c>
      <c r="E1480" s="13" t="str">
        <f aca="false">IF(UPPER(LEFT(TRIM(Raw_Data!E1480),1))="M","Male",IF(UPPER(LEFT(TRIM(Raw_Data!E1480),1))="F","Female","Unknown"))</f>
        <v>Female</v>
      </c>
      <c r="F1480" s="13" t="str">
        <f aca="false">PROPER(TRIM(SUBSTITUTE(Raw_Data!F1480,"'","")))</f>
        <v>High School</v>
      </c>
      <c r="G1480" s="13" t="str">
        <f aca="false">PROPER(TRIM(Raw_Data!G1480))</f>
        <v>Customer Support</v>
      </c>
      <c r="H1480" s="13" t="str">
        <f aca="false">PROPER(TRIM(Raw_Data!H1480))</f>
        <v>Associate</v>
      </c>
      <c r="I1480" s="13" t="n">
        <f aca="false">IF(Raw_Data!I1480="",DefaultPerf,Raw_Data!I1480)</f>
        <v>3</v>
      </c>
      <c r="J1480" s="13" t="n">
        <f aca="false">IF(Raw_Data!J1480="",DefaultSat,Raw_Data!J1480)</f>
        <v>1</v>
      </c>
      <c r="K1480" s="15" t="n">
        <f aca="false">Raw_Data!K1480</f>
        <v>39500</v>
      </c>
      <c r="L1480" s="13" t="str">
        <f aca="false">PROPER(TRIM(Raw_Data!N1480))</f>
        <v>No</v>
      </c>
      <c r="M1480" s="13" t="n">
        <f aca="false">IF(C1480="",0,1)</f>
        <v>1</v>
      </c>
      <c r="N1480" s="13" t="str">
        <f aca="false">IF(M1480=0,"Active",IF(TRIM(Raw_Data!L1480)="","Unknown",PROPER(TRIM(Raw_Data!L1480))))</f>
        <v>Involuntary</v>
      </c>
      <c r="O1480" s="13" t="str">
        <f aca="false">IF(M1480=0,"",IF(TRIM(Raw_Data!M1480)="","Not Recorded",TRIM(Raw_Data!M1480)))</f>
        <v>Poor Performance</v>
      </c>
      <c r="P1480" s="16" t="n">
        <f aca="false">ROUND((IF(C1480="",AsOfDate,C1480)-B1480)/365.25,2)</f>
        <v>0.68</v>
      </c>
      <c r="Q1480" s="13" t="str">
        <f aca="false">IF(D1480="","Unknown",IF(D1480&lt;25,"Under 25",IF(D1480&lt;35,"25-34",IF(D1480&lt;45,"35-44",IF(D1480&lt;55,"45-54","55+")))))</f>
        <v>35-44</v>
      </c>
      <c r="R1480" s="13" t="str">
        <f aca="false">IF(P1480&lt;1,"0-1 yrs",IF(P1480&lt;3,"1-3 yrs",IF(P1480&lt;5,"3-5 yrs",IF(P1480&lt;10,"5-10 yrs","10+ yrs"))))</f>
        <v>0-1 yrs</v>
      </c>
      <c r="S1480" s="13" t="str">
        <f aca="false">IF(I1480&gt;=4,"High",IF(I1480=3,"Medium","Low"))</f>
        <v>Medium</v>
      </c>
      <c r="T1480" s="13" t="n">
        <f aca="false">IF(M1480=1,YEAR(C1480),"")</f>
        <v>2023</v>
      </c>
      <c r="U1480" s="13" t="str">
        <f aca="false">IF(M1480=1,YEAR(C1480)&amp;"-Q"&amp;ROUNDUP(MONTH(C1480)/3,0),"")</f>
        <v>2023-Q4</v>
      </c>
      <c r="V1480" s="13" t="n">
        <f aca="false">IF(M1480=1,MONTH(C1480),"")</f>
        <v>11</v>
      </c>
    </row>
    <row r="1481" customFormat="false" ht="15" hidden="false" customHeight="false" outlineLevel="0" collapsed="false">
      <c r="A1481" s="13" t="str">
        <f aca="false">TRIM(Raw_Data!A1481)</f>
        <v>EMP1480</v>
      </c>
      <c r="B1481" s="14" t="n">
        <f aca="false">Raw_Data!B1481</f>
        <v>44984</v>
      </c>
      <c r="C1481" s="14" t="str">
        <f aca="false">IF(Raw_Data!C1481="","",Raw_Data!C1481)</f>
        <v/>
      </c>
      <c r="D1481" s="13" t="n">
        <f aca="false">IF(Raw_Data!D1481="","",Raw_Data!D1481)</f>
        <v>33</v>
      </c>
      <c r="E1481" s="13" t="str">
        <f aca="false">IF(UPPER(LEFT(TRIM(Raw_Data!E1481),1))="M","Male",IF(UPPER(LEFT(TRIM(Raw_Data!E1481),1))="F","Female","Unknown"))</f>
        <v>Female</v>
      </c>
      <c r="F1481" s="13" t="str">
        <f aca="false">PROPER(TRIM(SUBSTITUTE(Raw_Data!F1481,"'","")))</f>
        <v>High School</v>
      </c>
      <c r="G1481" s="13" t="str">
        <f aca="false">PROPER(TRIM(Raw_Data!G1481))</f>
        <v>Finance</v>
      </c>
      <c r="H1481" s="13" t="str">
        <f aca="false">PROPER(TRIM(Raw_Data!H1481))</f>
        <v>Associate</v>
      </c>
      <c r="I1481" s="13" t="n">
        <f aca="false">IF(Raw_Data!I1481="",DefaultPerf,Raw_Data!I1481)</f>
        <v>3</v>
      </c>
      <c r="J1481" s="13" t="n">
        <f aca="false">IF(Raw_Data!J1481="",DefaultSat,Raw_Data!J1481)</f>
        <v>2</v>
      </c>
      <c r="K1481" s="15" t="n">
        <f aca="false">Raw_Data!K1481</f>
        <v>41000</v>
      </c>
      <c r="L1481" s="13" t="str">
        <f aca="false">PROPER(TRIM(Raw_Data!N1481))</f>
        <v>No</v>
      </c>
      <c r="M1481" s="13" t="n">
        <f aca="false">IF(C1481="",0,1)</f>
        <v>0</v>
      </c>
      <c r="N1481" s="13" t="str">
        <f aca="false">IF(M1481=0,"Active",IF(TRIM(Raw_Data!L1481)="","Unknown",PROPER(TRIM(Raw_Data!L1481))))</f>
        <v>Active</v>
      </c>
      <c r="O1481" s="13" t="str">
        <f aca="false">IF(M1481=0,"",IF(TRIM(Raw_Data!M1481)="","Not Recorded",TRIM(Raw_Data!M1481)))</f>
        <v/>
      </c>
      <c r="P1481" s="16" t="n">
        <f aca="false">ROUND((IF(C1481="",AsOfDate,C1481)-B1481)/365.25,2)</f>
        <v>2.84</v>
      </c>
      <c r="Q1481" s="13" t="str">
        <f aca="false">IF(D1481="","Unknown",IF(D1481&lt;25,"Under 25",IF(D1481&lt;35,"25-34",IF(D1481&lt;45,"35-44",IF(D1481&lt;55,"45-54","55+")))))</f>
        <v>25-34</v>
      </c>
      <c r="R1481" s="13" t="str">
        <f aca="false">IF(P1481&lt;1,"0-1 yrs",IF(P1481&lt;3,"1-3 yrs",IF(P1481&lt;5,"3-5 yrs",IF(P1481&lt;10,"5-10 yrs","10+ yrs"))))</f>
        <v>1-3 yrs</v>
      </c>
      <c r="S1481" s="13" t="str">
        <f aca="false">IF(I1481&gt;=4,"High",IF(I1481=3,"Medium","Low"))</f>
        <v>Medium</v>
      </c>
      <c r="T1481" s="13" t="str">
        <f aca="false">IF(M1481=1,YEAR(C1481),"")</f>
        <v/>
      </c>
      <c r="U1481" s="13" t="str">
        <f aca="false">IF(M1481=1,YEAR(C1481)&amp;"-Q"&amp;ROUNDUP(MONTH(C1481)/3,0),"")</f>
        <v/>
      </c>
      <c r="V1481" s="13" t="str">
        <f aca="false">IF(M1481=1,MONTH(C1481),"")</f>
        <v/>
      </c>
    </row>
    <row r="1482" customFormat="false" ht="15" hidden="false" customHeight="false" outlineLevel="0" collapsed="false">
      <c r="A1482" s="13" t="str">
        <f aca="false">TRIM(Raw_Data!A1482)</f>
        <v>EMP1481</v>
      </c>
      <c r="B1482" s="14" t="n">
        <f aca="false">Raw_Data!B1482</f>
        <v>44984</v>
      </c>
      <c r="C1482" s="14" t="n">
        <f aca="false">IF(Raw_Data!C1482="","",Raw_Data!C1482)</f>
        <v>45129</v>
      </c>
      <c r="D1482" s="13" t="n">
        <f aca="false">IF(Raw_Data!D1482="","",Raw_Data!D1482)</f>
        <v>24</v>
      </c>
      <c r="E1482" s="13" t="str">
        <f aca="false">IF(UPPER(LEFT(TRIM(Raw_Data!E1482),1))="M","Male",IF(UPPER(LEFT(TRIM(Raw_Data!E1482),1))="F","Female","Unknown"))</f>
        <v>Male</v>
      </c>
      <c r="F1482" s="13" t="str">
        <f aca="false">PROPER(TRIM(SUBSTITUTE(Raw_Data!F1482,"'","")))</f>
        <v>High School</v>
      </c>
      <c r="G1482" s="13" t="str">
        <f aca="false">PROPER(TRIM(Raw_Data!G1482))</f>
        <v>Engineering</v>
      </c>
      <c r="H1482" s="13" t="str">
        <f aca="false">PROPER(TRIM(Raw_Data!H1482))</f>
        <v>Associate</v>
      </c>
      <c r="I1482" s="13" t="n">
        <f aca="false">IF(Raw_Data!I1482="",DefaultPerf,Raw_Data!I1482)</f>
        <v>2</v>
      </c>
      <c r="J1482" s="13" t="n">
        <f aca="false">IF(Raw_Data!J1482="",DefaultSat,Raw_Data!J1482)</f>
        <v>4</v>
      </c>
      <c r="K1482" s="15" t="n">
        <f aca="false">Raw_Data!K1482</f>
        <v>33000</v>
      </c>
      <c r="L1482" s="13" t="str">
        <f aca="false">PROPER(TRIM(Raw_Data!N1482))</f>
        <v>Yes</v>
      </c>
      <c r="M1482" s="13" t="n">
        <f aca="false">IF(C1482="",0,1)</f>
        <v>1</v>
      </c>
      <c r="N1482" s="13" t="str">
        <f aca="false">IF(M1482=0,"Active",IF(TRIM(Raw_Data!L1482)="","Unknown",PROPER(TRIM(Raw_Data!L1482))))</f>
        <v>Involuntary</v>
      </c>
      <c r="O1482" s="13" t="str">
        <f aca="false">IF(M1482=0,"",IF(TRIM(Raw_Data!M1482)="","Not Recorded",TRIM(Raw_Data!M1482)))</f>
        <v>Restructuring / Layoff</v>
      </c>
      <c r="P1482" s="16" t="n">
        <f aca="false">ROUND((IF(C1482="",AsOfDate,C1482)-B1482)/365.25,2)</f>
        <v>0.4</v>
      </c>
      <c r="Q1482" s="13" t="str">
        <f aca="false">IF(D1482="","Unknown",IF(D1482&lt;25,"Under 25",IF(D1482&lt;35,"25-34",IF(D1482&lt;45,"35-44",IF(D1482&lt;55,"45-54","55+")))))</f>
        <v>Under 25</v>
      </c>
      <c r="R1482" s="13" t="str">
        <f aca="false">IF(P1482&lt;1,"0-1 yrs",IF(P1482&lt;3,"1-3 yrs",IF(P1482&lt;5,"3-5 yrs",IF(P1482&lt;10,"5-10 yrs","10+ yrs"))))</f>
        <v>0-1 yrs</v>
      </c>
      <c r="S1482" s="13" t="str">
        <f aca="false">IF(I1482&gt;=4,"High",IF(I1482=3,"Medium","Low"))</f>
        <v>Low</v>
      </c>
      <c r="T1482" s="13" t="n">
        <f aca="false">IF(M1482=1,YEAR(C1482),"")</f>
        <v>2023</v>
      </c>
      <c r="U1482" s="13" t="str">
        <f aca="false">IF(M1482=1,YEAR(C1482)&amp;"-Q"&amp;ROUNDUP(MONTH(C1482)/3,0),"")</f>
        <v>2023-Q3</v>
      </c>
      <c r="V1482" s="13" t="n">
        <f aca="false">IF(M1482=1,MONTH(C1482),"")</f>
        <v>7</v>
      </c>
    </row>
    <row r="1483" customFormat="false" ht="15" hidden="false" customHeight="false" outlineLevel="0" collapsed="false">
      <c r="A1483" s="13" t="str">
        <f aca="false">TRIM(Raw_Data!A1483)</f>
        <v>EMP1482</v>
      </c>
      <c r="B1483" s="14" t="n">
        <f aca="false">Raw_Data!B1483</f>
        <v>44989</v>
      </c>
      <c r="C1483" s="14" t="str">
        <f aca="false">IF(Raw_Data!C1483="","",Raw_Data!C1483)</f>
        <v/>
      </c>
      <c r="D1483" s="13" t="n">
        <f aca="false">IF(Raw_Data!D1483="","",Raw_Data!D1483)</f>
        <v>24</v>
      </c>
      <c r="E1483" s="13" t="str">
        <f aca="false">IF(UPPER(LEFT(TRIM(Raw_Data!E1483),1))="M","Male",IF(UPPER(LEFT(TRIM(Raw_Data!E1483),1))="F","Female","Unknown"))</f>
        <v>Female</v>
      </c>
      <c r="F1483" s="13" t="str">
        <f aca="false">PROPER(TRIM(SUBSTITUTE(Raw_Data!F1483,"'","")))</f>
        <v>Diploma</v>
      </c>
      <c r="G1483" s="13" t="str">
        <f aca="false">PROPER(TRIM(Raw_Data!G1483))</f>
        <v>Customer Support</v>
      </c>
      <c r="H1483" s="13" t="str">
        <f aca="false">PROPER(TRIM(Raw_Data!H1483))</f>
        <v>Analyst</v>
      </c>
      <c r="I1483" s="13" t="n">
        <f aca="false">IF(Raw_Data!I1483="",DefaultPerf,Raw_Data!I1483)</f>
        <v>4</v>
      </c>
      <c r="J1483" s="13" t="n">
        <f aca="false">IF(Raw_Data!J1483="",DefaultSat,Raw_Data!J1483)</f>
        <v>3</v>
      </c>
      <c r="K1483" s="15" t="n">
        <f aca="false">Raw_Data!K1483</f>
        <v>60500</v>
      </c>
      <c r="L1483" s="13" t="str">
        <f aca="false">PROPER(TRIM(Raw_Data!N1483))</f>
        <v>Yes</v>
      </c>
      <c r="M1483" s="13" t="n">
        <f aca="false">IF(C1483="",0,1)</f>
        <v>0</v>
      </c>
      <c r="N1483" s="13" t="str">
        <f aca="false">IF(M1483=0,"Active",IF(TRIM(Raw_Data!L1483)="","Unknown",PROPER(TRIM(Raw_Data!L1483))))</f>
        <v>Active</v>
      </c>
      <c r="O1483" s="13" t="str">
        <f aca="false">IF(M1483=0,"",IF(TRIM(Raw_Data!M1483)="","Not Recorded",TRIM(Raw_Data!M1483)))</f>
        <v/>
      </c>
      <c r="P1483" s="16" t="n">
        <f aca="false">ROUND((IF(C1483="",AsOfDate,C1483)-B1483)/365.25,2)</f>
        <v>2.83</v>
      </c>
      <c r="Q1483" s="13" t="str">
        <f aca="false">IF(D1483="","Unknown",IF(D1483&lt;25,"Under 25",IF(D1483&lt;35,"25-34",IF(D1483&lt;45,"35-44",IF(D1483&lt;55,"45-54","55+")))))</f>
        <v>Under 25</v>
      </c>
      <c r="R1483" s="13" t="str">
        <f aca="false">IF(P1483&lt;1,"0-1 yrs",IF(P1483&lt;3,"1-3 yrs",IF(P1483&lt;5,"3-5 yrs",IF(P1483&lt;10,"5-10 yrs","10+ yrs"))))</f>
        <v>1-3 yrs</v>
      </c>
      <c r="S1483" s="13" t="str">
        <f aca="false">IF(I1483&gt;=4,"High",IF(I1483=3,"Medium","Low"))</f>
        <v>High</v>
      </c>
      <c r="T1483" s="13" t="str">
        <f aca="false">IF(M1483=1,YEAR(C1483),"")</f>
        <v/>
      </c>
      <c r="U1483" s="13" t="str">
        <f aca="false">IF(M1483=1,YEAR(C1483)&amp;"-Q"&amp;ROUNDUP(MONTH(C1483)/3,0),"")</f>
        <v/>
      </c>
      <c r="V1483" s="13" t="str">
        <f aca="false">IF(M1483=1,MONTH(C1483),"")</f>
        <v/>
      </c>
    </row>
    <row r="1484" customFormat="false" ht="15" hidden="false" customHeight="false" outlineLevel="0" collapsed="false">
      <c r="A1484" s="13" t="str">
        <f aca="false">TRIM(Raw_Data!A1484)</f>
        <v>EMP1483</v>
      </c>
      <c r="B1484" s="14" t="n">
        <f aca="false">Raw_Data!B1484</f>
        <v>44990</v>
      </c>
      <c r="C1484" s="14" t="str">
        <f aca="false">IF(Raw_Data!C1484="","",Raw_Data!C1484)</f>
        <v/>
      </c>
      <c r="D1484" s="13" t="n">
        <f aca="false">IF(Raw_Data!D1484="","",Raw_Data!D1484)</f>
        <v>28</v>
      </c>
      <c r="E1484" s="13" t="str">
        <f aca="false">IF(UPPER(LEFT(TRIM(Raw_Data!E1484),1))="M","Male",IF(UPPER(LEFT(TRIM(Raw_Data!E1484),1))="F","Female","Unknown"))</f>
        <v>Female</v>
      </c>
      <c r="F1484" s="13" t="str">
        <f aca="false">PROPER(TRIM(SUBSTITUTE(Raw_Data!F1484,"'","")))</f>
        <v>Masters</v>
      </c>
      <c r="G1484" s="13" t="str">
        <f aca="false">PROPER(TRIM(Raw_Data!G1484))</f>
        <v>Operations</v>
      </c>
      <c r="H1484" s="13" t="str">
        <f aca="false">PROPER(TRIM(Raw_Data!H1484))</f>
        <v>Senior Analyst</v>
      </c>
      <c r="I1484" s="13" t="n">
        <f aca="false">IF(Raw_Data!I1484="",DefaultPerf,Raw_Data!I1484)</f>
        <v>4</v>
      </c>
      <c r="J1484" s="13" t="n">
        <f aca="false">IF(Raw_Data!J1484="",DefaultSat,Raw_Data!J1484)</f>
        <v>3</v>
      </c>
      <c r="K1484" s="15" t="n">
        <f aca="false">Raw_Data!K1484</f>
        <v>113500</v>
      </c>
      <c r="L1484" s="13" t="str">
        <f aca="false">PROPER(TRIM(Raw_Data!N1484))</f>
        <v>No</v>
      </c>
      <c r="M1484" s="13" t="n">
        <f aca="false">IF(C1484="",0,1)</f>
        <v>0</v>
      </c>
      <c r="N1484" s="13" t="str">
        <f aca="false">IF(M1484=0,"Active",IF(TRIM(Raw_Data!L1484)="","Unknown",PROPER(TRIM(Raw_Data!L1484))))</f>
        <v>Active</v>
      </c>
      <c r="O1484" s="13" t="str">
        <f aca="false">IF(M1484=0,"",IF(TRIM(Raw_Data!M1484)="","Not Recorded",TRIM(Raw_Data!M1484)))</f>
        <v/>
      </c>
      <c r="P1484" s="16" t="n">
        <f aca="false">ROUND((IF(C1484="",AsOfDate,C1484)-B1484)/365.25,2)</f>
        <v>2.83</v>
      </c>
      <c r="Q1484" s="13" t="str">
        <f aca="false">IF(D1484="","Unknown",IF(D1484&lt;25,"Under 25",IF(D1484&lt;35,"25-34",IF(D1484&lt;45,"35-44",IF(D1484&lt;55,"45-54","55+")))))</f>
        <v>25-34</v>
      </c>
      <c r="R1484" s="13" t="str">
        <f aca="false">IF(P1484&lt;1,"0-1 yrs",IF(P1484&lt;3,"1-3 yrs",IF(P1484&lt;5,"3-5 yrs",IF(P1484&lt;10,"5-10 yrs","10+ yrs"))))</f>
        <v>1-3 yrs</v>
      </c>
      <c r="S1484" s="13" t="str">
        <f aca="false">IF(I1484&gt;=4,"High",IF(I1484=3,"Medium","Low"))</f>
        <v>High</v>
      </c>
      <c r="T1484" s="13" t="str">
        <f aca="false">IF(M1484=1,YEAR(C1484),"")</f>
        <v/>
      </c>
      <c r="U1484" s="13" t="str">
        <f aca="false">IF(M1484=1,YEAR(C1484)&amp;"-Q"&amp;ROUNDUP(MONTH(C1484)/3,0),"")</f>
        <v/>
      </c>
      <c r="V1484" s="13" t="str">
        <f aca="false">IF(M1484=1,MONTH(C1484),"")</f>
        <v/>
      </c>
    </row>
    <row r="1485" customFormat="false" ht="15" hidden="false" customHeight="false" outlineLevel="0" collapsed="false">
      <c r="A1485" s="13" t="str">
        <f aca="false">TRIM(Raw_Data!A1485)</f>
        <v>EMP1484</v>
      </c>
      <c r="B1485" s="14" t="n">
        <f aca="false">Raw_Data!B1485</f>
        <v>44992</v>
      </c>
      <c r="C1485" s="14" t="str">
        <f aca="false">IF(Raw_Data!C1485="","",Raw_Data!C1485)</f>
        <v/>
      </c>
      <c r="D1485" s="13" t="n">
        <f aca="false">IF(Raw_Data!D1485="","",Raw_Data!D1485)</f>
        <v>29</v>
      </c>
      <c r="E1485" s="13" t="str">
        <f aca="false">IF(UPPER(LEFT(TRIM(Raw_Data!E1485),1))="M","Male",IF(UPPER(LEFT(TRIM(Raw_Data!E1485),1))="F","Female","Unknown"))</f>
        <v>Female</v>
      </c>
      <c r="F1485" s="13" t="str">
        <f aca="false">PROPER(TRIM(SUBSTITUTE(Raw_Data!F1485,"'","")))</f>
        <v>Bachelors</v>
      </c>
      <c r="G1485" s="13" t="str">
        <f aca="false">PROPER(TRIM(Raw_Data!G1485))</f>
        <v>Operations</v>
      </c>
      <c r="H1485" s="13" t="str">
        <f aca="false">PROPER(TRIM(Raw_Data!H1485))</f>
        <v>Team Lead</v>
      </c>
      <c r="I1485" s="13" t="n">
        <f aca="false">IF(Raw_Data!I1485="",DefaultPerf,Raw_Data!I1485)</f>
        <v>3</v>
      </c>
      <c r="J1485" s="13" t="n">
        <f aca="false">IF(Raw_Data!J1485="",DefaultSat,Raw_Data!J1485)</f>
        <v>3</v>
      </c>
      <c r="K1485" s="15" t="n">
        <f aca="false">Raw_Data!K1485</f>
        <v>149500</v>
      </c>
      <c r="L1485" s="13" t="str">
        <f aca="false">PROPER(TRIM(Raw_Data!N1485))</f>
        <v>No</v>
      </c>
      <c r="M1485" s="13" t="n">
        <f aca="false">IF(C1485="",0,1)</f>
        <v>0</v>
      </c>
      <c r="N1485" s="13" t="str">
        <f aca="false">IF(M1485=0,"Active",IF(TRIM(Raw_Data!L1485)="","Unknown",PROPER(TRIM(Raw_Data!L1485))))</f>
        <v>Active</v>
      </c>
      <c r="O1485" s="13" t="str">
        <f aca="false">IF(M1485=0,"",IF(TRIM(Raw_Data!M1485)="","Not Recorded",TRIM(Raw_Data!M1485)))</f>
        <v/>
      </c>
      <c r="P1485" s="16" t="n">
        <f aca="false">ROUND((IF(C1485="",AsOfDate,C1485)-B1485)/365.25,2)</f>
        <v>2.82</v>
      </c>
      <c r="Q1485" s="13" t="str">
        <f aca="false">IF(D1485="","Unknown",IF(D1485&lt;25,"Under 25",IF(D1485&lt;35,"25-34",IF(D1485&lt;45,"35-44",IF(D1485&lt;55,"45-54","55+")))))</f>
        <v>25-34</v>
      </c>
      <c r="R1485" s="13" t="str">
        <f aca="false">IF(P1485&lt;1,"0-1 yrs",IF(P1485&lt;3,"1-3 yrs",IF(P1485&lt;5,"3-5 yrs",IF(P1485&lt;10,"5-10 yrs","10+ yrs"))))</f>
        <v>1-3 yrs</v>
      </c>
      <c r="S1485" s="13" t="str">
        <f aca="false">IF(I1485&gt;=4,"High",IF(I1485=3,"Medium","Low"))</f>
        <v>Medium</v>
      </c>
      <c r="T1485" s="13" t="str">
        <f aca="false">IF(M1485=1,YEAR(C1485),"")</f>
        <v/>
      </c>
      <c r="U1485" s="13" t="str">
        <f aca="false">IF(M1485=1,YEAR(C1485)&amp;"-Q"&amp;ROUNDUP(MONTH(C1485)/3,0),"")</f>
        <v/>
      </c>
      <c r="V1485" s="13" t="str">
        <f aca="false">IF(M1485=1,MONTH(C1485),"")</f>
        <v/>
      </c>
    </row>
    <row r="1486" customFormat="false" ht="15" hidden="false" customHeight="false" outlineLevel="0" collapsed="false">
      <c r="A1486" s="13" t="str">
        <f aca="false">TRIM(Raw_Data!A1486)</f>
        <v>EMP1485</v>
      </c>
      <c r="B1486" s="14" t="n">
        <f aca="false">Raw_Data!B1486</f>
        <v>44993</v>
      </c>
      <c r="C1486" s="14" t="n">
        <f aca="false">IF(Raw_Data!C1486="","",Raw_Data!C1486)</f>
        <v>45196</v>
      </c>
      <c r="D1486" s="13" t="n">
        <f aca="false">IF(Raw_Data!D1486="","",Raw_Data!D1486)</f>
        <v>26</v>
      </c>
      <c r="E1486" s="13" t="str">
        <f aca="false">IF(UPPER(LEFT(TRIM(Raw_Data!E1486),1))="M","Male",IF(UPPER(LEFT(TRIM(Raw_Data!E1486),1))="F","Female","Unknown"))</f>
        <v>Female</v>
      </c>
      <c r="F1486" s="13" t="str">
        <f aca="false">PROPER(TRIM(SUBSTITUTE(Raw_Data!F1486,"'","")))</f>
        <v>High School</v>
      </c>
      <c r="G1486" s="13" t="str">
        <f aca="false">PROPER(TRIM(Raw_Data!G1486))</f>
        <v>Customer Support</v>
      </c>
      <c r="H1486" s="13" t="str">
        <f aca="false">PROPER(TRIM(Raw_Data!H1486))</f>
        <v>Manager</v>
      </c>
      <c r="I1486" s="13" t="n">
        <f aca="false">IF(Raw_Data!I1486="",DefaultPerf,Raw_Data!I1486)</f>
        <v>2</v>
      </c>
      <c r="J1486" s="13" t="n">
        <f aca="false">IF(Raw_Data!J1486="",DefaultSat,Raw_Data!J1486)</f>
        <v>1</v>
      </c>
      <c r="K1486" s="15" t="n">
        <f aca="false">Raw_Data!K1486</f>
        <v>180500</v>
      </c>
      <c r="L1486" s="13" t="str">
        <f aca="false">PROPER(TRIM(Raw_Data!N1486))</f>
        <v>Yes</v>
      </c>
      <c r="M1486" s="13" t="n">
        <f aca="false">IF(C1486="",0,1)</f>
        <v>1</v>
      </c>
      <c r="N1486" s="13" t="str">
        <f aca="false">IF(M1486=0,"Active",IF(TRIM(Raw_Data!L1486)="","Unknown",PROPER(TRIM(Raw_Data!L1486))))</f>
        <v>Involuntary</v>
      </c>
      <c r="O1486" s="13" t="str">
        <f aca="false">IF(M1486=0,"",IF(TRIM(Raw_Data!M1486)="","Not Recorded",TRIM(Raw_Data!M1486)))</f>
        <v>Restructuring / Layoff</v>
      </c>
      <c r="P1486" s="16" t="n">
        <f aca="false">ROUND((IF(C1486="",AsOfDate,C1486)-B1486)/365.25,2)</f>
        <v>0.56</v>
      </c>
      <c r="Q1486" s="13" t="str">
        <f aca="false">IF(D1486="","Unknown",IF(D1486&lt;25,"Under 25",IF(D1486&lt;35,"25-34",IF(D1486&lt;45,"35-44",IF(D1486&lt;55,"45-54","55+")))))</f>
        <v>25-34</v>
      </c>
      <c r="R1486" s="13" t="str">
        <f aca="false">IF(P1486&lt;1,"0-1 yrs",IF(P1486&lt;3,"1-3 yrs",IF(P1486&lt;5,"3-5 yrs",IF(P1486&lt;10,"5-10 yrs","10+ yrs"))))</f>
        <v>0-1 yrs</v>
      </c>
      <c r="S1486" s="13" t="str">
        <f aca="false">IF(I1486&gt;=4,"High",IF(I1486=3,"Medium","Low"))</f>
        <v>Low</v>
      </c>
      <c r="T1486" s="13" t="n">
        <f aca="false">IF(M1486=1,YEAR(C1486),"")</f>
        <v>2023</v>
      </c>
      <c r="U1486" s="13" t="str">
        <f aca="false">IF(M1486=1,YEAR(C1486)&amp;"-Q"&amp;ROUNDUP(MONTH(C1486)/3,0),"")</f>
        <v>2023-Q3</v>
      </c>
      <c r="V1486" s="13" t="n">
        <f aca="false">IF(M1486=1,MONTH(C1486),"")</f>
        <v>9</v>
      </c>
    </row>
    <row r="1487" customFormat="false" ht="15" hidden="false" customHeight="false" outlineLevel="0" collapsed="false">
      <c r="A1487" s="13" t="str">
        <f aca="false">TRIM(Raw_Data!A1487)</f>
        <v>EMP1486</v>
      </c>
      <c r="B1487" s="14" t="n">
        <f aca="false">Raw_Data!B1487</f>
        <v>44997</v>
      </c>
      <c r="C1487" s="14" t="n">
        <f aca="false">IF(Raw_Data!C1487="","",Raw_Data!C1487)</f>
        <v>45336</v>
      </c>
      <c r="D1487" s="13" t="n">
        <f aca="false">IF(Raw_Data!D1487="","",Raw_Data!D1487)</f>
        <v>22</v>
      </c>
      <c r="E1487" s="13" t="str">
        <f aca="false">IF(UPPER(LEFT(TRIM(Raw_Data!E1487),1))="M","Male",IF(UPPER(LEFT(TRIM(Raw_Data!E1487),1))="F","Female","Unknown"))</f>
        <v>Female</v>
      </c>
      <c r="F1487" s="13" t="str">
        <f aca="false">PROPER(TRIM(SUBSTITUTE(Raw_Data!F1487,"'","")))</f>
        <v>Bachelors</v>
      </c>
      <c r="G1487" s="13" t="str">
        <f aca="false">PROPER(TRIM(Raw_Data!G1487))</f>
        <v>Customer Support</v>
      </c>
      <c r="H1487" s="13" t="str">
        <f aca="false">PROPER(TRIM(Raw_Data!H1487))</f>
        <v>Senior Analyst</v>
      </c>
      <c r="I1487" s="13" t="n">
        <f aca="false">IF(Raw_Data!I1487="",DefaultPerf,Raw_Data!I1487)</f>
        <v>5</v>
      </c>
      <c r="J1487" s="13" t="n">
        <f aca="false">IF(Raw_Data!J1487="",DefaultSat,Raw_Data!J1487)</f>
        <v>2</v>
      </c>
      <c r="K1487" s="15" t="n">
        <f aca="false">Raw_Data!K1487</f>
        <v>97000</v>
      </c>
      <c r="L1487" s="13" t="str">
        <f aca="false">PROPER(TRIM(Raw_Data!N1487))</f>
        <v>No</v>
      </c>
      <c r="M1487" s="13" t="n">
        <f aca="false">IF(C1487="",0,1)</f>
        <v>1</v>
      </c>
      <c r="N1487" s="13" t="str">
        <f aca="false">IF(M1487=0,"Active",IF(TRIM(Raw_Data!L1487)="","Unknown",PROPER(TRIM(Raw_Data!L1487))))</f>
        <v>Voluntary</v>
      </c>
      <c r="O1487" s="13" t="str">
        <f aca="false">IF(M1487=0,"",IF(TRIM(Raw_Data!M1487)="","Not Recorded",TRIM(Raw_Data!M1487)))</f>
        <v>Better Compensation</v>
      </c>
      <c r="P1487" s="16" t="n">
        <f aca="false">ROUND((IF(C1487="",AsOfDate,C1487)-B1487)/365.25,2)</f>
        <v>0.93</v>
      </c>
      <c r="Q1487" s="13" t="str">
        <f aca="false">IF(D1487="","Unknown",IF(D1487&lt;25,"Under 25",IF(D1487&lt;35,"25-34",IF(D1487&lt;45,"35-44",IF(D1487&lt;55,"45-54","55+")))))</f>
        <v>Under 25</v>
      </c>
      <c r="R1487" s="13" t="str">
        <f aca="false">IF(P1487&lt;1,"0-1 yrs",IF(P1487&lt;3,"1-3 yrs",IF(P1487&lt;5,"3-5 yrs",IF(P1487&lt;10,"5-10 yrs","10+ yrs"))))</f>
        <v>0-1 yrs</v>
      </c>
      <c r="S1487" s="13" t="str">
        <f aca="false">IF(I1487&gt;=4,"High",IF(I1487=3,"Medium","Low"))</f>
        <v>High</v>
      </c>
      <c r="T1487" s="13" t="n">
        <f aca="false">IF(M1487=1,YEAR(C1487),"")</f>
        <v>2024</v>
      </c>
      <c r="U1487" s="13" t="str">
        <f aca="false">IF(M1487=1,YEAR(C1487)&amp;"-Q"&amp;ROUNDUP(MONTH(C1487)/3,0),"")</f>
        <v>2024-Q1</v>
      </c>
      <c r="V1487" s="13" t="n">
        <f aca="false">IF(M1487=1,MONTH(C1487),"")</f>
        <v>2</v>
      </c>
    </row>
    <row r="1488" customFormat="false" ht="15" hidden="false" customHeight="false" outlineLevel="0" collapsed="false">
      <c r="A1488" s="13" t="str">
        <f aca="false">TRIM(Raw_Data!A1488)</f>
        <v>EMP1487</v>
      </c>
      <c r="B1488" s="14" t="n">
        <f aca="false">Raw_Data!B1488</f>
        <v>44997</v>
      </c>
      <c r="C1488" s="14" t="str">
        <f aca="false">IF(Raw_Data!C1488="","",Raw_Data!C1488)</f>
        <v/>
      </c>
      <c r="D1488" s="13" t="n">
        <f aca="false">IF(Raw_Data!D1488="","",Raw_Data!D1488)</f>
        <v>34</v>
      </c>
      <c r="E1488" s="13" t="str">
        <f aca="false">IF(UPPER(LEFT(TRIM(Raw_Data!E1488),1))="M","Male",IF(UPPER(LEFT(TRIM(Raw_Data!E1488),1))="F","Female","Unknown"))</f>
        <v>Male</v>
      </c>
      <c r="F1488" s="13" t="str">
        <f aca="false">PROPER(TRIM(SUBSTITUTE(Raw_Data!F1488,"'","")))</f>
        <v>Bachelors</v>
      </c>
      <c r="G1488" s="13" t="str">
        <f aca="false">PROPER(TRIM(Raw_Data!G1488))</f>
        <v>Engineering</v>
      </c>
      <c r="H1488" s="13" t="str">
        <f aca="false">PROPER(TRIM(Raw_Data!H1488))</f>
        <v>Team Lead</v>
      </c>
      <c r="I1488" s="13" t="n">
        <f aca="false">IF(Raw_Data!I1488="",DefaultPerf,Raw_Data!I1488)</f>
        <v>2</v>
      </c>
      <c r="J1488" s="13" t="n">
        <f aca="false">IF(Raw_Data!J1488="",DefaultSat,Raw_Data!J1488)</f>
        <v>3</v>
      </c>
      <c r="K1488" s="15" t="n">
        <f aca="false">Raw_Data!K1488</f>
        <v>140000</v>
      </c>
      <c r="L1488" s="13" t="str">
        <f aca="false">PROPER(TRIM(Raw_Data!N1488))</f>
        <v>No</v>
      </c>
      <c r="M1488" s="13" t="n">
        <f aca="false">IF(C1488="",0,1)</f>
        <v>0</v>
      </c>
      <c r="N1488" s="13" t="str">
        <f aca="false">IF(M1488=0,"Active",IF(TRIM(Raw_Data!L1488)="","Unknown",PROPER(TRIM(Raw_Data!L1488))))</f>
        <v>Active</v>
      </c>
      <c r="O1488" s="13" t="str">
        <f aca="false">IF(M1488=0,"",IF(TRIM(Raw_Data!M1488)="","Not Recorded",TRIM(Raw_Data!M1488)))</f>
        <v/>
      </c>
      <c r="P1488" s="16" t="n">
        <f aca="false">ROUND((IF(C1488="",AsOfDate,C1488)-B1488)/365.25,2)</f>
        <v>2.81</v>
      </c>
      <c r="Q1488" s="13" t="str">
        <f aca="false">IF(D1488="","Unknown",IF(D1488&lt;25,"Under 25",IF(D1488&lt;35,"25-34",IF(D1488&lt;45,"35-44",IF(D1488&lt;55,"45-54","55+")))))</f>
        <v>25-34</v>
      </c>
      <c r="R1488" s="13" t="str">
        <f aca="false">IF(P1488&lt;1,"0-1 yrs",IF(P1488&lt;3,"1-3 yrs",IF(P1488&lt;5,"3-5 yrs",IF(P1488&lt;10,"5-10 yrs","10+ yrs"))))</f>
        <v>1-3 yrs</v>
      </c>
      <c r="S1488" s="13" t="str">
        <f aca="false">IF(I1488&gt;=4,"High",IF(I1488=3,"Medium","Low"))</f>
        <v>Low</v>
      </c>
      <c r="T1488" s="13" t="str">
        <f aca="false">IF(M1488=1,YEAR(C1488),"")</f>
        <v/>
      </c>
      <c r="U1488" s="13" t="str">
        <f aca="false">IF(M1488=1,YEAR(C1488)&amp;"-Q"&amp;ROUNDUP(MONTH(C1488)/3,0),"")</f>
        <v/>
      </c>
      <c r="V1488" s="13" t="str">
        <f aca="false">IF(M1488=1,MONTH(C1488),"")</f>
        <v/>
      </c>
    </row>
    <row r="1489" customFormat="false" ht="15" hidden="false" customHeight="false" outlineLevel="0" collapsed="false">
      <c r="A1489" s="13" t="str">
        <f aca="false">TRIM(Raw_Data!A1489)</f>
        <v>EMP1488</v>
      </c>
      <c r="B1489" s="14" t="n">
        <f aca="false">Raw_Data!B1489</f>
        <v>45001</v>
      </c>
      <c r="C1489" s="14" t="str">
        <f aca="false">IF(Raw_Data!C1489="","",Raw_Data!C1489)</f>
        <v/>
      </c>
      <c r="D1489" s="13" t="n">
        <f aca="false">IF(Raw_Data!D1489="","",Raw_Data!D1489)</f>
        <v>34</v>
      </c>
      <c r="E1489" s="13" t="str">
        <f aca="false">IF(UPPER(LEFT(TRIM(Raw_Data!E1489),1))="M","Male",IF(UPPER(LEFT(TRIM(Raw_Data!E1489),1))="F","Female","Unknown"))</f>
        <v>Female</v>
      </c>
      <c r="F1489" s="13" t="str">
        <f aca="false">PROPER(TRIM(SUBSTITUTE(Raw_Data!F1489,"'","")))</f>
        <v>Bachelors</v>
      </c>
      <c r="G1489" s="13" t="str">
        <f aca="false">PROPER(TRIM(Raw_Data!G1489))</f>
        <v>Engineering</v>
      </c>
      <c r="H1489" s="13" t="str">
        <f aca="false">PROPER(TRIM(Raw_Data!H1489))</f>
        <v>Analyst</v>
      </c>
      <c r="I1489" s="13" t="n">
        <f aca="false">IF(Raw_Data!I1489="",DefaultPerf,Raw_Data!I1489)</f>
        <v>3</v>
      </c>
      <c r="J1489" s="13" t="n">
        <f aca="false">IF(Raw_Data!J1489="",DefaultSat,Raw_Data!J1489)</f>
        <v>2</v>
      </c>
      <c r="K1489" s="15" t="n">
        <f aca="false">Raw_Data!K1489</f>
        <v>64500</v>
      </c>
      <c r="L1489" s="13" t="str">
        <f aca="false">PROPER(TRIM(Raw_Data!N1489))</f>
        <v>No</v>
      </c>
      <c r="M1489" s="13" t="n">
        <f aca="false">IF(C1489="",0,1)</f>
        <v>0</v>
      </c>
      <c r="N1489" s="13" t="str">
        <f aca="false">IF(M1489=0,"Active",IF(TRIM(Raw_Data!L1489)="","Unknown",PROPER(TRIM(Raw_Data!L1489))))</f>
        <v>Active</v>
      </c>
      <c r="O1489" s="13" t="str">
        <f aca="false">IF(M1489=0,"",IF(TRIM(Raw_Data!M1489)="","Not Recorded",TRIM(Raw_Data!M1489)))</f>
        <v/>
      </c>
      <c r="P1489" s="16" t="n">
        <f aca="false">ROUND((IF(C1489="",AsOfDate,C1489)-B1489)/365.25,2)</f>
        <v>2.8</v>
      </c>
      <c r="Q1489" s="13" t="str">
        <f aca="false">IF(D1489="","Unknown",IF(D1489&lt;25,"Under 25",IF(D1489&lt;35,"25-34",IF(D1489&lt;45,"35-44",IF(D1489&lt;55,"45-54","55+")))))</f>
        <v>25-34</v>
      </c>
      <c r="R1489" s="13" t="str">
        <f aca="false">IF(P1489&lt;1,"0-1 yrs",IF(P1489&lt;3,"1-3 yrs",IF(P1489&lt;5,"3-5 yrs",IF(P1489&lt;10,"5-10 yrs","10+ yrs"))))</f>
        <v>1-3 yrs</v>
      </c>
      <c r="S1489" s="13" t="str">
        <f aca="false">IF(I1489&gt;=4,"High",IF(I1489=3,"Medium","Low"))</f>
        <v>Medium</v>
      </c>
      <c r="T1489" s="13" t="str">
        <f aca="false">IF(M1489=1,YEAR(C1489),"")</f>
        <v/>
      </c>
      <c r="U1489" s="13" t="str">
        <f aca="false">IF(M1489=1,YEAR(C1489)&amp;"-Q"&amp;ROUNDUP(MONTH(C1489)/3,0),"")</f>
        <v/>
      </c>
      <c r="V1489" s="13" t="str">
        <f aca="false">IF(M1489=1,MONTH(C1489),"")</f>
        <v/>
      </c>
    </row>
    <row r="1490" customFormat="false" ht="15" hidden="false" customHeight="false" outlineLevel="0" collapsed="false">
      <c r="A1490" s="13" t="str">
        <f aca="false">TRIM(Raw_Data!A1490)</f>
        <v>EMP1489</v>
      </c>
      <c r="B1490" s="14" t="n">
        <f aca="false">Raw_Data!B1490</f>
        <v>45009</v>
      </c>
      <c r="C1490" s="14" t="n">
        <f aca="false">IF(Raw_Data!C1490="","",Raw_Data!C1490)</f>
        <v>45825</v>
      </c>
      <c r="D1490" s="13" t="n">
        <f aca="false">IF(Raw_Data!D1490="","",Raw_Data!D1490)</f>
        <v>27</v>
      </c>
      <c r="E1490" s="13" t="str">
        <f aca="false">IF(UPPER(LEFT(TRIM(Raw_Data!E1490),1))="M","Male",IF(UPPER(LEFT(TRIM(Raw_Data!E1490),1))="F","Female","Unknown"))</f>
        <v>Male</v>
      </c>
      <c r="F1490" s="13" t="str">
        <f aca="false">PROPER(TRIM(SUBSTITUTE(Raw_Data!F1490,"'","")))</f>
        <v>Masters</v>
      </c>
      <c r="G1490" s="13" t="str">
        <f aca="false">PROPER(TRIM(Raw_Data!G1490))</f>
        <v>Sales</v>
      </c>
      <c r="H1490" s="13" t="str">
        <f aca="false">PROPER(TRIM(Raw_Data!H1490))</f>
        <v>Specialist</v>
      </c>
      <c r="I1490" s="13" t="n">
        <f aca="false">IF(Raw_Data!I1490="",DefaultPerf,Raw_Data!I1490)</f>
        <v>4</v>
      </c>
      <c r="J1490" s="13" t="n">
        <f aca="false">IF(Raw_Data!J1490="",DefaultSat,Raw_Data!J1490)</f>
        <v>4</v>
      </c>
      <c r="K1490" s="15" t="n">
        <f aca="false">Raw_Data!K1490</f>
        <v>96000</v>
      </c>
      <c r="L1490" s="13" t="str">
        <f aca="false">PROPER(TRIM(Raw_Data!N1490))</f>
        <v>Yes</v>
      </c>
      <c r="M1490" s="13" t="n">
        <f aca="false">IF(C1490="",0,1)</f>
        <v>1</v>
      </c>
      <c r="N1490" s="13" t="str">
        <f aca="false">IF(M1490=0,"Active",IF(TRIM(Raw_Data!L1490)="","Unknown",PROPER(TRIM(Raw_Data!L1490))))</f>
        <v>Voluntary</v>
      </c>
      <c r="O1490" s="13" t="str">
        <f aca="false">IF(M1490=0,"",IF(TRIM(Raw_Data!M1490)="","Not Recorded",TRIM(Raw_Data!M1490)))</f>
        <v>Career Growth</v>
      </c>
      <c r="P1490" s="16" t="n">
        <f aca="false">ROUND((IF(C1490="",AsOfDate,C1490)-B1490)/365.25,2)</f>
        <v>2.23</v>
      </c>
      <c r="Q1490" s="13" t="str">
        <f aca="false">IF(D1490="","Unknown",IF(D1490&lt;25,"Under 25",IF(D1490&lt;35,"25-34",IF(D1490&lt;45,"35-44",IF(D1490&lt;55,"45-54","55+")))))</f>
        <v>25-34</v>
      </c>
      <c r="R1490" s="13" t="str">
        <f aca="false">IF(P1490&lt;1,"0-1 yrs",IF(P1490&lt;3,"1-3 yrs",IF(P1490&lt;5,"3-5 yrs",IF(P1490&lt;10,"5-10 yrs","10+ yrs"))))</f>
        <v>1-3 yrs</v>
      </c>
      <c r="S1490" s="13" t="str">
        <f aca="false">IF(I1490&gt;=4,"High",IF(I1490=3,"Medium","Low"))</f>
        <v>High</v>
      </c>
      <c r="T1490" s="13" t="n">
        <f aca="false">IF(M1490=1,YEAR(C1490),"")</f>
        <v>2025</v>
      </c>
      <c r="U1490" s="13" t="str">
        <f aca="false">IF(M1490=1,YEAR(C1490)&amp;"-Q"&amp;ROUNDUP(MONTH(C1490)/3,0),"")</f>
        <v>2025-Q2</v>
      </c>
      <c r="V1490" s="13" t="n">
        <f aca="false">IF(M1490=1,MONTH(C1490),"")</f>
        <v>6</v>
      </c>
    </row>
    <row r="1491" customFormat="false" ht="15" hidden="false" customHeight="false" outlineLevel="0" collapsed="false">
      <c r="A1491" s="13" t="str">
        <f aca="false">TRIM(Raw_Data!A1491)</f>
        <v>EMP1490</v>
      </c>
      <c r="B1491" s="14" t="n">
        <f aca="false">Raw_Data!B1491</f>
        <v>45010</v>
      </c>
      <c r="C1491" s="14" t="str">
        <f aca="false">IF(Raw_Data!C1491="","",Raw_Data!C1491)</f>
        <v/>
      </c>
      <c r="D1491" s="13" t="n">
        <f aca="false">IF(Raw_Data!D1491="","",Raw_Data!D1491)</f>
        <v>36</v>
      </c>
      <c r="E1491" s="13" t="str">
        <f aca="false">IF(UPPER(LEFT(TRIM(Raw_Data!E1491),1))="M","Male",IF(UPPER(LEFT(TRIM(Raw_Data!E1491),1))="F","Female","Unknown"))</f>
        <v>Female</v>
      </c>
      <c r="F1491" s="13" t="str">
        <f aca="false">PROPER(TRIM(SUBSTITUTE(Raw_Data!F1491,"'","")))</f>
        <v>Bachelors</v>
      </c>
      <c r="G1491" s="13" t="str">
        <f aca="false">PROPER(TRIM(Raw_Data!G1491))</f>
        <v>Engineering</v>
      </c>
      <c r="H1491" s="13" t="str">
        <f aca="false">PROPER(TRIM(Raw_Data!H1491))</f>
        <v>Team Lead</v>
      </c>
      <c r="I1491" s="13" t="n">
        <f aca="false">IF(Raw_Data!I1491="",DefaultPerf,Raw_Data!I1491)</f>
        <v>3</v>
      </c>
      <c r="J1491" s="13" t="n">
        <f aca="false">IF(Raw_Data!J1491="",DefaultSat,Raw_Data!J1491)</f>
        <v>4</v>
      </c>
      <c r="K1491" s="15" t="n">
        <f aca="false">Raw_Data!K1491</f>
        <v>132000</v>
      </c>
      <c r="L1491" s="13" t="str">
        <f aca="false">PROPER(TRIM(Raw_Data!N1491))</f>
        <v>Yes</v>
      </c>
      <c r="M1491" s="13" t="n">
        <f aca="false">IF(C1491="",0,1)</f>
        <v>0</v>
      </c>
      <c r="N1491" s="13" t="str">
        <f aca="false">IF(M1491=0,"Active",IF(TRIM(Raw_Data!L1491)="","Unknown",PROPER(TRIM(Raw_Data!L1491))))</f>
        <v>Active</v>
      </c>
      <c r="O1491" s="13" t="str">
        <f aca="false">IF(M1491=0,"",IF(TRIM(Raw_Data!M1491)="","Not Recorded",TRIM(Raw_Data!M1491)))</f>
        <v/>
      </c>
      <c r="P1491" s="16" t="n">
        <f aca="false">ROUND((IF(C1491="",AsOfDate,C1491)-B1491)/365.25,2)</f>
        <v>2.77</v>
      </c>
      <c r="Q1491" s="13" t="str">
        <f aca="false">IF(D1491="","Unknown",IF(D1491&lt;25,"Under 25",IF(D1491&lt;35,"25-34",IF(D1491&lt;45,"35-44",IF(D1491&lt;55,"45-54","55+")))))</f>
        <v>35-44</v>
      </c>
      <c r="R1491" s="13" t="str">
        <f aca="false">IF(P1491&lt;1,"0-1 yrs",IF(P1491&lt;3,"1-3 yrs",IF(P1491&lt;5,"3-5 yrs",IF(P1491&lt;10,"5-10 yrs","10+ yrs"))))</f>
        <v>1-3 yrs</v>
      </c>
      <c r="S1491" s="13" t="str">
        <f aca="false">IF(I1491&gt;=4,"High",IF(I1491=3,"Medium","Low"))</f>
        <v>Medium</v>
      </c>
      <c r="T1491" s="13" t="str">
        <f aca="false">IF(M1491=1,YEAR(C1491),"")</f>
        <v/>
      </c>
      <c r="U1491" s="13" t="str">
        <f aca="false">IF(M1491=1,YEAR(C1491)&amp;"-Q"&amp;ROUNDUP(MONTH(C1491)/3,0),"")</f>
        <v/>
      </c>
      <c r="V1491" s="13" t="str">
        <f aca="false">IF(M1491=1,MONTH(C1491),"")</f>
        <v/>
      </c>
    </row>
    <row r="1492" customFormat="false" ht="15" hidden="false" customHeight="false" outlineLevel="0" collapsed="false">
      <c r="A1492" s="13" t="str">
        <f aca="false">TRIM(Raw_Data!A1492)</f>
        <v>EMP1491</v>
      </c>
      <c r="B1492" s="14" t="n">
        <f aca="false">Raw_Data!B1492</f>
        <v>45011</v>
      </c>
      <c r="C1492" s="14" t="str">
        <f aca="false">IF(Raw_Data!C1492="","",Raw_Data!C1492)</f>
        <v/>
      </c>
      <c r="D1492" s="13" t="n">
        <f aca="false">IF(Raw_Data!D1492="","",Raw_Data!D1492)</f>
        <v>33</v>
      </c>
      <c r="E1492" s="13" t="str">
        <f aca="false">IF(UPPER(LEFT(TRIM(Raw_Data!E1492),1))="M","Male",IF(UPPER(LEFT(TRIM(Raw_Data!E1492),1))="F","Female","Unknown"))</f>
        <v>Female</v>
      </c>
      <c r="F1492" s="13" t="str">
        <f aca="false">PROPER(TRIM(SUBSTITUTE(Raw_Data!F1492,"'","")))</f>
        <v>High School</v>
      </c>
      <c r="G1492" s="13" t="str">
        <f aca="false">PROPER(TRIM(Raw_Data!G1492))</f>
        <v>Sales</v>
      </c>
      <c r="H1492" s="13" t="str">
        <f aca="false">PROPER(TRIM(Raw_Data!H1492))</f>
        <v>Specialist</v>
      </c>
      <c r="I1492" s="13" t="n">
        <f aca="false">IF(Raw_Data!I1492="",DefaultPerf,Raw_Data!I1492)</f>
        <v>3</v>
      </c>
      <c r="J1492" s="13" t="n">
        <f aca="false">IF(Raw_Data!J1492="",DefaultSat,Raw_Data!J1492)</f>
        <v>4</v>
      </c>
      <c r="K1492" s="15" t="n">
        <f aca="false">Raw_Data!K1492</f>
        <v>87500</v>
      </c>
      <c r="L1492" s="13" t="str">
        <f aca="false">PROPER(TRIM(Raw_Data!N1492))</f>
        <v>No</v>
      </c>
      <c r="M1492" s="13" t="n">
        <f aca="false">IF(C1492="",0,1)</f>
        <v>0</v>
      </c>
      <c r="N1492" s="13" t="str">
        <f aca="false">IF(M1492=0,"Active",IF(TRIM(Raw_Data!L1492)="","Unknown",PROPER(TRIM(Raw_Data!L1492))))</f>
        <v>Active</v>
      </c>
      <c r="O1492" s="13" t="str">
        <f aca="false">IF(M1492=0,"",IF(TRIM(Raw_Data!M1492)="","Not Recorded",TRIM(Raw_Data!M1492)))</f>
        <v/>
      </c>
      <c r="P1492" s="16" t="n">
        <f aca="false">ROUND((IF(C1492="",AsOfDate,C1492)-B1492)/365.25,2)</f>
        <v>2.77</v>
      </c>
      <c r="Q1492" s="13" t="str">
        <f aca="false">IF(D1492="","Unknown",IF(D1492&lt;25,"Under 25",IF(D1492&lt;35,"25-34",IF(D1492&lt;45,"35-44",IF(D1492&lt;55,"45-54","55+")))))</f>
        <v>25-34</v>
      </c>
      <c r="R1492" s="13" t="str">
        <f aca="false">IF(P1492&lt;1,"0-1 yrs",IF(P1492&lt;3,"1-3 yrs",IF(P1492&lt;5,"3-5 yrs",IF(P1492&lt;10,"5-10 yrs","10+ yrs"))))</f>
        <v>1-3 yrs</v>
      </c>
      <c r="S1492" s="13" t="str">
        <f aca="false">IF(I1492&gt;=4,"High",IF(I1492=3,"Medium","Low"))</f>
        <v>Medium</v>
      </c>
      <c r="T1492" s="13" t="str">
        <f aca="false">IF(M1492=1,YEAR(C1492),"")</f>
        <v/>
      </c>
      <c r="U1492" s="13" t="str">
        <f aca="false">IF(M1492=1,YEAR(C1492)&amp;"-Q"&amp;ROUNDUP(MONTH(C1492)/3,0),"")</f>
        <v/>
      </c>
      <c r="V1492" s="13" t="str">
        <f aca="false">IF(M1492=1,MONTH(C1492),"")</f>
        <v/>
      </c>
    </row>
    <row r="1493" customFormat="false" ht="15" hidden="false" customHeight="false" outlineLevel="0" collapsed="false">
      <c r="A1493" s="13" t="str">
        <f aca="false">TRIM(Raw_Data!A1493)</f>
        <v>EMP1492</v>
      </c>
      <c r="B1493" s="14" t="n">
        <f aca="false">Raw_Data!B1493</f>
        <v>45012</v>
      </c>
      <c r="C1493" s="14" t="n">
        <f aca="false">IF(Raw_Data!C1493="","",Raw_Data!C1493)</f>
        <v>45257</v>
      </c>
      <c r="D1493" s="13" t="n">
        <f aca="false">IF(Raw_Data!D1493="","",Raw_Data!D1493)</f>
        <v>27</v>
      </c>
      <c r="E1493" s="13" t="str">
        <f aca="false">IF(UPPER(LEFT(TRIM(Raw_Data!E1493),1))="M","Male",IF(UPPER(LEFT(TRIM(Raw_Data!E1493),1))="F","Female","Unknown"))</f>
        <v>Male</v>
      </c>
      <c r="F1493" s="13" t="str">
        <f aca="false">PROPER(TRIM(SUBSTITUTE(Raw_Data!F1493,"'","")))</f>
        <v>Bachelors</v>
      </c>
      <c r="G1493" s="13" t="str">
        <f aca="false">PROPER(TRIM(Raw_Data!G1493))</f>
        <v>Engineering</v>
      </c>
      <c r="H1493" s="13" t="str">
        <f aca="false">PROPER(TRIM(Raw_Data!H1493))</f>
        <v>Analyst</v>
      </c>
      <c r="I1493" s="13" t="n">
        <f aca="false">IF(Raw_Data!I1493="",DefaultPerf,Raw_Data!I1493)</f>
        <v>3</v>
      </c>
      <c r="J1493" s="13" t="n">
        <f aca="false">IF(Raw_Data!J1493="",DefaultSat,Raw_Data!J1493)</f>
        <v>3</v>
      </c>
      <c r="K1493" s="15" t="n">
        <f aca="false">Raw_Data!K1493</f>
        <v>66000</v>
      </c>
      <c r="L1493" s="13" t="str">
        <f aca="false">PROPER(TRIM(Raw_Data!N1493))</f>
        <v>No</v>
      </c>
      <c r="M1493" s="13" t="n">
        <f aca="false">IF(C1493="",0,1)</f>
        <v>1</v>
      </c>
      <c r="N1493" s="13" t="str">
        <f aca="false">IF(M1493=0,"Active",IF(TRIM(Raw_Data!L1493)="","Unknown",PROPER(TRIM(Raw_Data!L1493))))</f>
        <v>Voluntary</v>
      </c>
      <c r="O1493" s="13" t="str">
        <f aca="false">IF(M1493=0,"",IF(TRIM(Raw_Data!M1493)="","Not Recorded",TRIM(Raw_Data!M1493)))</f>
        <v>Better Compensation</v>
      </c>
      <c r="P1493" s="16" t="n">
        <f aca="false">ROUND((IF(C1493="",AsOfDate,C1493)-B1493)/365.25,2)</f>
        <v>0.67</v>
      </c>
      <c r="Q1493" s="13" t="str">
        <f aca="false">IF(D1493="","Unknown",IF(D1493&lt;25,"Under 25",IF(D1493&lt;35,"25-34",IF(D1493&lt;45,"35-44",IF(D1493&lt;55,"45-54","55+")))))</f>
        <v>25-34</v>
      </c>
      <c r="R1493" s="13" t="str">
        <f aca="false">IF(P1493&lt;1,"0-1 yrs",IF(P1493&lt;3,"1-3 yrs",IF(P1493&lt;5,"3-5 yrs",IF(P1493&lt;10,"5-10 yrs","10+ yrs"))))</f>
        <v>0-1 yrs</v>
      </c>
      <c r="S1493" s="13" t="str">
        <f aca="false">IF(I1493&gt;=4,"High",IF(I1493=3,"Medium","Low"))</f>
        <v>Medium</v>
      </c>
      <c r="T1493" s="13" t="n">
        <f aca="false">IF(M1493=1,YEAR(C1493),"")</f>
        <v>2023</v>
      </c>
      <c r="U1493" s="13" t="str">
        <f aca="false">IF(M1493=1,YEAR(C1493)&amp;"-Q"&amp;ROUNDUP(MONTH(C1493)/3,0),"")</f>
        <v>2023-Q4</v>
      </c>
      <c r="V1493" s="13" t="n">
        <f aca="false">IF(M1493=1,MONTH(C1493),"")</f>
        <v>11</v>
      </c>
    </row>
    <row r="1494" customFormat="false" ht="15" hidden="false" customHeight="false" outlineLevel="0" collapsed="false">
      <c r="A1494" s="13" t="str">
        <f aca="false">TRIM(Raw_Data!A1494)</f>
        <v>EMP1493</v>
      </c>
      <c r="B1494" s="14" t="n">
        <f aca="false">Raw_Data!B1494</f>
        <v>45012</v>
      </c>
      <c r="C1494" s="14" t="str">
        <f aca="false">IF(Raw_Data!C1494="","",Raw_Data!C1494)</f>
        <v/>
      </c>
      <c r="D1494" s="13" t="n">
        <f aca="false">IF(Raw_Data!D1494="","",Raw_Data!D1494)</f>
        <v>34</v>
      </c>
      <c r="E1494" s="13" t="str">
        <f aca="false">IF(UPPER(LEFT(TRIM(Raw_Data!E1494),1))="M","Male",IF(UPPER(LEFT(TRIM(Raw_Data!E1494),1))="F","Female","Unknown"))</f>
        <v>Male</v>
      </c>
      <c r="F1494" s="13" t="str">
        <f aca="false">PROPER(TRIM(SUBSTITUTE(Raw_Data!F1494,"'","")))</f>
        <v>Bachelors</v>
      </c>
      <c r="G1494" s="13" t="str">
        <f aca="false">PROPER(TRIM(Raw_Data!G1494))</f>
        <v>Engineering</v>
      </c>
      <c r="H1494" s="13" t="str">
        <f aca="false">PROPER(TRIM(Raw_Data!H1494))</f>
        <v>Specialist</v>
      </c>
      <c r="I1494" s="13" t="n">
        <f aca="false">IF(Raw_Data!I1494="",DefaultPerf,Raw_Data!I1494)</f>
        <v>2</v>
      </c>
      <c r="J1494" s="13" t="n">
        <f aca="false">IF(Raw_Data!J1494="",DefaultSat,Raw_Data!J1494)</f>
        <v>3</v>
      </c>
      <c r="K1494" s="15" t="n">
        <f aca="false">Raw_Data!K1494</f>
        <v>99000</v>
      </c>
      <c r="L1494" s="13" t="str">
        <f aca="false">PROPER(TRIM(Raw_Data!N1494))</f>
        <v>No</v>
      </c>
      <c r="M1494" s="13" t="n">
        <f aca="false">IF(C1494="",0,1)</f>
        <v>0</v>
      </c>
      <c r="N1494" s="13" t="str">
        <f aca="false">IF(M1494=0,"Active",IF(TRIM(Raw_Data!L1494)="","Unknown",PROPER(TRIM(Raw_Data!L1494))))</f>
        <v>Active</v>
      </c>
      <c r="O1494" s="13" t="str">
        <f aca="false">IF(M1494=0,"",IF(TRIM(Raw_Data!M1494)="","Not Recorded",TRIM(Raw_Data!M1494)))</f>
        <v/>
      </c>
      <c r="P1494" s="16" t="n">
        <f aca="false">ROUND((IF(C1494="",AsOfDate,C1494)-B1494)/365.25,2)</f>
        <v>2.77</v>
      </c>
      <c r="Q1494" s="13" t="str">
        <f aca="false">IF(D1494="","Unknown",IF(D1494&lt;25,"Under 25",IF(D1494&lt;35,"25-34",IF(D1494&lt;45,"35-44",IF(D1494&lt;55,"45-54","55+")))))</f>
        <v>25-34</v>
      </c>
      <c r="R1494" s="13" t="str">
        <f aca="false">IF(P1494&lt;1,"0-1 yrs",IF(P1494&lt;3,"1-3 yrs",IF(P1494&lt;5,"3-5 yrs",IF(P1494&lt;10,"5-10 yrs","10+ yrs"))))</f>
        <v>1-3 yrs</v>
      </c>
      <c r="S1494" s="13" t="str">
        <f aca="false">IF(I1494&gt;=4,"High",IF(I1494=3,"Medium","Low"))</f>
        <v>Low</v>
      </c>
      <c r="T1494" s="13" t="str">
        <f aca="false">IF(M1494=1,YEAR(C1494),"")</f>
        <v/>
      </c>
      <c r="U1494" s="13" t="str">
        <f aca="false">IF(M1494=1,YEAR(C1494)&amp;"-Q"&amp;ROUNDUP(MONTH(C1494)/3,0),"")</f>
        <v/>
      </c>
      <c r="V1494" s="13" t="str">
        <f aca="false">IF(M1494=1,MONTH(C1494),"")</f>
        <v/>
      </c>
    </row>
    <row r="1495" customFormat="false" ht="15" hidden="false" customHeight="false" outlineLevel="0" collapsed="false">
      <c r="A1495" s="13" t="str">
        <f aca="false">TRIM(Raw_Data!A1495)</f>
        <v>EMP1494</v>
      </c>
      <c r="B1495" s="14" t="n">
        <f aca="false">Raw_Data!B1495</f>
        <v>45018</v>
      </c>
      <c r="C1495" s="14" t="str">
        <f aca="false">IF(Raw_Data!C1495="","",Raw_Data!C1495)</f>
        <v/>
      </c>
      <c r="D1495" s="13" t="n">
        <f aca="false">IF(Raw_Data!D1495="","",Raw_Data!D1495)</f>
        <v>29</v>
      </c>
      <c r="E1495" s="13" t="str">
        <f aca="false">IF(UPPER(LEFT(TRIM(Raw_Data!E1495),1))="M","Male",IF(UPPER(LEFT(TRIM(Raw_Data!E1495),1))="F","Female","Unknown"))</f>
        <v>Male</v>
      </c>
      <c r="F1495" s="13" t="str">
        <f aca="false">PROPER(TRIM(SUBSTITUTE(Raw_Data!F1495,"'","")))</f>
        <v>Bachelors</v>
      </c>
      <c r="G1495" s="13" t="str">
        <f aca="false">PROPER(TRIM(Raw_Data!G1495))</f>
        <v>Engineering</v>
      </c>
      <c r="H1495" s="13" t="str">
        <f aca="false">PROPER(TRIM(Raw_Data!H1495))</f>
        <v>Specialist</v>
      </c>
      <c r="I1495" s="13" t="n">
        <f aca="false">IF(Raw_Data!I1495="",DefaultPerf,Raw_Data!I1495)</f>
        <v>3</v>
      </c>
      <c r="J1495" s="13" t="n">
        <f aca="false">IF(Raw_Data!J1495="",DefaultSat,Raw_Data!J1495)</f>
        <v>3</v>
      </c>
      <c r="K1495" s="15" t="n">
        <f aca="false">Raw_Data!K1495</f>
        <v>104500</v>
      </c>
      <c r="L1495" s="13" t="str">
        <f aca="false">PROPER(TRIM(Raw_Data!N1495))</f>
        <v>No</v>
      </c>
      <c r="M1495" s="13" t="n">
        <f aca="false">IF(C1495="",0,1)</f>
        <v>0</v>
      </c>
      <c r="N1495" s="13" t="str">
        <f aca="false">IF(M1495=0,"Active",IF(TRIM(Raw_Data!L1495)="","Unknown",PROPER(TRIM(Raw_Data!L1495))))</f>
        <v>Active</v>
      </c>
      <c r="O1495" s="13" t="str">
        <f aca="false">IF(M1495=0,"",IF(TRIM(Raw_Data!M1495)="","Not Recorded",TRIM(Raw_Data!M1495)))</f>
        <v/>
      </c>
      <c r="P1495" s="16" t="n">
        <f aca="false">ROUND((IF(C1495="",AsOfDate,C1495)-B1495)/365.25,2)</f>
        <v>2.75</v>
      </c>
      <c r="Q1495" s="13" t="str">
        <f aca="false">IF(D1495="","Unknown",IF(D1495&lt;25,"Under 25",IF(D1495&lt;35,"25-34",IF(D1495&lt;45,"35-44",IF(D1495&lt;55,"45-54","55+")))))</f>
        <v>25-34</v>
      </c>
      <c r="R1495" s="13" t="str">
        <f aca="false">IF(P1495&lt;1,"0-1 yrs",IF(P1495&lt;3,"1-3 yrs",IF(P1495&lt;5,"3-5 yrs",IF(P1495&lt;10,"5-10 yrs","10+ yrs"))))</f>
        <v>1-3 yrs</v>
      </c>
      <c r="S1495" s="13" t="str">
        <f aca="false">IF(I1495&gt;=4,"High",IF(I1495=3,"Medium","Low"))</f>
        <v>Medium</v>
      </c>
      <c r="T1495" s="13" t="str">
        <f aca="false">IF(M1495=1,YEAR(C1495),"")</f>
        <v/>
      </c>
      <c r="U1495" s="13" t="str">
        <f aca="false">IF(M1495=1,YEAR(C1495)&amp;"-Q"&amp;ROUNDUP(MONTH(C1495)/3,0),"")</f>
        <v/>
      </c>
      <c r="V1495" s="13" t="str">
        <f aca="false">IF(M1495=1,MONTH(C1495),"")</f>
        <v/>
      </c>
    </row>
    <row r="1496" customFormat="false" ht="15" hidden="false" customHeight="false" outlineLevel="0" collapsed="false">
      <c r="A1496" s="13" t="str">
        <f aca="false">TRIM(Raw_Data!A1496)</f>
        <v>EMP1495</v>
      </c>
      <c r="B1496" s="14" t="n">
        <f aca="false">Raw_Data!B1496</f>
        <v>45019</v>
      </c>
      <c r="C1496" s="14" t="str">
        <f aca="false">IF(Raw_Data!C1496="","",Raw_Data!C1496)</f>
        <v/>
      </c>
      <c r="D1496" s="13" t="n">
        <f aca="false">IF(Raw_Data!D1496="","",Raw_Data!D1496)</f>
        <v>34</v>
      </c>
      <c r="E1496" s="13" t="str">
        <f aca="false">IF(UPPER(LEFT(TRIM(Raw_Data!E1496),1))="M","Male",IF(UPPER(LEFT(TRIM(Raw_Data!E1496),1))="F","Female","Unknown"))</f>
        <v>Female</v>
      </c>
      <c r="F1496" s="13" t="str">
        <f aca="false">PROPER(TRIM(SUBSTITUTE(Raw_Data!F1496,"'","")))</f>
        <v>Diploma</v>
      </c>
      <c r="G1496" s="13" t="str">
        <f aca="false">PROPER(TRIM(Raw_Data!G1496))</f>
        <v>Finance</v>
      </c>
      <c r="H1496" s="13" t="str">
        <f aca="false">PROPER(TRIM(Raw_Data!H1496))</f>
        <v>Manager</v>
      </c>
      <c r="I1496" s="13" t="n">
        <f aca="false">IF(Raw_Data!I1496="",DefaultPerf,Raw_Data!I1496)</f>
        <v>4</v>
      </c>
      <c r="J1496" s="13" t="n">
        <f aca="false">IF(Raw_Data!J1496="",DefaultSat,Raw_Data!J1496)</f>
        <v>3</v>
      </c>
      <c r="K1496" s="15" t="n">
        <f aca="false">Raw_Data!K1496</f>
        <v>215000</v>
      </c>
      <c r="L1496" s="13" t="str">
        <f aca="false">PROPER(TRIM(Raw_Data!N1496))</f>
        <v>No</v>
      </c>
      <c r="M1496" s="13" t="n">
        <f aca="false">IF(C1496="",0,1)</f>
        <v>0</v>
      </c>
      <c r="N1496" s="13" t="str">
        <f aca="false">IF(M1496=0,"Active",IF(TRIM(Raw_Data!L1496)="","Unknown",PROPER(TRIM(Raw_Data!L1496))))</f>
        <v>Active</v>
      </c>
      <c r="O1496" s="13" t="str">
        <f aca="false">IF(M1496=0,"",IF(TRIM(Raw_Data!M1496)="","Not Recorded",TRIM(Raw_Data!M1496)))</f>
        <v/>
      </c>
      <c r="P1496" s="16" t="n">
        <f aca="false">ROUND((IF(C1496="",AsOfDate,C1496)-B1496)/365.25,2)</f>
        <v>2.75</v>
      </c>
      <c r="Q1496" s="13" t="str">
        <f aca="false">IF(D1496="","Unknown",IF(D1496&lt;25,"Under 25",IF(D1496&lt;35,"25-34",IF(D1496&lt;45,"35-44",IF(D1496&lt;55,"45-54","55+")))))</f>
        <v>25-34</v>
      </c>
      <c r="R1496" s="13" t="str">
        <f aca="false">IF(P1496&lt;1,"0-1 yrs",IF(P1496&lt;3,"1-3 yrs",IF(P1496&lt;5,"3-5 yrs",IF(P1496&lt;10,"5-10 yrs","10+ yrs"))))</f>
        <v>1-3 yrs</v>
      </c>
      <c r="S1496" s="13" t="str">
        <f aca="false">IF(I1496&gt;=4,"High",IF(I1496=3,"Medium","Low"))</f>
        <v>High</v>
      </c>
      <c r="T1496" s="13" t="str">
        <f aca="false">IF(M1496=1,YEAR(C1496),"")</f>
        <v/>
      </c>
      <c r="U1496" s="13" t="str">
        <f aca="false">IF(M1496=1,YEAR(C1496)&amp;"-Q"&amp;ROUNDUP(MONTH(C1496)/3,0),"")</f>
        <v/>
      </c>
      <c r="V1496" s="13" t="str">
        <f aca="false">IF(M1496=1,MONTH(C1496),"")</f>
        <v/>
      </c>
    </row>
    <row r="1497" customFormat="false" ht="15" hidden="false" customHeight="false" outlineLevel="0" collapsed="false">
      <c r="A1497" s="13" t="str">
        <f aca="false">TRIM(Raw_Data!A1497)</f>
        <v>EMP1496</v>
      </c>
      <c r="B1497" s="14" t="n">
        <f aca="false">Raw_Data!B1497</f>
        <v>45020</v>
      </c>
      <c r="C1497" s="14" t="n">
        <f aca="false">IF(Raw_Data!C1497="","",Raw_Data!C1497)</f>
        <v>45081</v>
      </c>
      <c r="D1497" s="13" t="n">
        <f aca="false">IF(Raw_Data!D1497="","",Raw_Data!D1497)</f>
        <v>22</v>
      </c>
      <c r="E1497" s="13" t="str">
        <f aca="false">IF(UPPER(LEFT(TRIM(Raw_Data!E1497),1))="M","Male",IF(UPPER(LEFT(TRIM(Raw_Data!E1497),1))="F","Female","Unknown"))</f>
        <v>Female</v>
      </c>
      <c r="F1497" s="13" t="str">
        <f aca="false">PROPER(TRIM(SUBSTITUTE(Raw_Data!F1497,"'","")))</f>
        <v>Bachelors</v>
      </c>
      <c r="G1497" s="13" t="str">
        <f aca="false">PROPER(TRIM(Raw_Data!G1497))</f>
        <v>Sales</v>
      </c>
      <c r="H1497" s="13" t="str">
        <f aca="false">PROPER(TRIM(Raw_Data!H1497))</f>
        <v>Specialist</v>
      </c>
      <c r="I1497" s="13" t="n">
        <f aca="false">IF(Raw_Data!I1497="",DefaultPerf,Raw_Data!I1497)</f>
        <v>3</v>
      </c>
      <c r="J1497" s="13" t="n">
        <f aca="false">IF(Raw_Data!J1497="",DefaultSat,Raw_Data!J1497)</f>
        <v>3</v>
      </c>
      <c r="K1497" s="15" t="n">
        <f aca="false">Raw_Data!K1497</f>
        <v>106500</v>
      </c>
      <c r="L1497" s="13" t="str">
        <f aca="false">PROPER(TRIM(Raw_Data!N1497))</f>
        <v>No</v>
      </c>
      <c r="M1497" s="13" t="n">
        <f aca="false">IF(C1497="",0,1)</f>
        <v>1</v>
      </c>
      <c r="N1497" s="13" t="str">
        <f aca="false">IF(M1497=0,"Active",IF(TRIM(Raw_Data!L1497)="","Unknown",PROPER(TRIM(Raw_Data!L1497))))</f>
        <v>Voluntary</v>
      </c>
      <c r="O1497" s="13" t="str">
        <f aca="false">IF(M1497=0,"",IF(TRIM(Raw_Data!M1497)="","Not Recorded",TRIM(Raw_Data!M1497)))</f>
        <v>Further Studies</v>
      </c>
      <c r="P1497" s="16" t="n">
        <f aca="false">ROUND((IF(C1497="",AsOfDate,C1497)-B1497)/365.25,2)</f>
        <v>0.17</v>
      </c>
      <c r="Q1497" s="13" t="str">
        <f aca="false">IF(D1497="","Unknown",IF(D1497&lt;25,"Under 25",IF(D1497&lt;35,"25-34",IF(D1497&lt;45,"35-44",IF(D1497&lt;55,"45-54","55+")))))</f>
        <v>Under 25</v>
      </c>
      <c r="R1497" s="13" t="str">
        <f aca="false">IF(P1497&lt;1,"0-1 yrs",IF(P1497&lt;3,"1-3 yrs",IF(P1497&lt;5,"3-5 yrs",IF(P1497&lt;10,"5-10 yrs","10+ yrs"))))</f>
        <v>0-1 yrs</v>
      </c>
      <c r="S1497" s="13" t="str">
        <f aca="false">IF(I1497&gt;=4,"High",IF(I1497=3,"Medium","Low"))</f>
        <v>Medium</v>
      </c>
      <c r="T1497" s="13" t="n">
        <f aca="false">IF(M1497=1,YEAR(C1497),"")</f>
        <v>2023</v>
      </c>
      <c r="U1497" s="13" t="str">
        <f aca="false">IF(M1497=1,YEAR(C1497)&amp;"-Q"&amp;ROUNDUP(MONTH(C1497)/3,0),"")</f>
        <v>2023-Q2</v>
      </c>
      <c r="V1497" s="13" t="n">
        <f aca="false">IF(M1497=1,MONTH(C1497),"")</f>
        <v>6</v>
      </c>
    </row>
    <row r="1498" customFormat="false" ht="15" hidden="false" customHeight="false" outlineLevel="0" collapsed="false">
      <c r="A1498" s="13" t="str">
        <f aca="false">TRIM(Raw_Data!A1498)</f>
        <v>EMP1497</v>
      </c>
      <c r="B1498" s="14" t="n">
        <f aca="false">Raw_Data!B1498</f>
        <v>45020</v>
      </c>
      <c r="C1498" s="14" t="n">
        <f aca="false">IF(Raw_Data!C1498="","",Raw_Data!C1498)</f>
        <v>45092</v>
      </c>
      <c r="D1498" s="13" t="n">
        <f aca="false">IF(Raw_Data!D1498="","",Raw_Data!D1498)</f>
        <v>28</v>
      </c>
      <c r="E1498" s="13" t="str">
        <f aca="false">IF(UPPER(LEFT(TRIM(Raw_Data!E1498),1))="M","Male",IF(UPPER(LEFT(TRIM(Raw_Data!E1498),1))="F","Female","Unknown"))</f>
        <v>Female</v>
      </c>
      <c r="F1498" s="13" t="str">
        <f aca="false">PROPER(TRIM(SUBSTITUTE(Raw_Data!F1498,"'","")))</f>
        <v>Masters</v>
      </c>
      <c r="G1498" s="13" t="str">
        <f aca="false">PROPER(TRIM(Raw_Data!G1498))</f>
        <v>Customer Support</v>
      </c>
      <c r="H1498" s="13" t="str">
        <f aca="false">PROPER(TRIM(Raw_Data!H1498))</f>
        <v>Senior Analyst</v>
      </c>
      <c r="I1498" s="13" t="n">
        <f aca="false">IF(Raw_Data!I1498="",DefaultPerf,Raw_Data!I1498)</f>
        <v>3</v>
      </c>
      <c r="J1498" s="13" t="n">
        <f aca="false">IF(Raw_Data!J1498="",DefaultSat,Raw_Data!J1498)</f>
        <v>2</v>
      </c>
      <c r="K1498" s="15" t="n">
        <f aca="false">Raw_Data!K1498</f>
        <v>84500</v>
      </c>
      <c r="L1498" s="13" t="str">
        <f aca="false">PROPER(TRIM(Raw_Data!N1498))</f>
        <v>Yes</v>
      </c>
      <c r="M1498" s="13" t="n">
        <f aca="false">IF(C1498="",0,1)</f>
        <v>1</v>
      </c>
      <c r="N1498" s="13" t="str">
        <f aca="false">IF(M1498=0,"Active",IF(TRIM(Raw_Data!L1498)="","Unknown",PROPER(TRIM(Raw_Data!L1498))))</f>
        <v>Voluntary</v>
      </c>
      <c r="O1498" s="13" t="str">
        <f aca="false">IF(M1498=0,"",IF(TRIM(Raw_Data!M1498)="","Not Recorded",TRIM(Raw_Data!M1498)))</f>
        <v>Better Compensation</v>
      </c>
      <c r="P1498" s="16" t="n">
        <f aca="false">ROUND((IF(C1498="",AsOfDate,C1498)-B1498)/365.25,2)</f>
        <v>0.2</v>
      </c>
      <c r="Q1498" s="13" t="str">
        <f aca="false">IF(D1498="","Unknown",IF(D1498&lt;25,"Under 25",IF(D1498&lt;35,"25-34",IF(D1498&lt;45,"35-44",IF(D1498&lt;55,"45-54","55+")))))</f>
        <v>25-34</v>
      </c>
      <c r="R1498" s="13" t="str">
        <f aca="false">IF(P1498&lt;1,"0-1 yrs",IF(P1498&lt;3,"1-3 yrs",IF(P1498&lt;5,"3-5 yrs",IF(P1498&lt;10,"5-10 yrs","10+ yrs"))))</f>
        <v>0-1 yrs</v>
      </c>
      <c r="S1498" s="13" t="str">
        <f aca="false">IF(I1498&gt;=4,"High",IF(I1498=3,"Medium","Low"))</f>
        <v>Medium</v>
      </c>
      <c r="T1498" s="13" t="n">
        <f aca="false">IF(M1498=1,YEAR(C1498),"")</f>
        <v>2023</v>
      </c>
      <c r="U1498" s="13" t="str">
        <f aca="false">IF(M1498=1,YEAR(C1498)&amp;"-Q"&amp;ROUNDUP(MONTH(C1498)/3,0),"")</f>
        <v>2023-Q2</v>
      </c>
      <c r="V1498" s="13" t="n">
        <f aca="false">IF(M1498=1,MONTH(C1498),"")</f>
        <v>6</v>
      </c>
    </row>
    <row r="1499" customFormat="false" ht="15" hidden="false" customHeight="false" outlineLevel="0" collapsed="false">
      <c r="A1499" s="13" t="str">
        <f aca="false">TRIM(Raw_Data!A1499)</f>
        <v>EMP1498</v>
      </c>
      <c r="B1499" s="14" t="n">
        <f aca="false">Raw_Data!B1499</f>
        <v>45022</v>
      </c>
      <c r="C1499" s="14" t="n">
        <f aca="false">IF(Raw_Data!C1499="","",Raw_Data!C1499)</f>
        <v>45263</v>
      </c>
      <c r="D1499" s="13" t="n">
        <f aca="false">IF(Raw_Data!D1499="","",Raw_Data!D1499)</f>
        <v>22</v>
      </c>
      <c r="E1499" s="13" t="str">
        <f aca="false">IF(UPPER(LEFT(TRIM(Raw_Data!E1499),1))="M","Male",IF(UPPER(LEFT(TRIM(Raw_Data!E1499),1))="F","Female","Unknown"))</f>
        <v>Male</v>
      </c>
      <c r="F1499" s="13" t="str">
        <f aca="false">PROPER(TRIM(SUBSTITUTE(Raw_Data!F1499,"'","")))</f>
        <v>Diploma</v>
      </c>
      <c r="G1499" s="13" t="str">
        <f aca="false">PROPER(TRIM(Raw_Data!G1499))</f>
        <v>Human Resources</v>
      </c>
      <c r="H1499" s="13" t="str">
        <f aca="false">PROPER(TRIM(Raw_Data!H1499))</f>
        <v>Associate</v>
      </c>
      <c r="I1499" s="13" t="n">
        <f aca="false">IF(Raw_Data!I1499="",DefaultPerf,Raw_Data!I1499)</f>
        <v>3</v>
      </c>
      <c r="J1499" s="13" t="n">
        <f aca="false">IF(Raw_Data!J1499="",DefaultSat,Raw_Data!J1499)</f>
        <v>4</v>
      </c>
      <c r="K1499" s="15" t="n">
        <f aca="false">Raw_Data!K1499</f>
        <v>38000</v>
      </c>
      <c r="L1499" s="13" t="str">
        <f aca="false">PROPER(TRIM(Raw_Data!N1499))</f>
        <v>No</v>
      </c>
      <c r="M1499" s="13" t="n">
        <f aca="false">IF(C1499="",0,1)</f>
        <v>1</v>
      </c>
      <c r="N1499" s="13" t="str">
        <f aca="false">IF(M1499=0,"Active",IF(TRIM(Raw_Data!L1499)="","Unknown",PROPER(TRIM(Raw_Data!L1499))))</f>
        <v>Voluntary</v>
      </c>
      <c r="O1499" s="13" t="str">
        <f aca="false">IF(M1499=0,"",IF(TRIM(Raw_Data!M1499)="","Not Recorded",TRIM(Raw_Data!M1499)))</f>
        <v>Job Dissatisfaction</v>
      </c>
      <c r="P1499" s="16" t="n">
        <f aca="false">ROUND((IF(C1499="",AsOfDate,C1499)-B1499)/365.25,2)</f>
        <v>0.66</v>
      </c>
      <c r="Q1499" s="13" t="str">
        <f aca="false">IF(D1499="","Unknown",IF(D1499&lt;25,"Under 25",IF(D1499&lt;35,"25-34",IF(D1499&lt;45,"35-44",IF(D1499&lt;55,"45-54","55+")))))</f>
        <v>Under 25</v>
      </c>
      <c r="R1499" s="13" t="str">
        <f aca="false">IF(P1499&lt;1,"0-1 yrs",IF(P1499&lt;3,"1-3 yrs",IF(P1499&lt;5,"3-5 yrs",IF(P1499&lt;10,"5-10 yrs","10+ yrs"))))</f>
        <v>0-1 yrs</v>
      </c>
      <c r="S1499" s="13" t="str">
        <f aca="false">IF(I1499&gt;=4,"High",IF(I1499=3,"Medium","Low"))</f>
        <v>Medium</v>
      </c>
      <c r="T1499" s="13" t="n">
        <f aca="false">IF(M1499=1,YEAR(C1499),"")</f>
        <v>2023</v>
      </c>
      <c r="U1499" s="13" t="str">
        <f aca="false">IF(M1499=1,YEAR(C1499)&amp;"-Q"&amp;ROUNDUP(MONTH(C1499)/3,0),"")</f>
        <v>2023-Q4</v>
      </c>
      <c r="V1499" s="13" t="n">
        <f aca="false">IF(M1499=1,MONTH(C1499),"")</f>
        <v>12</v>
      </c>
    </row>
    <row r="1500" customFormat="false" ht="15" hidden="false" customHeight="false" outlineLevel="0" collapsed="false">
      <c r="A1500" s="13" t="str">
        <f aca="false">TRIM(Raw_Data!A1500)</f>
        <v>EMP1499</v>
      </c>
      <c r="B1500" s="14" t="n">
        <f aca="false">Raw_Data!B1500</f>
        <v>45023</v>
      </c>
      <c r="C1500" s="14" t="str">
        <f aca="false">IF(Raw_Data!C1500="","",Raw_Data!C1500)</f>
        <v/>
      </c>
      <c r="D1500" s="13" t="n">
        <f aca="false">IF(Raw_Data!D1500="","",Raw_Data!D1500)</f>
        <v>34</v>
      </c>
      <c r="E1500" s="13" t="str">
        <f aca="false">IF(UPPER(LEFT(TRIM(Raw_Data!E1500),1))="M","Male",IF(UPPER(LEFT(TRIM(Raw_Data!E1500),1))="F","Female","Unknown"))</f>
        <v>Male</v>
      </c>
      <c r="F1500" s="13" t="str">
        <f aca="false">PROPER(TRIM(SUBSTITUTE(Raw_Data!F1500,"'","")))</f>
        <v>Masters</v>
      </c>
      <c r="G1500" s="13" t="str">
        <f aca="false">PROPER(TRIM(Raw_Data!G1500))</f>
        <v>Sales</v>
      </c>
      <c r="H1500" s="13" t="str">
        <f aca="false">PROPER(TRIM(Raw_Data!H1500))</f>
        <v>Associate</v>
      </c>
      <c r="I1500" s="13" t="n">
        <f aca="false">IF(Raw_Data!I1500="",DefaultPerf,Raw_Data!I1500)</f>
        <v>3</v>
      </c>
      <c r="J1500" s="13" t="n">
        <f aca="false">IF(Raw_Data!J1500="",DefaultSat,Raw_Data!J1500)</f>
        <v>1</v>
      </c>
      <c r="K1500" s="15" t="n">
        <f aca="false">Raw_Data!K1500</f>
        <v>40500</v>
      </c>
      <c r="L1500" s="13" t="str">
        <f aca="false">PROPER(TRIM(Raw_Data!N1500))</f>
        <v>Yes</v>
      </c>
      <c r="M1500" s="13" t="n">
        <f aca="false">IF(C1500="",0,1)</f>
        <v>0</v>
      </c>
      <c r="N1500" s="13" t="str">
        <f aca="false">IF(M1500=0,"Active",IF(TRIM(Raw_Data!L1500)="","Unknown",PROPER(TRIM(Raw_Data!L1500))))</f>
        <v>Active</v>
      </c>
      <c r="O1500" s="13" t="str">
        <f aca="false">IF(M1500=0,"",IF(TRIM(Raw_Data!M1500)="","Not Recorded",TRIM(Raw_Data!M1500)))</f>
        <v/>
      </c>
      <c r="P1500" s="16" t="n">
        <f aca="false">ROUND((IF(C1500="",AsOfDate,C1500)-B1500)/365.25,2)</f>
        <v>2.74</v>
      </c>
      <c r="Q1500" s="13" t="str">
        <f aca="false">IF(D1500="","Unknown",IF(D1500&lt;25,"Under 25",IF(D1500&lt;35,"25-34",IF(D1500&lt;45,"35-44",IF(D1500&lt;55,"45-54","55+")))))</f>
        <v>25-34</v>
      </c>
      <c r="R1500" s="13" t="str">
        <f aca="false">IF(P1500&lt;1,"0-1 yrs",IF(P1500&lt;3,"1-3 yrs",IF(P1500&lt;5,"3-5 yrs",IF(P1500&lt;10,"5-10 yrs","10+ yrs"))))</f>
        <v>1-3 yrs</v>
      </c>
      <c r="S1500" s="13" t="str">
        <f aca="false">IF(I1500&gt;=4,"High",IF(I1500=3,"Medium","Low"))</f>
        <v>Medium</v>
      </c>
      <c r="T1500" s="13" t="str">
        <f aca="false">IF(M1500=1,YEAR(C1500),"")</f>
        <v/>
      </c>
      <c r="U1500" s="13" t="str">
        <f aca="false">IF(M1500=1,YEAR(C1500)&amp;"-Q"&amp;ROUNDUP(MONTH(C1500)/3,0),"")</f>
        <v/>
      </c>
      <c r="V1500" s="13" t="str">
        <f aca="false">IF(M1500=1,MONTH(C1500),"")</f>
        <v/>
      </c>
    </row>
    <row r="1501" customFormat="false" ht="15" hidden="false" customHeight="false" outlineLevel="0" collapsed="false">
      <c r="A1501" s="13" t="str">
        <f aca="false">TRIM(Raw_Data!A1501)</f>
        <v>EMP1500</v>
      </c>
      <c r="B1501" s="14" t="n">
        <f aca="false">Raw_Data!B1501</f>
        <v>45025</v>
      </c>
      <c r="C1501" s="14" t="n">
        <f aca="false">IF(Raw_Data!C1501="","",Raw_Data!C1501)</f>
        <v>45761</v>
      </c>
      <c r="D1501" s="13" t="n">
        <f aca="false">IF(Raw_Data!D1501="","",Raw_Data!D1501)</f>
        <v>38</v>
      </c>
      <c r="E1501" s="13" t="str">
        <f aca="false">IF(UPPER(LEFT(TRIM(Raw_Data!E1501),1))="M","Male",IF(UPPER(LEFT(TRIM(Raw_Data!E1501),1))="F","Female","Unknown"))</f>
        <v>Male</v>
      </c>
      <c r="F1501" s="13" t="str">
        <f aca="false">PROPER(TRIM(SUBSTITUTE(Raw_Data!F1501,"'","")))</f>
        <v>High School</v>
      </c>
      <c r="G1501" s="13" t="str">
        <f aca="false">PROPER(TRIM(Raw_Data!G1501))</f>
        <v>Sales</v>
      </c>
      <c r="H1501" s="13" t="str">
        <f aca="false">PROPER(TRIM(Raw_Data!H1501))</f>
        <v>Associate</v>
      </c>
      <c r="I1501" s="13" t="n">
        <f aca="false">IF(Raw_Data!I1501="",DefaultPerf,Raw_Data!I1501)</f>
        <v>3</v>
      </c>
      <c r="J1501" s="13" t="n">
        <f aca="false">IF(Raw_Data!J1501="",DefaultSat,Raw_Data!J1501)</f>
        <v>2</v>
      </c>
      <c r="K1501" s="15" t="n">
        <f aca="false">Raw_Data!K1501</f>
        <v>34500</v>
      </c>
      <c r="L1501" s="13" t="str">
        <f aca="false">PROPER(TRIM(Raw_Data!N1501))</f>
        <v>No</v>
      </c>
      <c r="M1501" s="13" t="n">
        <f aca="false">IF(C1501="",0,1)</f>
        <v>1</v>
      </c>
      <c r="N1501" s="13" t="str">
        <f aca="false">IF(M1501=0,"Active",IF(TRIM(Raw_Data!L1501)="","Unknown",PROPER(TRIM(Raw_Data!L1501))))</f>
        <v>Voluntary</v>
      </c>
      <c r="O1501" s="13" t="str">
        <f aca="false">IF(M1501=0,"",IF(TRIM(Raw_Data!M1501)="","Not Recorded",TRIM(Raw_Data!M1501)))</f>
        <v>Career Growth</v>
      </c>
      <c r="P1501" s="16" t="n">
        <f aca="false">ROUND((IF(C1501="",AsOfDate,C1501)-B1501)/365.25,2)</f>
        <v>2.02</v>
      </c>
      <c r="Q1501" s="13" t="str">
        <f aca="false">IF(D1501="","Unknown",IF(D1501&lt;25,"Under 25",IF(D1501&lt;35,"25-34",IF(D1501&lt;45,"35-44",IF(D1501&lt;55,"45-54","55+")))))</f>
        <v>35-44</v>
      </c>
      <c r="R1501" s="13" t="str">
        <f aca="false">IF(P1501&lt;1,"0-1 yrs",IF(P1501&lt;3,"1-3 yrs",IF(P1501&lt;5,"3-5 yrs",IF(P1501&lt;10,"5-10 yrs","10+ yrs"))))</f>
        <v>1-3 yrs</v>
      </c>
      <c r="S1501" s="13" t="str">
        <f aca="false">IF(I1501&gt;=4,"High",IF(I1501=3,"Medium","Low"))</f>
        <v>Medium</v>
      </c>
      <c r="T1501" s="13" t="n">
        <f aca="false">IF(M1501=1,YEAR(C1501),"")</f>
        <v>2025</v>
      </c>
      <c r="U1501" s="13" t="str">
        <f aca="false">IF(M1501=1,YEAR(C1501)&amp;"-Q"&amp;ROUNDUP(MONTH(C1501)/3,0),"")</f>
        <v>2025-Q2</v>
      </c>
      <c r="V1501" s="13" t="n">
        <f aca="false">IF(M1501=1,MONTH(C1501),"")</f>
        <v>4</v>
      </c>
    </row>
    <row r="1502" customFormat="false" ht="15" hidden="false" customHeight="false" outlineLevel="0" collapsed="false">
      <c r="A1502" s="13" t="str">
        <f aca="false">TRIM(Raw_Data!A1502)</f>
        <v>EMP1501</v>
      </c>
      <c r="B1502" s="14" t="n">
        <f aca="false">Raw_Data!B1502</f>
        <v>45025</v>
      </c>
      <c r="C1502" s="14" t="n">
        <f aca="false">IF(Raw_Data!C1502="","",Raw_Data!C1502)</f>
        <v>45300</v>
      </c>
      <c r="D1502" s="13" t="n">
        <f aca="false">IF(Raw_Data!D1502="","",Raw_Data!D1502)</f>
        <v>39</v>
      </c>
      <c r="E1502" s="13" t="str">
        <f aca="false">IF(UPPER(LEFT(TRIM(Raw_Data!E1502),1))="M","Male",IF(UPPER(LEFT(TRIM(Raw_Data!E1502),1))="F","Female","Unknown"))</f>
        <v>Male</v>
      </c>
      <c r="F1502" s="13" t="str">
        <f aca="false">PROPER(TRIM(SUBSTITUTE(Raw_Data!F1502,"'","")))</f>
        <v>Bachelors</v>
      </c>
      <c r="G1502" s="13" t="str">
        <f aca="false">PROPER(TRIM(Raw_Data!G1502))</f>
        <v>Sales</v>
      </c>
      <c r="H1502" s="13" t="str">
        <f aca="false">PROPER(TRIM(Raw_Data!H1502))</f>
        <v>Specialist</v>
      </c>
      <c r="I1502" s="13" t="n">
        <f aca="false">IF(Raw_Data!I1502="",DefaultPerf,Raw_Data!I1502)</f>
        <v>4</v>
      </c>
      <c r="J1502" s="13" t="n">
        <f aca="false">IF(Raw_Data!J1502="",DefaultSat,Raw_Data!J1502)</f>
        <v>1</v>
      </c>
      <c r="K1502" s="15" t="n">
        <f aca="false">Raw_Data!K1502</f>
        <v>118500</v>
      </c>
      <c r="L1502" s="13" t="str">
        <f aca="false">PROPER(TRIM(Raw_Data!N1502))</f>
        <v>No</v>
      </c>
      <c r="M1502" s="13" t="n">
        <f aca="false">IF(C1502="",0,1)</f>
        <v>1</v>
      </c>
      <c r="N1502" s="13" t="str">
        <f aca="false">IF(M1502=0,"Active",IF(TRIM(Raw_Data!L1502)="","Unknown",PROPER(TRIM(Raw_Data!L1502))))</f>
        <v>Voluntary</v>
      </c>
      <c r="O1502" s="13" t="str">
        <f aca="false">IF(M1502=0,"",IF(TRIM(Raw_Data!M1502)="","Not Recorded",TRIM(Raw_Data!M1502)))</f>
        <v>Personal Reasons</v>
      </c>
      <c r="P1502" s="16" t="n">
        <f aca="false">ROUND((IF(C1502="",AsOfDate,C1502)-B1502)/365.25,2)</f>
        <v>0.75</v>
      </c>
      <c r="Q1502" s="13" t="str">
        <f aca="false">IF(D1502="","Unknown",IF(D1502&lt;25,"Under 25",IF(D1502&lt;35,"25-34",IF(D1502&lt;45,"35-44",IF(D1502&lt;55,"45-54","55+")))))</f>
        <v>35-44</v>
      </c>
      <c r="R1502" s="13" t="str">
        <f aca="false">IF(P1502&lt;1,"0-1 yrs",IF(P1502&lt;3,"1-3 yrs",IF(P1502&lt;5,"3-5 yrs",IF(P1502&lt;10,"5-10 yrs","10+ yrs"))))</f>
        <v>0-1 yrs</v>
      </c>
      <c r="S1502" s="13" t="str">
        <f aca="false">IF(I1502&gt;=4,"High",IF(I1502=3,"Medium","Low"))</f>
        <v>High</v>
      </c>
      <c r="T1502" s="13" t="n">
        <f aca="false">IF(M1502=1,YEAR(C1502),"")</f>
        <v>2024</v>
      </c>
      <c r="U1502" s="13" t="str">
        <f aca="false">IF(M1502=1,YEAR(C1502)&amp;"-Q"&amp;ROUNDUP(MONTH(C1502)/3,0),"")</f>
        <v>2024-Q1</v>
      </c>
      <c r="V1502" s="13" t="n">
        <f aca="false">IF(M1502=1,MONTH(C1502),"")</f>
        <v>1</v>
      </c>
    </row>
    <row r="1503" customFormat="false" ht="15" hidden="false" customHeight="false" outlineLevel="0" collapsed="false">
      <c r="A1503" s="13" t="str">
        <f aca="false">TRIM(Raw_Data!A1503)</f>
        <v>EMP1502</v>
      </c>
      <c r="B1503" s="14" t="n">
        <f aca="false">Raw_Data!B1503</f>
        <v>45026</v>
      </c>
      <c r="C1503" s="14" t="str">
        <f aca="false">IF(Raw_Data!C1503="","",Raw_Data!C1503)</f>
        <v/>
      </c>
      <c r="D1503" s="13" t="n">
        <f aca="false">IF(Raw_Data!D1503="","",Raw_Data!D1503)</f>
        <v>31</v>
      </c>
      <c r="E1503" s="13" t="str">
        <f aca="false">IF(UPPER(LEFT(TRIM(Raw_Data!E1503),1))="M","Male",IF(UPPER(LEFT(TRIM(Raw_Data!E1503),1))="F","Female","Unknown"))</f>
        <v>Male</v>
      </c>
      <c r="F1503" s="13" t="str">
        <f aca="false">PROPER(TRIM(SUBSTITUTE(Raw_Data!F1503,"'","")))</f>
        <v>Diploma</v>
      </c>
      <c r="G1503" s="13" t="str">
        <f aca="false">PROPER(TRIM(Raw_Data!G1503))</f>
        <v>Customer Support</v>
      </c>
      <c r="H1503" s="13" t="str">
        <f aca="false">PROPER(TRIM(Raw_Data!H1503))</f>
        <v>Associate</v>
      </c>
      <c r="I1503" s="13" t="n">
        <f aca="false">IF(Raw_Data!I1503="",DefaultPerf,Raw_Data!I1503)</f>
        <v>3</v>
      </c>
      <c r="J1503" s="13" t="n">
        <f aca="false">IF(Raw_Data!J1503="",DefaultSat,Raw_Data!J1503)</f>
        <v>4</v>
      </c>
      <c r="K1503" s="15" t="n">
        <f aca="false">Raw_Data!K1503</f>
        <v>41500</v>
      </c>
      <c r="L1503" s="13" t="str">
        <f aca="false">PROPER(TRIM(Raw_Data!N1503))</f>
        <v>No</v>
      </c>
      <c r="M1503" s="13" t="n">
        <f aca="false">IF(C1503="",0,1)</f>
        <v>0</v>
      </c>
      <c r="N1503" s="13" t="str">
        <f aca="false">IF(M1503=0,"Active",IF(TRIM(Raw_Data!L1503)="","Unknown",PROPER(TRIM(Raw_Data!L1503))))</f>
        <v>Active</v>
      </c>
      <c r="O1503" s="13" t="str">
        <f aca="false">IF(M1503=0,"",IF(TRIM(Raw_Data!M1503)="","Not Recorded",TRIM(Raw_Data!M1503)))</f>
        <v/>
      </c>
      <c r="P1503" s="16" t="n">
        <f aca="false">ROUND((IF(C1503="",AsOfDate,C1503)-B1503)/365.25,2)</f>
        <v>2.73</v>
      </c>
      <c r="Q1503" s="13" t="str">
        <f aca="false">IF(D1503="","Unknown",IF(D1503&lt;25,"Under 25",IF(D1503&lt;35,"25-34",IF(D1503&lt;45,"35-44",IF(D1503&lt;55,"45-54","55+")))))</f>
        <v>25-34</v>
      </c>
      <c r="R1503" s="13" t="str">
        <f aca="false">IF(P1503&lt;1,"0-1 yrs",IF(P1503&lt;3,"1-3 yrs",IF(P1503&lt;5,"3-5 yrs",IF(P1503&lt;10,"5-10 yrs","10+ yrs"))))</f>
        <v>1-3 yrs</v>
      </c>
      <c r="S1503" s="13" t="str">
        <f aca="false">IF(I1503&gt;=4,"High",IF(I1503=3,"Medium","Low"))</f>
        <v>Medium</v>
      </c>
      <c r="T1503" s="13" t="str">
        <f aca="false">IF(M1503=1,YEAR(C1503),"")</f>
        <v/>
      </c>
      <c r="U1503" s="13" t="str">
        <f aca="false">IF(M1503=1,YEAR(C1503)&amp;"-Q"&amp;ROUNDUP(MONTH(C1503)/3,0),"")</f>
        <v/>
      </c>
      <c r="V1503" s="13" t="str">
        <f aca="false">IF(M1503=1,MONTH(C1503),"")</f>
        <v/>
      </c>
    </row>
    <row r="1504" customFormat="false" ht="15" hidden="false" customHeight="false" outlineLevel="0" collapsed="false">
      <c r="A1504" s="13" t="str">
        <f aca="false">TRIM(Raw_Data!A1504)</f>
        <v>EMP1503</v>
      </c>
      <c r="B1504" s="14" t="n">
        <f aca="false">Raw_Data!B1504</f>
        <v>45028</v>
      </c>
      <c r="C1504" s="14" t="n">
        <f aca="false">IF(Raw_Data!C1504="","",Raw_Data!C1504)</f>
        <v>45918</v>
      </c>
      <c r="D1504" s="13" t="n">
        <f aca="false">IF(Raw_Data!D1504="","",Raw_Data!D1504)</f>
        <v>25</v>
      </c>
      <c r="E1504" s="13" t="str">
        <f aca="false">IF(UPPER(LEFT(TRIM(Raw_Data!E1504),1))="M","Male",IF(UPPER(LEFT(TRIM(Raw_Data!E1504),1))="F","Female","Unknown"))</f>
        <v>Female</v>
      </c>
      <c r="F1504" s="13" t="str">
        <f aca="false">PROPER(TRIM(SUBSTITUTE(Raw_Data!F1504,"'","")))</f>
        <v>Bachelors</v>
      </c>
      <c r="G1504" s="13" t="str">
        <f aca="false">PROPER(TRIM(Raw_Data!G1504))</f>
        <v>Engineering</v>
      </c>
      <c r="H1504" s="13" t="str">
        <f aca="false">PROPER(TRIM(Raw_Data!H1504))</f>
        <v>Specialist</v>
      </c>
      <c r="I1504" s="13" t="n">
        <f aca="false">IF(Raw_Data!I1504="",DefaultPerf,Raw_Data!I1504)</f>
        <v>4</v>
      </c>
      <c r="J1504" s="13" t="n">
        <f aca="false">IF(Raw_Data!J1504="",DefaultSat,Raw_Data!J1504)</f>
        <v>2</v>
      </c>
      <c r="K1504" s="15" t="n">
        <f aca="false">Raw_Data!K1504</f>
        <v>111500</v>
      </c>
      <c r="L1504" s="13" t="str">
        <f aca="false">PROPER(TRIM(Raw_Data!N1504))</f>
        <v>No</v>
      </c>
      <c r="M1504" s="13" t="n">
        <f aca="false">IF(C1504="",0,1)</f>
        <v>1</v>
      </c>
      <c r="N1504" s="13" t="str">
        <f aca="false">IF(M1504=0,"Active",IF(TRIM(Raw_Data!L1504)="","Unknown",PROPER(TRIM(Raw_Data!L1504))))</f>
        <v>Voluntary</v>
      </c>
      <c r="O1504" s="13" t="str">
        <f aca="false">IF(M1504=0,"",IF(TRIM(Raw_Data!M1504)="","Not Recorded",TRIM(Raw_Data!M1504)))</f>
        <v>Career Growth</v>
      </c>
      <c r="P1504" s="16" t="n">
        <f aca="false">ROUND((IF(C1504="",AsOfDate,C1504)-B1504)/365.25,2)</f>
        <v>2.44</v>
      </c>
      <c r="Q1504" s="13" t="str">
        <f aca="false">IF(D1504="","Unknown",IF(D1504&lt;25,"Under 25",IF(D1504&lt;35,"25-34",IF(D1504&lt;45,"35-44",IF(D1504&lt;55,"45-54","55+")))))</f>
        <v>25-34</v>
      </c>
      <c r="R1504" s="13" t="str">
        <f aca="false">IF(P1504&lt;1,"0-1 yrs",IF(P1504&lt;3,"1-3 yrs",IF(P1504&lt;5,"3-5 yrs",IF(P1504&lt;10,"5-10 yrs","10+ yrs"))))</f>
        <v>1-3 yrs</v>
      </c>
      <c r="S1504" s="13" t="str">
        <f aca="false">IF(I1504&gt;=4,"High",IF(I1504=3,"Medium","Low"))</f>
        <v>High</v>
      </c>
      <c r="T1504" s="13" t="n">
        <f aca="false">IF(M1504=1,YEAR(C1504),"")</f>
        <v>2025</v>
      </c>
      <c r="U1504" s="13" t="str">
        <f aca="false">IF(M1504=1,YEAR(C1504)&amp;"-Q"&amp;ROUNDUP(MONTH(C1504)/3,0),"")</f>
        <v>2025-Q3</v>
      </c>
      <c r="V1504" s="13" t="n">
        <f aca="false">IF(M1504=1,MONTH(C1504),"")</f>
        <v>9</v>
      </c>
    </row>
    <row r="1505" customFormat="false" ht="15" hidden="false" customHeight="false" outlineLevel="0" collapsed="false">
      <c r="A1505" s="13" t="str">
        <f aca="false">TRIM(Raw_Data!A1505)</f>
        <v>EMP1504</v>
      </c>
      <c r="B1505" s="14" t="n">
        <f aca="false">Raw_Data!B1505</f>
        <v>45033</v>
      </c>
      <c r="C1505" s="14" t="n">
        <f aca="false">IF(Raw_Data!C1505="","",Raw_Data!C1505)</f>
        <v>45570</v>
      </c>
      <c r="D1505" s="13" t="n">
        <f aca="false">IF(Raw_Data!D1505="","",Raw_Data!D1505)</f>
        <v>35</v>
      </c>
      <c r="E1505" s="13" t="str">
        <f aca="false">IF(UPPER(LEFT(TRIM(Raw_Data!E1505),1))="M","Male",IF(UPPER(LEFT(TRIM(Raw_Data!E1505),1))="F","Female","Unknown"))</f>
        <v>Male</v>
      </c>
      <c r="F1505" s="13" t="str">
        <f aca="false">PROPER(TRIM(SUBSTITUTE(Raw_Data!F1505,"'","")))</f>
        <v>Bachelors</v>
      </c>
      <c r="G1505" s="13" t="str">
        <f aca="false">PROPER(TRIM(Raw_Data!G1505))</f>
        <v>Sales</v>
      </c>
      <c r="H1505" s="13" t="str">
        <f aca="false">PROPER(TRIM(Raw_Data!H1505))</f>
        <v>Associate</v>
      </c>
      <c r="I1505" s="13" t="n">
        <f aca="false">IF(Raw_Data!I1505="",DefaultPerf,Raw_Data!I1505)</f>
        <v>4</v>
      </c>
      <c r="J1505" s="13" t="n">
        <f aca="false">IF(Raw_Data!J1505="",DefaultSat,Raw_Data!J1505)</f>
        <v>1</v>
      </c>
      <c r="K1505" s="15" t="n">
        <f aca="false">Raw_Data!K1505</f>
        <v>35000</v>
      </c>
      <c r="L1505" s="13" t="str">
        <f aca="false">PROPER(TRIM(Raw_Data!N1505))</f>
        <v>No</v>
      </c>
      <c r="M1505" s="13" t="n">
        <f aca="false">IF(C1505="",0,1)</f>
        <v>1</v>
      </c>
      <c r="N1505" s="13" t="str">
        <f aca="false">IF(M1505=0,"Active",IF(TRIM(Raw_Data!L1505)="","Unknown",PROPER(TRIM(Raw_Data!L1505))))</f>
        <v>Voluntary</v>
      </c>
      <c r="O1505" s="13" t="str">
        <f aca="false">IF(M1505=0,"",IF(TRIM(Raw_Data!M1505)="","Not Recorded",TRIM(Raw_Data!M1505)))</f>
        <v>Relocation</v>
      </c>
      <c r="P1505" s="16" t="n">
        <f aca="false">ROUND((IF(C1505="",AsOfDate,C1505)-B1505)/365.25,2)</f>
        <v>1.47</v>
      </c>
      <c r="Q1505" s="13" t="str">
        <f aca="false">IF(D1505="","Unknown",IF(D1505&lt;25,"Under 25",IF(D1505&lt;35,"25-34",IF(D1505&lt;45,"35-44",IF(D1505&lt;55,"45-54","55+")))))</f>
        <v>35-44</v>
      </c>
      <c r="R1505" s="13" t="str">
        <f aca="false">IF(P1505&lt;1,"0-1 yrs",IF(P1505&lt;3,"1-3 yrs",IF(P1505&lt;5,"3-5 yrs",IF(P1505&lt;10,"5-10 yrs","10+ yrs"))))</f>
        <v>1-3 yrs</v>
      </c>
      <c r="S1505" s="13" t="str">
        <f aca="false">IF(I1505&gt;=4,"High",IF(I1505=3,"Medium","Low"))</f>
        <v>High</v>
      </c>
      <c r="T1505" s="13" t="n">
        <f aca="false">IF(M1505=1,YEAR(C1505),"")</f>
        <v>2024</v>
      </c>
      <c r="U1505" s="13" t="str">
        <f aca="false">IF(M1505=1,YEAR(C1505)&amp;"-Q"&amp;ROUNDUP(MONTH(C1505)/3,0),"")</f>
        <v>2024-Q4</v>
      </c>
      <c r="V1505" s="13" t="n">
        <f aca="false">IF(M1505=1,MONTH(C1505),"")</f>
        <v>10</v>
      </c>
    </row>
    <row r="1506" customFormat="false" ht="15" hidden="false" customHeight="false" outlineLevel="0" collapsed="false">
      <c r="A1506" s="13" t="str">
        <f aca="false">TRIM(Raw_Data!A1506)</f>
        <v>EMP1505</v>
      </c>
      <c r="B1506" s="14" t="n">
        <f aca="false">Raw_Data!B1506</f>
        <v>45037</v>
      </c>
      <c r="C1506" s="14" t="n">
        <f aca="false">IF(Raw_Data!C1506="","",Raw_Data!C1506)</f>
        <v>45319</v>
      </c>
      <c r="D1506" s="13" t="n">
        <f aca="false">IF(Raw_Data!D1506="","",Raw_Data!D1506)</f>
        <v>33</v>
      </c>
      <c r="E1506" s="13" t="str">
        <f aca="false">IF(UPPER(LEFT(TRIM(Raw_Data!E1506),1))="M","Male",IF(UPPER(LEFT(TRIM(Raw_Data!E1506),1))="F","Female","Unknown"))</f>
        <v>Female</v>
      </c>
      <c r="F1506" s="13" t="str">
        <f aca="false">PROPER(TRIM(SUBSTITUTE(Raw_Data!F1506,"'","")))</f>
        <v>Masters</v>
      </c>
      <c r="G1506" s="13" t="str">
        <f aca="false">PROPER(TRIM(Raw_Data!G1506))</f>
        <v>Sales</v>
      </c>
      <c r="H1506" s="13" t="str">
        <f aca="false">PROPER(TRIM(Raw_Data!H1506))</f>
        <v>Associate</v>
      </c>
      <c r="I1506" s="13" t="n">
        <f aca="false">IF(Raw_Data!I1506="",DefaultPerf,Raw_Data!I1506)</f>
        <v>2</v>
      </c>
      <c r="J1506" s="13" t="n">
        <f aca="false">IF(Raw_Data!J1506="",DefaultSat,Raw_Data!J1506)</f>
        <v>4</v>
      </c>
      <c r="K1506" s="15" t="n">
        <f aca="false">Raw_Data!K1506</f>
        <v>34500</v>
      </c>
      <c r="L1506" s="13" t="str">
        <f aca="false">PROPER(TRIM(Raw_Data!N1506))</f>
        <v>No</v>
      </c>
      <c r="M1506" s="13" t="n">
        <f aca="false">IF(C1506="",0,1)</f>
        <v>1</v>
      </c>
      <c r="N1506" s="13" t="str">
        <f aca="false">IF(M1506=0,"Active",IF(TRIM(Raw_Data!L1506)="","Unknown",PROPER(TRIM(Raw_Data!L1506))))</f>
        <v>Voluntary</v>
      </c>
      <c r="O1506" s="13" t="str">
        <f aca="false">IF(M1506=0,"",IF(TRIM(Raw_Data!M1506)="","Not Recorded",TRIM(Raw_Data!M1506)))</f>
        <v>Better Compensation</v>
      </c>
      <c r="P1506" s="16" t="n">
        <f aca="false">ROUND((IF(C1506="",AsOfDate,C1506)-B1506)/365.25,2)</f>
        <v>0.77</v>
      </c>
      <c r="Q1506" s="13" t="str">
        <f aca="false">IF(D1506="","Unknown",IF(D1506&lt;25,"Under 25",IF(D1506&lt;35,"25-34",IF(D1506&lt;45,"35-44",IF(D1506&lt;55,"45-54","55+")))))</f>
        <v>25-34</v>
      </c>
      <c r="R1506" s="13" t="str">
        <f aca="false">IF(P1506&lt;1,"0-1 yrs",IF(P1506&lt;3,"1-3 yrs",IF(P1506&lt;5,"3-5 yrs",IF(P1506&lt;10,"5-10 yrs","10+ yrs"))))</f>
        <v>0-1 yrs</v>
      </c>
      <c r="S1506" s="13" t="str">
        <f aca="false">IF(I1506&gt;=4,"High",IF(I1506=3,"Medium","Low"))</f>
        <v>Low</v>
      </c>
      <c r="T1506" s="13" t="n">
        <f aca="false">IF(M1506=1,YEAR(C1506),"")</f>
        <v>2024</v>
      </c>
      <c r="U1506" s="13" t="str">
        <f aca="false">IF(M1506=1,YEAR(C1506)&amp;"-Q"&amp;ROUNDUP(MONTH(C1506)/3,0),"")</f>
        <v>2024-Q1</v>
      </c>
      <c r="V1506" s="13" t="n">
        <f aca="false">IF(M1506=1,MONTH(C1506),"")</f>
        <v>1</v>
      </c>
    </row>
    <row r="1507" customFormat="false" ht="15" hidden="false" customHeight="false" outlineLevel="0" collapsed="false">
      <c r="A1507" s="13" t="str">
        <f aca="false">TRIM(Raw_Data!A1507)</f>
        <v>EMP1506</v>
      </c>
      <c r="B1507" s="14" t="n">
        <f aca="false">Raw_Data!B1507</f>
        <v>45037</v>
      </c>
      <c r="C1507" s="14" t="n">
        <f aca="false">IF(Raw_Data!C1507="","",Raw_Data!C1507)</f>
        <v>45179</v>
      </c>
      <c r="D1507" s="13" t="n">
        <f aca="false">IF(Raw_Data!D1507="","",Raw_Data!D1507)</f>
        <v>25</v>
      </c>
      <c r="E1507" s="13" t="str">
        <f aca="false">IF(UPPER(LEFT(TRIM(Raw_Data!E1507),1))="M","Male",IF(UPPER(LEFT(TRIM(Raw_Data!E1507),1))="F","Female","Unknown"))</f>
        <v>Male</v>
      </c>
      <c r="F1507" s="13" t="str">
        <f aca="false">PROPER(TRIM(SUBSTITUTE(Raw_Data!F1507,"'","")))</f>
        <v>Masters</v>
      </c>
      <c r="G1507" s="13" t="str">
        <f aca="false">PROPER(TRIM(Raw_Data!G1507))</f>
        <v>Engineering</v>
      </c>
      <c r="H1507" s="13" t="str">
        <f aca="false">PROPER(TRIM(Raw_Data!H1507))</f>
        <v>Team Lead</v>
      </c>
      <c r="I1507" s="13" t="n">
        <f aca="false">IF(Raw_Data!I1507="",DefaultPerf,Raw_Data!I1507)</f>
        <v>3</v>
      </c>
      <c r="J1507" s="13" t="n">
        <f aca="false">IF(Raw_Data!J1507="",DefaultSat,Raw_Data!J1507)</f>
        <v>2</v>
      </c>
      <c r="K1507" s="15" t="n">
        <f aca="false">Raw_Data!K1507</f>
        <v>149000</v>
      </c>
      <c r="L1507" s="13" t="str">
        <f aca="false">PROPER(TRIM(Raw_Data!N1507))</f>
        <v>Yes</v>
      </c>
      <c r="M1507" s="13" t="n">
        <f aca="false">IF(C1507="",0,1)</f>
        <v>1</v>
      </c>
      <c r="N1507" s="13" t="str">
        <f aca="false">IF(M1507=0,"Active",IF(TRIM(Raw_Data!L1507)="","Unknown",PROPER(TRIM(Raw_Data!L1507))))</f>
        <v>Involuntary</v>
      </c>
      <c r="O1507" s="13" t="str">
        <f aca="false">IF(M1507=0,"",IF(TRIM(Raw_Data!M1507)="","Not Recorded",TRIM(Raw_Data!M1507)))</f>
        <v>Restructuring / Layoff</v>
      </c>
      <c r="P1507" s="16" t="n">
        <f aca="false">ROUND((IF(C1507="",AsOfDate,C1507)-B1507)/365.25,2)</f>
        <v>0.39</v>
      </c>
      <c r="Q1507" s="13" t="str">
        <f aca="false">IF(D1507="","Unknown",IF(D1507&lt;25,"Under 25",IF(D1507&lt;35,"25-34",IF(D1507&lt;45,"35-44",IF(D1507&lt;55,"45-54","55+")))))</f>
        <v>25-34</v>
      </c>
      <c r="R1507" s="13" t="str">
        <f aca="false">IF(P1507&lt;1,"0-1 yrs",IF(P1507&lt;3,"1-3 yrs",IF(P1507&lt;5,"3-5 yrs",IF(P1507&lt;10,"5-10 yrs","10+ yrs"))))</f>
        <v>0-1 yrs</v>
      </c>
      <c r="S1507" s="13" t="str">
        <f aca="false">IF(I1507&gt;=4,"High",IF(I1507=3,"Medium","Low"))</f>
        <v>Medium</v>
      </c>
      <c r="T1507" s="13" t="n">
        <f aca="false">IF(M1507=1,YEAR(C1507),"")</f>
        <v>2023</v>
      </c>
      <c r="U1507" s="13" t="str">
        <f aca="false">IF(M1507=1,YEAR(C1507)&amp;"-Q"&amp;ROUNDUP(MONTH(C1507)/3,0),"")</f>
        <v>2023-Q3</v>
      </c>
      <c r="V1507" s="13" t="n">
        <f aca="false">IF(M1507=1,MONTH(C1507),"")</f>
        <v>9</v>
      </c>
    </row>
    <row r="1508" customFormat="false" ht="15" hidden="false" customHeight="false" outlineLevel="0" collapsed="false">
      <c r="A1508" s="13" t="str">
        <f aca="false">TRIM(Raw_Data!A1508)</f>
        <v>EMP1507</v>
      </c>
      <c r="B1508" s="14" t="n">
        <f aca="false">Raw_Data!B1508</f>
        <v>45039</v>
      </c>
      <c r="C1508" s="14" t="n">
        <f aca="false">IF(Raw_Data!C1508="","",Raw_Data!C1508)</f>
        <v>45068</v>
      </c>
      <c r="D1508" s="13" t="n">
        <f aca="false">IF(Raw_Data!D1508="","",Raw_Data!D1508)</f>
        <v>34</v>
      </c>
      <c r="E1508" s="13" t="str">
        <f aca="false">IF(UPPER(LEFT(TRIM(Raw_Data!E1508),1))="M","Male",IF(UPPER(LEFT(TRIM(Raw_Data!E1508),1))="F","Female","Unknown"))</f>
        <v>Male</v>
      </c>
      <c r="F1508" s="13" t="str">
        <f aca="false">PROPER(TRIM(SUBSTITUTE(Raw_Data!F1508,"'","")))</f>
        <v>Bachelors</v>
      </c>
      <c r="G1508" s="13" t="str">
        <f aca="false">PROPER(TRIM(Raw_Data!G1508))</f>
        <v>Sales</v>
      </c>
      <c r="H1508" s="13" t="str">
        <f aca="false">PROPER(TRIM(Raw_Data!H1508))</f>
        <v>Associate</v>
      </c>
      <c r="I1508" s="13" t="n">
        <f aca="false">IF(Raw_Data!I1508="",DefaultPerf,Raw_Data!I1508)</f>
        <v>3</v>
      </c>
      <c r="J1508" s="13" t="n">
        <f aca="false">IF(Raw_Data!J1508="",DefaultSat,Raw_Data!J1508)</f>
        <v>1</v>
      </c>
      <c r="K1508" s="15" t="n">
        <f aca="false">Raw_Data!K1508</f>
        <v>38000</v>
      </c>
      <c r="L1508" s="13" t="str">
        <f aca="false">PROPER(TRIM(Raw_Data!N1508))</f>
        <v>Yes</v>
      </c>
      <c r="M1508" s="13" t="n">
        <f aca="false">IF(C1508="",0,1)</f>
        <v>1</v>
      </c>
      <c r="N1508" s="13" t="str">
        <f aca="false">IF(M1508=0,"Active",IF(TRIM(Raw_Data!L1508)="","Unknown",PROPER(TRIM(Raw_Data!L1508))))</f>
        <v>Voluntary</v>
      </c>
      <c r="O1508" s="13" t="str">
        <f aca="false">IF(M1508=0,"",IF(TRIM(Raw_Data!M1508)="","Not Recorded",TRIM(Raw_Data!M1508)))</f>
        <v>Job Dissatisfaction</v>
      </c>
      <c r="P1508" s="16" t="n">
        <f aca="false">ROUND((IF(C1508="",AsOfDate,C1508)-B1508)/365.25,2)</f>
        <v>0.08</v>
      </c>
      <c r="Q1508" s="13" t="str">
        <f aca="false">IF(D1508="","Unknown",IF(D1508&lt;25,"Under 25",IF(D1508&lt;35,"25-34",IF(D1508&lt;45,"35-44",IF(D1508&lt;55,"45-54","55+")))))</f>
        <v>25-34</v>
      </c>
      <c r="R1508" s="13" t="str">
        <f aca="false">IF(P1508&lt;1,"0-1 yrs",IF(P1508&lt;3,"1-3 yrs",IF(P1508&lt;5,"3-5 yrs",IF(P1508&lt;10,"5-10 yrs","10+ yrs"))))</f>
        <v>0-1 yrs</v>
      </c>
      <c r="S1508" s="13" t="str">
        <f aca="false">IF(I1508&gt;=4,"High",IF(I1508=3,"Medium","Low"))</f>
        <v>Medium</v>
      </c>
      <c r="T1508" s="13" t="n">
        <f aca="false">IF(M1508=1,YEAR(C1508),"")</f>
        <v>2023</v>
      </c>
      <c r="U1508" s="13" t="str">
        <f aca="false">IF(M1508=1,YEAR(C1508)&amp;"-Q"&amp;ROUNDUP(MONTH(C1508)/3,0),"")</f>
        <v>2023-Q2</v>
      </c>
      <c r="V1508" s="13" t="n">
        <f aca="false">IF(M1508=1,MONTH(C1508),"")</f>
        <v>5</v>
      </c>
    </row>
    <row r="1509" customFormat="false" ht="15" hidden="false" customHeight="false" outlineLevel="0" collapsed="false">
      <c r="A1509" s="13" t="str">
        <f aca="false">TRIM(Raw_Data!A1509)</f>
        <v>EMP1508</v>
      </c>
      <c r="B1509" s="14" t="n">
        <f aca="false">Raw_Data!B1509</f>
        <v>45043</v>
      </c>
      <c r="C1509" s="14" t="n">
        <f aca="false">IF(Raw_Data!C1509="","",Raw_Data!C1509)</f>
        <v>45598</v>
      </c>
      <c r="D1509" s="13" t="n">
        <f aca="false">IF(Raw_Data!D1509="","",Raw_Data!D1509)</f>
        <v>32</v>
      </c>
      <c r="E1509" s="13" t="str">
        <f aca="false">IF(UPPER(LEFT(TRIM(Raw_Data!E1509),1))="M","Male",IF(UPPER(LEFT(TRIM(Raw_Data!E1509),1))="F","Female","Unknown"))</f>
        <v>Male</v>
      </c>
      <c r="F1509" s="13" t="str">
        <f aca="false">PROPER(TRIM(SUBSTITUTE(Raw_Data!F1509,"'","")))</f>
        <v>Masters</v>
      </c>
      <c r="G1509" s="13" t="str">
        <f aca="false">PROPER(TRIM(Raw_Data!G1509))</f>
        <v>Human Resources</v>
      </c>
      <c r="H1509" s="13" t="str">
        <f aca="false">PROPER(TRIM(Raw_Data!H1509))</f>
        <v>Team Lead</v>
      </c>
      <c r="I1509" s="13" t="n">
        <f aca="false">IF(Raw_Data!I1509="",DefaultPerf,Raw_Data!I1509)</f>
        <v>3</v>
      </c>
      <c r="J1509" s="13" t="n">
        <f aca="false">IF(Raw_Data!J1509="",DefaultSat,Raw_Data!J1509)</f>
        <v>1</v>
      </c>
      <c r="K1509" s="15" t="n">
        <f aca="false">Raw_Data!K1509</f>
        <v>126500</v>
      </c>
      <c r="L1509" s="13" t="str">
        <f aca="false">PROPER(TRIM(Raw_Data!N1509))</f>
        <v>No</v>
      </c>
      <c r="M1509" s="13" t="n">
        <f aca="false">IF(C1509="",0,1)</f>
        <v>1</v>
      </c>
      <c r="N1509" s="13" t="str">
        <f aca="false">IF(M1509=0,"Active",IF(TRIM(Raw_Data!L1509)="","Unknown",PROPER(TRIM(Raw_Data!L1509))))</f>
        <v>Voluntary</v>
      </c>
      <c r="O1509" s="13" t="str">
        <f aca="false">IF(M1509=0,"",IF(TRIM(Raw_Data!M1509)="","Not Recorded",TRIM(Raw_Data!M1509)))</f>
        <v>Further Studies</v>
      </c>
      <c r="P1509" s="16" t="n">
        <f aca="false">ROUND((IF(C1509="",AsOfDate,C1509)-B1509)/365.25,2)</f>
        <v>1.52</v>
      </c>
      <c r="Q1509" s="13" t="str">
        <f aca="false">IF(D1509="","Unknown",IF(D1509&lt;25,"Under 25",IF(D1509&lt;35,"25-34",IF(D1509&lt;45,"35-44",IF(D1509&lt;55,"45-54","55+")))))</f>
        <v>25-34</v>
      </c>
      <c r="R1509" s="13" t="str">
        <f aca="false">IF(P1509&lt;1,"0-1 yrs",IF(P1509&lt;3,"1-3 yrs",IF(P1509&lt;5,"3-5 yrs",IF(P1509&lt;10,"5-10 yrs","10+ yrs"))))</f>
        <v>1-3 yrs</v>
      </c>
      <c r="S1509" s="13" t="str">
        <f aca="false">IF(I1509&gt;=4,"High",IF(I1509=3,"Medium","Low"))</f>
        <v>Medium</v>
      </c>
      <c r="T1509" s="13" t="n">
        <f aca="false">IF(M1509=1,YEAR(C1509),"")</f>
        <v>2024</v>
      </c>
      <c r="U1509" s="13" t="str">
        <f aca="false">IF(M1509=1,YEAR(C1509)&amp;"-Q"&amp;ROUNDUP(MONTH(C1509)/3,0),"")</f>
        <v>2024-Q4</v>
      </c>
      <c r="V1509" s="13" t="n">
        <f aca="false">IF(M1509=1,MONTH(C1509),"")</f>
        <v>11</v>
      </c>
    </row>
    <row r="1510" customFormat="false" ht="15" hidden="false" customHeight="false" outlineLevel="0" collapsed="false">
      <c r="A1510" s="13" t="str">
        <f aca="false">TRIM(Raw_Data!A1510)</f>
        <v>EMP1509</v>
      </c>
      <c r="B1510" s="14" t="n">
        <f aca="false">Raw_Data!B1510</f>
        <v>45043</v>
      </c>
      <c r="C1510" s="14" t="str">
        <f aca="false">IF(Raw_Data!C1510="","",Raw_Data!C1510)</f>
        <v/>
      </c>
      <c r="D1510" s="13" t="n">
        <f aca="false">IF(Raw_Data!D1510="","",Raw_Data!D1510)</f>
        <v>38</v>
      </c>
      <c r="E1510" s="13" t="str">
        <f aca="false">IF(UPPER(LEFT(TRIM(Raw_Data!E1510),1))="M","Male",IF(UPPER(LEFT(TRIM(Raw_Data!E1510),1))="F","Female","Unknown"))</f>
        <v>Female</v>
      </c>
      <c r="F1510" s="13" t="str">
        <f aca="false">PROPER(TRIM(SUBSTITUTE(Raw_Data!F1510,"'","")))</f>
        <v>Bachelors</v>
      </c>
      <c r="G1510" s="13" t="str">
        <f aca="false">PROPER(TRIM(Raw_Data!G1510))</f>
        <v>Sales</v>
      </c>
      <c r="H1510" s="13" t="str">
        <f aca="false">PROPER(TRIM(Raw_Data!H1510))</f>
        <v>Senior Analyst</v>
      </c>
      <c r="I1510" s="13" t="n">
        <f aca="false">IF(Raw_Data!I1510="",DefaultPerf,Raw_Data!I1510)</f>
        <v>3</v>
      </c>
      <c r="J1510" s="13" t="n">
        <f aca="false">IF(Raw_Data!J1510="",DefaultSat,Raw_Data!J1510)</f>
        <v>3</v>
      </c>
      <c r="K1510" s="15" t="n">
        <f aca="false">Raw_Data!K1510</f>
        <v>93000</v>
      </c>
      <c r="L1510" s="13" t="str">
        <f aca="false">PROPER(TRIM(Raw_Data!N1510))</f>
        <v>Yes</v>
      </c>
      <c r="M1510" s="13" t="n">
        <f aca="false">IF(C1510="",0,1)</f>
        <v>0</v>
      </c>
      <c r="N1510" s="13" t="str">
        <f aca="false">IF(M1510=0,"Active",IF(TRIM(Raw_Data!L1510)="","Unknown",PROPER(TRIM(Raw_Data!L1510))))</f>
        <v>Active</v>
      </c>
      <c r="O1510" s="13" t="str">
        <f aca="false">IF(M1510=0,"",IF(TRIM(Raw_Data!M1510)="","Not Recorded",TRIM(Raw_Data!M1510)))</f>
        <v/>
      </c>
      <c r="P1510" s="16" t="n">
        <f aca="false">ROUND((IF(C1510="",AsOfDate,C1510)-B1510)/365.25,2)</f>
        <v>2.68</v>
      </c>
      <c r="Q1510" s="13" t="str">
        <f aca="false">IF(D1510="","Unknown",IF(D1510&lt;25,"Under 25",IF(D1510&lt;35,"25-34",IF(D1510&lt;45,"35-44",IF(D1510&lt;55,"45-54","55+")))))</f>
        <v>35-44</v>
      </c>
      <c r="R1510" s="13" t="str">
        <f aca="false">IF(P1510&lt;1,"0-1 yrs",IF(P1510&lt;3,"1-3 yrs",IF(P1510&lt;5,"3-5 yrs",IF(P1510&lt;10,"5-10 yrs","10+ yrs"))))</f>
        <v>1-3 yrs</v>
      </c>
      <c r="S1510" s="13" t="str">
        <f aca="false">IF(I1510&gt;=4,"High",IF(I1510=3,"Medium","Low"))</f>
        <v>Medium</v>
      </c>
      <c r="T1510" s="13" t="str">
        <f aca="false">IF(M1510=1,YEAR(C1510),"")</f>
        <v/>
      </c>
      <c r="U1510" s="13" t="str">
        <f aca="false">IF(M1510=1,YEAR(C1510)&amp;"-Q"&amp;ROUNDUP(MONTH(C1510)/3,0),"")</f>
        <v/>
      </c>
      <c r="V1510" s="13" t="str">
        <f aca="false">IF(M1510=1,MONTH(C1510),"")</f>
        <v/>
      </c>
    </row>
    <row r="1511" customFormat="false" ht="15" hidden="false" customHeight="false" outlineLevel="0" collapsed="false">
      <c r="A1511" s="13" t="str">
        <f aca="false">TRIM(Raw_Data!A1511)</f>
        <v>EMP1510</v>
      </c>
      <c r="B1511" s="14" t="n">
        <f aca="false">Raw_Data!B1511</f>
        <v>45047</v>
      </c>
      <c r="C1511" s="14" t="n">
        <f aca="false">IF(Raw_Data!C1511="","",Raw_Data!C1511)</f>
        <v>45293</v>
      </c>
      <c r="D1511" s="13" t="n">
        <f aca="false">IF(Raw_Data!D1511="","",Raw_Data!D1511)</f>
        <v>26</v>
      </c>
      <c r="E1511" s="13" t="str">
        <f aca="false">IF(UPPER(LEFT(TRIM(Raw_Data!E1511),1))="M","Male",IF(UPPER(LEFT(TRIM(Raw_Data!E1511),1))="F","Female","Unknown"))</f>
        <v>Male</v>
      </c>
      <c r="F1511" s="13" t="str">
        <f aca="false">PROPER(TRIM(SUBSTITUTE(Raw_Data!F1511,"'","")))</f>
        <v>Bachelors</v>
      </c>
      <c r="G1511" s="13" t="str">
        <f aca="false">PROPER(TRIM(Raw_Data!G1511))</f>
        <v>Operations</v>
      </c>
      <c r="H1511" s="13" t="str">
        <f aca="false">PROPER(TRIM(Raw_Data!H1511))</f>
        <v>Associate</v>
      </c>
      <c r="I1511" s="13" t="n">
        <f aca="false">IF(Raw_Data!I1511="",DefaultPerf,Raw_Data!I1511)</f>
        <v>3</v>
      </c>
      <c r="J1511" s="13" t="n">
        <f aca="false">IF(Raw_Data!J1511="",DefaultSat,Raw_Data!J1511)</f>
        <v>2</v>
      </c>
      <c r="K1511" s="15" t="n">
        <f aca="false">Raw_Data!K1511</f>
        <v>39000</v>
      </c>
      <c r="L1511" s="13" t="str">
        <f aca="false">PROPER(TRIM(Raw_Data!N1511))</f>
        <v>No</v>
      </c>
      <c r="M1511" s="13" t="n">
        <f aca="false">IF(C1511="",0,1)</f>
        <v>1</v>
      </c>
      <c r="N1511" s="13" t="str">
        <f aca="false">IF(M1511=0,"Active",IF(TRIM(Raw_Data!L1511)="","Unknown",PROPER(TRIM(Raw_Data!L1511))))</f>
        <v>Voluntary</v>
      </c>
      <c r="O1511" s="13" t="str">
        <f aca="false">IF(M1511=0,"",IF(TRIM(Raw_Data!M1511)="","Not Recorded",TRIM(Raw_Data!M1511)))</f>
        <v>Personal Reasons</v>
      </c>
      <c r="P1511" s="16" t="n">
        <f aca="false">ROUND((IF(C1511="",AsOfDate,C1511)-B1511)/365.25,2)</f>
        <v>0.67</v>
      </c>
      <c r="Q1511" s="13" t="str">
        <f aca="false">IF(D1511="","Unknown",IF(D1511&lt;25,"Under 25",IF(D1511&lt;35,"25-34",IF(D1511&lt;45,"35-44",IF(D1511&lt;55,"45-54","55+")))))</f>
        <v>25-34</v>
      </c>
      <c r="R1511" s="13" t="str">
        <f aca="false">IF(P1511&lt;1,"0-1 yrs",IF(P1511&lt;3,"1-3 yrs",IF(P1511&lt;5,"3-5 yrs",IF(P1511&lt;10,"5-10 yrs","10+ yrs"))))</f>
        <v>0-1 yrs</v>
      </c>
      <c r="S1511" s="13" t="str">
        <f aca="false">IF(I1511&gt;=4,"High",IF(I1511=3,"Medium","Low"))</f>
        <v>Medium</v>
      </c>
      <c r="T1511" s="13" t="n">
        <f aca="false">IF(M1511=1,YEAR(C1511),"")</f>
        <v>2024</v>
      </c>
      <c r="U1511" s="13" t="str">
        <f aca="false">IF(M1511=1,YEAR(C1511)&amp;"-Q"&amp;ROUNDUP(MONTH(C1511)/3,0),"")</f>
        <v>2024-Q1</v>
      </c>
      <c r="V1511" s="13" t="n">
        <f aca="false">IF(M1511=1,MONTH(C1511),"")</f>
        <v>1</v>
      </c>
    </row>
    <row r="1512" customFormat="false" ht="15" hidden="false" customHeight="false" outlineLevel="0" collapsed="false">
      <c r="A1512" s="13" t="str">
        <f aca="false">TRIM(Raw_Data!A1512)</f>
        <v>EMP1511</v>
      </c>
      <c r="B1512" s="14" t="n">
        <f aca="false">Raw_Data!B1512</f>
        <v>45048</v>
      </c>
      <c r="C1512" s="14" t="str">
        <f aca="false">IF(Raw_Data!C1512="","",Raw_Data!C1512)</f>
        <v/>
      </c>
      <c r="D1512" s="13" t="n">
        <f aca="false">IF(Raw_Data!D1512="","",Raw_Data!D1512)</f>
        <v>27</v>
      </c>
      <c r="E1512" s="13" t="str">
        <f aca="false">IF(UPPER(LEFT(TRIM(Raw_Data!E1512),1))="M","Male",IF(UPPER(LEFT(TRIM(Raw_Data!E1512),1))="F","Female","Unknown"))</f>
        <v>Male</v>
      </c>
      <c r="F1512" s="13" t="str">
        <f aca="false">PROPER(TRIM(SUBSTITUTE(Raw_Data!F1512,"'","")))</f>
        <v>High School</v>
      </c>
      <c r="G1512" s="13" t="str">
        <f aca="false">PROPER(TRIM(Raw_Data!G1512))</f>
        <v>Sales</v>
      </c>
      <c r="H1512" s="13" t="str">
        <f aca="false">PROPER(TRIM(Raw_Data!H1512))</f>
        <v>Associate</v>
      </c>
      <c r="I1512" s="13" t="n">
        <f aca="false">IF(Raw_Data!I1512="",DefaultPerf,Raw_Data!I1512)</f>
        <v>2</v>
      </c>
      <c r="J1512" s="13" t="n">
        <f aca="false">IF(Raw_Data!J1512="",DefaultSat,Raw_Data!J1512)</f>
        <v>2</v>
      </c>
      <c r="K1512" s="15" t="n">
        <f aca="false">Raw_Data!K1512</f>
        <v>43000</v>
      </c>
      <c r="L1512" s="13" t="str">
        <f aca="false">PROPER(TRIM(Raw_Data!N1512))</f>
        <v>No</v>
      </c>
      <c r="M1512" s="13" t="n">
        <f aca="false">IF(C1512="",0,1)</f>
        <v>0</v>
      </c>
      <c r="N1512" s="13" t="str">
        <f aca="false">IF(M1512=0,"Active",IF(TRIM(Raw_Data!L1512)="","Unknown",PROPER(TRIM(Raw_Data!L1512))))</f>
        <v>Active</v>
      </c>
      <c r="O1512" s="13" t="str">
        <f aca="false">IF(M1512=0,"",IF(TRIM(Raw_Data!M1512)="","Not Recorded",TRIM(Raw_Data!M1512)))</f>
        <v/>
      </c>
      <c r="P1512" s="16" t="n">
        <f aca="false">ROUND((IF(C1512="",AsOfDate,C1512)-B1512)/365.25,2)</f>
        <v>2.67</v>
      </c>
      <c r="Q1512" s="13" t="str">
        <f aca="false">IF(D1512="","Unknown",IF(D1512&lt;25,"Under 25",IF(D1512&lt;35,"25-34",IF(D1512&lt;45,"35-44",IF(D1512&lt;55,"45-54","55+")))))</f>
        <v>25-34</v>
      </c>
      <c r="R1512" s="13" t="str">
        <f aca="false">IF(P1512&lt;1,"0-1 yrs",IF(P1512&lt;3,"1-3 yrs",IF(P1512&lt;5,"3-5 yrs",IF(P1512&lt;10,"5-10 yrs","10+ yrs"))))</f>
        <v>1-3 yrs</v>
      </c>
      <c r="S1512" s="13" t="str">
        <f aca="false">IF(I1512&gt;=4,"High",IF(I1512=3,"Medium","Low"))</f>
        <v>Low</v>
      </c>
      <c r="T1512" s="13" t="str">
        <f aca="false">IF(M1512=1,YEAR(C1512),"")</f>
        <v/>
      </c>
      <c r="U1512" s="13" t="str">
        <f aca="false">IF(M1512=1,YEAR(C1512)&amp;"-Q"&amp;ROUNDUP(MONTH(C1512)/3,0),"")</f>
        <v/>
      </c>
      <c r="V1512" s="13" t="str">
        <f aca="false">IF(M1512=1,MONTH(C1512),"")</f>
        <v/>
      </c>
    </row>
    <row r="1513" customFormat="false" ht="15" hidden="false" customHeight="false" outlineLevel="0" collapsed="false">
      <c r="A1513" s="13" t="str">
        <f aca="false">TRIM(Raw_Data!A1513)</f>
        <v>EMP1512</v>
      </c>
      <c r="B1513" s="14" t="n">
        <f aca="false">Raw_Data!B1513</f>
        <v>45050</v>
      </c>
      <c r="C1513" s="14" t="str">
        <f aca="false">IF(Raw_Data!C1513="","",Raw_Data!C1513)</f>
        <v/>
      </c>
      <c r="D1513" s="13" t="n">
        <f aca="false">IF(Raw_Data!D1513="","",Raw_Data!D1513)</f>
        <v>30</v>
      </c>
      <c r="E1513" s="13" t="str">
        <f aca="false">IF(UPPER(LEFT(TRIM(Raw_Data!E1513),1))="M","Male",IF(UPPER(LEFT(TRIM(Raw_Data!E1513),1))="F","Female","Unknown"))</f>
        <v>Female</v>
      </c>
      <c r="F1513" s="13" t="str">
        <f aca="false">PROPER(TRIM(SUBSTITUTE(Raw_Data!F1513,"'","")))</f>
        <v>Bachelors</v>
      </c>
      <c r="G1513" s="13" t="str">
        <f aca="false">PROPER(TRIM(Raw_Data!G1513))</f>
        <v>Engineering</v>
      </c>
      <c r="H1513" s="13" t="str">
        <f aca="false">PROPER(TRIM(Raw_Data!H1513))</f>
        <v>Senior Analyst</v>
      </c>
      <c r="I1513" s="13" t="n">
        <f aca="false">IF(Raw_Data!I1513="",DefaultPerf,Raw_Data!I1513)</f>
        <v>3</v>
      </c>
      <c r="J1513" s="13" t="n">
        <f aca="false">IF(Raw_Data!J1513="",DefaultSat,Raw_Data!J1513)</f>
        <v>2</v>
      </c>
      <c r="K1513" s="15" t="n">
        <f aca="false">Raw_Data!K1513</f>
        <v>91500</v>
      </c>
      <c r="L1513" s="13" t="str">
        <f aca="false">PROPER(TRIM(Raw_Data!N1513))</f>
        <v>No</v>
      </c>
      <c r="M1513" s="13" t="n">
        <f aca="false">IF(C1513="",0,1)</f>
        <v>0</v>
      </c>
      <c r="N1513" s="13" t="str">
        <f aca="false">IF(M1513=0,"Active",IF(TRIM(Raw_Data!L1513)="","Unknown",PROPER(TRIM(Raw_Data!L1513))))</f>
        <v>Active</v>
      </c>
      <c r="O1513" s="13" t="str">
        <f aca="false">IF(M1513=0,"",IF(TRIM(Raw_Data!M1513)="","Not Recorded",TRIM(Raw_Data!M1513)))</f>
        <v/>
      </c>
      <c r="P1513" s="16" t="n">
        <f aca="false">ROUND((IF(C1513="",AsOfDate,C1513)-B1513)/365.25,2)</f>
        <v>2.66</v>
      </c>
      <c r="Q1513" s="13" t="str">
        <f aca="false">IF(D1513="","Unknown",IF(D1513&lt;25,"Under 25",IF(D1513&lt;35,"25-34",IF(D1513&lt;45,"35-44",IF(D1513&lt;55,"45-54","55+")))))</f>
        <v>25-34</v>
      </c>
      <c r="R1513" s="13" t="str">
        <f aca="false">IF(P1513&lt;1,"0-1 yrs",IF(P1513&lt;3,"1-3 yrs",IF(P1513&lt;5,"3-5 yrs",IF(P1513&lt;10,"5-10 yrs","10+ yrs"))))</f>
        <v>1-3 yrs</v>
      </c>
      <c r="S1513" s="13" t="str">
        <f aca="false">IF(I1513&gt;=4,"High",IF(I1513=3,"Medium","Low"))</f>
        <v>Medium</v>
      </c>
      <c r="T1513" s="13" t="str">
        <f aca="false">IF(M1513=1,YEAR(C1513),"")</f>
        <v/>
      </c>
      <c r="U1513" s="13" t="str">
        <f aca="false">IF(M1513=1,YEAR(C1513)&amp;"-Q"&amp;ROUNDUP(MONTH(C1513)/3,0),"")</f>
        <v/>
      </c>
      <c r="V1513" s="13" t="str">
        <f aca="false">IF(M1513=1,MONTH(C1513),"")</f>
        <v/>
      </c>
    </row>
    <row r="1514" customFormat="false" ht="15" hidden="false" customHeight="false" outlineLevel="0" collapsed="false">
      <c r="A1514" s="13" t="str">
        <f aca="false">TRIM(Raw_Data!A1514)</f>
        <v>EMP1513</v>
      </c>
      <c r="B1514" s="14" t="n">
        <f aca="false">Raw_Data!B1514</f>
        <v>45057</v>
      </c>
      <c r="C1514" s="14" t="str">
        <f aca="false">IF(Raw_Data!C1514="","",Raw_Data!C1514)</f>
        <v/>
      </c>
      <c r="D1514" s="13" t="n">
        <f aca="false">IF(Raw_Data!D1514="","",Raw_Data!D1514)</f>
        <v>30</v>
      </c>
      <c r="E1514" s="13" t="str">
        <f aca="false">IF(UPPER(LEFT(TRIM(Raw_Data!E1514),1))="M","Male",IF(UPPER(LEFT(TRIM(Raw_Data!E1514),1))="F","Female","Unknown"))</f>
        <v>Female</v>
      </c>
      <c r="F1514" s="13" t="str">
        <f aca="false">PROPER(TRIM(SUBSTITUTE(Raw_Data!F1514,"'","")))</f>
        <v>Masters</v>
      </c>
      <c r="G1514" s="13" t="str">
        <f aca="false">PROPER(TRIM(Raw_Data!G1514))</f>
        <v>Operations</v>
      </c>
      <c r="H1514" s="13" t="str">
        <f aca="false">PROPER(TRIM(Raw_Data!H1514))</f>
        <v>Associate</v>
      </c>
      <c r="I1514" s="13" t="n">
        <f aca="false">IF(Raw_Data!I1514="",DefaultPerf,Raw_Data!I1514)</f>
        <v>4</v>
      </c>
      <c r="J1514" s="13" t="n">
        <f aca="false">IF(Raw_Data!J1514="",DefaultSat,Raw_Data!J1514)</f>
        <v>2</v>
      </c>
      <c r="K1514" s="15" t="n">
        <f aca="false">Raw_Data!K1514</f>
        <v>40000</v>
      </c>
      <c r="L1514" s="13" t="str">
        <f aca="false">PROPER(TRIM(Raw_Data!N1514))</f>
        <v>Yes</v>
      </c>
      <c r="M1514" s="13" t="n">
        <f aca="false">IF(C1514="",0,1)</f>
        <v>0</v>
      </c>
      <c r="N1514" s="13" t="str">
        <f aca="false">IF(M1514=0,"Active",IF(TRIM(Raw_Data!L1514)="","Unknown",PROPER(TRIM(Raw_Data!L1514))))</f>
        <v>Active</v>
      </c>
      <c r="O1514" s="13" t="str">
        <f aca="false">IF(M1514=0,"",IF(TRIM(Raw_Data!M1514)="","Not Recorded",TRIM(Raw_Data!M1514)))</f>
        <v/>
      </c>
      <c r="P1514" s="16" t="n">
        <f aca="false">ROUND((IF(C1514="",AsOfDate,C1514)-B1514)/365.25,2)</f>
        <v>2.64</v>
      </c>
      <c r="Q1514" s="13" t="str">
        <f aca="false">IF(D1514="","Unknown",IF(D1514&lt;25,"Under 25",IF(D1514&lt;35,"25-34",IF(D1514&lt;45,"35-44",IF(D1514&lt;55,"45-54","55+")))))</f>
        <v>25-34</v>
      </c>
      <c r="R1514" s="13" t="str">
        <f aca="false">IF(P1514&lt;1,"0-1 yrs",IF(P1514&lt;3,"1-3 yrs",IF(P1514&lt;5,"3-5 yrs",IF(P1514&lt;10,"5-10 yrs","10+ yrs"))))</f>
        <v>1-3 yrs</v>
      </c>
      <c r="S1514" s="13" t="str">
        <f aca="false">IF(I1514&gt;=4,"High",IF(I1514=3,"Medium","Low"))</f>
        <v>High</v>
      </c>
      <c r="T1514" s="13" t="str">
        <f aca="false">IF(M1514=1,YEAR(C1514),"")</f>
        <v/>
      </c>
      <c r="U1514" s="13" t="str">
        <f aca="false">IF(M1514=1,YEAR(C1514)&amp;"-Q"&amp;ROUNDUP(MONTH(C1514)/3,0),"")</f>
        <v/>
      </c>
      <c r="V1514" s="13" t="str">
        <f aca="false">IF(M1514=1,MONTH(C1514),"")</f>
        <v/>
      </c>
    </row>
    <row r="1515" customFormat="false" ht="15" hidden="false" customHeight="false" outlineLevel="0" collapsed="false">
      <c r="A1515" s="13" t="str">
        <f aca="false">TRIM(Raw_Data!A1515)</f>
        <v>EMP1514</v>
      </c>
      <c r="B1515" s="14" t="n">
        <f aca="false">Raw_Data!B1515</f>
        <v>45057</v>
      </c>
      <c r="C1515" s="14" t="n">
        <f aca="false">IF(Raw_Data!C1515="","",Raw_Data!C1515)</f>
        <v>45183</v>
      </c>
      <c r="D1515" s="13" t="n">
        <f aca="false">IF(Raw_Data!D1515="","",Raw_Data!D1515)</f>
        <v>32</v>
      </c>
      <c r="E1515" s="13" t="str">
        <f aca="false">IF(UPPER(LEFT(TRIM(Raw_Data!E1515),1))="M","Male",IF(UPPER(LEFT(TRIM(Raw_Data!E1515),1))="F","Female","Unknown"))</f>
        <v>Female</v>
      </c>
      <c r="F1515" s="13" t="str">
        <f aca="false">PROPER(TRIM(SUBSTITUTE(Raw_Data!F1515,"'","")))</f>
        <v>Diploma</v>
      </c>
      <c r="G1515" s="13" t="str">
        <f aca="false">PROPER(TRIM(Raw_Data!G1515))</f>
        <v>Sales</v>
      </c>
      <c r="H1515" s="13" t="str">
        <f aca="false">PROPER(TRIM(Raw_Data!H1515))</f>
        <v>Senior Analyst</v>
      </c>
      <c r="I1515" s="13" t="n">
        <f aca="false">IF(Raw_Data!I1515="",DefaultPerf,Raw_Data!I1515)</f>
        <v>3</v>
      </c>
      <c r="J1515" s="13" t="n">
        <f aca="false">IF(Raw_Data!J1515="",DefaultSat,Raw_Data!J1515)</f>
        <v>3</v>
      </c>
      <c r="K1515" s="15" t="n">
        <f aca="false">Raw_Data!K1515</f>
        <v>82000</v>
      </c>
      <c r="L1515" s="13" t="str">
        <f aca="false">PROPER(TRIM(Raw_Data!N1515))</f>
        <v>Yes</v>
      </c>
      <c r="M1515" s="13" t="n">
        <f aca="false">IF(C1515="",0,1)</f>
        <v>1</v>
      </c>
      <c r="N1515" s="13" t="str">
        <f aca="false">IF(M1515=0,"Active",IF(TRIM(Raw_Data!L1515)="","Unknown",PROPER(TRIM(Raw_Data!L1515))))</f>
        <v>Voluntary</v>
      </c>
      <c r="O1515" s="13" t="str">
        <f aca="false">IF(M1515=0,"",IF(TRIM(Raw_Data!M1515)="","Not Recorded",TRIM(Raw_Data!M1515)))</f>
        <v>Job Dissatisfaction</v>
      </c>
      <c r="P1515" s="16" t="n">
        <f aca="false">ROUND((IF(C1515="",AsOfDate,C1515)-B1515)/365.25,2)</f>
        <v>0.34</v>
      </c>
      <c r="Q1515" s="13" t="str">
        <f aca="false">IF(D1515="","Unknown",IF(D1515&lt;25,"Under 25",IF(D1515&lt;35,"25-34",IF(D1515&lt;45,"35-44",IF(D1515&lt;55,"45-54","55+")))))</f>
        <v>25-34</v>
      </c>
      <c r="R1515" s="13" t="str">
        <f aca="false">IF(P1515&lt;1,"0-1 yrs",IF(P1515&lt;3,"1-3 yrs",IF(P1515&lt;5,"3-5 yrs",IF(P1515&lt;10,"5-10 yrs","10+ yrs"))))</f>
        <v>0-1 yrs</v>
      </c>
      <c r="S1515" s="13" t="str">
        <f aca="false">IF(I1515&gt;=4,"High",IF(I1515=3,"Medium","Low"))</f>
        <v>Medium</v>
      </c>
      <c r="T1515" s="13" t="n">
        <f aca="false">IF(M1515=1,YEAR(C1515),"")</f>
        <v>2023</v>
      </c>
      <c r="U1515" s="13" t="str">
        <f aca="false">IF(M1515=1,YEAR(C1515)&amp;"-Q"&amp;ROUNDUP(MONTH(C1515)/3,0),"")</f>
        <v>2023-Q3</v>
      </c>
      <c r="V1515" s="13" t="n">
        <f aca="false">IF(M1515=1,MONTH(C1515),"")</f>
        <v>9</v>
      </c>
    </row>
    <row r="1516" customFormat="false" ht="15" hidden="false" customHeight="false" outlineLevel="0" collapsed="false">
      <c r="A1516" s="13" t="str">
        <f aca="false">TRIM(Raw_Data!A1516)</f>
        <v>EMP1515</v>
      </c>
      <c r="B1516" s="14" t="n">
        <f aca="false">Raw_Data!B1516</f>
        <v>45063</v>
      </c>
      <c r="C1516" s="14" t="n">
        <f aca="false">IF(Raw_Data!C1516="","",Raw_Data!C1516)</f>
        <v>45577</v>
      </c>
      <c r="D1516" s="13" t="n">
        <f aca="false">IF(Raw_Data!D1516="","",Raw_Data!D1516)</f>
        <v>30</v>
      </c>
      <c r="E1516" s="13" t="str">
        <f aca="false">IF(UPPER(LEFT(TRIM(Raw_Data!E1516),1))="M","Male",IF(UPPER(LEFT(TRIM(Raw_Data!E1516),1))="F","Female","Unknown"))</f>
        <v>Female</v>
      </c>
      <c r="F1516" s="13" t="str">
        <f aca="false">PROPER(TRIM(SUBSTITUTE(Raw_Data!F1516,"'","")))</f>
        <v>Bachelors</v>
      </c>
      <c r="G1516" s="13" t="str">
        <f aca="false">PROPER(TRIM(Raw_Data!G1516))</f>
        <v>Sales</v>
      </c>
      <c r="H1516" s="13" t="str">
        <f aca="false">PROPER(TRIM(Raw_Data!H1516))</f>
        <v>Senior Analyst</v>
      </c>
      <c r="I1516" s="13" t="n">
        <f aca="false">IF(Raw_Data!I1516="",DefaultPerf,Raw_Data!I1516)</f>
        <v>5</v>
      </c>
      <c r="J1516" s="13" t="n">
        <f aca="false">IF(Raw_Data!J1516="",DefaultSat,Raw_Data!J1516)</f>
        <v>1</v>
      </c>
      <c r="K1516" s="15" t="n">
        <f aca="false">Raw_Data!K1516</f>
        <v>110000</v>
      </c>
      <c r="L1516" s="13" t="str">
        <f aca="false">PROPER(TRIM(Raw_Data!N1516))</f>
        <v>Yes</v>
      </c>
      <c r="M1516" s="13" t="n">
        <f aca="false">IF(C1516="",0,1)</f>
        <v>1</v>
      </c>
      <c r="N1516" s="13" t="str">
        <f aca="false">IF(M1516=0,"Active",IF(TRIM(Raw_Data!L1516)="","Unknown",PROPER(TRIM(Raw_Data!L1516))))</f>
        <v>Voluntary</v>
      </c>
      <c r="O1516" s="13" t="str">
        <f aca="false">IF(M1516=0,"",IF(TRIM(Raw_Data!M1516)="","Not Recorded",TRIM(Raw_Data!M1516)))</f>
        <v>Job Dissatisfaction</v>
      </c>
      <c r="P1516" s="16" t="n">
        <f aca="false">ROUND((IF(C1516="",AsOfDate,C1516)-B1516)/365.25,2)</f>
        <v>1.41</v>
      </c>
      <c r="Q1516" s="13" t="str">
        <f aca="false">IF(D1516="","Unknown",IF(D1516&lt;25,"Under 25",IF(D1516&lt;35,"25-34",IF(D1516&lt;45,"35-44",IF(D1516&lt;55,"45-54","55+")))))</f>
        <v>25-34</v>
      </c>
      <c r="R1516" s="13" t="str">
        <f aca="false">IF(P1516&lt;1,"0-1 yrs",IF(P1516&lt;3,"1-3 yrs",IF(P1516&lt;5,"3-5 yrs",IF(P1516&lt;10,"5-10 yrs","10+ yrs"))))</f>
        <v>1-3 yrs</v>
      </c>
      <c r="S1516" s="13" t="str">
        <f aca="false">IF(I1516&gt;=4,"High",IF(I1516=3,"Medium","Low"))</f>
        <v>High</v>
      </c>
      <c r="T1516" s="13" t="n">
        <f aca="false">IF(M1516=1,YEAR(C1516),"")</f>
        <v>2024</v>
      </c>
      <c r="U1516" s="13" t="str">
        <f aca="false">IF(M1516=1,YEAR(C1516)&amp;"-Q"&amp;ROUNDUP(MONTH(C1516)/3,0),"")</f>
        <v>2024-Q4</v>
      </c>
      <c r="V1516" s="13" t="n">
        <f aca="false">IF(M1516=1,MONTH(C1516),"")</f>
        <v>10</v>
      </c>
    </row>
    <row r="1517" customFormat="false" ht="15" hidden="false" customHeight="false" outlineLevel="0" collapsed="false">
      <c r="A1517" s="13" t="str">
        <f aca="false">TRIM(Raw_Data!A1517)</f>
        <v>EMP1516</v>
      </c>
      <c r="B1517" s="14" t="n">
        <f aca="false">Raw_Data!B1517</f>
        <v>45063</v>
      </c>
      <c r="C1517" s="14" t="str">
        <f aca="false">IF(Raw_Data!C1517="","",Raw_Data!C1517)</f>
        <v/>
      </c>
      <c r="D1517" s="13" t="n">
        <f aca="false">IF(Raw_Data!D1517="","",Raw_Data!D1517)</f>
        <v>32</v>
      </c>
      <c r="E1517" s="13" t="str">
        <f aca="false">IF(UPPER(LEFT(TRIM(Raw_Data!E1517),1))="M","Male",IF(UPPER(LEFT(TRIM(Raw_Data!E1517),1))="F","Female","Unknown"))</f>
        <v>Male</v>
      </c>
      <c r="F1517" s="13" t="str">
        <f aca="false">PROPER(TRIM(SUBSTITUTE(Raw_Data!F1517,"'","")))</f>
        <v>High School</v>
      </c>
      <c r="G1517" s="13" t="str">
        <f aca="false">PROPER(TRIM(Raw_Data!G1517))</f>
        <v>Operations</v>
      </c>
      <c r="H1517" s="13" t="str">
        <f aca="false">PROPER(TRIM(Raw_Data!H1517))</f>
        <v>Associate</v>
      </c>
      <c r="I1517" s="13" t="n">
        <f aca="false">IF(Raw_Data!I1517="",DefaultPerf,Raw_Data!I1517)</f>
        <v>3</v>
      </c>
      <c r="J1517" s="13" t="n">
        <f aca="false">IF(Raw_Data!J1517="",DefaultSat,Raw_Data!J1517)</f>
        <v>1</v>
      </c>
      <c r="K1517" s="15" t="n">
        <f aca="false">Raw_Data!K1517</f>
        <v>39500</v>
      </c>
      <c r="L1517" s="13" t="str">
        <f aca="false">PROPER(TRIM(Raw_Data!N1517))</f>
        <v>No</v>
      </c>
      <c r="M1517" s="13" t="n">
        <f aca="false">IF(C1517="",0,1)</f>
        <v>0</v>
      </c>
      <c r="N1517" s="13" t="str">
        <f aca="false">IF(M1517=0,"Active",IF(TRIM(Raw_Data!L1517)="","Unknown",PROPER(TRIM(Raw_Data!L1517))))</f>
        <v>Active</v>
      </c>
      <c r="O1517" s="13" t="str">
        <f aca="false">IF(M1517=0,"",IF(TRIM(Raw_Data!M1517)="","Not Recorded",TRIM(Raw_Data!M1517)))</f>
        <v/>
      </c>
      <c r="P1517" s="16" t="n">
        <f aca="false">ROUND((IF(C1517="",AsOfDate,C1517)-B1517)/365.25,2)</f>
        <v>2.63</v>
      </c>
      <c r="Q1517" s="13" t="str">
        <f aca="false">IF(D1517="","Unknown",IF(D1517&lt;25,"Under 25",IF(D1517&lt;35,"25-34",IF(D1517&lt;45,"35-44",IF(D1517&lt;55,"45-54","55+")))))</f>
        <v>25-34</v>
      </c>
      <c r="R1517" s="13" t="str">
        <f aca="false">IF(P1517&lt;1,"0-1 yrs",IF(P1517&lt;3,"1-3 yrs",IF(P1517&lt;5,"3-5 yrs",IF(P1517&lt;10,"5-10 yrs","10+ yrs"))))</f>
        <v>1-3 yrs</v>
      </c>
      <c r="S1517" s="13" t="str">
        <f aca="false">IF(I1517&gt;=4,"High",IF(I1517=3,"Medium","Low"))</f>
        <v>Medium</v>
      </c>
      <c r="T1517" s="13" t="str">
        <f aca="false">IF(M1517=1,YEAR(C1517),"")</f>
        <v/>
      </c>
      <c r="U1517" s="13" t="str">
        <f aca="false">IF(M1517=1,YEAR(C1517)&amp;"-Q"&amp;ROUNDUP(MONTH(C1517)/3,0),"")</f>
        <v/>
      </c>
      <c r="V1517" s="13" t="str">
        <f aca="false">IF(M1517=1,MONTH(C1517),"")</f>
        <v/>
      </c>
    </row>
    <row r="1518" customFormat="false" ht="15" hidden="false" customHeight="false" outlineLevel="0" collapsed="false">
      <c r="A1518" s="13" t="str">
        <f aca="false">TRIM(Raw_Data!A1518)</f>
        <v>EMP1517</v>
      </c>
      <c r="B1518" s="14" t="n">
        <f aca="false">Raw_Data!B1518</f>
        <v>45063</v>
      </c>
      <c r="C1518" s="14" t="n">
        <f aca="false">IF(Raw_Data!C1518="","",Raw_Data!C1518)</f>
        <v>45857</v>
      </c>
      <c r="D1518" s="13" t="n">
        <f aca="false">IF(Raw_Data!D1518="","",Raw_Data!D1518)</f>
        <v>36</v>
      </c>
      <c r="E1518" s="13" t="str">
        <f aca="false">IF(UPPER(LEFT(TRIM(Raw_Data!E1518),1))="M","Male",IF(UPPER(LEFT(TRIM(Raw_Data!E1518),1))="F","Female","Unknown"))</f>
        <v>Male</v>
      </c>
      <c r="F1518" s="13" t="str">
        <f aca="false">PROPER(TRIM(SUBSTITUTE(Raw_Data!F1518,"'","")))</f>
        <v>Masters</v>
      </c>
      <c r="G1518" s="13" t="str">
        <f aca="false">PROPER(TRIM(Raw_Data!G1518))</f>
        <v>Human Resources</v>
      </c>
      <c r="H1518" s="13" t="str">
        <f aca="false">PROPER(TRIM(Raw_Data!H1518))</f>
        <v>Associate</v>
      </c>
      <c r="I1518" s="13" t="n">
        <f aca="false">IF(Raw_Data!I1518="",DefaultPerf,Raw_Data!I1518)</f>
        <v>4</v>
      </c>
      <c r="J1518" s="13" t="n">
        <f aca="false">IF(Raw_Data!J1518="",DefaultSat,Raw_Data!J1518)</f>
        <v>1</v>
      </c>
      <c r="K1518" s="15" t="n">
        <f aca="false">Raw_Data!K1518</f>
        <v>38000</v>
      </c>
      <c r="L1518" s="13" t="str">
        <f aca="false">PROPER(TRIM(Raw_Data!N1518))</f>
        <v>No</v>
      </c>
      <c r="M1518" s="13" t="n">
        <f aca="false">IF(C1518="",0,1)</f>
        <v>1</v>
      </c>
      <c r="N1518" s="13" t="str">
        <f aca="false">IF(M1518=0,"Active",IF(TRIM(Raw_Data!L1518)="","Unknown",PROPER(TRIM(Raw_Data!L1518))))</f>
        <v>Voluntary</v>
      </c>
      <c r="O1518" s="13" t="str">
        <f aca="false">IF(M1518=0,"",IF(TRIM(Raw_Data!M1518)="","Not Recorded",TRIM(Raw_Data!M1518)))</f>
        <v>Job Dissatisfaction</v>
      </c>
      <c r="P1518" s="16" t="n">
        <f aca="false">ROUND((IF(C1518="",AsOfDate,C1518)-B1518)/365.25,2)</f>
        <v>2.17</v>
      </c>
      <c r="Q1518" s="13" t="str">
        <f aca="false">IF(D1518="","Unknown",IF(D1518&lt;25,"Under 25",IF(D1518&lt;35,"25-34",IF(D1518&lt;45,"35-44",IF(D1518&lt;55,"45-54","55+")))))</f>
        <v>35-44</v>
      </c>
      <c r="R1518" s="13" t="str">
        <f aca="false">IF(P1518&lt;1,"0-1 yrs",IF(P1518&lt;3,"1-3 yrs",IF(P1518&lt;5,"3-5 yrs",IF(P1518&lt;10,"5-10 yrs","10+ yrs"))))</f>
        <v>1-3 yrs</v>
      </c>
      <c r="S1518" s="13" t="str">
        <f aca="false">IF(I1518&gt;=4,"High",IF(I1518=3,"Medium","Low"))</f>
        <v>High</v>
      </c>
      <c r="T1518" s="13" t="n">
        <f aca="false">IF(M1518=1,YEAR(C1518),"")</f>
        <v>2025</v>
      </c>
      <c r="U1518" s="13" t="str">
        <f aca="false">IF(M1518=1,YEAR(C1518)&amp;"-Q"&amp;ROUNDUP(MONTH(C1518)/3,0),"")</f>
        <v>2025-Q3</v>
      </c>
      <c r="V1518" s="13" t="n">
        <f aca="false">IF(M1518=1,MONTH(C1518),"")</f>
        <v>7</v>
      </c>
    </row>
    <row r="1519" customFormat="false" ht="15" hidden="false" customHeight="false" outlineLevel="0" collapsed="false">
      <c r="A1519" s="13" t="str">
        <f aca="false">TRIM(Raw_Data!A1519)</f>
        <v>EMP1518</v>
      </c>
      <c r="B1519" s="14" t="n">
        <f aca="false">Raw_Data!B1519</f>
        <v>45065</v>
      </c>
      <c r="C1519" s="14" t="str">
        <f aca="false">IF(Raw_Data!C1519="","",Raw_Data!C1519)</f>
        <v/>
      </c>
      <c r="D1519" s="13" t="n">
        <f aca="false">IF(Raw_Data!D1519="","",Raw_Data!D1519)</f>
        <v>29</v>
      </c>
      <c r="E1519" s="13" t="str">
        <f aca="false">IF(UPPER(LEFT(TRIM(Raw_Data!E1519),1))="M","Male",IF(UPPER(LEFT(TRIM(Raw_Data!E1519),1))="F","Female","Unknown"))</f>
        <v>Female</v>
      </c>
      <c r="F1519" s="13" t="str">
        <f aca="false">PROPER(TRIM(SUBSTITUTE(Raw_Data!F1519,"'","")))</f>
        <v>Bachelors</v>
      </c>
      <c r="G1519" s="13" t="str">
        <f aca="false">PROPER(TRIM(Raw_Data!G1519))</f>
        <v>Engineering</v>
      </c>
      <c r="H1519" s="13" t="str">
        <f aca="false">PROPER(TRIM(Raw_Data!H1519))</f>
        <v>Specialist</v>
      </c>
      <c r="I1519" s="13" t="n">
        <f aca="false">IF(Raw_Data!I1519="",DefaultPerf,Raw_Data!I1519)</f>
        <v>3</v>
      </c>
      <c r="J1519" s="13" t="n">
        <f aca="false">IF(Raw_Data!J1519="",DefaultSat,Raw_Data!J1519)</f>
        <v>3</v>
      </c>
      <c r="K1519" s="15" t="n">
        <f aca="false">Raw_Data!K1519</f>
        <v>98500</v>
      </c>
      <c r="L1519" s="13" t="str">
        <f aca="false">PROPER(TRIM(Raw_Data!N1519))</f>
        <v>No</v>
      </c>
      <c r="M1519" s="13" t="n">
        <f aca="false">IF(C1519="",0,1)</f>
        <v>0</v>
      </c>
      <c r="N1519" s="13" t="str">
        <f aca="false">IF(M1519=0,"Active",IF(TRIM(Raw_Data!L1519)="","Unknown",PROPER(TRIM(Raw_Data!L1519))))</f>
        <v>Active</v>
      </c>
      <c r="O1519" s="13" t="str">
        <f aca="false">IF(M1519=0,"",IF(TRIM(Raw_Data!M1519)="","Not Recorded",TRIM(Raw_Data!M1519)))</f>
        <v/>
      </c>
      <c r="P1519" s="16" t="n">
        <f aca="false">ROUND((IF(C1519="",AsOfDate,C1519)-B1519)/365.25,2)</f>
        <v>2.62</v>
      </c>
      <c r="Q1519" s="13" t="str">
        <f aca="false">IF(D1519="","Unknown",IF(D1519&lt;25,"Under 25",IF(D1519&lt;35,"25-34",IF(D1519&lt;45,"35-44",IF(D1519&lt;55,"45-54","55+")))))</f>
        <v>25-34</v>
      </c>
      <c r="R1519" s="13" t="str">
        <f aca="false">IF(P1519&lt;1,"0-1 yrs",IF(P1519&lt;3,"1-3 yrs",IF(P1519&lt;5,"3-5 yrs",IF(P1519&lt;10,"5-10 yrs","10+ yrs"))))</f>
        <v>1-3 yrs</v>
      </c>
      <c r="S1519" s="13" t="str">
        <f aca="false">IF(I1519&gt;=4,"High",IF(I1519=3,"Medium","Low"))</f>
        <v>Medium</v>
      </c>
      <c r="T1519" s="13" t="str">
        <f aca="false">IF(M1519=1,YEAR(C1519),"")</f>
        <v/>
      </c>
      <c r="U1519" s="13" t="str">
        <f aca="false">IF(M1519=1,YEAR(C1519)&amp;"-Q"&amp;ROUNDUP(MONTH(C1519)/3,0),"")</f>
        <v/>
      </c>
      <c r="V1519" s="13" t="str">
        <f aca="false">IF(M1519=1,MONTH(C1519),"")</f>
        <v/>
      </c>
    </row>
    <row r="1520" customFormat="false" ht="15" hidden="false" customHeight="false" outlineLevel="0" collapsed="false">
      <c r="A1520" s="13" t="str">
        <f aca="false">TRIM(Raw_Data!A1520)</f>
        <v>EMP1519</v>
      </c>
      <c r="B1520" s="14" t="n">
        <f aca="false">Raw_Data!B1520</f>
        <v>45065</v>
      </c>
      <c r="C1520" s="14" t="n">
        <f aca="false">IF(Raw_Data!C1520="","",Raw_Data!C1520)</f>
        <v>45378</v>
      </c>
      <c r="D1520" s="13" t="n">
        <f aca="false">IF(Raw_Data!D1520="","",Raw_Data!D1520)</f>
        <v>26</v>
      </c>
      <c r="E1520" s="13" t="str">
        <f aca="false">IF(UPPER(LEFT(TRIM(Raw_Data!E1520),1))="M","Male",IF(UPPER(LEFT(TRIM(Raw_Data!E1520),1))="F","Female","Unknown"))</f>
        <v>Female</v>
      </c>
      <c r="F1520" s="13" t="str">
        <f aca="false">PROPER(TRIM(SUBSTITUTE(Raw_Data!F1520,"'","")))</f>
        <v>Masters</v>
      </c>
      <c r="G1520" s="13" t="str">
        <f aca="false">PROPER(TRIM(Raw_Data!G1520))</f>
        <v>Sales</v>
      </c>
      <c r="H1520" s="13" t="str">
        <f aca="false">PROPER(TRIM(Raw_Data!H1520))</f>
        <v>Associate</v>
      </c>
      <c r="I1520" s="13" t="n">
        <f aca="false">IF(Raw_Data!I1520="",DefaultPerf,Raw_Data!I1520)</f>
        <v>1</v>
      </c>
      <c r="J1520" s="13" t="n">
        <f aca="false">IF(Raw_Data!J1520="",DefaultSat,Raw_Data!J1520)</f>
        <v>4</v>
      </c>
      <c r="K1520" s="15" t="n">
        <f aca="false">Raw_Data!K1520</f>
        <v>37000</v>
      </c>
      <c r="L1520" s="13" t="str">
        <f aca="false">PROPER(TRIM(Raw_Data!N1520))</f>
        <v>Yes</v>
      </c>
      <c r="M1520" s="13" t="n">
        <f aca="false">IF(C1520="",0,1)</f>
        <v>1</v>
      </c>
      <c r="N1520" s="13" t="str">
        <f aca="false">IF(M1520=0,"Active",IF(TRIM(Raw_Data!L1520)="","Unknown",PROPER(TRIM(Raw_Data!L1520))))</f>
        <v>Involuntary</v>
      </c>
      <c r="O1520" s="13" t="str">
        <f aca="false">IF(M1520=0,"",IF(TRIM(Raw_Data!M1520)="","Not Recorded",TRIM(Raw_Data!M1520)))</f>
        <v>Poor Performance</v>
      </c>
      <c r="P1520" s="16" t="n">
        <f aca="false">ROUND((IF(C1520="",AsOfDate,C1520)-B1520)/365.25,2)</f>
        <v>0.86</v>
      </c>
      <c r="Q1520" s="13" t="str">
        <f aca="false">IF(D1520="","Unknown",IF(D1520&lt;25,"Under 25",IF(D1520&lt;35,"25-34",IF(D1520&lt;45,"35-44",IF(D1520&lt;55,"45-54","55+")))))</f>
        <v>25-34</v>
      </c>
      <c r="R1520" s="13" t="str">
        <f aca="false">IF(P1520&lt;1,"0-1 yrs",IF(P1520&lt;3,"1-3 yrs",IF(P1520&lt;5,"3-5 yrs",IF(P1520&lt;10,"5-10 yrs","10+ yrs"))))</f>
        <v>0-1 yrs</v>
      </c>
      <c r="S1520" s="13" t="str">
        <f aca="false">IF(I1520&gt;=4,"High",IF(I1520=3,"Medium","Low"))</f>
        <v>Low</v>
      </c>
      <c r="T1520" s="13" t="n">
        <f aca="false">IF(M1520=1,YEAR(C1520),"")</f>
        <v>2024</v>
      </c>
      <c r="U1520" s="13" t="str">
        <f aca="false">IF(M1520=1,YEAR(C1520)&amp;"-Q"&amp;ROUNDUP(MONTH(C1520)/3,0),"")</f>
        <v>2024-Q1</v>
      </c>
      <c r="V1520" s="13" t="n">
        <f aca="false">IF(M1520=1,MONTH(C1520),"")</f>
        <v>3</v>
      </c>
    </row>
    <row r="1521" customFormat="false" ht="15" hidden="false" customHeight="false" outlineLevel="0" collapsed="false">
      <c r="A1521" s="13" t="str">
        <f aca="false">TRIM(Raw_Data!A1521)</f>
        <v>EMP1520</v>
      </c>
      <c r="B1521" s="14" t="n">
        <f aca="false">Raw_Data!B1521</f>
        <v>45066</v>
      </c>
      <c r="C1521" s="14" t="n">
        <f aca="false">IF(Raw_Data!C1521="","",Raw_Data!C1521)</f>
        <v>45659</v>
      </c>
      <c r="D1521" s="13" t="n">
        <f aca="false">IF(Raw_Data!D1521="","",Raw_Data!D1521)</f>
        <v>36</v>
      </c>
      <c r="E1521" s="13" t="str">
        <f aca="false">IF(UPPER(LEFT(TRIM(Raw_Data!E1521),1))="M","Male",IF(UPPER(LEFT(TRIM(Raw_Data!E1521),1))="F","Female","Unknown"))</f>
        <v>Female</v>
      </c>
      <c r="F1521" s="13" t="str">
        <f aca="false">PROPER(TRIM(SUBSTITUTE(Raw_Data!F1521,"'","")))</f>
        <v>Bachelors</v>
      </c>
      <c r="G1521" s="13" t="str">
        <f aca="false">PROPER(TRIM(Raw_Data!G1521))</f>
        <v>Engineering</v>
      </c>
      <c r="H1521" s="13" t="str">
        <f aca="false">PROPER(TRIM(Raw_Data!H1521))</f>
        <v>Specialist</v>
      </c>
      <c r="I1521" s="13" t="n">
        <f aca="false">IF(Raw_Data!I1521="",DefaultPerf,Raw_Data!I1521)</f>
        <v>2</v>
      </c>
      <c r="J1521" s="13" t="n">
        <f aca="false">IF(Raw_Data!J1521="",DefaultSat,Raw_Data!J1521)</f>
        <v>4</v>
      </c>
      <c r="K1521" s="15" t="n">
        <f aca="false">Raw_Data!K1521</f>
        <v>109500</v>
      </c>
      <c r="L1521" s="13" t="str">
        <f aca="false">PROPER(TRIM(Raw_Data!N1521))</f>
        <v>Yes</v>
      </c>
      <c r="M1521" s="13" t="n">
        <f aca="false">IF(C1521="",0,1)</f>
        <v>1</v>
      </c>
      <c r="N1521" s="13" t="str">
        <f aca="false">IF(M1521=0,"Active",IF(TRIM(Raw_Data!L1521)="","Unknown",PROPER(TRIM(Raw_Data!L1521))))</f>
        <v>Voluntary</v>
      </c>
      <c r="O1521" s="13" t="str">
        <f aca="false">IF(M1521=0,"",IF(TRIM(Raw_Data!M1521)="","Not Recorded",TRIM(Raw_Data!M1521)))</f>
        <v>Manager Issues</v>
      </c>
      <c r="P1521" s="16" t="n">
        <f aca="false">ROUND((IF(C1521="",AsOfDate,C1521)-B1521)/365.25,2)</f>
        <v>1.62</v>
      </c>
      <c r="Q1521" s="13" t="str">
        <f aca="false">IF(D1521="","Unknown",IF(D1521&lt;25,"Under 25",IF(D1521&lt;35,"25-34",IF(D1521&lt;45,"35-44",IF(D1521&lt;55,"45-54","55+")))))</f>
        <v>35-44</v>
      </c>
      <c r="R1521" s="13" t="str">
        <f aca="false">IF(P1521&lt;1,"0-1 yrs",IF(P1521&lt;3,"1-3 yrs",IF(P1521&lt;5,"3-5 yrs",IF(P1521&lt;10,"5-10 yrs","10+ yrs"))))</f>
        <v>1-3 yrs</v>
      </c>
      <c r="S1521" s="13" t="str">
        <f aca="false">IF(I1521&gt;=4,"High",IF(I1521=3,"Medium","Low"))</f>
        <v>Low</v>
      </c>
      <c r="T1521" s="13" t="n">
        <f aca="false">IF(M1521=1,YEAR(C1521),"")</f>
        <v>2025</v>
      </c>
      <c r="U1521" s="13" t="str">
        <f aca="false">IF(M1521=1,YEAR(C1521)&amp;"-Q"&amp;ROUNDUP(MONTH(C1521)/3,0),"")</f>
        <v>2025-Q1</v>
      </c>
      <c r="V1521" s="13" t="n">
        <f aca="false">IF(M1521=1,MONTH(C1521),"")</f>
        <v>1</v>
      </c>
    </row>
    <row r="1522" customFormat="false" ht="15" hidden="false" customHeight="false" outlineLevel="0" collapsed="false">
      <c r="A1522" s="13" t="str">
        <f aca="false">TRIM(Raw_Data!A1522)</f>
        <v>EMP1521</v>
      </c>
      <c r="B1522" s="14" t="n">
        <f aca="false">Raw_Data!B1522</f>
        <v>45069</v>
      </c>
      <c r="C1522" s="14" t="str">
        <f aca="false">IF(Raw_Data!C1522="","",Raw_Data!C1522)</f>
        <v/>
      </c>
      <c r="D1522" s="13" t="n">
        <f aca="false">IF(Raw_Data!D1522="","",Raw_Data!D1522)</f>
        <v>27</v>
      </c>
      <c r="E1522" s="13" t="str">
        <f aca="false">IF(UPPER(LEFT(TRIM(Raw_Data!E1522),1))="M","Male",IF(UPPER(LEFT(TRIM(Raw_Data!E1522),1))="F","Female","Unknown"))</f>
        <v>Male</v>
      </c>
      <c r="F1522" s="13" t="str">
        <f aca="false">PROPER(TRIM(SUBSTITUTE(Raw_Data!F1522,"'","")))</f>
        <v>Doctorate</v>
      </c>
      <c r="G1522" s="13" t="str">
        <f aca="false">PROPER(TRIM(Raw_Data!G1522))</f>
        <v>Engineering</v>
      </c>
      <c r="H1522" s="13" t="str">
        <f aca="false">PROPER(TRIM(Raw_Data!H1522))</f>
        <v>Specialist</v>
      </c>
      <c r="I1522" s="13" t="n">
        <f aca="false">IF(Raw_Data!I1522="",DefaultPerf,Raw_Data!I1522)</f>
        <v>2</v>
      </c>
      <c r="J1522" s="13" t="n">
        <f aca="false">IF(Raw_Data!J1522="",DefaultSat,Raw_Data!J1522)</f>
        <v>4</v>
      </c>
      <c r="K1522" s="15" t="n">
        <f aca="false">Raw_Data!K1522</f>
        <v>87000</v>
      </c>
      <c r="L1522" s="13" t="str">
        <f aca="false">PROPER(TRIM(Raw_Data!N1522))</f>
        <v>No</v>
      </c>
      <c r="M1522" s="13" t="n">
        <f aca="false">IF(C1522="",0,1)</f>
        <v>0</v>
      </c>
      <c r="N1522" s="13" t="str">
        <f aca="false">IF(M1522=0,"Active",IF(TRIM(Raw_Data!L1522)="","Unknown",PROPER(TRIM(Raw_Data!L1522))))</f>
        <v>Active</v>
      </c>
      <c r="O1522" s="13" t="str">
        <f aca="false">IF(M1522=0,"",IF(TRIM(Raw_Data!M1522)="","Not Recorded",TRIM(Raw_Data!M1522)))</f>
        <v/>
      </c>
      <c r="P1522" s="16" t="n">
        <f aca="false">ROUND((IF(C1522="",AsOfDate,C1522)-B1522)/365.25,2)</f>
        <v>2.61</v>
      </c>
      <c r="Q1522" s="13" t="str">
        <f aca="false">IF(D1522="","Unknown",IF(D1522&lt;25,"Under 25",IF(D1522&lt;35,"25-34",IF(D1522&lt;45,"35-44",IF(D1522&lt;55,"45-54","55+")))))</f>
        <v>25-34</v>
      </c>
      <c r="R1522" s="13" t="str">
        <f aca="false">IF(P1522&lt;1,"0-1 yrs",IF(P1522&lt;3,"1-3 yrs",IF(P1522&lt;5,"3-5 yrs",IF(P1522&lt;10,"5-10 yrs","10+ yrs"))))</f>
        <v>1-3 yrs</v>
      </c>
      <c r="S1522" s="13" t="str">
        <f aca="false">IF(I1522&gt;=4,"High",IF(I1522=3,"Medium","Low"))</f>
        <v>Low</v>
      </c>
      <c r="T1522" s="13" t="str">
        <f aca="false">IF(M1522=1,YEAR(C1522),"")</f>
        <v/>
      </c>
      <c r="U1522" s="13" t="str">
        <f aca="false">IF(M1522=1,YEAR(C1522)&amp;"-Q"&amp;ROUNDUP(MONTH(C1522)/3,0),"")</f>
        <v/>
      </c>
      <c r="V1522" s="13" t="str">
        <f aca="false">IF(M1522=1,MONTH(C1522),"")</f>
        <v/>
      </c>
    </row>
    <row r="1523" customFormat="false" ht="15" hidden="false" customHeight="false" outlineLevel="0" collapsed="false">
      <c r="A1523" s="13" t="str">
        <f aca="false">TRIM(Raw_Data!A1523)</f>
        <v>EMP1522</v>
      </c>
      <c r="B1523" s="14" t="n">
        <f aca="false">Raw_Data!B1523</f>
        <v>45070</v>
      </c>
      <c r="C1523" s="14" t="n">
        <f aca="false">IF(Raw_Data!C1523="","",Raw_Data!C1523)</f>
        <v>45441</v>
      </c>
      <c r="D1523" s="13" t="n">
        <f aca="false">IF(Raw_Data!D1523="","",Raw_Data!D1523)</f>
        <v>26</v>
      </c>
      <c r="E1523" s="13" t="str">
        <f aca="false">IF(UPPER(LEFT(TRIM(Raw_Data!E1523),1))="M","Male",IF(UPPER(LEFT(TRIM(Raw_Data!E1523),1))="F","Female","Unknown"))</f>
        <v>Male</v>
      </c>
      <c r="F1523" s="13" t="str">
        <f aca="false">PROPER(TRIM(SUBSTITUTE(Raw_Data!F1523,"'","")))</f>
        <v>Diploma</v>
      </c>
      <c r="G1523" s="13" t="str">
        <f aca="false">PROPER(TRIM(Raw_Data!G1523))</f>
        <v>Operations</v>
      </c>
      <c r="H1523" s="13" t="str">
        <f aca="false">PROPER(TRIM(Raw_Data!H1523))</f>
        <v>Specialist</v>
      </c>
      <c r="I1523" s="13" t="n">
        <f aca="false">IF(Raw_Data!I1523="",DefaultPerf,Raw_Data!I1523)</f>
        <v>5</v>
      </c>
      <c r="J1523" s="13" t="n">
        <f aca="false">IF(Raw_Data!J1523="",DefaultSat,Raw_Data!J1523)</f>
        <v>4</v>
      </c>
      <c r="K1523" s="15" t="n">
        <f aca="false">Raw_Data!K1523</f>
        <v>125000</v>
      </c>
      <c r="L1523" s="13" t="str">
        <f aca="false">PROPER(TRIM(Raw_Data!N1523))</f>
        <v>No</v>
      </c>
      <c r="M1523" s="13" t="n">
        <f aca="false">IF(C1523="",0,1)</f>
        <v>1</v>
      </c>
      <c r="N1523" s="13" t="str">
        <f aca="false">IF(M1523=0,"Active",IF(TRIM(Raw_Data!L1523)="","Unknown",PROPER(TRIM(Raw_Data!L1523))))</f>
        <v>Voluntary</v>
      </c>
      <c r="O1523" s="13" t="str">
        <f aca="false">IF(M1523=0,"",IF(TRIM(Raw_Data!M1523)="","Not Recorded",TRIM(Raw_Data!M1523)))</f>
        <v>Career Growth</v>
      </c>
      <c r="P1523" s="16" t="n">
        <f aca="false">ROUND((IF(C1523="",AsOfDate,C1523)-B1523)/365.25,2)</f>
        <v>1.02</v>
      </c>
      <c r="Q1523" s="13" t="str">
        <f aca="false">IF(D1523="","Unknown",IF(D1523&lt;25,"Under 25",IF(D1523&lt;35,"25-34",IF(D1523&lt;45,"35-44",IF(D1523&lt;55,"45-54","55+")))))</f>
        <v>25-34</v>
      </c>
      <c r="R1523" s="13" t="str">
        <f aca="false">IF(P1523&lt;1,"0-1 yrs",IF(P1523&lt;3,"1-3 yrs",IF(P1523&lt;5,"3-5 yrs",IF(P1523&lt;10,"5-10 yrs","10+ yrs"))))</f>
        <v>1-3 yrs</v>
      </c>
      <c r="S1523" s="13" t="str">
        <f aca="false">IF(I1523&gt;=4,"High",IF(I1523=3,"Medium","Low"))</f>
        <v>High</v>
      </c>
      <c r="T1523" s="13" t="n">
        <f aca="false">IF(M1523=1,YEAR(C1523),"")</f>
        <v>2024</v>
      </c>
      <c r="U1523" s="13" t="str">
        <f aca="false">IF(M1523=1,YEAR(C1523)&amp;"-Q"&amp;ROUNDUP(MONTH(C1523)/3,0),"")</f>
        <v>2024-Q2</v>
      </c>
      <c r="V1523" s="13" t="n">
        <f aca="false">IF(M1523=1,MONTH(C1523),"")</f>
        <v>5</v>
      </c>
    </row>
    <row r="1524" customFormat="false" ht="15" hidden="false" customHeight="false" outlineLevel="0" collapsed="false">
      <c r="A1524" s="13" t="str">
        <f aca="false">TRIM(Raw_Data!A1524)</f>
        <v>EMP1523</v>
      </c>
      <c r="B1524" s="14" t="n">
        <f aca="false">Raw_Data!B1524</f>
        <v>45073</v>
      </c>
      <c r="C1524" s="14" t="str">
        <f aca="false">IF(Raw_Data!C1524="","",Raw_Data!C1524)</f>
        <v/>
      </c>
      <c r="D1524" s="13" t="n">
        <f aca="false">IF(Raw_Data!D1524="","",Raw_Data!D1524)</f>
        <v>29</v>
      </c>
      <c r="E1524" s="13" t="str">
        <f aca="false">IF(UPPER(LEFT(TRIM(Raw_Data!E1524),1))="M","Male",IF(UPPER(LEFT(TRIM(Raw_Data!E1524),1))="F","Female","Unknown"))</f>
        <v>Male</v>
      </c>
      <c r="F1524" s="13" t="str">
        <f aca="false">PROPER(TRIM(SUBSTITUTE(Raw_Data!F1524,"'","")))</f>
        <v>Masters</v>
      </c>
      <c r="G1524" s="13" t="str">
        <f aca="false">PROPER(TRIM(Raw_Data!G1524))</f>
        <v>Sales</v>
      </c>
      <c r="H1524" s="13" t="str">
        <f aca="false">PROPER(TRIM(Raw_Data!H1524))</f>
        <v>Team Lead</v>
      </c>
      <c r="I1524" s="13" t="n">
        <f aca="false">IF(Raw_Data!I1524="",DefaultPerf,Raw_Data!I1524)</f>
        <v>3</v>
      </c>
      <c r="J1524" s="13" t="n">
        <f aca="false">IF(Raw_Data!J1524="",DefaultSat,Raw_Data!J1524)</f>
        <v>4</v>
      </c>
      <c r="K1524" s="15" t="n">
        <f aca="false">Raw_Data!K1524</f>
        <v>129000</v>
      </c>
      <c r="L1524" s="13" t="str">
        <f aca="false">PROPER(TRIM(Raw_Data!N1524))</f>
        <v>No</v>
      </c>
      <c r="M1524" s="13" t="n">
        <f aca="false">IF(C1524="",0,1)</f>
        <v>0</v>
      </c>
      <c r="N1524" s="13" t="str">
        <f aca="false">IF(M1524=0,"Active",IF(TRIM(Raw_Data!L1524)="","Unknown",PROPER(TRIM(Raw_Data!L1524))))</f>
        <v>Active</v>
      </c>
      <c r="O1524" s="13" t="str">
        <f aca="false">IF(M1524=0,"",IF(TRIM(Raw_Data!M1524)="","Not Recorded",TRIM(Raw_Data!M1524)))</f>
        <v/>
      </c>
      <c r="P1524" s="16" t="n">
        <f aca="false">ROUND((IF(C1524="",AsOfDate,C1524)-B1524)/365.25,2)</f>
        <v>2.6</v>
      </c>
      <c r="Q1524" s="13" t="str">
        <f aca="false">IF(D1524="","Unknown",IF(D1524&lt;25,"Under 25",IF(D1524&lt;35,"25-34",IF(D1524&lt;45,"35-44",IF(D1524&lt;55,"45-54","55+")))))</f>
        <v>25-34</v>
      </c>
      <c r="R1524" s="13" t="str">
        <f aca="false">IF(P1524&lt;1,"0-1 yrs",IF(P1524&lt;3,"1-3 yrs",IF(P1524&lt;5,"3-5 yrs",IF(P1524&lt;10,"5-10 yrs","10+ yrs"))))</f>
        <v>1-3 yrs</v>
      </c>
      <c r="S1524" s="13" t="str">
        <f aca="false">IF(I1524&gt;=4,"High",IF(I1524=3,"Medium","Low"))</f>
        <v>Medium</v>
      </c>
      <c r="T1524" s="13" t="str">
        <f aca="false">IF(M1524=1,YEAR(C1524),"")</f>
        <v/>
      </c>
      <c r="U1524" s="13" t="str">
        <f aca="false">IF(M1524=1,YEAR(C1524)&amp;"-Q"&amp;ROUNDUP(MONTH(C1524)/3,0),"")</f>
        <v/>
      </c>
      <c r="V1524" s="13" t="str">
        <f aca="false">IF(M1524=1,MONTH(C1524),"")</f>
        <v/>
      </c>
    </row>
    <row r="1525" customFormat="false" ht="15" hidden="false" customHeight="false" outlineLevel="0" collapsed="false">
      <c r="A1525" s="13" t="str">
        <f aca="false">TRIM(Raw_Data!A1525)</f>
        <v>EMP1524</v>
      </c>
      <c r="B1525" s="14" t="n">
        <f aca="false">Raw_Data!B1525</f>
        <v>45078</v>
      </c>
      <c r="C1525" s="14" t="n">
        <f aca="false">IF(Raw_Data!C1525="","",Raw_Data!C1525)</f>
        <v>45348</v>
      </c>
      <c r="D1525" s="13" t="n">
        <f aca="false">IF(Raw_Data!D1525="","",Raw_Data!D1525)</f>
        <v>28</v>
      </c>
      <c r="E1525" s="13" t="str">
        <f aca="false">IF(UPPER(LEFT(TRIM(Raw_Data!E1525),1))="M","Male",IF(UPPER(LEFT(TRIM(Raw_Data!E1525),1))="F","Female","Unknown"))</f>
        <v>Female</v>
      </c>
      <c r="F1525" s="13" t="str">
        <f aca="false">PROPER(TRIM(SUBSTITUTE(Raw_Data!F1525,"'","")))</f>
        <v>Bachelors</v>
      </c>
      <c r="G1525" s="13" t="str">
        <f aca="false">PROPER(TRIM(Raw_Data!G1525))</f>
        <v>Customer Support</v>
      </c>
      <c r="H1525" s="13" t="str">
        <f aca="false">PROPER(TRIM(Raw_Data!H1525))</f>
        <v>Analyst</v>
      </c>
      <c r="I1525" s="13" t="n">
        <f aca="false">IF(Raw_Data!I1525="",DefaultPerf,Raw_Data!I1525)</f>
        <v>4</v>
      </c>
      <c r="J1525" s="13" t="n">
        <f aca="false">IF(Raw_Data!J1525="",DefaultSat,Raw_Data!J1525)</f>
        <v>3</v>
      </c>
      <c r="K1525" s="15" t="n">
        <f aca="false">Raw_Data!K1525</f>
        <v>70500</v>
      </c>
      <c r="L1525" s="13" t="str">
        <f aca="false">PROPER(TRIM(Raw_Data!N1525))</f>
        <v>Yes</v>
      </c>
      <c r="M1525" s="13" t="n">
        <f aca="false">IF(C1525="",0,1)</f>
        <v>1</v>
      </c>
      <c r="N1525" s="13" t="str">
        <f aca="false">IF(M1525=0,"Active",IF(TRIM(Raw_Data!L1525)="","Unknown",PROPER(TRIM(Raw_Data!L1525))))</f>
        <v>Voluntary</v>
      </c>
      <c r="O1525" s="13" t="str">
        <f aca="false">IF(M1525=0,"",IF(TRIM(Raw_Data!M1525)="","Not Recorded",TRIM(Raw_Data!M1525)))</f>
        <v>Better Compensation</v>
      </c>
      <c r="P1525" s="16" t="n">
        <f aca="false">ROUND((IF(C1525="",AsOfDate,C1525)-B1525)/365.25,2)</f>
        <v>0.74</v>
      </c>
      <c r="Q1525" s="13" t="str">
        <f aca="false">IF(D1525="","Unknown",IF(D1525&lt;25,"Under 25",IF(D1525&lt;35,"25-34",IF(D1525&lt;45,"35-44",IF(D1525&lt;55,"45-54","55+")))))</f>
        <v>25-34</v>
      </c>
      <c r="R1525" s="13" t="str">
        <f aca="false">IF(P1525&lt;1,"0-1 yrs",IF(P1525&lt;3,"1-3 yrs",IF(P1525&lt;5,"3-5 yrs",IF(P1525&lt;10,"5-10 yrs","10+ yrs"))))</f>
        <v>0-1 yrs</v>
      </c>
      <c r="S1525" s="13" t="str">
        <f aca="false">IF(I1525&gt;=4,"High",IF(I1525=3,"Medium","Low"))</f>
        <v>High</v>
      </c>
      <c r="T1525" s="13" t="n">
        <f aca="false">IF(M1525=1,YEAR(C1525),"")</f>
        <v>2024</v>
      </c>
      <c r="U1525" s="13" t="str">
        <f aca="false">IF(M1525=1,YEAR(C1525)&amp;"-Q"&amp;ROUNDUP(MONTH(C1525)/3,0),"")</f>
        <v>2024-Q1</v>
      </c>
      <c r="V1525" s="13" t="n">
        <f aca="false">IF(M1525=1,MONTH(C1525),"")</f>
        <v>2</v>
      </c>
    </row>
    <row r="1526" customFormat="false" ht="15" hidden="false" customHeight="false" outlineLevel="0" collapsed="false">
      <c r="A1526" s="13" t="str">
        <f aca="false">TRIM(Raw_Data!A1526)</f>
        <v>EMP1525</v>
      </c>
      <c r="B1526" s="14" t="n">
        <f aca="false">Raw_Data!B1526</f>
        <v>45080</v>
      </c>
      <c r="C1526" s="14" t="str">
        <f aca="false">IF(Raw_Data!C1526="","",Raw_Data!C1526)</f>
        <v/>
      </c>
      <c r="D1526" s="13" t="n">
        <f aca="false">IF(Raw_Data!D1526="","",Raw_Data!D1526)</f>
        <v>39</v>
      </c>
      <c r="E1526" s="13" t="str">
        <f aca="false">IF(UPPER(LEFT(TRIM(Raw_Data!E1526),1))="M","Male",IF(UPPER(LEFT(TRIM(Raw_Data!E1526),1))="F","Female","Unknown"))</f>
        <v>Male</v>
      </c>
      <c r="F1526" s="13" t="str">
        <f aca="false">PROPER(TRIM(SUBSTITUTE(Raw_Data!F1526,"'","")))</f>
        <v>High School</v>
      </c>
      <c r="G1526" s="13" t="str">
        <f aca="false">PROPER(TRIM(Raw_Data!G1526))</f>
        <v>Finance</v>
      </c>
      <c r="H1526" s="13" t="str">
        <f aca="false">PROPER(TRIM(Raw_Data!H1526))</f>
        <v>Manager</v>
      </c>
      <c r="I1526" s="13" t="n">
        <f aca="false">IF(Raw_Data!I1526="",DefaultPerf,Raw_Data!I1526)</f>
        <v>3</v>
      </c>
      <c r="J1526" s="13" t="n">
        <f aca="false">IF(Raw_Data!J1526="",DefaultSat,Raw_Data!J1526)</f>
        <v>3</v>
      </c>
      <c r="K1526" s="15" t="n">
        <f aca="false">Raw_Data!K1526</f>
        <v>166000</v>
      </c>
      <c r="L1526" s="13" t="str">
        <f aca="false">PROPER(TRIM(Raw_Data!N1526))</f>
        <v>Yes</v>
      </c>
      <c r="M1526" s="13" t="n">
        <f aca="false">IF(C1526="",0,1)</f>
        <v>0</v>
      </c>
      <c r="N1526" s="13" t="str">
        <f aca="false">IF(M1526=0,"Active",IF(TRIM(Raw_Data!L1526)="","Unknown",PROPER(TRIM(Raw_Data!L1526))))</f>
        <v>Active</v>
      </c>
      <c r="O1526" s="13" t="str">
        <f aca="false">IF(M1526=0,"",IF(TRIM(Raw_Data!M1526)="","Not Recorded",TRIM(Raw_Data!M1526)))</f>
        <v/>
      </c>
      <c r="P1526" s="16" t="n">
        <f aca="false">ROUND((IF(C1526="",AsOfDate,C1526)-B1526)/365.25,2)</f>
        <v>2.58</v>
      </c>
      <c r="Q1526" s="13" t="str">
        <f aca="false">IF(D1526="","Unknown",IF(D1526&lt;25,"Under 25",IF(D1526&lt;35,"25-34",IF(D1526&lt;45,"35-44",IF(D1526&lt;55,"45-54","55+")))))</f>
        <v>35-44</v>
      </c>
      <c r="R1526" s="13" t="str">
        <f aca="false">IF(P1526&lt;1,"0-1 yrs",IF(P1526&lt;3,"1-3 yrs",IF(P1526&lt;5,"3-5 yrs",IF(P1526&lt;10,"5-10 yrs","10+ yrs"))))</f>
        <v>1-3 yrs</v>
      </c>
      <c r="S1526" s="13" t="str">
        <f aca="false">IF(I1526&gt;=4,"High",IF(I1526=3,"Medium","Low"))</f>
        <v>Medium</v>
      </c>
      <c r="T1526" s="13" t="str">
        <f aca="false">IF(M1526=1,YEAR(C1526),"")</f>
        <v/>
      </c>
      <c r="U1526" s="13" t="str">
        <f aca="false">IF(M1526=1,YEAR(C1526)&amp;"-Q"&amp;ROUNDUP(MONTH(C1526)/3,0),"")</f>
        <v/>
      </c>
      <c r="V1526" s="13" t="str">
        <f aca="false">IF(M1526=1,MONTH(C1526),"")</f>
        <v/>
      </c>
    </row>
    <row r="1527" customFormat="false" ht="15" hidden="false" customHeight="false" outlineLevel="0" collapsed="false">
      <c r="A1527" s="13" t="str">
        <f aca="false">TRIM(Raw_Data!A1527)</f>
        <v>EMP1526</v>
      </c>
      <c r="B1527" s="14" t="n">
        <f aca="false">Raw_Data!B1527</f>
        <v>45082</v>
      </c>
      <c r="C1527" s="14" t="n">
        <f aca="false">IF(Raw_Data!C1527="","",Raw_Data!C1527)</f>
        <v>45737</v>
      </c>
      <c r="D1527" s="13" t="n">
        <f aca="false">IF(Raw_Data!D1527="","",Raw_Data!D1527)</f>
        <v>23</v>
      </c>
      <c r="E1527" s="13" t="str">
        <f aca="false">IF(UPPER(LEFT(TRIM(Raw_Data!E1527),1))="M","Male",IF(UPPER(LEFT(TRIM(Raw_Data!E1527),1))="F","Female","Unknown"))</f>
        <v>Female</v>
      </c>
      <c r="F1527" s="13" t="str">
        <f aca="false">PROPER(TRIM(SUBSTITUTE(Raw_Data!F1527,"'","")))</f>
        <v>Bachelors</v>
      </c>
      <c r="G1527" s="13" t="str">
        <f aca="false">PROPER(TRIM(Raw_Data!G1527))</f>
        <v>Operations</v>
      </c>
      <c r="H1527" s="13" t="str">
        <f aca="false">PROPER(TRIM(Raw_Data!H1527))</f>
        <v>Associate</v>
      </c>
      <c r="I1527" s="13" t="n">
        <f aca="false">IF(Raw_Data!I1527="",DefaultPerf,Raw_Data!I1527)</f>
        <v>1</v>
      </c>
      <c r="J1527" s="13" t="n">
        <f aca="false">IF(Raw_Data!J1527="",DefaultSat,Raw_Data!J1527)</f>
        <v>2</v>
      </c>
      <c r="K1527" s="15" t="n">
        <f aca="false">Raw_Data!K1527</f>
        <v>32000</v>
      </c>
      <c r="L1527" s="13" t="str">
        <f aca="false">PROPER(TRIM(Raw_Data!N1527))</f>
        <v>Yes</v>
      </c>
      <c r="M1527" s="13" t="n">
        <f aca="false">IF(C1527="",0,1)</f>
        <v>1</v>
      </c>
      <c r="N1527" s="13" t="str">
        <f aca="false">IF(M1527=0,"Active",IF(TRIM(Raw_Data!L1527)="","Unknown",PROPER(TRIM(Raw_Data!L1527))))</f>
        <v>Involuntary</v>
      </c>
      <c r="O1527" s="13" t="str">
        <f aca="false">IF(M1527=0,"",IF(TRIM(Raw_Data!M1527)="","Not Recorded",TRIM(Raw_Data!M1527)))</f>
        <v>End of Contract</v>
      </c>
      <c r="P1527" s="16" t="n">
        <f aca="false">ROUND((IF(C1527="",AsOfDate,C1527)-B1527)/365.25,2)</f>
        <v>1.79</v>
      </c>
      <c r="Q1527" s="13" t="str">
        <f aca="false">IF(D1527="","Unknown",IF(D1527&lt;25,"Under 25",IF(D1527&lt;35,"25-34",IF(D1527&lt;45,"35-44",IF(D1527&lt;55,"45-54","55+")))))</f>
        <v>Under 25</v>
      </c>
      <c r="R1527" s="13" t="str">
        <f aca="false">IF(P1527&lt;1,"0-1 yrs",IF(P1527&lt;3,"1-3 yrs",IF(P1527&lt;5,"3-5 yrs",IF(P1527&lt;10,"5-10 yrs","10+ yrs"))))</f>
        <v>1-3 yrs</v>
      </c>
      <c r="S1527" s="13" t="str">
        <f aca="false">IF(I1527&gt;=4,"High",IF(I1527=3,"Medium","Low"))</f>
        <v>Low</v>
      </c>
      <c r="T1527" s="13" t="n">
        <f aca="false">IF(M1527=1,YEAR(C1527),"")</f>
        <v>2025</v>
      </c>
      <c r="U1527" s="13" t="str">
        <f aca="false">IF(M1527=1,YEAR(C1527)&amp;"-Q"&amp;ROUNDUP(MONTH(C1527)/3,0),"")</f>
        <v>2025-Q1</v>
      </c>
      <c r="V1527" s="13" t="n">
        <f aca="false">IF(M1527=1,MONTH(C1527),"")</f>
        <v>3</v>
      </c>
    </row>
    <row r="1528" customFormat="false" ht="15" hidden="false" customHeight="false" outlineLevel="0" collapsed="false">
      <c r="A1528" s="13" t="str">
        <f aca="false">TRIM(Raw_Data!A1528)</f>
        <v>EMP1527</v>
      </c>
      <c r="B1528" s="14" t="n">
        <f aca="false">Raw_Data!B1528</f>
        <v>45085</v>
      </c>
      <c r="C1528" s="14" t="str">
        <f aca="false">IF(Raw_Data!C1528="","",Raw_Data!C1528)</f>
        <v/>
      </c>
      <c r="D1528" s="13" t="n">
        <f aca="false">IF(Raw_Data!D1528="","",Raw_Data!D1528)</f>
        <v>34</v>
      </c>
      <c r="E1528" s="13" t="str">
        <f aca="false">IF(UPPER(LEFT(TRIM(Raw_Data!E1528),1))="M","Male",IF(UPPER(LEFT(TRIM(Raw_Data!E1528),1))="F","Female","Unknown"))</f>
        <v>Female</v>
      </c>
      <c r="F1528" s="13" t="str">
        <f aca="false">PROPER(TRIM(SUBSTITUTE(Raw_Data!F1528,"'","")))</f>
        <v>Doctorate</v>
      </c>
      <c r="G1528" s="13" t="str">
        <f aca="false">PROPER(TRIM(Raw_Data!G1528))</f>
        <v>Customer Support</v>
      </c>
      <c r="H1528" s="13" t="str">
        <f aca="false">PROPER(TRIM(Raw_Data!H1528))</f>
        <v>Associate</v>
      </c>
      <c r="I1528" s="13" t="n">
        <f aca="false">IF(Raw_Data!I1528="",DefaultPerf,Raw_Data!I1528)</f>
        <v>4</v>
      </c>
      <c r="J1528" s="13" t="n">
        <f aca="false">IF(Raw_Data!J1528="",DefaultSat,Raw_Data!J1528)</f>
        <v>4</v>
      </c>
      <c r="K1528" s="15" t="n">
        <f aca="false">Raw_Data!K1528</f>
        <v>33500</v>
      </c>
      <c r="L1528" s="13" t="str">
        <f aca="false">PROPER(TRIM(Raw_Data!N1528))</f>
        <v>No</v>
      </c>
      <c r="M1528" s="13" t="n">
        <f aca="false">IF(C1528="",0,1)</f>
        <v>0</v>
      </c>
      <c r="N1528" s="13" t="str">
        <f aca="false">IF(M1528=0,"Active",IF(TRIM(Raw_Data!L1528)="","Unknown",PROPER(TRIM(Raw_Data!L1528))))</f>
        <v>Active</v>
      </c>
      <c r="O1528" s="13" t="str">
        <f aca="false">IF(M1528=0,"",IF(TRIM(Raw_Data!M1528)="","Not Recorded",TRIM(Raw_Data!M1528)))</f>
        <v/>
      </c>
      <c r="P1528" s="16" t="n">
        <f aca="false">ROUND((IF(C1528="",AsOfDate,C1528)-B1528)/365.25,2)</f>
        <v>2.57</v>
      </c>
      <c r="Q1528" s="13" t="str">
        <f aca="false">IF(D1528="","Unknown",IF(D1528&lt;25,"Under 25",IF(D1528&lt;35,"25-34",IF(D1528&lt;45,"35-44",IF(D1528&lt;55,"45-54","55+")))))</f>
        <v>25-34</v>
      </c>
      <c r="R1528" s="13" t="str">
        <f aca="false">IF(P1528&lt;1,"0-1 yrs",IF(P1528&lt;3,"1-3 yrs",IF(P1528&lt;5,"3-5 yrs",IF(P1528&lt;10,"5-10 yrs","10+ yrs"))))</f>
        <v>1-3 yrs</v>
      </c>
      <c r="S1528" s="13" t="str">
        <f aca="false">IF(I1528&gt;=4,"High",IF(I1528=3,"Medium","Low"))</f>
        <v>High</v>
      </c>
      <c r="T1528" s="13" t="str">
        <f aca="false">IF(M1528=1,YEAR(C1528),"")</f>
        <v/>
      </c>
      <c r="U1528" s="13" t="str">
        <f aca="false">IF(M1528=1,YEAR(C1528)&amp;"-Q"&amp;ROUNDUP(MONTH(C1528)/3,0),"")</f>
        <v/>
      </c>
      <c r="V1528" s="13" t="str">
        <f aca="false">IF(M1528=1,MONTH(C1528),"")</f>
        <v/>
      </c>
    </row>
    <row r="1529" customFormat="false" ht="15" hidden="false" customHeight="false" outlineLevel="0" collapsed="false">
      <c r="A1529" s="13" t="str">
        <f aca="false">TRIM(Raw_Data!A1529)</f>
        <v>EMP1528</v>
      </c>
      <c r="B1529" s="14" t="n">
        <f aca="false">Raw_Data!B1529</f>
        <v>45085</v>
      </c>
      <c r="C1529" s="14" t="str">
        <f aca="false">IF(Raw_Data!C1529="","",Raw_Data!C1529)</f>
        <v/>
      </c>
      <c r="D1529" s="13" t="n">
        <f aca="false">IF(Raw_Data!D1529="","",Raw_Data!D1529)</f>
        <v>33</v>
      </c>
      <c r="E1529" s="13" t="str">
        <f aca="false">IF(UPPER(LEFT(TRIM(Raw_Data!E1529),1))="M","Male",IF(UPPER(LEFT(TRIM(Raw_Data!E1529),1))="F","Female","Unknown"))</f>
        <v>Female</v>
      </c>
      <c r="F1529" s="13" t="str">
        <f aca="false">PROPER(TRIM(SUBSTITUTE(Raw_Data!F1529,"'","")))</f>
        <v>Masters</v>
      </c>
      <c r="G1529" s="13" t="str">
        <f aca="false">PROPER(TRIM(Raw_Data!G1529))</f>
        <v>Engineering</v>
      </c>
      <c r="H1529" s="13" t="str">
        <f aca="false">PROPER(TRIM(Raw_Data!H1529))</f>
        <v>Senior Analyst</v>
      </c>
      <c r="I1529" s="13" t="n">
        <f aca="false">IF(Raw_Data!I1529="",DefaultPerf,Raw_Data!I1529)</f>
        <v>4</v>
      </c>
      <c r="J1529" s="13" t="n">
        <f aca="false">IF(Raw_Data!J1529="",DefaultSat,Raw_Data!J1529)</f>
        <v>4</v>
      </c>
      <c r="K1529" s="15" t="n">
        <f aca="false">Raw_Data!K1529</f>
        <v>92000</v>
      </c>
      <c r="L1529" s="13" t="str">
        <f aca="false">PROPER(TRIM(Raw_Data!N1529))</f>
        <v>No</v>
      </c>
      <c r="M1529" s="13" t="n">
        <f aca="false">IF(C1529="",0,1)</f>
        <v>0</v>
      </c>
      <c r="N1529" s="13" t="str">
        <f aca="false">IF(M1529=0,"Active",IF(TRIM(Raw_Data!L1529)="","Unknown",PROPER(TRIM(Raw_Data!L1529))))</f>
        <v>Active</v>
      </c>
      <c r="O1529" s="13" t="str">
        <f aca="false">IF(M1529=0,"",IF(TRIM(Raw_Data!M1529)="","Not Recorded",TRIM(Raw_Data!M1529)))</f>
        <v/>
      </c>
      <c r="P1529" s="16" t="n">
        <f aca="false">ROUND((IF(C1529="",AsOfDate,C1529)-B1529)/365.25,2)</f>
        <v>2.57</v>
      </c>
      <c r="Q1529" s="13" t="str">
        <f aca="false">IF(D1529="","Unknown",IF(D1529&lt;25,"Under 25",IF(D1529&lt;35,"25-34",IF(D1529&lt;45,"35-44",IF(D1529&lt;55,"45-54","55+")))))</f>
        <v>25-34</v>
      </c>
      <c r="R1529" s="13" t="str">
        <f aca="false">IF(P1529&lt;1,"0-1 yrs",IF(P1529&lt;3,"1-3 yrs",IF(P1529&lt;5,"3-5 yrs",IF(P1529&lt;10,"5-10 yrs","10+ yrs"))))</f>
        <v>1-3 yrs</v>
      </c>
      <c r="S1529" s="13" t="str">
        <f aca="false">IF(I1529&gt;=4,"High",IF(I1529=3,"Medium","Low"))</f>
        <v>High</v>
      </c>
      <c r="T1529" s="13" t="str">
        <f aca="false">IF(M1529=1,YEAR(C1529),"")</f>
        <v/>
      </c>
      <c r="U1529" s="13" t="str">
        <f aca="false">IF(M1529=1,YEAR(C1529)&amp;"-Q"&amp;ROUNDUP(MONTH(C1529)/3,0),"")</f>
        <v/>
      </c>
      <c r="V1529" s="13" t="str">
        <f aca="false">IF(M1529=1,MONTH(C1529),"")</f>
        <v/>
      </c>
    </row>
    <row r="1530" customFormat="false" ht="15" hidden="false" customHeight="false" outlineLevel="0" collapsed="false">
      <c r="A1530" s="13" t="str">
        <f aca="false">TRIM(Raw_Data!A1530)</f>
        <v>EMP1529</v>
      </c>
      <c r="B1530" s="14" t="n">
        <f aca="false">Raw_Data!B1530</f>
        <v>45085</v>
      </c>
      <c r="C1530" s="14" t="n">
        <f aca="false">IF(Raw_Data!C1530="","",Raw_Data!C1530)</f>
        <v>45573</v>
      </c>
      <c r="D1530" s="13" t="n">
        <f aca="false">IF(Raw_Data!D1530="","",Raw_Data!D1530)</f>
        <v>26</v>
      </c>
      <c r="E1530" s="13" t="str">
        <f aca="false">IF(UPPER(LEFT(TRIM(Raw_Data!E1530),1))="M","Male",IF(UPPER(LEFT(TRIM(Raw_Data!E1530),1))="F","Female","Unknown"))</f>
        <v>Female</v>
      </c>
      <c r="F1530" s="13" t="str">
        <f aca="false">PROPER(TRIM(SUBSTITUTE(Raw_Data!F1530,"'","")))</f>
        <v>Bachelors</v>
      </c>
      <c r="G1530" s="13" t="str">
        <f aca="false">PROPER(TRIM(Raw_Data!G1530))</f>
        <v>Engineering</v>
      </c>
      <c r="H1530" s="13" t="str">
        <f aca="false">PROPER(TRIM(Raw_Data!H1530))</f>
        <v>Associate</v>
      </c>
      <c r="I1530" s="13" t="n">
        <f aca="false">IF(Raw_Data!I1530="",DefaultPerf,Raw_Data!I1530)</f>
        <v>3</v>
      </c>
      <c r="J1530" s="13" t="n">
        <f aca="false">IF(Raw_Data!J1530="",DefaultSat,Raw_Data!J1530)</f>
        <v>1</v>
      </c>
      <c r="K1530" s="15" t="n">
        <f aca="false">Raw_Data!K1530</f>
        <v>39500</v>
      </c>
      <c r="L1530" s="13" t="str">
        <f aca="false">PROPER(TRIM(Raw_Data!N1530))</f>
        <v>Yes</v>
      </c>
      <c r="M1530" s="13" t="n">
        <f aca="false">IF(C1530="",0,1)</f>
        <v>1</v>
      </c>
      <c r="N1530" s="13" t="str">
        <f aca="false">IF(M1530=0,"Active",IF(TRIM(Raw_Data!L1530)="","Unknown",PROPER(TRIM(Raw_Data!L1530))))</f>
        <v>Voluntary</v>
      </c>
      <c r="O1530" s="13" t="str">
        <f aca="false">IF(M1530=0,"",IF(TRIM(Raw_Data!M1530)="","Not Recorded",TRIM(Raw_Data!M1530)))</f>
        <v>Work-Life Balance</v>
      </c>
      <c r="P1530" s="16" t="n">
        <f aca="false">ROUND((IF(C1530="",AsOfDate,C1530)-B1530)/365.25,2)</f>
        <v>1.34</v>
      </c>
      <c r="Q1530" s="13" t="str">
        <f aca="false">IF(D1530="","Unknown",IF(D1530&lt;25,"Under 25",IF(D1530&lt;35,"25-34",IF(D1530&lt;45,"35-44",IF(D1530&lt;55,"45-54","55+")))))</f>
        <v>25-34</v>
      </c>
      <c r="R1530" s="13" t="str">
        <f aca="false">IF(P1530&lt;1,"0-1 yrs",IF(P1530&lt;3,"1-3 yrs",IF(P1530&lt;5,"3-5 yrs",IF(P1530&lt;10,"5-10 yrs","10+ yrs"))))</f>
        <v>1-3 yrs</v>
      </c>
      <c r="S1530" s="13" t="str">
        <f aca="false">IF(I1530&gt;=4,"High",IF(I1530=3,"Medium","Low"))</f>
        <v>Medium</v>
      </c>
      <c r="T1530" s="13" t="n">
        <f aca="false">IF(M1530=1,YEAR(C1530),"")</f>
        <v>2024</v>
      </c>
      <c r="U1530" s="13" t="str">
        <f aca="false">IF(M1530=1,YEAR(C1530)&amp;"-Q"&amp;ROUNDUP(MONTH(C1530)/3,0),"")</f>
        <v>2024-Q4</v>
      </c>
      <c r="V1530" s="13" t="n">
        <f aca="false">IF(M1530=1,MONTH(C1530),"")</f>
        <v>10</v>
      </c>
    </row>
    <row r="1531" customFormat="false" ht="15" hidden="false" customHeight="false" outlineLevel="0" collapsed="false">
      <c r="A1531" s="13" t="str">
        <f aca="false">TRIM(Raw_Data!A1531)</f>
        <v>EMP1530</v>
      </c>
      <c r="B1531" s="14" t="n">
        <f aca="false">Raw_Data!B1531</f>
        <v>45086</v>
      </c>
      <c r="C1531" s="14" t="str">
        <f aca="false">IF(Raw_Data!C1531="","",Raw_Data!C1531)</f>
        <v/>
      </c>
      <c r="D1531" s="13" t="n">
        <f aca="false">IF(Raw_Data!D1531="","",Raw_Data!D1531)</f>
        <v>33</v>
      </c>
      <c r="E1531" s="13" t="str">
        <f aca="false">IF(UPPER(LEFT(TRIM(Raw_Data!E1531),1))="M","Male",IF(UPPER(LEFT(TRIM(Raw_Data!E1531),1))="F","Female","Unknown"))</f>
        <v>Male</v>
      </c>
      <c r="F1531" s="13" t="str">
        <f aca="false">PROPER(TRIM(SUBSTITUTE(Raw_Data!F1531,"'","")))</f>
        <v>Bachelors</v>
      </c>
      <c r="G1531" s="13" t="str">
        <f aca="false">PROPER(TRIM(Raw_Data!G1531))</f>
        <v>Engineering</v>
      </c>
      <c r="H1531" s="13" t="str">
        <f aca="false">PROPER(TRIM(Raw_Data!H1531))</f>
        <v>Senior Analyst</v>
      </c>
      <c r="I1531" s="13" t="n">
        <f aca="false">IF(Raw_Data!I1531="",DefaultPerf,Raw_Data!I1531)</f>
        <v>4</v>
      </c>
      <c r="J1531" s="13" t="n">
        <f aca="false">IF(Raw_Data!J1531="",DefaultSat,Raw_Data!J1531)</f>
        <v>4</v>
      </c>
      <c r="K1531" s="15" t="n">
        <f aca="false">Raw_Data!K1531</f>
        <v>95500</v>
      </c>
      <c r="L1531" s="13" t="str">
        <f aca="false">PROPER(TRIM(Raw_Data!N1531))</f>
        <v>No</v>
      </c>
      <c r="M1531" s="13" t="n">
        <f aca="false">IF(C1531="",0,1)</f>
        <v>0</v>
      </c>
      <c r="N1531" s="13" t="str">
        <f aca="false">IF(M1531=0,"Active",IF(TRIM(Raw_Data!L1531)="","Unknown",PROPER(TRIM(Raw_Data!L1531))))</f>
        <v>Active</v>
      </c>
      <c r="O1531" s="13" t="str">
        <f aca="false">IF(M1531=0,"",IF(TRIM(Raw_Data!M1531)="","Not Recorded",TRIM(Raw_Data!M1531)))</f>
        <v/>
      </c>
      <c r="P1531" s="16" t="n">
        <f aca="false">ROUND((IF(C1531="",AsOfDate,C1531)-B1531)/365.25,2)</f>
        <v>2.56</v>
      </c>
      <c r="Q1531" s="13" t="str">
        <f aca="false">IF(D1531="","Unknown",IF(D1531&lt;25,"Under 25",IF(D1531&lt;35,"25-34",IF(D1531&lt;45,"35-44",IF(D1531&lt;55,"45-54","55+")))))</f>
        <v>25-34</v>
      </c>
      <c r="R1531" s="13" t="str">
        <f aca="false">IF(P1531&lt;1,"0-1 yrs",IF(P1531&lt;3,"1-3 yrs",IF(P1531&lt;5,"3-5 yrs",IF(P1531&lt;10,"5-10 yrs","10+ yrs"))))</f>
        <v>1-3 yrs</v>
      </c>
      <c r="S1531" s="13" t="str">
        <f aca="false">IF(I1531&gt;=4,"High",IF(I1531=3,"Medium","Low"))</f>
        <v>High</v>
      </c>
      <c r="T1531" s="13" t="str">
        <f aca="false">IF(M1531=1,YEAR(C1531),"")</f>
        <v/>
      </c>
      <c r="U1531" s="13" t="str">
        <f aca="false">IF(M1531=1,YEAR(C1531)&amp;"-Q"&amp;ROUNDUP(MONTH(C1531)/3,0),"")</f>
        <v/>
      </c>
      <c r="V1531" s="13" t="str">
        <f aca="false">IF(M1531=1,MONTH(C1531),"")</f>
        <v/>
      </c>
    </row>
    <row r="1532" customFormat="false" ht="15" hidden="false" customHeight="false" outlineLevel="0" collapsed="false">
      <c r="A1532" s="13" t="str">
        <f aca="false">TRIM(Raw_Data!A1532)</f>
        <v>EMP1531</v>
      </c>
      <c r="B1532" s="14" t="n">
        <f aca="false">Raw_Data!B1532</f>
        <v>45087</v>
      </c>
      <c r="C1532" s="14" t="str">
        <f aca="false">IF(Raw_Data!C1532="","",Raw_Data!C1532)</f>
        <v/>
      </c>
      <c r="D1532" s="13" t="n">
        <f aca="false">IF(Raw_Data!D1532="","",Raw_Data!D1532)</f>
        <v>35</v>
      </c>
      <c r="E1532" s="13" t="str">
        <f aca="false">IF(UPPER(LEFT(TRIM(Raw_Data!E1532),1))="M","Male",IF(UPPER(LEFT(TRIM(Raw_Data!E1532),1))="F","Female","Unknown"))</f>
        <v>Male</v>
      </c>
      <c r="F1532" s="13" t="str">
        <f aca="false">PROPER(TRIM(SUBSTITUTE(Raw_Data!F1532,"'","")))</f>
        <v>Bachelors</v>
      </c>
      <c r="G1532" s="13" t="str">
        <f aca="false">PROPER(TRIM(Raw_Data!G1532))</f>
        <v>Customer Support</v>
      </c>
      <c r="H1532" s="13" t="str">
        <f aca="false">PROPER(TRIM(Raw_Data!H1532))</f>
        <v>Analyst</v>
      </c>
      <c r="I1532" s="13" t="n">
        <f aca="false">IF(Raw_Data!I1532="",DefaultPerf,Raw_Data!I1532)</f>
        <v>3</v>
      </c>
      <c r="J1532" s="13" t="n">
        <f aca="false">IF(Raw_Data!J1532="",DefaultSat,Raw_Data!J1532)</f>
        <v>4</v>
      </c>
      <c r="K1532" s="15" t="n">
        <f aca="false">Raw_Data!K1532</f>
        <v>73000</v>
      </c>
      <c r="L1532" s="13" t="str">
        <f aca="false">PROPER(TRIM(Raw_Data!N1532))</f>
        <v>No</v>
      </c>
      <c r="M1532" s="13" t="n">
        <f aca="false">IF(C1532="",0,1)</f>
        <v>0</v>
      </c>
      <c r="N1532" s="13" t="str">
        <f aca="false">IF(M1532=0,"Active",IF(TRIM(Raw_Data!L1532)="","Unknown",PROPER(TRIM(Raw_Data!L1532))))</f>
        <v>Active</v>
      </c>
      <c r="O1532" s="13" t="str">
        <f aca="false">IF(M1532=0,"",IF(TRIM(Raw_Data!M1532)="","Not Recorded",TRIM(Raw_Data!M1532)))</f>
        <v/>
      </c>
      <c r="P1532" s="16" t="n">
        <f aca="false">ROUND((IF(C1532="",AsOfDate,C1532)-B1532)/365.25,2)</f>
        <v>2.56</v>
      </c>
      <c r="Q1532" s="13" t="str">
        <f aca="false">IF(D1532="","Unknown",IF(D1532&lt;25,"Under 25",IF(D1532&lt;35,"25-34",IF(D1532&lt;45,"35-44",IF(D1532&lt;55,"45-54","55+")))))</f>
        <v>35-44</v>
      </c>
      <c r="R1532" s="13" t="str">
        <f aca="false">IF(P1532&lt;1,"0-1 yrs",IF(P1532&lt;3,"1-3 yrs",IF(P1532&lt;5,"3-5 yrs",IF(P1532&lt;10,"5-10 yrs","10+ yrs"))))</f>
        <v>1-3 yrs</v>
      </c>
      <c r="S1532" s="13" t="str">
        <f aca="false">IF(I1532&gt;=4,"High",IF(I1532=3,"Medium","Low"))</f>
        <v>Medium</v>
      </c>
      <c r="T1532" s="13" t="str">
        <f aca="false">IF(M1532=1,YEAR(C1532),"")</f>
        <v/>
      </c>
      <c r="U1532" s="13" t="str">
        <f aca="false">IF(M1532=1,YEAR(C1532)&amp;"-Q"&amp;ROUNDUP(MONTH(C1532)/3,0),"")</f>
        <v/>
      </c>
      <c r="V1532" s="13" t="str">
        <f aca="false">IF(M1532=1,MONTH(C1532),"")</f>
        <v/>
      </c>
    </row>
    <row r="1533" customFormat="false" ht="15" hidden="false" customHeight="false" outlineLevel="0" collapsed="false">
      <c r="A1533" s="13" t="str">
        <f aca="false">TRIM(Raw_Data!A1533)</f>
        <v>EMP1532</v>
      </c>
      <c r="B1533" s="14" t="n">
        <f aca="false">Raw_Data!B1533</f>
        <v>45088</v>
      </c>
      <c r="C1533" s="14" t="n">
        <f aca="false">IF(Raw_Data!C1533="","",Raw_Data!C1533)</f>
        <v>45154</v>
      </c>
      <c r="D1533" s="13" t="n">
        <f aca="false">IF(Raw_Data!D1533="","",Raw_Data!D1533)</f>
        <v>35</v>
      </c>
      <c r="E1533" s="13" t="str">
        <f aca="false">IF(UPPER(LEFT(TRIM(Raw_Data!E1533),1))="M","Male",IF(UPPER(LEFT(TRIM(Raw_Data!E1533),1))="F","Female","Unknown"))</f>
        <v>Female</v>
      </c>
      <c r="F1533" s="13" t="str">
        <f aca="false">PROPER(TRIM(SUBSTITUTE(Raw_Data!F1533,"'","")))</f>
        <v>Masters</v>
      </c>
      <c r="G1533" s="13" t="str">
        <f aca="false">PROPER(TRIM(Raw_Data!G1533))</f>
        <v>Customer Support</v>
      </c>
      <c r="H1533" s="13" t="str">
        <f aca="false">PROPER(TRIM(Raw_Data!H1533))</f>
        <v>Specialist</v>
      </c>
      <c r="I1533" s="13" t="n">
        <f aca="false">IF(Raw_Data!I1533="",DefaultPerf,Raw_Data!I1533)</f>
        <v>5</v>
      </c>
      <c r="J1533" s="13" t="n">
        <f aca="false">IF(Raw_Data!J1533="",DefaultSat,Raw_Data!J1533)</f>
        <v>3</v>
      </c>
      <c r="K1533" s="15" t="n">
        <f aca="false">Raw_Data!K1533</f>
        <v>98500</v>
      </c>
      <c r="L1533" s="13" t="str">
        <f aca="false">PROPER(TRIM(Raw_Data!N1533))</f>
        <v>No</v>
      </c>
      <c r="M1533" s="13" t="n">
        <f aca="false">IF(C1533="",0,1)</f>
        <v>1</v>
      </c>
      <c r="N1533" s="13" t="str">
        <f aca="false">IF(M1533=0,"Active",IF(TRIM(Raw_Data!L1533)="","Unknown",PROPER(TRIM(Raw_Data!L1533))))</f>
        <v>Voluntary</v>
      </c>
      <c r="O1533" s="13" t="str">
        <f aca="false">IF(M1533=0,"",IF(TRIM(Raw_Data!M1533)="","Not Recorded",TRIM(Raw_Data!M1533)))</f>
        <v>Relocation</v>
      </c>
      <c r="P1533" s="16" t="n">
        <f aca="false">ROUND((IF(C1533="",AsOfDate,C1533)-B1533)/365.25,2)</f>
        <v>0.18</v>
      </c>
      <c r="Q1533" s="13" t="str">
        <f aca="false">IF(D1533="","Unknown",IF(D1533&lt;25,"Under 25",IF(D1533&lt;35,"25-34",IF(D1533&lt;45,"35-44",IF(D1533&lt;55,"45-54","55+")))))</f>
        <v>35-44</v>
      </c>
      <c r="R1533" s="13" t="str">
        <f aca="false">IF(P1533&lt;1,"0-1 yrs",IF(P1533&lt;3,"1-3 yrs",IF(P1533&lt;5,"3-5 yrs",IF(P1533&lt;10,"5-10 yrs","10+ yrs"))))</f>
        <v>0-1 yrs</v>
      </c>
      <c r="S1533" s="13" t="str">
        <f aca="false">IF(I1533&gt;=4,"High",IF(I1533=3,"Medium","Low"))</f>
        <v>High</v>
      </c>
      <c r="T1533" s="13" t="n">
        <f aca="false">IF(M1533=1,YEAR(C1533),"")</f>
        <v>2023</v>
      </c>
      <c r="U1533" s="13" t="str">
        <f aca="false">IF(M1533=1,YEAR(C1533)&amp;"-Q"&amp;ROUNDUP(MONTH(C1533)/3,0),"")</f>
        <v>2023-Q3</v>
      </c>
      <c r="V1533" s="13" t="n">
        <f aca="false">IF(M1533=1,MONTH(C1533),"")</f>
        <v>8</v>
      </c>
    </row>
    <row r="1534" customFormat="false" ht="15" hidden="false" customHeight="false" outlineLevel="0" collapsed="false">
      <c r="A1534" s="13" t="str">
        <f aca="false">TRIM(Raw_Data!A1534)</f>
        <v>EMP1533</v>
      </c>
      <c r="B1534" s="14" t="n">
        <f aca="false">Raw_Data!B1534</f>
        <v>45089</v>
      </c>
      <c r="C1534" s="14" t="str">
        <f aca="false">IF(Raw_Data!C1534="","",Raw_Data!C1534)</f>
        <v/>
      </c>
      <c r="D1534" s="13" t="n">
        <f aca="false">IF(Raw_Data!D1534="","",Raw_Data!D1534)</f>
        <v>33</v>
      </c>
      <c r="E1534" s="13" t="str">
        <f aca="false">IF(UPPER(LEFT(TRIM(Raw_Data!E1534),1))="M","Male",IF(UPPER(LEFT(TRIM(Raw_Data!E1534),1))="F","Female","Unknown"))</f>
        <v>Male</v>
      </c>
      <c r="F1534" s="13" t="str">
        <f aca="false">PROPER(TRIM(SUBSTITUTE(Raw_Data!F1534,"'","")))</f>
        <v>Masters</v>
      </c>
      <c r="G1534" s="13" t="str">
        <f aca="false">PROPER(TRIM(Raw_Data!G1534))</f>
        <v>Sales</v>
      </c>
      <c r="H1534" s="13" t="str">
        <f aca="false">PROPER(TRIM(Raw_Data!H1534))</f>
        <v>Analyst</v>
      </c>
      <c r="I1534" s="13" t="n">
        <f aca="false">IF(Raw_Data!I1534="",DefaultPerf,Raw_Data!I1534)</f>
        <v>5</v>
      </c>
      <c r="J1534" s="13" t="n">
        <f aca="false">IF(Raw_Data!J1534="",DefaultSat,Raw_Data!J1534)</f>
        <v>4</v>
      </c>
      <c r="K1534" s="15" t="n">
        <f aca="false">Raw_Data!K1534</f>
        <v>51000</v>
      </c>
      <c r="L1534" s="13" t="str">
        <f aca="false">PROPER(TRIM(Raw_Data!N1534))</f>
        <v>No</v>
      </c>
      <c r="M1534" s="13" t="n">
        <f aca="false">IF(C1534="",0,1)</f>
        <v>0</v>
      </c>
      <c r="N1534" s="13" t="str">
        <f aca="false">IF(M1534=0,"Active",IF(TRIM(Raw_Data!L1534)="","Unknown",PROPER(TRIM(Raw_Data!L1534))))</f>
        <v>Active</v>
      </c>
      <c r="O1534" s="13" t="str">
        <f aca="false">IF(M1534=0,"",IF(TRIM(Raw_Data!M1534)="","Not Recorded",TRIM(Raw_Data!M1534)))</f>
        <v/>
      </c>
      <c r="P1534" s="16" t="n">
        <f aca="false">ROUND((IF(C1534="",AsOfDate,C1534)-B1534)/365.25,2)</f>
        <v>2.55</v>
      </c>
      <c r="Q1534" s="13" t="str">
        <f aca="false">IF(D1534="","Unknown",IF(D1534&lt;25,"Under 25",IF(D1534&lt;35,"25-34",IF(D1534&lt;45,"35-44",IF(D1534&lt;55,"45-54","55+")))))</f>
        <v>25-34</v>
      </c>
      <c r="R1534" s="13" t="str">
        <f aca="false">IF(P1534&lt;1,"0-1 yrs",IF(P1534&lt;3,"1-3 yrs",IF(P1534&lt;5,"3-5 yrs",IF(P1534&lt;10,"5-10 yrs","10+ yrs"))))</f>
        <v>1-3 yrs</v>
      </c>
      <c r="S1534" s="13" t="str">
        <f aca="false">IF(I1534&gt;=4,"High",IF(I1534=3,"Medium","Low"))</f>
        <v>High</v>
      </c>
      <c r="T1534" s="13" t="str">
        <f aca="false">IF(M1534=1,YEAR(C1534),"")</f>
        <v/>
      </c>
      <c r="U1534" s="13" t="str">
        <f aca="false">IF(M1534=1,YEAR(C1534)&amp;"-Q"&amp;ROUNDUP(MONTH(C1534)/3,0),"")</f>
        <v/>
      </c>
      <c r="V1534" s="13" t="str">
        <f aca="false">IF(M1534=1,MONTH(C1534),"")</f>
        <v/>
      </c>
    </row>
    <row r="1535" customFormat="false" ht="15" hidden="false" customHeight="false" outlineLevel="0" collapsed="false">
      <c r="A1535" s="13" t="str">
        <f aca="false">TRIM(Raw_Data!A1535)</f>
        <v>EMP1534</v>
      </c>
      <c r="B1535" s="14" t="n">
        <f aca="false">Raw_Data!B1535</f>
        <v>45093</v>
      </c>
      <c r="C1535" s="14" t="n">
        <f aca="false">IF(Raw_Data!C1535="","",Raw_Data!C1535)</f>
        <v>45284</v>
      </c>
      <c r="D1535" s="13" t="n">
        <f aca="false">IF(Raw_Data!D1535="","",Raw_Data!D1535)</f>
        <v>26</v>
      </c>
      <c r="E1535" s="13" t="str">
        <f aca="false">IF(UPPER(LEFT(TRIM(Raw_Data!E1535),1))="M","Male",IF(UPPER(LEFT(TRIM(Raw_Data!E1535),1))="F","Female","Unknown"))</f>
        <v>Male</v>
      </c>
      <c r="F1535" s="13" t="str">
        <f aca="false">PROPER(TRIM(SUBSTITUTE(Raw_Data!F1535,"'","")))</f>
        <v>Diploma</v>
      </c>
      <c r="G1535" s="13" t="str">
        <f aca="false">PROPER(TRIM(Raw_Data!G1535))</f>
        <v>Human Resources</v>
      </c>
      <c r="H1535" s="13" t="str">
        <f aca="false">PROPER(TRIM(Raw_Data!H1535))</f>
        <v>Analyst</v>
      </c>
      <c r="I1535" s="13" t="n">
        <f aca="false">IF(Raw_Data!I1535="",DefaultPerf,Raw_Data!I1535)</f>
        <v>5</v>
      </c>
      <c r="J1535" s="13" t="n">
        <f aca="false">IF(Raw_Data!J1535="",DefaultSat,Raw_Data!J1535)</f>
        <v>1</v>
      </c>
      <c r="K1535" s="15" t="n">
        <f aca="false">Raw_Data!K1535</f>
        <v>56000</v>
      </c>
      <c r="L1535" s="13" t="str">
        <f aca="false">PROPER(TRIM(Raw_Data!N1535))</f>
        <v>Yes</v>
      </c>
      <c r="M1535" s="13" t="n">
        <f aca="false">IF(C1535="",0,1)</f>
        <v>1</v>
      </c>
      <c r="N1535" s="13" t="str">
        <f aca="false">IF(M1535=0,"Active",IF(TRIM(Raw_Data!L1535)="","Unknown",PROPER(TRIM(Raw_Data!L1535))))</f>
        <v>Voluntary</v>
      </c>
      <c r="O1535" s="13" t="str">
        <f aca="false">IF(M1535=0,"",IF(TRIM(Raw_Data!M1535)="","Not Recorded",TRIM(Raw_Data!M1535)))</f>
        <v>Work-Life Balance</v>
      </c>
      <c r="P1535" s="16" t="n">
        <f aca="false">ROUND((IF(C1535="",AsOfDate,C1535)-B1535)/365.25,2)</f>
        <v>0.52</v>
      </c>
      <c r="Q1535" s="13" t="str">
        <f aca="false">IF(D1535="","Unknown",IF(D1535&lt;25,"Under 25",IF(D1535&lt;35,"25-34",IF(D1535&lt;45,"35-44",IF(D1535&lt;55,"45-54","55+")))))</f>
        <v>25-34</v>
      </c>
      <c r="R1535" s="13" t="str">
        <f aca="false">IF(P1535&lt;1,"0-1 yrs",IF(P1535&lt;3,"1-3 yrs",IF(P1535&lt;5,"3-5 yrs",IF(P1535&lt;10,"5-10 yrs","10+ yrs"))))</f>
        <v>0-1 yrs</v>
      </c>
      <c r="S1535" s="13" t="str">
        <f aca="false">IF(I1535&gt;=4,"High",IF(I1535=3,"Medium","Low"))</f>
        <v>High</v>
      </c>
      <c r="T1535" s="13" t="n">
        <f aca="false">IF(M1535=1,YEAR(C1535),"")</f>
        <v>2023</v>
      </c>
      <c r="U1535" s="13" t="str">
        <f aca="false">IF(M1535=1,YEAR(C1535)&amp;"-Q"&amp;ROUNDUP(MONTH(C1535)/3,0),"")</f>
        <v>2023-Q4</v>
      </c>
      <c r="V1535" s="13" t="n">
        <f aca="false">IF(M1535=1,MONTH(C1535),"")</f>
        <v>12</v>
      </c>
    </row>
    <row r="1536" customFormat="false" ht="15" hidden="false" customHeight="false" outlineLevel="0" collapsed="false">
      <c r="A1536" s="13" t="str">
        <f aca="false">TRIM(Raw_Data!A1536)</f>
        <v>EMP1535</v>
      </c>
      <c r="B1536" s="14" t="n">
        <f aca="false">Raw_Data!B1536</f>
        <v>45094</v>
      </c>
      <c r="C1536" s="14" t="str">
        <f aca="false">IF(Raw_Data!C1536="","",Raw_Data!C1536)</f>
        <v/>
      </c>
      <c r="D1536" s="13" t="n">
        <f aca="false">IF(Raw_Data!D1536="","",Raw_Data!D1536)</f>
        <v>40</v>
      </c>
      <c r="E1536" s="13" t="str">
        <f aca="false">IF(UPPER(LEFT(TRIM(Raw_Data!E1536),1))="M","Male",IF(UPPER(LEFT(TRIM(Raw_Data!E1536),1))="F","Female","Unknown"))</f>
        <v>Male</v>
      </c>
      <c r="F1536" s="13" t="str">
        <f aca="false">PROPER(TRIM(SUBSTITUTE(Raw_Data!F1536,"'","")))</f>
        <v>Masters</v>
      </c>
      <c r="G1536" s="13" t="str">
        <f aca="false">PROPER(TRIM(Raw_Data!G1536))</f>
        <v>Engineering</v>
      </c>
      <c r="H1536" s="13" t="str">
        <f aca="false">PROPER(TRIM(Raw_Data!H1536))</f>
        <v>Senior Analyst</v>
      </c>
      <c r="I1536" s="13" t="n">
        <f aca="false">IF(Raw_Data!I1536="",DefaultPerf,Raw_Data!I1536)</f>
        <v>3</v>
      </c>
      <c r="J1536" s="13" t="n">
        <f aca="false">IF(Raw_Data!J1536="",DefaultSat,Raw_Data!J1536)</f>
        <v>3</v>
      </c>
      <c r="K1536" s="15" t="n">
        <f aca="false">Raw_Data!K1536</f>
        <v>82000</v>
      </c>
      <c r="L1536" s="13" t="str">
        <f aca="false">PROPER(TRIM(Raw_Data!N1536))</f>
        <v>No</v>
      </c>
      <c r="M1536" s="13" t="n">
        <f aca="false">IF(C1536="",0,1)</f>
        <v>0</v>
      </c>
      <c r="N1536" s="13" t="str">
        <f aca="false">IF(M1536=0,"Active",IF(TRIM(Raw_Data!L1536)="","Unknown",PROPER(TRIM(Raw_Data!L1536))))</f>
        <v>Active</v>
      </c>
      <c r="O1536" s="13" t="str">
        <f aca="false">IF(M1536=0,"",IF(TRIM(Raw_Data!M1536)="","Not Recorded",TRIM(Raw_Data!M1536)))</f>
        <v/>
      </c>
      <c r="P1536" s="16" t="n">
        <f aca="false">ROUND((IF(C1536="",AsOfDate,C1536)-B1536)/365.25,2)</f>
        <v>2.54</v>
      </c>
      <c r="Q1536" s="13" t="str">
        <f aca="false">IF(D1536="","Unknown",IF(D1536&lt;25,"Under 25",IF(D1536&lt;35,"25-34",IF(D1536&lt;45,"35-44",IF(D1536&lt;55,"45-54","55+")))))</f>
        <v>35-44</v>
      </c>
      <c r="R1536" s="13" t="str">
        <f aca="false">IF(P1536&lt;1,"0-1 yrs",IF(P1536&lt;3,"1-3 yrs",IF(P1536&lt;5,"3-5 yrs",IF(P1536&lt;10,"5-10 yrs","10+ yrs"))))</f>
        <v>1-3 yrs</v>
      </c>
      <c r="S1536" s="13" t="str">
        <f aca="false">IF(I1536&gt;=4,"High",IF(I1536=3,"Medium","Low"))</f>
        <v>Medium</v>
      </c>
      <c r="T1536" s="13" t="str">
        <f aca="false">IF(M1536=1,YEAR(C1536),"")</f>
        <v/>
      </c>
      <c r="U1536" s="13" t="str">
        <f aca="false">IF(M1536=1,YEAR(C1536)&amp;"-Q"&amp;ROUNDUP(MONTH(C1536)/3,0),"")</f>
        <v/>
      </c>
      <c r="V1536" s="13" t="str">
        <f aca="false">IF(M1536=1,MONTH(C1536),"")</f>
        <v/>
      </c>
    </row>
    <row r="1537" customFormat="false" ht="15" hidden="false" customHeight="false" outlineLevel="0" collapsed="false">
      <c r="A1537" s="13" t="str">
        <f aca="false">TRIM(Raw_Data!A1537)</f>
        <v>EMP1536</v>
      </c>
      <c r="B1537" s="14" t="n">
        <f aca="false">Raw_Data!B1537</f>
        <v>45095</v>
      </c>
      <c r="C1537" s="14" t="n">
        <f aca="false">IF(Raw_Data!C1537="","",Raw_Data!C1537)</f>
        <v>45626</v>
      </c>
      <c r="D1537" s="13" t="n">
        <f aca="false">IF(Raw_Data!D1537="","",Raw_Data!D1537)</f>
        <v>31</v>
      </c>
      <c r="E1537" s="13" t="str">
        <f aca="false">IF(UPPER(LEFT(TRIM(Raw_Data!E1537),1))="M","Male",IF(UPPER(LEFT(TRIM(Raw_Data!E1537),1))="F","Female","Unknown"))</f>
        <v>Female</v>
      </c>
      <c r="F1537" s="13" t="str">
        <f aca="false">PROPER(TRIM(SUBSTITUTE(Raw_Data!F1537,"'","")))</f>
        <v>Doctorate</v>
      </c>
      <c r="G1537" s="13" t="str">
        <f aca="false">PROPER(TRIM(Raw_Data!G1537))</f>
        <v>Customer Support</v>
      </c>
      <c r="H1537" s="13" t="str">
        <f aca="false">PROPER(TRIM(Raw_Data!H1537))</f>
        <v>Manager</v>
      </c>
      <c r="I1537" s="13" t="n">
        <f aca="false">IF(Raw_Data!I1537="",DefaultPerf,Raw_Data!I1537)</f>
        <v>4</v>
      </c>
      <c r="J1537" s="13" t="n">
        <f aca="false">IF(Raw_Data!J1537="",DefaultSat,Raw_Data!J1537)</f>
        <v>2</v>
      </c>
      <c r="K1537" s="15" t="n">
        <f aca="false">Raw_Data!K1537</f>
        <v>183500</v>
      </c>
      <c r="L1537" s="13" t="str">
        <f aca="false">PROPER(TRIM(Raw_Data!N1537))</f>
        <v>No</v>
      </c>
      <c r="M1537" s="13" t="n">
        <f aca="false">IF(C1537="",0,1)</f>
        <v>1</v>
      </c>
      <c r="N1537" s="13" t="str">
        <f aca="false">IF(M1537=0,"Active",IF(TRIM(Raw_Data!L1537)="","Unknown",PROPER(TRIM(Raw_Data!L1537))))</f>
        <v>Voluntary</v>
      </c>
      <c r="O1537" s="13" t="str">
        <f aca="false">IF(M1537=0,"",IF(TRIM(Raw_Data!M1537)="","Not Recorded",TRIM(Raw_Data!M1537)))</f>
        <v>Manager Issues</v>
      </c>
      <c r="P1537" s="16" t="n">
        <f aca="false">ROUND((IF(C1537="",AsOfDate,C1537)-B1537)/365.25,2)</f>
        <v>1.45</v>
      </c>
      <c r="Q1537" s="13" t="str">
        <f aca="false">IF(D1537="","Unknown",IF(D1537&lt;25,"Under 25",IF(D1537&lt;35,"25-34",IF(D1537&lt;45,"35-44",IF(D1537&lt;55,"45-54","55+")))))</f>
        <v>25-34</v>
      </c>
      <c r="R1537" s="13" t="str">
        <f aca="false">IF(P1537&lt;1,"0-1 yrs",IF(P1537&lt;3,"1-3 yrs",IF(P1537&lt;5,"3-5 yrs",IF(P1537&lt;10,"5-10 yrs","10+ yrs"))))</f>
        <v>1-3 yrs</v>
      </c>
      <c r="S1537" s="13" t="str">
        <f aca="false">IF(I1537&gt;=4,"High",IF(I1537=3,"Medium","Low"))</f>
        <v>High</v>
      </c>
      <c r="T1537" s="13" t="n">
        <f aca="false">IF(M1537=1,YEAR(C1537),"")</f>
        <v>2024</v>
      </c>
      <c r="U1537" s="13" t="str">
        <f aca="false">IF(M1537=1,YEAR(C1537)&amp;"-Q"&amp;ROUNDUP(MONTH(C1537)/3,0),"")</f>
        <v>2024-Q4</v>
      </c>
      <c r="V1537" s="13" t="n">
        <f aca="false">IF(M1537=1,MONTH(C1537),"")</f>
        <v>11</v>
      </c>
    </row>
    <row r="1538" customFormat="false" ht="15" hidden="false" customHeight="false" outlineLevel="0" collapsed="false">
      <c r="A1538" s="13" t="str">
        <f aca="false">TRIM(Raw_Data!A1538)</f>
        <v>EMP1537</v>
      </c>
      <c r="B1538" s="14" t="n">
        <f aca="false">Raw_Data!B1538</f>
        <v>45098</v>
      </c>
      <c r="C1538" s="14" t="str">
        <f aca="false">IF(Raw_Data!C1538="","",Raw_Data!C1538)</f>
        <v/>
      </c>
      <c r="D1538" s="13" t="n">
        <f aca="false">IF(Raw_Data!D1538="","",Raw_Data!D1538)</f>
        <v>36</v>
      </c>
      <c r="E1538" s="13" t="str">
        <f aca="false">IF(UPPER(LEFT(TRIM(Raw_Data!E1538),1))="M","Male",IF(UPPER(LEFT(TRIM(Raw_Data!E1538),1))="F","Female","Unknown"))</f>
        <v>Female</v>
      </c>
      <c r="F1538" s="13" t="str">
        <f aca="false">PROPER(TRIM(SUBSTITUTE(Raw_Data!F1538,"'","")))</f>
        <v>Bachelors</v>
      </c>
      <c r="G1538" s="13" t="str">
        <f aca="false">PROPER(TRIM(Raw_Data!G1538))</f>
        <v>Engineering</v>
      </c>
      <c r="H1538" s="13" t="str">
        <f aca="false">PROPER(TRIM(Raw_Data!H1538))</f>
        <v>Associate</v>
      </c>
      <c r="I1538" s="13" t="n">
        <f aca="false">IF(Raw_Data!I1538="",DefaultPerf,Raw_Data!I1538)</f>
        <v>4</v>
      </c>
      <c r="J1538" s="13" t="n">
        <f aca="false">IF(Raw_Data!J1538="",DefaultSat,Raw_Data!J1538)</f>
        <v>4</v>
      </c>
      <c r="K1538" s="15" t="n">
        <f aca="false">Raw_Data!K1538</f>
        <v>37000</v>
      </c>
      <c r="L1538" s="13" t="str">
        <f aca="false">PROPER(TRIM(Raw_Data!N1538))</f>
        <v>Yes</v>
      </c>
      <c r="M1538" s="13" t="n">
        <f aca="false">IF(C1538="",0,1)</f>
        <v>0</v>
      </c>
      <c r="N1538" s="13" t="str">
        <f aca="false">IF(M1538=0,"Active",IF(TRIM(Raw_Data!L1538)="","Unknown",PROPER(TRIM(Raw_Data!L1538))))</f>
        <v>Active</v>
      </c>
      <c r="O1538" s="13" t="str">
        <f aca="false">IF(M1538=0,"",IF(TRIM(Raw_Data!M1538)="","Not Recorded",TRIM(Raw_Data!M1538)))</f>
        <v/>
      </c>
      <c r="P1538" s="16" t="n">
        <f aca="false">ROUND((IF(C1538="",AsOfDate,C1538)-B1538)/365.25,2)</f>
        <v>2.53</v>
      </c>
      <c r="Q1538" s="13" t="str">
        <f aca="false">IF(D1538="","Unknown",IF(D1538&lt;25,"Under 25",IF(D1538&lt;35,"25-34",IF(D1538&lt;45,"35-44",IF(D1538&lt;55,"45-54","55+")))))</f>
        <v>35-44</v>
      </c>
      <c r="R1538" s="13" t="str">
        <f aca="false">IF(P1538&lt;1,"0-1 yrs",IF(P1538&lt;3,"1-3 yrs",IF(P1538&lt;5,"3-5 yrs",IF(P1538&lt;10,"5-10 yrs","10+ yrs"))))</f>
        <v>1-3 yrs</v>
      </c>
      <c r="S1538" s="13" t="str">
        <f aca="false">IF(I1538&gt;=4,"High",IF(I1538=3,"Medium","Low"))</f>
        <v>High</v>
      </c>
      <c r="T1538" s="13" t="str">
        <f aca="false">IF(M1538=1,YEAR(C1538),"")</f>
        <v/>
      </c>
      <c r="U1538" s="13" t="str">
        <f aca="false">IF(M1538=1,YEAR(C1538)&amp;"-Q"&amp;ROUNDUP(MONTH(C1538)/3,0),"")</f>
        <v/>
      </c>
      <c r="V1538" s="13" t="str">
        <f aca="false">IF(M1538=1,MONTH(C1538),"")</f>
        <v/>
      </c>
    </row>
    <row r="1539" customFormat="false" ht="15" hidden="false" customHeight="false" outlineLevel="0" collapsed="false">
      <c r="A1539" s="13" t="str">
        <f aca="false">TRIM(Raw_Data!A1539)</f>
        <v>EMP1538</v>
      </c>
      <c r="B1539" s="14" t="n">
        <f aca="false">Raw_Data!B1539</f>
        <v>45100</v>
      </c>
      <c r="C1539" s="14" t="n">
        <f aca="false">IF(Raw_Data!C1539="","",Raw_Data!C1539)</f>
        <v>45923</v>
      </c>
      <c r="D1539" s="13" t="n">
        <f aca="false">IF(Raw_Data!D1539="","",Raw_Data!D1539)</f>
        <v>33</v>
      </c>
      <c r="E1539" s="13" t="str">
        <f aca="false">IF(UPPER(LEFT(TRIM(Raw_Data!E1539),1))="M","Male",IF(UPPER(LEFT(TRIM(Raw_Data!E1539),1))="F","Female","Unknown"))</f>
        <v>Female</v>
      </c>
      <c r="F1539" s="13" t="str">
        <f aca="false">PROPER(TRIM(SUBSTITUTE(Raw_Data!F1539,"'","")))</f>
        <v>Masters</v>
      </c>
      <c r="G1539" s="13" t="str">
        <f aca="false">PROPER(TRIM(Raw_Data!G1539))</f>
        <v>Engineering</v>
      </c>
      <c r="H1539" s="13" t="str">
        <f aca="false">PROPER(TRIM(Raw_Data!H1539))</f>
        <v>Associate</v>
      </c>
      <c r="I1539" s="13" t="n">
        <f aca="false">IF(Raw_Data!I1539="",DefaultPerf,Raw_Data!I1539)</f>
        <v>3</v>
      </c>
      <c r="J1539" s="13" t="n">
        <f aca="false">IF(Raw_Data!J1539="",DefaultSat,Raw_Data!J1539)</f>
        <v>2</v>
      </c>
      <c r="K1539" s="15" t="n">
        <f aca="false">Raw_Data!K1539</f>
        <v>35500</v>
      </c>
      <c r="L1539" s="13" t="str">
        <f aca="false">PROPER(TRIM(Raw_Data!N1539))</f>
        <v>No</v>
      </c>
      <c r="M1539" s="13" t="n">
        <f aca="false">IF(C1539="",0,1)</f>
        <v>1</v>
      </c>
      <c r="N1539" s="13" t="str">
        <f aca="false">IF(M1539=0,"Active",IF(TRIM(Raw_Data!L1539)="","Unknown",PROPER(TRIM(Raw_Data!L1539))))</f>
        <v>Involuntary</v>
      </c>
      <c r="O1539" s="13" t="str">
        <f aca="false">IF(M1539=0,"",IF(TRIM(Raw_Data!M1539)="","Not Recorded",TRIM(Raw_Data!M1539)))</f>
        <v>Not Recorded</v>
      </c>
      <c r="P1539" s="16" t="n">
        <f aca="false">ROUND((IF(C1539="",AsOfDate,C1539)-B1539)/365.25,2)</f>
        <v>2.25</v>
      </c>
      <c r="Q1539" s="13" t="str">
        <f aca="false">IF(D1539="","Unknown",IF(D1539&lt;25,"Under 25",IF(D1539&lt;35,"25-34",IF(D1539&lt;45,"35-44",IF(D1539&lt;55,"45-54","55+")))))</f>
        <v>25-34</v>
      </c>
      <c r="R1539" s="13" t="str">
        <f aca="false">IF(P1539&lt;1,"0-1 yrs",IF(P1539&lt;3,"1-3 yrs",IF(P1539&lt;5,"3-5 yrs",IF(P1539&lt;10,"5-10 yrs","10+ yrs"))))</f>
        <v>1-3 yrs</v>
      </c>
      <c r="S1539" s="13" t="str">
        <f aca="false">IF(I1539&gt;=4,"High",IF(I1539=3,"Medium","Low"))</f>
        <v>Medium</v>
      </c>
      <c r="T1539" s="13" t="n">
        <f aca="false">IF(M1539=1,YEAR(C1539),"")</f>
        <v>2025</v>
      </c>
      <c r="U1539" s="13" t="str">
        <f aca="false">IF(M1539=1,YEAR(C1539)&amp;"-Q"&amp;ROUNDUP(MONTH(C1539)/3,0),"")</f>
        <v>2025-Q3</v>
      </c>
      <c r="V1539" s="13" t="n">
        <f aca="false">IF(M1539=1,MONTH(C1539),"")</f>
        <v>9</v>
      </c>
    </row>
    <row r="1540" customFormat="false" ht="15" hidden="false" customHeight="false" outlineLevel="0" collapsed="false">
      <c r="A1540" s="13" t="str">
        <f aca="false">TRIM(Raw_Data!A1540)</f>
        <v>EMP1539</v>
      </c>
      <c r="B1540" s="14" t="n">
        <f aca="false">Raw_Data!B1540</f>
        <v>45101</v>
      </c>
      <c r="C1540" s="14" t="str">
        <f aca="false">IF(Raw_Data!C1540="","",Raw_Data!C1540)</f>
        <v/>
      </c>
      <c r="D1540" s="13" t="n">
        <f aca="false">IF(Raw_Data!D1540="","",Raw_Data!D1540)</f>
        <v>33</v>
      </c>
      <c r="E1540" s="13" t="str">
        <f aca="false">IF(UPPER(LEFT(TRIM(Raw_Data!E1540),1))="M","Male",IF(UPPER(LEFT(TRIM(Raw_Data!E1540),1))="F","Female","Unknown"))</f>
        <v>Female</v>
      </c>
      <c r="F1540" s="13" t="str">
        <f aca="false">PROPER(TRIM(SUBSTITUTE(Raw_Data!F1540,"'","")))</f>
        <v>Bachelors</v>
      </c>
      <c r="G1540" s="13" t="str">
        <f aca="false">PROPER(TRIM(Raw_Data!G1540))</f>
        <v>Operations</v>
      </c>
      <c r="H1540" s="13" t="str">
        <f aca="false">PROPER(TRIM(Raw_Data!H1540))</f>
        <v>Associate</v>
      </c>
      <c r="I1540" s="13" t="n">
        <f aca="false">IF(Raw_Data!I1540="",DefaultPerf,Raw_Data!I1540)</f>
        <v>3</v>
      </c>
      <c r="J1540" s="13" t="n">
        <f aca="false">IF(Raw_Data!J1540="",DefaultSat,Raw_Data!J1540)</f>
        <v>2</v>
      </c>
      <c r="K1540" s="15" t="n">
        <f aca="false">Raw_Data!K1540</f>
        <v>37000</v>
      </c>
      <c r="L1540" s="13" t="str">
        <f aca="false">PROPER(TRIM(Raw_Data!N1540))</f>
        <v>Yes</v>
      </c>
      <c r="M1540" s="13" t="n">
        <f aca="false">IF(C1540="",0,1)</f>
        <v>0</v>
      </c>
      <c r="N1540" s="13" t="str">
        <f aca="false">IF(M1540=0,"Active",IF(TRIM(Raw_Data!L1540)="","Unknown",PROPER(TRIM(Raw_Data!L1540))))</f>
        <v>Active</v>
      </c>
      <c r="O1540" s="13" t="str">
        <f aca="false">IF(M1540=0,"",IF(TRIM(Raw_Data!M1540)="","Not Recorded",TRIM(Raw_Data!M1540)))</f>
        <v/>
      </c>
      <c r="P1540" s="16" t="n">
        <f aca="false">ROUND((IF(C1540="",AsOfDate,C1540)-B1540)/365.25,2)</f>
        <v>2.52</v>
      </c>
      <c r="Q1540" s="13" t="str">
        <f aca="false">IF(D1540="","Unknown",IF(D1540&lt;25,"Under 25",IF(D1540&lt;35,"25-34",IF(D1540&lt;45,"35-44",IF(D1540&lt;55,"45-54","55+")))))</f>
        <v>25-34</v>
      </c>
      <c r="R1540" s="13" t="str">
        <f aca="false">IF(P1540&lt;1,"0-1 yrs",IF(P1540&lt;3,"1-3 yrs",IF(P1540&lt;5,"3-5 yrs",IF(P1540&lt;10,"5-10 yrs","10+ yrs"))))</f>
        <v>1-3 yrs</v>
      </c>
      <c r="S1540" s="13" t="str">
        <f aca="false">IF(I1540&gt;=4,"High",IF(I1540=3,"Medium","Low"))</f>
        <v>Medium</v>
      </c>
      <c r="T1540" s="13" t="str">
        <f aca="false">IF(M1540=1,YEAR(C1540),"")</f>
        <v/>
      </c>
      <c r="U1540" s="13" t="str">
        <f aca="false">IF(M1540=1,YEAR(C1540)&amp;"-Q"&amp;ROUNDUP(MONTH(C1540)/3,0),"")</f>
        <v/>
      </c>
      <c r="V1540" s="13" t="str">
        <f aca="false">IF(M1540=1,MONTH(C1540),"")</f>
        <v/>
      </c>
    </row>
    <row r="1541" customFormat="false" ht="15" hidden="false" customHeight="false" outlineLevel="0" collapsed="false">
      <c r="A1541" s="13" t="str">
        <f aca="false">TRIM(Raw_Data!A1541)</f>
        <v>EMP1540</v>
      </c>
      <c r="B1541" s="14" t="n">
        <f aca="false">Raw_Data!B1541</f>
        <v>45105</v>
      </c>
      <c r="C1541" s="14" t="n">
        <f aca="false">IF(Raw_Data!C1541="","",Raw_Data!C1541)</f>
        <v>45193</v>
      </c>
      <c r="D1541" s="13" t="n">
        <f aca="false">IF(Raw_Data!D1541="","",Raw_Data!D1541)</f>
        <v>31</v>
      </c>
      <c r="E1541" s="13" t="str">
        <f aca="false">IF(UPPER(LEFT(TRIM(Raw_Data!E1541),1))="M","Male",IF(UPPER(LEFT(TRIM(Raw_Data!E1541),1))="F","Female","Unknown"))</f>
        <v>Male</v>
      </c>
      <c r="F1541" s="13" t="str">
        <f aca="false">PROPER(TRIM(SUBSTITUTE(Raw_Data!F1541,"'","")))</f>
        <v>High School</v>
      </c>
      <c r="G1541" s="13" t="str">
        <f aca="false">PROPER(TRIM(Raw_Data!G1541))</f>
        <v>Sales</v>
      </c>
      <c r="H1541" s="13" t="str">
        <f aca="false">PROPER(TRIM(Raw_Data!H1541))</f>
        <v>Team Lead</v>
      </c>
      <c r="I1541" s="13" t="n">
        <f aca="false">IF(Raw_Data!I1541="",DefaultPerf,Raw_Data!I1541)</f>
        <v>2</v>
      </c>
      <c r="J1541" s="13" t="n">
        <f aca="false">IF(Raw_Data!J1541="",DefaultSat,Raw_Data!J1541)</f>
        <v>4</v>
      </c>
      <c r="K1541" s="15" t="n">
        <f aca="false">Raw_Data!K1541</f>
        <v>133000</v>
      </c>
      <c r="L1541" s="13" t="str">
        <f aca="false">PROPER(TRIM(Raw_Data!N1541))</f>
        <v>Yes</v>
      </c>
      <c r="M1541" s="13" t="n">
        <f aca="false">IF(C1541="",0,1)</f>
        <v>1</v>
      </c>
      <c r="N1541" s="13" t="str">
        <f aca="false">IF(M1541=0,"Active",IF(TRIM(Raw_Data!L1541)="","Unknown",PROPER(TRIM(Raw_Data!L1541))))</f>
        <v>Voluntary</v>
      </c>
      <c r="O1541" s="13" t="str">
        <f aca="false">IF(M1541=0,"",IF(TRIM(Raw_Data!M1541)="","Not Recorded",TRIM(Raw_Data!M1541)))</f>
        <v>Work-Life Balance</v>
      </c>
      <c r="P1541" s="16" t="n">
        <f aca="false">ROUND((IF(C1541="",AsOfDate,C1541)-B1541)/365.25,2)</f>
        <v>0.24</v>
      </c>
      <c r="Q1541" s="13" t="str">
        <f aca="false">IF(D1541="","Unknown",IF(D1541&lt;25,"Under 25",IF(D1541&lt;35,"25-34",IF(D1541&lt;45,"35-44",IF(D1541&lt;55,"45-54","55+")))))</f>
        <v>25-34</v>
      </c>
      <c r="R1541" s="13" t="str">
        <f aca="false">IF(P1541&lt;1,"0-1 yrs",IF(P1541&lt;3,"1-3 yrs",IF(P1541&lt;5,"3-5 yrs",IF(P1541&lt;10,"5-10 yrs","10+ yrs"))))</f>
        <v>0-1 yrs</v>
      </c>
      <c r="S1541" s="13" t="str">
        <f aca="false">IF(I1541&gt;=4,"High",IF(I1541=3,"Medium","Low"))</f>
        <v>Low</v>
      </c>
      <c r="T1541" s="13" t="n">
        <f aca="false">IF(M1541=1,YEAR(C1541),"")</f>
        <v>2023</v>
      </c>
      <c r="U1541" s="13" t="str">
        <f aca="false">IF(M1541=1,YEAR(C1541)&amp;"-Q"&amp;ROUNDUP(MONTH(C1541)/3,0),"")</f>
        <v>2023-Q3</v>
      </c>
      <c r="V1541" s="13" t="n">
        <f aca="false">IF(M1541=1,MONTH(C1541),"")</f>
        <v>9</v>
      </c>
    </row>
    <row r="1542" customFormat="false" ht="15" hidden="false" customHeight="false" outlineLevel="0" collapsed="false">
      <c r="A1542" s="13" t="str">
        <f aca="false">TRIM(Raw_Data!A1542)</f>
        <v>EMP1541</v>
      </c>
      <c r="B1542" s="14" t="n">
        <f aca="false">Raw_Data!B1542</f>
        <v>45106</v>
      </c>
      <c r="C1542" s="14" t="str">
        <f aca="false">IF(Raw_Data!C1542="","",Raw_Data!C1542)</f>
        <v/>
      </c>
      <c r="D1542" s="13" t="n">
        <f aca="false">IF(Raw_Data!D1542="","",Raw_Data!D1542)</f>
        <v>25</v>
      </c>
      <c r="E1542" s="13" t="str">
        <f aca="false">IF(UPPER(LEFT(TRIM(Raw_Data!E1542),1))="M","Male",IF(UPPER(LEFT(TRIM(Raw_Data!E1542),1))="F","Female","Unknown"))</f>
        <v>Male</v>
      </c>
      <c r="F1542" s="13" t="str">
        <f aca="false">PROPER(TRIM(SUBSTITUTE(Raw_Data!F1542,"'","")))</f>
        <v>Masters</v>
      </c>
      <c r="G1542" s="13" t="str">
        <f aca="false">PROPER(TRIM(Raw_Data!G1542))</f>
        <v>Customer Support</v>
      </c>
      <c r="H1542" s="13" t="str">
        <f aca="false">PROPER(TRIM(Raw_Data!H1542))</f>
        <v>Specialist</v>
      </c>
      <c r="I1542" s="13" t="n">
        <f aca="false">IF(Raw_Data!I1542="",DefaultPerf,Raw_Data!I1542)</f>
        <v>5</v>
      </c>
      <c r="J1542" s="13" t="n">
        <f aca="false">IF(Raw_Data!J1542="",DefaultSat,Raw_Data!J1542)</f>
        <v>2</v>
      </c>
      <c r="K1542" s="15" t="n">
        <f aca="false">Raw_Data!K1542</f>
        <v>93000</v>
      </c>
      <c r="L1542" s="13" t="str">
        <f aca="false">PROPER(TRIM(Raw_Data!N1542))</f>
        <v>No</v>
      </c>
      <c r="M1542" s="13" t="n">
        <f aca="false">IF(C1542="",0,1)</f>
        <v>0</v>
      </c>
      <c r="N1542" s="13" t="str">
        <f aca="false">IF(M1542=0,"Active",IF(TRIM(Raw_Data!L1542)="","Unknown",PROPER(TRIM(Raw_Data!L1542))))</f>
        <v>Active</v>
      </c>
      <c r="O1542" s="13" t="str">
        <f aca="false">IF(M1542=0,"",IF(TRIM(Raw_Data!M1542)="","Not Recorded",TRIM(Raw_Data!M1542)))</f>
        <v/>
      </c>
      <c r="P1542" s="16" t="n">
        <f aca="false">ROUND((IF(C1542="",AsOfDate,C1542)-B1542)/365.25,2)</f>
        <v>2.51</v>
      </c>
      <c r="Q1542" s="13" t="str">
        <f aca="false">IF(D1542="","Unknown",IF(D1542&lt;25,"Under 25",IF(D1542&lt;35,"25-34",IF(D1542&lt;45,"35-44",IF(D1542&lt;55,"45-54","55+")))))</f>
        <v>25-34</v>
      </c>
      <c r="R1542" s="13" t="str">
        <f aca="false">IF(P1542&lt;1,"0-1 yrs",IF(P1542&lt;3,"1-3 yrs",IF(P1542&lt;5,"3-5 yrs",IF(P1542&lt;10,"5-10 yrs","10+ yrs"))))</f>
        <v>1-3 yrs</v>
      </c>
      <c r="S1542" s="13" t="str">
        <f aca="false">IF(I1542&gt;=4,"High",IF(I1542=3,"Medium","Low"))</f>
        <v>High</v>
      </c>
      <c r="T1542" s="13" t="str">
        <f aca="false">IF(M1542=1,YEAR(C1542),"")</f>
        <v/>
      </c>
      <c r="U1542" s="13" t="str">
        <f aca="false">IF(M1542=1,YEAR(C1542)&amp;"-Q"&amp;ROUNDUP(MONTH(C1542)/3,0),"")</f>
        <v/>
      </c>
      <c r="V1542" s="13" t="str">
        <f aca="false">IF(M1542=1,MONTH(C1542),"")</f>
        <v/>
      </c>
    </row>
    <row r="1543" customFormat="false" ht="15" hidden="false" customHeight="false" outlineLevel="0" collapsed="false">
      <c r="A1543" s="13" t="str">
        <f aca="false">TRIM(Raw_Data!A1543)</f>
        <v>EMP1542</v>
      </c>
      <c r="B1543" s="14" t="n">
        <f aca="false">Raw_Data!B1543</f>
        <v>45108</v>
      </c>
      <c r="C1543" s="14" t="n">
        <f aca="false">IF(Raw_Data!C1543="","",Raw_Data!C1543)</f>
        <v>45597</v>
      </c>
      <c r="D1543" s="13" t="n">
        <f aca="false">IF(Raw_Data!D1543="","",Raw_Data!D1543)</f>
        <v>35</v>
      </c>
      <c r="E1543" s="13" t="str">
        <f aca="false">IF(UPPER(LEFT(TRIM(Raw_Data!E1543),1))="M","Male",IF(UPPER(LEFT(TRIM(Raw_Data!E1543),1))="F","Female","Unknown"))</f>
        <v>Female</v>
      </c>
      <c r="F1543" s="13" t="str">
        <f aca="false">PROPER(TRIM(SUBSTITUTE(Raw_Data!F1543,"'","")))</f>
        <v>Masters</v>
      </c>
      <c r="G1543" s="13" t="str">
        <f aca="false">PROPER(TRIM(Raw_Data!G1543))</f>
        <v>Sales</v>
      </c>
      <c r="H1543" s="13" t="str">
        <f aca="false">PROPER(TRIM(Raw_Data!H1543))</f>
        <v>Associate</v>
      </c>
      <c r="I1543" s="13" t="n">
        <f aca="false">IF(Raw_Data!I1543="",DefaultPerf,Raw_Data!I1543)</f>
        <v>3</v>
      </c>
      <c r="J1543" s="13" t="n">
        <f aca="false">IF(Raw_Data!J1543="",DefaultSat,Raw_Data!J1543)</f>
        <v>4</v>
      </c>
      <c r="K1543" s="15" t="n">
        <f aca="false">Raw_Data!K1543</f>
        <v>42000</v>
      </c>
      <c r="L1543" s="13" t="str">
        <f aca="false">PROPER(TRIM(Raw_Data!N1543))</f>
        <v>No</v>
      </c>
      <c r="M1543" s="13" t="n">
        <f aca="false">IF(C1543="",0,1)</f>
        <v>1</v>
      </c>
      <c r="N1543" s="13" t="str">
        <f aca="false">IF(M1543=0,"Active",IF(TRIM(Raw_Data!L1543)="","Unknown",PROPER(TRIM(Raw_Data!L1543))))</f>
        <v>Voluntary</v>
      </c>
      <c r="O1543" s="13" t="str">
        <f aca="false">IF(M1543=0,"",IF(TRIM(Raw_Data!M1543)="","Not Recorded",TRIM(Raw_Data!M1543)))</f>
        <v>Career Growth</v>
      </c>
      <c r="P1543" s="16" t="n">
        <f aca="false">ROUND((IF(C1543="",AsOfDate,C1543)-B1543)/365.25,2)</f>
        <v>1.34</v>
      </c>
      <c r="Q1543" s="13" t="str">
        <f aca="false">IF(D1543="","Unknown",IF(D1543&lt;25,"Under 25",IF(D1543&lt;35,"25-34",IF(D1543&lt;45,"35-44",IF(D1543&lt;55,"45-54","55+")))))</f>
        <v>35-44</v>
      </c>
      <c r="R1543" s="13" t="str">
        <f aca="false">IF(P1543&lt;1,"0-1 yrs",IF(P1543&lt;3,"1-3 yrs",IF(P1543&lt;5,"3-5 yrs",IF(P1543&lt;10,"5-10 yrs","10+ yrs"))))</f>
        <v>1-3 yrs</v>
      </c>
      <c r="S1543" s="13" t="str">
        <f aca="false">IF(I1543&gt;=4,"High",IF(I1543=3,"Medium","Low"))</f>
        <v>Medium</v>
      </c>
      <c r="T1543" s="13" t="n">
        <f aca="false">IF(M1543=1,YEAR(C1543),"")</f>
        <v>2024</v>
      </c>
      <c r="U1543" s="13" t="str">
        <f aca="false">IF(M1543=1,YEAR(C1543)&amp;"-Q"&amp;ROUNDUP(MONTH(C1543)/3,0),"")</f>
        <v>2024-Q4</v>
      </c>
      <c r="V1543" s="13" t="n">
        <f aca="false">IF(M1543=1,MONTH(C1543),"")</f>
        <v>11</v>
      </c>
    </row>
    <row r="1544" customFormat="false" ht="15" hidden="false" customHeight="false" outlineLevel="0" collapsed="false">
      <c r="A1544" s="13" t="str">
        <f aca="false">TRIM(Raw_Data!A1544)</f>
        <v>EMP1543</v>
      </c>
      <c r="B1544" s="14" t="n">
        <f aca="false">Raw_Data!B1544</f>
        <v>45109</v>
      </c>
      <c r="C1544" s="14" t="str">
        <f aca="false">IF(Raw_Data!C1544="","",Raw_Data!C1544)</f>
        <v/>
      </c>
      <c r="D1544" s="13" t="n">
        <f aca="false">IF(Raw_Data!D1544="","",Raw_Data!D1544)</f>
        <v>37</v>
      </c>
      <c r="E1544" s="13" t="str">
        <f aca="false">IF(UPPER(LEFT(TRIM(Raw_Data!E1544),1))="M","Male",IF(UPPER(LEFT(TRIM(Raw_Data!E1544),1))="F","Female","Unknown"))</f>
        <v>Male</v>
      </c>
      <c r="F1544" s="13" t="str">
        <f aca="false">PROPER(TRIM(SUBSTITUTE(Raw_Data!F1544,"'","")))</f>
        <v>Bachelors</v>
      </c>
      <c r="G1544" s="13" t="str">
        <f aca="false">PROPER(TRIM(Raw_Data!G1544))</f>
        <v>Operations</v>
      </c>
      <c r="H1544" s="13" t="str">
        <f aca="false">PROPER(TRIM(Raw_Data!H1544))</f>
        <v>Associate</v>
      </c>
      <c r="I1544" s="13" t="n">
        <f aca="false">IF(Raw_Data!I1544="",DefaultPerf,Raw_Data!I1544)</f>
        <v>5</v>
      </c>
      <c r="J1544" s="13" t="n">
        <f aca="false">IF(Raw_Data!J1544="",DefaultSat,Raw_Data!J1544)</f>
        <v>3</v>
      </c>
      <c r="K1544" s="15" t="n">
        <f aca="false">Raw_Data!K1544</f>
        <v>34000</v>
      </c>
      <c r="L1544" s="13" t="str">
        <f aca="false">PROPER(TRIM(Raw_Data!N1544))</f>
        <v>No</v>
      </c>
      <c r="M1544" s="13" t="n">
        <f aca="false">IF(C1544="",0,1)</f>
        <v>0</v>
      </c>
      <c r="N1544" s="13" t="str">
        <f aca="false">IF(M1544=0,"Active",IF(TRIM(Raw_Data!L1544)="","Unknown",PROPER(TRIM(Raw_Data!L1544))))</f>
        <v>Active</v>
      </c>
      <c r="O1544" s="13" t="str">
        <f aca="false">IF(M1544=0,"",IF(TRIM(Raw_Data!M1544)="","Not Recorded",TRIM(Raw_Data!M1544)))</f>
        <v/>
      </c>
      <c r="P1544" s="16" t="n">
        <f aca="false">ROUND((IF(C1544="",AsOfDate,C1544)-B1544)/365.25,2)</f>
        <v>2.5</v>
      </c>
      <c r="Q1544" s="13" t="str">
        <f aca="false">IF(D1544="","Unknown",IF(D1544&lt;25,"Under 25",IF(D1544&lt;35,"25-34",IF(D1544&lt;45,"35-44",IF(D1544&lt;55,"45-54","55+")))))</f>
        <v>35-44</v>
      </c>
      <c r="R1544" s="13" t="str">
        <f aca="false">IF(P1544&lt;1,"0-1 yrs",IF(P1544&lt;3,"1-3 yrs",IF(P1544&lt;5,"3-5 yrs",IF(P1544&lt;10,"5-10 yrs","10+ yrs"))))</f>
        <v>1-3 yrs</v>
      </c>
      <c r="S1544" s="13" t="str">
        <f aca="false">IF(I1544&gt;=4,"High",IF(I1544=3,"Medium","Low"))</f>
        <v>High</v>
      </c>
      <c r="T1544" s="13" t="str">
        <f aca="false">IF(M1544=1,YEAR(C1544),"")</f>
        <v/>
      </c>
      <c r="U1544" s="13" t="str">
        <f aca="false">IF(M1544=1,YEAR(C1544)&amp;"-Q"&amp;ROUNDUP(MONTH(C1544)/3,0),"")</f>
        <v/>
      </c>
      <c r="V1544" s="13" t="str">
        <f aca="false">IF(M1544=1,MONTH(C1544),"")</f>
        <v/>
      </c>
    </row>
    <row r="1545" customFormat="false" ht="15" hidden="false" customHeight="false" outlineLevel="0" collapsed="false">
      <c r="A1545" s="13" t="str">
        <f aca="false">TRIM(Raw_Data!A1545)</f>
        <v>EMP1544</v>
      </c>
      <c r="B1545" s="14" t="n">
        <f aca="false">Raw_Data!B1545</f>
        <v>45113</v>
      </c>
      <c r="C1545" s="14" t="str">
        <f aca="false">IF(Raw_Data!C1545="","",Raw_Data!C1545)</f>
        <v/>
      </c>
      <c r="D1545" s="13" t="n">
        <f aca="false">IF(Raw_Data!D1545="","",Raw_Data!D1545)</f>
        <v>35</v>
      </c>
      <c r="E1545" s="13" t="str">
        <f aca="false">IF(UPPER(LEFT(TRIM(Raw_Data!E1545),1))="M","Male",IF(UPPER(LEFT(TRIM(Raw_Data!E1545),1))="F","Female","Unknown"))</f>
        <v>Female</v>
      </c>
      <c r="F1545" s="13" t="str">
        <f aca="false">PROPER(TRIM(SUBSTITUTE(Raw_Data!F1545,"'","")))</f>
        <v>Masters</v>
      </c>
      <c r="G1545" s="13" t="str">
        <f aca="false">PROPER(TRIM(Raw_Data!G1545))</f>
        <v>Operations</v>
      </c>
      <c r="H1545" s="13" t="str">
        <f aca="false">PROPER(TRIM(Raw_Data!H1545))</f>
        <v>Specialist</v>
      </c>
      <c r="I1545" s="13" t="n">
        <f aca="false">IF(Raw_Data!I1545="",DefaultPerf,Raw_Data!I1545)</f>
        <v>3</v>
      </c>
      <c r="J1545" s="13" t="n">
        <f aca="false">IF(Raw_Data!J1545="",DefaultSat,Raw_Data!J1545)</f>
        <v>4</v>
      </c>
      <c r="K1545" s="15" t="n">
        <f aca="false">Raw_Data!K1545</f>
        <v>106500</v>
      </c>
      <c r="L1545" s="13" t="str">
        <f aca="false">PROPER(TRIM(Raw_Data!N1545))</f>
        <v>No</v>
      </c>
      <c r="M1545" s="13" t="n">
        <f aca="false">IF(C1545="",0,1)</f>
        <v>0</v>
      </c>
      <c r="N1545" s="13" t="str">
        <f aca="false">IF(M1545=0,"Active",IF(TRIM(Raw_Data!L1545)="","Unknown",PROPER(TRIM(Raw_Data!L1545))))</f>
        <v>Active</v>
      </c>
      <c r="O1545" s="13" t="str">
        <f aca="false">IF(M1545=0,"",IF(TRIM(Raw_Data!M1545)="","Not Recorded",TRIM(Raw_Data!M1545)))</f>
        <v/>
      </c>
      <c r="P1545" s="16" t="n">
        <f aca="false">ROUND((IF(C1545="",AsOfDate,C1545)-B1545)/365.25,2)</f>
        <v>2.49</v>
      </c>
      <c r="Q1545" s="13" t="str">
        <f aca="false">IF(D1545="","Unknown",IF(D1545&lt;25,"Under 25",IF(D1545&lt;35,"25-34",IF(D1545&lt;45,"35-44",IF(D1545&lt;55,"45-54","55+")))))</f>
        <v>35-44</v>
      </c>
      <c r="R1545" s="13" t="str">
        <f aca="false">IF(P1545&lt;1,"0-1 yrs",IF(P1545&lt;3,"1-3 yrs",IF(P1545&lt;5,"3-5 yrs",IF(P1545&lt;10,"5-10 yrs","10+ yrs"))))</f>
        <v>1-3 yrs</v>
      </c>
      <c r="S1545" s="13" t="str">
        <f aca="false">IF(I1545&gt;=4,"High",IF(I1545=3,"Medium","Low"))</f>
        <v>Medium</v>
      </c>
      <c r="T1545" s="13" t="str">
        <f aca="false">IF(M1545=1,YEAR(C1545),"")</f>
        <v/>
      </c>
      <c r="U1545" s="13" t="str">
        <f aca="false">IF(M1545=1,YEAR(C1545)&amp;"-Q"&amp;ROUNDUP(MONTH(C1545)/3,0),"")</f>
        <v/>
      </c>
      <c r="V1545" s="13" t="str">
        <f aca="false">IF(M1545=1,MONTH(C1545),"")</f>
        <v/>
      </c>
    </row>
    <row r="1546" customFormat="false" ht="15" hidden="false" customHeight="false" outlineLevel="0" collapsed="false">
      <c r="A1546" s="13" t="str">
        <f aca="false">TRIM(Raw_Data!A1546)</f>
        <v>EMP1545</v>
      </c>
      <c r="B1546" s="14" t="n">
        <f aca="false">Raw_Data!B1546</f>
        <v>45115</v>
      </c>
      <c r="C1546" s="14" t="str">
        <f aca="false">IF(Raw_Data!C1546="","",Raw_Data!C1546)</f>
        <v/>
      </c>
      <c r="D1546" s="13" t="n">
        <f aca="false">IF(Raw_Data!D1546="","",Raw_Data!D1546)</f>
        <v>32</v>
      </c>
      <c r="E1546" s="13" t="str">
        <f aca="false">IF(UPPER(LEFT(TRIM(Raw_Data!E1546),1))="M","Male",IF(UPPER(LEFT(TRIM(Raw_Data!E1546),1))="F","Female","Unknown"))</f>
        <v>Male</v>
      </c>
      <c r="F1546" s="13" t="str">
        <f aca="false">PROPER(TRIM(SUBSTITUTE(Raw_Data!F1546,"'","")))</f>
        <v>Diploma</v>
      </c>
      <c r="G1546" s="13" t="str">
        <f aca="false">PROPER(TRIM(Raw_Data!G1546))</f>
        <v>Operations</v>
      </c>
      <c r="H1546" s="13" t="str">
        <f aca="false">PROPER(TRIM(Raw_Data!H1546))</f>
        <v>Associate</v>
      </c>
      <c r="I1546" s="13" t="n">
        <f aca="false">IF(Raw_Data!I1546="",DefaultPerf,Raw_Data!I1546)</f>
        <v>3</v>
      </c>
      <c r="J1546" s="13" t="n">
        <f aca="false">IF(Raw_Data!J1546="",DefaultSat,Raw_Data!J1546)</f>
        <v>4</v>
      </c>
      <c r="K1546" s="15" t="n">
        <f aca="false">Raw_Data!K1546</f>
        <v>31000</v>
      </c>
      <c r="L1546" s="13" t="str">
        <f aca="false">PROPER(TRIM(Raw_Data!N1546))</f>
        <v>No</v>
      </c>
      <c r="M1546" s="13" t="n">
        <f aca="false">IF(C1546="",0,1)</f>
        <v>0</v>
      </c>
      <c r="N1546" s="13" t="str">
        <f aca="false">IF(M1546=0,"Active",IF(TRIM(Raw_Data!L1546)="","Unknown",PROPER(TRIM(Raw_Data!L1546))))</f>
        <v>Active</v>
      </c>
      <c r="O1546" s="13" t="str">
        <f aca="false">IF(M1546=0,"",IF(TRIM(Raw_Data!M1546)="","Not Recorded",TRIM(Raw_Data!M1546)))</f>
        <v/>
      </c>
      <c r="P1546" s="16" t="n">
        <f aca="false">ROUND((IF(C1546="",AsOfDate,C1546)-B1546)/365.25,2)</f>
        <v>2.48</v>
      </c>
      <c r="Q1546" s="13" t="str">
        <f aca="false">IF(D1546="","Unknown",IF(D1546&lt;25,"Under 25",IF(D1546&lt;35,"25-34",IF(D1546&lt;45,"35-44",IF(D1546&lt;55,"45-54","55+")))))</f>
        <v>25-34</v>
      </c>
      <c r="R1546" s="13" t="str">
        <f aca="false">IF(P1546&lt;1,"0-1 yrs",IF(P1546&lt;3,"1-3 yrs",IF(P1546&lt;5,"3-5 yrs",IF(P1546&lt;10,"5-10 yrs","10+ yrs"))))</f>
        <v>1-3 yrs</v>
      </c>
      <c r="S1546" s="13" t="str">
        <f aca="false">IF(I1546&gt;=4,"High",IF(I1546=3,"Medium","Low"))</f>
        <v>Medium</v>
      </c>
      <c r="T1546" s="13" t="str">
        <f aca="false">IF(M1546=1,YEAR(C1546),"")</f>
        <v/>
      </c>
      <c r="U1546" s="13" t="str">
        <f aca="false">IF(M1546=1,YEAR(C1546)&amp;"-Q"&amp;ROUNDUP(MONTH(C1546)/3,0),"")</f>
        <v/>
      </c>
      <c r="V1546" s="13" t="str">
        <f aca="false">IF(M1546=1,MONTH(C1546),"")</f>
        <v/>
      </c>
    </row>
    <row r="1547" customFormat="false" ht="15" hidden="false" customHeight="false" outlineLevel="0" collapsed="false">
      <c r="A1547" s="13" t="str">
        <f aca="false">TRIM(Raw_Data!A1547)</f>
        <v>EMP1546</v>
      </c>
      <c r="B1547" s="14" t="n">
        <f aca="false">Raw_Data!B1547</f>
        <v>45118</v>
      </c>
      <c r="C1547" s="14" t="str">
        <f aca="false">IF(Raw_Data!C1547="","",Raw_Data!C1547)</f>
        <v/>
      </c>
      <c r="D1547" s="13" t="n">
        <f aca="false">IF(Raw_Data!D1547="","",Raw_Data!D1547)</f>
        <v>23</v>
      </c>
      <c r="E1547" s="13" t="str">
        <f aca="false">IF(UPPER(LEFT(TRIM(Raw_Data!E1547),1))="M","Male",IF(UPPER(LEFT(TRIM(Raw_Data!E1547),1))="F","Female","Unknown"))</f>
        <v>Female</v>
      </c>
      <c r="F1547" s="13" t="str">
        <f aca="false">PROPER(TRIM(SUBSTITUTE(Raw_Data!F1547,"'","")))</f>
        <v>Bachelors</v>
      </c>
      <c r="G1547" s="13" t="str">
        <f aca="false">PROPER(TRIM(Raw_Data!G1547))</f>
        <v>Operations</v>
      </c>
      <c r="H1547" s="13" t="str">
        <f aca="false">PROPER(TRIM(Raw_Data!H1547))</f>
        <v>Analyst</v>
      </c>
      <c r="I1547" s="13" t="n">
        <f aca="false">IF(Raw_Data!I1547="",DefaultPerf,Raw_Data!I1547)</f>
        <v>4</v>
      </c>
      <c r="J1547" s="13" t="n">
        <f aca="false">IF(Raw_Data!J1547="",DefaultSat,Raw_Data!J1547)</f>
        <v>4</v>
      </c>
      <c r="K1547" s="15" t="n">
        <f aca="false">Raw_Data!K1547</f>
        <v>60000</v>
      </c>
      <c r="L1547" s="13" t="str">
        <f aca="false">PROPER(TRIM(Raw_Data!N1547))</f>
        <v>No</v>
      </c>
      <c r="M1547" s="13" t="n">
        <f aca="false">IF(C1547="",0,1)</f>
        <v>0</v>
      </c>
      <c r="N1547" s="13" t="str">
        <f aca="false">IF(M1547=0,"Active",IF(TRIM(Raw_Data!L1547)="","Unknown",PROPER(TRIM(Raw_Data!L1547))))</f>
        <v>Active</v>
      </c>
      <c r="O1547" s="13" t="str">
        <f aca="false">IF(M1547=0,"",IF(TRIM(Raw_Data!M1547)="","Not Recorded",TRIM(Raw_Data!M1547)))</f>
        <v/>
      </c>
      <c r="P1547" s="16" t="n">
        <f aca="false">ROUND((IF(C1547="",AsOfDate,C1547)-B1547)/365.25,2)</f>
        <v>2.48</v>
      </c>
      <c r="Q1547" s="13" t="str">
        <f aca="false">IF(D1547="","Unknown",IF(D1547&lt;25,"Under 25",IF(D1547&lt;35,"25-34",IF(D1547&lt;45,"35-44",IF(D1547&lt;55,"45-54","55+")))))</f>
        <v>Under 25</v>
      </c>
      <c r="R1547" s="13" t="str">
        <f aca="false">IF(P1547&lt;1,"0-1 yrs",IF(P1547&lt;3,"1-3 yrs",IF(P1547&lt;5,"3-5 yrs",IF(P1547&lt;10,"5-10 yrs","10+ yrs"))))</f>
        <v>1-3 yrs</v>
      </c>
      <c r="S1547" s="13" t="str">
        <f aca="false">IF(I1547&gt;=4,"High",IF(I1547=3,"Medium","Low"))</f>
        <v>High</v>
      </c>
      <c r="T1547" s="13" t="str">
        <f aca="false">IF(M1547=1,YEAR(C1547),"")</f>
        <v/>
      </c>
      <c r="U1547" s="13" t="str">
        <f aca="false">IF(M1547=1,YEAR(C1547)&amp;"-Q"&amp;ROUNDUP(MONTH(C1547)/3,0),"")</f>
        <v/>
      </c>
      <c r="V1547" s="13" t="str">
        <f aca="false">IF(M1547=1,MONTH(C1547),"")</f>
        <v/>
      </c>
    </row>
    <row r="1548" customFormat="false" ht="15" hidden="false" customHeight="false" outlineLevel="0" collapsed="false">
      <c r="A1548" s="13" t="str">
        <f aca="false">TRIM(Raw_Data!A1548)</f>
        <v>EMP1547</v>
      </c>
      <c r="B1548" s="14" t="n">
        <f aca="false">Raw_Data!B1548</f>
        <v>45118</v>
      </c>
      <c r="C1548" s="14" t="n">
        <f aca="false">IF(Raw_Data!C1548="","",Raw_Data!C1548)</f>
        <v>45835</v>
      </c>
      <c r="D1548" s="13" t="n">
        <f aca="false">IF(Raw_Data!D1548="","",Raw_Data!D1548)</f>
        <v>27</v>
      </c>
      <c r="E1548" s="13" t="str">
        <f aca="false">IF(UPPER(LEFT(TRIM(Raw_Data!E1548),1))="M","Male",IF(UPPER(LEFT(TRIM(Raw_Data!E1548),1))="F","Female","Unknown"))</f>
        <v>Female</v>
      </c>
      <c r="F1548" s="13" t="str">
        <f aca="false">PROPER(TRIM(SUBSTITUTE(Raw_Data!F1548,"'","")))</f>
        <v>Diploma</v>
      </c>
      <c r="G1548" s="13" t="str">
        <f aca="false">PROPER(TRIM(Raw_Data!G1548))</f>
        <v>Engineering</v>
      </c>
      <c r="H1548" s="13" t="str">
        <f aca="false">PROPER(TRIM(Raw_Data!H1548))</f>
        <v>Associate</v>
      </c>
      <c r="I1548" s="13" t="n">
        <f aca="false">IF(Raw_Data!I1548="",DefaultPerf,Raw_Data!I1548)</f>
        <v>4</v>
      </c>
      <c r="J1548" s="13" t="n">
        <f aca="false">IF(Raw_Data!J1548="",DefaultSat,Raw_Data!J1548)</f>
        <v>4</v>
      </c>
      <c r="K1548" s="15" t="n">
        <f aca="false">Raw_Data!K1548</f>
        <v>39000</v>
      </c>
      <c r="L1548" s="13" t="str">
        <f aca="false">PROPER(TRIM(Raw_Data!N1548))</f>
        <v>Yes</v>
      </c>
      <c r="M1548" s="13" t="n">
        <f aca="false">IF(C1548="",0,1)</f>
        <v>1</v>
      </c>
      <c r="N1548" s="13" t="str">
        <f aca="false">IF(M1548=0,"Active",IF(TRIM(Raw_Data!L1548)="","Unknown",PROPER(TRIM(Raw_Data!L1548))))</f>
        <v>Voluntary</v>
      </c>
      <c r="O1548" s="13" t="str">
        <f aca="false">IF(M1548=0,"",IF(TRIM(Raw_Data!M1548)="","Not Recorded",TRIM(Raw_Data!M1548)))</f>
        <v>Further Studies</v>
      </c>
      <c r="P1548" s="16" t="n">
        <f aca="false">ROUND((IF(C1548="",AsOfDate,C1548)-B1548)/365.25,2)</f>
        <v>1.96</v>
      </c>
      <c r="Q1548" s="13" t="str">
        <f aca="false">IF(D1548="","Unknown",IF(D1548&lt;25,"Under 25",IF(D1548&lt;35,"25-34",IF(D1548&lt;45,"35-44",IF(D1548&lt;55,"45-54","55+")))))</f>
        <v>25-34</v>
      </c>
      <c r="R1548" s="13" t="str">
        <f aca="false">IF(P1548&lt;1,"0-1 yrs",IF(P1548&lt;3,"1-3 yrs",IF(P1548&lt;5,"3-5 yrs",IF(P1548&lt;10,"5-10 yrs","10+ yrs"))))</f>
        <v>1-3 yrs</v>
      </c>
      <c r="S1548" s="13" t="str">
        <f aca="false">IF(I1548&gt;=4,"High",IF(I1548=3,"Medium","Low"))</f>
        <v>High</v>
      </c>
      <c r="T1548" s="13" t="n">
        <f aca="false">IF(M1548=1,YEAR(C1548),"")</f>
        <v>2025</v>
      </c>
      <c r="U1548" s="13" t="str">
        <f aca="false">IF(M1548=1,YEAR(C1548)&amp;"-Q"&amp;ROUNDUP(MONTH(C1548)/3,0),"")</f>
        <v>2025-Q2</v>
      </c>
      <c r="V1548" s="13" t="n">
        <f aca="false">IF(M1548=1,MONTH(C1548),"")</f>
        <v>6</v>
      </c>
    </row>
    <row r="1549" customFormat="false" ht="15" hidden="false" customHeight="false" outlineLevel="0" collapsed="false">
      <c r="A1549" s="13" t="str">
        <f aca="false">TRIM(Raw_Data!A1549)</f>
        <v>EMP1548</v>
      </c>
      <c r="B1549" s="14" t="n">
        <f aca="false">Raw_Data!B1549</f>
        <v>45118</v>
      </c>
      <c r="C1549" s="14" t="n">
        <f aca="false">IF(Raw_Data!C1549="","",Raw_Data!C1549)</f>
        <v>45834</v>
      </c>
      <c r="D1549" s="13" t="n">
        <f aca="false">IF(Raw_Data!D1549="","",Raw_Data!D1549)</f>
        <v>31</v>
      </c>
      <c r="E1549" s="13" t="str">
        <f aca="false">IF(UPPER(LEFT(TRIM(Raw_Data!E1549),1))="M","Male",IF(UPPER(LEFT(TRIM(Raw_Data!E1549),1))="F","Female","Unknown"))</f>
        <v>Male</v>
      </c>
      <c r="F1549" s="13" t="str">
        <f aca="false">PROPER(TRIM(SUBSTITUTE(Raw_Data!F1549,"'","")))</f>
        <v>Masters</v>
      </c>
      <c r="G1549" s="13" t="str">
        <f aca="false">PROPER(TRIM(Raw_Data!G1549))</f>
        <v>Customer Support</v>
      </c>
      <c r="H1549" s="13" t="str">
        <f aca="false">PROPER(TRIM(Raw_Data!H1549))</f>
        <v>Analyst</v>
      </c>
      <c r="I1549" s="13" t="n">
        <f aca="false">IF(Raw_Data!I1549="",DefaultPerf,Raw_Data!I1549)</f>
        <v>2</v>
      </c>
      <c r="J1549" s="13" t="n">
        <f aca="false">IF(Raw_Data!J1549="",DefaultSat,Raw_Data!J1549)</f>
        <v>2</v>
      </c>
      <c r="K1549" s="15" t="n">
        <f aca="false">Raw_Data!K1549</f>
        <v>65500</v>
      </c>
      <c r="L1549" s="13" t="str">
        <f aca="false">PROPER(TRIM(Raw_Data!N1549))</f>
        <v>Yes</v>
      </c>
      <c r="M1549" s="13" t="n">
        <f aca="false">IF(C1549="",0,1)</f>
        <v>1</v>
      </c>
      <c r="N1549" s="13" t="str">
        <f aca="false">IF(M1549=0,"Active",IF(TRIM(Raw_Data!L1549)="","Unknown",PROPER(TRIM(Raw_Data!L1549))))</f>
        <v>Voluntary</v>
      </c>
      <c r="O1549" s="13" t="str">
        <f aca="false">IF(M1549=0,"",IF(TRIM(Raw_Data!M1549)="","Not Recorded",TRIM(Raw_Data!M1549)))</f>
        <v>Better Compensation</v>
      </c>
      <c r="P1549" s="16" t="n">
        <f aca="false">ROUND((IF(C1549="",AsOfDate,C1549)-B1549)/365.25,2)</f>
        <v>1.96</v>
      </c>
      <c r="Q1549" s="13" t="str">
        <f aca="false">IF(D1549="","Unknown",IF(D1549&lt;25,"Under 25",IF(D1549&lt;35,"25-34",IF(D1549&lt;45,"35-44",IF(D1549&lt;55,"45-54","55+")))))</f>
        <v>25-34</v>
      </c>
      <c r="R1549" s="13" t="str">
        <f aca="false">IF(P1549&lt;1,"0-1 yrs",IF(P1549&lt;3,"1-3 yrs",IF(P1549&lt;5,"3-5 yrs",IF(P1549&lt;10,"5-10 yrs","10+ yrs"))))</f>
        <v>1-3 yrs</v>
      </c>
      <c r="S1549" s="13" t="str">
        <f aca="false">IF(I1549&gt;=4,"High",IF(I1549=3,"Medium","Low"))</f>
        <v>Low</v>
      </c>
      <c r="T1549" s="13" t="n">
        <f aca="false">IF(M1549=1,YEAR(C1549),"")</f>
        <v>2025</v>
      </c>
      <c r="U1549" s="13" t="str">
        <f aca="false">IF(M1549=1,YEAR(C1549)&amp;"-Q"&amp;ROUNDUP(MONTH(C1549)/3,0),"")</f>
        <v>2025-Q2</v>
      </c>
      <c r="V1549" s="13" t="n">
        <f aca="false">IF(M1549=1,MONTH(C1549),"")</f>
        <v>6</v>
      </c>
    </row>
    <row r="1550" customFormat="false" ht="15" hidden="false" customHeight="false" outlineLevel="0" collapsed="false">
      <c r="A1550" s="13" t="str">
        <f aca="false">TRIM(Raw_Data!A1550)</f>
        <v>EMP1549</v>
      </c>
      <c r="B1550" s="14" t="n">
        <f aca="false">Raw_Data!B1550</f>
        <v>45120</v>
      </c>
      <c r="C1550" s="14" t="n">
        <f aca="false">IF(Raw_Data!C1550="","",Raw_Data!C1550)</f>
        <v>45181</v>
      </c>
      <c r="D1550" s="13" t="n">
        <f aca="false">IF(Raw_Data!D1550="","",Raw_Data!D1550)</f>
        <v>26</v>
      </c>
      <c r="E1550" s="13" t="str">
        <f aca="false">IF(UPPER(LEFT(TRIM(Raw_Data!E1550),1))="M","Male",IF(UPPER(LEFT(TRIM(Raw_Data!E1550),1))="F","Female","Unknown"))</f>
        <v>Female</v>
      </c>
      <c r="F1550" s="13" t="str">
        <f aca="false">PROPER(TRIM(SUBSTITUTE(Raw_Data!F1550,"'","")))</f>
        <v>Bachelors</v>
      </c>
      <c r="G1550" s="13" t="str">
        <f aca="false">PROPER(TRIM(Raw_Data!G1550))</f>
        <v>Operations</v>
      </c>
      <c r="H1550" s="13" t="str">
        <f aca="false">PROPER(TRIM(Raw_Data!H1550))</f>
        <v>Analyst</v>
      </c>
      <c r="I1550" s="13" t="n">
        <f aca="false">IF(Raw_Data!I1550="",DefaultPerf,Raw_Data!I1550)</f>
        <v>3</v>
      </c>
      <c r="J1550" s="13" t="n">
        <f aca="false">IF(Raw_Data!J1550="",DefaultSat,Raw_Data!J1550)</f>
        <v>3</v>
      </c>
      <c r="K1550" s="15" t="n">
        <f aca="false">Raw_Data!K1550</f>
        <v>53000</v>
      </c>
      <c r="L1550" s="13" t="str">
        <f aca="false">PROPER(TRIM(Raw_Data!N1550))</f>
        <v>No</v>
      </c>
      <c r="M1550" s="13" t="n">
        <f aca="false">IF(C1550="",0,1)</f>
        <v>1</v>
      </c>
      <c r="N1550" s="13" t="str">
        <f aca="false">IF(M1550=0,"Active",IF(TRIM(Raw_Data!L1550)="","Unknown",PROPER(TRIM(Raw_Data!L1550))))</f>
        <v>Involuntary</v>
      </c>
      <c r="O1550" s="13" t="str">
        <f aca="false">IF(M1550=0,"",IF(TRIM(Raw_Data!M1550)="","Not Recorded",TRIM(Raw_Data!M1550)))</f>
        <v>Restructuring / Layoff</v>
      </c>
      <c r="P1550" s="16" t="n">
        <f aca="false">ROUND((IF(C1550="",AsOfDate,C1550)-B1550)/365.25,2)</f>
        <v>0.17</v>
      </c>
      <c r="Q1550" s="13" t="str">
        <f aca="false">IF(D1550="","Unknown",IF(D1550&lt;25,"Under 25",IF(D1550&lt;35,"25-34",IF(D1550&lt;45,"35-44",IF(D1550&lt;55,"45-54","55+")))))</f>
        <v>25-34</v>
      </c>
      <c r="R1550" s="13" t="str">
        <f aca="false">IF(P1550&lt;1,"0-1 yrs",IF(P1550&lt;3,"1-3 yrs",IF(P1550&lt;5,"3-5 yrs",IF(P1550&lt;10,"5-10 yrs","10+ yrs"))))</f>
        <v>0-1 yrs</v>
      </c>
      <c r="S1550" s="13" t="str">
        <f aca="false">IF(I1550&gt;=4,"High",IF(I1550=3,"Medium","Low"))</f>
        <v>Medium</v>
      </c>
      <c r="T1550" s="13" t="n">
        <f aca="false">IF(M1550=1,YEAR(C1550),"")</f>
        <v>2023</v>
      </c>
      <c r="U1550" s="13" t="str">
        <f aca="false">IF(M1550=1,YEAR(C1550)&amp;"-Q"&amp;ROUNDUP(MONTH(C1550)/3,0),"")</f>
        <v>2023-Q3</v>
      </c>
      <c r="V1550" s="13" t="n">
        <f aca="false">IF(M1550=1,MONTH(C1550),"")</f>
        <v>9</v>
      </c>
    </row>
    <row r="1551" customFormat="false" ht="15" hidden="false" customHeight="false" outlineLevel="0" collapsed="false">
      <c r="A1551" s="13" t="str">
        <f aca="false">TRIM(Raw_Data!A1551)</f>
        <v>EMP1550</v>
      </c>
      <c r="B1551" s="14" t="n">
        <f aca="false">Raw_Data!B1551</f>
        <v>45120</v>
      </c>
      <c r="C1551" s="14" t="str">
        <f aca="false">IF(Raw_Data!C1551="","",Raw_Data!C1551)</f>
        <v/>
      </c>
      <c r="D1551" s="13" t="n">
        <f aca="false">IF(Raw_Data!D1551="","",Raw_Data!D1551)</f>
        <v>34</v>
      </c>
      <c r="E1551" s="13" t="str">
        <f aca="false">IF(UPPER(LEFT(TRIM(Raw_Data!E1551),1))="M","Male",IF(UPPER(LEFT(TRIM(Raw_Data!E1551),1))="F","Female","Unknown"))</f>
        <v>Female</v>
      </c>
      <c r="F1551" s="13" t="str">
        <f aca="false">PROPER(TRIM(SUBSTITUTE(Raw_Data!F1551,"'","")))</f>
        <v>Diploma</v>
      </c>
      <c r="G1551" s="13" t="str">
        <f aca="false">PROPER(TRIM(Raw_Data!G1551))</f>
        <v>Engineering</v>
      </c>
      <c r="H1551" s="13" t="str">
        <f aca="false">PROPER(TRIM(Raw_Data!H1551))</f>
        <v>Analyst</v>
      </c>
      <c r="I1551" s="13" t="n">
        <f aca="false">IF(Raw_Data!I1551="",DefaultPerf,Raw_Data!I1551)</f>
        <v>3</v>
      </c>
      <c r="J1551" s="13" t="n">
        <f aca="false">IF(Raw_Data!J1551="",DefaultSat,Raw_Data!J1551)</f>
        <v>4</v>
      </c>
      <c r="K1551" s="15" t="n">
        <f aca="false">Raw_Data!K1551</f>
        <v>57500</v>
      </c>
      <c r="L1551" s="13" t="str">
        <f aca="false">PROPER(TRIM(Raw_Data!N1551))</f>
        <v>No</v>
      </c>
      <c r="M1551" s="13" t="n">
        <f aca="false">IF(C1551="",0,1)</f>
        <v>0</v>
      </c>
      <c r="N1551" s="13" t="str">
        <f aca="false">IF(M1551=0,"Active",IF(TRIM(Raw_Data!L1551)="","Unknown",PROPER(TRIM(Raw_Data!L1551))))</f>
        <v>Active</v>
      </c>
      <c r="O1551" s="13" t="str">
        <f aca="false">IF(M1551=0,"",IF(TRIM(Raw_Data!M1551)="","Not Recorded",TRIM(Raw_Data!M1551)))</f>
        <v/>
      </c>
      <c r="P1551" s="16" t="n">
        <f aca="false">ROUND((IF(C1551="",AsOfDate,C1551)-B1551)/365.25,2)</f>
        <v>2.47</v>
      </c>
      <c r="Q1551" s="13" t="str">
        <f aca="false">IF(D1551="","Unknown",IF(D1551&lt;25,"Under 25",IF(D1551&lt;35,"25-34",IF(D1551&lt;45,"35-44",IF(D1551&lt;55,"45-54","55+")))))</f>
        <v>25-34</v>
      </c>
      <c r="R1551" s="13" t="str">
        <f aca="false">IF(P1551&lt;1,"0-1 yrs",IF(P1551&lt;3,"1-3 yrs",IF(P1551&lt;5,"3-5 yrs",IF(P1551&lt;10,"5-10 yrs","10+ yrs"))))</f>
        <v>1-3 yrs</v>
      </c>
      <c r="S1551" s="13" t="str">
        <f aca="false">IF(I1551&gt;=4,"High",IF(I1551=3,"Medium","Low"))</f>
        <v>Medium</v>
      </c>
      <c r="T1551" s="13" t="str">
        <f aca="false">IF(M1551=1,YEAR(C1551),"")</f>
        <v/>
      </c>
      <c r="U1551" s="13" t="str">
        <f aca="false">IF(M1551=1,YEAR(C1551)&amp;"-Q"&amp;ROUNDUP(MONTH(C1551)/3,0),"")</f>
        <v/>
      </c>
      <c r="V1551" s="13" t="str">
        <f aca="false">IF(M1551=1,MONTH(C1551),"")</f>
        <v/>
      </c>
    </row>
    <row r="1552" customFormat="false" ht="15" hidden="false" customHeight="false" outlineLevel="0" collapsed="false">
      <c r="A1552" s="13" t="str">
        <f aca="false">TRIM(Raw_Data!A1552)</f>
        <v>EMP1551</v>
      </c>
      <c r="B1552" s="14" t="n">
        <f aca="false">Raw_Data!B1552</f>
        <v>45121</v>
      </c>
      <c r="C1552" s="14" t="str">
        <f aca="false">IF(Raw_Data!C1552="","",Raw_Data!C1552)</f>
        <v/>
      </c>
      <c r="D1552" s="13" t="n">
        <f aca="false">IF(Raw_Data!D1552="","",Raw_Data!D1552)</f>
        <v>35</v>
      </c>
      <c r="E1552" s="13" t="str">
        <f aca="false">IF(UPPER(LEFT(TRIM(Raw_Data!E1552),1))="M","Male",IF(UPPER(LEFT(TRIM(Raw_Data!E1552),1))="F","Female","Unknown"))</f>
        <v>Male</v>
      </c>
      <c r="F1552" s="13" t="str">
        <f aca="false">PROPER(TRIM(SUBSTITUTE(Raw_Data!F1552,"'","")))</f>
        <v>Masters</v>
      </c>
      <c r="G1552" s="13" t="str">
        <f aca="false">PROPER(TRIM(Raw_Data!G1552))</f>
        <v>Operations</v>
      </c>
      <c r="H1552" s="13" t="str">
        <f aca="false">PROPER(TRIM(Raw_Data!H1552))</f>
        <v>Team Lead</v>
      </c>
      <c r="I1552" s="13" t="n">
        <f aca="false">IF(Raw_Data!I1552="",DefaultPerf,Raw_Data!I1552)</f>
        <v>3</v>
      </c>
      <c r="J1552" s="13" t="n">
        <f aca="false">IF(Raw_Data!J1552="",DefaultSat,Raw_Data!J1552)</f>
        <v>1</v>
      </c>
      <c r="K1552" s="15" t="n">
        <f aca="false">Raw_Data!K1552</f>
        <v>120000</v>
      </c>
      <c r="L1552" s="13" t="str">
        <f aca="false">PROPER(TRIM(Raw_Data!N1552))</f>
        <v>No</v>
      </c>
      <c r="M1552" s="13" t="n">
        <f aca="false">IF(C1552="",0,1)</f>
        <v>0</v>
      </c>
      <c r="N1552" s="13" t="str">
        <f aca="false">IF(M1552=0,"Active",IF(TRIM(Raw_Data!L1552)="","Unknown",PROPER(TRIM(Raw_Data!L1552))))</f>
        <v>Active</v>
      </c>
      <c r="O1552" s="13" t="str">
        <f aca="false">IF(M1552=0,"",IF(TRIM(Raw_Data!M1552)="","Not Recorded",TRIM(Raw_Data!M1552)))</f>
        <v/>
      </c>
      <c r="P1552" s="16" t="n">
        <f aca="false">ROUND((IF(C1552="",AsOfDate,C1552)-B1552)/365.25,2)</f>
        <v>2.47</v>
      </c>
      <c r="Q1552" s="13" t="str">
        <f aca="false">IF(D1552="","Unknown",IF(D1552&lt;25,"Under 25",IF(D1552&lt;35,"25-34",IF(D1552&lt;45,"35-44",IF(D1552&lt;55,"45-54","55+")))))</f>
        <v>35-44</v>
      </c>
      <c r="R1552" s="13" t="str">
        <f aca="false">IF(P1552&lt;1,"0-1 yrs",IF(P1552&lt;3,"1-3 yrs",IF(P1552&lt;5,"3-5 yrs",IF(P1552&lt;10,"5-10 yrs","10+ yrs"))))</f>
        <v>1-3 yrs</v>
      </c>
      <c r="S1552" s="13" t="str">
        <f aca="false">IF(I1552&gt;=4,"High",IF(I1552=3,"Medium","Low"))</f>
        <v>Medium</v>
      </c>
      <c r="T1552" s="13" t="str">
        <f aca="false">IF(M1552=1,YEAR(C1552),"")</f>
        <v/>
      </c>
      <c r="U1552" s="13" t="str">
        <f aca="false">IF(M1552=1,YEAR(C1552)&amp;"-Q"&amp;ROUNDUP(MONTH(C1552)/3,0),"")</f>
        <v/>
      </c>
      <c r="V1552" s="13" t="str">
        <f aca="false">IF(M1552=1,MONTH(C1552),"")</f>
        <v/>
      </c>
    </row>
    <row r="1553" customFormat="false" ht="15" hidden="false" customHeight="false" outlineLevel="0" collapsed="false">
      <c r="A1553" s="13" t="str">
        <f aca="false">TRIM(Raw_Data!A1553)</f>
        <v>EMP1552</v>
      </c>
      <c r="B1553" s="14" t="n">
        <f aca="false">Raw_Data!B1553</f>
        <v>45123</v>
      </c>
      <c r="C1553" s="14" t="n">
        <f aca="false">IF(Raw_Data!C1553="","",Raw_Data!C1553)</f>
        <v>45399</v>
      </c>
      <c r="D1553" s="13" t="n">
        <f aca="false">IF(Raw_Data!D1553="","",Raw_Data!D1553)</f>
        <v>29</v>
      </c>
      <c r="E1553" s="13" t="str">
        <f aca="false">IF(UPPER(LEFT(TRIM(Raw_Data!E1553),1))="M","Male",IF(UPPER(LEFT(TRIM(Raw_Data!E1553),1))="F","Female","Unknown"))</f>
        <v>Male</v>
      </c>
      <c r="F1553" s="13" t="str">
        <f aca="false">PROPER(TRIM(SUBSTITUTE(Raw_Data!F1553,"'","")))</f>
        <v>Bachelors</v>
      </c>
      <c r="G1553" s="13" t="str">
        <f aca="false">PROPER(TRIM(Raw_Data!G1553))</f>
        <v>Operations</v>
      </c>
      <c r="H1553" s="13" t="str">
        <f aca="false">PROPER(TRIM(Raw_Data!H1553))</f>
        <v>Analyst</v>
      </c>
      <c r="I1553" s="13" t="n">
        <f aca="false">IF(Raw_Data!I1553="",DefaultPerf,Raw_Data!I1553)</f>
        <v>3</v>
      </c>
      <c r="J1553" s="17" t="n">
        <f aca="false">IF(Raw_Data!J1553="",DefaultSat,Raw_Data!J1553)</f>
        <v>3</v>
      </c>
      <c r="K1553" s="15" t="n">
        <f aca="false">Raw_Data!K1553</f>
        <v>66500</v>
      </c>
      <c r="L1553" s="13" t="str">
        <f aca="false">PROPER(TRIM(Raw_Data!N1553))</f>
        <v>No</v>
      </c>
      <c r="M1553" s="13" t="n">
        <f aca="false">IF(C1553="",0,1)</f>
        <v>1</v>
      </c>
      <c r="N1553" s="13" t="str">
        <f aca="false">IF(M1553=0,"Active",IF(TRIM(Raw_Data!L1553)="","Unknown",PROPER(TRIM(Raw_Data!L1553))))</f>
        <v>Voluntary</v>
      </c>
      <c r="O1553" s="13" t="str">
        <f aca="false">IF(M1553=0,"",IF(TRIM(Raw_Data!M1553)="","Not Recorded",TRIM(Raw_Data!M1553)))</f>
        <v>Job Dissatisfaction</v>
      </c>
      <c r="P1553" s="16" t="n">
        <f aca="false">ROUND((IF(C1553="",AsOfDate,C1553)-B1553)/365.25,2)</f>
        <v>0.76</v>
      </c>
      <c r="Q1553" s="13" t="str">
        <f aca="false">IF(D1553="","Unknown",IF(D1553&lt;25,"Under 25",IF(D1553&lt;35,"25-34",IF(D1553&lt;45,"35-44",IF(D1553&lt;55,"45-54","55+")))))</f>
        <v>25-34</v>
      </c>
      <c r="R1553" s="13" t="str">
        <f aca="false">IF(P1553&lt;1,"0-1 yrs",IF(P1553&lt;3,"1-3 yrs",IF(P1553&lt;5,"3-5 yrs",IF(P1553&lt;10,"5-10 yrs","10+ yrs"))))</f>
        <v>0-1 yrs</v>
      </c>
      <c r="S1553" s="13" t="str">
        <f aca="false">IF(I1553&gt;=4,"High",IF(I1553=3,"Medium","Low"))</f>
        <v>Medium</v>
      </c>
      <c r="T1553" s="13" t="n">
        <f aca="false">IF(M1553=1,YEAR(C1553),"")</f>
        <v>2024</v>
      </c>
      <c r="U1553" s="13" t="str">
        <f aca="false">IF(M1553=1,YEAR(C1553)&amp;"-Q"&amp;ROUNDUP(MONTH(C1553)/3,0),"")</f>
        <v>2024-Q2</v>
      </c>
      <c r="V1553" s="13" t="n">
        <f aca="false">IF(M1553=1,MONTH(C1553),"")</f>
        <v>4</v>
      </c>
    </row>
    <row r="1554" customFormat="false" ht="15" hidden="false" customHeight="false" outlineLevel="0" collapsed="false">
      <c r="A1554" s="13" t="str">
        <f aca="false">TRIM(Raw_Data!A1554)</f>
        <v>EMP1553</v>
      </c>
      <c r="B1554" s="14" t="n">
        <f aca="false">Raw_Data!B1554</f>
        <v>45123</v>
      </c>
      <c r="C1554" s="14" t="str">
        <f aca="false">IF(Raw_Data!C1554="","",Raw_Data!C1554)</f>
        <v/>
      </c>
      <c r="D1554" s="13" t="n">
        <f aca="false">IF(Raw_Data!D1554="","",Raw_Data!D1554)</f>
        <v>24</v>
      </c>
      <c r="E1554" s="13" t="str">
        <f aca="false">IF(UPPER(LEFT(TRIM(Raw_Data!E1554),1))="M","Male",IF(UPPER(LEFT(TRIM(Raw_Data!E1554),1))="F","Female","Unknown"))</f>
        <v>Female</v>
      </c>
      <c r="F1554" s="13" t="str">
        <f aca="false">PROPER(TRIM(SUBSTITUTE(Raw_Data!F1554,"'","")))</f>
        <v>Bachelors</v>
      </c>
      <c r="G1554" s="13" t="str">
        <f aca="false">PROPER(TRIM(Raw_Data!G1554))</f>
        <v>Engineering</v>
      </c>
      <c r="H1554" s="13" t="str">
        <f aca="false">PROPER(TRIM(Raw_Data!H1554))</f>
        <v>Manager</v>
      </c>
      <c r="I1554" s="13" t="n">
        <f aca="false">IF(Raw_Data!I1554="",DefaultPerf,Raw_Data!I1554)</f>
        <v>5</v>
      </c>
      <c r="J1554" s="13" t="n">
        <f aca="false">IF(Raw_Data!J1554="",DefaultSat,Raw_Data!J1554)</f>
        <v>1</v>
      </c>
      <c r="K1554" s="15" t="n">
        <f aca="false">Raw_Data!K1554</f>
        <v>175500</v>
      </c>
      <c r="L1554" s="13" t="str">
        <f aca="false">PROPER(TRIM(Raw_Data!N1554))</f>
        <v>No</v>
      </c>
      <c r="M1554" s="13" t="n">
        <f aca="false">IF(C1554="",0,1)</f>
        <v>0</v>
      </c>
      <c r="N1554" s="13" t="str">
        <f aca="false">IF(M1554=0,"Active",IF(TRIM(Raw_Data!L1554)="","Unknown",PROPER(TRIM(Raw_Data!L1554))))</f>
        <v>Active</v>
      </c>
      <c r="O1554" s="13" t="str">
        <f aca="false">IF(M1554=0,"",IF(TRIM(Raw_Data!M1554)="","Not Recorded",TRIM(Raw_Data!M1554)))</f>
        <v/>
      </c>
      <c r="P1554" s="16" t="n">
        <f aca="false">ROUND((IF(C1554="",AsOfDate,C1554)-B1554)/365.25,2)</f>
        <v>2.46</v>
      </c>
      <c r="Q1554" s="13" t="str">
        <f aca="false">IF(D1554="","Unknown",IF(D1554&lt;25,"Under 25",IF(D1554&lt;35,"25-34",IF(D1554&lt;45,"35-44",IF(D1554&lt;55,"45-54","55+")))))</f>
        <v>Under 25</v>
      </c>
      <c r="R1554" s="13" t="str">
        <f aca="false">IF(P1554&lt;1,"0-1 yrs",IF(P1554&lt;3,"1-3 yrs",IF(P1554&lt;5,"3-5 yrs",IF(P1554&lt;10,"5-10 yrs","10+ yrs"))))</f>
        <v>1-3 yrs</v>
      </c>
      <c r="S1554" s="13" t="str">
        <f aca="false">IF(I1554&gt;=4,"High",IF(I1554=3,"Medium","Low"))</f>
        <v>High</v>
      </c>
      <c r="T1554" s="13" t="str">
        <f aca="false">IF(M1554=1,YEAR(C1554),"")</f>
        <v/>
      </c>
      <c r="U1554" s="13" t="str">
        <f aca="false">IF(M1554=1,YEAR(C1554)&amp;"-Q"&amp;ROUNDUP(MONTH(C1554)/3,0),"")</f>
        <v/>
      </c>
      <c r="V1554" s="13" t="str">
        <f aca="false">IF(M1554=1,MONTH(C1554),"")</f>
        <v/>
      </c>
    </row>
    <row r="1555" customFormat="false" ht="15" hidden="false" customHeight="false" outlineLevel="0" collapsed="false">
      <c r="A1555" s="13" t="str">
        <f aca="false">TRIM(Raw_Data!A1555)</f>
        <v>EMP1554</v>
      </c>
      <c r="B1555" s="14" t="n">
        <f aca="false">Raw_Data!B1555</f>
        <v>45124</v>
      </c>
      <c r="C1555" s="14" t="n">
        <f aca="false">IF(Raw_Data!C1555="","",Raw_Data!C1555)</f>
        <v>45230</v>
      </c>
      <c r="D1555" s="13" t="n">
        <f aca="false">IF(Raw_Data!D1555="","",Raw_Data!D1555)</f>
        <v>21</v>
      </c>
      <c r="E1555" s="13" t="str">
        <f aca="false">IF(UPPER(LEFT(TRIM(Raw_Data!E1555),1))="M","Male",IF(UPPER(LEFT(TRIM(Raw_Data!E1555),1))="F","Female","Unknown"))</f>
        <v>Male</v>
      </c>
      <c r="F1555" s="13" t="str">
        <f aca="false">PROPER(TRIM(SUBSTITUTE(Raw_Data!F1555,"'","")))</f>
        <v>Masters</v>
      </c>
      <c r="G1555" s="13" t="str">
        <f aca="false">PROPER(TRIM(Raw_Data!G1555))</f>
        <v>Customer Support</v>
      </c>
      <c r="H1555" s="13" t="str">
        <f aca="false">PROPER(TRIM(Raw_Data!H1555))</f>
        <v>Analyst</v>
      </c>
      <c r="I1555" s="13" t="n">
        <f aca="false">IF(Raw_Data!I1555="",DefaultPerf,Raw_Data!I1555)</f>
        <v>4</v>
      </c>
      <c r="J1555" s="13" t="n">
        <f aca="false">IF(Raw_Data!J1555="",DefaultSat,Raw_Data!J1555)</f>
        <v>3</v>
      </c>
      <c r="K1555" s="15" t="n">
        <f aca="false">Raw_Data!K1555</f>
        <v>58500</v>
      </c>
      <c r="L1555" s="13" t="str">
        <f aca="false">PROPER(TRIM(Raw_Data!N1555))</f>
        <v>No</v>
      </c>
      <c r="M1555" s="13" t="n">
        <f aca="false">IF(C1555="",0,1)</f>
        <v>1</v>
      </c>
      <c r="N1555" s="13" t="str">
        <f aca="false">IF(M1555=0,"Active",IF(TRIM(Raw_Data!L1555)="","Unknown",PROPER(TRIM(Raw_Data!L1555))))</f>
        <v>Involuntary</v>
      </c>
      <c r="O1555" s="13" t="str">
        <f aca="false">IF(M1555=0,"",IF(TRIM(Raw_Data!M1555)="","Not Recorded",TRIM(Raw_Data!M1555)))</f>
        <v>Restructuring / Layoff</v>
      </c>
      <c r="P1555" s="16" t="n">
        <f aca="false">ROUND((IF(C1555="",AsOfDate,C1555)-B1555)/365.25,2)</f>
        <v>0.29</v>
      </c>
      <c r="Q1555" s="13" t="str">
        <f aca="false">IF(D1555="","Unknown",IF(D1555&lt;25,"Under 25",IF(D1555&lt;35,"25-34",IF(D1555&lt;45,"35-44",IF(D1555&lt;55,"45-54","55+")))))</f>
        <v>Under 25</v>
      </c>
      <c r="R1555" s="13" t="str">
        <f aca="false">IF(P1555&lt;1,"0-1 yrs",IF(P1555&lt;3,"1-3 yrs",IF(P1555&lt;5,"3-5 yrs",IF(P1555&lt;10,"5-10 yrs","10+ yrs"))))</f>
        <v>0-1 yrs</v>
      </c>
      <c r="S1555" s="13" t="str">
        <f aca="false">IF(I1555&gt;=4,"High",IF(I1555=3,"Medium","Low"))</f>
        <v>High</v>
      </c>
      <c r="T1555" s="13" t="n">
        <f aca="false">IF(M1555=1,YEAR(C1555),"")</f>
        <v>2023</v>
      </c>
      <c r="U1555" s="13" t="str">
        <f aca="false">IF(M1555=1,YEAR(C1555)&amp;"-Q"&amp;ROUNDUP(MONTH(C1555)/3,0),"")</f>
        <v>2023-Q4</v>
      </c>
      <c r="V1555" s="13" t="n">
        <f aca="false">IF(M1555=1,MONTH(C1555),"")</f>
        <v>10</v>
      </c>
    </row>
    <row r="1556" customFormat="false" ht="15" hidden="false" customHeight="false" outlineLevel="0" collapsed="false">
      <c r="A1556" s="13" t="str">
        <f aca="false">TRIM(Raw_Data!A1556)</f>
        <v>EMP1555</v>
      </c>
      <c r="B1556" s="14" t="n">
        <f aca="false">Raw_Data!B1556</f>
        <v>45128</v>
      </c>
      <c r="C1556" s="14" t="n">
        <f aca="false">IF(Raw_Data!C1556="","",Raw_Data!C1556)</f>
        <v>45268</v>
      </c>
      <c r="D1556" s="13" t="n">
        <f aca="false">IF(Raw_Data!D1556="","",Raw_Data!D1556)</f>
        <v>25</v>
      </c>
      <c r="E1556" s="13" t="str">
        <f aca="false">IF(UPPER(LEFT(TRIM(Raw_Data!E1556),1))="M","Male",IF(UPPER(LEFT(TRIM(Raw_Data!E1556),1))="F","Female","Unknown"))</f>
        <v>Male</v>
      </c>
      <c r="F1556" s="13" t="str">
        <f aca="false">PROPER(TRIM(SUBSTITUTE(Raw_Data!F1556,"'","")))</f>
        <v>Masters</v>
      </c>
      <c r="G1556" s="13" t="str">
        <f aca="false">PROPER(TRIM(Raw_Data!G1556))</f>
        <v>Customer Support</v>
      </c>
      <c r="H1556" s="13" t="str">
        <f aca="false">PROPER(TRIM(Raw_Data!H1556))</f>
        <v>Analyst</v>
      </c>
      <c r="I1556" s="13" t="n">
        <f aca="false">IF(Raw_Data!I1556="",DefaultPerf,Raw_Data!I1556)</f>
        <v>4</v>
      </c>
      <c r="J1556" s="13" t="n">
        <f aca="false">IF(Raw_Data!J1556="",DefaultSat,Raw_Data!J1556)</f>
        <v>1</v>
      </c>
      <c r="K1556" s="15" t="n">
        <f aca="false">Raw_Data!K1556</f>
        <v>57500</v>
      </c>
      <c r="L1556" s="13" t="str">
        <f aca="false">PROPER(TRIM(Raw_Data!N1556))</f>
        <v>No</v>
      </c>
      <c r="M1556" s="13" t="n">
        <f aca="false">IF(C1556="",0,1)</f>
        <v>1</v>
      </c>
      <c r="N1556" s="13" t="str">
        <f aca="false">IF(M1556=0,"Active",IF(TRIM(Raw_Data!L1556)="","Unknown",PROPER(TRIM(Raw_Data!L1556))))</f>
        <v>Involuntary</v>
      </c>
      <c r="O1556" s="13" t="str">
        <f aca="false">IF(M1556=0,"",IF(TRIM(Raw_Data!M1556)="","Not Recorded",TRIM(Raw_Data!M1556)))</f>
        <v>Restructuring / Layoff</v>
      </c>
      <c r="P1556" s="16" t="n">
        <f aca="false">ROUND((IF(C1556="",AsOfDate,C1556)-B1556)/365.25,2)</f>
        <v>0.38</v>
      </c>
      <c r="Q1556" s="13" t="str">
        <f aca="false">IF(D1556="","Unknown",IF(D1556&lt;25,"Under 25",IF(D1556&lt;35,"25-34",IF(D1556&lt;45,"35-44",IF(D1556&lt;55,"45-54","55+")))))</f>
        <v>25-34</v>
      </c>
      <c r="R1556" s="13" t="str">
        <f aca="false">IF(P1556&lt;1,"0-1 yrs",IF(P1556&lt;3,"1-3 yrs",IF(P1556&lt;5,"3-5 yrs",IF(P1556&lt;10,"5-10 yrs","10+ yrs"))))</f>
        <v>0-1 yrs</v>
      </c>
      <c r="S1556" s="13" t="str">
        <f aca="false">IF(I1556&gt;=4,"High",IF(I1556=3,"Medium","Low"))</f>
        <v>High</v>
      </c>
      <c r="T1556" s="13" t="n">
        <f aca="false">IF(M1556=1,YEAR(C1556),"")</f>
        <v>2023</v>
      </c>
      <c r="U1556" s="13" t="str">
        <f aca="false">IF(M1556=1,YEAR(C1556)&amp;"-Q"&amp;ROUNDUP(MONTH(C1556)/3,0),"")</f>
        <v>2023-Q4</v>
      </c>
      <c r="V1556" s="13" t="n">
        <f aca="false">IF(M1556=1,MONTH(C1556),"")</f>
        <v>12</v>
      </c>
    </row>
    <row r="1557" customFormat="false" ht="15" hidden="false" customHeight="false" outlineLevel="0" collapsed="false">
      <c r="A1557" s="13" t="str">
        <f aca="false">TRIM(Raw_Data!A1557)</f>
        <v>EMP1556</v>
      </c>
      <c r="B1557" s="14" t="n">
        <f aca="false">Raw_Data!B1557</f>
        <v>45128</v>
      </c>
      <c r="C1557" s="14" t="n">
        <f aca="false">IF(Raw_Data!C1557="","",Raw_Data!C1557)</f>
        <v>45273</v>
      </c>
      <c r="D1557" s="13" t="n">
        <f aca="false">IF(Raw_Data!D1557="","",Raw_Data!D1557)</f>
        <v>34</v>
      </c>
      <c r="E1557" s="13" t="str">
        <f aca="false">IF(UPPER(LEFT(TRIM(Raw_Data!E1557),1))="M","Male",IF(UPPER(LEFT(TRIM(Raw_Data!E1557),1))="F","Female","Unknown"))</f>
        <v>Male</v>
      </c>
      <c r="F1557" s="13" t="str">
        <f aca="false">PROPER(TRIM(SUBSTITUTE(Raw_Data!F1557,"'","")))</f>
        <v>Doctorate</v>
      </c>
      <c r="G1557" s="13" t="str">
        <f aca="false">PROPER(TRIM(Raw_Data!G1557))</f>
        <v>Engineering</v>
      </c>
      <c r="H1557" s="13" t="str">
        <f aca="false">PROPER(TRIM(Raw_Data!H1557))</f>
        <v>Analyst</v>
      </c>
      <c r="I1557" s="13" t="n">
        <f aca="false">IF(Raw_Data!I1557="",DefaultPerf,Raw_Data!I1557)</f>
        <v>3</v>
      </c>
      <c r="J1557" s="13" t="n">
        <f aca="false">IF(Raw_Data!J1557="",DefaultSat,Raw_Data!J1557)</f>
        <v>2</v>
      </c>
      <c r="K1557" s="15" t="n">
        <f aca="false">Raw_Data!K1557</f>
        <v>54500</v>
      </c>
      <c r="L1557" s="13" t="str">
        <f aca="false">PROPER(TRIM(Raw_Data!N1557))</f>
        <v>No</v>
      </c>
      <c r="M1557" s="13" t="n">
        <f aca="false">IF(C1557="",0,1)</f>
        <v>1</v>
      </c>
      <c r="N1557" s="13" t="str">
        <f aca="false">IF(M1557=0,"Active",IF(TRIM(Raw_Data!L1557)="","Unknown",PROPER(TRIM(Raw_Data!L1557))))</f>
        <v>Involuntary</v>
      </c>
      <c r="O1557" s="13" t="str">
        <f aca="false">IF(M1557=0,"",IF(TRIM(Raw_Data!M1557)="","Not Recorded",TRIM(Raw_Data!M1557)))</f>
        <v>Poor Performance</v>
      </c>
      <c r="P1557" s="16" t="n">
        <f aca="false">ROUND((IF(C1557="",AsOfDate,C1557)-B1557)/365.25,2)</f>
        <v>0.4</v>
      </c>
      <c r="Q1557" s="13" t="str">
        <f aca="false">IF(D1557="","Unknown",IF(D1557&lt;25,"Under 25",IF(D1557&lt;35,"25-34",IF(D1557&lt;45,"35-44",IF(D1557&lt;55,"45-54","55+")))))</f>
        <v>25-34</v>
      </c>
      <c r="R1557" s="13" t="str">
        <f aca="false">IF(P1557&lt;1,"0-1 yrs",IF(P1557&lt;3,"1-3 yrs",IF(P1557&lt;5,"3-5 yrs",IF(P1557&lt;10,"5-10 yrs","10+ yrs"))))</f>
        <v>0-1 yrs</v>
      </c>
      <c r="S1557" s="13" t="str">
        <f aca="false">IF(I1557&gt;=4,"High",IF(I1557=3,"Medium","Low"))</f>
        <v>Medium</v>
      </c>
      <c r="T1557" s="13" t="n">
        <f aca="false">IF(M1557=1,YEAR(C1557),"")</f>
        <v>2023</v>
      </c>
      <c r="U1557" s="13" t="str">
        <f aca="false">IF(M1557=1,YEAR(C1557)&amp;"-Q"&amp;ROUNDUP(MONTH(C1557)/3,0),"")</f>
        <v>2023-Q4</v>
      </c>
      <c r="V1557" s="13" t="n">
        <f aca="false">IF(M1557=1,MONTH(C1557),"")</f>
        <v>12</v>
      </c>
    </row>
    <row r="1558" customFormat="false" ht="15" hidden="false" customHeight="false" outlineLevel="0" collapsed="false">
      <c r="A1558" s="13" t="str">
        <f aca="false">TRIM(Raw_Data!A1558)</f>
        <v>EMP1557</v>
      </c>
      <c r="B1558" s="14" t="n">
        <f aca="false">Raw_Data!B1558</f>
        <v>45128</v>
      </c>
      <c r="C1558" s="14" t="str">
        <f aca="false">IF(Raw_Data!C1558="","",Raw_Data!C1558)</f>
        <v/>
      </c>
      <c r="D1558" s="13" t="n">
        <f aca="false">IF(Raw_Data!D1558="","",Raw_Data!D1558)</f>
        <v>38</v>
      </c>
      <c r="E1558" s="13" t="str">
        <f aca="false">IF(UPPER(LEFT(TRIM(Raw_Data!E1558),1))="M","Male",IF(UPPER(LEFT(TRIM(Raw_Data!E1558),1))="F","Female","Unknown"))</f>
        <v>Male</v>
      </c>
      <c r="F1558" s="13" t="str">
        <f aca="false">PROPER(TRIM(SUBSTITUTE(Raw_Data!F1558,"'","")))</f>
        <v>Masters</v>
      </c>
      <c r="G1558" s="13" t="str">
        <f aca="false">PROPER(TRIM(Raw_Data!G1558))</f>
        <v>Engineering</v>
      </c>
      <c r="H1558" s="13" t="str">
        <f aca="false">PROPER(TRIM(Raw_Data!H1558))</f>
        <v>Analyst</v>
      </c>
      <c r="I1558" s="13" t="n">
        <f aca="false">IF(Raw_Data!I1558="",DefaultPerf,Raw_Data!I1558)</f>
        <v>2</v>
      </c>
      <c r="J1558" s="17" t="n">
        <f aca="false">IF(Raw_Data!J1558="",DefaultSat,Raw_Data!J1558)</f>
        <v>3</v>
      </c>
      <c r="K1558" s="15" t="n">
        <f aca="false">Raw_Data!K1558</f>
        <v>66000</v>
      </c>
      <c r="L1558" s="13" t="str">
        <f aca="false">PROPER(TRIM(Raw_Data!N1558))</f>
        <v>Yes</v>
      </c>
      <c r="M1558" s="13" t="n">
        <f aca="false">IF(C1558="",0,1)</f>
        <v>0</v>
      </c>
      <c r="N1558" s="13" t="str">
        <f aca="false">IF(M1558=0,"Active",IF(TRIM(Raw_Data!L1558)="","Unknown",PROPER(TRIM(Raw_Data!L1558))))</f>
        <v>Active</v>
      </c>
      <c r="O1558" s="13" t="str">
        <f aca="false">IF(M1558=0,"",IF(TRIM(Raw_Data!M1558)="","Not Recorded",TRIM(Raw_Data!M1558)))</f>
        <v/>
      </c>
      <c r="P1558" s="16" t="n">
        <f aca="false">ROUND((IF(C1558="",AsOfDate,C1558)-B1558)/365.25,2)</f>
        <v>2.45</v>
      </c>
      <c r="Q1558" s="13" t="str">
        <f aca="false">IF(D1558="","Unknown",IF(D1558&lt;25,"Under 25",IF(D1558&lt;35,"25-34",IF(D1558&lt;45,"35-44",IF(D1558&lt;55,"45-54","55+")))))</f>
        <v>35-44</v>
      </c>
      <c r="R1558" s="13" t="str">
        <f aca="false">IF(P1558&lt;1,"0-1 yrs",IF(P1558&lt;3,"1-3 yrs",IF(P1558&lt;5,"3-5 yrs",IF(P1558&lt;10,"5-10 yrs","10+ yrs"))))</f>
        <v>1-3 yrs</v>
      </c>
      <c r="S1558" s="13" t="str">
        <f aca="false">IF(I1558&gt;=4,"High",IF(I1558=3,"Medium","Low"))</f>
        <v>Low</v>
      </c>
      <c r="T1558" s="13" t="str">
        <f aca="false">IF(M1558=1,YEAR(C1558),"")</f>
        <v/>
      </c>
      <c r="U1558" s="13" t="str">
        <f aca="false">IF(M1558=1,YEAR(C1558)&amp;"-Q"&amp;ROUNDUP(MONTH(C1558)/3,0),"")</f>
        <v/>
      </c>
      <c r="V1558" s="13" t="str">
        <f aca="false">IF(M1558=1,MONTH(C1558),"")</f>
        <v/>
      </c>
    </row>
    <row r="1559" customFormat="false" ht="15" hidden="false" customHeight="false" outlineLevel="0" collapsed="false">
      <c r="A1559" s="13" t="str">
        <f aca="false">TRIM(Raw_Data!A1559)</f>
        <v>EMP1558</v>
      </c>
      <c r="B1559" s="14" t="n">
        <f aca="false">Raw_Data!B1559</f>
        <v>45130</v>
      </c>
      <c r="C1559" s="14" t="n">
        <f aca="false">IF(Raw_Data!C1559="","",Raw_Data!C1559)</f>
        <v>45149</v>
      </c>
      <c r="D1559" s="13" t="n">
        <f aca="false">IF(Raw_Data!D1559="","",Raw_Data!D1559)</f>
        <v>29</v>
      </c>
      <c r="E1559" s="13" t="str">
        <f aca="false">IF(UPPER(LEFT(TRIM(Raw_Data!E1559),1))="M","Male",IF(UPPER(LEFT(TRIM(Raw_Data!E1559),1))="F","Female","Unknown"))</f>
        <v>Female</v>
      </c>
      <c r="F1559" s="13" t="str">
        <f aca="false">PROPER(TRIM(SUBSTITUTE(Raw_Data!F1559,"'","")))</f>
        <v>Masters</v>
      </c>
      <c r="G1559" s="13" t="str">
        <f aca="false">PROPER(TRIM(Raw_Data!G1559))</f>
        <v>Engineering</v>
      </c>
      <c r="H1559" s="13" t="str">
        <f aca="false">PROPER(TRIM(Raw_Data!H1559))</f>
        <v>Manager</v>
      </c>
      <c r="I1559" s="13" t="n">
        <f aca="false">IF(Raw_Data!I1559="",DefaultPerf,Raw_Data!I1559)</f>
        <v>2</v>
      </c>
      <c r="J1559" s="17" t="n">
        <f aca="false">IF(Raw_Data!J1559="",DefaultSat,Raw_Data!J1559)</f>
        <v>3</v>
      </c>
      <c r="K1559" s="15" t="n">
        <f aca="false">Raw_Data!K1559</f>
        <v>181000</v>
      </c>
      <c r="L1559" s="13" t="str">
        <f aca="false">PROPER(TRIM(Raw_Data!N1559))</f>
        <v>No</v>
      </c>
      <c r="M1559" s="13" t="n">
        <f aca="false">IF(C1559="",0,1)</f>
        <v>1</v>
      </c>
      <c r="N1559" s="13" t="str">
        <f aca="false">IF(M1559=0,"Active",IF(TRIM(Raw_Data!L1559)="","Unknown",PROPER(TRIM(Raw_Data!L1559))))</f>
        <v>Involuntary</v>
      </c>
      <c r="O1559" s="13" t="str">
        <f aca="false">IF(M1559=0,"",IF(TRIM(Raw_Data!M1559)="","Not Recorded",TRIM(Raw_Data!M1559)))</f>
        <v>Poor Performance</v>
      </c>
      <c r="P1559" s="16" t="n">
        <f aca="false">ROUND((IF(C1559="",AsOfDate,C1559)-B1559)/365.25,2)</f>
        <v>0.05</v>
      </c>
      <c r="Q1559" s="13" t="str">
        <f aca="false">IF(D1559="","Unknown",IF(D1559&lt;25,"Under 25",IF(D1559&lt;35,"25-34",IF(D1559&lt;45,"35-44",IF(D1559&lt;55,"45-54","55+")))))</f>
        <v>25-34</v>
      </c>
      <c r="R1559" s="13" t="str">
        <f aca="false">IF(P1559&lt;1,"0-1 yrs",IF(P1559&lt;3,"1-3 yrs",IF(P1559&lt;5,"3-5 yrs",IF(P1559&lt;10,"5-10 yrs","10+ yrs"))))</f>
        <v>0-1 yrs</v>
      </c>
      <c r="S1559" s="13" t="str">
        <f aca="false">IF(I1559&gt;=4,"High",IF(I1559=3,"Medium","Low"))</f>
        <v>Low</v>
      </c>
      <c r="T1559" s="13" t="n">
        <f aca="false">IF(M1559=1,YEAR(C1559),"")</f>
        <v>2023</v>
      </c>
      <c r="U1559" s="13" t="str">
        <f aca="false">IF(M1559=1,YEAR(C1559)&amp;"-Q"&amp;ROUNDUP(MONTH(C1559)/3,0),"")</f>
        <v>2023-Q3</v>
      </c>
      <c r="V1559" s="13" t="n">
        <f aca="false">IF(M1559=1,MONTH(C1559),"")</f>
        <v>8</v>
      </c>
    </row>
    <row r="1560" customFormat="false" ht="15" hidden="false" customHeight="false" outlineLevel="0" collapsed="false">
      <c r="A1560" s="13" t="str">
        <f aca="false">TRIM(Raw_Data!A1560)</f>
        <v>EMP1559</v>
      </c>
      <c r="B1560" s="14" t="n">
        <f aca="false">Raw_Data!B1560</f>
        <v>45131</v>
      </c>
      <c r="C1560" s="14" t="str">
        <f aca="false">IF(Raw_Data!C1560="","",Raw_Data!C1560)</f>
        <v/>
      </c>
      <c r="D1560" s="13" t="n">
        <f aca="false">IF(Raw_Data!D1560="","",Raw_Data!D1560)</f>
        <v>35</v>
      </c>
      <c r="E1560" s="13" t="str">
        <f aca="false">IF(UPPER(LEFT(TRIM(Raw_Data!E1560),1))="M","Male",IF(UPPER(LEFT(TRIM(Raw_Data!E1560),1))="F","Female","Unknown"))</f>
        <v>Male</v>
      </c>
      <c r="F1560" s="13" t="str">
        <f aca="false">PROPER(TRIM(SUBSTITUTE(Raw_Data!F1560,"'","")))</f>
        <v>Diploma</v>
      </c>
      <c r="G1560" s="13" t="str">
        <f aca="false">PROPER(TRIM(Raw_Data!G1560))</f>
        <v>Customer Support</v>
      </c>
      <c r="H1560" s="13" t="str">
        <f aca="false">PROPER(TRIM(Raw_Data!H1560))</f>
        <v>Senior Analyst</v>
      </c>
      <c r="I1560" s="17" t="n">
        <f aca="false">IF(Raw_Data!I1560="",DefaultPerf,Raw_Data!I1560)</f>
        <v>3</v>
      </c>
      <c r="J1560" s="13" t="n">
        <f aca="false">IF(Raw_Data!J1560="",DefaultSat,Raw_Data!J1560)</f>
        <v>3</v>
      </c>
      <c r="K1560" s="15" t="n">
        <f aca="false">Raw_Data!K1560</f>
        <v>87000</v>
      </c>
      <c r="L1560" s="13" t="str">
        <f aca="false">PROPER(TRIM(Raw_Data!N1560))</f>
        <v>No</v>
      </c>
      <c r="M1560" s="13" t="n">
        <f aca="false">IF(C1560="",0,1)</f>
        <v>0</v>
      </c>
      <c r="N1560" s="13" t="str">
        <f aca="false">IF(M1560=0,"Active",IF(TRIM(Raw_Data!L1560)="","Unknown",PROPER(TRIM(Raw_Data!L1560))))</f>
        <v>Active</v>
      </c>
      <c r="O1560" s="13" t="str">
        <f aca="false">IF(M1560=0,"",IF(TRIM(Raw_Data!M1560)="","Not Recorded",TRIM(Raw_Data!M1560)))</f>
        <v/>
      </c>
      <c r="P1560" s="16" t="n">
        <f aca="false">ROUND((IF(C1560="",AsOfDate,C1560)-B1560)/365.25,2)</f>
        <v>2.44</v>
      </c>
      <c r="Q1560" s="13" t="str">
        <f aca="false">IF(D1560="","Unknown",IF(D1560&lt;25,"Under 25",IF(D1560&lt;35,"25-34",IF(D1560&lt;45,"35-44",IF(D1560&lt;55,"45-54","55+")))))</f>
        <v>35-44</v>
      </c>
      <c r="R1560" s="13" t="str">
        <f aca="false">IF(P1560&lt;1,"0-1 yrs",IF(P1560&lt;3,"1-3 yrs",IF(P1560&lt;5,"3-5 yrs",IF(P1560&lt;10,"5-10 yrs","10+ yrs"))))</f>
        <v>1-3 yrs</v>
      </c>
      <c r="S1560" s="13" t="str">
        <f aca="false">IF(I1560&gt;=4,"High",IF(I1560=3,"Medium","Low"))</f>
        <v>Medium</v>
      </c>
      <c r="T1560" s="13" t="str">
        <f aca="false">IF(M1560=1,YEAR(C1560),"")</f>
        <v/>
      </c>
      <c r="U1560" s="13" t="str">
        <f aca="false">IF(M1560=1,YEAR(C1560)&amp;"-Q"&amp;ROUNDUP(MONTH(C1560)/3,0),"")</f>
        <v/>
      </c>
      <c r="V1560" s="13" t="str">
        <f aca="false">IF(M1560=1,MONTH(C1560),"")</f>
        <v/>
      </c>
    </row>
    <row r="1561" customFormat="false" ht="15" hidden="false" customHeight="false" outlineLevel="0" collapsed="false">
      <c r="A1561" s="13" t="str">
        <f aca="false">TRIM(Raw_Data!A1561)</f>
        <v>EMP1560</v>
      </c>
      <c r="B1561" s="14" t="n">
        <f aca="false">Raw_Data!B1561</f>
        <v>45131</v>
      </c>
      <c r="C1561" s="14" t="n">
        <f aca="false">IF(Raw_Data!C1561="","",Raw_Data!C1561)</f>
        <v>45997</v>
      </c>
      <c r="D1561" s="13" t="n">
        <f aca="false">IF(Raw_Data!D1561="","",Raw_Data!D1561)</f>
        <v>37</v>
      </c>
      <c r="E1561" s="13" t="str">
        <f aca="false">IF(UPPER(LEFT(TRIM(Raw_Data!E1561),1))="M","Male",IF(UPPER(LEFT(TRIM(Raw_Data!E1561),1))="F","Female","Unknown"))</f>
        <v>Male</v>
      </c>
      <c r="F1561" s="13" t="str">
        <f aca="false">PROPER(TRIM(SUBSTITUTE(Raw_Data!F1561,"'","")))</f>
        <v>High School</v>
      </c>
      <c r="G1561" s="13" t="str">
        <f aca="false">PROPER(TRIM(Raw_Data!G1561))</f>
        <v>Operations</v>
      </c>
      <c r="H1561" s="13" t="str">
        <f aca="false">PROPER(TRIM(Raw_Data!H1561))</f>
        <v>Associate</v>
      </c>
      <c r="I1561" s="13" t="n">
        <f aca="false">IF(Raw_Data!I1561="",DefaultPerf,Raw_Data!I1561)</f>
        <v>4</v>
      </c>
      <c r="J1561" s="13" t="n">
        <f aca="false">IF(Raw_Data!J1561="",DefaultSat,Raw_Data!J1561)</f>
        <v>1</v>
      </c>
      <c r="K1561" s="15" t="n">
        <f aca="false">Raw_Data!K1561</f>
        <v>42000</v>
      </c>
      <c r="L1561" s="13" t="str">
        <f aca="false">PROPER(TRIM(Raw_Data!N1561))</f>
        <v>No</v>
      </c>
      <c r="M1561" s="13" t="n">
        <f aca="false">IF(C1561="",0,1)</f>
        <v>1</v>
      </c>
      <c r="N1561" s="13" t="str">
        <f aca="false">IF(M1561=0,"Active",IF(TRIM(Raw_Data!L1561)="","Unknown",PROPER(TRIM(Raw_Data!L1561))))</f>
        <v>Voluntary</v>
      </c>
      <c r="O1561" s="13" t="str">
        <f aca="false">IF(M1561=0,"",IF(TRIM(Raw_Data!M1561)="","Not Recorded",TRIM(Raw_Data!M1561)))</f>
        <v>Job Dissatisfaction</v>
      </c>
      <c r="P1561" s="16" t="n">
        <f aca="false">ROUND((IF(C1561="",AsOfDate,C1561)-B1561)/365.25,2)</f>
        <v>2.37</v>
      </c>
      <c r="Q1561" s="13" t="str">
        <f aca="false">IF(D1561="","Unknown",IF(D1561&lt;25,"Under 25",IF(D1561&lt;35,"25-34",IF(D1561&lt;45,"35-44",IF(D1561&lt;55,"45-54","55+")))))</f>
        <v>35-44</v>
      </c>
      <c r="R1561" s="13" t="str">
        <f aca="false">IF(P1561&lt;1,"0-1 yrs",IF(P1561&lt;3,"1-3 yrs",IF(P1561&lt;5,"3-5 yrs",IF(P1561&lt;10,"5-10 yrs","10+ yrs"))))</f>
        <v>1-3 yrs</v>
      </c>
      <c r="S1561" s="13" t="str">
        <f aca="false">IF(I1561&gt;=4,"High",IF(I1561=3,"Medium","Low"))</f>
        <v>High</v>
      </c>
      <c r="T1561" s="13" t="n">
        <f aca="false">IF(M1561=1,YEAR(C1561),"")</f>
        <v>2025</v>
      </c>
      <c r="U1561" s="13" t="str">
        <f aca="false">IF(M1561=1,YEAR(C1561)&amp;"-Q"&amp;ROUNDUP(MONTH(C1561)/3,0),"")</f>
        <v>2025-Q4</v>
      </c>
      <c r="V1561" s="13" t="n">
        <f aca="false">IF(M1561=1,MONTH(C1561),"")</f>
        <v>12</v>
      </c>
    </row>
    <row r="1562" customFormat="false" ht="15" hidden="false" customHeight="false" outlineLevel="0" collapsed="false">
      <c r="A1562" s="13" t="str">
        <f aca="false">TRIM(Raw_Data!A1562)</f>
        <v>EMP1561</v>
      </c>
      <c r="B1562" s="14" t="n">
        <f aca="false">Raw_Data!B1562</f>
        <v>45134</v>
      </c>
      <c r="C1562" s="14" t="str">
        <f aca="false">IF(Raw_Data!C1562="","",Raw_Data!C1562)</f>
        <v/>
      </c>
      <c r="D1562" s="13" t="n">
        <f aca="false">IF(Raw_Data!D1562="","",Raw_Data!D1562)</f>
        <v>36</v>
      </c>
      <c r="E1562" s="13" t="str">
        <f aca="false">IF(UPPER(LEFT(TRIM(Raw_Data!E1562),1))="M","Male",IF(UPPER(LEFT(TRIM(Raw_Data!E1562),1))="F","Female","Unknown"))</f>
        <v>Male</v>
      </c>
      <c r="F1562" s="13" t="str">
        <f aca="false">PROPER(TRIM(SUBSTITUTE(Raw_Data!F1562,"'","")))</f>
        <v>Masters</v>
      </c>
      <c r="G1562" s="13" t="str">
        <f aca="false">PROPER(TRIM(Raw_Data!G1562))</f>
        <v>Engineering</v>
      </c>
      <c r="H1562" s="13" t="str">
        <f aca="false">PROPER(TRIM(Raw_Data!H1562))</f>
        <v>Associate</v>
      </c>
      <c r="I1562" s="13" t="n">
        <f aca="false">IF(Raw_Data!I1562="",DefaultPerf,Raw_Data!I1562)</f>
        <v>4</v>
      </c>
      <c r="J1562" s="13" t="n">
        <f aca="false">IF(Raw_Data!J1562="",DefaultSat,Raw_Data!J1562)</f>
        <v>4</v>
      </c>
      <c r="K1562" s="15" t="n">
        <f aca="false">Raw_Data!K1562</f>
        <v>36000</v>
      </c>
      <c r="L1562" s="13" t="str">
        <f aca="false">PROPER(TRIM(Raw_Data!N1562))</f>
        <v>Yes</v>
      </c>
      <c r="M1562" s="13" t="n">
        <f aca="false">IF(C1562="",0,1)</f>
        <v>0</v>
      </c>
      <c r="N1562" s="13" t="str">
        <f aca="false">IF(M1562=0,"Active",IF(TRIM(Raw_Data!L1562)="","Unknown",PROPER(TRIM(Raw_Data!L1562))))</f>
        <v>Active</v>
      </c>
      <c r="O1562" s="13" t="str">
        <f aca="false">IF(M1562=0,"",IF(TRIM(Raw_Data!M1562)="","Not Recorded",TRIM(Raw_Data!M1562)))</f>
        <v/>
      </c>
      <c r="P1562" s="16" t="n">
        <f aca="false">ROUND((IF(C1562="",AsOfDate,C1562)-B1562)/365.25,2)</f>
        <v>2.43</v>
      </c>
      <c r="Q1562" s="13" t="str">
        <f aca="false">IF(D1562="","Unknown",IF(D1562&lt;25,"Under 25",IF(D1562&lt;35,"25-34",IF(D1562&lt;45,"35-44",IF(D1562&lt;55,"45-54","55+")))))</f>
        <v>35-44</v>
      </c>
      <c r="R1562" s="13" t="str">
        <f aca="false">IF(P1562&lt;1,"0-1 yrs",IF(P1562&lt;3,"1-3 yrs",IF(P1562&lt;5,"3-5 yrs",IF(P1562&lt;10,"5-10 yrs","10+ yrs"))))</f>
        <v>1-3 yrs</v>
      </c>
      <c r="S1562" s="13" t="str">
        <f aca="false">IF(I1562&gt;=4,"High",IF(I1562=3,"Medium","Low"))</f>
        <v>High</v>
      </c>
      <c r="T1562" s="13" t="str">
        <f aca="false">IF(M1562=1,YEAR(C1562),"")</f>
        <v/>
      </c>
      <c r="U1562" s="13" t="str">
        <f aca="false">IF(M1562=1,YEAR(C1562)&amp;"-Q"&amp;ROUNDUP(MONTH(C1562)/3,0),"")</f>
        <v/>
      </c>
      <c r="V1562" s="13" t="str">
        <f aca="false">IF(M1562=1,MONTH(C1562),"")</f>
        <v/>
      </c>
    </row>
    <row r="1563" customFormat="false" ht="15" hidden="false" customHeight="false" outlineLevel="0" collapsed="false">
      <c r="A1563" s="13" t="str">
        <f aca="false">TRIM(Raw_Data!A1563)</f>
        <v>EMP1562</v>
      </c>
      <c r="B1563" s="14" t="n">
        <f aca="false">Raw_Data!B1563</f>
        <v>45135</v>
      </c>
      <c r="C1563" s="14" t="str">
        <f aca="false">IF(Raw_Data!C1563="","",Raw_Data!C1563)</f>
        <v/>
      </c>
      <c r="D1563" s="13" t="n">
        <f aca="false">IF(Raw_Data!D1563="","",Raw_Data!D1563)</f>
        <v>28</v>
      </c>
      <c r="E1563" s="13" t="str">
        <f aca="false">IF(UPPER(LEFT(TRIM(Raw_Data!E1563),1))="M","Male",IF(UPPER(LEFT(TRIM(Raw_Data!E1563),1))="F","Female","Unknown"))</f>
        <v>Female</v>
      </c>
      <c r="F1563" s="13" t="str">
        <f aca="false">PROPER(TRIM(SUBSTITUTE(Raw_Data!F1563,"'","")))</f>
        <v>Bachelors</v>
      </c>
      <c r="G1563" s="13" t="str">
        <f aca="false">PROPER(TRIM(Raw_Data!G1563))</f>
        <v>Customer Support</v>
      </c>
      <c r="H1563" s="13" t="str">
        <f aca="false">PROPER(TRIM(Raw_Data!H1563))</f>
        <v>Senior Analyst</v>
      </c>
      <c r="I1563" s="13" t="n">
        <f aca="false">IF(Raw_Data!I1563="",DefaultPerf,Raw_Data!I1563)</f>
        <v>3</v>
      </c>
      <c r="J1563" s="13" t="n">
        <f aca="false">IF(Raw_Data!J1563="",DefaultSat,Raw_Data!J1563)</f>
        <v>3</v>
      </c>
      <c r="K1563" s="15" t="n">
        <f aca="false">Raw_Data!K1563</f>
        <v>92000</v>
      </c>
      <c r="L1563" s="13" t="str">
        <f aca="false">PROPER(TRIM(Raw_Data!N1563))</f>
        <v>No</v>
      </c>
      <c r="M1563" s="13" t="n">
        <f aca="false">IF(C1563="",0,1)</f>
        <v>0</v>
      </c>
      <c r="N1563" s="13" t="str">
        <f aca="false">IF(M1563=0,"Active",IF(TRIM(Raw_Data!L1563)="","Unknown",PROPER(TRIM(Raw_Data!L1563))))</f>
        <v>Active</v>
      </c>
      <c r="O1563" s="13" t="str">
        <f aca="false">IF(M1563=0,"",IF(TRIM(Raw_Data!M1563)="","Not Recorded",TRIM(Raw_Data!M1563)))</f>
        <v/>
      </c>
      <c r="P1563" s="16" t="n">
        <f aca="false">ROUND((IF(C1563="",AsOfDate,C1563)-B1563)/365.25,2)</f>
        <v>2.43</v>
      </c>
      <c r="Q1563" s="13" t="str">
        <f aca="false">IF(D1563="","Unknown",IF(D1563&lt;25,"Under 25",IF(D1563&lt;35,"25-34",IF(D1563&lt;45,"35-44",IF(D1563&lt;55,"45-54","55+")))))</f>
        <v>25-34</v>
      </c>
      <c r="R1563" s="13" t="str">
        <f aca="false">IF(P1563&lt;1,"0-1 yrs",IF(P1563&lt;3,"1-3 yrs",IF(P1563&lt;5,"3-5 yrs",IF(P1563&lt;10,"5-10 yrs","10+ yrs"))))</f>
        <v>1-3 yrs</v>
      </c>
      <c r="S1563" s="13" t="str">
        <f aca="false">IF(I1563&gt;=4,"High",IF(I1563=3,"Medium","Low"))</f>
        <v>Medium</v>
      </c>
      <c r="T1563" s="13" t="str">
        <f aca="false">IF(M1563=1,YEAR(C1563),"")</f>
        <v/>
      </c>
      <c r="U1563" s="13" t="str">
        <f aca="false">IF(M1563=1,YEAR(C1563)&amp;"-Q"&amp;ROUNDUP(MONTH(C1563)/3,0),"")</f>
        <v/>
      </c>
      <c r="V1563" s="13" t="str">
        <f aca="false">IF(M1563=1,MONTH(C1563),"")</f>
        <v/>
      </c>
    </row>
    <row r="1564" customFormat="false" ht="15" hidden="false" customHeight="false" outlineLevel="0" collapsed="false">
      <c r="A1564" s="13" t="str">
        <f aca="false">TRIM(Raw_Data!A1564)</f>
        <v>EMP1563</v>
      </c>
      <c r="B1564" s="14" t="n">
        <f aca="false">Raw_Data!B1564</f>
        <v>45138</v>
      </c>
      <c r="C1564" s="14" t="n">
        <f aca="false">IF(Raw_Data!C1564="","",Raw_Data!C1564)</f>
        <v>45287</v>
      </c>
      <c r="D1564" s="13" t="n">
        <f aca="false">IF(Raw_Data!D1564="","",Raw_Data!D1564)</f>
        <v>21</v>
      </c>
      <c r="E1564" s="13" t="str">
        <f aca="false">IF(UPPER(LEFT(TRIM(Raw_Data!E1564),1))="M","Male",IF(UPPER(LEFT(TRIM(Raw_Data!E1564),1))="F","Female","Unknown"))</f>
        <v>Male</v>
      </c>
      <c r="F1564" s="13" t="str">
        <f aca="false">PROPER(TRIM(SUBSTITUTE(Raw_Data!F1564,"'","")))</f>
        <v>Masters</v>
      </c>
      <c r="G1564" s="13" t="str">
        <f aca="false">PROPER(TRIM(Raw_Data!G1564))</f>
        <v>Finance</v>
      </c>
      <c r="H1564" s="13" t="str">
        <f aca="false">PROPER(TRIM(Raw_Data!H1564))</f>
        <v>Senior Analyst</v>
      </c>
      <c r="I1564" s="13" t="n">
        <f aca="false">IF(Raw_Data!I1564="",DefaultPerf,Raw_Data!I1564)</f>
        <v>3</v>
      </c>
      <c r="J1564" s="13" t="n">
        <f aca="false">IF(Raw_Data!J1564="",DefaultSat,Raw_Data!J1564)</f>
        <v>1</v>
      </c>
      <c r="K1564" s="15" t="n">
        <f aca="false">Raw_Data!K1564</f>
        <v>77000</v>
      </c>
      <c r="L1564" s="13" t="str">
        <f aca="false">PROPER(TRIM(Raw_Data!N1564))</f>
        <v>No</v>
      </c>
      <c r="M1564" s="13" t="n">
        <f aca="false">IF(C1564="",0,1)</f>
        <v>1</v>
      </c>
      <c r="N1564" s="13" t="str">
        <f aca="false">IF(M1564=0,"Active",IF(TRIM(Raw_Data!L1564)="","Unknown",PROPER(TRIM(Raw_Data!L1564))))</f>
        <v>Voluntary</v>
      </c>
      <c r="O1564" s="13" t="str">
        <f aca="false">IF(M1564=0,"",IF(TRIM(Raw_Data!M1564)="","Not Recorded",TRIM(Raw_Data!M1564)))</f>
        <v>Career Growth</v>
      </c>
      <c r="P1564" s="16" t="n">
        <f aca="false">ROUND((IF(C1564="",AsOfDate,C1564)-B1564)/365.25,2)</f>
        <v>0.41</v>
      </c>
      <c r="Q1564" s="13" t="str">
        <f aca="false">IF(D1564="","Unknown",IF(D1564&lt;25,"Under 25",IF(D1564&lt;35,"25-34",IF(D1564&lt;45,"35-44",IF(D1564&lt;55,"45-54","55+")))))</f>
        <v>Under 25</v>
      </c>
      <c r="R1564" s="13" t="str">
        <f aca="false">IF(P1564&lt;1,"0-1 yrs",IF(P1564&lt;3,"1-3 yrs",IF(P1564&lt;5,"3-5 yrs",IF(P1564&lt;10,"5-10 yrs","10+ yrs"))))</f>
        <v>0-1 yrs</v>
      </c>
      <c r="S1564" s="13" t="str">
        <f aca="false">IF(I1564&gt;=4,"High",IF(I1564=3,"Medium","Low"))</f>
        <v>Medium</v>
      </c>
      <c r="T1564" s="13" t="n">
        <f aca="false">IF(M1564=1,YEAR(C1564),"")</f>
        <v>2023</v>
      </c>
      <c r="U1564" s="13" t="str">
        <f aca="false">IF(M1564=1,YEAR(C1564)&amp;"-Q"&amp;ROUNDUP(MONTH(C1564)/3,0),"")</f>
        <v>2023-Q4</v>
      </c>
      <c r="V1564" s="13" t="n">
        <f aca="false">IF(M1564=1,MONTH(C1564),"")</f>
        <v>12</v>
      </c>
    </row>
    <row r="1565" customFormat="false" ht="15" hidden="false" customHeight="false" outlineLevel="0" collapsed="false">
      <c r="A1565" s="13" t="str">
        <f aca="false">TRIM(Raw_Data!A1565)</f>
        <v>EMP1564</v>
      </c>
      <c r="B1565" s="14" t="n">
        <f aca="false">Raw_Data!B1565</f>
        <v>45138</v>
      </c>
      <c r="C1565" s="14" t="str">
        <f aca="false">IF(Raw_Data!C1565="","",Raw_Data!C1565)</f>
        <v/>
      </c>
      <c r="D1565" s="13" t="n">
        <f aca="false">IF(Raw_Data!D1565="","",Raw_Data!D1565)</f>
        <v>30</v>
      </c>
      <c r="E1565" s="13" t="str">
        <f aca="false">IF(UPPER(LEFT(TRIM(Raw_Data!E1565),1))="M","Male",IF(UPPER(LEFT(TRIM(Raw_Data!E1565),1))="F","Female","Unknown"))</f>
        <v>Female</v>
      </c>
      <c r="F1565" s="13" t="str">
        <f aca="false">PROPER(TRIM(SUBSTITUTE(Raw_Data!F1565,"'","")))</f>
        <v>Masters</v>
      </c>
      <c r="G1565" s="13" t="str">
        <f aca="false">PROPER(TRIM(Raw_Data!G1565))</f>
        <v>Human Resources</v>
      </c>
      <c r="H1565" s="13" t="str">
        <f aca="false">PROPER(TRIM(Raw_Data!H1565))</f>
        <v>Analyst</v>
      </c>
      <c r="I1565" s="13" t="n">
        <f aca="false">IF(Raw_Data!I1565="",DefaultPerf,Raw_Data!I1565)</f>
        <v>4</v>
      </c>
      <c r="J1565" s="13" t="n">
        <f aca="false">IF(Raw_Data!J1565="",DefaultSat,Raw_Data!J1565)</f>
        <v>4</v>
      </c>
      <c r="K1565" s="15" t="n">
        <f aca="false">Raw_Data!K1565</f>
        <v>54500</v>
      </c>
      <c r="L1565" s="13" t="str">
        <f aca="false">PROPER(TRIM(Raw_Data!N1565))</f>
        <v>Yes</v>
      </c>
      <c r="M1565" s="13" t="n">
        <f aca="false">IF(C1565="",0,1)</f>
        <v>0</v>
      </c>
      <c r="N1565" s="13" t="str">
        <f aca="false">IF(M1565=0,"Active",IF(TRIM(Raw_Data!L1565)="","Unknown",PROPER(TRIM(Raw_Data!L1565))))</f>
        <v>Active</v>
      </c>
      <c r="O1565" s="13" t="str">
        <f aca="false">IF(M1565=0,"",IF(TRIM(Raw_Data!M1565)="","Not Recorded",TRIM(Raw_Data!M1565)))</f>
        <v/>
      </c>
      <c r="P1565" s="16" t="n">
        <f aca="false">ROUND((IF(C1565="",AsOfDate,C1565)-B1565)/365.25,2)</f>
        <v>2.42</v>
      </c>
      <c r="Q1565" s="13" t="str">
        <f aca="false">IF(D1565="","Unknown",IF(D1565&lt;25,"Under 25",IF(D1565&lt;35,"25-34",IF(D1565&lt;45,"35-44",IF(D1565&lt;55,"45-54","55+")))))</f>
        <v>25-34</v>
      </c>
      <c r="R1565" s="13" t="str">
        <f aca="false">IF(P1565&lt;1,"0-1 yrs",IF(P1565&lt;3,"1-3 yrs",IF(P1565&lt;5,"3-5 yrs",IF(P1565&lt;10,"5-10 yrs","10+ yrs"))))</f>
        <v>1-3 yrs</v>
      </c>
      <c r="S1565" s="13" t="str">
        <f aca="false">IF(I1565&gt;=4,"High",IF(I1565=3,"Medium","Low"))</f>
        <v>High</v>
      </c>
      <c r="T1565" s="13" t="str">
        <f aca="false">IF(M1565=1,YEAR(C1565),"")</f>
        <v/>
      </c>
      <c r="U1565" s="13" t="str">
        <f aca="false">IF(M1565=1,YEAR(C1565)&amp;"-Q"&amp;ROUNDUP(MONTH(C1565)/3,0),"")</f>
        <v/>
      </c>
      <c r="V1565" s="13" t="str">
        <f aca="false">IF(M1565=1,MONTH(C1565),"")</f>
        <v/>
      </c>
    </row>
    <row r="1566" customFormat="false" ht="15" hidden="false" customHeight="false" outlineLevel="0" collapsed="false">
      <c r="A1566" s="13" t="str">
        <f aca="false">TRIM(Raw_Data!A1566)</f>
        <v>EMP1565</v>
      </c>
      <c r="B1566" s="14" t="n">
        <f aca="false">Raw_Data!B1566</f>
        <v>45140</v>
      </c>
      <c r="C1566" s="14" t="str">
        <f aca="false">IF(Raw_Data!C1566="","",Raw_Data!C1566)</f>
        <v/>
      </c>
      <c r="D1566" s="13" t="n">
        <f aca="false">IF(Raw_Data!D1566="","",Raw_Data!D1566)</f>
        <v>30</v>
      </c>
      <c r="E1566" s="13" t="str">
        <f aca="false">IF(UPPER(LEFT(TRIM(Raw_Data!E1566),1))="M","Male",IF(UPPER(LEFT(TRIM(Raw_Data!E1566),1))="F","Female","Unknown"))</f>
        <v>Male</v>
      </c>
      <c r="F1566" s="13" t="str">
        <f aca="false">PROPER(TRIM(SUBSTITUTE(Raw_Data!F1566,"'","")))</f>
        <v>Masters</v>
      </c>
      <c r="G1566" s="13" t="str">
        <f aca="false">PROPER(TRIM(Raw_Data!G1566))</f>
        <v>Operations</v>
      </c>
      <c r="H1566" s="13" t="str">
        <f aca="false">PROPER(TRIM(Raw_Data!H1566))</f>
        <v>Senior Analyst</v>
      </c>
      <c r="I1566" s="13" t="n">
        <f aca="false">IF(Raw_Data!I1566="",DefaultPerf,Raw_Data!I1566)</f>
        <v>3</v>
      </c>
      <c r="J1566" s="13" t="n">
        <f aca="false">IF(Raw_Data!J1566="",DefaultSat,Raw_Data!J1566)</f>
        <v>3</v>
      </c>
      <c r="K1566" s="15" t="n">
        <f aca="false">Raw_Data!K1566</f>
        <v>102500</v>
      </c>
      <c r="L1566" s="13" t="str">
        <f aca="false">PROPER(TRIM(Raw_Data!N1566))</f>
        <v>No</v>
      </c>
      <c r="M1566" s="13" t="n">
        <f aca="false">IF(C1566="",0,1)</f>
        <v>0</v>
      </c>
      <c r="N1566" s="13" t="str">
        <f aca="false">IF(M1566=0,"Active",IF(TRIM(Raw_Data!L1566)="","Unknown",PROPER(TRIM(Raw_Data!L1566))))</f>
        <v>Active</v>
      </c>
      <c r="O1566" s="13" t="str">
        <f aca="false">IF(M1566=0,"",IF(TRIM(Raw_Data!M1566)="","Not Recorded",TRIM(Raw_Data!M1566)))</f>
        <v/>
      </c>
      <c r="P1566" s="16" t="n">
        <f aca="false">ROUND((IF(C1566="",AsOfDate,C1566)-B1566)/365.25,2)</f>
        <v>2.41</v>
      </c>
      <c r="Q1566" s="13" t="str">
        <f aca="false">IF(D1566="","Unknown",IF(D1566&lt;25,"Under 25",IF(D1566&lt;35,"25-34",IF(D1566&lt;45,"35-44",IF(D1566&lt;55,"45-54","55+")))))</f>
        <v>25-34</v>
      </c>
      <c r="R1566" s="13" t="str">
        <f aca="false">IF(P1566&lt;1,"0-1 yrs",IF(P1566&lt;3,"1-3 yrs",IF(P1566&lt;5,"3-5 yrs",IF(P1566&lt;10,"5-10 yrs","10+ yrs"))))</f>
        <v>1-3 yrs</v>
      </c>
      <c r="S1566" s="13" t="str">
        <f aca="false">IF(I1566&gt;=4,"High",IF(I1566=3,"Medium","Low"))</f>
        <v>Medium</v>
      </c>
      <c r="T1566" s="13" t="str">
        <f aca="false">IF(M1566=1,YEAR(C1566),"")</f>
        <v/>
      </c>
      <c r="U1566" s="13" t="str">
        <f aca="false">IF(M1566=1,YEAR(C1566)&amp;"-Q"&amp;ROUNDUP(MONTH(C1566)/3,0),"")</f>
        <v/>
      </c>
      <c r="V1566" s="13" t="str">
        <f aca="false">IF(M1566=1,MONTH(C1566),"")</f>
        <v/>
      </c>
    </row>
    <row r="1567" customFormat="false" ht="15" hidden="false" customHeight="false" outlineLevel="0" collapsed="false">
      <c r="A1567" s="13" t="str">
        <f aca="false">TRIM(Raw_Data!A1567)</f>
        <v>EMP1566</v>
      </c>
      <c r="B1567" s="14" t="n">
        <f aca="false">Raw_Data!B1567</f>
        <v>45142</v>
      </c>
      <c r="C1567" s="14" t="str">
        <f aca="false">IF(Raw_Data!C1567="","",Raw_Data!C1567)</f>
        <v/>
      </c>
      <c r="D1567" s="13" t="n">
        <f aca="false">IF(Raw_Data!D1567="","",Raw_Data!D1567)</f>
        <v>24</v>
      </c>
      <c r="E1567" s="13" t="str">
        <f aca="false">IF(UPPER(LEFT(TRIM(Raw_Data!E1567),1))="M","Male",IF(UPPER(LEFT(TRIM(Raw_Data!E1567),1))="F","Female","Unknown"))</f>
        <v>Male</v>
      </c>
      <c r="F1567" s="13" t="str">
        <f aca="false">PROPER(TRIM(SUBSTITUTE(Raw_Data!F1567,"'","")))</f>
        <v>Bachelors</v>
      </c>
      <c r="G1567" s="13" t="str">
        <f aca="false">PROPER(TRIM(Raw_Data!G1567))</f>
        <v>Finance</v>
      </c>
      <c r="H1567" s="13" t="str">
        <f aca="false">PROPER(TRIM(Raw_Data!H1567))</f>
        <v>Associate</v>
      </c>
      <c r="I1567" s="13" t="n">
        <f aca="false">IF(Raw_Data!I1567="",DefaultPerf,Raw_Data!I1567)</f>
        <v>3</v>
      </c>
      <c r="J1567" s="13" t="n">
        <f aca="false">IF(Raw_Data!J1567="",DefaultSat,Raw_Data!J1567)</f>
        <v>2</v>
      </c>
      <c r="K1567" s="15" t="n">
        <f aca="false">Raw_Data!K1567</f>
        <v>39000</v>
      </c>
      <c r="L1567" s="13" t="str">
        <f aca="false">PROPER(TRIM(Raw_Data!N1567))</f>
        <v>No</v>
      </c>
      <c r="M1567" s="13" t="n">
        <f aca="false">IF(C1567="",0,1)</f>
        <v>0</v>
      </c>
      <c r="N1567" s="13" t="str">
        <f aca="false">IF(M1567=0,"Active",IF(TRIM(Raw_Data!L1567)="","Unknown",PROPER(TRIM(Raw_Data!L1567))))</f>
        <v>Active</v>
      </c>
      <c r="O1567" s="13" t="str">
        <f aca="false">IF(M1567=0,"",IF(TRIM(Raw_Data!M1567)="","Not Recorded",TRIM(Raw_Data!M1567)))</f>
        <v/>
      </c>
      <c r="P1567" s="16" t="n">
        <f aca="false">ROUND((IF(C1567="",AsOfDate,C1567)-B1567)/365.25,2)</f>
        <v>2.41</v>
      </c>
      <c r="Q1567" s="13" t="str">
        <f aca="false">IF(D1567="","Unknown",IF(D1567&lt;25,"Under 25",IF(D1567&lt;35,"25-34",IF(D1567&lt;45,"35-44",IF(D1567&lt;55,"45-54","55+")))))</f>
        <v>Under 25</v>
      </c>
      <c r="R1567" s="13" t="str">
        <f aca="false">IF(P1567&lt;1,"0-1 yrs",IF(P1567&lt;3,"1-3 yrs",IF(P1567&lt;5,"3-5 yrs",IF(P1567&lt;10,"5-10 yrs","10+ yrs"))))</f>
        <v>1-3 yrs</v>
      </c>
      <c r="S1567" s="13" t="str">
        <f aca="false">IF(I1567&gt;=4,"High",IF(I1567=3,"Medium","Low"))</f>
        <v>Medium</v>
      </c>
      <c r="T1567" s="13" t="str">
        <f aca="false">IF(M1567=1,YEAR(C1567),"")</f>
        <v/>
      </c>
      <c r="U1567" s="13" t="str">
        <f aca="false">IF(M1567=1,YEAR(C1567)&amp;"-Q"&amp;ROUNDUP(MONTH(C1567)/3,0),"")</f>
        <v/>
      </c>
      <c r="V1567" s="13" t="str">
        <f aca="false">IF(M1567=1,MONTH(C1567),"")</f>
        <v/>
      </c>
    </row>
    <row r="1568" customFormat="false" ht="15" hidden="false" customHeight="false" outlineLevel="0" collapsed="false">
      <c r="A1568" s="13" t="str">
        <f aca="false">TRIM(Raw_Data!A1568)</f>
        <v>EMP1567</v>
      </c>
      <c r="B1568" s="14" t="n">
        <f aca="false">Raw_Data!B1568</f>
        <v>45142</v>
      </c>
      <c r="C1568" s="14" t="n">
        <f aca="false">IF(Raw_Data!C1568="","",Raw_Data!C1568)</f>
        <v>45841</v>
      </c>
      <c r="D1568" s="13" t="n">
        <f aca="false">IF(Raw_Data!D1568="","",Raw_Data!D1568)</f>
        <v>34</v>
      </c>
      <c r="E1568" s="13" t="str">
        <f aca="false">IF(UPPER(LEFT(TRIM(Raw_Data!E1568),1))="M","Male",IF(UPPER(LEFT(TRIM(Raw_Data!E1568),1))="F","Female","Unknown"))</f>
        <v>Male</v>
      </c>
      <c r="F1568" s="13" t="str">
        <f aca="false">PROPER(TRIM(SUBSTITUTE(Raw_Data!F1568,"'","")))</f>
        <v>Masters</v>
      </c>
      <c r="G1568" s="13" t="str">
        <f aca="false">PROPER(TRIM(Raw_Data!G1568))</f>
        <v>Customer Support</v>
      </c>
      <c r="H1568" s="13" t="str">
        <f aca="false">PROPER(TRIM(Raw_Data!H1568))</f>
        <v>Associate</v>
      </c>
      <c r="I1568" s="13" t="n">
        <f aca="false">IF(Raw_Data!I1568="",DefaultPerf,Raw_Data!I1568)</f>
        <v>5</v>
      </c>
      <c r="J1568" s="13" t="n">
        <f aca="false">IF(Raw_Data!J1568="",DefaultSat,Raw_Data!J1568)</f>
        <v>1</v>
      </c>
      <c r="K1568" s="15" t="n">
        <f aca="false">Raw_Data!K1568</f>
        <v>37500</v>
      </c>
      <c r="L1568" s="13" t="str">
        <f aca="false">PROPER(TRIM(Raw_Data!N1568))</f>
        <v>No</v>
      </c>
      <c r="M1568" s="13" t="n">
        <f aca="false">IF(C1568="",0,1)</f>
        <v>1</v>
      </c>
      <c r="N1568" s="13" t="str">
        <f aca="false">IF(M1568=0,"Active",IF(TRIM(Raw_Data!L1568)="","Unknown",PROPER(TRIM(Raw_Data!L1568))))</f>
        <v>Voluntary</v>
      </c>
      <c r="O1568" s="13" t="str">
        <f aca="false">IF(M1568=0,"",IF(TRIM(Raw_Data!M1568)="","Not Recorded",TRIM(Raw_Data!M1568)))</f>
        <v>Job Dissatisfaction</v>
      </c>
      <c r="P1568" s="16" t="n">
        <f aca="false">ROUND((IF(C1568="",AsOfDate,C1568)-B1568)/365.25,2)</f>
        <v>1.91</v>
      </c>
      <c r="Q1568" s="13" t="str">
        <f aca="false">IF(D1568="","Unknown",IF(D1568&lt;25,"Under 25",IF(D1568&lt;35,"25-34",IF(D1568&lt;45,"35-44",IF(D1568&lt;55,"45-54","55+")))))</f>
        <v>25-34</v>
      </c>
      <c r="R1568" s="13" t="str">
        <f aca="false">IF(P1568&lt;1,"0-1 yrs",IF(P1568&lt;3,"1-3 yrs",IF(P1568&lt;5,"3-5 yrs",IF(P1568&lt;10,"5-10 yrs","10+ yrs"))))</f>
        <v>1-3 yrs</v>
      </c>
      <c r="S1568" s="13" t="str">
        <f aca="false">IF(I1568&gt;=4,"High",IF(I1568=3,"Medium","Low"))</f>
        <v>High</v>
      </c>
      <c r="T1568" s="13" t="n">
        <f aca="false">IF(M1568=1,YEAR(C1568),"")</f>
        <v>2025</v>
      </c>
      <c r="U1568" s="13" t="str">
        <f aca="false">IF(M1568=1,YEAR(C1568)&amp;"-Q"&amp;ROUNDUP(MONTH(C1568)/3,0),"")</f>
        <v>2025-Q3</v>
      </c>
      <c r="V1568" s="13" t="n">
        <f aca="false">IF(M1568=1,MONTH(C1568),"")</f>
        <v>7</v>
      </c>
    </row>
    <row r="1569" customFormat="false" ht="15" hidden="false" customHeight="false" outlineLevel="0" collapsed="false">
      <c r="A1569" s="13" t="str">
        <f aca="false">TRIM(Raw_Data!A1569)</f>
        <v>EMP1568</v>
      </c>
      <c r="B1569" s="14" t="n">
        <f aca="false">Raw_Data!B1569</f>
        <v>45145</v>
      </c>
      <c r="C1569" s="14" t="str">
        <f aca="false">IF(Raw_Data!C1569="","",Raw_Data!C1569)</f>
        <v/>
      </c>
      <c r="D1569" s="13" t="n">
        <f aca="false">IF(Raw_Data!D1569="","",Raw_Data!D1569)</f>
        <v>36</v>
      </c>
      <c r="E1569" s="13" t="str">
        <f aca="false">IF(UPPER(LEFT(TRIM(Raw_Data!E1569),1))="M","Male",IF(UPPER(LEFT(TRIM(Raw_Data!E1569),1))="F","Female","Unknown"))</f>
        <v>Female</v>
      </c>
      <c r="F1569" s="13" t="str">
        <f aca="false">PROPER(TRIM(SUBSTITUTE(Raw_Data!F1569,"'","")))</f>
        <v>Bachelors</v>
      </c>
      <c r="G1569" s="13" t="str">
        <f aca="false">PROPER(TRIM(Raw_Data!G1569))</f>
        <v>Finance</v>
      </c>
      <c r="H1569" s="13" t="str">
        <f aca="false">PROPER(TRIM(Raw_Data!H1569))</f>
        <v>Analyst</v>
      </c>
      <c r="I1569" s="13" t="n">
        <f aca="false">IF(Raw_Data!I1569="",DefaultPerf,Raw_Data!I1569)</f>
        <v>3</v>
      </c>
      <c r="J1569" s="13" t="n">
        <f aca="false">IF(Raw_Data!J1569="",DefaultSat,Raw_Data!J1569)</f>
        <v>2</v>
      </c>
      <c r="K1569" s="15" t="n">
        <f aca="false">Raw_Data!K1569</f>
        <v>53500</v>
      </c>
      <c r="L1569" s="13" t="str">
        <f aca="false">PROPER(TRIM(Raw_Data!N1569))</f>
        <v>No</v>
      </c>
      <c r="M1569" s="13" t="n">
        <f aca="false">IF(C1569="",0,1)</f>
        <v>0</v>
      </c>
      <c r="N1569" s="13" t="str">
        <f aca="false">IF(M1569=0,"Active",IF(TRIM(Raw_Data!L1569)="","Unknown",PROPER(TRIM(Raw_Data!L1569))))</f>
        <v>Active</v>
      </c>
      <c r="O1569" s="13" t="str">
        <f aca="false">IF(M1569=0,"",IF(TRIM(Raw_Data!M1569)="","Not Recorded",TRIM(Raw_Data!M1569)))</f>
        <v/>
      </c>
      <c r="P1569" s="16" t="n">
        <f aca="false">ROUND((IF(C1569="",AsOfDate,C1569)-B1569)/365.25,2)</f>
        <v>2.4</v>
      </c>
      <c r="Q1569" s="13" t="str">
        <f aca="false">IF(D1569="","Unknown",IF(D1569&lt;25,"Under 25",IF(D1569&lt;35,"25-34",IF(D1569&lt;45,"35-44",IF(D1569&lt;55,"45-54","55+")))))</f>
        <v>35-44</v>
      </c>
      <c r="R1569" s="13" t="str">
        <f aca="false">IF(P1569&lt;1,"0-1 yrs",IF(P1569&lt;3,"1-3 yrs",IF(P1569&lt;5,"3-5 yrs",IF(P1569&lt;10,"5-10 yrs","10+ yrs"))))</f>
        <v>1-3 yrs</v>
      </c>
      <c r="S1569" s="13" t="str">
        <f aca="false">IF(I1569&gt;=4,"High",IF(I1569=3,"Medium","Low"))</f>
        <v>Medium</v>
      </c>
      <c r="T1569" s="13" t="str">
        <f aca="false">IF(M1569=1,YEAR(C1569),"")</f>
        <v/>
      </c>
      <c r="U1569" s="13" t="str">
        <f aca="false">IF(M1569=1,YEAR(C1569)&amp;"-Q"&amp;ROUNDUP(MONTH(C1569)/3,0),"")</f>
        <v/>
      </c>
      <c r="V1569" s="13" t="str">
        <f aca="false">IF(M1569=1,MONTH(C1569),"")</f>
        <v/>
      </c>
    </row>
    <row r="1570" customFormat="false" ht="15" hidden="false" customHeight="false" outlineLevel="0" collapsed="false">
      <c r="A1570" s="13" t="str">
        <f aca="false">TRIM(Raw_Data!A1570)</f>
        <v>EMP1569</v>
      </c>
      <c r="B1570" s="14" t="n">
        <f aca="false">Raw_Data!B1570</f>
        <v>45147</v>
      </c>
      <c r="C1570" s="14" t="str">
        <f aca="false">IF(Raw_Data!C1570="","",Raw_Data!C1570)</f>
        <v/>
      </c>
      <c r="D1570" s="13" t="n">
        <f aca="false">IF(Raw_Data!D1570="","",Raw_Data!D1570)</f>
        <v>31</v>
      </c>
      <c r="E1570" s="13" t="str">
        <f aca="false">IF(UPPER(LEFT(TRIM(Raw_Data!E1570),1))="M","Male",IF(UPPER(LEFT(TRIM(Raw_Data!E1570),1))="F","Female","Unknown"))</f>
        <v>Female</v>
      </c>
      <c r="F1570" s="13" t="str">
        <f aca="false">PROPER(TRIM(SUBSTITUTE(Raw_Data!F1570,"'","")))</f>
        <v>Masters</v>
      </c>
      <c r="G1570" s="13" t="str">
        <f aca="false">PROPER(TRIM(Raw_Data!G1570))</f>
        <v>Sales</v>
      </c>
      <c r="H1570" s="13" t="str">
        <f aca="false">PROPER(TRIM(Raw_Data!H1570))</f>
        <v>Analyst</v>
      </c>
      <c r="I1570" s="13" t="n">
        <f aca="false">IF(Raw_Data!I1570="",DefaultPerf,Raw_Data!I1570)</f>
        <v>1</v>
      </c>
      <c r="J1570" s="13" t="n">
        <f aca="false">IF(Raw_Data!J1570="",DefaultSat,Raw_Data!J1570)</f>
        <v>3</v>
      </c>
      <c r="K1570" s="15" t="n">
        <f aca="false">Raw_Data!K1570</f>
        <v>59500</v>
      </c>
      <c r="L1570" s="13" t="str">
        <f aca="false">PROPER(TRIM(Raw_Data!N1570))</f>
        <v>No</v>
      </c>
      <c r="M1570" s="13" t="n">
        <f aca="false">IF(C1570="",0,1)</f>
        <v>0</v>
      </c>
      <c r="N1570" s="13" t="str">
        <f aca="false">IF(M1570=0,"Active",IF(TRIM(Raw_Data!L1570)="","Unknown",PROPER(TRIM(Raw_Data!L1570))))</f>
        <v>Active</v>
      </c>
      <c r="O1570" s="13" t="str">
        <f aca="false">IF(M1570=0,"",IF(TRIM(Raw_Data!M1570)="","Not Recorded",TRIM(Raw_Data!M1570)))</f>
        <v/>
      </c>
      <c r="P1570" s="16" t="n">
        <f aca="false">ROUND((IF(C1570="",AsOfDate,C1570)-B1570)/365.25,2)</f>
        <v>2.4</v>
      </c>
      <c r="Q1570" s="13" t="str">
        <f aca="false">IF(D1570="","Unknown",IF(D1570&lt;25,"Under 25",IF(D1570&lt;35,"25-34",IF(D1570&lt;45,"35-44",IF(D1570&lt;55,"45-54","55+")))))</f>
        <v>25-34</v>
      </c>
      <c r="R1570" s="13" t="str">
        <f aca="false">IF(P1570&lt;1,"0-1 yrs",IF(P1570&lt;3,"1-3 yrs",IF(P1570&lt;5,"3-5 yrs",IF(P1570&lt;10,"5-10 yrs","10+ yrs"))))</f>
        <v>1-3 yrs</v>
      </c>
      <c r="S1570" s="13" t="str">
        <f aca="false">IF(I1570&gt;=4,"High",IF(I1570=3,"Medium","Low"))</f>
        <v>Low</v>
      </c>
      <c r="T1570" s="13" t="str">
        <f aca="false">IF(M1570=1,YEAR(C1570),"")</f>
        <v/>
      </c>
      <c r="U1570" s="13" t="str">
        <f aca="false">IF(M1570=1,YEAR(C1570)&amp;"-Q"&amp;ROUNDUP(MONTH(C1570)/3,0),"")</f>
        <v/>
      </c>
      <c r="V1570" s="13" t="str">
        <f aca="false">IF(M1570=1,MONTH(C1570),"")</f>
        <v/>
      </c>
    </row>
    <row r="1571" customFormat="false" ht="15" hidden="false" customHeight="false" outlineLevel="0" collapsed="false">
      <c r="A1571" s="13" t="str">
        <f aca="false">TRIM(Raw_Data!A1571)</f>
        <v>EMP1570</v>
      </c>
      <c r="B1571" s="14" t="n">
        <f aca="false">Raw_Data!B1571</f>
        <v>45149</v>
      </c>
      <c r="C1571" s="14" t="str">
        <f aca="false">IF(Raw_Data!C1571="","",Raw_Data!C1571)</f>
        <v/>
      </c>
      <c r="D1571" s="13" t="n">
        <f aca="false">IF(Raw_Data!D1571="","",Raw_Data!D1571)</f>
        <v>23</v>
      </c>
      <c r="E1571" s="13" t="str">
        <f aca="false">IF(UPPER(LEFT(TRIM(Raw_Data!E1571),1))="M","Male",IF(UPPER(LEFT(TRIM(Raw_Data!E1571),1))="F","Female","Unknown"))</f>
        <v>Female</v>
      </c>
      <c r="F1571" s="13" t="str">
        <f aca="false">PROPER(TRIM(SUBSTITUTE(Raw_Data!F1571,"'","")))</f>
        <v>High School</v>
      </c>
      <c r="G1571" s="13" t="str">
        <f aca="false">PROPER(TRIM(Raw_Data!G1571))</f>
        <v>Finance</v>
      </c>
      <c r="H1571" s="13" t="str">
        <f aca="false">PROPER(TRIM(Raw_Data!H1571))</f>
        <v>Specialist</v>
      </c>
      <c r="I1571" s="13" t="n">
        <f aca="false">IF(Raw_Data!I1571="",DefaultPerf,Raw_Data!I1571)</f>
        <v>5</v>
      </c>
      <c r="J1571" s="13" t="n">
        <f aca="false">IF(Raw_Data!J1571="",DefaultSat,Raw_Data!J1571)</f>
        <v>3</v>
      </c>
      <c r="K1571" s="15" t="n">
        <f aca="false">Raw_Data!K1571</f>
        <v>102500</v>
      </c>
      <c r="L1571" s="13" t="str">
        <f aca="false">PROPER(TRIM(Raw_Data!N1571))</f>
        <v>No</v>
      </c>
      <c r="M1571" s="13" t="n">
        <f aca="false">IF(C1571="",0,1)</f>
        <v>0</v>
      </c>
      <c r="N1571" s="13" t="str">
        <f aca="false">IF(M1571=0,"Active",IF(TRIM(Raw_Data!L1571)="","Unknown",PROPER(TRIM(Raw_Data!L1571))))</f>
        <v>Active</v>
      </c>
      <c r="O1571" s="13" t="str">
        <f aca="false">IF(M1571=0,"",IF(TRIM(Raw_Data!M1571)="","Not Recorded",TRIM(Raw_Data!M1571)))</f>
        <v/>
      </c>
      <c r="P1571" s="16" t="n">
        <f aca="false">ROUND((IF(C1571="",AsOfDate,C1571)-B1571)/365.25,2)</f>
        <v>2.39</v>
      </c>
      <c r="Q1571" s="13" t="str">
        <f aca="false">IF(D1571="","Unknown",IF(D1571&lt;25,"Under 25",IF(D1571&lt;35,"25-34",IF(D1571&lt;45,"35-44",IF(D1571&lt;55,"45-54","55+")))))</f>
        <v>Under 25</v>
      </c>
      <c r="R1571" s="13" t="str">
        <f aca="false">IF(P1571&lt;1,"0-1 yrs",IF(P1571&lt;3,"1-3 yrs",IF(P1571&lt;5,"3-5 yrs",IF(P1571&lt;10,"5-10 yrs","10+ yrs"))))</f>
        <v>1-3 yrs</v>
      </c>
      <c r="S1571" s="13" t="str">
        <f aca="false">IF(I1571&gt;=4,"High",IF(I1571=3,"Medium","Low"))</f>
        <v>High</v>
      </c>
      <c r="T1571" s="13" t="str">
        <f aca="false">IF(M1571=1,YEAR(C1571),"")</f>
        <v/>
      </c>
      <c r="U1571" s="13" t="str">
        <f aca="false">IF(M1571=1,YEAR(C1571)&amp;"-Q"&amp;ROUNDUP(MONTH(C1571)/3,0),"")</f>
        <v/>
      </c>
      <c r="V1571" s="13" t="str">
        <f aca="false">IF(M1571=1,MONTH(C1571),"")</f>
        <v/>
      </c>
    </row>
    <row r="1572" customFormat="false" ht="15" hidden="false" customHeight="false" outlineLevel="0" collapsed="false">
      <c r="A1572" s="13" t="str">
        <f aca="false">TRIM(Raw_Data!A1572)</f>
        <v>EMP1571</v>
      </c>
      <c r="B1572" s="14" t="n">
        <f aca="false">Raw_Data!B1572</f>
        <v>45149</v>
      </c>
      <c r="C1572" s="14" t="str">
        <f aca="false">IF(Raw_Data!C1572="","",Raw_Data!C1572)</f>
        <v/>
      </c>
      <c r="D1572" s="13" t="n">
        <f aca="false">IF(Raw_Data!D1572="","",Raw_Data!D1572)</f>
        <v>36</v>
      </c>
      <c r="E1572" s="13" t="str">
        <f aca="false">IF(UPPER(LEFT(TRIM(Raw_Data!E1572),1))="M","Male",IF(UPPER(LEFT(TRIM(Raw_Data!E1572),1))="F","Female","Unknown"))</f>
        <v>Female</v>
      </c>
      <c r="F1572" s="13" t="str">
        <f aca="false">PROPER(TRIM(SUBSTITUTE(Raw_Data!F1572,"'","")))</f>
        <v>Bachelors</v>
      </c>
      <c r="G1572" s="13" t="str">
        <f aca="false">PROPER(TRIM(Raw_Data!G1572))</f>
        <v>Sales</v>
      </c>
      <c r="H1572" s="13" t="str">
        <f aca="false">PROPER(TRIM(Raw_Data!H1572))</f>
        <v>Team Lead</v>
      </c>
      <c r="I1572" s="13" t="n">
        <f aca="false">IF(Raw_Data!I1572="",DefaultPerf,Raw_Data!I1572)</f>
        <v>4</v>
      </c>
      <c r="J1572" s="13" t="n">
        <f aca="false">IF(Raw_Data!J1572="",DefaultSat,Raw_Data!J1572)</f>
        <v>2</v>
      </c>
      <c r="K1572" s="15" t="n">
        <f aca="false">Raw_Data!K1572</f>
        <v>131500</v>
      </c>
      <c r="L1572" s="13" t="str">
        <f aca="false">PROPER(TRIM(Raw_Data!N1572))</f>
        <v>Yes</v>
      </c>
      <c r="M1572" s="13" t="n">
        <f aca="false">IF(C1572="",0,1)</f>
        <v>0</v>
      </c>
      <c r="N1572" s="13" t="str">
        <f aca="false">IF(M1572=0,"Active",IF(TRIM(Raw_Data!L1572)="","Unknown",PROPER(TRIM(Raw_Data!L1572))))</f>
        <v>Active</v>
      </c>
      <c r="O1572" s="13" t="str">
        <f aca="false">IF(M1572=0,"",IF(TRIM(Raw_Data!M1572)="","Not Recorded",TRIM(Raw_Data!M1572)))</f>
        <v/>
      </c>
      <c r="P1572" s="16" t="n">
        <f aca="false">ROUND((IF(C1572="",AsOfDate,C1572)-B1572)/365.25,2)</f>
        <v>2.39</v>
      </c>
      <c r="Q1572" s="13" t="str">
        <f aca="false">IF(D1572="","Unknown",IF(D1572&lt;25,"Under 25",IF(D1572&lt;35,"25-34",IF(D1572&lt;45,"35-44",IF(D1572&lt;55,"45-54","55+")))))</f>
        <v>35-44</v>
      </c>
      <c r="R1572" s="13" t="str">
        <f aca="false">IF(P1572&lt;1,"0-1 yrs",IF(P1572&lt;3,"1-3 yrs",IF(P1572&lt;5,"3-5 yrs",IF(P1572&lt;10,"5-10 yrs","10+ yrs"))))</f>
        <v>1-3 yrs</v>
      </c>
      <c r="S1572" s="13" t="str">
        <f aca="false">IF(I1572&gt;=4,"High",IF(I1572=3,"Medium","Low"))</f>
        <v>High</v>
      </c>
      <c r="T1572" s="13" t="str">
        <f aca="false">IF(M1572=1,YEAR(C1572),"")</f>
        <v/>
      </c>
      <c r="U1572" s="13" t="str">
        <f aca="false">IF(M1572=1,YEAR(C1572)&amp;"-Q"&amp;ROUNDUP(MONTH(C1572)/3,0),"")</f>
        <v/>
      </c>
      <c r="V1572" s="13" t="str">
        <f aca="false">IF(M1572=1,MONTH(C1572),"")</f>
        <v/>
      </c>
    </row>
    <row r="1573" customFormat="false" ht="15" hidden="false" customHeight="false" outlineLevel="0" collapsed="false">
      <c r="A1573" s="13" t="str">
        <f aca="false">TRIM(Raw_Data!A1573)</f>
        <v>EMP1572</v>
      </c>
      <c r="B1573" s="14" t="n">
        <f aca="false">Raw_Data!B1573</f>
        <v>45152</v>
      </c>
      <c r="C1573" s="14" t="n">
        <f aca="false">IF(Raw_Data!C1573="","",Raw_Data!C1573)</f>
        <v>45274</v>
      </c>
      <c r="D1573" s="13" t="n">
        <f aca="false">IF(Raw_Data!D1573="","",Raw_Data!D1573)</f>
        <v>21</v>
      </c>
      <c r="E1573" s="13" t="str">
        <f aca="false">IF(UPPER(LEFT(TRIM(Raw_Data!E1573),1))="M","Male",IF(UPPER(LEFT(TRIM(Raw_Data!E1573),1))="F","Female","Unknown"))</f>
        <v>Male</v>
      </c>
      <c r="F1573" s="13" t="str">
        <f aca="false">PROPER(TRIM(SUBSTITUTE(Raw_Data!F1573,"'","")))</f>
        <v>Bachelors</v>
      </c>
      <c r="G1573" s="13" t="str">
        <f aca="false">PROPER(TRIM(Raw_Data!G1573))</f>
        <v>Operations</v>
      </c>
      <c r="H1573" s="13" t="str">
        <f aca="false">PROPER(TRIM(Raw_Data!H1573))</f>
        <v>Senior Analyst</v>
      </c>
      <c r="I1573" s="13" t="n">
        <f aca="false">IF(Raw_Data!I1573="",DefaultPerf,Raw_Data!I1573)</f>
        <v>3</v>
      </c>
      <c r="J1573" s="13" t="n">
        <f aca="false">IF(Raw_Data!J1573="",DefaultSat,Raw_Data!J1573)</f>
        <v>2</v>
      </c>
      <c r="K1573" s="15" t="n">
        <f aca="false">Raw_Data!K1573</f>
        <v>90000</v>
      </c>
      <c r="L1573" s="13" t="str">
        <f aca="false">PROPER(TRIM(Raw_Data!N1573))</f>
        <v>No</v>
      </c>
      <c r="M1573" s="13" t="n">
        <f aca="false">IF(C1573="",0,1)</f>
        <v>1</v>
      </c>
      <c r="N1573" s="13" t="str">
        <f aca="false">IF(M1573=0,"Active",IF(TRIM(Raw_Data!L1573)="","Unknown",PROPER(TRIM(Raw_Data!L1573))))</f>
        <v>Voluntary</v>
      </c>
      <c r="O1573" s="13" t="str">
        <f aca="false">IF(M1573=0,"",IF(TRIM(Raw_Data!M1573)="","Not Recorded",TRIM(Raw_Data!M1573)))</f>
        <v>Job Dissatisfaction</v>
      </c>
      <c r="P1573" s="16" t="n">
        <f aca="false">ROUND((IF(C1573="",AsOfDate,C1573)-B1573)/365.25,2)</f>
        <v>0.33</v>
      </c>
      <c r="Q1573" s="13" t="str">
        <f aca="false">IF(D1573="","Unknown",IF(D1573&lt;25,"Under 25",IF(D1573&lt;35,"25-34",IF(D1573&lt;45,"35-44",IF(D1573&lt;55,"45-54","55+")))))</f>
        <v>Under 25</v>
      </c>
      <c r="R1573" s="13" t="str">
        <f aca="false">IF(P1573&lt;1,"0-1 yrs",IF(P1573&lt;3,"1-3 yrs",IF(P1573&lt;5,"3-5 yrs",IF(P1573&lt;10,"5-10 yrs","10+ yrs"))))</f>
        <v>0-1 yrs</v>
      </c>
      <c r="S1573" s="13" t="str">
        <f aca="false">IF(I1573&gt;=4,"High",IF(I1573=3,"Medium","Low"))</f>
        <v>Medium</v>
      </c>
      <c r="T1573" s="13" t="n">
        <f aca="false">IF(M1573=1,YEAR(C1573),"")</f>
        <v>2023</v>
      </c>
      <c r="U1573" s="13" t="str">
        <f aca="false">IF(M1573=1,YEAR(C1573)&amp;"-Q"&amp;ROUNDUP(MONTH(C1573)/3,0),"")</f>
        <v>2023-Q4</v>
      </c>
      <c r="V1573" s="13" t="n">
        <f aca="false">IF(M1573=1,MONTH(C1573),"")</f>
        <v>12</v>
      </c>
    </row>
    <row r="1574" customFormat="false" ht="15" hidden="false" customHeight="false" outlineLevel="0" collapsed="false">
      <c r="A1574" s="13" t="str">
        <f aca="false">TRIM(Raw_Data!A1574)</f>
        <v>EMP1573</v>
      </c>
      <c r="B1574" s="14" t="n">
        <f aca="false">Raw_Data!B1574</f>
        <v>45158</v>
      </c>
      <c r="C1574" s="14" t="str">
        <f aca="false">IF(Raw_Data!C1574="","",Raw_Data!C1574)</f>
        <v/>
      </c>
      <c r="D1574" s="13" t="n">
        <f aca="false">IF(Raw_Data!D1574="","",Raw_Data!D1574)</f>
        <v>31</v>
      </c>
      <c r="E1574" s="13" t="str">
        <f aca="false">IF(UPPER(LEFT(TRIM(Raw_Data!E1574),1))="M","Male",IF(UPPER(LEFT(TRIM(Raw_Data!E1574),1))="F","Female","Unknown"))</f>
        <v>Male</v>
      </c>
      <c r="F1574" s="13" t="str">
        <f aca="false">PROPER(TRIM(SUBSTITUTE(Raw_Data!F1574,"'","")))</f>
        <v>Bachelors</v>
      </c>
      <c r="G1574" s="13" t="str">
        <f aca="false">PROPER(TRIM(Raw_Data!G1574))</f>
        <v>Operations</v>
      </c>
      <c r="H1574" s="13" t="str">
        <f aca="false">PROPER(TRIM(Raw_Data!H1574))</f>
        <v>Specialist</v>
      </c>
      <c r="I1574" s="13" t="n">
        <f aca="false">IF(Raw_Data!I1574="",DefaultPerf,Raw_Data!I1574)</f>
        <v>3</v>
      </c>
      <c r="J1574" s="13" t="n">
        <f aca="false">IF(Raw_Data!J1574="",DefaultSat,Raw_Data!J1574)</f>
        <v>1</v>
      </c>
      <c r="K1574" s="15" t="n">
        <f aca="false">Raw_Data!K1574</f>
        <v>97000</v>
      </c>
      <c r="L1574" s="13" t="str">
        <f aca="false">PROPER(TRIM(Raw_Data!N1574))</f>
        <v>Yes</v>
      </c>
      <c r="M1574" s="13" t="n">
        <f aca="false">IF(C1574="",0,1)</f>
        <v>0</v>
      </c>
      <c r="N1574" s="13" t="str">
        <f aca="false">IF(M1574=0,"Active",IF(TRIM(Raw_Data!L1574)="","Unknown",PROPER(TRIM(Raw_Data!L1574))))</f>
        <v>Active</v>
      </c>
      <c r="O1574" s="13" t="str">
        <f aca="false">IF(M1574=0,"",IF(TRIM(Raw_Data!M1574)="","Not Recorded",TRIM(Raw_Data!M1574)))</f>
        <v/>
      </c>
      <c r="P1574" s="16" t="n">
        <f aca="false">ROUND((IF(C1574="",AsOfDate,C1574)-B1574)/365.25,2)</f>
        <v>2.37</v>
      </c>
      <c r="Q1574" s="13" t="str">
        <f aca="false">IF(D1574="","Unknown",IF(D1574&lt;25,"Under 25",IF(D1574&lt;35,"25-34",IF(D1574&lt;45,"35-44",IF(D1574&lt;55,"45-54","55+")))))</f>
        <v>25-34</v>
      </c>
      <c r="R1574" s="13" t="str">
        <f aca="false">IF(P1574&lt;1,"0-1 yrs",IF(P1574&lt;3,"1-3 yrs",IF(P1574&lt;5,"3-5 yrs",IF(P1574&lt;10,"5-10 yrs","10+ yrs"))))</f>
        <v>1-3 yrs</v>
      </c>
      <c r="S1574" s="13" t="str">
        <f aca="false">IF(I1574&gt;=4,"High",IF(I1574=3,"Medium","Low"))</f>
        <v>Medium</v>
      </c>
      <c r="T1574" s="13" t="str">
        <f aca="false">IF(M1574=1,YEAR(C1574),"")</f>
        <v/>
      </c>
      <c r="U1574" s="13" t="str">
        <f aca="false">IF(M1574=1,YEAR(C1574)&amp;"-Q"&amp;ROUNDUP(MONTH(C1574)/3,0),"")</f>
        <v/>
      </c>
      <c r="V1574" s="13" t="str">
        <f aca="false">IF(M1574=1,MONTH(C1574),"")</f>
        <v/>
      </c>
    </row>
    <row r="1575" customFormat="false" ht="15" hidden="false" customHeight="false" outlineLevel="0" collapsed="false">
      <c r="A1575" s="13" t="str">
        <f aca="false">TRIM(Raw_Data!A1575)</f>
        <v>EMP1574</v>
      </c>
      <c r="B1575" s="14" t="n">
        <f aca="false">Raw_Data!B1575</f>
        <v>45161</v>
      </c>
      <c r="C1575" s="14" t="n">
        <f aca="false">IF(Raw_Data!C1575="","",Raw_Data!C1575)</f>
        <v>45345</v>
      </c>
      <c r="D1575" s="13" t="n">
        <f aca="false">IF(Raw_Data!D1575="","",Raw_Data!D1575)</f>
        <v>34</v>
      </c>
      <c r="E1575" s="13" t="str">
        <f aca="false">IF(UPPER(LEFT(TRIM(Raw_Data!E1575),1))="M","Male",IF(UPPER(LEFT(TRIM(Raw_Data!E1575),1))="F","Female","Unknown"))</f>
        <v>Female</v>
      </c>
      <c r="F1575" s="13" t="str">
        <f aca="false">PROPER(TRIM(SUBSTITUTE(Raw_Data!F1575,"'","")))</f>
        <v>Bachelors</v>
      </c>
      <c r="G1575" s="13" t="str">
        <f aca="false">PROPER(TRIM(Raw_Data!G1575))</f>
        <v>Customer Support</v>
      </c>
      <c r="H1575" s="13" t="str">
        <f aca="false">PROPER(TRIM(Raw_Data!H1575))</f>
        <v>Specialist</v>
      </c>
      <c r="I1575" s="13" t="n">
        <f aca="false">IF(Raw_Data!I1575="",DefaultPerf,Raw_Data!I1575)</f>
        <v>3</v>
      </c>
      <c r="J1575" s="13" t="n">
        <f aca="false">IF(Raw_Data!J1575="",DefaultSat,Raw_Data!J1575)</f>
        <v>3</v>
      </c>
      <c r="K1575" s="15" t="n">
        <f aca="false">Raw_Data!K1575</f>
        <v>112500</v>
      </c>
      <c r="L1575" s="13" t="str">
        <f aca="false">PROPER(TRIM(Raw_Data!N1575))</f>
        <v>No</v>
      </c>
      <c r="M1575" s="13" t="n">
        <f aca="false">IF(C1575="",0,1)</f>
        <v>1</v>
      </c>
      <c r="N1575" s="13" t="str">
        <f aca="false">IF(M1575=0,"Active",IF(TRIM(Raw_Data!L1575)="","Unknown",PROPER(TRIM(Raw_Data!L1575))))</f>
        <v>Voluntary</v>
      </c>
      <c r="O1575" s="13" t="str">
        <f aca="false">IF(M1575=0,"",IF(TRIM(Raw_Data!M1575)="","Not Recorded",TRIM(Raw_Data!M1575)))</f>
        <v>Career Growth</v>
      </c>
      <c r="P1575" s="16" t="n">
        <f aca="false">ROUND((IF(C1575="",AsOfDate,C1575)-B1575)/365.25,2)</f>
        <v>0.5</v>
      </c>
      <c r="Q1575" s="13" t="str">
        <f aca="false">IF(D1575="","Unknown",IF(D1575&lt;25,"Under 25",IF(D1575&lt;35,"25-34",IF(D1575&lt;45,"35-44",IF(D1575&lt;55,"45-54","55+")))))</f>
        <v>25-34</v>
      </c>
      <c r="R1575" s="13" t="str">
        <f aca="false">IF(P1575&lt;1,"0-1 yrs",IF(P1575&lt;3,"1-3 yrs",IF(P1575&lt;5,"3-5 yrs",IF(P1575&lt;10,"5-10 yrs","10+ yrs"))))</f>
        <v>0-1 yrs</v>
      </c>
      <c r="S1575" s="13" t="str">
        <f aca="false">IF(I1575&gt;=4,"High",IF(I1575=3,"Medium","Low"))</f>
        <v>Medium</v>
      </c>
      <c r="T1575" s="13" t="n">
        <f aca="false">IF(M1575=1,YEAR(C1575),"")</f>
        <v>2024</v>
      </c>
      <c r="U1575" s="13" t="str">
        <f aca="false">IF(M1575=1,YEAR(C1575)&amp;"-Q"&amp;ROUNDUP(MONTH(C1575)/3,0),"")</f>
        <v>2024-Q1</v>
      </c>
      <c r="V1575" s="13" t="n">
        <f aca="false">IF(M1575=1,MONTH(C1575),"")</f>
        <v>2</v>
      </c>
    </row>
    <row r="1576" customFormat="false" ht="15" hidden="false" customHeight="false" outlineLevel="0" collapsed="false">
      <c r="A1576" s="13" t="str">
        <f aca="false">TRIM(Raw_Data!A1576)</f>
        <v>EMP1575</v>
      </c>
      <c r="B1576" s="14" t="n">
        <f aca="false">Raw_Data!B1576</f>
        <v>45163</v>
      </c>
      <c r="C1576" s="14" t="n">
        <f aca="false">IF(Raw_Data!C1576="","",Raw_Data!C1576)</f>
        <v>45608</v>
      </c>
      <c r="D1576" s="13" t="n">
        <f aca="false">IF(Raw_Data!D1576="","",Raw_Data!D1576)</f>
        <v>29</v>
      </c>
      <c r="E1576" s="13" t="str">
        <f aca="false">IF(UPPER(LEFT(TRIM(Raw_Data!E1576),1))="M","Male",IF(UPPER(LEFT(TRIM(Raw_Data!E1576),1))="F","Female","Unknown"))</f>
        <v>Female</v>
      </c>
      <c r="F1576" s="13" t="str">
        <f aca="false">PROPER(TRIM(SUBSTITUTE(Raw_Data!F1576,"'","")))</f>
        <v>Bachelors</v>
      </c>
      <c r="G1576" s="13" t="str">
        <f aca="false">PROPER(TRIM(Raw_Data!G1576))</f>
        <v>Operations</v>
      </c>
      <c r="H1576" s="13" t="str">
        <f aca="false">PROPER(TRIM(Raw_Data!H1576))</f>
        <v>Analyst</v>
      </c>
      <c r="I1576" s="13" t="n">
        <f aca="false">IF(Raw_Data!I1576="",DefaultPerf,Raw_Data!I1576)</f>
        <v>4</v>
      </c>
      <c r="J1576" s="13" t="n">
        <f aca="false">IF(Raw_Data!J1576="",DefaultSat,Raw_Data!J1576)</f>
        <v>2</v>
      </c>
      <c r="K1576" s="15" t="n">
        <f aca="false">Raw_Data!K1576</f>
        <v>57000</v>
      </c>
      <c r="L1576" s="13" t="str">
        <f aca="false">PROPER(TRIM(Raw_Data!N1576))</f>
        <v>No</v>
      </c>
      <c r="M1576" s="13" t="n">
        <f aca="false">IF(C1576="",0,1)</f>
        <v>1</v>
      </c>
      <c r="N1576" s="13" t="str">
        <f aca="false">IF(M1576=0,"Active",IF(TRIM(Raw_Data!L1576)="","Unknown",PROPER(TRIM(Raw_Data!L1576))))</f>
        <v>Voluntary</v>
      </c>
      <c r="O1576" s="13" t="str">
        <f aca="false">IF(M1576=0,"",IF(TRIM(Raw_Data!M1576)="","Not Recorded",TRIM(Raw_Data!M1576)))</f>
        <v>Job Dissatisfaction</v>
      </c>
      <c r="P1576" s="16" t="n">
        <f aca="false">ROUND((IF(C1576="",AsOfDate,C1576)-B1576)/365.25,2)</f>
        <v>1.22</v>
      </c>
      <c r="Q1576" s="13" t="str">
        <f aca="false">IF(D1576="","Unknown",IF(D1576&lt;25,"Under 25",IF(D1576&lt;35,"25-34",IF(D1576&lt;45,"35-44",IF(D1576&lt;55,"45-54","55+")))))</f>
        <v>25-34</v>
      </c>
      <c r="R1576" s="13" t="str">
        <f aca="false">IF(P1576&lt;1,"0-1 yrs",IF(P1576&lt;3,"1-3 yrs",IF(P1576&lt;5,"3-5 yrs",IF(P1576&lt;10,"5-10 yrs","10+ yrs"))))</f>
        <v>1-3 yrs</v>
      </c>
      <c r="S1576" s="13" t="str">
        <f aca="false">IF(I1576&gt;=4,"High",IF(I1576=3,"Medium","Low"))</f>
        <v>High</v>
      </c>
      <c r="T1576" s="13" t="n">
        <f aca="false">IF(M1576=1,YEAR(C1576),"")</f>
        <v>2024</v>
      </c>
      <c r="U1576" s="13" t="str">
        <f aca="false">IF(M1576=1,YEAR(C1576)&amp;"-Q"&amp;ROUNDUP(MONTH(C1576)/3,0),"")</f>
        <v>2024-Q4</v>
      </c>
      <c r="V1576" s="13" t="n">
        <f aca="false">IF(M1576=1,MONTH(C1576),"")</f>
        <v>11</v>
      </c>
    </row>
    <row r="1577" customFormat="false" ht="15" hidden="false" customHeight="false" outlineLevel="0" collapsed="false">
      <c r="A1577" s="13" t="str">
        <f aca="false">TRIM(Raw_Data!A1577)</f>
        <v>EMP1576</v>
      </c>
      <c r="B1577" s="14" t="n">
        <f aca="false">Raw_Data!B1577</f>
        <v>45164</v>
      </c>
      <c r="C1577" s="14" t="str">
        <f aca="false">IF(Raw_Data!C1577="","",Raw_Data!C1577)</f>
        <v/>
      </c>
      <c r="D1577" s="13" t="n">
        <f aca="false">IF(Raw_Data!D1577="","",Raw_Data!D1577)</f>
        <v>37</v>
      </c>
      <c r="E1577" s="13" t="str">
        <f aca="false">IF(UPPER(LEFT(TRIM(Raw_Data!E1577),1))="M","Male",IF(UPPER(LEFT(TRIM(Raw_Data!E1577),1))="F","Female","Unknown"))</f>
        <v>Male</v>
      </c>
      <c r="F1577" s="13" t="str">
        <f aca="false">PROPER(TRIM(SUBSTITUTE(Raw_Data!F1577,"'","")))</f>
        <v>High School</v>
      </c>
      <c r="G1577" s="13" t="str">
        <f aca="false">PROPER(TRIM(Raw_Data!G1577))</f>
        <v>Sales</v>
      </c>
      <c r="H1577" s="13" t="str">
        <f aca="false">PROPER(TRIM(Raw_Data!H1577))</f>
        <v>Senior Analyst</v>
      </c>
      <c r="I1577" s="13" t="n">
        <f aca="false">IF(Raw_Data!I1577="",DefaultPerf,Raw_Data!I1577)</f>
        <v>4</v>
      </c>
      <c r="J1577" s="13" t="n">
        <f aca="false">IF(Raw_Data!J1577="",DefaultSat,Raw_Data!J1577)</f>
        <v>2</v>
      </c>
      <c r="K1577" s="15" t="n">
        <f aca="false">Raw_Data!K1577</f>
        <v>91500</v>
      </c>
      <c r="L1577" s="13" t="str">
        <f aca="false">PROPER(TRIM(Raw_Data!N1577))</f>
        <v>No</v>
      </c>
      <c r="M1577" s="13" t="n">
        <f aca="false">IF(C1577="",0,1)</f>
        <v>0</v>
      </c>
      <c r="N1577" s="13" t="str">
        <f aca="false">IF(M1577=0,"Active",IF(TRIM(Raw_Data!L1577)="","Unknown",PROPER(TRIM(Raw_Data!L1577))))</f>
        <v>Active</v>
      </c>
      <c r="O1577" s="13" t="str">
        <f aca="false">IF(M1577=0,"",IF(TRIM(Raw_Data!M1577)="","Not Recorded",TRIM(Raw_Data!M1577)))</f>
        <v/>
      </c>
      <c r="P1577" s="16" t="n">
        <f aca="false">ROUND((IF(C1577="",AsOfDate,C1577)-B1577)/365.25,2)</f>
        <v>2.35</v>
      </c>
      <c r="Q1577" s="13" t="str">
        <f aca="false">IF(D1577="","Unknown",IF(D1577&lt;25,"Under 25",IF(D1577&lt;35,"25-34",IF(D1577&lt;45,"35-44",IF(D1577&lt;55,"45-54","55+")))))</f>
        <v>35-44</v>
      </c>
      <c r="R1577" s="13" t="str">
        <f aca="false">IF(P1577&lt;1,"0-1 yrs",IF(P1577&lt;3,"1-3 yrs",IF(P1577&lt;5,"3-5 yrs",IF(P1577&lt;10,"5-10 yrs","10+ yrs"))))</f>
        <v>1-3 yrs</v>
      </c>
      <c r="S1577" s="13" t="str">
        <f aca="false">IF(I1577&gt;=4,"High",IF(I1577=3,"Medium","Low"))</f>
        <v>High</v>
      </c>
      <c r="T1577" s="13" t="str">
        <f aca="false">IF(M1577=1,YEAR(C1577),"")</f>
        <v/>
      </c>
      <c r="U1577" s="13" t="str">
        <f aca="false">IF(M1577=1,YEAR(C1577)&amp;"-Q"&amp;ROUNDUP(MONTH(C1577)/3,0),"")</f>
        <v/>
      </c>
      <c r="V1577" s="13" t="str">
        <f aca="false">IF(M1577=1,MONTH(C1577),"")</f>
        <v/>
      </c>
    </row>
    <row r="1578" customFormat="false" ht="15" hidden="false" customHeight="false" outlineLevel="0" collapsed="false">
      <c r="A1578" s="13" t="str">
        <f aca="false">TRIM(Raw_Data!A1578)</f>
        <v>EMP1577</v>
      </c>
      <c r="B1578" s="14" t="n">
        <f aca="false">Raw_Data!B1578</f>
        <v>45164</v>
      </c>
      <c r="C1578" s="14" t="str">
        <f aca="false">IF(Raw_Data!C1578="","",Raw_Data!C1578)</f>
        <v/>
      </c>
      <c r="D1578" s="13" t="n">
        <f aca="false">IF(Raw_Data!D1578="","",Raw_Data!D1578)</f>
        <v>34</v>
      </c>
      <c r="E1578" s="13" t="str">
        <f aca="false">IF(UPPER(LEFT(TRIM(Raw_Data!E1578),1))="M","Male",IF(UPPER(LEFT(TRIM(Raw_Data!E1578),1))="F","Female","Unknown"))</f>
        <v>Female</v>
      </c>
      <c r="F1578" s="13" t="str">
        <f aca="false">PROPER(TRIM(SUBSTITUTE(Raw_Data!F1578,"'","")))</f>
        <v>Masters</v>
      </c>
      <c r="G1578" s="13" t="str">
        <f aca="false">PROPER(TRIM(Raw_Data!G1578))</f>
        <v>Sales</v>
      </c>
      <c r="H1578" s="13" t="str">
        <f aca="false">PROPER(TRIM(Raw_Data!H1578))</f>
        <v>Specialist</v>
      </c>
      <c r="I1578" s="13" t="n">
        <f aca="false">IF(Raw_Data!I1578="",DefaultPerf,Raw_Data!I1578)</f>
        <v>4</v>
      </c>
      <c r="J1578" s="13" t="n">
        <f aca="false">IF(Raw_Data!J1578="",DefaultSat,Raw_Data!J1578)</f>
        <v>4</v>
      </c>
      <c r="K1578" s="15" t="n">
        <f aca="false">Raw_Data!K1578</f>
        <v>76000</v>
      </c>
      <c r="L1578" s="13" t="str">
        <f aca="false">PROPER(TRIM(Raw_Data!N1578))</f>
        <v>No</v>
      </c>
      <c r="M1578" s="13" t="n">
        <f aca="false">IF(C1578="",0,1)</f>
        <v>0</v>
      </c>
      <c r="N1578" s="13" t="str">
        <f aca="false">IF(M1578=0,"Active",IF(TRIM(Raw_Data!L1578)="","Unknown",PROPER(TRIM(Raw_Data!L1578))))</f>
        <v>Active</v>
      </c>
      <c r="O1578" s="13" t="str">
        <f aca="false">IF(M1578=0,"",IF(TRIM(Raw_Data!M1578)="","Not Recorded",TRIM(Raw_Data!M1578)))</f>
        <v/>
      </c>
      <c r="P1578" s="16" t="n">
        <f aca="false">ROUND((IF(C1578="",AsOfDate,C1578)-B1578)/365.25,2)</f>
        <v>2.35</v>
      </c>
      <c r="Q1578" s="13" t="str">
        <f aca="false">IF(D1578="","Unknown",IF(D1578&lt;25,"Under 25",IF(D1578&lt;35,"25-34",IF(D1578&lt;45,"35-44",IF(D1578&lt;55,"45-54","55+")))))</f>
        <v>25-34</v>
      </c>
      <c r="R1578" s="13" t="str">
        <f aca="false">IF(P1578&lt;1,"0-1 yrs",IF(P1578&lt;3,"1-3 yrs",IF(P1578&lt;5,"3-5 yrs",IF(P1578&lt;10,"5-10 yrs","10+ yrs"))))</f>
        <v>1-3 yrs</v>
      </c>
      <c r="S1578" s="13" t="str">
        <f aca="false">IF(I1578&gt;=4,"High",IF(I1578=3,"Medium","Low"))</f>
        <v>High</v>
      </c>
      <c r="T1578" s="13" t="str">
        <f aca="false">IF(M1578=1,YEAR(C1578),"")</f>
        <v/>
      </c>
      <c r="U1578" s="13" t="str">
        <f aca="false">IF(M1578=1,YEAR(C1578)&amp;"-Q"&amp;ROUNDUP(MONTH(C1578)/3,0),"")</f>
        <v/>
      </c>
      <c r="V1578" s="13" t="str">
        <f aca="false">IF(M1578=1,MONTH(C1578),"")</f>
        <v/>
      </c>
    </row>
    <row r="1579" customFormat="false" ht="15" hidden="false" customHeight="false" outlineLevel="0" collapsed="false">
      <c r="A1579" s="13" t="str">
        <f aca="false">TRIM(Raw_Data!A1579)</f>
        <v>EMP1578</v>
      </c>
      <c r="B1579" s="14" t="n">
        <f aca="false">Raw_Data!B1579</f>
        <v>45166</v>
      </c>
      <c r="C1579" s="14" t="str">
        <f aca="false">IF(Raw_Data!C1579="","",Raw_Data!C1579)</f>
        <v/>
      </c>
      <c r="D1579" s="13" t="n">
        <f aca="false">IF(Raw_Data!D1579="","",Raw_Data!D1579)</f>
        <v>37</v>
      </c>
      <c r="E1579" s="13" t="str">
        <f aca="false">IF(UPPER(LEFT(TRIM(Raw_Data!E1579),1))="M","Male",IF(UPPER(LEFT(TRIM(Raw_Data!E1579),1))="F","Female","Unknown"))</f>
        <v>Female</v>
      </c>
      <c r="F1579" s="13" t="str">
        <f aca="false">PROPER(TRIM(SUBSTITUTE(Raw_Data!F1579,"'","")))</f>
        <v>Masters</v>
      </c>
      <c r="G1579" s="13" t="str">
        <f aca="false">PROPER(TRIM(Raw_Data!G1579))</f>
        <v>Engineering</v>
      </c>
      <c r="H1579" s="13" t="str">
        <f aca="false">PROPER(TRIM(Raw_Data!H1579))</f>
        <v>Manager</v>
      </c>
      <c r="I1579" s="13" t="n">
        <f aca="false">IF(Raw_Data!I1579="",DefaultPerf,Raw_Data!I1579)</f>
        <v>3</v>
      </c>
      <c r="J1579" s="13" t="n">
        <f aca="false">IF(Raw_Data!J1579="",DefaultSat,Raw_Data!J1579)</f>
        <v>4</v>
      </c>
      <c r="K1579" s="15" t="n">
        <f aca="false">Raw_Data!K1579</f>
        <v>184500</v>
      </c>
      <c r="L1579" s="13" t="str">
        <f aca="false">PROPER(TRIM(Raw_Data!N1579))</f>
        <v>Yes</v>
      </c>
      <c r="M1579" s="13" t="n">
        <f aca="false">IF(C1579="",0,1)</f>
        <v>0</v>
      </c>
      <c r="N1579" s="13" t="str">
        <f aca="false">IF(M1579=0,"Active",IF(TRIM(Raw_Data!L1579)="","Unknown",PROPER(TRIM(Raw_Data!L1579))))</f>
        <v>Active</v>
      </c>
      <c r="O1579" s="13" t="str">
        <f aca="false">IF(M1579=0,"",IF(TRIM(Raw_Data!M1579)="","Not Recorded",TRIM(Raw_Data!M1579)))</f>
        <v/>
      </c>
      <c r="P1579" s="16" t="n">
        <f aca="false">ROUND((IF(C1579="",AsOfDate,C1579)-B1579)/365.25,2)</f>
        <v>2.34</v>
      </c>
      <c r="Q1579" s="13" t="str">
        <f aca="false">IF(D1579="","Unknown",IF(D1579&lt;25,"Under 25",IF(D1579&lt;35,"25-34",IF(D1579&lt;45,"35-44",IF(D1579&lt;55,"45-54","55+")))))</f>
        <v>35-44</v>
      </c>
      <c r="R1579" s="13" t="str">
        <f aca="false">IF(P1579&lt;1,"0-1 yrs",IF(P1579&lt;3,"1-3 yrs",IF(P1579&lt;5,"3-5 yrs",IF(P1579&lt;10,"5-10 yrs","10+ yrs"))))</f>
        <v>1-3 yrs</v>
      </c>
      <c r="S1579" s="13" t="str">
        <f aca="false">IF(I1579&gt;=4,"High",IF(I1579=3,"Medium","Low"))</f>
        <v>Medium</v>
      </c>
      <c r="T1579" s="13" t="str">
        <f aca="false">IF(M1579=1,YEAR(C1579),"")</f>
        <v/>
      </c>
      <c r="U1579" s="13" t="str">
        <f aca="false">IF(M1579=1,YEAR(C1579)&amp;"-Q"&amp;ROUNDUP(MONTH(C1579)/3,0),"")</f>
        <v/>
      </c>
      <c r="V1579" s="13" t="str">
        <f aca="false">IF(M1579=1,MONTH(C1579),"")</f>
        <v/>
      </c>
    </row>
    <row r="1580" customFormat="false" ht="15" hidden="false" customHeight="false" outlineLevel="0" collapsed="false">
      <c r="A1580" s="13" t="str">
        <f aca="false">TRIM(Raw_Data!A1580)</f>
        <v>EMP1579</v>
      </c>
      <c r="B1580" s="14" t="n">
        <f aca="false">Raw_Data!B1580</f>
        <v>45166</v>
      </c>
      <c r="C1580" s="14" t="n">
        <f aca="false">IF(Raw_Data!C1580="","",Raw_Data!C1580)</f>
        <v>45945</v>
      </c>
      <c r="D1580" s="13" t="n">
        <f aca="false">IF(Raw_Data!D1580="","",Raw_Data!D1580)</f>
        <v>40</v>
      </c>
      <c r="E1580" s="13" t="str">
        <f aca="false">IF(UPPER(LEFT(TRIM(Raw_Data!E1580),1))="M","Male",IF(UPPER(LEFT(TRIM(Raw_Data!E1580),1))="F","Female","Unknown"))</f>
        <v>Male</v>
      </c>
      <c r="F1580" s="13" t="str">
        <f aca="false">PROPER(TRIM(SUBSTITUTE(Raw_Data!F1580,"'","")))</f>
        <v>Bachelors</v>
      </c>
      <c r="G1580" s="13" t="str">
        <f aca="false">PROPER(TRIM(Raw_Data!G1580))</f>
        <v>Sales</v>
      </c>
      <c r="H1580" s="13" t="str">
        <f aca="false">PROPER(TRIM(Raw_Data!H1580))</f>
        <v>Specialist</v>
      </c>
      <c r="I1580" s="13" t="n">
        <f aca="false">IF(Raw_Data!I1580="",DefaultPerf,Raw_Data!I1580)</f>
        <v>1</v>
      </c>
      <c r="J1580" s="13" t="n">
        <f aca="false">IF(Raw_Data!J1580="",DefaultSat,Raw_Data!J1580)</f>
        <v>3</v>
      </c>
      <c r="K1580" s="15" t="n">
        <f aca="false">Raw_Data!K1580</f>
        <v>101500</v>
      </c>
      <c r="L1580" s="13" t="str">
        <f aca="false">PROPER(TRIM(Raw_Data!N1580))</f>
        <v>No</v>
      </c>
      <c r="M1580" s="13" t="n">
        <f aca="false">IF(C1580="",0,1)</f>
        <v>1</v>
      </c>
      <c r="N1580" s="13" t="str">
        <f aca="false">IF(M1580=0,"Active",IF(TRIM(Raw_Data!L1580)="","Unknown",PROPER(TRIM(Raw_Data!L1580))))</f>
        <v>Voluntary</v>
      </c>
      <c r="O1580" s="13" t="str">
        <f aca="false">IF(M1580=0,"",IF(TRIM(Raw_Data!M1580)="","Not Recorded",TRIM(Raw_Data!M1580)))</f>
        <v>Personal Reasons</v>
      </c>
      <c r="P1580" s="16" t="n">
        <f aca="false">ROUND((IF(C1580="",AsOfDate,C1580)-B1580)/365.25,2)</f>
        <v>2.13</v>
      </c>
      <c r="Q1580" s="13" t="str">
        <f aca="false">IF(D1580="","Unknown",IF(D1580&lt;25,"Under 25",IF(D1580&lt;35,"25-34",IF(D1580&lt;45,"35-44",IF(D1580&lt;55,"45-54","55+")))))</f>
        <v>35-44</v>
      </c>
      <c r="R1580" s="13" t="str">
        <f aca="false">IF(P1580&lt;1,"0-1 yrs",IF(P1580&lt;3,"1-3 yrs",IF(P1580&lt;5,"3-5 yrs",IF(P1580&lt;10,"5-10 yrs","10+ yrs"))))</f>
        <v>1-3 yrs</v>
      </c>
      <c r="S1580" s="13" t="str">
        <f aca="false">IF(I1580&gt;=4,"High",IF(I1580=3,"Medium","Low"))</f>
        <v>Low</v>
      </c>
      <c r="T1580" s="13" t="n">
        <f aca="false">IF(M1580=1,YEAR(C1580),"")</f>
        <v>2025</v>
      </c>
      <c r="U1580" s="13" t="str">
        <f aca="false">IF(M1580=1,YEAR(C1580)&amp;"-Q"&amp;ROUNDUP(MONTH(C1580)/3,0),"")</f>
        <v>2025-Q4</v>
      </c>
      <c r="V1580" s="13" t="n">
        <f aca="false">IF(M1580=1,MONTH(C1580),"")</f>
        <v>10</v>
      </c>
    </row>
    <row r="1581" customFormat="false" ht="15" hidden="false" customHeight="false" outlineLevel="0" collapsed="false">
      <c r="A1581" s="13" t="str">
        <f aca="false">TRIM(Raw_Data!A1581)</f>
        <v>EMP1580</v>
      </c>
      <c r="B1581" s="14" t="n">
        <f aca="false">Raw_Data!B1581</f>
        <v>45169</v>
      </c>
      <c r="C1581" s="14" t="n">
        <f aca="false">IF(Raw_Data!C1581="","",Raw_Data!C1581)</f>
        <v>45793</v>
      </c>
      <c r="D1581" s="13" t="n">
        <f aca="false">IF(Raw_Data!D1581="","",Raw_Data!D1581)</f>
        <v>36</v>
      </c>
      <c r="E1581" s="13" t="str">
        <f aca="false">IF(UPPER(LEFT(TRIM(Raw_Data!E1581),1))="M","Male",IF(UPPER(LEFT(TRIM(Raw_Data!E1581),1))="F","Female","Unknown"))</f>
        <v>Male</v>
      </c>
      <c r="F1581" s="13" t="str">
        <f aca="false">PROPER(TRIM(SUBSTITUTE(Raw_Data!F1581,"'","")))</f>
        <v>Bachelors</v>
      </c>
      <c r="G1581" s="13" t="str">
        <f aca="false">PROPER(TRIM(Raw_Data!G1581))</f>
        <v>Sales</v>
      </c>
      <c r="H1581" s="13" t="str">
        <f aca="false">PROPER(TRIM(Raw_Data!H1581))</f>
        <v>Analyst</v>
      </c>
      <c r="I1581" s="13" t="n">
        <f aca="false">IF(Raw_Data!I1581="",DefaultPerf,Raw_Data!I1581)</f>
        <v>3</v>
      </c>
      <c r="J1581" s="13" t="n">
        <f aca="false">IF(Raw_Data!J1581="",DefaultSat,Raw_Data!J1581)</f>
        <v>3</v>
      </c>
      <c r="K1581" s="15" t="n">
        <f aca="false">Raw_Data!K1581</f>
        <v>57000</v>
      </c>
      <c r="L1581" s="13" t="str">
        <f aca="false">PROPER(TRIM(Raw_Data!N1581))</f>
        <v>Yes</v>
      </c>
      <c r="M1581" s="13" t="n">
        <f aca="false">IF(C1581="",0,1)</f>
        <v>1</v>
      </c>
      <c r="N1581" s="13" t="str">
        <f aca="false">IF(M1581=0,"Active",IF(TRIM(Raw_Data!L1581)="","Unknown",PROPER(TRIM(Raw_Data!L1581))))</f>
        <v>Voluntary</v>
      </c>
      <c r="O1581" s="13" t="str">
        <f aca="false">IF(M1581=0,"",IF(TRIM(Raw_Data!M1581)="","Not Recorded",TRIM(Raw_Data!M1581)))</f>
        <v>Job Dissatisfaction</v>
      </c>
      <c r="P1581" s="16" t="n">
        <f aca="false">ROUND((IF(C1581="",AsOfDate,C1581)-B1581)/365.25,2)</f>
        <v>1.71</v>
      </c>
      <c r="Q1581" s="13" t="str">
        <f aca="false">IF(D1581="","Unknown",IF(D1581&lt;25,"Under 25",IF(D1581&lt;35,"25-34",IF(D1581&lt;45,"35-44",IF(D1581&lt;55,"45-54","55+")))))</f>
        <v>35-44</v>
      </c>
      <c r="R1581" s="13" t="str">
        <f aca="false">IF(P1581&lt;1,"0-1 yrs",IF(P1581&lt;3,"1-3 yrs",IF(P1581&lt;5,"3-5 yrs",IF(P1581&lt;10,"5-10 yrs","10+ yrs"))))</f>
        <v>1-3 yrs</v>
      </c>
      <c r="S1581" s="13" t="str">
        <f aca="false">IF(I1581&gt;=4,"High",IF(I1581=3,"Medium","Low"))</f>
        <v>Medium</v>
      </c>
      <c r="T1581" s="13" t="n">
        <f aca="false">IF(M1581=1,YEAR(C1581),"")</f>
        <v>2025</v>
      </c>
      <c r="U1581" s="13" t="str">
        <f aca="false">IF(M1581=1,YEAR(C1581)&amp;"-Q"&amp;ROUNDUP(MONTH(C1581)/3,0),"")</f>
        <v>2025-Q2</v>
      </c>
      <c r="V1581" s="13" t="n">
        <f aca="false">IF(M1581=1,MONTH(C1581),"")</f>
        <v>5</v>
      </c>
    </row>
    <row r="1582" customFormat="false" ht="15" hidden="false" customHeight="false" outlineLevel="0" collapsed="false">
      <c r="A1582" s="13" t="str">
        <f aca="false">TRIM(Raw_Data!A1582)</f>
        <v>EMP1581</v>
      </c>
      <c r="B1582" s="14" t="n">
        <f aca="false">Raw_Data!B1582</f>
        <v>45169</v>
      </c>
      <c r="C1582" s="14" t="n">
        <f aca="false">IF(Raw_Data!C1582="","",Raw_Data!C1582)</f>
        <v>45336</v>
      </c>
      <c r="D1582" s="13" t="n">
        <f aca="false">IF(Raw_Data!D1582="","",Raw_Data!D1582)</f>
        <v>29</v>
      </c>
      <c r="E1582" s="13" t="str">
        <f aca="false">IF(UPPER(LEFT(TRIM(Raw_Data!E1582),1))="M","Male",IF(UPPER(LEFT(TRIM(Raw_Data!E1582),1))="F","Female","Unknown"))</f>
        <v>Male</v>
      </c>
      <c r="F1582" s="13" t="str">
        <f aca="false">PROPER(TRIM(SUBSTITUTE(Raw_Data!F1582,"'","")))</f>
        <v>Diploma</v>
      </c>
      <c r="G1582" s="13" t="str">
        <f aca="false">PROPER(TRIM(Raw_Data!G1582))</f>
        <v>Operations</v>
      </c>
      <c r="H1582" s="13" t="str">
        <f aca="false">PROPER(TRIM(Raw_Data!H1582))</f>
        <v>Associate</v>
      </c>
      <c r="I1582" s="17" t="n">
        <f aca="false">IF(Raw_Data!I1582="",DefaultPerf,Raw_Data!I1582)</f>
        <v>3</v>
      </c>
      <c r="J1582" s="13" t="n">
        <f aca="false">IF(Raw_Data!J1582="",DefaultSat,Raw_Data!J1582)</f>
        <v>2</v>
      </c>
      <c r="K1582" s="15" t="n">
        <f aca="false">Raw_Data!K1582</f>
        <v>42500</v>
      </c>
      <c r="L1582" s="13" t="str">
        <f aca="false">PROPER(TRIM(Raw_Data!N1582))</f>
        <v>Yes</v>
      </c>
      <c r="M1582" s="13" t="n">
        <f aca="false">IF(C1582="",0,1)</f>
        <v>1</v>
      </c>
      <c r="N1582" s="13" t="str">
        <f aca="false">IF(M1582=0,"Active",IF(TRIM(Raw_Data!L1582)="","Unknown",PROPER(TRIM(Raw_Data!L1582))))</f>
        <v>Voluntary</v>
      </c>
      <c r="O1582" s="13" t="str">
        <f aca="false">IF(M1582=0,"",IF(TRIM(Raw_Data!M1582)="","Not Recorded",TRIM(Raw_Data!M1582)))</f>
        <v>Job Dissatisfaction</v>
      </c>
      <c r="P1582" s="16" t="n">
        <f aca="false">ROUND((IF(C1582="",AsOfDate,C1582)-B1582)/365.25,2)</f>
        <v>0.46</v>
      </c>
      <c r="Q1582" s="13" t="str">
        <f aca="false">IF(D1582="","Unknown",IF(D1582&lt;25,"Under 25",IF(D1582&lt;35,"25-34",IF(D1582&lt;45,"35-44",IF(D1582&lt;55,"45-54","55+")))))</f>
        <v>25-34</v>
      </c>
      <c r="R1582" s="13" t="str">
        <f aca="false">IF(P1582&lt;1,"0-1 yrs",IF(P1582&lt;3,"1-3 yrs",IF(P1582&lt;5,"3-5 yrs",IF(P1582&lt;10,"5-10 yrs","10+ yrs"))))</f>
        <v>0-1 yrs</v>
      </c>
      <c r="S1582" s="13" t="str">
        <f aca="false">IF(I1582&gt;=4,"High",IF(I1582=3,"Medium","Low"))</f>
        <v>Medium</v>
      </c>
      <c r="T1582" s="13" t="n">
        <f aca="false">IF(M1582=1,YEAR(C1582),"")</f>
        <v>2024</v>
      </c>
      <c r="U1582" s="13" t="str">
        <f aca="false">IF(M1582=1,YEAR(C1582)&amp;"-Q"&amp;ROUNDUP(MONTH(C1582)/3,0),"")</f>
        <v>2024-Q1</v>
      </c>
      <c r="V1582" s="13" t="n">
        <f aca="false">IF(M1582=1,MONTH(C1582),"")</f>
        <v>2</v>
      </c>
    </row>
    <row r="1583" customFormat="false" ht="15" hidden="false" customHeight="false" outlineLevel="0" collapsed="false">
      <c r="A1583" s="13" t="str">
        <f aca="false">TRIM(Raw_Data!A1583)</f>
        <v>EMP1582</v>
      </c>
      <c r="B1583" s="14" t="n">
        <f aca="false">Raw_Data!B1583</f>
        <v>45171</v>
      </c>
      <c r="C1583" s="14" t="str">
        <f aca="false">IF(Raw_Data!C1583="","",Raw_Data!C1583)</f>
        <v/>
      </c>
      <c r="D1583" s="13" t="n">
        <f aca="false">IF(Raw_Data!D1583="","",Raw_Data!D1583)</f>
        <v>32</v>
      </c>
      <c r="E1583" s="13" t="str">
        <f aca="false">IF(UPPER(LEFT(TRIM(Raw_Data!E1583),1))="M","Male",IF(UPPER(LEFT(TRIM(Raw_Data!E1583),1))="F","Female","Unknown"))</f>
        <v>Female</v>
      </c>
      <c r="F1583" s="13" t="str">
        <f aca="false">PROPER(TRIM(SUBSTITUTE(Raw_Data!F1583,"'","")))</f>
        <v>Masters</v>
      </c>
      <c r="G1583" s="13" t="str">
        <f aca="false">PROPER(TRIM(Raw_Data!G1583))</f>
        <v>Engineering</v>
      </c>
      <c r="H1583" s="13" t="str">
        <f aca="false">PROPER(TRIM(Raw_Data!H1583))</f>
        <v>Associate</v>
      </c>
      <c r="I1583" s="13" t="n">
        <f aca="false">IF(Raw_Data!I1583="",DefaultPerf,Raw_Data!I1583)</f>
        <v>4</v>
      </c>
      <c r="J1583" s="13" t="n">
        <f aca="false">IF(Raw_Data!J1583="",DefaultSat,Raw_Data!J1583)</f>
        <v>3</v>
      </c>
      <c r="K1583" s="15" t="n">
        <f aca="false">Raw_Data!K1583</f>
        <v>37000</v>
      </c>
      <c r="L1583" s="13" t="str">
        <f aca="false">PROPER(TRIM(Raw_Data!N1583))</f>
        <v>No</v>
      </c>
      <c r="M1583" s="13" t="n">
        <f aca="false">IF(C1583="",0,1)</f>
        <v>0</v>
      </c>
      <c r="N1583" s="13" t="str">
        <f aca="false">IF(M1583=0,"Active",IF(TRIM(Raw_Data!L1583)="","Unknown",PROPER(TRIM(Raw_Data!L1583))))</f>
        <v>Active</v>
      </c>
      <c r="O1583" s="13" t="str">
        <f aca="false">IF(M1583=0,"",IF(TRIM(Raw_Data!M1583)="","Not Recorded",TRIM(Raw_Data!M1583)))</f>
        <v/>
      </c>
      <c r="P1583" s="16" t="n">
        <f aca="false">ROUND((IF(C1583="",AsOfDate,C1583)-B1583)/365.25,2)</f>
        <v>2.33</v>
      </c>
      <c r="Q1583" s="13" t="str">
        <f aca="false">IF(D1583="","Unknown",IF(D1583&lt;25,"Under 25",IF(D1583&lt;35,"25-34",IF(D1583&lt;45,"35-44",IF(D1583&lt;55,"45-54","55+")))))</f>
        <v>25-34</v>
      </c>
      <c r="R1583" s="13" t="str">
        <f aca="false">IF(P1583&lt;1,"0-1 yrs",IF(P1583&lt;3,"1-3 yrs",IF(P1583&lt;5,"3-5 yrs",IF(P1583&lt;10,"5-10 yrs","10+ yrs"))))</f>
        <v>1-3 yrs</v>
      </c>
      <c r="S1583" s="13" t="str">
        <f aca="false">IF(I1583&gt;=4,"High",IF(I1583=3,"Medium","Low"))</f>
        <v>High</v>
      </c>
      <c r="T1583" s="13" t="str">
        <f aca="false">IF(M1583=1,YEAR(C1583),"")</f>
        <v/>
      </c>
      <c r="U1583" s="13" t="str">
        <f aca="false">IF(M1583=1,YEAR(C1583)&amp;"-Q"&amp;ROUNDUP(MONTH(C1583)/3,0),"")</f>
        <v/>
      </c>
      <c r="V1583" s="13" t="str">
        <f aca="false">IF(M1583=1,MONTH(C1583),"")</f>
        <v/>
      </c>
    </row>
    <row r="1584" customFormat="false" ht="15" hidden="false" customHeight="false" outlineLevel="0" collapsed="false">
      <c r="A1584" s="13" t="str">
        <f aca="false">TRIM(Raw_Data!A1584)</f>
        <v>EMP1583</v>
      </c>
      <c r="B1584" s="14" t="n">
        <f aca="false">Raw_Data!B1584</f>
        <v>45172</v>
      </c>
      <c r="C1584" s="14" t="n">
        <f aca="false">IF(Raw_Data!C1584="","",Raw_Data!C1584)</f>
        <v>45204</v>
      </c>
      <c r="D1584" s="13" t="n">
        <f aca="false">IF(Raw_Data!D1584="","",Raw_Data!D1584)</f>
        <v>26</v>
      </c>
      <c r="E1584" s="13" t="str">
        <f aca="false">IF(UPPER(LEFT(TRIM(Raw_Data!E1584),1))="M","Male",IF(UPPER(LEFT(TRIM(Raw_Data!E1584),1))="F","Female","Unknown"))</f>
        <v>Female</v>
      </c>
      <c r="F1584" s="13" t="str">
        <f aca="false">PROPER(TRIM(SUBSTITUTE(Raw_Data!F1584,"'","")))</f>
        <v>Bachelors</v>
      </c>
      <c r="G1584" s="13" t="str">
        <f aca="false">PROPER(TRIM(Raw_Data!G1584))</f>
        <v>Operations</v>
      </c>
      <c r="H1584" s="13" t="str">
        <f aca="false">PROPER(TRIM(Raw_Data!H1584))</f>
        <v>Senior Analyst</v>
      </c>
      <c r="I1584" s="13" t="n">
        <f aca="false">IF(Raw_Data!I1584="",DefaultPerf,Raw_Data!I1584)</f>
        <v>5</v>
      </c>
      <c r="J1584" s="13" t="n">
        <f aca="false">IF(Raw_Data!J1584="",DefaultSat,Raw_Data!J1584)</f>
        <v>1</v>
      </c>
      <c r="K1584" s="15" t="n">
        <f aca="false">Raw_Data!K1584</f>
        <v>101000</v>
      </c>
      <c r="L1584" s="13" t="str">
        <f aca="false">PROPER(TRIM(Raw_Data!N1584))</f>
        <v>No</v>
      </c>
      <c r="M1584" s="13" t="n">
        <f aca="false">IF(C1584="",0,1)</f>
        <v>1</v>
      </c>
      <c r="N1584" s="13" t="str">
        <f aca="false">IF(M1584=0,"Active",IF(TRIM(Raw_Data!L1584)="","Unknown",PROPER(TRIM(Raw_Data!L1584))))</f>
        <v>Involuntary</v>
      </c>
      <c r="O1584" s="13" t="str">
        <f aca="false">IF(M1584=0,"",IF(TRIM(Raw_Data!M1584)="","Not Recorded",TRIM(Raw_Data!M1584)))</f>
        <v>Poor Performance</v>
      </c>
      <c r="P1584" s="16" t="n">
        <f aca="false">ROUND((IF(C1584="",AsOfDate,C1584)-B1584)/365.25,2)</f>
        <v>0.09</v>
      </c>
      <c r="Q1584" s="13" t="str">
        <f aca="false">IF(D1584="","Unknown",IF(D1584&lt;25,"Under 25",IF(D1584&lt;35,"25-34",IF(D1584&lt;45,"35-44",IF(D1584&lt;55,"45-54","55+")))))</f>
        <v>25-34</v>
      </c>
      <c r="R1584" s="13" t="str">
        <f aca="false">IF(P1584&lt;1,"0-1 yrs",IF(P1584&lt;3,"1-3 yrs",IF(P1584&lt;5,"3-5 yrs",IF(P1584&lt;10,"5-10 yrs","10+ yrs"))))</f>
        <v>0-1 yrs</v>
      </c>
      <c r="S1584" s="13" t="str">
        <f aca="false">IF(I1584&gt;=4,"High",IF(I1584=3,"Medium","Low"))</f>
        <v>High</v>
      </c>
      <c r="T1584" s="13" t="n">
        <f aca="false">IF(M1584=1,YEAR(C1584),"")</f>
        <v>2023</v>
      </c>
      <c r="U1584" s="13" t="str">
        <f aca="false">IF(M1584=1,YEAR(C1584)&amp;"-Q"&amp;ROUNDUP(MONTH(C1584)/3,0),"")</f>
        <v>2023-Q4</v>
      </c>
      <c r="V1584" s="13" t="n">
        <f aca="false">IF(M1584=1,MONTH(C1584),"")</f>
        <v>10</v>
      </c>
    </row>
    <row r="1585" customFormat="false" ht="15" hidden="false" customHeight="false" outlineLevel="0" collapsed="false">
      <c r="A1585" s="13" t="str">
        <f aca="false">TRIM(Raw_Data!A1585)</f>
        <v>EMP1584</v>
      </c>
      <c r="B1585" s="14" t="n">
        <f aca="false">Raw_Data!B1585</f>
        <v>45176</v>
      </c>
      <c r="C1585" s="14" t="str">
        <f aca="false">IF(Raw_Data!C1585="","",Raw_Data!C1585)</f>
        <v/>
      </c>
      <c r="D1585" s="13" t="n">
        <f aca="false">IF(Raw_Data!D1585="","",Raw_Data!D1585)</f>
        <v>32</v>
      </c>
      <c r="E1585" s="13" t="str">
        <f aca="false">IF(UPPER(LEFT(TRIM(Raw_Data!E1585),1))="M","Male",IF(UPPER(LEFT(TRIM(Raw_Data!E1585),1))="F","Female","Unknown"))</f>
        <v>Male</v>
      </c>
      <c r="F1585" s="13" t="str">
        <f aca="false">PROPER(TRIM(SUBSTITUTE(Raw_Data!F1585,"'","")))</f>
        <v>Bachelors</v>
      </c>
      <c r="G1585" s="13" t="str">
        <f aca="false">PROPER(TRIM(Raw_Data!G1585))</f>
        <v>Engineering</v>
      </c>
      <c r="H1585" s="13" t="str">
        <f aca="false">PROPER(TRIM(Raw_Data!H1585))</f>
        <v>Associate</v>
      </c>
      <c r="I1585" s="13" t="n">
        <f aca="false">IF(Raw_Data!I1585="",DefaultPerf,Raw_Data!I1585)</f>
        <v>3</v>
      </c>
      <c r="J1585" s="13" t="n">
        <f aca="false">IF(Raw_Data!J1585="",DefaultSat,Raw_Data!J1585)</f>
        <v>3</v>
      </c>
      <c r="K1585" s="15" t="n">
        <f aca="false">Raw_Data!K1585</f>
        <v>40000</v>
      </c>
      <c r="L1585" s="13" t="str">
        <f aca="false">PROPER(TRIM(Raw_Data!N1585))</f>
        <v>No</v>
      </c>
      <c r="M1585" s="13" t="n">
        <f aca="false">IF(C1585="",0,1)</f>
        <v>0</v>
      </c>
      <c r="N1585" s="13" t="str">
        <f aca="false">IF(M1585=0,"Active",IF(TRIM(Raw_Data!L1585)="","Unknown",PROPER(TRIM(Raw_Data!L1585))))</f>
        <v>Active</v>
      </c>
      <c r="O1585" s="13" t="str">
        <f aca="false">IF(M1585=0,"",IF(TRIM(Raw_Data!M1585)="","Not Recorded",TRIM(Raw_Data!M1585)))</f>
        <v/>
      </c>
      <c r="P1585" s="16" t="n">
        <f aca="false">ROUND((IF(C1585="",AsOfDate,C1585)-B1585)/365.25,2)</f>
        <v>2.32</v>
      </c>
      <c r="Q1585" s="13" t="str">
        <f aca="false">IF(D1585="","Unknown",IF(D1585&lt;25,"Under 25",IF(D1585&lt;35,"25-34",IF(D1585&lt;45,"35-44",IF(D1585&lt;55,"45-54","55+")))))</f>
        <v>25-34</v>
      </c>
      <c r="R1585" s="13" t="str">
        <f aca="false">IF(P1585&lt;1,"0-1 yrs",IF(P1585&lt;3,"1-3 yrs",IF(P1585&lt;5,"3-5 yrs",IF(P1585&lt;10,"5-10 yrs","10+ yrs"))))</f>
        <v>1-3 yrs</v>
      </c>
      <c r="S1585" s="13" t="str">
        <f aca="false">IF(I1585&gt;=4,"High",IF(I1585=3,"Medium","Low"))</f>
        <v>Medium</v>
      </c>
      <c r="T1585" s="13" t="str">
        <f aca="false">IF(M1585=1,YEAR(C1585),"")</f>
        <v/>
      </c>
      <c r="U1585" s="13" t="str">
        <f aca="false">IF(M1585=1,YEAR(C1585)&amp;"-Q"&amp;ROUNDUP(MONTH(C1585)/3,0),"")</f>
        <v/>
      </c>
      <c r="V1585" s="13" t="str">
        <f aca="false">IF(M1585=1,MONTH(C1585),"")</f>
        <v/>
      </c>
    </row>
    <row r="1586" customFormat="false" ht="15" hidden="false" customHeight="false" outlineLevel="0" collapsed="false">
      <c r="A1586" s="13" t="str">
        <f aca="false">TRIM(Raw_Data!A1586)</f>
        <v>EMP1585</v>
      </c>
      <c r="B1586" s="14" t="n">
        <f aca="false">Raw_Data!B1586</f>
        <v>45176</v>
      </c>
      <c r="C1586" s="14" t="n">
        <f aca="false">IF(Raw_Data!C1586="","",Raw_Data!C1586)</f>
        <v>45596</v>
      </c>
      <c r="D1586" s="13" t="n">
        <f aca="false">IF(Raw_Data!D1586="","",Raw_Data!D1586)</f>
        <v>25</v>
      </c>
      <c r="E1586" s="13" t="str">
        <f aca="false">IF(UPPER(LEFT(TRIM(Raw_Data!E1586),1))="M","Male",IF(UPPER(LEFT(TRIM(Raw_Data!E1586),1))="F","Female","Unknown"))</f>
        <v>Female</v>
      </c>
      <c r="F1586" s="13" t="str">
        <f aca="false">PROPER(TRIM(SUBSTITUTE(Raw_Data!F1586,"'","")))</f>
        <v>Masters</v>
      </c>
      <c r="G1586" s="13" t="str">
        <f aca="false">PROPER(TRIM(Raw_Data!G1586))</f>
        <v>Customer Support</v>
      </c>
      <c r="H1586" s="13" t="str">
        <f aca="false">PROPER(TRIM(Raw_Data!H1586))</f>
        <v>Specialist</v>
      </c>
      <c r="I1586" s="13" t="n">
        <f aca="false">IF(Raw_Data!I1586="",DefaultPerf,Raw_Data!I1586)</f>
        <v>4</v>
      </c>
      <c r="J1586" s="13" t="n">
        <f aca="false">IF(Raw_Data!J1586="",DefaultSat,Raw_Data!J1586)</f>
        <v>4</v>
      </c>
      <c r="K1586" s="15" t="n">
        <f aca="false">Raw_Data!K1586</f>
        <v>108500</v>
      </c>
      <c r="L1586" s="13" t="str">
        <f aca="false">PROPER(TRIM(Raw_Data!N1586))</f>
        <v>No</v>
      </c>
      <c r="M1586" s="13" t="n">
        <f aca="false">IF(C1586="",0,1)</f>
        <v>1</v>
      </c>
      <c r="N1586" s="13" t="str">
        <f aca="false">IF(M1586=0,"Active",IF(TRIM(Raw_Data!L1586)="","Unknown",PROPER(TRIM(Raw_Data!L1586))))</f>
        <v>Voluntary</v>
      </c>
      <c r="O1586" s="13" t="str">
        <f aca="false">IF(M1586=0,"",IF(TRIM(Raw_Data!M1586)="","Not Recorded",TRIM(Raw_Data!M1586)))</f>
        <v>Better Compensation</v>
      </c>
      <c r="P1586" s="16" t="n">
        <f aca="false">ROUND((IF(C1586="",AsOfDate,C1586)-B1586)/365.25,2)</f>
        <v>1.15</v>
      </c>
      <c r="Q1586" s="13" t="str">
        <f aca="false">IF(D1586="","Unknown",IF(D1586&lt;25,"Under 25",IF(D1586&lt;35,"25-34",IF(D1586&lt;45,"35-44",IF(D1586&lt;55,"45-54","55+")))))</f>
        <v>25-34</v>
      </c>
      <c r="R1586" s="13" t="str">
        <f aca="false">IF(P1586&lt;1,"0-1 yrs",IF(P1586&lt;3,"1-3 yrs",IF(P1586&lt;5,"3-5 yrs",IF(P1586&lt;10,"5-10 yrs","10+ yrs"))))</f>
        <v>1-3 yrs</v>
      </c>
      <c r="S1586" s="13" t="str">
        <f aca="false">IF(I1586&gt;=4,"High",IF(I1586=3,"Medium","Low"))</f>
        <v>High</v>
      </c>
      <c r="T1586" s="13" t="n">
        <f aca="false">IF(M1586=1,YEAR(C1586),"")</f>
        <v>2024</v>
      </c>
      <c r="U1586" s="13" t="str">
        <f aca="false">IF(M1586=1,YEAR(C1586)&amp;"-Q"&amp;ROUNDUP(MONTH(C1586)/3,0),"")</f>
        <v>2024-Q4</v>
      </c>
      <c r="V1586" s="13" t="n">
        <f aca="false">IF(M1586=1,MONTH(C1586),"")</f>
        <v>10</v>
      </c>
    </row>
    <row r="1587" customFormat="false" ht="15" hidden="false" customHeight="false" outlineLevel="0" collapsed="false">
      <c r="A1587" s="13" t="str">
        <f aca="false">TRIM(Raw_Data!A1587)</f>
        <v>EMP1586</v>
      </c>
      <c r="B1587" s="14" t="n">
        <f aca="false">Raw_Data!B1587</f>
        <v>45180</v>
      </c>
      <c r="C1587" s="14" t="str">
        <f aca="false">IF(Raw_Data!C1587="","",Raw_Data!C1587)</f>
        <v/>
      </c>
      <c r="D1587" s="13" t="n">
        <f aca="false">IF(Raw_Data!D1587="","",Raw_Data!D1587)</f>
        <v>31</v>
      </c>
      <c r="E1587" s="13" t="str">
        <f aca="false">IF(UPPER(LEFT(TRIM(Raw_Data!E1587),1))="M","Male",IF(UPPER(LEFT(TRIM(Raw_Data!E1587),1))="F","Female","Unknown"))</f>
        <v>Male</v>
      </c>
      <c r="F1587" s="13" t="str">
        <f aca="false">PROPER(TRIM(SUBSTITUTE(Raw_Data!F1587,"'","")))</f>
        <v>Masters</v>
      </c>
      <c r="G1587" s="13" t="str">
        <f aca="false">PROPER(TRIM(Raw_Data!G1587))</f>
        <v>Sales</v>
      </c>
      <c r="H1587" s="13" t="str">
        <f aca="false">PROPER(TRIM(Raw_Data!H1587))</f>
        <v>Associate</v>
      </c>
      <c r="I1587" s="13" t="n">
        <f aca="false">IF(Raw_Data!I1587="",DefaultPerf,Raw_Data!I1587)</f>
        <v>4</v>
      </c>
      <c r="J1587" s="13" t="n">
        <f aca="false">IF(Raw_Data!J1587="",DefaultSat,Raw_Data!J1587)</f>
        <v>2</v>
      </c>
      <c r="K1587" s="15" t="n">
        <f aca="false">Raw_Data!K1587</f>
        <v>35500</v>
      </c>
      <c r="L1587" s="13" t="str">
        <f aca="false">PROPER(TRIM(Raw_Data!N1587))</f>
        <v>No</v>
      </c>
      <c r="M1587" s="13" t="n">
        <f aca="false">IF(C1587="",0,1)</f>
        <v>0</v>
      </c>
      <c r="N1587" s="13" t="str">
        <f aca="false">IF(M1587=0,"Active",IF(TRIM(Raw_Data!L1587)="","Unknown",PROPER(TRIM(Raw_Data!L1587))))</f>
        <v>Active</v>
      </c>
      <c r="O1587" s="13" t="str">
        <f aca="false">IF(M1587=0,"",IF(TRIM(Raw_Data!M1587)="","Not Recorded",TRIM(Raw_Data!M1587)))</f>
        <v/>
      </c>
      <c r="P1587" s="16" t="n">
        <f aca="false">ROUND((IF(C1587="",AsOfDate,C1587)-B1587)/365.25,2)</f>
        <v>2.31</v>
      </c>
      <c r="Q1587" s="13" t="str">
        <f aca="false">IF(D1587="","Unknown",IF(D1587&lt;25,"Under 25",IF(D1587&lt;35,"25-34",IF(D1587&lt;45,"35-44",IF(D1587&lt;55,"45-54","55+")))))</f>
        <v>25-34</v>
      </c>
      <c r="R1587" s="13" t="str">
        <f aca="false">IF(P1587&lt;1,"0-1 yrs",IF(P1587&lt;3,"1-3 yrs",IF(P1587&lt;5,"3-5 yrs",IF(P1587&lt;10,"5-10 yrs","10+ yrs"))))</f>
        <v>1-3 yrs</v>
      </c>
      <c r="S1587" s="13" t="str">
        <f aca="false">IF(I1587&gt;=4,"High",IF(I1587=3,"Medium","Low"))</f>
        <v>High</v>
      </c>
      <c r="T1587" s="13" t="str">
        <f aca="false">IF(M1587=1,YEAR(C1587),"")</f>
        <v/>
      </c>
      <c r="U1587" s="13" t="str">
        <f aca="false">IF(M1587=1,YEAR(C1587)&amp;"-Q"&amp;ROUNDUP(MONTH(C1587)/3,0),"")</f>
        <v/>
      </c>
      <c r="V1587" s="13" t="str">
        <f aca="false">IF(M1587=1,MONTH(C1587),"")</f>
        <v/>
      </c>
    </row>
    <row r="1588" customFormat="false" ht="15" hidden="false" customHeight="false" outlineLevel="0" collapsed="false">
      <c r="A1588" s="13" t="str">
        <f aca="false">TRIM(Raw_Data!A1588)</f>
        <v>EMP1587</v>
      </c>
      <c r="B1588" s="14" t="n">
        <f aca="false">Raw_Data!B1588</f>
        <v>45181</v>
      </c>
      <c r="C1588" s="14" t="n">
        <f aca="false">IF(Raw_Data!C1588="","",Raw_Data!C1588)</f>
        <v>45408</v>
      </c>
      <c r="D1588" s="13" t="n">
        <f aca="false">IF(Raw_Data!D1588="","",Raw_Data!D1588)</f>
        <v>22</v>
      </c>
      <c r="E1588" s="13" t="str">
        <f aca="false">IF(UPPER(LEFT(TRIM(Raw_Data!E1588),1))="M","Male",IF(UPPER(LEFT(TRIM(Raw_Data!E1588),1))="F","Female","Unknown"))</f>
        <v>Male</v>
      </c>
      <c r="F1588" s="13" t="str">
        <f aca="false">PROPER(TRIM(SUBSTITUTE(Raw_Data!F1588,"'","")))</f>
        <v>High School</v>
      </c>
      <c r="G1588" s="13" t="str">
        <f aca="false">PROPER(TRIM(Raw_Data!G1588))</f>
        <v>Customer Support</v>
      </c>
      <c r="H1588" s="13" t="str">
        <f aca="false">PROPER(TRIM(Raw_Data!H1588))</f>
        <v>Analyst</v>
      </c>
      <c r="I1588" s="13" t="n">
        <f aca="false">IF(Raw_Data!I1588="",DefaultPerf,Raw_Data!I1588)</f>
        <v>4</v>
      </c>
      <c r="J1588" s="13" t="n">
        <f aca="false">IF(Raw_Data!J1588="",DefaultSat,Raw_Data!J1588)</f>
        <v>2</v>
      </c>
      <c r="K1588" s="15" t="n">
        <f aca="false">Raw_Data!K1588</f>
        <v>63000</v>
      </c>
      <c r="L1588" s="13" t="str">
        <f aca="false">PROPER(TRIM(Raw_Data!N1588))</f>
        <v>No</v>
      </c>
      <c r="M1588" s="13" t="n">
        <f aca="false">IF(C1588="",0,1)</f>
        <v>1</v>
      </c>
      <c r="N1588" s="13" t="str">
        <f aca="false">IF(M1588=0,"Active",IF(TRIM(Raw_Data!L1588)="","Unknown",PROPER(TRIM(Raw_Data!L1588))))</f>
        <v>Voluntary</v>
      </c>
      <c r="O1588" s="13" t="str">
        <f aca="false">IF(M1588=0,"",IF(TRIM(Raw_Data!M1588)="","Not Recorded",TRIM(Raw_Data!M1588)))</f>
        <v>Manager Issues</v>
      </c>
      <c r="P1588" s="16" t="n">
        <f aca="false">ROUND((IF(C1588="",AsOfDate,C1588)-B1588)/365.25,2)</f>
        <v>0.62</v>
      </c>
      <c r="Q1588" s="13" t="str">
        <f aca="false">IF(D1588="","Unknown",IF(D1588&lt;25,"Under 25",IF(D1588&lt;35,"25-34",IF(D1588&lt;45,"35-44",IF(D1588&lt;55,"45-54","55+")))))</f>
        <v>Under 25</v>
      </c>
      <c r="R1588" s="13" t="str">
        <f aca="false">IF(P1588&lt;1,"0-1 yrs",IF(P1588&lt;3,"1-3 yrs",IF(P1588&lt;5,"3-5 yrs",IF(P1588&lt;10,"5-10 yrs","10+ yrs"))))</f>
        <v>0-1 yrs</v>
      </c>
      <c r="S1588" s="13" t="str">
        <f aca="false">IF(I1588&gt;=4,"High",IF(I1588=3,"Medium","Low"))</f>
        <v>High</v>
      </c>
      <c r="T1588" s="13" t="n">
        <f aca="false">IF(M1588=1,YEAR(C1588),"")</f>
        <v>2024</v>
      </c>
      <c r="U1588" s="13" t="str">
        <f aca="false">IF(M1588=1,YEAR(C1588)&amp;"-Q"&amp;ROUNDUP(MONTH(C1588)/3,0),"")</f>
        <v>2024-Q2</v>
      </c>
      <c r="V1588" s="13" t="n">
        <f aca="false">IF(M1588=1,MONTH(C1588),"")</f>
        <v>4</v>
      </c>
    </row>
    <row r="1589" customFormat="false" ht="15" hidden="false" customHeight="false" outlineLevel="0" collapsed="false">
      <c r="A1589" s="13" t="str">
        <f aca="false">TRIM(Raw_Data!A1589)</f>
        <v>EMP1588</v>
      </c>
      <c r="B1589" s="14" t="n">
        <f aca="false">Raw_Data!B1589</f>
        <v>45183</v>
      </c>
      <c r="C1589" s="14" t="str">
        <f aca="false">IF(Raw_Data!C1589="","",Raw_Data!C1589)</f>
        <v/>
      </c>
      <c r="D1589" s="13" t="n">
        <f aca="false">IF(Raw_Data!D1589="","",Raw_Data!D1589)</f>
        <v>41</v>
      </c>
      <c r="E1589" s="13" t="str">
        <f aca="false">IF(UPPER(LEFT(TRIM(Raw_Data!E1589),1))="M","Male",IF(UPPER(LEFT(TRIM(Raw_Data!E1589),1))="F","Female","Unknown"))</f>
        <v>Female</v>
      </c>
      <c r="F1589" s="13" t="str">
        <f aca="false">PROPER(TRIM(SUBSTITUTE(Raw_Data!F1589,"'","")))</f>
        <v>High School</v>
      </c>
      <c r="G1589" s="13" t="str">
        <f aca="false">PROPER(TRIM(Raw_Data!G1589))</f>
        <v>Finance</v>
      </c>
      <c r="H1589" s="13" t="str">
        <f aca="false">PROPER(TRIM(Raw_Data!H1589))</f>
        <v>Analyst</v>
      </c>
      <c r="I1589" s="13" t="n">
        <f aca="false">IF(Raw_Data!I1589="",DefaultPerf,Raw_Data!I1589)</f>
        <v>3</v>
      </c>
      <c r="J1589" s="13" t="n">
        <f aca="false">IF(Raw_Data!J1589="",DefaultSat,Raw_Data!J1589)</f>
        <v>2</v>
      </c>
      <c r="K1589" s="15" t="n">
        <f aca="false">Raw_Data!K1589</f>
        <v>67000</v>
      </c>
      <c r="L1589" s="13" t="str">
        <f aca="false">PROPER(TRIM(Raw_Data!N1589))</f>
        <v>Yes</v>
      </c>
      <c r="M1589" s="13" t="n">
        <f aca="false">IF(C1589="",0,1)</f>
        <v>0</v>
      </c>
      <c r="N1589" s="13" t="str">
        <f aca="false">IF(M1589=0,"Active",IF(TRIM(Raw_Data!L1589)="","Unknown",PROPER(TRIM(Raw_Data!L1589))))</f>
        <v>Active</v>
      </c>
      <c r="O1589" s="13" t="str">
        <f aca="false">IF(M1589=0,"",IF(TRIM(Raw_Data!M1589)="","Not Recorded",TRIM(Raw_Data!M1589)))</f>
        <v/>
      </c>
      <c r="P1589" s="16" t="n">
        <f aca="false">ROUND((IF(C1589="",AsOfDate,C1589)-B1589)/365.25,2)</f>
        <v>2.3</v>
      </c>
      <c r="Q1589" s="13" t="str">
        <f aca="false">IF(D1589="","Unknown",IF(D1589&lt;25,"Under 25",IF(D1589&lt;35,"25-34",IF(D1589&lt;45,"35-44",IF(D1589&lt;55,"45-54","55+")))))</f>
        <v>35-44</v>
      </c>
      <c r="R1589" s="13" t="str">
        <f aca="false">IF(P1589&lt;1,"0-1 yrs",IF(P1589&lt;3,"1-3 yrs",IF(P1589&lt;5,"3-5 yrs",IF(P1589&lt;10,"5-10 yrs","10+ yrs"))))</f>
        <v>1-3 yrs</v>
      </c>
      <c r="S1589" s="13" t="str">
        <f aca="false">IF(I1589&gt;=4,"High",IF(I1589=3,"Medium","Low"))</f>
        <v>Medium</v>
      </c>
      <c r="T1589" s="13" t="str">
        <f aca="false">IF(M1589=1,YEAR(C1589),"")</f>
        <v/>
      </c>
      <c r="U1589" s="13" t="str">
        <f aca="false">IF(M1589=1,YEAR(C1589)&amp;"-Q"&amp;ROUNDUP(MONTH(C1589)/3,0),"")</f>
        <v/>
      </c>
      <c r="V1589" s="13" t="str">
        <f aca="false">IF(M1589=1,MONTH(C1589),"")</f>
        <v/>
      </c>
    </row>
    <row r="1590" customFormat="false" ht="15" hidden="false" customHeight="false" outlineLevel="0" collapsed="false">
      <c r="A1590" s="13" t="str">
        <f aca="false">TRIM(Raw_Data!A1590)</f>
        <v>EMP1589</v>
      </c>
      <c r="B1590" s="14" t="n">
        <f aca="false">Raw_Data!B1590</f>
        <v>45183</v>
      </c>
      <c r="C1590" s="14" t="str">
        <f aca="false">IF(Raw_Data!C1590="","",Raw_Data!C1590)</f>
        <v/>
      </c>
      <c r="D1590" s="13" t="n">
        <f aca="false">IF(Raw_Data!D1590="","",Raw_Data!D1590)</f>
        <v>34</v>
      </c>
      <c r="E1590" s="13" t="str">
        <f aca="false">IF(UPPER(LEFT(TRIM(Raw_Data!E1590),1))="M","Male",IF(UPPER(LEFT(TRIM(Raw_Data!E1590),1))="F","Female","Unknown"))</f>
        <v>Male</v>
      </c>
      <c r="F1590" s="13" t="str">
        <f aca="false">PROPER(TRIM(SUBSTITUTE(Raw_Data!F1590,"'","")))</f>
        <v>Bachelors</v>
      </c>
      <c r="G1590" s="13" t="str">
        <f aca="false">PROPER(TRIM(Raw_Data!G1590))</f>
        <v>Customer Support</v>
      </c>
      <c r="H1590" s="13" t="str">
        <f aca="false">PROPER(TRIM(Raw_Data!H1590))</f>
        <v>Manager</v>
      </c>
      <c r="I1590" s="13" t="n">
        <f aca="false">IF(Raw_Data!I1590="",DefaultPerf,Raw_Data!I1590)</f>
        <v>5</v>
      </c>
      <c r="J1590" s="13" t="n">
        <f aca="false">IF(Raw_Data!J1590="",DefaultSat,Raw_Data!J1590)</f>
        <v>1</v>
      </c>
      <c r="K1590" s="15" t="n">
        <f aca="false">Raw_Data!K1590</f>
        <v>196000</v>
      </c>
      <c r="L1590" s="13" t="str">
        <f aca="false">PROPER(TRIM(Raw_Data!N1590))</f>
        <v>No</v>
      </c>
      <c r="M1590" s="13" t="n">
        <f aca="false">IF(C1590="",0,1)</f>
        <v>0</v>
      </c>
      <c r="N1590" s="13" t="str">
        <f aca="false">IF(M1590=0,"Active",IF(TRIM(Raw_Data!L1590)="","Unknown",PROPER(TRIM(Raw_Data!L1590))))</f>
        <v>Active</v>
      </c>
      <c r="O1590" s="13" t="str">
        <f aca="false">IF(M1590=0,"",IF(TRIM(Raw_Data!M1590)="","Not Recorded",TRIM(Raw_Data!M1590)))</f>
        <v/>
      </c>
      <c r="P1590" s="16" t="n">
        <f aca="false">ROUND((IF(C1590="",AsOfDate,C1590)-B1590)/365.25,2)</f>
        <v>2.3</v>
      </c>
      <c r="Q1590" s="13" t="str">
        <f aca="false">IF(D1590="","Unknown",IF(D1590&lt;25,"Under 25",IF(D1590&lt;35,"25-34",IF(D1590&lt;45,"35-44",IF(D1590&lt;55,"45-54","55+")))))</f>
        <v>25-34</v>
      </c>
      <c r="R1590" s="13" t="str">
        <f aca="false">IF(P1590&lt;1,"0-1 yrs",IF(P1590&lt;3,"1-3 yrs",IF(P1590&lt;5,"3-5 yrs",IF(P1590&lt;10,"5-10 yrs","10+ yrs"))))</f>
        <v>1-3 yrs</v>
      </c>
      <c r="S1590" s="13" t="str">
        <f aca="false">IF(I1590&gt;=4,"High",IF(I1590=3,"Medium","Low"))</f>
        <v>High</v>
      </c>
      <c r="T1590" s="13" t="str">
        <f aca="false">IF(M1590=1,YEAR(C1590),"")</f>
        <v/>
      </c>
      <c r="U1590" s="13" t="str">
        <f aca="false">IF(M1590=1,YEAR(C1590)&amp;"-Q"&amp;ROUNDUP(MONTH(C1590)/3,0),"")</f>
        <v/>
      </c>
      <c r="V1590" s="13" t="str">
        <f aca="false">IF(M1590=1,MONTH(C1590),"")</f>
        <v/>
      </c>
    </row>
    <row r="1591" customFormat="false" ht="15" hidden="false" customHeight="false" outlineLevel="0" collapsed="false">
      <c r="A1591" s="13" t="str">
        <f aca="false">TRIM(Raw_Data!A1591)</f>
        <v>EMP1590</v>
      </c>
      <c r="B1591" s="14" t="n">
        <f aca="false">Raw_Data!B1591</f>
        <v>45183</v>
      </c>
      <c r="C1591" s="14" t="str">
        <f aca="false">IF(Raw_Data!C1591="","",Raw_Data!C1591)</f>
        <v/>
      </c>
      <c r="D1591" s="13" t="n">
        <f aca="false">IF(Raw_Data!D1591="","",Raw_Data!D1591)</f>
        <v>33</v>
      </c>
      <c r="E1591" s="13" t="str">
        <f aca="false">IF(UPPER(LEFT(TRIM(Raw_Data!E1591),1))="M","Male",IF(UPPER(LEFT(TRIM(Raw_Data!E1591),1))="F","Female","Unknown"))</f>
        <v>Male</v>
      </c>
      <c r="F1591" s="13" t="str">
        <f aca="false">PROPER(TRIM(SUBSTITUTE(Raw_Data!F1591,"'","")))</f>
        <v>Bachelors</v>
      </c>
      <c r="G1591" s="13" t="str">
        <f aca="false">PROPER(TRIM(Raw_Data!G1591))</f>
        <v>Engineering</v>
      </c>
      <c r="H1591" s="13" t="str">
        <f aca="false">PROPER(TRIM(Raw_Data!H1591))</f>
        <v>Analyst</v>
      </c>
      <c r="I1591" s="13" t="n">
        <f aca="false">IF(Raw_Data!I1591="",DefaultPerf,Raw_Data!I1591)</f>
        <v>2</v>
      </c>
      <c r="J1591" s="13" t="n">
        <f aca="false">IF(Raw_Data!J1591="",DefaultSat,Raw_Data!J1591)</f>
        <v>3</v>
      </c>
      <c r="K1591" s="15" t="n">
        <f aca="false">Raw_Data!K1591</f>
        <v>70000</v>
      </c>
      <c r="L1591" s="13" t="str">
        <f aca="false">PROPER(TRIM(Raw_Data!N1591))</f>
        <v>Yes</v>
      </c>
      <c r="M1591" s="13" t="n">
        <f aca="false">IF(C1591="",0,1)</f>
        <v>0</v>
      </c>
      <c r="N1591" s="13" t="str">
        <f aca="false">IF(M1591=0,"Active",IF(TRIM(Raw_Data!L1591)="","Unknown",PROPER(TRIM(Raw_Data!L1591))))</f>
        <v>Active</v>
      </c>
      <c r="O1591" s="13" t="str">
        <f aca="false">IF(M1591=0,"",IF(TRIM(Raw_Data!M1591)="","Not Recorded",TRIM(Raw_Data!M1591)))</f>
        <v/>
      </c>
      <c r="P1591" s="16" t="n">
        <f aca="false">ROUND((IF(C1591="",AsOfDate,C1591)-B1591)/365.25,2)</f>
        <v>2.3</v>
      </c>
      <c r="Q1591" s="13" t="str">
        <f aca="false">IF(D1591="","Unknown",IF(D1591&lt;25,"Under 25",IF(D1591&lt;35,"25-34",IF(D1591&lt;45,"35-44",IF(D1591&lt;55,"45-54","55+")))))</f>
        <v>25-34</v>
      </c>
      <c r="R1591" s="13" t="str">
        <f aca="false">IF(P1591&lt;1,"0-1 yrs",IF(P1591&lt;3,"1-3 yrs",IF(P1591&lt;5,"3-5 yrs",IF(P1591&lt;10,"5-10 yrs","10+ yrs"))))</f>
        <v>1-3 yrs</v>
      </c>
      <c r="S1591" s="13" t="str">
        <f aca="false">IF(I1591&gt;=4,"High",IF(I1591=3,"Medium","Low"))</f>
        <v>Low</v>
      </c>
      <c r="T1591" s="13" t="str">
        <f aca="false">IF(M1591=1,YEAR(C1591),"")</f>
        <v/>
      </c>
      <c r="U1591" s="13" t="str">
        <f aca="false">IF(M1591=1,YEAR(C1591)&amp;"-Q"&amp;ROUNDUP(MONTH(C1591)/3,0),"")</f>
        <v/>
      </c>
      <c r="V1591" s="13" t="str">
        <f aca="false">IF(M1591=1,MONTH(C1591),"")</f>
        <v/>
      </c>
    </row>
    <row r="1592" customFormat="false" ht="15" hidden="false" customHeight="false" outlineLevel="0" collapsed="false">
      <c r="A1592" s="13" t="str">
        <f aca="false">TRIM(Raw_Data!A1592)</f>
        <v>EMP1591</v>
      </c>
      <c r="B1592" s="14" t="n">
        <f aca="false">Raw_Data!B1592</f>
        <v>45186</v>
      </c>
      <c r="C1592" s="14" t="str">
        <f aca="false">IF(Raw_Data!C1592="","",Raw_Data!C1592)</f>
        <v/>
      </c>
      <c r="D1592" s="13" t="n">
        <f aca="false">IF(Raw_Data!D1592="","",Raw_Data!D1592)</f>
        <v>34</v>
      </c>
      <c r="E1592" s="13" t="str">
        <f aca="false">IF(UPPER(LEFT(TRIM(Raw_Data!E1592),1))="M","Male",IF(UPPER(LEFT(TRIM(Raw_Data!E1592),1))="F","Female","Unknown"))</f>
        <v>Male</v>
      </c>
      <c r="F1592" s="13" t="str">
        <f aca="false">PROPER(TRIM(SUBSTITUTE(Raw_Data!F1592,"'","")))</f>
        <v>Masters</v>
      </c>
      <c r="G1592" s="13" t="str">
        <f aca="false">PROPER(TRIM(Raw_Data!G1592))</f>
        <v>Finance</v>
      </c>
      <c r="H1592" s="13" t="str">
        <f aca="false">PROPER(TRIM(Raw_Data!H1592))</f>
        <v>Senior Analyst</v>
      </c>
      <c r="I1592" s="13" t="n">
        <f aca="false">IF(Raw_Data!I1592="",DefaultPerf,Raw_Data!I1592)</f>
        <v>3</v>
      </c>
      <c r="J1592" s="13" t="n">
        <f aca="false">IF(Raw_Data!J1592="",DefaultSat,Raw_Data!J1592)</f>
        <v>3</v>
      </c>
      <c r="K1592" s="15" t="n">
        <f aca="false">Raw_Data!K1592</f>
        <v>84500</v>
      </c>
      <c r="L1592" s="13" t="str">
        <f aca="false">PROPER(TRIM(Raw_Data!N1592))</f>
        <v>No</v>
      </c>
      <c r="M1592" s="13" t="n">
        <f aca="false">IF(C1592="",0,1)</f>
        <v>0</v>
      </c>
      <c r="N1592" s="13" t="str">
        <f aca="false">IF(M1592=0,"Active",IF(TRIM(Raw_Data!L1592)="","Unknown",PROPER(TRIM(Raw_Data!L1592))))</f>
        <v>Active</v>
      </c>
      <c r="O1592" s="13" t="str">
        <f aca="false">IF(M1592=0,"",IF(TRIM(Raw_Data!M1592)="","Not Recorded",TRIM(Raw_Data!M1592)))</f>
        <v/>
      </c>
      <c r="P1592" s="16" t="n">
        <f aca="false">ROUND((IF(C1592="",AsOfDate,C1592)-B1592)/365.25,2)</f>
        <v>2.29</v>
      </c>
      <c r="Q1592" s="13" t="str">
        <f aca="false">IF(D1592="","Unknown",IF(D1592&lt;25,"Under 25",IF(D1592&lt;35,"25-34",IF(D1592&lt;45,"35-44",IF(D1592&lt;55,"45-54","55+")))))</f>
        <v>25-34</v>
      </c>
      <c r="R1592" s="13" t="str">
        <f aca="false">IF(P1592&lt;1,"0-1 yrs",IF(P1592&lt;3,"1-3 yrs",IF(P1592&lt;5,"3-5 yrs",IF(P1592&lt;10,"5-10 yrs","10+ yrs"))))</f>
        <v>1-3 yrs</v>
      </c>
      <c r="S1592" s="13" t="str">
        <f aca="false">IF(I1592&gt;=4,"High",IF(I1592=3,"Medium","Low"))</f>
        <v>Medium</v>
      </c>
      <c r="T1592" s="13" t="str">
        <f aca="false">IF(M1592=1,YEAR(C1592),"")</f>
        <v/>
      </c>
      <c r="U1592" s="13" t="str">
        <f aca="false">IF(M1592=1,YEAR(C1592)&amp;"-Q"&amp;ROUNDUP(MONTH(C1592)/3,0),"")</f>
        <v/>
      </c>
      <c r="V1592" s="13" t="str">
        <f aca="false">IF(M1592=1,MONTH(C1592),"")</f>
        <v/>
      </c>
    </row>
    <row r="1593" customFormat="false" ht="15" hidden="false" customHeight="false" outlineLevel="0" collapsed="false">
      <c r="A1593" s="13" t="str">
        <f aca="false">TRIM(Raw_Data!A1593)</f>
        <v>EMP1592</v>
      </c>
      <c r="B1593" s="14" t="n">
        <f aca="false">Raw_Data!B1593</f>
        <v>45187</v>
      </c>
      <c r="C1593" s="14" t="str">
        <f aca="false">IF(Raw_Data!C1593="","",Raw_Data!C1593)</f>
        <v/>
      </c>
      <c r="D1593" s="13" t="n">
        <f aca="false">IF(Raw_Data!D1593="","",Raw_Data!D1593)</f>
        <v>25</v>
      </c>
      <c r="E1593" s="13" t="str">
        <f aca="false">IF(UPPER(LEFT(TRIM(Raw_Data!E1593),1))="M","Male",IF(UPPER(LEFT(TRIM(Raw_Data!E1593),1))="F","Female","Unknown"))</f>
        <v>Male</v>
      </c>
      <c r="F1593" s="13" t="str">
        <f aca="false">PROPER(TRIM(SUBSTITUTE(Raw_Data!F1593,"'","")))</f>
        <v>Diploma</v>
      </c>
      <c r="G1593" s="13" t="str">
        <f aca="false">PROPER(TRIM(Raw_Data!G1593))</f>
        <v>Sales</v>
      </c>
      <c r="H1593" s="13" t="str">
        <f aca="false">PROPER(TRIM(Raw_Data!H1593))</f>
        <v>Manager</v>
      </c>
      <c r="I1593" s="13" t="n">
        <f aca="false">IF(Raw_Data!I1593="",DefaultPerf,Raw_Data!I1593)</f>
        <v>3</v>
      </c>
      <c r="J1593" s="13" t="n">
        <f aca="false">IF(Raw_Data!J1593="",DefaultSat,Raw_Data!J1593)</f>
        <v>1</v>
      </c>
      <c r="K1593" s="15" t="n">
        <f aca="false">Raw_Data!K1593</f>
        <v>157500</v>
      </c>
      <c r="L1593" s="13" t="str">
        <f aca="false">PROPER(TRIM(Raw_Data!N1593))</f>
        <v>No</v>
      </c>
      <c r="M1593" s="13" t="n">
        <f aca="false">IF(C1593="",0,1)</f>
        <v>0</v>
      </c>
      <c r="N1593" s="13" t="str">
        <f aca="false">IF(M1593=0,"Active",IF(TRIM(Raw_Data!L1593)="","Unknown",PROPER(TRIM(Raw_Data!L1593))))</f>
        <v>Active</v>
      </c>
      <c r="O1593" s="13" t="str">
        <f aca="false">IF(M1593=0,"",IF(TRIM(Raw_Data!M1593)="","Not Recorded",TRIM(Raw_Data!M1593)))</f>
        <v/>
      </c>
      <c r="P1593" s="16" t="n">
        <f aca="false">ROUND((IF(C1593="",AsOfDate,C1593)-B1593)/365.25,2)</f>
        <v>2.29</v>
      </c>
      <c r="Q1593" s="13" t="str">
        <f aca="false">IF(D1593="","Unknown",IF(D1593&lt;25,"Under 25",IF(D1593&lt;35,"25-34",IF(D1593&lt;45,"35-44",IF(D1593&lt;55,"45-54","55+")))))</f>
        <v>25-34</v>
      </c>
      <c r="R1593" s="13" t="str">
        <f aca="false">IF(P1593&lt;1,"0-1 yrs",IF(P1593&lt;3,"1-3 yrs",IF(P1593&lt;5,"3-5 yrs",IF(P1593&lt;10,"5-10 yrs","10+ yrs"))))</f>
        <v>1-3 yrs</v>
      </c>
      <c r="S1593" s="13" t="str">
        <f aca="false">IF(I1593&gt;=4,"High",IF(I1593=3,"Medium","Low"))</f>
        <v>Medium</v>
      </c>
      <c r="T1593" s="13" t="str">
        <f aca="false">IF(M1593=1,YEAR(C1593),"")</f>
        <v/>
      </c>
      <c r="U1593" s="13" t="str">
        <f aca="false">IF(M1593=1,YEAR(C1593)&amp;"-Q"&amp;ROUNDUP(MONTH(C1593)/3,0),"")</f>
        <v/>
      </c>
      <c r="V1593" s="13" t="str">
        <f aca="false">IF(M1593=1,MONTH(C1593),"")</f>
        <v/>
      </c>
    </row>
    <row r="1594" customFormat="false" ht="15" hidden="false" customHeight="false" outlineLevel="0" collapsed="false">
      <c r="A1594" s="13" t="str">
        <f aca="false">TRIM(Raw_Data!A1594)</f>
        <v>EMP1593</v>
      </c>
      <c r="B1594" s="14" t="n">
        <f aca="false">Raw_Data!B1594</f>
        <v>45190</v>
      </c>
      <c r="C1594" s="14" t="str">
        <f aca="false">IF(Raw_Data!C1594="","",Raw_Data!C1594)</f>
        <v/>
      </c>
      <c r="D1594" s="13" t="n">
        <f aca="false">IF(Raw_Data!D1594="","",Raw_Data!D1594)</f>
        <v>32</v>
      </c>
      <c r="E1594" s="13" t="str">
        <f aca="false">IF(UPPER(LEFT(TRIM(Raw_Data!E1594),1))="M","Male",IF(UPPER(LEFT(TRIM(Raw_Data!E1594),1))="F","Female","Unknown"))</f>
        <v>Male</v>
      </c>
      <c r="F1594" s="13" t="str">
        <f aca="false">PROPER(TRIM(SUBSTITUTE(Raw_Data!F1594,"'","")))</f>
        <v>Bachelors</v>
      </c>
      <c r="G1594" s="13" t="str">
        <f aca="false">PROPER(TRIM(Raw_Data!G1594))</f>
        <v>Customer Support</v>
      </c>
      <c r="H1594" s="13" t="str">
        <f aca="false">PROPER(TRIM(Raw_Data!H1594))</f>
        <v>Specialist</v>
      </c>
      <c r="I1594" s="13" t="n">
        <f aca="false">IF(Raw_Data!I1594="",DefaultPerf,Raw_Data!I1594)</f>
        <v>4</v>
      </c>
      <c r="J1594" s="13" t="n">
        <f aca="false">IF(Raw_Data!J1594="",DefaultSat,Raw_Data!J1594)</f>
        <v>4</v>
      </c>
      <c r="K1594" s="15" t="n">
        <f aca="false">Raw_Data!K1594</f>
        <v>106000</v>
      </c>
      <c r="L1594" s="13" t="str">
        <f aca="false">PROPER(TRIM(Raw_Data!N1594))</f>
        <v>Yes</v>
      </c>
      <c r="M1594" s="13" t="n">
        <f aca="false">IF(C1594="",0,1)</f>
        <v>0</v>
      </c>
      <c r="N1594" s="13" t="str">
        <f aca="false">IF(M1594=0,"Active",IF(TRIM(Raw_Data!L1594)="","Unknown",PROPER(TRIM(Raw_Data!L1594))))</f>
        <v>Active</v>
      </c>
      <c r="O1594" s="13" t="str">
        <f aca="false">IF(M1594=0,"",IF(TRIM(Raw_Data!M1594)="","Not Recorded",TRIM(Raw_Data!M1594)))</f>
        <v/>
      </c>
      <c r="P1594" s="16" t="n">
        <f aca="false">ROUND((IF(C1594="",AsOfDate,C1594)-B1594)/365.25,2)</f>
        <v>2.28</v>
      </c>
      <c r="Q1594" s="13" t="str">
        <f aca="false">IF(D1594="","Unknown",IF(D1594&lt;25,"Under 25",IF(D1594&lt;35,"25-34",IF(D1594&lt;45,"35-44",IF(D1594&lt;55,"45-54","55+")))))</f>
        <v>25-34</v>
      </c>
      <c r="R1594" s="13" t="str">
        <f aca="false">IF(P1594&lt;1,"0-1 yrs",IF(P1594&lt;3,"1-3 yrs",IF(P1594&lt;5,"3-5 yrs",IF(P1594&lt;10,"5-10 yrs","10+ yrs"))))</f>
        <v>1-3 yrs</v>
      </c>
      <c r="S1594" s="13" t="str">
        <f aca="false">IF(I1594&gt;=4,"High",IF(I1594=3,"Medium","Low"))</f>
        <v>High</v>
      </c>
      <c r="T1594" s="13" t="str">
        <f aca="false">IF(M1594=1,YEAR(C1594),"")</f>
        <v/>
      </c>
      <c r="U1594" s="13" t="str">
        <f aca="false">IF(M1594=1,YEAR(C1594)&amp;"-Q"&amp;ROUNDUP(MONTH(C1594)/3,0),"")</f>
        <v/>
      </c>
      <c r="V1594" s="13" t="str">
        <f aca="false">IF(M1594=1,MONTH(C1594),"")</f>
        <v/>
      </c>
    </row>
    <row r="1595" customFormat="false" ht="15" hidden="false" customHeight="false" outlineLevel="0" collapsed="false">
      <c r="A1595" s="13" t="str">
        <f aca="false">TRIM(Raw_Data!A1595)</f>
        <v>EMP1594</v>
      </c>
      <c r="B1595" s="14" t="n">
        <f aca="false">Raw_Data!B1595</f>
        <v>45191</v>
      </c>
      <c r="C1595" s="14" t="str">
        <f aca="false">IF(Raw_Data!C1595="","",Raw_Data!C1595)</f>
        <v/>
      </c>
      <c r="D1595" s="13" t="n">
        <f aca="false">IF(Raw_Data!D1595="","",Raw_Data!D1595)</f>
        <v>29</v>
      </c>
      <c r="E1595" s="13" t="str">
        <f aca="false">IF(UPPER(LEFT(TRIM(Raw_Data!E1595),1))="M","Male",IF(UPPER(LEFT(TRIM(Raw_Data!E1595),1))="F","Female","Unknown"))</f>
        <v>Female</v>
      </c>
      <c r="F1595" s="13" t="str">
        <f aca="false">PROPER(TRIM(SUBSTITUTE(Raw_Data!F1595,"'","")))</f>
        <v>Diploma</v>
      </c>
      <c r="G1595" s="13" t="str">
        <f aca="false">PROPER(TRIM(Raw_Data!G1595))</f>
        <v>Engineering</v>
      </c>
      <c r="H1595" s="13" t="str">
        <f aca="false">PROPER(TRIM(Raw_Data!H1595))</f>
        <v>Specialist</v>
      </c>
      <c r="I1595" s="13" t="n">
        <f aca="false">IF(Raw_Data!I1595="",DefaultPerf,Raw_Data!I1595)</f>
        <v>4</v>
      </c>
      <c r="J1595" s="13" t="n">
        <f aca="false">IF(Raw_Data!J1595="",DefaultSat,Raw_Data!J1595)</f>
        <v>4</v>
      </c>
      <c r="K1595" s="15" t="n">
        <f aca="false">Raw_Data!K1595</f>
        <v>110000</v>
      </c>
      <c r="L1595" s="13" t="str">
        <f aca="false">PROPER(TRIM(Raw_Data!N1595))</f>
        <v>No</v>
      </c>
      <c r="M1595" s="13" t="n">
        <f aca="false">IF(C1595="",0,1)</f>
        <v>0</v>
      </c>
      <c r="N1595" s="13" t="str">
        <f aca="false">IF(M1595=0,"Active",IF(TRIM(Raw_Data!L1595)="","Unknown",PROPER(TRIM(Raw_Data!L1595))))</f>
        <v>Active</v>
      </c>
      <c r="O1595" s="13" t="str">
        <f aca="false">IF(M1595=0,"",IF(TRIM(Raw_Data!M1595)="","Not Recorded",TRIM(Raw_Data!M1595)))</f>
        <v/>
      </c>
      <c r="P1595" s="16" t="n">
        <f aca="false">ROUND((IF(C1595="",AsOfDate,C1595)-B1595)/365.25,2)</f>
        <v>2.28</v>
      </c>
      <c r="Q1595" s="13" t="str">
        <f aca="false">IF(D1595="","Unknown",IF(D1595&lt;25,"Under 25",IF(D1595&lt;35,"25-34",IF(D1595&lt;45,"35-44",IF(D1595&lt;55,"45-54","55+")))))</f>
        <v>25-34</v>
      </c>
      <c r="R1595" s="13" t="str">
        <f aca="false">IF(P1595&lt;1,"0-1 yrs",IF(P1595&lt;3,"1-3 yrs",IF(P1595&lt;5,"3-5 yrs",IF(P1595&lt;10,"5-10 yrs","10+ yrs"))))</f>
        <v>1-3 yrs</v>
      </c>
      <c r="S1595" s="13" t="str">
        <f aca="false">IF(I1595&gt;=4,"High",IF(I1595=3,"Medium","Low"))</f>
        <v>High</v>
      </c>
      <c r="T1595" s="13" t="str">
        <f aca="false">IF(M1595=1,YEAR(C1595),"")</f>
        <v/>
      </c>
      <c r="U1595" s="13" t="str">
        <f aca="false">IF(M1595=1,YEAR(C1595)&amp;"-Q"&amp;ROUNDUP(MONTH(C1595)/3,0),"")</f>
        <v/>
      </c>
      <c r="V1595" s="13" t="str">
        <f aca="false">IF(M1595=1,MONTH(C1595),"")</f>
        <v/>
      </c>
    </row>
    <row r="1596" customFormat="false" ht="15" hidden="false" customHeight="false" outlineLevel="0" collapsed="false">
      <c r="A1596" s="13" t="str">
        <f aca="false">TRIM(Raw_Data!A1596)</f>
        <v>EMP1595</v>
      </c>
      <c r="B1596" s="14" t="n">
        <f aca="false">Raw_Data!B1596</f>
        <v>45192</v>
      </c>
      <c r="C1596" s="14" t="n">
        <f aca="false">IF(Raw_Data!C1596="","",Raw_Data!C1596)</f>
        <v>45730</v>
      </c>
      <c r="D1596" s="13" t="n">
        <f aca="false">IF(Raw_Data!D1596="","",Raw_Data!D1596)</f>
        <v>31</v>
      </c>
      <c r="E1596" s="13" t="str">
        <f aca="false">IF(UPPER(LEFT(TRIM(Raw_Data!E1596),1))="M","Male",IF(UPPER(LEFT(TRIM(Raw_Data!E1596),1))="F","Female","Unknown"))</f>
        <v>Male</v>
      </c>
      <c r="F1596" s="13" t="str">
        <f aca="false">PROPER(TRIM(SUBSTITUTE(Raw_Data!F1596,"'","")))</f>
        <v>Masters</v>
      </c>
      <c r="G1596" s="13" t="str">
        <f aca="false">PROPER(TRIM(Raw_Data!G1596))</f>
        <v>Sales</v>
      </c>
      <c r="H1596" s="13" t="str">
        <f aca="false">PROPER(TRIM(Raw_Data!H1596))</f>
        <v>Team Lead</v>
      </c>
      <c r="I1596" s="13" t="n">
        <f aca="false">IF(Raw_Data!I1596="",DefaultPerf,Raw_Data!I1596)</f>
        <v>3</v>
      </c>
      <c r="J1596" s="13" t="n">
        <f aca="false">IF(Raw_Data!J1596="",DefaultSat,Raw_Data!J1596)</f>
        <v>2</v>
      </c>
      <c r="K1596" s="15" t="n">
        <f aca="false">Raw_Data!K1596</f>
        <v>125500</v>
      </c>
      <c r="L1596" s="13" t="str">
        <f aca="false">PROPER(TRIM(Raw_Data!N1596))</f>
        <v>No</v>
      </c>
      <c r="M1596" s="13" t="n">
        <f aca="false">IF(C1596="",0,1)</f>
        <v>1</v>
      </c>
      <c r="N1596" s="13" t="str">
        <f aca="false">IF(M1596=0,"Active",IF(TRIM(Raw_Data!L1596)="","Unknown",PROPER(TRIM(Raw_Data!L1596))))</f>
        <v>Voluntary</v>
      </c>
      <c r="O1596" s="13" t="str">
        <f aca="false">IF(M1596=0,"",IF(TRIM(Raw_Data!M1596)="","Not Recorded",TRIM(Raw_Data!M1596)))</f>
        <v>Career Growth</v>
      </c>
      <c r="P1596" s="16" t="n">
        <f aca="false">ROUND((IF(C1596="",AsOfDate,C1596)-B1596)/365.25,2)</f>
        <v>1.47</v>
      </c>
      <c r="Q1596" s="13" t="str">
        <f aca="false">IF(D1596="","Unknown",IF(D1596&lt;25,"Under 25",IF(D1596&lt;35,"25-34",IF(D1596&lt;45,"35-44",IF(D1596&lt;55,"45-54","55+")))))</f>
        <v>25-34</v>
      </c>
      <c r="R1596" s="13" t="str">
        <f aca="false">IF(P1596&lt;1,"0-1 yrs",IF(P1596&lt;3,"1-3 yrs",IF(P1596&lt;5,"3-5 yrs",IF(P1596&lt;10,"5-10 yrs","10+ yrs"))))</f>
        <v>1-3 yrs</v>
      </c>
      <c r="S1596" s="13" t="str">
        <f aca="false">IF(I1596&gt;=4,"High",IF(I1596=3,"Medium","Low"))</f>
        <v>Medium</v>
      </c>
      <c r="T1596" s="13" t="n">
        <f aca="false">IF(M1596=1,YEAR(C1596),"")</f>
        <v>2025</v>
      </c>
      <c r="U1596" s="13" t="str">
        <f aca="false">IF(M1596=1,YEAR(C1596)&amp;"-Q"&amp;ROUNDUP(MONTH(C1596)/3,0),"")</f>
        <v>2025-Q1</v>
      </c>
      <c r="V1596" s="13" t="n">
        <f aca="false">IF(M1596=1,MONTH(C1596),"")</f>
        <v>3</v>
      </c>
    </row>
    <row r="1597" customFormat="false" ht="15" hidden="false" customHeight="false" outlineLevel="0" collapsed="false">
      <c r="A1597" s="13" t="str">
        <f aca="false">TRIM(Raw_Data!A1597)</f>
        <v>EMP1596</v>
      </c>
      <c r="B1597" s="14" t="n">
        <f aca="false">Raw_Data!B1597</f>
        <v>45193</v>
      </c>
      <c r="C1597" s="14" t="n">
        <f aca="false">IF(Raw_Data!C1597="","",Raw_Data!C1597)</f>
        <v>45722</v>
      </c>
      <c r="D1597" s="13" t="n">
        <f aca="false">IF(Raw_Data!D1597="","",Raw_Data!D1597)</f>
        <v>35</v>
      </c>
      <c r="E1597" s="13" t="str">
        <f aca="false">IF(UPPER(LEFT(TRIM(Raw_Data!E1597),1))="M","Male",IF(UPPER(LEFT(TRIM(Raw_Data!E1597),1))="F","Female","Unknown"))</f>
        <v>Male</v>
      </c>
      <c r="F1597" s="13" t="str">
        <f aca="false">PROPER(TRIM(SUBSTITUTE(Raw_Data!F1597,"'","")))</f>
        <v>Masters</v>
      </c>
      <c r="G1597" s="13" t="str">
        <f aca="false">PROPER(TRIM(Raw_Data!G1597))</f>
        <v>Engineering</v>
      </c>
      <c r="H1597" s="13" t="str">
        <f aca="false">PROPER(TRIM(Raw_Data!H1597))</f>
        <v>Analyst</v>
      </c>
      <c r="I1597" s="13" t="n">
        <f aca="false">IF(Raw_Data!I1597="",DefaultPerf,Raw_Data!I1597)</f>
        <v>3</v>
      </c>
      <c r="J1597" s="13" t="n">
        <f aca="false">IF(Raw_Data!J1597="",DefaultSat,Raw_Data!J1597)</f>
        <v>4</v>
      </c>
      <c r="K1597" s="15" t="n">
        <f aca="false">Raw_Data!K1597</f>
        <v>61000</v>
      </c>
      <c r="L1597" s="13" t="str">
        <f aca="false">PROPER(TRIM(Raw_Data!N1597))</f>
        <v>No</v>
      </c>
      <c r="M1597" s="13" t="n">
        <f aca="false">IF(C1597="",0,1)</f>
        <v>1</v>
      </c>
      <c r="N1597" s="13" t="str">
        <f aca="false">IF(M1597=0,"Active",IF(TRIM(Raw_Data!L1597)="","Unknown",PROPER(TRIM(Raw_Data!L1597))))</f>
        <v>Voluntary</v>
      </c>
      <c r="O1597" s="13" t="str">
        <f aca="false">IF(M1597=0,"",IF(TRIM(Raw_Data!M1597)="","Not Recorded",TRIM(Raw_Data!M1597)))</f>
        <v>Career Growth</v>
      </c>
      <c r="P1597" s="16" t="n">
        <f aca="false">ROUND((IF(C1597="",AsOfDate,C1597)-B1597)/365.25,2)</f>
        <v>1.45</v>
      </c>
      <c r="Q1597" s="13" t="str">
        <f aca="false">IF(D1597="","Unknown",IF(D1597&lt;25,"Under 25",IF(D1597&lt;35,"25-34",IF(D1597&lt;45,"35-44",IF(D1597&lt;55,"45-54","55+")))))</f>
        <v>35-44</v>
      </c>
      <c r="R1597" s="13" t="str">
        <f aca="false">IF(P1597&lt;1,"0-1 yrs",IF(P1597&lt;3,"1-3 yrs",IF(P1597&lt;5,"3-5 yrs",IF(P1597&lt;10,"5-10 yrs","10+ yrs"))))</f>
        <v>1-3 yrs</v>
      </c>
      <c r="S1597" s="13" t="str">
        <f aca="false">IF(I1597&gt;=4,"High",IF(I1597=3,"Medium","Low"))</f>
        <v>Medium</v>
      </c>
      <c r="T1597" s="13" t="n">
        <f aca="false">IF(M1597=1,YEAR(C1597),"")</f>
        <v>2025</v>
      </c>
      <c r="U1597" s="13" t="str">
        <f aca="false">IF(M1597=1,YEAR(C1597)&amp;"-Q"&amp;ROUNDUP(MONTH(C1597)/3,0),"")</f>
        <v>2025-Q1</v>
      </c>
      <c r="V1597" s="13" t="n">
        <f aca="false">IF(M1597=1,MONTH(C1597),"")</f>
        <v>3</v>
      </c>
    </row>
    <row r="1598" customFormat="false" ht="15" hidden="false" customHeight="false" outlineLevel="0" collapsed="false">
      <c r="A1598" s="13" t="str">
        <f aca="false">TRIM(Raw_Data!A1598)</f>
        <v>EMP1597</v>
      </c>
      <c r="B1598" s="14" t="n">
        <f aca="false">Raw_Data!B1598</f>
        <v>45193</v>
      </c>
      <c r="C1598" s="14" t="str">
        <f aca="false">IF(Raw_Data!C1598="","",Raw_Data!C1598)</f>
        <v/>
      </c>
      <c r="D1598" s="13" t="n">
        <f aca="false">IF(Raw_Data!D1598="","",Raw_Data!D1598)</f>
        <v>30</v>
      </c>
      <c r="E1598" s="13" t="str">
        <f aca="false">IF(UPPER(LEFT(TRIM(Raw_Data!E1598),1))="M","Male",IF(UPPER(LEFT(TRIM(Raw_Data!E1598),1))="F","Female","Unknown"))</f>
        <v>Female</v>
      </c>
      <c r="F1598" s="13" t="str">
        <f aca="false">PROPER(TRIM(SUBSTITUTE(Raw_Data!F1598,"'","")))</f>
        <v>Bachelors</v>
      </c>
      <c r="G1598" s="13" t="str">
        <f aca="false">PROPER(TRIM(Raw_Data!G1598))</f>
        <v>Finance</v>
      </c>
      <c r="H1598" s="13" t="str">
        <f aca="false">PROPER(TRIM(Raw_Data!H1598))</f>
        <v>Associate</v>
      </c>
      <c r="I1598" s="13" t="n">
        <f aca="false">IF(Raw_Data!I1598="",DefaultPerf,Raw_Data!I1598)</f>
        <v>3</v>
      </c>
      <c r="J1598" s="13" t="n">
        <f aca="false">IF(Raw_Data!J1598="",DefaultSat,Raw_Data!J1598)</f>
        <v>4</v>
      </c>
      <c r="K1598" s="15" t="n">
        <f aca="false">Raw_Data!K1598</f>
        <v>35000</v>
      </c>
      <c r="L1598" s="13" t="str">
        <f aca="false">PROPER(TRIM(Raw_Data!N1598))</f>
        <v>No</v>
      </c>
      <c r="M1598" s="13" t="n">
        <f aca="false">IF(C1598="",0,1)</f>
        <v>0</v>
      </c>
      <c r="N1598" s="13" t="str">
        <f aca="false">IF(M1598=0,"Active",IF(TRIM(Raw_Data!L1598)="","Unknown",PROPER(TRIM(Raw_Data!L1598))))</f>
        <v>Active</v>
      </c>
      <c r="O1598" s="13" t="str">
        <f aca="false">IF(M1598=0,"",IF(TRIM(Raw_Data!M1598)="","Not Recorded",TRIM(Raw_Data!M1598)))</f>
        <v/>
      </c>
      <c r="P1598" s="16" t="n">
        <f aca="false">ROUND((IF(C1598="",AsOfDate,C1598)-B1598)/365.25,2)</f>
        <v>2.27</v>
      </c>
      <c r="Q1598" s="13" t="str">
        <f aca="false">IF(D1598="","Unknown",IF(D1598&lt;25,"Under 25",IF(D1598&lt;35,"25-34",IF(D1598&lt;45,"35-44",IF(D1598&lt;55,"45-54","55+")))))</f>
        <v>25-34</v>
      </c>
      <c r="R1598" s="13" t="str">
        <f aca="false">IF(P1598&lt;1,"0-1 yrs",IF(P1598&lt;3,"1-3 yrs",IF(P1598&lt;5,"3-5 yrs",IF(P1598&lt;10,"5-10 yrs","10+ yrs"))))</f>
        <v>1-3 yrs</v>
      </c>
      <c r="S1598" s="13" t="str">
        <f aca="false">IF(I1598&gt;=4,"High",IF(I1598=3,"Medium","Low"))</f>
        <v>Medium</v>
      </c>
      <c r="T1598" s="13" t="str">
        <f aca="false">IF(M1598=1,YEAR(C1598),"")</f>
        <v/>
      </c>
      <c r="U1598" s="13" t="str">
        <f aca="false">IF(M1598=1,YEAR(C1598)&amp;"-Q"&amp;ROUNDUP(MONTH(C1598)/3,0),"")</f>
        <v/>
      </c>
      <c r="V1598" s="13" t="str">
        <f aca="false">IF(M1598=1,MONTH(C1598),"")</f>
        <v/>
      </c>
    </row>
    <row r="1599" customFormat="false" ht="15" hidden="false" customHeight="false" outlineLevel="0" collapsed="false">
      <c r="A1599" s="13" t="str">
        <f aca="false">TRIM(Raw_Data!A1599)</f>
        <v>EMP1598</v>
      </c>
      <c r="B1599" s="14" t="n">
        <f aca="false">Raw_Data!B1599</f>
        <v>45193</v>
      </c>
      <c r="C1599" s="14" t="str">
        <f aca="false">IF(Raw_Data!C1599="","",Raw_Data!C1599)</f>
        <v/>
      </c>
      <c r="D1599" s="13" t="n">
        <f aca="false">IF(Raw_Data!D1599="","",Raw_Data!D1599)</f>
        <v>27</v>
      </c>
      <c r="E1599" s="13" t="str">
        <f aca="false">IF(UPPER(LEFT(TRIM(Raw_Data!E1599),1))="M","Male",IF(UPPER(LEFT(TRIM(Raw_Data!E1599),1))="F","Female","Unknown"))</f>
        <v>Male</v>
      </c>
      <c r="F1599" s="13" t="str">
        <f aca="false">PROPER(TRIM(SUBSTITUTE(Raw_Data!F1599,"'","")))</f>
        <v>Doctorate</v>
      </c>
      <c r="G1599" s="13" t="str">
        <f aca="false">PROPER(TRIM(Raw_Data!G1599))</f>
        <v>Sales</v>
      </c>
      <c r="H1599" s="13" t="str">
        <f aca="false">PROPER(TRIM(Raw_Data!H1599))</f>
        <v>Associate</v>
      </c>
      <c r="I1599" s="13" t="n">
        <f aca="false">IF(Raw_Data!I1599="",DefaultPerf,Raw_Data!I1599)</f>
        <v>5</v>
      </c>
      <c r="J1599" s="13" t="n">
        <f aca="false">IF(Raw_Data!J1599="",DefaultSat,Raw_Data!J1599)</f>
        <v>4</v>
      </c>
      <c r="K1599" s="15" t="n">
        <f aca="false">Raw_Data!K1599</f>
        <v>37000</v>
      </c>
      <c r="L1599" s="13" t="str">
        <f aca="false">PROPER(TRIM(Raw_Data!N1599))</f>
        <v>No</v>
      </c>
      <c r="M1599" s="13" t="n">
        <f aca="false">IF(C1599="",0,1)</f>
        <v>0</v>
      </c>
      <c r="N1599" s="13" t="str">
        <f aca="false">IF(M1599=0,"Active",IF(TRIM(Raw_Data!L1599)="","Unknown",PROPER(TRIM(Raw_Data!L1599))))</f>
        <v>Active</v>
      </c>
      <c r="O1599" s="13" t="str">
        <f aca="false">IF(M1599=0,"",IF(TRIM(Raw_Data!M1599)="","Not Recorded",TRIM(Raw_Data!M1599)))</f>
        <v/>
      </c>
      <c r="P1599" s="16" t="n">
        <f aca="false">ROUND((IF(C1599="",AsOfDate,C1599)-B1599)/365.25,2)</f>
        <v>2.27</v>
      </c>
      <c r="Q1599" s="13" t="str">
        <f aca="false">IF(D1599="","Unknown",IF(D1599&lt;25,"Under 25",IF(D1599&lt;35,"25-34",IF(D1599&lt;45,"35-44",IF(D1599&lt;55,"45-54","55+")))))</f>
        <v>25-34</v>
      </c>
      <c r="R1599" s="13" t="str">
        <f aca="false">IF(P1599&lt;1,"0-1 yrs",IF(P1599&lt;3,"1-3 yrs",IF(P1599&lt;5,"3-5 yrs",IF(P1599&lt;10,"5-10 yrs","10+ yrs"))))</f>
        <v>1-3 yrs</v>
      </c>
      <c r="S1599" s="13" t="str">
        <f aca="false">IF(I1599&gt;=4,"High",IF(I1599=3,"Medium","Low"))</f>
        <v>High</v>
      </c>
      <c r="T1599" s="13" t="str">
        <f aca="false">IF(M1599=1,YEAR(C1599),"")</f>
        <v/>
      </c>
      <c r="U1599" s="13" t="str">
        <f aca="false">IF(M1599=1,YEAR(C1599)&amp;"-Q"&amp;ROUNDUP(MONTH(C1599)/3,0),"")</f>
        <v/>
      </c>
      <c r="V1599" s="13" t="str">
        <f aca="false">IF(M1599=1,MONTH(C1599),"")</f>
        <v/>
      </c>
    </row>
    <row r="1600" customFormat="false" ht="15" hidden="false" customHeight="false" outlineLevel="0" collapsed="false">
      <c r="A1600" s="13" t="str">
        <f aca="false">TRIM(Raw_Data!A1600)</f>
        <v>EMP1599</v>
      </c>
      <c r="B1600" s="14" t="n">
        <f aca="false">Raw_Data!B1600</f>
        <v>45194</v>
      </c>
      <c r="C1600" s="14" t="str">
        <f aca="false">IF(Raw_Data!C1600="","",Raw_Data!C1600)</f>
        <v/>
      </c>
      <c r="D1600" s="13" t="n">
        <f aca="false">IF(Raw_Data!D1600="","",Raw_Data!D1600)</f>
        <v>32</v>
      </c>
      <c r="E1600" s="13" t="str">
        <f aca="false">IF(UPPER(LEFT(TRIM(Raw_Data!E1600),1))="M","Male",IF(UPPER(LEFT(TRIM(Raw_Data!E1600),1))="F","Female","Unknown"))</f>
        <v>Male</v>
      </c>
      <c r="F1600" s="13" t="str">
        <f aca="false">PROPER(TRIM(SUBSTITUTE(Raw_Data!F1600,"'","")))</f>
        <v>Masters</v>
      </c>
      <c r="G1600" s="13" t="str">
        <f aca="false">PROPER(TRIM(Raw_Data!G1600))</f>
        <v>Human Resources</v>
      </c>
      <c r="H1600" s="13" t="str">
        <f aca="false">PROPER(TRIM(Raw_Data!H1600))</f>
        <v>Associate</v>
      </c>
      <c r="I1600" s="13" t="n">
        <f aca="false">IF(Raw_Data!I1600="",DefaultPerf,Raw_Data!I1600)</f>
        <v>4</v>
      </c>
      <c r="J1600" s="13" t="n">
        <f aca="false">IF(Raw_Data!J1600="",DefaultSat,Raw_Data!J1600)</f>
        <v>3</v>
      </c>
      <c r="K1600" s="15" t="n">
        <f aca="false">Raw_Data!K1600</f>
        <v>38500</v>
      </c>
      <c r="L1600" s="13" t="str">
        <f aca="false">PROPER(TRIM(Raw_Data!N1600))</f>
        <v>No</v>
      </c>
      <c r="M1600" s="13" t="n">
        <f aca="false">IF(C1600="",0,1)</f>
        <v>0</v>
      </c>
      <c r="N1600" s="13" t="str">
        <f aca="false">IF(M1600=0,"Active",IF(TRIM(Raw_Data!L1600)="","Unknown",PROPER(TRIM(Raw_Data!L1600))))</f>
        <v>Active</v>
      </c>
      <c r="O1600" s="13" t="str">
        <f aca="false">IF(M1600=0,"",IF(TRIM(Raw_Data!M1600)="","Not Recorded",TRIM(Raw_Data!M1600)))</f>
        <v/>
      </c>
      <c r="P1600" s="16" t="n">
        <f aca="false">ROUND((IF(C1600="",AsOfDate,C1600)-B1600)/365.25,2)</f>
        <v>2.27</v>
      </c>
      <c r="Q1600" s="13" t="str">
        <f aca="false">IF(D1600="","Unknown",IF(D1600&lt;25,"Under 25",IF(D1600&lt;35,"25-34",IF(D1600&lt;45,"35-44",IF(D1600&lt;55,"45-54","55+")))))</f>
        <v>25-34</v>
      </c>
      <c r="R1600" s="13" t="str">
        <f aca="false">IF(P1600&lt;1,"0-1 yrs",IF(P1600&lt;3,"1-3 yrs",IF(P1600&lt;5,"3-5 yrs",IF(P1600&lt;10,"5-10 yrs","10+ yrs"))))</f>
        <v>1-3 yrs</v>
      </c>
      <c r="S1600" s="13" t="str">
        <f aca="false">IF(I1600&gt;=4,"High",IF(I1600=3,"Medium","Low"))</f>
        <v>High</v>
      </c>
      <c r="T1600" s="13" t="str">
        <f aca="false">IF(M1600=1,YEAR(C1600),"")</f>
        <v/>
      </c>
      <c r="U1600" s="13" t="str">
        <f aca="false">IF(M1600=1,YEAR(C1600)&amp;"-Q"&amp;ROUNDUP(MONTH(C1600)/3,0),"")</f>
        <v/>
      </c>
      <c r="V1600" s="13" t="str">
        <f aca="false">IF(M1600=1,MONTH(C1600),"")</f>
        <v/>
      </c>
    </row>
    <row r="1601" customFormat="false" ht="15" hidden="false" customHeight="false" outlineLevel="0" collapsed="false">
      <c r="A1601" s="13" t="str">
        <f aca="false">TRIM(Raw_Data!A1601)</f>
        <v>EMP1600</v>
      </c>
      <c r="B1601" s="14" t="n">
        <f aca="false">Raw_Data!B1601</f>
        <v>45199</v>
      </c>
      <c r="C1601" s="14" t="str">
        <f aca="false">IF(Raw_Data!C1601="","",Raw_Data!C1601)</f>
        <v/>
      </c>
      <c r="D1601" s="13" t="n">
        <f aca="false">IF(Raw_Data!D1601="","",Raw_Data!D1601)</f>
        <v>32</v>
      </c>
      <c r="E1601" s="13" t="str">
        <f aca="false">IF(UPPER(LEFT(TRIM(Raw_Data!E1601),1))="M","Male",IF(UPPER(LEFT(TRIM(Raw_Data!E1601),1))="F","Female","Unknown"))</f>
        <v>Male</v>
      </c>
      <c r="F1601" s="13" t="str">
        <f aca="false">PROPER(TRIM(SUBSTITUTE(Raw_Data!F1601,"'","")))</f>
        <v>Diploma</v>
      </c>
      <c r="G1601" s="13" t="str">
        <f aca="false">PROPER(TRIM(Raw_Data!G1601))</f>
        <v>Engineering</v>
      </c>
      <c r="H1601" s="13" t="str">
        <f aca="false">PROPER(TRIM(Raw_Data!H1601))</f>
        <v>Associate</v>
      </c>
      <c r="I1601" s="13" t="n">
        <f aca="false">IF(Raw_Data!I1601="",DefaultPerf,Raw_Data!I1601)</f>
        <v>3</v>
      </c>
      <c r="J1601" s="13" t="n">
        <f aca="false">IF(Raw_Data!J1601="",DefaultSat,Raw_Data!J1601)</f>
        <v>2</v>
      </c>
      <c r="K1601" s="15" t="n">
        <f aca="false">Raw_Data!K1601</f>
        <v>37500</v>
      </c>
      <c r="L1601" s="13" t="str">
        <f aca="false">PROPER(TRIM(Raw_Data!N1601))</f>
        <v>No</v>
      </c>
      <c r="M1601" s="13" t="n">
        <f aca="false">IF(C1601="",0,1)</f>
        <v>0</v>
      </c>
      <c r="N1601" s="13" t="str">
        <f aca="false">IF(M1601=0,"Active",IF(TRIM(Raw_Data!L1601)="","Unknown",PROPER(TRIM(Raw_Data!L1601))))</f>
        <v>Active</v>
      </c>
      <c r="O1601" s="13" t="str">
        <f aca="false">IF(M1601=0,"",IF(TRIM(Raw_Data!M1601)="","Not Recorded",TRIM(Raw_Data!M1601)))</f>
        <v/>
      </c>
      <c r="P1601" s="16" t="n">
        <f aca="false">ROUND((IF(C1601="",AsOfDate,C1601)-B1601)/365.25,2)</f>
        <v>2.25</v>
      </c>
      <c r="Q1601" s="13" t="str">
        <f aca="false">IF(D1601="","Unknown",IF(D1601&lt;25,"Under 25",IF(D1601&lt;35,"25-34",IF(D1601&lt;45,"35-44",IF(D1601&lt;55,"45-54","55+")))))</f>
        <v>25-34</v>
      </c>
      <c r="R1601" s="13" t="str">
        <f aca="false">IF(P1601&lt;1,"0-1 yrs",IF(P1601&lt;3,"1-3 yrs",IF(P1601&lt;5,"3-5 yrs",IF(P1601&lt;10,"5-10 yrs","10+ yrs"))))</f>
        <v>1-3 yrs</v>
      </c>
      <c r="S1601" s="13" t="str">
        <f aca="false">IF(I1601&gt;=4,"High",IF(I1601=3,"Medium","Low"))</f>
        <v>Medium</v>
      </c>
      <c r="T1601" s="13" t="str">
        <f aca="false">IF(M1601=1,YEAR(C1601),"")</f>
        <v/>
      </c>
      <c r="U1601" s="13" t="str">
        <f aca="false">IF(M1601=1,YEAR(C1601)&amp;"-Q"&amp;ROUNDUP(MONTH(C1601)/3,0),"")</f>
        <v/>
      </c>
      <c r="V1601" s="13" t="str">
        <f aca="false">IF(M1601=1,MONTH(C1601),"")</f>
        <v/>
      </c>
    </row>
    <row r="1602" customFormat="false" ht="15" hidden="false" customHeight="false" outlineLevel="0" collapsed="false">
      <c r="A1602" s="13" t="str">
        <f aca="false">TRIM(Raw_Data!A1602)</f>
        <v>EMP1601</v>
      </c>
      <c r="B1602" s="14" t="n">
        <f aca="false">Raw_Data!B1602</f>
        <v>45199</v>
      </c>
      <c r="C1602" s="14" t="str">
        <f aca="false">IF(Raw_Data!C1602="","",Raw_Data!C1602)</f>
        <v/>
      </c>
      <c r="D1602" s="13" t="n">
        <f aca="false">IF(Raw_Data!D1602="","",Raw_Data!D1602)</f>
        <v>32</v>
      </c>
      <c r="E1602" s="13" t="str">
        <f aca="false">IF(UPPER(LEFT(TRIM(Raw_Data!E1602),1))="M","Male",IF(UPPER(LEFT(TRIM(Raw_Data!E1602),1))="F","Female","Unknown"))</f>
        <v>Female</v>
      </c>
      <c r="F1602" s="13" t="str">
        <f aca="false">PROPER(TRIM(SUBSTITUTE(Raw_Data!F1602,"'","")))</f>
        <v>Bachelors</v>
      </c>
      <c r="G1602" s="13" t="str">
        <f aca="false">PROPER(TRIM(Raw_Data!G1602))</f>
        <v>Engineering</v>
      </c>
      <c r="H1602" s="13" t="str">
        <f aca="false">PROPER(TRIM(Raw_Data!H1602))</f>
        <v>Team Lead</v>
      </c>
      <c r="I1602" s="13" t="n">
        <f aca="false">IF(Raw_Data!I1602="",DefaultPerf,Raw_Data!I1602)</f>
        <v>4</v>
      </c>
      <c r="J1602" s="13" t="n">
        <f aca="false">IF(Raw_Data!J1602="",DefaultSat,Raw_Data!J1602)</f>
        <v>2</v>
      </c>
      <c r="K1602" s="15" t="n">
        <f aca="false">Raw_Data!K1602</f>
        <v>149000</v>
      </c>
      <c r="L1602" s="13" t="str">
        <f aca="false">PROPER(TRIM(Raw_Data!N1602))</f>
        <v>No</v>
      </c>
      <c r="M1602" s="13" t="n">
        <f aca="false">IF(C1602="",0,1)</f>
        <v>0</v>
      </c>
      <c r="N1602" s="13" t="str">
        <f aca="false">IF(M1602=0,"Active",IF(TRIM(Raw_Data!L1602)="","Unknown",PROPER(TRIM(Raw_Data!L1602))))</f>
        <v>Active</v>
      </c>
      <c r="O1602" s="13" t="str">
        <f aca="false">IF(M1602=0,"",IF(TRIM(Raw_Data!M1602)="","Not Recorded",TRIM(Raw_Data!M1602)))</f>
        <v/>
      </c>
      <c r="P1602" s="16" t="n">
        <f aca="false">ROUND((IF(C1602="",AsOfDate,C1602)-B1602)/365.25,2)</f>
        <v>2.25</v>
      </c>
      <c r="Q1602" s="13" t="str">
        <f aca="false">IF(D1602="","Unknown",IF(D1602&lt;25,"Under 25",IF(D1602&lt;35,"25-34",IF(D1602&lt;45,"35-44",IF(D1602&lt;55,"45-54","55+")))))</f>
        <v>25-34</v>
      </c>
      <c r="R1602" s="13" t="str">
        <f aca="false">IF(P1602&lt;1,"0-1 yrs",IF(P1602&lt;3,"1-3 yrs",IF(P1602&lt;5,"3-5 yrs",IF(P1602&lt;10,"5-10 yrs","10+ yrs"))))</f>
        <v>1-3 yrs</v>
      </c>
      <c r="S1602" s="13" t="str">
        <f aca="false">IF(I1602&gt;=4,"High",IF(I1602=3,"Medium","Low"))</f>
        <v>High</v>
      </c>
      <c r="T1602" s="13" t="str">
        <f aca="false">IF(M1602=1,YEAR(C1602),"")</f>
        <v/>
      </c>
      <c r="U1602" s="13" t="str">
        <f aca="false">IF(M1602=1,YEAR(C1602)&amp;"-Q"&amp;ROUNDUP(MONTH(C1602)/3,0),"")</f>
        <v/>
      </c>
      <c r="V1602" s="13" t="str">
        <f aca="false">IF(M1602=1,MONTH(C1602),"")</f>
        <v/>
      </c>
    </row>
    <row r="1603" customFormat="false" ht="15" hidden="false" customHeight="false" outlineLevel="0" collapsed="false">
      <c r="A1603" s="13" t="str">
        <f aca="false">TRIM(Raw_Data!A1603)</f>
        <v>EMP1602</v>
      </c>
      <c r="B1603" s="14" t="n">
        <f aca="false">Raw_Data!B1603</f>
        <v>45199</v>
      </c>
      <c r="C1603" s="14" t="str">
        <f aca="false">IF(Raw_Data!C1603="","",Raw_Data!C1603)</f>
        <v/>
      </c>
      <c r="D1603" s="13" t="n">
        <f aca="false">IF(Raw_Data!D1603="","",Raw_Data!D1603)</f>
        <v>32</v>
      </c>
      <c r="E1603" s="13" t="str">
        <f aca="false">IF(UPPER(LEFT(TRIM(Raw_Data!E1603),1))="M","Male",IF(UPPER(LEFT(TRIM(Raw_Data!E1603),1))="F","Female","Unknown"))</f>
        <v>Female</v>
      </c>
      <c r="F1603" s="13" t="str">
        <f aca="false">PROPER(TRIM(SUBSTITUTE(Raw_Data!F1603,"'","")))</f>
        <v>Masters</v>
      </c>
      <c r="G1603" s="13" t="str">
        <f aca="false">PROPER(TRIM(Raw_Data!G1603))</f>
        <v>Sales</v>
      </c>
      <c r="H1603" s="13" t="str">
        <f aca="false">PROPER(TRIM(Raw_Data!H1603))</f>
        <v>Manager</v>
      </c>
      <c r="I1603" s="13" t="n">
        <f aca="false">IF(Raw_Data!I1603="",DefaultPerf,Raw_Data!I1603)</f>
        <v>3</v>
      </c>
      <c r="J1603" s="13" t="n">
        <f aca="false">IF(Raw_Data!J1603="",DefaultSat,Raw_Data!J1603)</f>
        <v>4</v>
      </c>
      <c r="K1603" s="15" t="n">
        <f aca="false">Raw_Data!K1603</f>
        <v>195500</v>
      </c>
      <c r="L1603" s="13" t="str">
        <f aca="false">PROPER(TRIM(Raw_Data!N1603))</f>
        <v>No</v>
      </c>
      <c r="M1603" s="13" t="n">
        <f aca="false">IF(C1603="",0,1)</f>
        <v>0</v>
      </c>
      <c r="N1603" s="13" t="str">
        <f aca="false">IF(M1603=0,"Active",IF(TRIM(Raw_Data!L1603)="","Unknown",PROPER(TRIM(Raw_Data!L1603))))</f>
        <v>Active</v>
      </c>
      <c r="O1603" s="13" t="str">
        <f aca="false">IF(M1603=0,"",IF(TRIM(Raw_Data!M1603)="","Not Recorded",TRIM(Raw_Data!M1603)))</f>
        <v/>
      </c>
      <c r="P1603" s="16" t="n">
        <f aca="false">ROUND((IF(C1603="",AsOfDate,C1603)-B1603)/365.25,2)</f>
        <v>2.25</v>
      </c>
      <c r="Q1603" s="13" t="str">
        <f aca="false">IF(D1603="","Unknown",IF(D1603&lt;25,"Under 25",IF(D1603&lt;35,"25-34",IF(D1603&lt;45,"35-44",IF(D1603&lt;55,"45-54","55+")))))</f>
        <v>25-34</v>
      </c>
      <c r="R1603" s="13" t="str">
        <f aca="false">IF(P1603&lt;1,"0-1 yrs",IF(P1603&lt;3,"1-3 yrs",IF(P1603&lt;5,"3-5 yrs",IF(P1603&lt;10,"5-10 yrs","10+ yrs"))))</f>
        <v>1-3 yrs</v>
      </c>
      <c r="S1603" s="13" t="str">
        <f aca="false">IF(I1603&gt;=4,"High",IF(I1603=3,"Medium","Low"))</f>
        <v>Medium</v>
      </c>
      <c r="T1603" s="13" t="str">
        <f aca="false">IF(M1603=1,YEAR(C1603),"")</f>
        <v/>
      </c>
      <c r="U1603" s="13" t="str">
        <f aca="false">IF(M1603=1,YEAR(C1603)&amp;"-Q"&amp;ROUNDUP(MONTH(C1603)/3,0),"")</f>
        <v/>
      </c>
      <c r="V1603" s="13" t="str">
        <f aca="false">IF(M1603=1,MONTH(C1603),"")</f>
        <v/>
      </c>
    </row>
    <row r="1604" customFormat="false" ht="15" hidden="false" customHeight="false" outlineLevel="0" collapsed="false">
      <c r="A1604" s="13" t="str">
        <f aca="false">TRIM(Raw_Data!A1604)</f>
        <v>EMP1603</v>
      </c>
      <c r="B1604" s="14" t="n">
        <f aca="false">Raw_Data!B1604</f>
        <v>45199</v>
      </c>
      <c r="C1604" s="14" t="str">
        <f aca="false">IF(Raw_Data!C1604="","",Raw_Data!C1604)</f>
        <v/>
      </c>
      <c r="D1604" s="13" t="n">
        <f aca="false">IF(Raw_Data!D1604="","",Raw_Data!D1604)</f>
        <v>37</v>
      </c>
      <c r="E1604" s="13" t="str">
        <f aca="false">IF(UPPER(LEFT(TRIM(Raw_Data!E1604),1))="M","Male",IF(UPPER(LEFT(TRIM(Raw_Data!E1604),1))="F","Female","Unknown"))</f>
        <v>Male</v>
      </c>
      <c r="F1604" s="13" t="str">
        <f aca="false">PROPER(TRIM(SUBSTITUTE(Raw_Data!F1604,"'","")))</f>
        <v>Bachelors</v>
      </c>
      <c r="G1604" s="13" t="str">
        <f aca="false">PROPER(TRIM(Raw_Data!G1604))</f>
        <v>Sales</v>
      </c>
      <c r="H1604" s="13" t="str">
        <f aca="false">PROPER(TRIM(Raw_Data!H1604))</f>
        <v>Team Lead</v>
      </c>
      <c r="I1604" s="13" t="n">
        <f aca="false">IF(Raw_Data!I1604="",DefaultPerf,Raw_Data!I1604)</f>
        <v>3</v>
      </c>
      <c r="J1604" s="13" t="n">
        <f aca="false">IF(Raw_Data!J1604="",DefaultSat,Raw_Data!J1604)</f>
        <v>4</v>
      </c>
      <c r="K1604" s="15" t="n">
        <f aca="false">Raw_Data!K1604</f>
        <v>123500</v>
      </c>
      <c r="L1604" s="13" t="str">
        <f aca="false">PROPER(TRIM(Raw_Data!N1604))</f>
        <v>No</v>
      </c>
      <c r="M1604" s="13" t="n">
        <f aca="false">IF(C1604="",0,1)</f>
        <v>0</v>
      </c>
      <c r="N1604" s="13" t="str">
        <f aca="false">IF(M1604=0,"Active",IF(TRIM(Raw_Data!L1604)="","Unknown",PROPER(TRIM(Raw_Data!L1604))))</f>
        <v>Active</v>
      </c>
      <c r="O1604" s="13" t="str">
        <f aca="false">IF(M1604=0,"",IF(TRIM(Raw_Data!M1604)="","Not Recorded",TRIM(Raw_Data!M1604)))</f>
        <v/>
      </c>
      <c r="P1604" s="16" t="n">
        <f aca="false">ROUND((IF(C1604="",AsOfDate,C1604)-B1604)/365.25,2)</f>
        <v>2.25</v>
      </c>
      <c r="Q1604" s="13" t="str">
        <f aca="false">IF(D1604="","Unknown",IF(D1604&lt;25,"Under 25",IF(D1604&lt;35,"25-34",IF(D1604&lt;45,"35-44",IF(D1604&lt;55,"45-54","55+")))))</f>
        <v>35-44</v>
      </c>
      <c r="R1604" s="13" t="str">
        <f aca="false">IF(P1604&lt;1,"0-1 yrs",IF(P1604&lt;3,"1-3 yrs",IF(P1604&lt;5,"3-5 yrs",IF(P1604&lt;10,"5-10 yrs","10+ yrs"))))</f>
        <v>1-3 yrs</v>
      </c>
      <c r="S1604" s="13" t="str">
        <f aca="false">IF(I1604&gt;=4,"High",IF(I1604=3,"Medium","Low"))</f>
        <v>Medium</v>
      </c>
      <c r="T1604" s="13" t="str">
        <f aca="false">IF(M1604=1,YEAR(C1604),"")</f>
        <v/>
      </c>
      <c r="U1604" s="13" t="str">
        <f aca="false">IF(M1604=1,YEAR(C1604)&amp;"-Q"&amp;ROUNDUP(MONTH(C1604)/3,0),"")</f>
        <v/>
      </c>
      <c r="V1604" s="13" t="str">
        <f aca="false">IF(M1604=1,MONTH(C1604),"")</f>
        <v/>
      </c>
    </row>
    <row r="1605" customFormat="false" ht="15" hidden="false" customHeight="false" outlineLevel="0" collapsed="false">
      <c r="A1605" s="13" t="str">
        <f aca="false">TRIM(Raw_Data!A1605)</f>
        <v>EMP1604</v>
      </c>
      <c r="B1605" s="14" t="n">
        <f aca="false">Raw_Data!B1605</f>
        <v>45201</v>
      </c>
      <c r="C1605" s="14" t="n">
        <f aca="false">IF(Raw_Data!C1605="","",Raw_Data!C1605)</f>
        <v>45259</v>
      </c>
      <c r="D1605" s="13" t="n">
        <f aca="false">IF(Raw_Data!D1605="","",Raw_Data!D1605)</f>
        <v>31</v>
      </c>
      <c r="E1605" s="13" t="str">
        <f aca="false">IF(UPPER(LEFT(TRIM(Raw_Data!E1605),1))="M","Male",IF(UPPER(LEFT(TRIM(Raw_Data!E1605),1))="F","Female","Unknown"))</f>
        <v>Female</v>
      </c>
      <c r="F1605" s="13" t="str">
        <f aca="false">PROPER(TRIM(SUBSTITUTE(Raw_Data!F1605,"'","")))</f>
        <v>Bachelors</v>
      </c>
      <c r="G1605" s="13" t="str">
        <f aca="false">PROPER(TRIM(Raw_Data!G1605))</f>
        <v>Customer Support</v>
      </c>
      <c r="H1605" s="13" t="str">
        <f aca="false">PROPER(TRIM(Raw_Data!H1605))</f>
        <v>Associate</v>
      </c>
      <c r="I1605" s="13" t="n">
        <f aca="false">IF(Raw_Data!I1605="",DefaultPerf,Raw_Data!I1605)</f>
        <v>3</v>
      </c>
      <c r="J1605" s="13" t="n">
        <f aca="false">IF(Raw_Data!J1605="",DefaultSat,Raw_Data!J1605)</f>
        <v>1</v>
      </c>
      <c r="K1605" s="15" t="n">
        <f aca="false">Raw_Data!K1605</f>
        <v>33500</v>
      </c>
      <c r="L1605" s="13" t="str">
        <f aca="false">PROPER(TRIM(Raw_Data!N1605))</f>
        <v>No</v>
      </c>
      <c r="M1605" s="13" t="n">
        <f aca="false">IF(C1605="",0,1)</f>
        <v>1</v>
      </c>
      <c r="N1605" s="13" t="str">
        <f aca="false">IF(M1605=0,"Active",IF(TRIM(Raw_Data!L1605)="","Unknown",PROPER(TRIM(Raw_Data!L1605))))</f>
        <v>Involuntary</v>
      </c>
      <c r="O1605" s="13" t="str">
        <f aca="false">IF(M1605=0,"",IF(TRIM(Raw_Data!M1605)="","Not Recorded",TRIM(Raw_Data!M1605)))</f>
        <v>Restructuring / Layoff</v>
      </c>
      <c r="P1605" s="16" t="n">
        <f aca="false">ROUND((IF(C1605="",AsOfDate,C1605)-B1605)/365.25,2)</f>
        <v>0.16</v>
      </c>
      <c r="Q1605" s="13" t="str">
        <f aca="false">IF(D1605="","Unknown",IF(D1605&lt;25,"Under 25",IF(D1605&lt;35,"25-34",IF(D1605&lt;45,"35-44",IF(D1605&lt;55,"45-54","55+")))))</f>
        <v>25-34</v>
      </c>
      <c r="R1605" s="13" t="str">
        <f aca="false">IF(P1605&lt;1,"0-1 yrs",IF(P1605&lt;3,"1-3 yrs",IF(P1605&lt;5,"3-5 yrs",IF(P1605&lt;10,"5-10 yrs","10+ yrs"))))</f>
        <v>0-1 yrs</v>
      </c>
      <c r="S1605" s="13" t="str">
        <f aca="false">IF(I1605&gt;=4,"High",IF(I1605=3,"Medium","Low"))</f>
        <v>Medium</v>
      </c>
      <c r="T1605" s="13" t="n">
        <f aca="false">IF(M1605=1,YEAR(C1605),"")</f>
        <v>2023</v>
      </c>
      <c r="U1605" s="13" t="str">
        <f aca="false">IF(M1605=1,YEAR(C1605)&amp;"-Q"&amp;ROUNDUP(MONTH(C1605)/3,0),"")</f>
        <v>2023-Q4</v>
      </c>
      <c r="V1605" s="13" t="n">
        <f aca="false">IF(M1605=1,MONTH(C1605),"")</f>
        <v>11</v>
      </c>
    </row>
    <row r="1606" customFormat="false" ht="15" hidden="false" customHeight="false" outlineLevel="0" collapsed="false">
      <c r="A1606" s="13" t="str">
        <f aca="false">TRIM(Raw_Data!A1606)</f>
        <v>EMP1605</v>
      </c>
      <c r="B1606" s="14" t="n">
        <f aca="false">Raw_Data!B1606</f>
        <v>45203</v>
      </c>
      <c r="C1606" s="14" t="str">
        <f aca="false">IF(Raw_Data!C1606="","",Raw_Data!C1606)</f>
        <v/>
      </c>
      <c r="D1606" s="13" t="n">
        <f aca="false">IF(Raw_Data!D1606="","",Raw_Data!D1606)</f>
        <v>33</v>
      </c>
      <c r="E1606" s="13" t="str">
        <f aca="false">IF(UPPER(LEFT(TRIM(Raw_Data!E1606),1))="M","Male",IF(UPPER(LEFT(TRIM(Raw_Data!E1606),1))="F","Female","Unknown"))</f>
        <v>Male</v>
      </c>
      <c r="F1606" s="13" t="str">
        <f aca="false">PROPER(TRIM(SUBSTITUTE(Raw_Data!F1606,"'","")))</f>
        <v>Masters</v>
      </c>
      <c r="G1606" s="13" t="str">
        <f aca="false">PROPER(TRIM(Raw_Data!G1606))</f>
        <v>Operations</v>
      </c>
      <c r="H1606" s="13" t="str">
        <f aca="false">PROPER(TRIM(Raw_Data!H1606))</f>
        <v>Associate</v>
      </c>
      <c r="I1606" s="13" t="n">
        <f aca="false">IF(Raw_Data!I1606="",DefaultPerf,Raw_Data!I1606)</f>
        <v>4</v>
      </c>
      <c r="J1606" s="13" t="n">
        <f aca="false">IF(Raw_Data!J1606="",DefaultSat,Raw_Data!J1606)</f>
        <v>2</v>
      </c>
      <c r="K1606" s="15" t="n">
        <f aca="false">Raw_Data!K1606</f>
        <v>42500</v>
      </c>
      <c r="L1606" s="13" t="str">
        <f aca="false">PROPER(TRIM(Raw_Data!N1606))</f>
        <v>No</v>
      </c>
      <c r="M1606" s="13" t="n">
        <f aca="false">IF(C1606="",0,1)</f>
        <v>0</v>
      </c>
      <c r="N1606" s="13" t="str">
        <f aca="false">IF(M1606=0,"Active",IF(TRIM(Raw_Data!L1606)="","Unknown",PROPER(TRIM(Raw_Data!L1606))))</f>
        <v>Active</v>
      </c>
      <c r="O1606" s="13" t="str">
        <f aca="false">IF(M1606=0,"",IF(TRIM(Raw_Data!M1606)="","Not Recorded",TRIM(Raw_Data!M1606)))</f>
        <v/>
      </c>
      <c r="P1606" s="16" t="n">
        <f aca="false">ROUND((IF(C1606="",AsOfDate,C1606)-B1606)/365.25,2)</f>
        <v>2.24</v>
      </c>
      <c r="Q1606" s="13" t="str">
        <f aca="false">IF(D1606="","Unknown",IF(D1606&lt;25,"Under 25",IF(D1606&lt;35,"25-34",IF(D1606&lt;45,"35-44",IF(D1606&lt;55,"45-54","55+")))))</f>
        <v>25-34</v>
      </c>
      <c r="R1606" s="13" t="str">
        <f aca="false">IF(P1606&lt;1,"0-1 yrs",IF(P1606&lt;3,"1-3 yrs",IF(P1606&lt;5,"3-5 yrs",IF(P1606&lt;10,"5-10 yrs","10+ yrs"))))</f>
        <v>1-3 yrs</v>
      </c>
      <c r="S1606" s="13" t="str">
        <f aca="false">IF(I1606&gt;=4,"High",IF(I1606=3,"Medium","Low"))</f>
        <v>High</v>
      </c>
      <c r="T1606" s="13" t="str">
        <f aca="false">IF(M1606=1,YEAR(C1606),"")</f>
        <v/>
      </c>
      <c r="U1606" s="13" t="str">
        <f aca="false">IF(M1606=1,YEAR(C1606)&amp;"-Q"&amp;ROUNDUP(MONTH(C1606)/3,0),"")</f>
        <v/>
      </c>
      <c r="V1606" s="13" t="str">
        <f aca="false">IF(M1606=1,MONTH(C1606),"")</f>
        <v/>
      </c>
    </row>
    <row r="1607" customFormat="false" ht="15" hidden="false" customHeight="false" outlineLevel="0" collapsed="false">
      <c r="A1607" s="13" t="str">
        <f aca="false">TRIM(Raw_Data!A1607)</f>
        <v>EMP1606</v>
      </c>
      <c r="B1607" s="14" t="n">
        <f aca="false">Raw_Data!B1607</f>
        <v>45203</v>
      </c>
      <c r="C1607" s="14" t="n">
        <f aca="false">IF(Raw_Data!C1607="","",Raw_Data!C1607)</f>
        <v>45888</v>
      </c>
      <c r="D1607" s="13" t="n">
        <f aca="false">IF(Raw_Data!D1607="","",Raw_Data!D1607)</f>
        <v>29</v>
      </c>
      <c r="E1607" s="13" t="str">
        <f aca="false">IF(UPPER(LEFT(TRIM(Raw_Data!E1607),1))="M","Male",IF(UPPER(LEFT(TRIM(Raw_Data!E1607),1))="F","Female","Unknown"))</f>
        <v>Female</v>
      </c>
      <c r="F1607" s="13" t="str">
        <f aca="false">PROPER(TRIM(SUBSTITUTE(Raw_Data!F1607,"'","")))</f>
        <v>Masters</v>
      </c>
      <c r="G1607" s="13" t="str">
        <f aca="false">PROPER(TRIM(Raw_Data!G1607))</f>
        <v>Engineering</v>
      </c>
      <c r="H1607" s="13" t="str">
        <f aca="false">PROPER(TRIM(Raw_Data!H1607))</f>
        <v>Specialist</v>
      </c>
      <c r="I1607" s="13" t="n">
        <f aca="false">IF(Raw_Data!I1607="",DefaultPerf,Raw_Data!I1607)</f>
        <v>4</v>
      </c>
      <c r="J1607" s="13" t="n">
        <f aca="false">IF(Raw_Data!J1607="",DefaultSat,Raw_Data!J1607)</f>
        <v>1</v>
      </c>
      <c r="K1607" s="15" t="n">
        <f aca="false">Raw_Data!K1607</f>
        <v>85500</v>
      </c>
      <c r="L1607" s="13" t="str">
        <f aca="false">PROPER(TRIM(Raw_Data!N1607))</f>
        <v>No</v>
      </c>
      <c r="M1607" s="13" t="n">
        <f aca="false">IF(C1607="",0,1)</f>
        <v>1</v>
      </c>
      <c r="N1607" s="13" t="str">
        <f aca="false">IF(M1607=0,"Active",IF(TRIM(Raw_Data!L1607)="","Unknown",PROPER(TRIM(Raw_Data!L1607))))</f>
        <v>Voluntary</v>
      </c>
      <c r="O1607" s="13" t="str">
        <f aca="false">IF(M1607=0,"",IF(TRIM(Raw_Data!M1607)="","Not Recorded",TRIM(Raw_Data!M1607)))</f>
        <v>Better Compensation</v>
      </c>
      <c r="P1607" s="16" t="n">
        <f aca="false">ROUND((IF(C1607="",AsOfDate,C1607)-B1607)/365.25,2)</f>
        <v>1.88</v>
      </c>
      <c r="Q1607" s="13" t="str">
        <f aca="false">IF(D1607="","Unknown",IF(D1607&lt;25,"Under 25",IF(D1607&lt;35,"25-34",IF(D1607&lt;45,"35-44",IF(D1607&lt;55,"45-54","55+")))))</f>
        <v>25-34</v>
      </c>
      <c r="R1607" s="13" t="str">
        <f aca="false">IF(P1607&lt;1,"0-1 yrs",IF(P1607&lt;3,"1-3 yrs",IF(P1607&lt;5,"3-5 yrs",IF(P1607&lt;10,"5-10 yrs","10+ yrs"))))</f>
        <v>1-3 yrs</v>
      </c>
      <c r="S1607" s="13" t="str">
        <f aca="false">IF(I1607&gt;=4,"High",IF(I1607=3,"Medium","Low"))</f>
        <v>High</v>
      </c>
      <c r="T1607" s="13" t="n">
        <f aca="false">IF(M1607=1,YEAR(C1607),"")</f>
        <v>2025</v>
      </c>
      <c r="U1607" s="13" t="str">
        <f aca="false">IF(M1607=1,YEAR(C1607)&amp;"-Q"&amp;ROUNDUP(MONTH(C1607)/3,0),"")</f>
        <v>2025-Q3</v>
      </c>
      <c r="V1607" s="13" t="n">
        <f aca="false">IF(M1607=1,MONTH(C1607),"")</f>
        <v>8</v>
      </c>
    </row>
    <row r="1608" customFormat="false" ht="15" hidden="false" customHeight="false" outlineLevel="0" collapsed="false">
      <c r="A1608" s="13" t="str">
        <f aca="false">TRIM(Raw_Data!A1608)</f>
        <v>EMP1607</v>
      </c>
      <c r="B1608" s="14" t="n">
        <f aca="false">Raw_Data!B1608</f>
        <v>45204</v>
      </c>
      <c r="C1608" s="14" t="str">
        <f aca="false">IF(Raw_Data!C1608="","",Raw_Data!C1608)</f>
        <v/>
      </c>
      <c r="D1608" s="13" t="n">
        <f aca="false">IF(Raw_Data!D1608="","",Raw_Data!D1608)</f>
        <v>28</v>
      </c>
      <c r="E1608" s="13" t="str">
        <f aca="false">IF(UPPER(LEFT(TRIM(Raw_Data!E1608),1))="M","Male",IF(UPPER(LEFT(TRIM(Raw_Data!E1608),1))="F","Female","Unknown"))</f>
        <v>Female</v>
      </c>
      <c r="F1608" s="13" t="str">
        <f aca="false">PROPER(TRIM(SUBSTITUTE(Raw_Data!F1608,"'","")))</f>
        <v>Masters</v>
      </c>
      <c r="G1608" s="13" t="str">
        <f aca="false">PROPER(TRIM(Raw_Data!G1608))</f>
        <v>Finance</v>
      </c>
      <c r="H1608" s="13" t="str">
        <f aca="false">PROPER(TRIM(Raw_Data!H1608))</f>
        <v>Senior Analyst</v>
      </c>
      <c r="I1608" s="13" t="n">
        <f aca="false">IF(Raw_Data!I1608="",DefaultPerf,Raw_Data!I1608)</f>
        <v>3</v>
      </c>
      <c r="J1608" s="13" t="n">
        <f aca="false">IF(Raw_Data!J1608="",DefaultSat,Raw_Data!J1608)</f>
        <v>4</v>
      </c>
      <c r="K1608" s="15" t="n">
        <f aca="false">Raw_Data!K1608</f>
        <v>84000</v>
      </c>
      <c r="L1608" s="13" t="str">
        <f aca="false">PROPER(TRIM(Raw_Data!N1608))</f>
        <v>Yes</v>
      </c>
      <c r="M1608" s="13" t="n">
        <f aca="false">IF(C1608="",0,1)</f>
        <v>0</v>
      </c>
      <c r="N1608" s="13" t="str">
        <f aca="false">IF(M1608=0,"Active",IF(TRIM(Raw_Data!L1608)="","Unknown",PROPER(TRIM(Raw_Data!L1608))))</f>
        <v>Active</v>
      </c>
      <c r="O1608" s="13" t="str">
        <f aca="false">IF(M1608=0,"",IF(TRIM(Raw_Data!M1608)="","Not Recorded",TRIM(Raw_Data!M1608)))</f>
        <v/>
      </c>
      <c r="P1608" s="16" t="n">
        <f aca="false">ROUND((IF(C1608="",AsOfDate,C1608)-B1608)/365.25,2)</f>
        <v>2.24</v>
      </c>
      <c r="Q1608" s="13" t="str">
        <f aca="false">IF(D1608="","Unknown",IF(D1608&lt;25,"Under 25",IF(D1608&lt;35,"25-34",IF(D1608&lt;45,"35-44",IF(D1608&lt;55,"45-54","55+")))))</f>
        <v>25-34</v>
      </c>
      <c r="R1608" s="13" t="str">
        <f aca="false">IF(P1608&lt;1,"0-1 yrs",IF(P1608&lt;3,"1-3 yrs",IF(P1608&lt;5,"3-5 yrs",IF(P1608&lt;10,"5-10 yrs","10+ yrs"))))</f>
        <v>1-3 yrs</v>
      </c>
      <c r="S1608" s="13" t="str">
        <f aca="false">IF(I1608&gt;=4,"High",IF(I1608=3,"Medium","Low"))</f>
        <v>Medium</v>
      </c>
      <c r="T1608" s="13" t="str">
        <f aca="false">IF(M1608=1,YEAR(C1608),"")</f>
        <v/>
      </c>
      <c r="U1608" s="13" t="str">
        <f aca="false">IF(M1608=1,YEAR(C1608)&amp;"-Q"&amp;ROUNDUP(MONTH(C1608)/3,0),"")</f>
        <v/>
      </c>
      <c r="V1608" s="13" t="str">
        <f aca="false">IF(M1608=1,MONTH(C1608),"")</f>
        <v/>
      </c>
    </row>
    <row r="1609" customFormat="false" ht="15" hidden="false" customHeight="false" outlineLevel="0" collapsed="false">
      <c r="A1609" s="13" t="str">
        <f aca="false">TRIM(Raw_Data!A1609)</f>
        <v>EMP1608</v>
      </c>
      <c r="B1609" s="14" t="n">
        <f aca="false">Raw_Data!B1609</f>
        <v>45205</v>
      </c>
      <c r="C1609" s="14" t="str">
        <f aca="false">IF(Raw_Data!C1609="","",Raw_Data!C1609)</f>
        <v/>
      </c>
      <c r="D1609" s="13" t="n">
        <f aca="false">IF(Raw_Data!D1609="","",Raw_Data!D1609)</f>
        <v>33</v>
      </c>
      <c r="E1609" s="13" t="str">
        <f aca="false">IF(UPPER(LEFT(TRIM(Raw_Data!E1609),1))="M","Male",IF(UPPER(LEFT(TRIM(Raw_Data!E1609),1))="F","Female","Unknown"))</f>
        <v>Male</v>
      </c>
      <c r="F1609" s="13" t="str">
        <f aca="false">PROPER(TRIM(SUBSTITUTE(Raw_Data!F1609,"'","")))</f>
        <v>Masters</v>
      </c>
      <c r="G1609" s="13" t="str">
        <f aca="false">PROPER(TRIM(Raw_Data!G1609))</f>
        <v>Operations</v>
      </c>
      <c r="H1609" s="13" t="str">
        <f aca="false">PROPER(TRIM(Raw_Data!H1609))</f>
        <v>Senior Analyst</v>
      </c>
      <c r="I1609" s="13" t="n">
        <f aca="false">IF(Raw_Data!I1609="",DefaultPerf,Raw_Data!I1609)</f>
        <v>3</v>
      </c>
      <c r="J1609" s="13" t="n">
        <f aca="false">IF(Raw_Data!J1609="",DefaultSat,Raw_Data!J1609)</f>
        <v>4</v>
      </c>
      <c r="K1609" s="15" t="n">
        <f aca="false">Raw_Data!K1609</f>
        <v>92500</v>
      </c>
      <c r="L1609" s="13" t="str">
        <f aca="false">PROPER(TRIM(Raw_Data!N1609))</f>
        <v>No</v>
      </c>
      <c r="M1609" s="13" t="n">
        <f aca="false">IF(C1609="",0,1)</f>
        <v>0</v>
      </c>
      <c r="N1609" s="13" t="str">
        <f aca="false">IF(M1609=0,"Active",IF(TRIM(Raw_Data!L1609)="","Unknown",PROPER(TRIM(Raw_Data!L1609))))</f>
        <v>Active</v>
      </c>
      <c r="O1609" s="13" t="str">
        <f aca="false">IF(M1609=0,"",IF(TRIM(Raw_Data!M1609)="","Not Recorded",TRIM(Raw_Data!M1609)))</f>
        <v/>
      </c>
      <c r="P1609" s="16" t="n">
        <f aca="false">ROUND((IF(C1609="",AsOfDate,C1609)-B1609)/365.25,2)</f>
        <v>2.24</v>
      </c>
      <c r="Q1609" s="13" t="str">
        <f aca="false">IF(D1609="","Unknown",IF(D1609&lt;25,"Under 25",IF(D1609&lt;35,"25-34",IF(D1609&lt;45,"35-44",IF(D1609&lt;55,"45-54","55+")))))</f>
        <v>25-34</v>
      </c>
      <c r="R1609" s="13" t="str">
        <f aca="false">IF(P1609&lt;1,"0-1 yrs",IF(P1609&lt;3,"1-3 yrs",IF(P1609&lt;5,"3-5 yrs",IF(P1609&lt;10,"5-10 yrs","10+ yrs"))))</f>
        <v>1-3 yrs</v>
      </c>
      <c r="S1609" s="13" t="str">
        <f aca="false">IF(I1609&gt;=4,"High",IF(I1609=3,"Medium","Low"))</f>
        <v>Medium</v>
      </c>
      <c r="T1609" s="13" t="str">
        <f aca="false">IF(M1609=1,YEAR(C1609),"")</f>
        <v/>
      </c>
      <c r="U1609" s="13" t="str">
        <f aca="false">IF(M1609=1,YEAR(C1609)&amp;"-Q"&amp;ROUNDUP(MONTH(C1609)/3,0),"")</f>
        <v/>
      </c>
      <c r="V1609" s="13" t="str">
        <f aca="false">IF(M1609=1,MONTH(C1609),"")</f>
        <v/>
      </c>
    </row>
    <row r="1610" customFormat="false" ht="15" hidden="false" customHeight="false" outlineLevel="0" collapsed="false">
      <c r="A1610" s="13" t="str">
        <f aca="false">TRIM(Raw_Data!A1610)</f>
        <v>EMP1609</v>
      </c>
      <c r="B1610" s="14" t="n">
        <f aca="false">Raw_Data!B1610</f>
        <v>45205</v>
      </c>
      <c r="C1610" s="14" t="n">
        <f aca="false">IF(Raw_Data!C1610="","",Raw_Data!C1610)</f>
        <v>45557</v>
      </c>
      <c r="D1610" s="13" t="n">
        <f aca="false">IF(Raw_Data!D1610="","",Raw_Data!D1610)</f>
        <v>29</v>
      </c>
      <c r="E1610" s="13" t="str">
        <f aca="false">IF(UPPER(LEFT(TRIM(Raw_Data!E1610),1))="M","Male",IF(UPPER(LEFT(TRIM(Raw_Data!E1610),1))="F","Female","Unknown"))</f>
        <v>Female</v>
      </c>
      <c r="F1610" s="13" t="str">
        <f aca="false">PROPER(TRIM(SUBSTITUTE(Raw_Data!F1610,"'","")))</f>
        <v>Diploma</v>
      </c>
      <c r="G1610" s="13" t="str">
        <f aca="false">PROPER(TRIM(Raw_Data!G1610))</f>
        <v>Operations</v>
      </c>
      <c r="H1610" s="13" t="str">
        <f aca="false">PROPER(TRIM(Raw_Data!H1610))</f>
        <v>Analyst</v>
      </c>
      <c r="I1610" s="13" t="n">
        <f aca="false">IF(Raw_Data!I1610="",DefaultPerf,Raw_Data!I1610)</f>
        <v>2</v>
      </c>
      <c r="J1610" s="13" t="n">
        <f aca="false">IF(Raw_Data!J1610="",DefaultSat,Raw_Data!J1610)</f>
        <v>3</v>
      </c>
      <c r="K1610" s="15" t="n">
        <f aca="false">Raw_Data!K1610</f>
        <v>51500</v>
      </c>
      <c r="L1610" s="13" t="str">
        <f aca="false">PROPER(TRIM(Raw_Data!N1610))</f>
        <v>No</v>
      </c>
      <c r="M1610" s="13" t="n">
        <f aca="false">IF(C1610="",0,1)</f>
        <v>1</v>
      </c>
      <c r="N1610" s="13" t="str">
        <f aca="false">IF(M1610=0,"Active",IF(TRIM(Raw_Data!L1610)="","Unknown",PROPER(TRIM(Raw_Data!L1610))))</f>
        <v>Voluntary</v>
      </c>
      <c r="O1610" s="13" t="str">
        <f aca="false">IF(M1610=0,"",IF(TRIM(Raw_Data!M1610)="","Not Recorded",TRIM(Raw_Data!M1610)))</f>
        <v>Relocation</v>
      </c>
      <c r="P1610" s="16" t="n">
        <f aca="false">ROUND((IF(C1610="",AsOfDate,C1610)-B1610)/365.25,2)</f>
        <v>0.96</v>
      </c>
      <c r="Q1610" s="13" t="str">
        <f aca="false">IF(D1610="","Unknown",IF(D1610&lt;25,"Under 25",IF(D1610&lt;35,"25-34",IF(D1610&lt;45,"35-44",IF(D1610&lt;55,"45-54","55+")))))</f>
        <v>25-34</v>
      </c>
      <c r="R1610" s="13" t="str">
        <f aca="false">IF(P1610&lt;1,"0-1 yrs",IF(P1610&lt;3,"1-3 yrs",IF(P1610&lt;5,"3-5 yrs",IF(P1610&lt;10,"5-10 yrs","10+ yrs"))))</f>
        <v>0-1 yrs</v>
      </c>
      <c r="S1610" s="13" t="str">
        <f aca="false">IF(I1610&gt;=4,"High",IF(I1610=3,"Medium","Low"))</f>
        <v>Low</v>
      </c>
      <c r="T1610" s="13" t="n">
        <f aca="false">IF(M1610=1,YEAR(C1610),"")</f>
        <v>2024</v>
      </c>
      <c r="U1610" s="13" t="str">
        <f aca="false">IF(M1610=1,YEAR(C1610)&amp;"-Q"&amp;ROUNDUP(MONTH(C1610)/3,0),"")</f>
        <v>2024-Q3</v>
      </c>
      <c r="V1610" s="13" t="n">
        <f aca="false">IF(M1610=1,MONTH(C1610),"")</f>
        <v>9</v>
      </c>
    </row>
    <row r="1611" customFormat="false" ht="15" hidden="false" customHeight="false" outlineLevel="0" collapsed="false">
      <c r="A1611" s="13" t="str">
        <f aca="false">TRIM(Raw_Data!A1611)</f>
        <v>EMP1610</v>
      </c>
      <c r="B1611" s="14" t="n">
        <f aca="false">Raw_Data!B1611</f>
        <v>45206</v>
      </c>
      <c r="C1611" s="14" t="n">
        <f aca="false">IF(Raw_Data!C1611="","",Raw_Data!C1611)</f>
        <v>45764</v>
      </c>
      <c r="D1611" s="13" t="n">
        <f aca="false">IF(Raw_Data!D1611="","",Raw_Data!D1611)</f>
        <v>23</v>
      </c>
      <c r="E1611" s="13" t="str">
        <f aca="false">IF(UPPER(LEFT(TRIM(Raw_Data!E1611),1))="M","Male",IF(UPPER(LEFT(TRIM(Raw_Data!E1611),1))="F","Female","Unknown"))</f>
        <v>Male</v>
      </c>
      <c r="F1611" s="13" t="str">
        <f aca="false">PROPER(TRIM(SUBSTITUTE(Raw_Data!F1611,"'","")))</f>
        <v>Diploma</v>
      </c>
      <c r="G1611" s="13" t="str">
        <f aca="false">PROPER(TRIM(Raw_Data!G1611))</f>
        <v>Operations</v>
      </c>
      <c r="H1611" s="13" t="str">
        <f aca="false">PROPER(TRIM(Raw_Data!H1611))</f>
        <v>Senior Analyst</v>
      </c>
      <c r="I1611" s="13" t="n">
        <f aca="false">IF(Raw_Data!I1611="",DefaultPerf,Raw_Data!I1611)</f>
        <v>3</v>
      </c>
      <c r="J1611" s="13" t="n">
        <f aca="false">IF(Raw_Data!J1611="",DefaultSat,Raw_Data!J1611)</f>
        <v>3</v>
      </c>
      <c r="K1611" s="15" t="n">
        <f aca="false">Raw_Data!K1611</f>
        <v>89500</v>
      </c>
      <c r="L1611" s="13" t="str">
        <f aca="false">PROPER(TRIM(Raw_Data!N1611))</f>
        <v>No</v>
      </c>
      <c r="M1611" s="13" t="n">
        <f aca="false">IF(C1611="",0,1)</f>
        <v>1</v>
      </c>
      <c r="N1611" s="13" t="str">
        <f aca="false">IF(M1611=0,"Active",IF(TRIM(Raw_Data!L1611)="","Unknown",PROPER(TRIM(Raw_Data!L1611))))</f>
        <v>Voluntary</v>
      </c>
      <c r="O1611" s="13" t="str">
        <f aca="false">IF(M1611=0,"",IF(TRIM(Raw_Data!M1611)="","Not Recorded",TRIM(Raw_Data!M1611)))</f>
        <v>Career Growth</v>
      </c>
      <c r="P1611" s="16" t="n">
        <f aca="false">ROUND((IF(C1611="",AsOfDate,C1611)-B1611)/365.25,2)</f>
        <v>1.53</v>
      </c>
      <c r="Q1611" s="13" t="str">
        <f aca="false">IF(D1611="","Unknown",IF(D1611&lt;25,"Under 25",IF(D1611&lt;35,"25-34",IF(D1611&lt;45,"35-44",IF(D1611&lt;55,"45-54","55+")))))</f>
        <v>Under 25</v>
      </c>
      <c r="R1611" s="13" t="str">
        <f aca="false">IF(P1611&lt;1,"0-1 yrs",IF(P1611&lt;3,"1-3 yrs",IF(P1611&lt;5,"3-5 yrs",IF(P1611&lt;10,"5-10 yrs","10+ yrs"))))</f>
        <v>1-3 yrs</v>
      </c>
      <c r="S1611" s="13" t="str">
        <f aca="false">IF(I1611&gt;=4,"High",IF(I1611=3,"Medium","Low"))</f>
        <v>Medium</v>
      </c>
      <c r="T1611" s="13" t="n">
        <f aca="false">IF(M1611=1,YEAR(C1611),"")</f>
        <v>2025</v>
      </c>
      <c r="U1611" s="13" t="str">
        <f aca="false">IF(M1611=1,YEAR(C1611)&amp;"-Q"&amp;ROUNDUP(MONTH(C1611)/3,0),"")</f>
        <v>2025-Q2</v>
      </c>
      <c r="V1611" s="13" t="n">
        <f aca="false">IF(M1611=1,MONTH(C1611),"")</f>
        <v>4</v>
      </c>
    </row>
    <row r="1612" customFormat="false" ht="15" hidden="false" customHeight="false" outlineLevel="0" collapsed="false">
      <c r="A1612" s="13" t="str">
        <f aca="false">TRIM(Raw_Data!A1612)</f>
        <v>EMP1611</v>
      </c>
      <c r="B1612" s="14" t="n">
        <f aca="false">Raw_Data!B1612</f>
        <v>45208</v>
      </c>
      <c r="C1612" s="14" t="n">
        <f aca="false">IF(Raw_Data!C1612="","",Raw_Data!C1612)</f>
        <v>45735</v>
      </c>
      <c r="D1612" s="13" t="n">
        <f aca="false">IF(Raw_Data!D1612="","",Raw_Data!D1612)</f>
        <v>33</v>
      </c>
      <c r="E1612" s="13" t="str">
        <f aca="false">IF(UPPER(LEFT(TRIM(Raw_Data!E1612),1))="M","Male",IF(UPPER(LEFT(TRIM(Raw_Data!E1612),1))="F","Female","Unknown"))</f>
        <v>Male</v>
      </c>
      <c r="F1612" s="13" t="str">
        <f aca="false">PROPER(TRIM(SUBSTITUTE(Raw_Data!F1612,"'","")))</f>
        <v>Masters</v>
      </c>
      <c r="G1612" s="13" t="str">
        <f aca="false">PROPER(TRIM(Raw_Data!G1612))</f>
        <v>Sales</v>
      </c>
      <c r="H1612" s="13" t="str">
        <f aca="false">PROPER(TRIM(Raw_Data!H1612))</f>
        <v>Specialist</v>
      </c>
      <c r="I1612" s="13" t="n">
        <f aca="false">IF(Raw_Data!I1612="",DefaultPerf,Raw_Data!I1612)</f>
        <v>5</v>
      </c>
      <c r="J1612" s="13" t="n">
        <f aca="false">IF(Raw_Data!J1612="",DefaultSat,Raw_Data!J1612)</f>
        <v>2</v>
      </c>
      <c r="K1612" s="15" t="n">
        <f aca="false">Raw_Data!K1612</f>
        <v>118000</v>
      </c>
      <c r="L1612" s="13" t="str">
        <f aca="false">PROPER(TRIM(Raw_Data!N1612))</f>
        <v>Yes</v>
      </c>
      <c r="M1612" s="13" t="n">
        <f aca="false">IF(C1612="",0,1)</f>
        <v>1</v>
      </c>
      <c r="N1612" s="13" t="str">
        <f aca="false">IF(M1612=0,"Active",IF(TRIM(Raw_Data!L1612)="","Unknown",PROPER(TRIM(Raw_Data!L1612))))</f>
        <v>Voluntary</v>
      </c>
      <c r="O1612" s="13" t="str">
        <f aca="false">IF(M1612=0,"",IF(TRIM(Raw_Data!M1612)="","Not Recorded",TRIM(Raw_Data!M1612)))</f>
        <v>Further Studies</v>
      </c>
      <c r="P1612" s="16" t="n">
        <f aca="false">ROUND((IF(C1612="",AsOfDate,C1612)-B1612)/365.25,2)</f>
        <v>1.44</v>
      </c>
      <c r="Q1612" s="13" t="str">
        <f aca="false">IF(D1612="","Unknown",IF(D1612&lt;25,"Under 25",IF(D1612&lt;35,"25-34",IF(D1612&lt;45,"35-44",IF(D1612&lt;55,"45-54","55+")))))</f>
        <v>25-34</v>
      </c>
      <c r="R1612" s="13" t="str">
        <f aca="false">IF(P1612&lt;1,"0-1 yrs",IF(P1612&lt;3,"1-3 yrs",IF(P1612&lt;5,"3-5 yrs",IF(P1612&lt;10,"5-10 yrs","10+ yrs"))))</f>
        <v>1-3 yrs</v>
      </c>
      <c r="S1612" s="13" t="str">
        <f aca="false">IF(I1612&gt;=4,"High",IF(I1612=3,"Medium","Low"))</f>
        <v>High</v>
      </c>
      <c r="T1612" s="13" t="n">
        <f aca="false">IF(M1612=1,YEAR(C1612),"")</f>
        <v>2025</v>
      </c>
      <c r="U1612" s="13" t="str">
        <f aca="false">IF(M1612=1,YEAR(C1612)&amp;"-Q"&amp;ROUNDUP(MONTH(C1612)/3,0),"")</f>
        <v>2025-Q1</v>
      </c>
      <c r="V1612" s="13" t="n">
        <f aca="false">IF(M1612=1,MONTH(C1612),"")</f>
        <v>3</v>
      </c>
    </row>
    <row r="1613" customFormat="false" ht="15" hidden="false" customHeight="false" outlineLevel="0" collapsed="false">
      <c r="A1613" s="13" t="str">
        <f aca="false">TRIM(Raw_Data!A1613)</f>
        <v>EMP1612</v>
      </c>
      <c r="B1613" s="14" t="n">
        <f aca="false">Raw_Data!B1613</f>
        <v>45209</v>
      </c>
      <c r="C1613" s="14" t="str">
        <f aca="false">IF(Raw_Data!C1613="","",Raw_Data!C1613)</f>
        <v/>
      </c>
      <c r="D1613" s="13" t="n">
        <f aca="false">IF(Raw_Data!D1613="","",Raw_Data!D1613)</f>
        <v>31</v>
      </c>
      <c r="E1613" s="13" t="str">
        <f aca="false">IF(UPPER(LEFT(TRIM(Raw_Data!E1613),1))="M","Male",IF(UPPER(LEFT(TRIM(Raw_Data!E1613),1))="F","Female","Unknown"))</f>
        <v>Male</v>
      </c>
      <c r="F1613" s="13" t="str">
        <f aca="false">PROPER(TRIM(SUBSTITUTE(Raw_Data!F1613,"'","")))</f>
        <v>Bachelors</v>
      </c>
      <c r="G1613" s="13" t="str">
        <f aca="false">PROPER(TRIM(Raw_Data!G1613))</f>
        <v>Customer Support</v>
      </c>
      <c r="H1613" s="13" t="str">
        <f aca="false">PROPER(TRIM(Raw_Data!H1613))</f>
        <v>Analyst</v>
      </c>
      <c r="I1613" s="13" t="n">
        <f aca="false">IF(Raw_Data!I1613="",DefaultPerf,Raw_Data!I1613)</f>
        <v>4</v>
      </c>
      <c r="J1613" s="13" t="n">
        <f aca="false">IF(Raw_Data!J1613="",DefaultSat,Raw_Data!J1613)</f>
        <v>3</v>
      </c>
      <c r="K1613" s="15" t="n">
        <f aca="false">Raw_Data!K1613</f>
        <v>65000</v>
      </c>
      <c r="L1613" s="13" t="str">
        <f aca="false">PROPER(TRIM(Raw_Data!N1613))</f>
        <v>No</v>
      </c>
      <c r="M1613" s="13" t="n">
        <f aca="false">IF(C1613="",0,1)</f>
        <v>0</v>
      </c>
      <c r="N1613" s="13" t="str">
        <f aca="false">IF(M1613=0,"Active",IF(TRIM(Raw_Data!L1613)="","Unknown",PROPER(TRIM(Raw_Data!L1613))))</f>
        <v>Active</v>
      </c>
      <c r="O1613" s="13" t="str">
        <f aca="false">IF(M1613=0,"",IF(TRIM(Raw_Data!M1613)="","Not Recorded",TRIM(Raw_Data!M1613)))</f>
        <v/>
      </c>
      <c r="P1613" s="16" t="n">
        <f aca="false">ROUND((IF(C1613="",AsOfDate,C1613)-B1613)/365.25,2)</f>
        <v>2.23</v>
      </c>
      <c r="Q1613" s="13" t="str">
        <f aca="false">IF(D1613="","Unknown",IF(D1613&lt;25,"Under 25",IF(D1613&lt;35,"25-34",IF(D1613&lt;45,"35-44",IF(D1613&lt;55,"45-54","55+")))))</f>
        <v>25-34</v>
      </c>
      <c r="R1613" s="13" t="str">
        <f aca="false">IF(P1613&lt;1,"0-1 yrs",IF(P1613&lt;3,"1-3 yrs",IF(P1613&lt;5,"3-5 yrs",IF(P1613&lt;10,"5-10 yrs","10+ yrs"))))</f>
        <v>1-3 yrs</v>
      </c>
      <c r="S1613" s="13" t="str">
        <f aca="false">IF(I1613&gt;=4,"High",IF(I1613=3,"Medium","Low"))</f>
        <v>High</v>
      </c>
      <c r="T1613" s="13" t="str">
        <f aca="false">IF(M1613=1,YEAR(C1613),"")</f>
        <v/>
      </c>
      <c r="U1613" s="13" t="str">
        <f aca="false">IF(M1613=1,YEAR(C1613)&amp;"-Q"&amp;ROUNDUP(MONTH(C1613)/3,0),"")</f>
        <v/>
      </c>
      <c r="V1613" s="13" t="str">
        <f aca="false">IF(M1613=1,MONTH(C1613),"")</f>
        <v/>
      </c>
    </row>
    <row r="1614" customFormat="false" ht="15" hidden="false" customHeight="false" outlineLevel="0" collapsed="false">
      <c r="A1614" s="13" t="str">
        <f aca="false">TRIM(Raw_Data!A1614)</f>
        <v>EMP1613</v>
      </c>
      <c r="B1614" s="14" t="n">
        <f aca="false">Raw_Data!B1614</f>
        <v>45209</v>
      </c>
      <c r="C1614" s="14" t="n">
        <f aca="false">IF(Raw_Data!C1614="","",Raw_Data!C1614)</f>
        <v>45932</v>
      </c>
      <c r="D1614" s="13" t="n">
        <f aca="false">IF(Raw_Data!D1614="","",Raw_Data!D1614)</f>
        <v>34</v>
      </c>
      <c r="E1614" s="13" t="str">
        <f aca="false">IF(UPPER(LEFT(TRIM(Raw_Data!E1614),1))="M","Male",IF(UPPER(LEFT(TRIM(Raw_Data!E1614),1))="F","Female","Unknown"))</f>
        <v>Female</v>
      </c>
      <c r="F1614" s="13" t="str">
        <f aca="false">PROPER(TRIM(SUBSTITUTE(Raw_Data!F1614,"'","")))</f>
        <v>Masters</v>
      </c>
      <c r="G1614" s="13" t="str">
        <f aca="false">PROPER(TRIM(Raw_Data!G1614))</f>
        <v>Engineering</v>
      </c>
      <c r="H1614" s="13" t="str">
        <f aca="false">PROPER(TRIM(Raw_Data!H1614))</f>
        <v>Analyst</v>
      </c>
      <c r="I1614" s="13" t="n">
        <f aca="false">IF(Raw_Data!I1614="",DefaultPerf,Raw_Data!I1614)</f>
        <v>3</v>
      </c>
      <c r="J1614" s="13" t="n">
        <f aca="false">IF(Raw_Data!J1614="",DefaultSat,Raw_Data!J1614)</f>
        <v>3</v>
      </c>
      <c r="K1614" s="15" t="n">
        <f aca="false">Raw_Data!K1614</f>
        <v>57000</v>
      </c>
      <c r="L1614" s="13" t="str">
        <f aca="false">PROPER(TRIM(Raw_Data!N1614))</f>
        <v>No</v>
      </c>
      <c r="M1614" s="13" t="n">
        <f aca="false">IF(C1614="",0,1)</f>
        <v>1</v>
      </c>
      <c r="N1614" s="13" t="str">
        <f aca="false">IF(M1614=0,"Active",IF(TRIM(Raw_Data!L1614)="","Unknown",PROPER(TRIM(Raw_Data!L1614))))</f>
        <v>Voluntary</v>
      </c>
      <c r="O1614" s="13" t="str">
        <f aca="false">IF(M1614=0,"",IF(TRIM(Raw_Data!M1614)="","Not Recorded",TRIM(Raw_Data!M1614)))</f>
        <v>Work-Life Balance</v>
      </c>
      <c r="P1614" s="16" t="n">
        <f aca="false">ROUND((IF(C1614="",AsOfDate,C1614)-B1614)/365.25,2)</f>
        <v>1.98</v>
      </c>
      <c r="Q1614" s="13" t="str">
        <f aca="false">IF(D1614="","Unknown",IF(D1614&lt;25,"Under 25",IF(D1614&lt;35,"25-34",IF(D1614&lt;45,"35-44",IF(D1614&lt;55,"45-54","55+")))))</f>
        <v>25-34</v>
      </c>
      <c r="R1614" s="13" t="str">
        <f aca="false">IF(P1614&lt;1,"0-1 yrs",IF(P1614&lt;3,"1-3 yrs",IF(P1614&lt;5,"3-5 yrs",IF(P1614&lt;10,"5-10 yrs","10+ yrs"))))</f>
        <v>1-3 yrs</v>
      </c>
      <c r="S1614" s="13" t="str">
        <f aca="false">IF(I1614&gt;=4,"High",IF(I1614=3,"Medium","Low"))</f>
        <v>Medium</v>
      </c>
      <c r="T1614" s="13" t="n">
        <f aca="false">IF(M1614=1,YEAR(C1614),"")</f>
        <v>2025</v>
      </c>
      <c r="U1614" s="13" t="str">
        <f aca="false">IF(M1614=1,YEAR(C1614)&amp;"-Q"&amp;ROUNDUP(MONTH(C1614)/3,0),"")</f>
        <v>2025-Q4</v>
      </c>
      <c r="V1614" s="13" t="n">
        <f aca="false">IF(M1614=1,MONTH(C1614),"")</f>
        <v>10</v>
      </c>
    </row>
    <row r="1615" customFormat="false" ht="15" hidden="false" customHeight="false" outlineLevel="0" collapsed="false">
      <c r="A1615" s="13" t="str">
        <f aca="false">TRIM(Raw_Data!A1615)</f>
        <v>EMP1614</v>
      </c>
      <c r="B1615" s="14" t="n">
        <f aca="false">Raw_Data!B1615</f>
        <v>45211</v>
      </c>
      <c r="C1615" s="14" t="n">
        <f aca="false">IF(Raw_Data!C1615="","",Raw_Data!C1615)</f>
        <v>45402</v>
      </c>
      <c r="D1615" s="13" t="str">
        <f aca="false">IF(Raw_Data!D1615="","",Raw_Data!D1615)</f>
        <v/>
      </c>
      <c r="E1615" s="13" t="str">
        <f aca="false">IF(UPPER(LEFT(TRIM(Raw_Data!E1615),1))="M","Male",IF(UPPER(LEFT(TRIM(Raw_Data!E1615),1))="F","Female","Unknown"))</f>
        <v>Female</v>
      </c>
      <c r="F1615" s="13" t="str">
        <f aca="false">PROPER(TRIM(SUBSTITUTE(Raw_Data!F1615,"'","")))</f>
        <v>High School</v>
      </c>
      <c r="G1615" s="13" t="str">
        <f aca="false">PROPER(TRIM(Raw_Data!G1615))</f>
        <v>Sales</v>
      </c>
      <c r="H1615" s="13" t="str">
        <f aca="false">PROPER(TRIM(Raw_Data!H1615))</f>
        <v>Analyst</v>
      </c>
      <c r="I1615" s="13" t="n">
        <f aca="false">IF(Raw_Data!I1615="",DefaultPerf,Raw_Data!I1615)</f>
        <v>4</v>
      </c>
      <c r="J1615" s="13" t="n">
        <f aca="false">IF(Raw_Data!J1615="",DefaultSat,Raw_Data!J1615)</f>
        <v>2</v>
      </c>
      <c r="K1615" s="15" t="n">
        <f aca="false">Raw_Data!K1615</f>
        <v>61000</v>
      </c>
      <c r="L1615" s="13" t="str">
        <f aca="false">PROPER(TRIM(Raw_Data!N1615))</f>
        <v>No</v>
      </c>
      <c r="M1615" s="13" t="n">
        <f aca="false">IF(C1615="",0,1)</f>
        <v>1</v>
      </c>
      <c r="N1615" s="13" t="str">
        <f aca="false">IF(M1615=0,"Active",IF(TRIM(Raw_Data!L1615)="","Unknown",PROPER(TRIM(Raw_Data!L1615))))</f>
        <v>Voluntary</v>
      </c>
      <c r="O1615" s="13" t="str">
        <f aca="false">IF(M1615=0,"",IF(TRIM(Raw_Data!M1615)="","Not Recorded",TRIM(Raw_Data!M1615)))</f>
        <v>Job Dissatisfaction</v>
      </c>
      <c r="P1615" s="16" t="n">
        <f aca="false">ROUND((IF(C1615="",AsOfDate,C1615)-B1615)/365.25,2)</f>
        <v>0.52</v>
      </c>
      <c r="Q1615" s="13" t="str">
        <f aca="false">IF(D1615="","Unknown",IF(D1615&lt;25,"Under 25",IF(D1615&lt;35,"25-34",IF(D1615&lt;45,"35-44",IF(D1615&lt;55,"45-54","55+")))))</f>
        <v>Unknown</v>
      </c>
      <c r="R1615" s="13" t="str">
        <f aca="false">IF(P1615&lt;1,"0-1 yrs",IF(P1615&lt;3,"1-3 yrs",IF(P1615&lt;5,"3-5 yrs",IF(P1615&lt;10,"5-10 yrs","10+ yrs"))))</f>
        <v>0-1 yrs</v>
      </c>
      <c r="S1615" s="13" t="str">
        <f aca="false">IF(I1615&gt;=4,"High",IF(I1615=3,"Medium","Low"))</f>
        <v>High</v>
      </c>
      <c r="T1615" s="13" t="n">
        <f aca="false">IF(M1615=1,YEAR(C1615),"")</f>
        <v>2024</v>
      </c>
      <c r="U1615" s="13" t="str">
        <f aca="false">IF(M1615=1,YEAR(C1615)&amp;"-Q"&amp;ROUNDUP(MONTH(C1615)/3,0),"")</f>
        <v>2024-Q2</v>
      </c>
      <c r="V1615" s="13" t="n">
        <f aca="false">IF(M1615=1,MONTH(C1615),"")</f>
        <v>4</v>
      </c>
    </row>
    <row r="1616" customFormat="false" ht="15" hidden="false" customHeight="false" outlineLevel="0" collapsed="false">
      <c r="A1616" s="13" t="str">
        <f aca="false">TRIM(Raw_Data!A1616)</f>
        <v>EMP1615</v>
      </c>
      <c r="B1616" s="14" t="n">
        <f aca="false">Raw_Data!B1616</f>
        <v>45212</v>
      </c>
      <c r="C1616" s="14" t="n">
        <f aca="false">IF(Raw_Data!C1616="","",Raw_Data!C1616)</f>
        <v>45765</v>
      </c>
      <c r="D1616" s="13" t="n">
        <f aca="false">IF(Raw_Data!D1616="","",Raw_Data!D1616)</f>
        <v>30</v>
      </c>
      <c r="E1616" s="13" t="str">
        <f aca="false">IF(UPPER(LEFT(TRIM(Raw_Data!E1616),1))="M","Male",IF(UPPER(LEFT(TRIM(Raw_Data!E1616),1))="F","Female","Unknown"))</f>
        <v>Male</v>
      </c>
      <c r="F1616" s="13" t="str">
        <f aca="false">PROPER(TRIM(SUBSTITUTE(Raw_Data!F1616,"'","")))</f>
        <v>Bachelors</v>
      </c>
      <c r="G1616" s="13" t="str">
        <f aca="false">PROPER(TRIM(Raw_Data!G1616))</f>
        <v>Engineering</v>
      </c>
      <c r="H1616" s="13" t="str">
        <f aca="false">PROPER(TRIM(Raw_Data!H1616))</f>
        <v>Associate</v>
      </c>
      <c r="I1616" s="13" t="n">
        <f aca="false">IF(Raw_Data!I1616="",DefaultPerf,Raw_Data!I1616)</f>
        <v>2</v>
      </c>
      <c r="J1616" s="13" t="n">
        <f aca="false">IF(Raw_Data!J1616="",DefaultSat,Raw_Data!J1616)</f>
        <v>1</v>
      </c>
      <c r="K1616" s="15" t="n">
        <f aca="false">Raw_Data!K1616</f>
        <v>39000</v>
      </c>
      <c r="L1616" s="13" t="str">
        <f aca="false">PROPER(TRIM(Raw_Data!N1616))</f>
        <v>No</v>
      </c>
      <c r="M1616" s="13" t="n">
        <f aca="false">IF(C1616="",0,1)</f>
        <v>1</v>
      </c>
      <c r="N1616" s="13" t="str">
        <f aca="false">IF(M1616=0,"Active",IF(TRIM(Raw_Data!L1616)="","Unknown",PROPER(TRIM(Raw_Data!L1616))))</f>
        <v>Voluntary</v>
      </c>
      <c r="O1616" s="13" t="str">
        <f aca="false">IF(M1616=0,"",IF(TRIM(Raw_Data!M1616)="","Not Recorded",TRIM(Raw_Data!M1616)))</f>
        <v>Better Compensation</v>
      </c>
      <c r="P1616" s="16" t="n">
        <f aca="false">ROUND((IF(C1616="",AsOfDate,C1616)-B1616)/365.25,2)</f>
        <v>1.51</v>
      </c>
      <c r="Q1616" s="13" t="str">
        <f aca="false">IF(D1616="","Unknown",IF(D1616&lt;25,"Under 25",IF(D1616&lt;35,"25-34",IF(D1616&lt;45,"35-44",IF(D1616&lt;55,"45-54","55+")))))</f>
        <v>25-34</v>
      </c>
      <c r="R1616" s="13" t="str">
        <f aca="false">IF(P1616&lt;1,"0-1 yrs",IF(P1616&lt;3,"1-3 yrs",IF(P1616&lt;5,"3-5 yrs",IF(P1616&lt;10,"5-10 yrs","10+ yrs"))))</f>
        <v>1-3 yrs</v>
      </c>
      <c r="S1616" s="13" t="str">
        <f aca="false">IF(I1616&gt;=4,"High",IF(I1616=3,"Medium","Low"))</f>
        <v>Low</v>
      </c>
      <c r="T1616" s="13" t="n">
        <f aca="false">IF(M1616=1,YEAR(C1616),"")</f>
        <v>2025</v>
      </c>
      <c r="U1616" s="13" t="str">
        <f aca="false">IF(M1616=1,YEAR(C1616)&amp;"-Q"&amp;ROUNDUP(MONTH(C1616)/3,0),"")</f>
        <v>2025-Q2</v>
      </c>
      <c r="V1616" s="13" t="n">
        <f aca="false">IF(M1616=1,MONTH(C1616),"")</f>
        <v>4</v>
      </c>
    </row>
    <row r="1617" customFormat="false" ht="15" hidden="false" customHeight="false" outlineLevel="0" collapsed="false">
      <c r="A1617" s="13" t="str">
        <f aca="false">TRIM(Raw_Data!A1617)</f>
        <v>EMP1616</v>
      </c>
      <c r="B1617" s="14" t="n">
        <f aca="false">Raw_Data!B1617</f>
        <v>45212</v>
      </c>
      <c r="C1617" s="14" t="str">
        <f aca="false">IF(Raw_Data!C1617="","",Raw_Data!C1617)</f>
        <v/>
      </c>
      <c r="D1617" s="13" t="n">
        <f aca="false">IF(Raw_Data!D1617="","",Raw_Data!D1617)</f>
        <v>26</v>
      </c>
      <c r="E1617" s="13" t="str">
        <f aca="false">IF(UPPER(LEFT(TRIM(Raw_Data!E1617),1))="M","Male",IF(UPPER(LEFT(TRIM(Raw_Data!E1617),1))="F","Female","Unknown"))</f>
        <v>Male</v>
      </c>
      <c r="F1617" s="13" t="str">
        <f aca="false">PROPER(TRIM(SUBSTITUTE(Raw_Data!F1617,"'","")))</f>
        <v>Masters</v>
      </c>
      <c r="G1617" s="13" t="str">
        <f aca="false">PROPER(TRIM(Raw_Data!G1617))</f>
        <v>Operations</v>
      </c>
      <c r="H1617" s="13" t="str">
        <f aca="false">PROPER(TRIM(Raw_Data!H1617))</f>
        <v>Analyst</v>
      </c>
      <c r="I1617" s="13" t="n">
        <f aca="false">IF(Raw_Data!I1617="",DefaultPerf,Raw_Data!I1617)</f>
        <v>1</v>
      </c>
      <c r="J1617" s="13" t="n">
        <f aca="false">IF(Raw_Data!J1617="",DefaultSat,Raw_Data!J1617)</f>
        <v>4</v>
      </c>
      <c r="K1617" s="15" t="n">
        <f aca="false">Raw_Data!K1617</f>
        <v>68000</v>
      </c>
      <c r="L1617" s="13" t="str">
        <f aca="false">PROPER(TRIM(Raw_Data!N1617))</f>
        <v>No</v>
      </c>
      <c r="M1617" s="13" t="n">
        <f aca="false">IF(C1617="",0,1)</f>
        <v>0</v>
      </c>
      <c r="N1617" s="13" t="str">
        <f aca="false">IF(M1617=0,"Active",IF(TRIM(Raw_Data!L1617)="","Unknown",PROPER(TRIM(Raw_Data!L1617))))</f>
        <v>Active</v>
      </c>
      <c r="O1617" s="13" t="str">
        <f aca="false">IF(M1617=0,"",IF(TRIM(Raw_Data!M1617)="","Not Recorded",TRIM(Raw_Data!M1617)))</f>
        <v/>
      </c>
      <c r="P1617" s="16" t="n">
        <f aca="false">ROUND((IF(C1617="",AsOfDate,C1617)-B1617)/365.25,2)</f>
        <v>2.22</v>
      </c>
      <c r="Q1617" s="13" t="str">
        <f aca="false">IF(D1617="","Unknown",IF(D1617&lt;25,"Under 25",IF(D1617&lt;35,"25-34",IF(D1617&lt;45,"35-44",IF(D1617&lt;55,"45-54","55+")))))</f>
        <v>25-34</v>
      </c>
      <c r="R1617" s="13" t="str">
        <f aca="false">IF(P1617&lt;1,"0-1 yrs",IF(P1617&lt;3,"1-3 yrs",IF(P1617&lt;5,"3-5 yrs",IF(P1617&lt;10,"5-10 yrs","10+ yrs"))))</f>
        <v>1-3 yrs</v>
      </c>
      <c r="S1617" s="13" t="str">
        <f aca="false">IF(I1617&gt;=4,"High",IF(I1617=3,"Medium","Low"))</f>
        <v>Low</v>
      </c>
      <c r="T1617" s="13" t="str">
        <f aca="false">IF(M1617=1,YEAR(C1617),"")</f>
        <v/>
      </c>
      <c r="U1617" s="13" t="str">
        <f aca="false">IF(M1617=1,YEAR(C1617)&amp;"-Q"&amp;ROUNDUP(MONTH(C1617)/3,0),"")</f>
        <v/>
      </c>
      <c r="V1617" s="13" t="str">
        <f aca="false">IF(M1617=1,MONTH(C1617),"")</f>
        <v/>
      </c>
    </row>
    <row r="1618" customFormat="false" ht="15" hidden="false" customHeight="false" outlineLevel="0" collapsed="false">
      <c r="A1618" s="13" t="str">
        <f aca="false">TRIM(Raw_Data!A1618)</f>
        <v>EMP1617</v>
      </c>
      <c r="B1618" s="14" t="n">
        <f aca="false">Raw_Data!B1618</f>
        <v>45214</v>
      </c>
      <c r="C1618" s="14" t="str">
        <f aca="false">IF(Raw_Data!C1618="","",Raw_Data!C1618)</f>
        <v/>
      </c>
      <c r="D1618" s="13" t="n">
        <f aca="false">IF(Raw_Data!D1618="","",Raw_Data!D1618)</f>
        <v>31</v>
      </c>
      <c r="E1618" s="13" t="str">
        <f aca="false">IF(UPPER(LEFT(TRIM(Raw_Data!E1618),1))="M","Male",IF(UPPER(LEFT(TRIM(Raw_Data!E1618),1))="F","Female","Unknown"))</f>
        <v>Female</v>
      </c>
      <c r="F1618" s="13" t="str">
        <f aca="false">PROPER(TRIM(SUBSTITUTE(Raw_Data!F1618,"'","")))</f>
        <v>Masters</v>
      </c>
      <c r="G1618" s="13" t="str">
        <f aca="false">PROPER(TRIM(Raw_Data!G1618))</f>
        <v>Engineering</v>
      </c>
      <c r="H1618" s="13" t="str">
        <f aca="false">PROPER(TRIM(Raw_Data!H1618))</f>
        <v>Analyst</v>
      </c>
      <c r="I1618" s="13" t="n">
        <f aca="false">IF(Raw_Data!I1618="",DefaultPerf,Raw_Data!I1618)</f>
        <v>4</v>
      </c>
      <c r="J1618" s="13" t="n">
        <f aca="false">IF(Raw_Data!J1618="",DefaultSat,Raw_Data!J1618)</f>
        <v>2</v>
      </c>
      <c r="K1618" s="15" t="n">
        <f aca="false">Raw_Data!K1618</f>
        <v>55500</v>
      </c>
      <c r="L1618" s="13" t="str">
        <f aca="false">PROPER(TRIM(Raw_Data!N1618))</f>
        <v>Yes</v>
      </c>
      <c r="M1618" s="13" t="n">
        <f aca="false">IF(C1618="",0,1)</f>
        <v>0</v>
      </c>
      <c r="N1618" s="13" t="str">
        <f aca="false">IF(M1618=0,"Active",IF(TRIM(Raw_Data!L1618)="","Unknown",PROPER(TRIM(Raw_Data!L1618))))</f>
        <v>Active</v>
      </c>
      <c r="O1618" s="13" t="str">
        <f aca="false">IF(M1618=0,"",IF(TRIM(Raw_Data!M1618)="","Not Recorded",TRIM(Raw_Data!M1618)))</f>
        <v/>
      </c>
      <c r="P1618" s="16" t="n">
        <f aca="false">ROUND((IF(C1618="",AsOfDate,C1618)-B1618)/365.25,2)</f>
        <v>2.21</v>
      </c>
      <c r="Q1618" s="13" t="str">
        <f aca="false">IF(D1618="","Unknown",IF(D1618&lt;25,"Under 25",IF(D1618&lt;35,"25-34",IF(D1618&lt;45,"35-44",IF(D1618&lt;55,"45-54","55+")))))</f>
        <v>25-34</v>
      </c>
      <c r="R1618" s="13" t="str">
        <f aca="false">IF(P1618&lt;1,"0-1 yrs",IF(P1618&lt;3,"1-3 yrs",IF(P1618&lt;5,"3-5 yrs",IF(P1618&lt;10,"5-10 yrs","10+ yrs"))))</f>
        <v>1-3 yrs</v>
      </c>
      <c r="S1618" s="13" t="str">
        <f aca="false">IF(I1618&gt;=4,"High",IF(I1618=3,"Medium","Low"))</f>
        <v>High</v>
      </c>
      <c r="T1618" s="13" t="str">
        <f aca="false">IF(M1618=1,YEAR(C1618),"")</f>
        <v/>
      </c>
      <c r="U1618" s="13" t="str">
        <f aca="false">IF(M1618=1,YEAR(C1618)&amp;"-Q"&amp;ROUNDUP(MONTH(C1618)/3,0),"")</f>
        <v/>
      </c>
      <c r="V1618" s="13" t="str">
        <f aca="false">IF(M1618=1,MONTH(C1618),"")</f>
        <v/>
      </c>
    </row>
    <row r="1619" customFormat="false" ht="15" hidden="false" customHeight="false" outlineLevel="0" collapsed="false">
      <c r="A1619" s="13" t="str">
        <f aca="false">TRIM(Raw_Data!A1619)</f>
        <v>EMP1618</v>
      </c>
      <c r="B1619" s="14" t="n">
        <f aca="false">Raw_Data!B1619</f>
        <v>45218</v>
      </c>
      <c r="C1619" s="14" t="str">
        <f aca="false">IF(Raw_Data!C1619="","",Raw_Data!C1619)</f>
        <v/>
      </c>
      <c r="D1619" s="13" t="n">
        <f aca="false">IF(Raw_Data!D1619="","",Raw_Data!D1619)</f>
        <v>29</v>
      </c>
      <c r="E1619" s="13" t="str">
        <f aca="false">IF(UPPER(LEFT(TRIM(Raw_Data!E1619),1))="M","Male",IF(UPPER(LEFT(TRIM(Raw_Data!E1619),1))="F","Female","Unknown"))</f>
        <v>Male</v>
      </c>
      <c r="F1619" s="13" t="str">
        <f aca="false">PROPER(TRIM(SUBSTITUTE(Raw_Data!F1619,"'","")))</f>
        <v>Masters</v>
      </c>
      <c r="G1619" s="13" t="str">
        <f aca="false">PROPER(TRIM(Raw_Data!G1619))</f>
        <v>Engineering</v>
      </c>
      <c r="H1619" s="13" t="str">
        <f aca="false">PROPER(TRIM(Raw_Data!H1619))</f>
        <v>Associate</v>
      </c>
      <c r="I1619" s="13" t="n">
        <f aca="false">IF(Raw_Data!I1619="",DefaultPerf,Raw_Data!I1619)</f>
        <v>4</v>
      </c>
      <c r="J1619" s="13" t="n">
        <f aca="false">IF(Raw_Data!J1619="",DefaultSat,Raw_Data!J1619)</f>
        <v>1</v>
      </c>
      <c r="K1619" s="15" t="n">
        <f aca="false">Raw_Data!K1619</f>
        <v>34500</v>
      </c>
      <c r="L1619" s="13" t="str">
        <f aca="false">PROPER(TRIM(Raw_Data!N1619))</f>
        <v>No</v>
      </c>
      <c r="M1619" s="13" t="n">
        <f aca="false">IF(C1619="",0,1)</f>
        <v>0</v>
      </c>
      <c r="N1619" s="13" t="str">
        <f aca="false">IF(M1619=0,"Active",IF(TRIM(Raw_Data!L1619)="","Unknown",PROPER(TRIM(Raw_Data!L1619))))</f>
        <v>Active</v>
      </c>
      <c r="O1619" s="13" t="str">
        <f aca="false">IF(M1619=0,"",IF(TRIM(Raw_Data!M1619)="","Not Recorded",TRIM(Raw_Data!M1619)))</f>
        <v/>
      </c>
      <c r="P1619" s="16" t="n">
        <f aca="false">ROUND((IF(C1619="",AsOfDate,C1619)-B1619)/365.25,2)</f>
        <v>2.2</v>
      </c>
      <c r="Q1619" s="13" t="str">
        <f aca="false">IF(D1619="","Unknown",IF(D1619&lt;25,"Under 25",IF(D1619&lt;35,"25-34",IF(D1619&lt;45,"35-44",IF(D1619&lt;55,"45-54","55+")))))</f>
        <v>25-34</v>
      </c>
      <c r="R1619" s="13" t="str">
        <f aca="false">IF(P1619&lt;1,"0-1 yrs",IF(P1619&lt;3,"1-3 yrs",IF(P1619&lt;5,"3-5 yrs",IF(P1619&lt;10,"5-10 yrs","10+ yrs"))))</f>
        <v>1-3 yrs</v>
      </c>
      <c r="S1619" s="13" t="str">
        <f aca="false">IF(I1619&gt;=4,"High",IF(I1619=3,"Medium","Low"))</f>
        <v>High</v>
      </c>
      <c r="T1619" s="13" t="str">
        <f aca="false">IF(M1619=1,YEAR(C1619),"")</f>
        <v/>
      </c>
      <c r="U1619" s="13" t="str">
        <f aca="false">IF(M1619=1,YEAR(C1619)&amp;"-Q"&amp;ROUNDUP(MONTH(C1619)/3,0),"")</f>
        <v/>
      </c>
      <c r="V1619" s="13" t="str">
        <f aca="false">IF(M1619=1,MONTH(C1619),"")</f>
        <v/>
      </c>
    </row>
    <row r="1620" customFormat="false" ht="15" hidden="false" customHeight="false" outlineLevel="0" collapsed="false">
      <c r="A1620" s="13" t="str">
        <f aca="false">TRIM(Raw_Data!A1620)</f>
        <v>EMP1619</v>
      </c>
      <c r="B1620" s="14" t="n">
        <f aca="false">Raw_Data!B1620</f>
        <v>45219</v>
      </c>
      <c r="C1620" s="14" t="str">
        <f aca="false">IF(Raw_Data!C1620="","",Raw_Data!C1620)</f>
        <v/>
      </c>
      <c r="D1620" s="13" t="n">
        <f aca="false">IF(Raw_Data!D1620="","",Raw_Data!D1620)</f>
        <v>32</v>
      </c>
      <c r="E1620" s="13" t="str">
        <f aca="false">IF(UPPER(LEFT(TRIM(Raw_Data!E1620),1))="M","Male",IF(UPPER(LEFT(TRIM(Raw_Data!E1620),1))="F","Female","Unknown"))</f>
        <v>Female</v>
      </c>
      <c r="F1620" s="13" t="str">
        <f aca="false">PROPER(TRIM(SUBSTITUTE(Raw_Data!F1620,"'","")))</f>
        <v>Masters</v>
      </c>
      <c r="G1620" s="13" t="str">
        <f aca="false">PROPER(TRIM(Raw_Data!G1620))</f>
        <v>Operations</v>
      </c>
      <c r="H1620" s="13" t="str">
        <f aca="false">PROPER(TRIM(Raw_Data!H1620))</f>
        <v>Specialist</v>
      </c>
      <c r="I1620" s="13" t="n">
        <f aca="false">IF(Raw_Data!I1620="",DefaultPerf,Raw_Data!I1620)</f>
        <v>4</v>
      </c>
      <c r="J1620" s="13" t="n">
        <f aca="false">IF(Raw_Data!J1620="",DefaultSat,Raw_Data!J1620)</f>
        <v>4</v>
      </c>
      <c r="K1620" s="15" t="n">
        <f aca="false">Raw_Data!K1620</f>
        <v>102500</v>
      </c>
      <c r="L1620" s="13" t="str">
        <f aca="false">PROPER(TRIM(Raw_Data!N1620))</f>
        <v>Yes</v>
      </c>
      <c r="M1620" s="13" t="n">
        <f aca="false">IF(C1620="",0,1)</f>
        <v>0</v>
      </c>
      <c r="N1620" s="13" t="str">
        <f aca="false">IF(M1620=0,"Active",IF(TRIM(Raw_Data!L1620)="","Unknown",PROPER(TRIM(Raw_Data!L1620))))</f>
        <v>Active</v>
      </c>
      <c r="O1620" s="13" t="str">
        <f aca="false">IF(M1620=0,"",IF(TRIM(Raw_Data!M1620)="","Not Recorded",TRIM(Raw_Data!M1620)))</f>
        <v/>
      </c>
      <c r="P1620" s="16" t="n">
        <f aca="false">ROUND((IF(C1620="",AsOfDate,C1620)-B1620)/365.25,2)</f>
        <v>2.2</v>
      </c>
      <c r="Q1620" s="13" t="str">
        <f aca="false">IF(D1620="","Unknown",IF(D1620&lt;25,"Under 25",IF(D1620&lt;35,"25-34",IF(D1620&lt;45,"35-44",IF(D1620&lt;55,"45-54","55+")))))</f>
        <v>25-34</v>
      </c>
      <c r="R1620" s="13" t="str">
        <f aca="false">IF(P1620&lt;1,"0-1 yrs",IF(P1620&lt;3,"1-3 yrs",IF(P1620&lt;5,"3-5 yrs",IF(P1620&lt;10,"5-10 yrs","10+ yrs"))))</f>
        <v>1-3 yrs</v>
      </c>
      <c r="S1620" s="13" t="str">
        <f aca="false">IF(I1620&gt;=4,"High",IF(I1620=3,"Medium","Low"))</f>
        <v>High</v>
      </c>
      <c r="T1620" s="13" t="str">
        <f aca="false">IF(M1620=1,YEAR(C1620),"")</f>
        <v/>
      </c>
      <c r="U1620" s="13" t="str">
        <f aca="false">IF(M1620=1,YEAR(C1620)&amp;"-Q"&amp;ROUNDUP(MONTH(C1620)/3,0),"")</f>
        <v/>
      </c>
      <c r="V1620" s="13" t="str">
        <f aca="false">IF(M1620=1,MONTH(C1620),"")</f>
        <v/>
      </c>
    </row>
    <row r="1621" customFormat="false" ht="15" hidden="false" customHeight="false" outlineLevel="0" collapsed="false">
      <c r="A1621" s="13" t="str">
        <f aca="false">TRIM(Raw_Data!A1621)</f>
        <v>EMP1620</v>
      </c>
      <c r="B1621" s="14" t="n">
        <f aca="false">Raw_Data!B1621</f>
        <v>45219</v>
      </c>
      <c r="C1621" s="14" t="str">
        <f aca="false">IF(Raw_Data!C1621="","",Raw_Data!C1621)</f>
        <v/>
      </c>
      <c r="D1621" s="13" t="n">
        <f aca="false">IF(Raw_Data!D1621="","",Raw_Data!D1621)</f>
        <v>34</v>
      </c>
      <c r="E1621" s="13" t="str">
        <f aca="false">IF(UPPER(LEFT(TRIM(Raw_Data!E1621),1))="M","Male",IF(UPPER(LEFT(TRIM(Raw_Data!E1621),1))="F","Female","Unknown"))</f>
        <v>Male</v>
      </c>
      <c r="F1621" s="13" t="str">
        <f aca="false">PROPER(TRIM(SUBSTITUTE(Raw_Data!F1621,"'","")))</f>
        <v>Bachelors</v>
      </c>
      <c r="G1621" s="13" t="str">
        <f aca="false">PROPER(TRIM(Raw_Data!G1621))</f>
        <v>Customer Support</v>
      </c>
      <c r="H1621" s="13" t="str">
        <f aca="false">PROPER(TRIM(Raw_Data!H1621))</f>
        <v>Specialist</v>
      </c>
      <c r="I1621" s="13" t="n">
        <f aca="false">IF(Raw_Data!I1621="",DefaultPerf,Raw_Data!I1621)</f>
        <v>3</v>
      </c>
      <c r="J1621" s="13" t="n">
        <f aca="false">IF(Raw_Data!J1621="",DefaultSat,Raw_Data!J1621)</f>
        <v>4</v>
      </c>
      <c r="K1621" s="15" t="n">
        <f aca="false">Raw_Data!K1621</f>
        <v>103500</v>
      </c>
      <c r="L1621" s="13" t="str">
        <f aca="false">PROPER(TRIM(Raw_Data!N1621))</f>
        <v>No</v>
      </c>
      <c r="M1621" s="13" t="n">
        <f aca="false">IF(C1621="",0,1)</f>
        <v>0</v>
      </c>
      <c r="N1621" s="13" t="str">
        <f aca="false">IF(M1621=0,"Active",IF(TRIM(Raw_Data!L1621)="","Unknown",PROPER(TRIM(Raw_Data!L1621))))</f>
        <v>Active</v>
      </c>
      <c r="O1621" s="13" t="str">
        <f aca="false">IF(M1621=0,"",IF(TRIM(Raw_Data!M1621)="","Not Recorded",TRIM(Raw_Data!M1621)))</f>
        <v/>
      </c>
      <c r="P1621" s="16" t="n">
        <f aca="false">ROUND((IF(C1621="",AsOfDate,C1621)-B1621)/365.25,2)</f>
        <v>2.2</v>
      </c>
      <c r="Q1621" s="13" t="str">
        <f aca="false">IF(D1621="","Unknown",IF(D1621&lt;25,"Under 25",IF(D1621&lt;35,"25-34",IF(D1621&lt;45,"35-44",IF(D1621&lt;55,"45-54","55+")))))</f>
        <v>25-34</v>
      </c>
      <c r="R1621" s="13" t="str">
        <f aca="false">IF(P1621&lt;1,"0-1 yrs",IF(P1621&lt;3,"1-3 yrs",IF(P1621&lt;5,"3-5 yrs",IF(P1621&lt;10,"5-10 yrs","10+ yrs"))))</f>
        <v>1-3 yrs</v>
      </c>
      <c r="S1621" s="13" t="str">
        <f aca="false">IF(I1621&gt;=4,"High",IF(I1621=3,"Medium","Low"))</f>
        <v>Medium</v>
      </c>
      <c r="T1621" s="13" t="str">
        <f aca="false">IF(M1621=1,YEAR(C1621),"")</f>
        <v/>
      </c>
      <c r="U1621" s="13" t="str">
        <f aca="false">IF(M1621=1,YEAR(C1621)&amp;"-Q"&amp;ROUNDUP(MONTH(C1621)/3,0),"")</f>
        <v/>
      </c>
      <c r="V1621" s="13" t="str">
        <f aca="false">IF(M1621=1,MONTH(C1621),"")</f>
        <v/>
      </c>
    </row>
    <row r="1622" customFormat="false" ht="15" hidden="false" customHeight="false" outlineLevel="0" collapsed="false">
      <c r="A1622" s="13" t="str">
        <f aca="false">TRIM(Raw_Data!A1622)</f>
        <v>EMP1621</v>
      </c>
      <c r="B1622" s="14" t="n">
        <f aca="false">Raw_Data!B1622</f>
        <v>45223</v>
      </c>
      <c r="C1622" s="14" t="str">
        <f aca="false">IF(Raw_Data!C1622="","",Raw_Data!C1622)</f>
        <v/>
      </c>
      <c r="D1622" s="13" t="n">
        <f aca="false">IF(Raw_Data!D1622="","",Raw_Data!D1622)</f>
        <v>32</v>
      </c>
      <c r="E1622" s="13" t="str">
        <f aca="false">IF(UPPER(LEFT(TRIM(Raw_Data!E1622),1))="M","Male",IF(UPPER(LEFT(TRIM(Raw_Data!E1622),1))="F","Female","Unknown"))</f>
        <v>Female</v>
      </c>
      <c r="F1622" s="13" t="str">
        <f aca="false">PROPER(TRIM(SUBSTITUTE(Raw_Data!F1622,"'","")))</f>
        <v>Doctorate</v>
      </c>
      <c r="G1622" s="13" t="str">
        <f aca="false">PROPER(TRIM(Raw_Data!G1622))</f>
        <v>Sales</v>
      </c>
      <c r="H1622" s="13" t="str">
        <f aca="false">PROPER(TRIM(Raw_Data!H1622))</f>
        <v>Analyst</v>
      </c>
      <c r="I1622" s="13" t="n">
        <f aca="false">IF(Raw_Data!I1622="",DefaultPerf,Raw_Data!I1622)</f>
        <v>2</v>
      </c>
      <c r="J1622" s="13" t="n">
        <f aca="false">IF(Raw_Data!J1622="",DefaultSat,Raw_Data!J1622)</f>
        <v>3</v>
      </c>
      <c r="K1622" s="15" t="n">
        <f aca="false">Raw_Data!K1622</f>
        <v>46000</v>
      </c>
      <c r="L1622" s="13" t="str">
        <f aca="false">PROPER(TRIM(Raw_Data!N1622))</f>
        <v>No</v>
      </c>
      <c r="M1622" s="13" t="n">
        <f aca="false">IF(C1622="",0,1)</f>
        <v>0</v>
      </c>
      <c r="N1622" s="13" t="str">
        <f aca="false">IF(M1622=0,"Active",IF(TRIM(Raw_Data!L1622)="","Unknown",PROPER(TRIM(Raw_Data!L1622))))</f>
        <v>Active</v>
      </c>
      <c r="O1622" s="13" t="str">
        <f aca="false">IF(M1622=0,"",IF(TRIM(Raw_Data!M1622)="","Not Recorded",TRIM(Raw_Data!M1622)))</f>
        <v/>
      </c>
      <c r="P1622" s="16" t="n">
        <f aca="false">ROUND((IF(C1622="",AsOfDate,C1622)-B1622)/365.25,2)</f>
        <v>2.19</v>
      </c>
      <c r="Q1622" s="13" t="str">
        <f aca="false">IF(D1622="","Unknown",IF(D1622&lt;25,"Under 25",IF(D1622&lt;35,"25-34",IF(D1622&lt;45,"35-44",IF(D1622&lt;55,"45-54","55+")))))</f>
        <v>25-34</v>
      </c>
      <c r="R1622" s="13" t="str">
        <f aca="false">IF(P1622&lt;1,"0-1 yrs",IF(P1622&lt;3,"1-3 yrs",IF(P1622&lt;5,"3-5 yrs",IF(P1622&lt;10,"5-10 yrs","10+ yrs"))))</f>
        <v>1-3 yrs</v>
      </c>
      <c r="S1622" s="13" t="str">
        <f aca="false">IF(I1622&gt;=4,"High",IF(I1622=3,"Medium","Low"))</f>
        <v>Low</v>
      </c>
      <c r="T1622" s="13" t="str">
        <f aca="false">IF(M1622=1,YEAR(C1622),"")</f>
        <v/>
      </c>
      <c r="U1622" s="13" t="str">
        <f aca="false">IF(M1622=1,YEAR(C1622)&amp;"-Q"&amp;ROUNDUP(MONTH(C1622)/3,0),"")</f>
        <v/>
      </c>
      <c r="V1622" s="13" t="str">
        <f aca="false">IF(M1622=1,MONTH(C1622),"")</f>
        <v/>
      </c>
    </row>
    <row r="1623" customFormat="false" ht="15" hidden="false" customHeight="false" outlineLevel="0" collapsed="false">
      <c r="A1623" s="13" t="str">
        <f aca="false">TRIM(Raw_Data!A1623)</f>
        <v>EMP1622</v>
      </c>
      <c r="B1623" s="14" t="n">
        <f aca="false">Raw_Data!B1623</f>
        <v>45224</v>
      </c>
      <c r="C1623" s="14" t="str">
        <f aca="false">IF(Raw_Data!C1623="","",Raw_Data!C1623)</f>
        <v/>
      </c>
      <c r="D1623" s="13" t="n">
        <f aca="false">IF(Raw_Data!D1623="","",Raw_Data!D1623)</f>
        <v>26</v>
      </c>
      <c r="E1623" s="13" t="str">
        <f aca="false">IF(UPPER(LEFT(TRIM(Raw_Data!E1623),1))="M","Male",IF(UPPER(LEFT(TRIM(Raw_Data!E1623),1))="F","Female","Unknown"))</f>
        <v>Male</v>
      </c>
      <c r="F1623" s="13" t="str">
        <f aca="false">PROPER(TRIM(SUBSTITUTE(Raw_Data!F1623,"'","")))</f>
        <v>Bachelors</v>
      </c>
      <c r="G1623" s="13" t="str">
        <f aca="false">PROPER(TRIM(Raw_Data!G1623))</f>
        <v>Sales</v>
      </c>
      <c r="H1623" s="13" t="str">
        <f aca="false">PROPER(TRIM(Raw_Data!H1623))</f>
        <v>Specialist</v>
      </c>
      <c r="I1623" s="13" t="n">
        <f aca="false">IF(Raw_Data!I1623="",DefaultPerf,Raw_Data!I1623)</f>
        <v>3</v>
      </c>
      <c r="J1623" s="13" t="n">
        <f aca="false">IF(Raw_Data!J1623="",DefaultSat,Raw_Data!J1623)</f>
        <v>3</v>
      </c>
      <c r="K1623" s="15" t="n">
        <f aca="false">Raw_Data!K1623</f>
        <v>79500</v>
      </c>
      <c r="L1623" s="13" t="str">
        <f aca="false">PROPER(TRIM(Raw_Data!N1623))</f>
        <v>Yes</v>
      </c>
      <c r="M1623" s="13" t="n">
        <f aca="false">IF(C1623="",0,1)</f>
        <v>0</v>
      </c>
      <c r="N1623" s="13" t="str">
        <f aca="false">IF(M1623=0,"Active",IF(TRIM(Raw_Data!L1623)="","Unknown",PROPER(TRIM(Raw_Data!L1623))))</f>
        <v>Active</v>
      </c>
      <c r="O1623" s="13" t="str">
        <f aca="false">IF(M1623=0,"",IF(TRIM(Raw_Data!M1623)="","Not Recorded",TRIM(Raw_Data!M1623)))</f>
        <v/>
      </c>
      <c r="P1623" s="16" t="n">
        <f aca="false">ROUND((IF(C1623="",AsOfDate,C1623)-B1623)/365.25,2)</f>
        <v>2.18</v>
      </c>
      <c r="Q1623" s="13" t="str">
        <f aca="false">IF(D1623="","Unknown",IF(D1623&lt;25,"Under 25",IF(D1623&lt;35,"25-34",IF(D1623&lt;45,"35-44",IF(D1623&lt;55,"45-54","55+")))))</f>
        <v>25-34</v>
      </c>
      <c r="R1623" s="13" t="str">
        <f aca="false">IF(P1623&lt;1,"0-1 yrs",IF(P1623&lt;3,"1-3 yrs",IF(P1623&lt;5,"3-5 yrs",IF(P1623&lt;10,"5-10 yrs","10+ yrs"))))</f>
        <v>1-3 yrs</v>
      </c>
      <c r="S1623" s="13" t="str">
        <f aca="false">IF(I1623&gt;=4,"High",IF(I1623=3,"Medium","Low"))</f>
        <v>Medium</v>
      </c>
      <c r="T1623" s="13" t="str">
        <f aca="false">IF(M1623=1,YEAR(C1623),"")</f>
        <v/>
      </c>
      <c r="U1623" s="13" t="str">
        <f aca="false">IF(M1623=1,YEAR(C1623)&amp;"-Q"&amp;ROUNDUP(MONTH(C1623)/3,0),"")</f>
        <v/>
      </c>
      <c r="V1623" s="13" t="str">
        <f aca="false">IF(M1623=1,MONTH(C1623),"")</f>
        <v/>
      </c>
    </row>
    <row r="1624" customFormat="false" ht="15" hidden="false" customHeight="false" outlineLevel="0" collapsed="false">
      <c r="A1624" s="13" t="str">
        <f aca="false">TRIM(Raw_Data!A1624)</f>
        <v>EMP1623</v>
      </c>
      <c r="B1624" s="14" t="n">
        <f aca="false">Raw_Data!B1624</f>
        <v>45237</v>
      </c>
      <c r="C1624" s="14" t="str">
        <f aca="false">IF(Raw_Data!C1624="","",Raw_Data!C1624)</f>
        <v/>
      </c>
      <c r="D1624" s="13" t="n">
        <f aca="false">IF(Raw_Data!D1624="","",Raw_Data!D1624)</f>
        <v>24</v>
      </c>
      <c r="E1624" s="13" t="str">
        <f aca="false">IF(UPPER(LEFT(TRIM(Raw_Data!E1624),1))="M","Male",IF(UPPER(LEFT(TRIM(Raw_Data!E1624),1))="F","Female","Unknown"))</f>
        <v>Male</v>
      </c>
      <c r="F1624" s="13" t="str">
        <f aca="false">PROPER(TRIM(SUBSTITUTE(Raw_Data!F1624,"'","")))</f>
        <v>Bachelors</v>
      </c>
      <c r="G1624" s="13" t="str">
        <f aca="false">PROPER(TRIM(Raw_Data!G1624))</f>
        <v>Sales</v>
      </c>
      <c r="H1624" s="13" t="str">
        <f aca="false">PROPER(TRIM(Raw_Data!H1624))</f>
        <v>Analyst</v>
      </c>
      <c r="I1624" s="13" t="n">
        <f aca="false">IF(Raw_Data!I1624="",DefaultPerf,Raw_Data!I1624)</f>
        <v>4</v>
      </c>
      <c r="J1624" s="13" t="n">
        <f aca="false">IF(Raw_Data!J1624="",DefaultSat,Raw_Data!J1624)</f>
        <v>3</v>
      </c>
      <c r="K1624" s="15" t="n">
        <f aca="false">Raw_Data!K1624</f>
        <v>52000</v>
      </c>
      <c r="L1624" s="13" t="str">
        <f aca="false">PROPER(TRIM(Raw_Data!N1624))</f>
        <v>No</v>
      </c>
      <c r="M1624" s="13" t="n">
        <f aca="false">IF(C1624="",0,1)</f>
        <v>0</v>
      </c>
      <c r="N1624" s="13" t="str">
        <f aca="false">IF(M1624=0,"Active",IF(TRIM(Raw_Data!L1624)="","Unknown",PROPER(TRIM(Raw_Data!L1624))))</f>
        <v>Active</v>
      </c>
      <c r="O1624" s="13" t="str">
        <f aca="false">IF(M1624=0,"",IF(TRIM(Raw_Data!M1624)="","Not Recorded",TRIM(Raw_Data!M1624)))</f>
        <v/>
      </c>
      <c r="P1624" s="16" t="n">
        <f aca="false">ROUND((IF(C1624="",AsOfDate,C1624)-B1624)/365.25,2)</f>
        <v>2.15</v>
      </c>
      <c r="Q1624" s="13" t="str">
        <f aca="false">IF(D1624="","Unknown",IF(D1624&lt;25,"Under 25",IF(D1624&lt;35,"25-34",IF(D1624&lt;45,"35-44",IF(D1624&lt;55,"45-54","55+")))))</f>
        <v>Under 25</v>
      </c>
      <c r="R1624" s="13" t="str">
        <f aca="false">IF(P1624&lt;1,"0-1 yrs",IF(P1624&lt;3,"1-3 yrs",IF(P1624&lt;5,"3-5 yrs",IF(P1624&lt;10,"5-10 yrs","10+ yrs"))))</f>
        <v>1-3 yrs</v>
      </c>
      <c r="S1624" s="13" t="str">
        <f aca="false">IF(I1624&gt;=4,"High",IF(I1624=3,"Medium","Low"))</f>
        <v>High</v>
      </c>
      <c r="T1624" s="13" t="str">
        <f aca="false">IF(M1624=1,YEAR(C1624),"")</f>
        <v/>
      </c>
      <c r="U1624" s="13" t="str">
        <f aca="false">IF(M1624=1,YEAR(C1624)&amp;"-Q"&amp;ROUNDUP(MONTH(C1624)/3,0),"")</f>
        <v/>
      </c>
      <c r="V1624" s="13" t="str">
        <f aca="false">IF(M1624=1,MONTH(C1624),"")</f>
        <v/>
      </c>
    </row>
    <row r="1625" customFormat="false" ht="15" hidden="false" customHeight="false" outlineLevel="0" collapsed="false">
      <c r="A1625" s="13" t="str">
        <f aca="false">TRIM(Raw_Data!A1625)</f>
        <v>EMP1624</v>
      </c>
      <c r="B1625" s="14" t="n">
        <f aca="false">Raw_Data!B1625</f>
        <v>45237</v>
      </c>
      <c r="C1625" s="14" t="n">
        <f aca="false">IF(Raw_Data!C1625="","",Raw_Data!C1625)</f>
        <v>45913</v>
      </c>
      <c r="D1625" s="13" t="n">
        <f aca="false">IF(Raw_Data!D1625="","",Raw_Data!D1625)</f>
        <v>33</v>
      </c>
      <c r="E1625" s="13" t="str">
        <f aca="false">IF(UPPER(LEFT(TRIM(Raw_Data!E1625),1))="M","Male",IF(UPPER(LEFT(TRIM(Raw_Data!E1625),1))="F","Female","Unknown"))</f>
        <v>Male</v>
      </c>
      <c r="F1625" s="13" t="str">
        <f aca="false">PROPER(TRIM(SUBSTITUTE(Raw_Data!F1625,"'","")))</f>
        <v>Bachelors</v>
      </c>
      <c r="G1625" s="13" t="str">
        <f aca="false">PROPER(TRIM(Raw_Data!G1625))</f>
        <v>Sales</v>
      </c>
      <c r="H1625" s="13" t="str">
        <f aca="false">PROPER(TRIM(Raw_Data!H1625))</f>
        <v>Analyst</v>
      </c>
      <c r="I1625" s="13" t="n">
        <f aca="false">IF(Raw_Data!I1625="",DefaultPerf,Raw_Data!I1625)</f>
        <v>1</v>
      </c>
      <c r="J1625" s="13" t="n">
        <f aca="false">IF(Raw_Data!J1625="",DefaultSat,Raw_Data!J1625)</f>
        <v>2</v>
      </c>
      <c r="K1625" s="15" t="n">
        <f aca="false">Raw_Data!K1625</f>
        <v>49500</v>
      </c>
      <c r="L1625" s="13" t="str">
        <f aca="false">PROPER(TRIM(Raw_Data!N1625))</f>
        <v>No</v>
      </c>
      <c r="M1625" s="13" t="n">
        <f aca="false">IF(C1625="",0,1)</f>
        <v>1</v>
      </c>
      <c r="N1625" s="13" t="str">
        <f aca="false">IF(M1625=0,"Active",IF(TRIM(Raw_Data!L1625)="","Unknown",PROPER(TRIM(Raw_Data!L1625))))</f>
        <v>Voluntary</v>
      </c>
      <c r="O1625" s="13" t="str">
        <f aca="false">IF(M1625=0,"",IF(TRIM(Raw_Data!M1625)="","Not Recorded",TRIM(Raw_Data!M1625)))</f>
        <v>Job Dissatisfaction</v>
      </c>
      <c r="P1625" s="16" t="n">
        <f aca="false">ROUND((IF(C1625="",AsOfDate,C1625)-B1625)/365.25,2)</f>
        <v>1.85</v>
      </c>
      <c r="Q1625" s="13" t="str">
        <f aca="false">IF(D1625="","Unknown",IF(D1625&lt;25,"Under 25",IF(D1625&lt;35,"25-34",IF(D1625&lt;45,"35-44",IF(D1625&lt;55,"45-54","55+")))))</f>
        <v>25-34</v>
      </c>
      <c r="R1625" s="13" t="str">
        <f aca="false">IF(P1625&lt;1,"0-1 yrs",IF(P1625&lt;3,"1-3 yrs",IF(P1625&lt;5,"3-5 yrs",IF(P1625&lt;10,"5-10 yrs","10+ yrs"))))</f>
        <v>1-3 yrs</v>
      </c>
      <c r="S1625" s="13" t="str">
        <f aca="false">IF(I1625&gt;=4,"High",IF(I1625=3,"Medium","Low"))</f>
        <v>Low</v>
      </c>
      <c r="T1625" s="13" t="n">
        <f aca="false">IF(M1625=1,YEAR(C1625),"")</f>
        <v>2025</v>
      </c>
      <c r="U1625" s="13" t="str">
        <f aca="false">IF(M1625=1,YEAR(C1625)&amp;"-Q"&amp;ROUNDUP(MONTH(C1625)/3,0),"")</f>
        <v>2025-Q3</v>
      </c>
      <c r="V1625" s="13" t="n">
        <f aca="false">IF(M1625=1,MONTH(C1625),"")</f>
        <v>9</v>
      </c>
    </row>
    <row r="1626" customFormat="false" ht="15" hidden="false" customHeight="false" outlineLevel="0" collapsed="false">
      <c r="A1626" s="13" t="str">
        <f aca="false">TRIM(Raw_Data!A1626)</f>
        <v>EMP1625</v>
      </c>
      <c r="B1626" s="14" t="n">
        <f aca="false">Raw_Data!B1626</f>
        <v>45238</v>
      </c>
      <c r="C1626" s="14" t="str">
        <f aca="false">IF(Raw_Data!C1626="","",Raw_Data!C1626)</f>
        <v/>
      </c>
      <c r="D1626" s="13" t="n">
        <f aca="false">IF(Raw_Data!D1626="","",Raw_Data!D1626)</f>
        <v>23</v>
      </c>
      <c r="E1626" s="13" t="str">
        <f aca="false">IF(UPPER(LEFT(TRIM(Raw_Data!E1626),1))="M","Male",IF(UPPER(LEFT(TRIM(Raw_Data!E1626),1))="F","Female","Unknown"))</f>
        <v>Male</v>
      </c>
      <c r="F1626" s="13" t="str">
        <f aca="false">PROPER(TRIM(SUBSTITUTE(Raw_Data!F1626,"'","")))</f>
        <v>Bachelors</v>
      </c>
      <c r="G1626" s="13" t="str">
        <f aca="false">PROPER(TRIM(Raw_Data!G1626))</f>
        <v>Operations</v>
      </c>
      <c r="H1626" s="13" t="str">
        <f aca="false">PROPER(TRIM(Raw_Data!H1626))</f>
        <v>Associate</v>
      </c>
      <c r="I1626" s="13" t="n">
        <f aca="false">IF(Raw_Data!I1626="",DefaultPerf,Raw_Data!I1626)</f>
        <v>3</v>
      </c>
      <c r="J1626" s="13" t="n">
        <f aca="false">IF(Raw_Data!J1626="",DefaultSat,Raw_Data!J1626)</f>
        <v>4</v>
      </c>
      <c r="K1626" s="15" t="n">
        <f aca="false">Raw_Data!K1626</f>
        <v>34500</v>
      </c>
      <c r="L1626" s="13" t="str">
        <f aca="false">PROPER(TRIM(Raw_Data!N1626))</f>
        <v>No</v>
      </c>
      <c r="M1626" s="13" t="n">
        <f aca="false">IF(C1626="",0,1)</f>
        <v>0</v>
      </c>
      <c r="N1626" s="13" t="str">
        <f aca="false">IF(M1626=0,"Active",IF(TRIM(Raw_Data!L1626)="","Unknown",PROPER(TRIM(Raw_Data!L1626))))</f>
        <v>Active</v>
      </c>
      <c r="O1626" s="13" t="str">
        <f aca="false">IF(M1626=0,"",IF(TRIM(Raw_Data!M1626)="","Not Recorded",TRIM(Raw_Data!M1626)))</f>
        <v/>
      </c>
      <c r="P1626" s="16" t="n">
        <f aca="false">ROUND((IF(C1626="",AsOfDate,C1626)-B1626)/365.25,2)</f>
        <v>2.15</v>
      </c>
      <c r="Q1626" s="13" t="str">
        <f aca="false">IF(D1626="","Unknown",IF(D1626&lt;25,"Under 25",IF(D1626&lt;35,"25-34",IF(D1626&lt;45,"35-44",IF(D1626&lt;55,"45-54","55+")))))</f>
        <v>Under 25</v>
      </c>
      <c r="R1626" s="13" t="str">
        <f aca="false">IF(P1626&lt;1,"0-1 yrs",IF(P1626&lt;3,"1-3 yrs",IF(P1626&lt;5,"3-5 yrs",IF(P1626&lt;10,"5-10 yrs","10+ yrs"))))</f>
        <v>1-3 yrs</v>
      </c>
      <c r="S1626" s="13" t="str">
        <f aca="false">IF(I1626&gt;=4,"High",IF(I1626=3,"Medium","Low"))</f>
        <v>Medium</v>
      </c>
      <c r="T1626" s="13" t="str">
        <f aca="false">IF(M1626=1,YEAR(C1626),"")</f>
        <v/>
      </c>
      <c r="U1626" s="13" t="str">
        <f aca="false">IF(M1626=1,YEAR(C1626)&amp;"-Q"&amp;ROUNDUP(MONTH(C1626)/3,0),"")</f>
        <v/>
      </c>
      <c r="V1626" s="13" t="str">
        <f aca="false">IF(M1626=1,MONTH(C1626),"")</f>
        <v/>
      </c>
    </row>
    <row r="1627" customFormat="false" ht="15" hidden="false" customHeight="false" outlineLevel="0" collapsed="false">
      <c r="A1627" s="13" t="str">
        <f aca="false">TRIM(Raw_Data!A1627)</f>
        <v>EMP1626</v>
      </c>
      <c r="B1627" s="14" t="n">
        <f aca="false">Raw_Data!B1627</f>
        <v>45241</v>
      </c>
      <c r="C1627" s="14" t="str">
        <f aca="false">IF(Raw_Data!C1627="","",Raw_Data!C1627)</f>
        <v/>
      </c>
      <c r="D1627" s="13" t="n">
        <f aca="false">IF(Raw_Data!D1627="","",Raw_Data!D1627)</f>
        <v>34</v>
      </c>
      <c r="E1627" s="13" t="str">
        <f aca="false">IF(UPPER(LEFT(TRIM(Raw_Data!E1627),1))="M","Male",IF(UPPER(LEFT(TRIM(Raw_Data!E1627),1))="F","Female","Unknown"))</f>
        <v>Male</v>
      </c>
      <c r="F1627" s="13" t="str">
        <f aca="false">PROPER(TRIM(SUBSTITUTE(Raw_Data!F1627,"'","")))</f>
        <v>Bachelors</v>
      </c>
      <c r="G1627" s="13" t="str">
        <f aca="false">PROPER(TRIM(Raw_Data!G1627))</f>
        <v>Finance</v>
      </c>
      <c r="H1627" s="13" t="str">
        <f aca="false">PROPER(TRIM(Raw_Data!H1627))</f>
        <v>Analyst</v>
      </c>
      <c r="I1627" s="13" t="n">
        <f aca="false">IF(Raw_Data!I1627="",DefaultPerf,Raw_Data!I1627)</f>
        <v>4</v>
      </c>
      <c r="J1627" s="13" t="n">
        <f aca="false">IF(Raw_Data!J1627="",DefaultSat,Raw_Data!J1627)</f>
        <v>1</v>
      </c>
      <c r="K1627" s="15" t="n">
        <f aca="false">Raw_Data!K1627</f>
        <v>60000</v>
      </c>
      <c r="L1627" s="13" t="str">
        <f aca="false">PROPER(TRIM(Raw_Data!N1627))</f>
        <v>No</v>
      </c>
      <c r="M1627" s="13" t="n">
        <f aca="false">IF(C1627="",0,1)</f>
        <v>0</v>
      </c>
      <c r="N1627" s="13" t="str">
        <f aca="false">IF(M1627=0,"Active",IF(TRIM(Raw_Data!L1627)="","Unknown",PROPER(TRIM(Raw_Data!L1627))))</f>
        <v>Active</v>
      </c>
      <c r="O1627" s="13" t="str">
        <f aca="false">IF(M1627=0,"",IF(TRIM(Raw_Data!M1627)="","Not Recorded",TRIM(Raw_Data!M1627)))</f>
        <v/>
      </c>
      <c r="P1627" s="16" t="n">
        <f aca="false">ROUND((IF(C1627="",AsOfDate,C1627)-B1627)/365.25,2)</f>
        <v>2.14</v>
      </c>
      <c r="Q1627" s="13" t="str">
        <f aca="false">IF(D1627="","Unknown",IF(D1627&lt;25,"Under 25",IF(D1627&lt;35,"25-34",IF(D1627&lt;45,"35-44",IF(D1627&lt;55,"45-54","55+")))))</f>
        <v>25-34</v>
      </c>
      <c r="R1627" s="13" t="str">
        <f aca="false">IF(P1627&lt;1,"0-1 yrs",IF(P1627&lt;3,"1-3 yrs",IF(P1627&lt;5,"3-5 yrs",IF(P1627&lt;10,"5-10 yrs","10+ yrs"))))</f>
        <v>1-3 yrs</v>
      </c>
      <c r="S1627" s="13" t="str">
        <f aca="false">IF(I1627&gt;=4,"High",IF(I1627=3,"Medium","Low"))</f>
        <v>High</v>
      </c>
      <c r="T1627" s="13" t="str">
        <f aca="false">IF(M1627=1,YEAR(C1627),"")</f>
        <v/>
      </c>
      <c r="U1627" s="13" t="str">
        <f aca="false">IF(M1627=1,YEAR(C1627)&amp;"-Q"&amp;ROUNDUP(MONTH(C1627)/3,0),"")</f>
        <v/>
      </c>
      <c r="V1627" s="13" t="str">
        <f aca="false">IF(M1627=1,MONTH(C1627),"")</f>
        <v/>
      </c>
    </row>
    <row r="1628" customFormat="false" ht="15" hidden="false" customHeight="false" outlineLevel="0" collapsed="false">
      <c r="A1628" s="13" t="str">
        <f aca="false">TRIM(Raw_Data!A1628)</f>
        <v>EMP1627</v>
      </c>
      <c r="B1628" s="14" t="n">
        <f aca="false">Raw_Data!B1628</f>
        <v>45242</v>
      </c>
      <c r="C1628" s="14" t="n">
        <f aca="false">IF(Raw_Data!C1628="","",Raw_Data!C1628)</f>
        <v>45304</v>
      </c>
      <c r="D1628" s="13" t="n">
        <f aca="false">IF(Raw_Data!D1628="","",Raw_Data!D1628)</f>
        <v>31</v>
      </c>
      <c r="E1628" s="13" t="str">
        <f aca="false">IF(UPPER(LEFT(TRIM(Raw_Data!E1628),1))="M","Male",IF(UPPER(LEFT(TRIM(Raw_Data!E1628),1))="F","Female","Unknown"))</f>
        <v>Female</v>
      </c>
      <c r="F1628" s="13" t="str">
        <f aca="false">PROPER(TRIM(SUBSTITUTE(Raw_Data!F1628,"'","")))</f>
        <v>Masters</v>
      </c>
      <c r="G1628" s="13" t="str">
        <f aca="false">PROPER(TRIM(Raw_Data!G1628))</f>
        <v>Sales</v>
      </c>
      <c r="H1628" s="13" t="str">
        <f aca="false">PROPER(TRIM(Raw_Data!H1628))</f>
        <v>Team Lead</v>
      </c>
      <c r="I1628" s="13" t="n">
        <f aca="false">IF(Raw_Data!I1628="",DefaultPerf,Raw_Data!I1628)</f>
        <v>2</v>
      </c>
      <c r="J1628" s="13" t="n">
        <f aca="false">IF(Raw_Data!J1628="",DefaultSat,Raw_Data!J1628)</f>
        <v>3</v>
      </c>
      <c r="K1628" s="15" t="n">
        <f aca="false">Raw_Data!K1628</f>
        <v>102500</v>
      </c>
      <c r="L1628" s="13" t="str">
        <f aca="false">PROPER(TRIM(Raw_Data!N1628))</f>
        <v>No</v>
      </c>
      <c r="M1628" s="13" t="n">
        <f aca="false">IF(C1628="",0,1)</f>
        <v>1</v>
      </c>
      <c r="N1628" s="13" t="str">
        <f aca="false">IF(M1628=0,"Active",IF(TRIM(Raw_Data!L1628)="","Unknown",PROPER(TRIM(Raw_Data!L1628))))</f>
        <v>Voluntary</v>
      </c>
      <c r="O1628" s="13" t="str">
        <f aca="false">IF(M1628=0,"",IF(TRIM(Raw_Data!M1628)="","Not Recorded",TRIM(Raw_Data!M1628)))</f>
        <v>Relocation</v>
      </c>
      <c r="P1628" s="16" t="n">
        <f aca="false">ROUND((IF(C1628="",AsOfDate,C1628)-B1628)/365.25,2)</f>
        <v>0.17</v>
      </c>
      <c r="Q1628" s="13" t="str">
        <f aca="false">IF(D1628="","Unknown",IF(D1628&lt;25,"Under 25",IF(D1628&lt;35,"25-34",IF(D1628&lt;45,"35-44",IF(D1628&lt;55,"45-54","55+")))))</f>
        <v>25-34</v>
      </c>
      <c r="R1628" s="13" t="str">
        <f aca="false">IF(P1628&lt;1,"0-1 yrs",IF(P1628&lt;3,"1-3 yrs",IF(P1628&lt;5,"3-5 yrs",IF(P1628&lt;10,"5-10 yrs","10+ yrs"))))</f>
        <v>0-1 yrs</v>
      </c>
      <c r="S1628" s="13" t="str">
        <f aca="false">IF(I1628&gt;=4,"High",IF(I1628=3,"Medium","Low"))</f>
        <v>Low</v>
      </c>
      <c r="T1628" s="13" t="n">
        <f aca="false">IF(M1628=1,YEAR(C1628),"")</f>
        <v>2024</v>
      </c>
      <c r="U1628" s="13" t="str">
        <f aca="false">IF(M1628=1,YEAR(C1628)&amp;"-Q"&amp;ROUNDUP(MONTH(C1628)/3,0),"")</f>
        <v>2024-Q1</v>
      </c>
      <c r="V1628" s="13" t="n">
        <f aca="false">IF(M1628=1,MONTH(C1628),"")</f>
        <v>1</v>
      </c>
    </row>
    <row r="1629" customFormat="false" ht="15" hidden="false" customHeight="false" outlineLevel="0" collapsed="false">
      <c r="A1629" s="13" t="str">
        <f aca="false">TRIM(Raw_Data!A1629)</f>
        <v>EMP1628</v>
      </c>
      <c r="B1629" s="14" t="n">
        <f aca="false">Raw_Data!B1629</f>
        <v>45243</v>
      </c>
      <c r="C1629" s="14" t="n">
        <f aca="false">IF(Raw_Data!C1629="","",Raw_Data!C1629)</f>
        <v>45788</v>
      </c>
      <c r="D1629" s="13" t="n">
        <f aca="false">IF(Raw_Data!D1629="","",Raw_Data!D1629)</f>
        <v>26</v>
      </c>
      <c r="E1629" s="13" t="str">
        <f aca="false">IF(UPPER(LEFT(TRIM(Raw_Data!E1629),1))="M","Male",IF(UPPER(LEFT(TRIM(Raw_Data!E1629),1))="F","Female","Unknown"))</f>
        <v>Female</v>
      </c>
      <c r="F1629" s="13" t="str">
        <f aca="false">PROPER(TRIM(SUBSTITUTE(Raw_Data!F1629,"'","")))</f>
        <v>Masters</v>
      </c>
      <c r="G1629" s="13" t="str">
        <f aca="false">PROPER(TRIM(Raw_Data!G1629))</f>
        <v>Engineering</v>
      </c>
      <c r="H1629" s="13" t="str">
        <f aca="false">PROPER(TRIM(Raw_Data!H1629))</f>
        <v>Team Lead</v>
      </c>
      <c r="I1629" s="13" t="n">
        <f aca="false">IF(Raw_Data!I1629="",DefaultPerf,Raw_Data!I1629)</f>
        <v>3</v>
      </c>
      <c r="J1629" s="13" t="n">
        <f aca="false">IF(Raw_Data!J1629="",DefaultSat,Raw_Data!J1629)</f>
        <v>1</v>
      </c>
      <c r="K1629" s="15" t="n">
        <f aca="false">Raw_Data!K1629</f>
        <v>118000</v>
      </c>
      <c r="L1629" s="13" t="str">
        <f aca="false">PROPER(TRIM(Raw_Data!N1629))</f>
        <v>Yes</v>
      </c>
      <c r="M1629" s="13" t="n">
        <f aca="false">IF(C1629="",0,1)</f>
        <v>1</v>
      </c>
      <c r="N1629" s="13" t="str">
        <f aca="false">IF(M1629=0,"Active",IF(TRIM(Raw_Data!L1629)="","Unknown",PROPER(TRIM(Raw_Data!L1629))))</f>
        <v>Voluntary</v>
      </c>
      <c r="O1629" s="13" t="str">
        <f aca="false">IF(M1629=0,"",IF(TRIM(Raw_Data!M1629)="","Not Recorded",TRIM(Raw_Data!M1629)))</f>
        <v>Job Dissatisfaction</v>
      </c>
      <c r="P1629" s="16" t="n">
        <f aca="false">ROUND((IF(C1629="",AsOfDate,C1629)-B1629)/365.25,2)</f>
        <v>1.49</v>
      </c>
      <c r="Q1629" s="13" t="str">
        <f aca="false">IF(D1629="","Unknown",IF(D1629&lt;25,"Under 25",IF(D1629&lt;35,"25-34",IF(D1629&lt;45,"35-44",IF(D1629&lt;55,"45-54","55+")))))</f>
        <v>25-34</v>
      </c>
      <c r="R1629" s="13" t="str">
        <f aca="false">IF(P1629&lt;1,"0-1 yrs",IF(P1629&lt;3,"1-3 yrs",IF(P1629&lt;5,"3-5 yrs",IF(P1629&lt;10,"5-10 yrs","10+ yrs"))))</f>
        <v>1-3 yrs</v>
      </c>
      <c r="S1629" s="13" t="str">
        <f aca="false">IF(I1629&gt;=4,"High",IF(I1629=3,"Medium","Low"))</f>
        <v>Medium</v>
      </c>
      <c r="T1629" s="13" t="n">
        <f aca="false">IF(M1629=1,YEAR(C1629),"")</f>
        <v>2025</v>
      </c>
      <c r="U1629" s="13" t="str">
        <f aca="false">IF(M1629=1,YEAR(C1629)&amp;"-Q"&amp;ROUNDUP(MONTH(C1629)/3,0),"")</f>
        <v>2025-Q2</v>
      </c>
      <c r="V1629" s="13" t="n">
        <f aca="false">IF(M1629=1,MONTH(C1629),"")</f>
        <v>5</v>
      </c>
    </row>
    <row r="1630" customFormat="false" ht="15" hidden="false" customHeight="false" outlineLevel="0" collapsed="false">
      <c r="A1630" s="13" t="str">
        <f aca="false">TRIM(Raw_Data!A1630)</f>
        <v>EMP1629</v>
      </c>
      <c r="B1630" s="14" t="n">
        <f aca="false">Raw_Data!B1630</f>
        <v>45244</v>
      </c>
      <c r="C1630" s="14" t="str">
        <f aca="false">IF(Raw_Data!C1630="","",Raw_Data!C1630)</f>
        <v/>
      </c>
      <c r="D1630" s="13" t="n">
        <f aca="false">IF(Raw_Data!D1630="","",Raw_Data!D1630)</f>
        <v>28</v>
      </c>
      <c r="E1630" s="13" t="str">
        <f aca="false">IF(UPPER(LEFT(TRIM(Raw_Data!E1630),1))="M","Male",IF(UPPER(LEFT(TRIM(Raw_Data!E1630),1))="F","Female","Unknown"))</f>
        <v>Female</v>
      </c>
      <c r="F1630" s="13" t="str">
        <f aca="false">PROPER(TRIM(SUBSTITUTE(Raw_Data!F1630,"'","")))</f>
        <v>High School</v>
      </c>
      <c r="G1630" s="13" t="str">
        <f aca="false">PROPER(TRIM(Raw_Data!G1630))</f>
        <v>Engineering</v>
      </c>
      <c r="H1630" s="13" t="str">
        <f aca="false">PROPER(TRIM(Raw_Data!H1630))</f>
        <v>Manager</v>
      </c>
      <c r="I1630" s="13" t="n">
        <f aca="false">IF(Raw_Data!I1630="",DefaultPerf,Raw_Data!I1630)</f>
        <v>3</v>
      </c>
      <c r="J1630" s="13" t="n">
        <f aca="false">IF(Raw_Data!J1630="",DefaultSat,Raw_Data!J1630)</f>
        <v>4</v>
      </c>
      <c r="K1630" s="15" t="n">
        <f aca="false">Raw_Data!K1630</f>
        <v>169500</v>
      </c>
      <c r="L1630" s="13" t="str">
        <f aca="false">PROPER(TRIM(Raw_Data!N1630))</f>
        <v>Yes</v>
      </c>
      <c r="M1630" s="13" t="n">
        <f aca="false">IF(C1630="",0,1)</f>
        <v>0</v>
      </c>
      <c r="N1630" s="13" t="str">
        <f aca="false">IF(M1630=0,"Active",IF(TRIM(Raw_Data!L1630)="","Unknown",PROPER(TRIM(Raw_Data!L1630))))</f>
        <v>Active</v>
      </c>
      <c r="O1630" s="13" t="str">
        <f aca="false">IF(M1630=0,"",IF(TRIM(Raw_Data!M1630)="","Not Recorded",TRIM(Raw_Data!M1630)))</f>
        <v/>
      </c>
      <c r="P1630" s="16" t="n">
        <f aca="false">ROUND((IF(C1630="",AsOfDate,C1630)-B1630)/365.25,2)</f>
        <v>2.13</v>
      </c>
      <c r="Q1630" s="13" t="str">
        <f aca="false">IF(D1630="","Unknown",IF(D1630&lt;25,"Under 25",IF(D1630&lt;35,"25-34",IF(D1630&lt;45,"35-44",IF(D1630&lt;55,"45-54","55+")))))</f>
        <v>25-34</v>
      </c>
      <c r="R1630" s="13" t="str">
        <f aca="false">IF(P1630&lt;1,"0-1 yrs",IF(P1630&lt;3,"1-3 yrs",IF(P1630&lt;5,"3-5 yrs",IF(P1630&lt;10,"5-10 yrs","10+ yrs"))))</f>
        <v>1-3 yrs</v>
      </c>
      <c r="S1630" s="13" t="str">
        <f aca="false">IF(I1630&gt;=4,"High",IF(I1630=3,"Medium","Low"))</f>
        <v>Medium</v>
      </c>
      <c r="T1630" s="13" t="str">
        <f aca="false">IF(M1630=1,YEAR(C1630),"")</f>
        <v/>
      </c>
      <c r="U1630" s="13" t="str">
        <f aca="false">IF(M1630=1,YEAR(C1630)&amp;"-Q"&amp;ROUNDUP(MONTH(C1630)/3,0),"")</f>
        <v/>
      </c>
      <c r="V1630" s="13" t="str">
        <f aca="false">IF(M1630=1,MONTH(C1630),"")</f>
        <v/>
      </c>
    </row>
    <row r="1631" customFormat="false" ht="15" hidden="false" customHeight="false" outlineLevel="0" collapsed="false">
      <c r="A1631" s="13" t="str">
        <f aca="false">TRIM(Raw_Data!A1631)</f>
        <v>EMP1630</v>
      </c>
      <c r="B1631" s="14" t="n">
        <f aca="false">Raw_Data!B1631</f>
        <v>45247</v>
      </c>
      <c r="C1631" s="14" t="n">
        <f aca="false">IF(Raw_Data!C1631="","",Raw_Data!C1631)</f>
        <v>45337</v>
      </c>
      <c r="D1631" s="13" t="n">
        <f aca="false">IF(Raw_Data!D1631="","",Raw_Data!D1631)</f>
        <v>26</v>
      </c>
      <c r="E1631" s="13" t="str">
        <f aca="false">IF(UPPER(LEFT(TRIM(Raw_Data!E1631),1))="M","Male",IF(UPPER(LEFT(TRIM(Raw_Data!E1631),1))="F","Female","Unknown"))</f>
        <v>Male</v>
      </c>
      <c r="F1631" s="13" t="str">
        <f aca="false">PROPER(TRIM(SUBSTITUTE(Raw_Data!F1631,"'","")))</f>
        <v>Masters</v>
      </c>
      <c r="G1631" s="13" t="str">
        <f aca="false">PROPER(TRIM(Raw_Data!G1631))</f>
        <v>Operations</v>
      </c>
      <c r="H1631" s="13" t="str">
        <f aca="false">PROPER(TRIM(Raw_Data!H1631))</f>
        <v>Specialist</v>
      </c>
      <c r="I1631" s="13" t="n">
        <f aca="false">IF(Raw_Data!I1631="",DefaultPerf,Raw_Data!I1631)</f>
        <v>5</v>
      </c>
      <c r="J1631" s="13" t="n">
        <f aca="false">IF(Raw_Data!J1631="",DefaultSat,Raw_Data!J1631)</f>
        <v>1</v>
      </c>
      <c r="K1631" s="15" t="n">
        <f aca="false">Raw_Data!K1631</f>
        <v>87000</v>
      </c>
      <c r="L1631" s="13" t="str">
        <f aca="false">PROPER(TRIM(Raw_Data!N1631))</f>
        <v>Yes</v>
      </c>
      <c r="M1631" s="13" t="n">
        <f aca="false">IF(C1631="",0,1)</f>
        <v>1</v>
      </c>
      <c r="N1631" s="13" t="str">
        <f aca="false">IF(M1631=0,"Active",IF(TRIM(Raw_Data!L1631)="","Unknown",PROPER(TRIM(Raw_Data!L1631))))</f>
        <v>Voluntary</v>
      </c>
      <c r="O1631" s="13" t="str">
        <f aca="false">IF(M1631=0,"",IF(TRIM(Raw_Data!M1631)="","Not Recorded",TRIM(Raw_Data!M1631)))</f>
        <v>Work-Life Balance</v>
      </c>
      <c r="P1631" s="16" t="n">
        <f aca="false">ROUND((IF(C1631="",AsOfDate,C1631)-B1631)/365.25,2)</f>
        <v>0.25</v>
      </c>
      <c r="Q1631" s="13" t="str">
        <f aca="false">IF(D1631="","Unknown",IF(D1631&lt;25,"Under 25",IF(D1631&lt;35,"25-34",IF(D1631&lt;45,"35-44",IF(D1631&lt;55,"45-54","55+")))))</f>
        <v>25-34</v>
      </c>
      <c r="R1631" s="13" t="str">
        <f aca="false">IF(P1631&lt;1,"0-1 yrs",IF(P1631&lt;3,"1-3 yrs",IF(P1631&lt;5,"3-5 yrs",IF(P1631&lt;10,"5-10 yrs","10+ yrs"))))</f>
        <v>0-1 yrs</v>
      </c>
      <c r="S1631" s="13" t="str">
        <f aca="false">IF(I1631&gt;=4,"High",IF(I1631=3,"Medium","Low"))</f>
        <v>High</v>
      </c>
      <c r="T1631" s="13" t="n">
        <f aca="false">IF(M1631=1,YEAR(C1631),"")</f>
        <v>2024</v>
      </c>
      <c r="U1631" s="13" t="str">
        <f aca="false">IF(M1631=1,YEAR(C1631)&amp;"-Q"&amp;ROUNDUP(MONTH(C1631)/3,0),"")</f>
        <v>2024-Q1</v>
      </c>
      <c r="V1631" s="13" t="n">
        <f aca="false">IF(M1631=1,MONTH(C1631),"")</f>
        <v>2</v>
      </c>
    </row>
    <row r="1632" customFormat="false" ht="15" hidden="false" customHeight="false" outlineLevel="0" collapsed="false">
      <c r="A1632" s="13" t="str">
        <f aca="false">TRIM(Raw_Data!A1632)</f>
        <v>EMP1631</v>
      </c>
      <c r="B1632" s="14" t="n">
        <f aca="false">Raw_Data!B1632</f>
        <v>45249</v>
      </c>
      <c r="C1632" s="14" t="str">
        <f aca="false">IF(Raw_Data!C1632="","",Raw_Data!C1632)</f>
        <v/>
      </c>
      <c r="D1632" s="13" t="n">
        <f aca="false">IF(Raw_Data!D1632="","",Raw_Data!D1632)</f>
        <v>28</v>
      </c>
      <c r="E1632" s="13" t="str">
        <f aca="false">IF(UPPER(LEFT(TRIM(Raw_Data!E1632),1))="M","Male",IF(UPPER(LEFT(TRIM(Raw_Data!E1632),1))="F","Female","Unknown"))</f>
        <v>Male</v>
      </c>
      <c r="F1632" s="13" t="str">
        <f aca="false">PROPER(TRIM(SUBSTITUTE(Raw_Data!F1632,"'","")))</f>
        <v>High School</v>
      </c>
      <c r="G1632" s="13" t="str">
        <f aca="false">PROPER(TRIM(Raw_Data!G1632))</f>
        <v>Operations</v>
      </c>
      <c r="H1632" s="13" t="str">
        <f aca="false">PROPER(TRIM(Raw_Data!H1632))</f>
        <v>Senior Analyst</v>
      </c>
      <c r="I1632" s="13" t="n">
        <f aca="false">IF(Raw_Data!I1632="",DefaultPerf,Raw_Data!I1632)</f>
        <v>3</v>
      </c>
      <c r="J1632" s="13" t="n">
        <f aca="false">IF(Raw_Data!J1632="",DefaultSat,Raw_Data!J1632)</f>
        <v>2</v>
      </c>
      <c r="K1632" s="15" t="n">
        <f aca="false">Raw_Data!K1632</f>
        <v>98000</v>
      </c>
      <c r="L1632" s="13" t="str">
        <f aca="false">PROPER(TRIM(Raw_Data!N1632))</f>
        <v>No</v>
      </c>
      <c r="M1632" s="13" t="n">
        <f aca="false">IF(C1632="",0,1)</f>
        <v>0</v>
      </c>
      <c r="N1632" s="13" t="str">
        <f aca="false">IF(M1632=0,"Active",IF(TRIM(Raw_Data!L1632)="","Unknown",PROPER(TRIM(Raw_Data!L1632))))</f>
        <v>Active</v>
      </c>
      <c r="O1632" s="13" t="str">
        <f aca="false">IF(M1632=0,"",IF(TRIM(Raw_Data!M1632)="","Not Recorded",TRIM(Raw_Data!M1632)))</f>
        <v/>
      </c>
      <c r="P1632" s="16" t="n">
        <f aca="false">ROUND((IF(C1632="",AsOfDate,C1632)-B1632)/365.25,2)</f>
        <v>2.12</v>
      </c>
      <c r="Q1632" s="13" t="str">
        <f aca="false">IF(D1632="","Unknown",IF(D1632&lt;25,"Under 25",IF(D1632&lt;35,"25-34",IF(D1632&lt;45,"35-44",IF(D1632&lt;55,"45-54","55+")))))</f>
        <v>25-34</v>
      </c>
      <c r="R1632" s="13" t="str">
        <f aca="false">IF(P1632&lt;1,"0-1 yrs",IF(P1632&lt;3,"1-3 yrs",IF(P1632&lt;5,"3-5 yrs",IF(P1632&lt;10,"5-10 yrs","10+ yrs"))))</f>
        <v>1-3 yrs</v>
      </c>
      <c r="S1632" s="13" t="str">
        <f aca="false">IF(I1632&gt;=4,"High",IF(I1632=3,"Medium","Low"))</f>
        <v>Medium</v>
      </c>
      <c r="T1632" s="13" t="str">
        <f aca="false">IF(M1632=1,YEAR(C1632),"")</f>
        <v/>
      </c>
      <c r="U1632" s="13" t="str">
        <f aca="false">IF(M1632=1,YEAR(C1632)&amp;"-Q"&amp;ROUNDUP(MONTH(C1632)/3,0),"")</f>
        <v/>
      </c>
      <c r="V1632" s="13" t="str">
        <f aca="false">IF(M1632=1,MONTH(C1632),"")</f>
        <v/>
      </c>
    </row>
    <row r="1633" customFormat="false" ht="15" hidden="false" customHeight="false" outlineLevel="0" collapsed="false">
      <c r="A1633" s="13" t="str">
        <f aca="false">TRIM(Raw_Data!A1633)</f>
        <v>EMP1632</v>
      </c>
      <c r="B1633" s="14" t="n">
        <f aca="false">Raw_Data!B1633</f>
        <v>45250</v>
      </c>
      <c r="C1633" s="14" t="n">
        <f aca="false">IF(Raw_Data!C1633="","",Raw_Data!C1633)</f>
        <v>45399</v>
      </c>
      <c r="D1633" s="13" t="n">
        <f aca="false">IF(Raw_Data!D1633="","",Raw_Data!D1633)</f>
        <v>30</v>
      </c>
      <c r="E1633" s="13" t="str">
        <f aca="false">IF(UPPER(LEFT(TRIM(Raw_Data!E1633),1))="M","Male",IF(UPPER(LEFT(TRIM(Raw_Data!E1633),1))="F","Female","Unknown"))</f>
        <v>Male</v>
      </c>
      <c r="F1633" s="13" t="str">
        <f aca="false">PROPER(TRIM(SUBSTITUTE(Raw_Data!F1633,"'","")))</f>
        <v>Masters</v>
      </c>
      <c r="G1633" s="13" t="str">
        <f aca="false">PROPER(TRIM(Raw_Data!G1633))</f>
        <v>Sales</v>
      </c>
      <c r="H1633" s="13" t="str">
        <f aca="false">PROPER(TRIM(Raw_Data!H1633))</f>
        <v>Associate</v>
      </c>
      <c r="I1633" s="13" t="n">
        <f aca="false">IF(Raw_Data!I1633="",DefaultPerf,Raw_Data!I1633)</f>
        <v>4</v>
      </c>
      <c r="J1633" s="13" t="n">
        <f aca="false">IF(Raw_Data!J1633="",DefaultSat,Raw_Data!J1633)</f>
        <v>4</v>
      </c>
      <c r="K1633" s="15" t="n">
        <f aca="false">Raw_Data!K1633</f>
        <v>37000</v>
      </c>
      <c r="L1633" s="13" t="str">
        <f aca="false">PROPER(TRIM(Raw_Data!N1633))</f>
        <v>No</v>
      </c>
      <c r="M1633" s="13" t="n">
        <f aca="false">IF(C1633="",0,1)</f>
        <v>1</v>
      </c>
      <c r="N1633" s="13" t="str">
        <f aca="false">IF(M1633=0,"Active",IF(TRIM(Raw_Data!L1633)="","Unknown",PROPER(TRIM(Raw_Data!L1633))))</f>
        <v>Voluntary</v>
      </c>
      <c r="O1633" s="13" t="str">
        <f aca="false">IF(M1633=0,"",IF(TRIM(Raw_Data!M1633)="","Not Recorded",TRIM(Raw_Data!M1633)))</f>
        <v>Job Dissatisfaction</v>
      </c>
      <c r="P1633" s="16" t="n">
        <f aca="false">ROUND((IF(C1633="",AsOfDate,C1633)-B1633)/365.25,2)</f>
        <v>0.41</v>
      </c>
      <c r="Q1633" s="13" t="str">
        <f aca="false">IF(D1633="","Unknown",IF(D1633&lt;25,"Under 25",IF(D1633&lt;35,"25-34",IF(D1633&lt;45,"35-44",IF(D1633&lt;55,"45-54","55+")))))</f>
        <v>25-34</v>
      </c>
      <c r="R1633" s="13" t="str">
        <f aca="false">IF(P1633&lt;1,"0-1 yrs",IF(P1633&lt;3,"1-3 yrs",IF(P1633&lt;5,"3-5 yrs",IF(P1633&lt;10,"5-10 yrs","10+ yrs"))))</f>
        <v>0-1 yrs</v>
      </c>
      <c r="S1633" s="13" t="str">
        <f aca="false">IF(I1633&gt;=4,"High",IF(I1633=3,"Medium","Low"))</f>
        <v>High</v>
      </c>
      <c r="T1633" s="13" t="n">
        <f aca="false">IF(M1633=1,YEAR(C1633),"")</f>
        <v>2024</v>
      </c>
      <c r="U1633" s="13" t="str">
        <f aca="false">IF(M1633=1,YEAR(C1633)&amp;"-Q"&amp;ROUNDUP(MONTH(C1633)/3,0),"")</f>
        <v>2024-Q2</v>
      </c>
      <c r="V1633" s="13" t="n">
        <f aca="false">IF(M1633=1,MONTH(C1633),"")</f>
        <v>4</v>
      </c>
    </row>
    <row r="1634" customFormat="false" ht="15" hidden="false" customHeight="false" outlineLevel="0" collapsed="false">
      <c r="A1634" s="13" t="str">
        <f aca="false">TRIM(Raw_Data!A1634)</f>
        <v>EMP1633</v>
      </c>
      <c r="B1634" s="14" t="n">
        <f aca="false">Raw_Data!B1634</f>
        <v>45250</v>
      </c>
      <c r="C1634" s="14" t="n">
        <f aca="false">IF(Raw_Data!C1634="","",Raw_Data!C1634)</f>
        <v>45400</v>
      </c>
      <c r="D1634" s="13" t="n">
        <f aca="false">IF(Raw_Data!D1634="","",Raw_Data!D1634)</f>
        <v>23</v>
      </c>
      <c r="E1634" s="13" t="str">
        <f aca="false">IF(UPPER(LEFT(TRIM(Raw_Data!E1634),1))="M","Male",IF(UPPER(LEFT(TRIM(Raw_Data!E1634),1))="F","Female","Unknown"))</f>
        <v>Male</v>
      </c>
      <c r="F1634" s="13" t="str">
        <f aca="false">PROPER(TRIM(SUBSTITUTE(Raw_Data!F1634,"'","")))</f>
        <v>Bachelors</v>
      </c>
      <c r="G1634" s="13" t="str">
        <f aca="false">PROPER(TRIM(Raw_Data!G1634))</f>
        <v>Sales</v>
      </c>
      <c r="H1634" s="13" t="str">
        <f aca="false">PROPER(TRIM(Raw_Data!H1634))</f>
        <v>Associate</v>
      </c>
      <c r="I1634" s="13" t="n">
        <f aca="false">IF(Raw_Data!I1634="",DefaultPerf,Raw_Data!I1634)</f>
        <v>3</v>
      </c>
      <c r="J1634" s="13" t="n">
        <f aca="false">IF(Raw_Data!J1634="",DefaultSat,Raw_Data!J1634)</f>
        <v>2</v>
      </c>
      <c r="K1634" s="15" t="n">
        <f aca="false">Raw_Data!K1634</f>
        <v>30500</v>
      </c>
      <c r="L1634" s="13" t="str">
        <f aca="false">PROPER(TRIM(Raw_Data!N1634))</f>
        <v>No</v>
      </c>
      <c r="M1634" s="13" t="n">
        <f aca="false">IF(C1634="",0,1)</f>
        <v>1</v>
      </c>
      <c r="N1634" s="13" t="str">
        <f aca="false">IF(M1634=0,"Active",IF(TRIM(Raw_Data!L1634)="","Unknown",PROPER(TRIM(Raw_Data!L1634))))</f>
        <v>Voluntary</v>
      </c>
      <c r="O1634" s="13" t="str">
        <f aca="false">IF(M1634=0,"",IF(TRIM(Raw_Data!M1634)="","Not Recorded",TRIM(Raw_Data!M1634)))</f>
        <v>Job Dissatisfaction</v>
      </c>
      <c r="P1634" s="16" t="n">
        <f aca="false">ROUND((IF(C1634="",AsOfDate,C1634)-B1634)/365.25,2)</f>
        <v>0.41</v>
      </c>
      <c r="Q1634" s="13" t="str">
        <f aca="false">IF(D1634="","Unknown",IF(D1634&lt;25,"Under 25",IF(D1634&lt;35,"25-34",IF(D1634&lt;45,"35-44",IF(D1634&lt;55,"45-54","55+")))))</f>
        <v>Under 25</v>
      </c>
      <c r="R1634" s="13" t="str">
        <f aca="false">IF(P1634&lt;1,"0-1 yrs",IF(P1634&lt;3,"1-3 yrs",IF(P1634&lt;5,"3-5 yrs",IF(P1634&lt;10,"5-10 yrs","10+ yrs"))))</f>
        <v>0-1 yrs</v>
      </c>
      <c r="S1634" s="13" t="str">
        <f aca="false">IF(I1634&gt;=4,"High",IF(I1634=3,"Medium","Low"))</f>
        <v>Medium</v>
      </c>
      <c r="T1634" s="13" t="n">
        <f aca="false">IF(M1634=1,YEAR(C1634),"")</f>
        <v>2024</v>
      </c>
      <c r="U1634" s="13" t="str">
        <f aca="false">IF(M1634=1,YEAR(C1634)&amp;"-Q"&amp;ROUNDUP(MONTH(C1634)/3,0),"")</f>
        <v>2024-Q2</v>
      </c>
      <c r="V1634" s="13" t="n">
        <f aca="false">IF(M1634=1,MONTH(C1634),"")</f>
        <v>4</v>
      </c>
    </row>
    <row r="1635" customFormat="false" ht="15" hidden="false" customHeight="false" outlineLevel="0" collapsed="false">
      <c r="A1635" s="13" t="str">
        <f aca="false">TRIM(Raw_Data!A1635)</f>
        <v>EMP1634</v>
      </c>
      <c r="B1635" s="14" t="n">
        <f aca="false">Raw_Data!B1635</f>
        <v>45250</v>
      </c>
      <c r="C1635" s="14" t="str">
        <f aca="false">IF(Raw_Data!C1635="","",Raw_Data!C1635)</f>
        <v/>
      </c>
      <c r="D1635" s="13" t="n">
        <f aca="false">IF(Raw_Data!D1635="","",Raw_Data!D1635)</f>
        <v>33</v>
      </c>
      <c r="E1635" s="13" t="str">
        <f aca="false">IF(UPPER(LEFT(TRIM(Raw_Data!E1635),1))="M","Male",IF(UPPER(LEFT(TRIM(Raw_Data!E1635),1))="F","Female","Unknown"))</f>
        <v>Male</v>
      </c>
      <c r="F1635" s="13" t="str">
        <f aca="false">PROPER(TRIM(SUBSTITUTE(Raw_Data!F1635,"'","")))</f>
        <v>Bachelors</v>
      </c>
      <c r="G1635" s="13" t="str">
        <f aca="false">PROPER(TRIM(Raw_Data!G1635))</f>
        <v>Customer Support</v>
      </c>
      <c r="H1635" s="13" t="str">
        <f aca="false">PROPER(TRIM(Raw_Data!H1635))</f>
        <v>Team Lead</v>
      </c>
      <c r="I1635" s="13" t="n">
        <f aca="false">IF(Raw_Data!I1635="",DefaultPerf,Raw_Data!I1635)</f>
        <v>4</v>
      </c>
      <c r="J1635" s="13" t="n">
        <f aca="false">IF(Raw_Data!J1635="",DefaultSat,Raw_Data!J1635)</f>
        <v>1</v>
      </c>
      <c r="K1635" s="15" t="n">
        <f aca="false">Raw_Data!K1635</f>
        <v>132000</v>
      </c>
      <c r="L1635" s="13" t="str">
        <f aca="false">PROPER(TRIM(Raw_Data!N1635))</f>
        <v>No</v>
      </c>
      <c r="M1635" s="13" t="n">
        <f aca="false">IF(C1635="",0,1)</f>
        <v>0</v>
      </c>
      <c r="N1635" s="13" t="str">
        <f aca="false">IF(M1635=0,"Active",IF(TRIM(Raw_Data!L1635)="","Unknown",PROPER(TRIM(Raw_Data!L1635))))</f>
        <v>Active</v>
      </c>
      <c r="O1635" s="13" t="str">
        <f aca="false">IF(M1635=0,"",IF(TRIM(Raw_Data!M1635)="","Not Recorded",TRIM(Raw_Data!M1635)))</f>
        <v/>
      </c>
      <c r="P1635" s="16" t="n">
        <f aca="false">ROUND((IF(C1635="",AsOfDate,C1635)-B1635)/365.25,2)</f>
        <v>2.11</v>
      </c>
      <c r="Q1635" s="13" t="str">
        <f aca="false">IF(D1635="","Unknown",IF(D1635&lt;25,"Under 25",IF(D1635&lt;35,"25-34",IF(D1635&lt;45,"35-44",IF(D1635&lt;55,"45-54","55+")))))</f>
        <v>25-34</v>
      </c>
      <c r="R1635" s="13" t="str">
        <f aca="false">IF(P1635&lt;1,"0-1 yrs",IF(P1635&lt;3,"1-3 yrs",IF(P1635&lt;5,"3-5 yrs",IF(P1635&lt;10,"5-10 yrs","10+ yrs"))))</f>
        <v>1-3 yrs</v>
      </c>
      <c r="S1635" s="13" t="str">
        <f aca="false">IF(I1635&gt;=4,"High",IF(I1635=3,"Medium","Low"))</f>
        <v>High</v>
      </c>
      <c r="T1635" s="13" t="str">
        <f aca="false">IF(M1635=1,YEAR(C1635),"")</f>
        <v/>
      </c>
      <c r="U1635" s="13" t="str">
        <f aca="false">IF(M1635=1,YEAR(C1635)&amp;"-Q"&amp;ROUNDUP(MONTH(C1635)/3,0),"")</f>
        <v/>
      </c>
      <c r="V1635" s="13" t="str">
        <f aca="false">IF(M1635=1,MONTH(C1635),"")</f>
        <v/>
      </c>
    </row>
    <row r="1636" customFormat="false" ht="15" hidden="false" customHeight="false" outlineLevel="0" collapsed="false">
      <c r="A1636" s="13" t="str">
        <f aca="false">TRIM(Raw_Data!A1636)</f>
        <v>EMP1635</v>
      </c>
      <c r="B1636" s="14" t="n">
        <f aca="false">Raw_Data!B1636</f>
        <v>45250</v>
      </c>
      <c r="C1636" s="14" t="n">
        <f aca="false">IF(Raw_Data!C1636="","",Raw_Data!C1636)</f>
        <v>45533</v>
      </c>
      <c r="D1636" s="13" t="n">
        <f aca="false">IF(Raw_Data!D1636="","",Raw_Data!D1636)</f>
        <v>27</v>
      </c>
      <c r="E1636" s="13" t="str">
        <f aca="false">IF(UPPER(LEFT(TRIM(Raw_Data!E1636),1))="M","Male",IF(UPPER(LEFT(TRIM(Raw_Data!E1636),1))="F","Female","Unknown"))</f>
        <v>Male</v>
      </c>
      <c r="F1636" s="13" t="str">
        <f aca="false">PROPER(TRIM(SUBSTITUTE(Raw_Data!F1636,"'","")))</f>
        <v>Bachelors</v>
      </c>
      <c r="G1636" s="13" t="str">
        <f aca="false">PROPER(TRIM(Raw_Data!G1636))</f>
        <v>Sales</v>
      </c>
      <c r="H1636" s="13" t="str">
        <f aca="false">PROPER(TRIM(Raw_Data!H1636))</f>
        <v>Associate</v>
      </c>
      <c r="I1636" s="13" t="n">
        <f aca="false">IF(Raw_Data!I1636="",DefaultPerf,Raw_Data!I1636)</f>
        <v>3</v>
      </c>
      <c r="J1636" s="17" t="n">
        <f aca="false">IF(Raw_Data!J1636="",DefaultSat,Raw_Data!J1636)</f>
        <v>3</v>
      </c>
      <c r="K1636" s="15" t="n">
        <f aca="false">Raw_Data!K1636</f>
        <v>36000</v>
      </c>
      <c r="L1636" s="13" t="str">
        <f aca="false">PROPER(TRIM(Raw_Data!N1636))</f>
        <v>Yes</v>
      </c>
      <c r="M1636" s="13" t="n">
        <f aca="false">IF(C1636="",0,1)</f>
        <v>1</v>
      </c>
      <c r="N1636" s="13" t="str">
        <f aca="false">IF(M1636=0,"Active",IF(TRIM(Raw_Data!L1636)="","Unknown",PROPER(TRIM(Raw_Data!L1636))))</f>
        <v>Voluntary</v>
      </c>
      <c r="O1636" s="13" t="str">
        <f aca="false">IF(M1636=0,"",IF(TRIM(Raw_Data!M1636)="","Not Recorded",TRIM(Raw_Data!M1636)))</f>
        <v>Better Compensation</v>
      </c>
      <c r="P1636" s="16" t="n">
        <f aca="false">ROUND((IF(C1636="",AsOfDate,C1636)-B1636)/365.25,2)</f>
        <v>0.77</v>
      </c>
      <c r="Q1636" s="13" t="str">
        <f aca="false">IF(D1636="","Unknown",IF(D1636&lt;25,"Under 25",IF(D1636&lt;35,"25-34",IF(D1636&lt;45,"35-44",IF(D1636&lt;55,"45-54","55+")))))</f>
        <v>25-34</v>
      </c>
      <c r="R1636" s="13" t="str">
        <f aca="false">IF(P1636&lt;1,"0-1 yrs",IF(P1636&lt;3,"1-3 yrs",IF(P1636&lt;5,"3-5 yrs",IF(P1636&lt;10,"5-10 yrs","10+ yrs"))))</f>
        <v>0-1 yrs</v>
      </c>
      <c r="S1636" s="13" t="str">
        <f aca="false">IF(I1636&gt;=4,"High",IF(I1636=3,"Medium","Low"))</f>
        <v>Medium</v>
      </c>
      <c r="T1636" s="13" t="n">
        <f aca="false">IF(M1636=1,YEAR(C1636),"")</f>
        <v>2024</v>
      </c>
      <c r="U1636" s="13" t="str">
        <f aca="false">IF(M1636=1,YEAR(C1636)&amp;"-Q"&amp;ROUNDUP(MONTH(C1636)/3,0),"")</f>
        <v>2024-Q3</v>
      </c>
      <c r="V1636" s="13" t="n">
        <f aca="false">IF(M1636=1,MONTH(C1636),"")</f>
        <v>8</v>
      </c>
    </row>
    <row r="1637" customFormat="false" ht="15" hidden="false" customHeight="false" outlineLevel="0" collapsed="false">
      <c r="A1637" s="13" t="str">
        <f aca="false">TRIM(Raw_Data!A1637)</f>
        <v>EMP1636</v>
      </c>
      <c r="B1637" s="14" t="n">
        <f aca="false">Raw_Data!B1637</f>
        <v>45251</v>
      </c>
      <c r="C1637" s="14" t="n">
        <f aca="false">IF(Raw_Data!C1637="","",Raw_Data!C1637)</f>
        <v>45485</v>
      </c>
      <c r="D1637" s="13" t="n">
        <f aca="false">IF(Raw_Data!D1637="","",Raw_Data!D1637)</f>
        <v>27</v>
      </c>
      <c r="E1637" s="13" t="str">
        <f aca="false">IF(UPPER(LEFT(TRIM(Raw_Data!E1637),1))="M","Male",IF(UPPER(LEFT(TRIM(Raw_Data!E1637),1))="F","Female","Unknown"))</f>
        <v>Male</v>
      </c>
      <c r="F1637" s="13" t="str">
        <f aca="false">PROPER(TRIM(SUBSTITUTE(Raw_Data!F1637,"'","")))</f>
        <v>Bachelors</v>
      </c>
      <c r="G1637" s="13" t="str">
        <f aca="false">PROPER(TRIM(Raw_Data!G1637))</f>
        <v>Engineering</v>
      </c>
      <c r="H1637" s="13" t="str">
        <f aca="false">PROPER(TRIM(Raw_Data!H1637))</f>
        <v>Associate</v>
      </c>
      <c r="I1637" s="13" t="n">
        <f aca="false">IF(Raw_Data!I1637="",DefaultPerf,Raw_Data!I1637)</f>
        <v>3</v>
      </c>
      <c r="J1637" s="13" t="n">
        <f aca="false">IF(Raw_Data!J1637="",DefaultSat,Raw_Data!J1637)</f>
        <v>3</v>
      </c>
      <c r="K1637" s="15" t="n">
        <f aca="false">Raw_Data!K1637</f>
        <v>41000</v>
      </c>
      <c r="L1637" s="13" t="str">
        <f aca="false">PROPER(TRIM(Raw_Data!N1637))</f>
        <v>No</v>
      </c>
      <c r="M1637" s="13" t="n">
        <f aca="false">IF(C1637="",0,1)</f>
        <v>1</v>
      </c>
      <c r="N1637" s="13" t="str">
        <f aca="false">IF(M1637=0,"Active",IF(TRIM(Raw_Data!L1637)="","Unknown",PROPER(TRIM(Raw_Data!L1637))))</f>
        <v>Voluntary</v>
      </c>
      <c r="O1637" s="13" t="str">
        <f aca="false">IF(M1637=0,"",IF(TRIM(Raw_Data!M1637)="","Not Recorded",TRIM(Raw_Data!M1637)))</f>
        <v>Further Studies</v>
      </c>
      <c r="P1637" s="16" t="n">
        <f aca="false">ROUND((IF(C1637="",AsOfDate,C1637)-B1637)/365.25,2)</f>
        <v>0.64</v>
      </c>
      <c r="Q1637" s="13" t="str">
        <f aca="false">IF(D1637="","Unknown",IF(D1637&lt;25,"Under 25",IF(D1637&lt;35,"25-34",IF(D1637&lt;45,"35-44",IF(D1637&lt;55,"45-54","55+")))))</f>
        <v>25-34</v>
      </c>
      <c r="R1637" s="13" t="str">
        <f aca="false">IF(P1637&lt;1,"0-1 yrs",IF(P1637&lt;3,"1-3 yrs",IF(P1637&lt;5,"3-5 yrs",IF(P1637&lt;10,"5-10 yrs","10+ yrs"))))</f>
        <v>0-1 yrs</v>
      </c>
      <c r="S1637" s="13" t="str">
        <f aca="false">IF(I1637&gt;=4,"High",IF(I1637=3,"Medium","Low"))</f>
        <v>Medium</v>
      </c>
      <c r="T1637" s="13" t="n">
        <f aca="false">IF(M1637=1,YEAR(C1637),"")</f>
        <v>2024</v>
      </c>
      <c r="U1637" s="13" t="str">
        <f aca="false">IF(M1637=1,YEAR(C1637)&amp;"-Q"&amp;ROUNDUP(MONTH(C1637)/3,0),"")</f>
        <v>2024-Q3</v>
      </c>
      <c r="V1637" s="13" t="n">
        <f aca="false">IF(M1637=1,MONTH(C1637),"")</f>
        <v>7</v>
      </c>
    </row>
    <row r="1638" customFormat="false" ht="15" hidden="false" customHeight="false" outlineLevel="0" collapsed="false">
      <c r="A1638" s="13" t="str">
        <f aca="false">TRIM(Raw_Data!A1638)</f>
        <v>EMP1637</v>
      </c>
      <c r="B1638" s="14" t="n">
        <f aca="false">Raw_Data!B1638</f>
        <v>45252</v>
      </c>
      <c r="C1638" s="14" t="str">
        <f aca="false">IF(Raw_Data!C1638="","",Raw_Data!C1638)</f>
        <v/>
      </c>
      <c r="D1638" s="13" t="n">
        <f aca="false">IF(Raw_Data!D1638="","",Raw_Data!D1638)</f>
        <v>34</v>
      </c>
      <c r="E1638" s="13" t="str">
        <f aca="false">IF(UPPER(LEFT(TRIM(Raw_Data!E1638),1))="M","Male",IF(UPPER(LEFT(TRIM(Raw_Data!E1638),1))="F","Female","Unknown"))</f>
        <v>Male</v>
      </c>
      <c r="F1638" s="13" t="str">
        <f aca="false">PROPER(TRIM(SUBSTITUTE(Raw_Data!F1638,"'","")))</f>
        <v>Masters</v>
      </c>
      <c r="G1638" s="13" t="str">
        <f aca="false">PROPER(TRIM(Raw_Data!G1638))</f>
        <v>Customer Support</v>
      </c>
      <c r="H1638" s="13" t="str">
        <f aca="false">PROPER(TRIM(Raw_Data!H1638))</f>
        <v>Team Lead</v>
      </c>
      <c r="I1638" s="13" t="n">
        <f aca="false">IF(Raw_Data!I1638="",DefaultPerf,Raw_Data!I1638)</f>
        <v>4</v>
      </c>
      <c r="J1638" s="13" t="n">
        <f aca="false">IF(Raw_Data!J1638="",DefaultSat,Raw_Data!J1638)</f>
        <v>2</v>
      </c>
      <c r="K1638" s="15" t="n">
        <f aca="false">Raw_Data!K1638</f>
        <v>123500</v>
      </c>
      <c r="L1638" s="13" t="str">
        <f aca="false">PROPER(TRIM(Raw_Data!N1638))</f>
        <v>No</v>
      </c>
      <c r="M1638" s="13" t="n">
        <f aca="false">IF(C1638="",0,1)</f>
        <v>0</v>
      </c>
      <c r="N1638" s="13" t="str">
        <f aca="false">IF(M1638=0,"Active",IF(TRIM(Raw_Data!L1638)="","Unknown",PROPER(TRIM(Raw_Data!L1638))))</f>
        <v>Active</v>
      </c>
      <c r="O1638" s="13" t="str">
        <f aca="false">IF(M1638=0,"",IF(TRIM(Raw_Data!M1638)="","Not Recorded",TRIM(Raw_Data!M1638)))</f>
        <v/>
      </c>
      <c r="P1638" s="16" t="n">
        <f aca="false">ROUND((IF(C1638="",AsOfDate,C1638)-B1638)/365.25,2)</f>
        <v>2.11</v>
      </c>
      <c r="Q1638" s="13" t="str">
        <f aca="false">IF(D1638="","Unknown",IF(D1638&lt;25,"Under 25",IF(D1638&lt;35,"25-34",IF(D1638&lt;45,"35-44",IF(D1638&lt;55,"45-54","55+")))))</f>
        <v>25-34</v>
      </c>
      <c r="R1638" s="13" t="str">
        <f aca="false">IF(P1638&lt;1,"0-1 yrs",IF(P1638&lt;3,"1-3 yrs",IF(P1638&lt;5,"3-5 yrs",IF(P1638&lt;10,"5-10 yrs","10+ yrs"))))</f>
        <v>1-3 yrs</v>
      </c>
      <c r="S1638" s="13" t="str">
        <f aca="false">IF(I1638&gt;=4,"High",IF(I1638=3,"Medium","Low"))</f>
        <v>High</v>
      </c>
      <c r="T1638" s="13" t="str">
        <f aca="false">IF(M1638=1,YEAR(C1638),"")</f>
        <v/>
      </c>
      <c r="U1638" s="13" t="str">
        <f aca="false">IF(M1638=1,YEAR(C1638)&amp;"-Q"&amp;ROUNDUP(MONTH(C1638)/3,0),"")</f>
        <v/>
      </c>
      <c r="V1638" s="13" t="str">
        <f aca="false">IF(M1638=1,MONTH(C1638),"")</f>
        <v/>
      </c>
    </row>
    <row r="1639" customFormat="false" ht="15" hidden="false" customHeight="false" outlineLevel="0" collapsed="false">
      <c r="A1639" s="13" t="str">
        <f aca="false">TRIM(Raw_Data!A1639)</f>
        <v>EMP1638</v>
      </c>
      <c r="B1639" s="14" t="n">
        <f aca="false">Raw_Data!B1639</f>
        <v>45255</v>
      </c>
      <c r="C1639" s="14" t="str">
        <f aca="false">IF(Raw_Data!C1639="","",Raw_Data!C1639)</f>
        <v/>
      </c>
      <c r="D1639" s="13" t="n">
        <f aca="false">IF(Raw_Data!D1639="","",Raw_Data!D1639)</f>
        <v>33</v>
      </c>
      <c r="E1639" s="13" t="str">
        <f aca="false">IF(UPPER(LEFT(TRIM(Raw_Data!E1639),1))="M","Male",IF(UPPER(LEFT(TRIM(Raw_Data!E1639),1))="F","Female","Unknown"))</f>
        <v>Male</v>
      </c>
      <c r="F1639" s="13" t="str">
        <f aca="false">PROPER(TRIM(SUBSTITUTE(Raw_Data!F1639,"'","")))</f>
        <v>Masters</v>
      </c>
      <c r="G1639" s="13" t="str">
        <f aca="false">PROPER(TRIM(Raw_Data!G1639))</f>
        <v>Customer Support</v>
      </c>
      <c r="H1639" s="13" t="str">
        <f aca="false">PROPER(TRIM(Raw_Data!H1639))</f>
        <v>Analyst</v>
      </c>
      <c r="I1639" s="13" t="n">
        <f aca="false">IF(Raw_Data!I1639="",DefaultPerf,Raw_Data!I1639)</f>
        <v>3</v>
      </c>
      <c r="J1639" s="13" t="n">
        <f aca="false">IF(Raw_Data!J1639="",DefaultSat,Raw_Data!J1639)</f>
        <v>1</v>
      </c>
      <c r="K1639" s="15" t="n">
        <f aca="false">Raw_Data!K1639</f>
        <v>63500</v>
      </c>
      <c r="L1639" s="13" t="str">
        <f aca="false">PROPER(TRIM(Raw_Data!N1639))</f>
        <v>No</v>
      </c>
      <c r="M1639" s="13" t="n">
        <f aca="false">IF(C1639="",0,1)</f>
        <v>0</v>
      </c>
      <c r="N1639" s="13" t="str">
        <f aca="false">IF(M1639=0,"Active",IF(TRIM(Raw_Data!L1639)="","Unknown",PROPER(TRIM(Raw_Data!L1639))))</f>
        <v>Active</v>
      </c>
      <c r="O1639" s="13" t="str">
        <f aca="false">IF(M1639=0,"",IF(TRIM(Raw_Data!M1639)="","Not Recorded",TRIM(Raw_Data!M1639)))</f>
        <v/>
      </c>
      <c r="P1639" s="16" t="n">
        <f aca="false">ROUND((IF(C1639="",AsOfDate,C1639)-B1639)/365.25,2)</f>
        <v>2.1</v>
      </c>
      <c r="Q1639" s="13" t="str">
        <f aca="false">IF(D1639="","Unknown",IF(D1639&lt;25,"Under 25",IF(D1639&lt;35,"25-34",IF(D1639&lt;45,"35-44",IF(D1639&lt;55,"45-54","55+")))))</f>
        <v>25-34</v>
      </c>
      <c r="R1639" s="13" t="str">
        <f aca="false">IF(P1639&lt;1,"0-1 yrs",IF(P1639&lt;3,"1-3 yrs",IF(P1639&lt;5,"3-5 yrs",IF(P1639&lt;10,"5-10 yrs","10+ yrs"))))</f>
        <v>1-3 yrs</v>
      </c>
      <c r="S1639" s="13" t="str">
        <f aca="false">IF(I1639&gt;=4,"High",IF(I1639=3,"Medium","Low"))</f>
        <v>Medium</v>
      </c>
      <c r="T1639" s="13" t="str">
        <f aca="false">IF(M1639=1,YEAR(C1639),"")</f>
        <v/>
      </c>
      <c r="U1639" s="13" t="str">
        <f aca="false">IF(M1639=1,YEAR(C1639)&amp;"-Q"&amp;ROUNDUP(MONTH(C1639)/3,0),"")</f>
        <v/>
      </c>
      <c r="V1639" s="13" t="str">
        <f aca="false">IF(M1639=1,MONTH(C1639),"")</f>
        <v/>
      </c>
    </row>
    <row r="1640" customFormat="false" ht="15" hidden="false" customHeight="false" outlineLevel="0" collapsed="false">
      <c r="A1640" s="13" t="str">
        <f aca="false">TRIM(Raw_Data!A1640)</f>
        <v>EMP1639</v>
      </c>
      <c r="B1640" s="14" t="n">
        <f aca="false">Raw_Data!B1640</f>
        <v>45256</v>
      </c>
      <c r="C1640" s="14" t="n">
        <f aca="false">IF(Raw_Data!C1640="","",Raw_Data!C1640)</f>
        <v>45273</v>
      </c>
      <c r="D1640" s="13" t="n">
        <f aca="false">IF(Raw_Data!D1640="","",Raw_Data!D1640)</f>
        <v>21</v>
      </c>
      <c r="E1640" s="13" t="str">
        <f aca="false">IF(UPPER(LEFT(TRIM(Raw_Data!E1640),1))="M","Male",IF(UPPER(LEFT(TRIM(Raw_Data!E1640),1))="F","Female","Unknown"))</f>
        <v>Female</v>
      </c>
      <c r="F1640" s="13" t="str">
        <f aca="false">PROPER(TRIM(SUBSTITUTE(Raw_Data!F1640,"'","")))</f>
        <v>Bachelors</v>
      </c>
      <c r="G1640" s="13" t="str">
        <f aca="false">PROPER(TRIM(Raw_Data!G1640))</f>
        <v>Sales</v>
      </c>
      <c r="H1640" s="13" t="str">
        <f aca="false">PROPER(TRIM(Raw_Data!H1640))</f>
        <v>Associate</v>
      </c>
      <c r="I1640" s="13" t="n">
        <f aca="false">IF(Raw_Data!I1640="",DefaultPerf,Raw_Data!I1640)</f>
        <v>5</v>
      </c>
      <c r="J1640" s="13" t="n">
        <f aca="false">IF(Raw_Data!J1640="",DefaultSat,Raw_Data!J1640)</f>
        <v>1</v>
      </c>
      <c r="K1640" s="15" t="n">
        <f aca="false">Raw_Data!K1640</f>
        <v>43000</v>
      </c>
      <c r="L1640" s="13" t="str">
        <f aca="false">PROPER(TRIM(Raw_Data!N1640))</f>
        <v>Yes</v>
      </c>
      <c r="M1640" s="13" t="n">
        <f aca="false">IF(C1640="",0,1)</f>
        <v>1</v>
      </c>
      <c r="N1640" s="13" t="str">
        <f aca="false">IF(M1640=0,"Active",IF(TRIM(Raw_Data!L1640)="","Unknown",PROPER(TRIM(Raw_Data!L1640))))</f>
        <v>Voluntary</v>
      </c>
      <c r="O1640" s="13" t="str">
        <f aca="false">IF(M1640=0,"",IF(TRIM(Raw_Data!M1640)="","Not Recorded",TRIM(Raw_Data!M1640)))</f>
        <v>Manager Issues</v>
      </c>
      <c r="P1640" s="16" t="n">
        <f aca="false">ROUND((IF(C1640="",AsOfDate,C1640)-B1640)/365.25,2)</f>
        <v>0.05</v>
      </c>
      <c r="Q1640" s="13" t="str">
        <f aca="false">IF(D1640="","Unknown",IF(D1640&lt;25,"Under 25",IF(D1640&lt;35,"25-34",IF(D1640&lt;45,"35-44",IF(D1640&lt;55,"45-54","55+")))))</f>
        <v>Under 25</v>
      </c>
      <c r="R1640" s="13" t="str">
        <f aca="false">IF(P1640&lt;1,"0-1 yrs",IF(P1640&lt;3,"1-3 yrs",IF(P1640&lt;5,"3-5 yrs",IF(P1640&lt;10,"5-10 yrs","10+ yrs"))))</f>
        <v>0-1 yrs</v>
      </c>
      <c r="S1640" s="13" t="str">
        <f aca="false">IF(I1640&gt;=4,"High",IF(I1640=3,"Medium","Low"))</f>
        <v>High</v>
      </c>
      <c r="T1640" s="13" t="n">
        <f aca="false">IF(M1640=1,YEAR(C1640),"")</f>
        <v>2023</v>
      </c>
      <c r="U1640" s="13" t="str">
        <f aca="false">IF(M1640=1,YEAR(C1640)&amp;"-Q"&amp;ROUNDUP(MONTH(C1640)/3,0),"")</f>
        <v>2023-Q4</v>
      </c>
      <c r="V1640" s="13" t="n">
        <f aca="false">IF(M1640=1,MONTH(C1640),"")</f>
        <v>12</v>
      </c>
    </row>
    <row r="1641" customFormat="false" ht="15" hidden="false" customHeight="false" outlineLevel="0" collapsed="false">
      <c r="A1641" s="13" t="str">
        <f aca="false">TRIM(Raw_Data!A1641)</f>
        <v>EMP1640</v>
      </c>
      <c r="B1641" s="14" t="n">
        <f aca="false">Raw_Data!B1641</f>
        <v>45261</v>
      </c>
      <c r="C1641" s="14" t="str">
        <f aca="false">IF(Raw_Data!C1641="","",Raw_Data!C1641)</f>
        <v/>
      </c>
      <c r="D1641" s="13" t="n">
        <f aca="false">IF(Raw_Data!D1641="","",Raw_Data!D1641)</f>
        <v>28</v>
      </c>
      <c r="E1641" s="13" t="str">
        <f aca="false">IF(UPPER(LEFT(TRIM(Raw_Data!E1641),1))="M","Male",IF(UPPER(LEFT(TRIM(Raw_Data!E1641),1))="F","Female","Unknown"))</f>
        <v>Female</v>
      </c>
      <c r="F1641" s="13" t="str">
        <f aca="false">PROPER(TRIM(SUBSTITUTE(Raw_Data!F1641,"'","")))</f>
        <v>Diploma</v>
      </c>
      <c r="G1641" s="13" t="str">
        <f aca="false">PROPER(TRIM(Raw_Data!G1641))</f>
        <v>Engineering</v>
      </c>
      <c r="H1641" s="13" t="str">
        <f aca="false">PROPER(TRIM(Raw_Data!H1641))</f>
        <v>Associate</v>
      </c>
      <c r="I1641" s="13" t="n">
        <f aca="false">IF(Raw_Data!I1641="",DefaultPerf,Raw_Data!I1641)</f>
        <v>1</v>
      </c>
      <c r="J1641" s="13" t="n">
        <f aca="false">IF(Raw_Data!J1641="",DefaultSat,Raw_Data!J1641)</f>
        <v>3</v>
      </c>
      <c r="K1641" s="15" t="n">
        <f aca="false">Raw_Data!K1641</f>
        <v>32500</v>
      </c>
      <c r="L1641" s="13" t="str">
        <f aca="false">PROPER(TRIM(Raw_Data!N1641))</f>
        <v>No</v>
      </c>
      <c r="M1641" s="13" t="n">
        <f aca="false">IF(C1641="",0,1)</f>
        <v>0</v>
      </c>
      <c r="N1641" s="13" t="str">
        <f aca="false">IF(M1641=0,"Active",IF(TRIM(Raw_Data!L1641)="","Unknown",PROPER(TRIM(Raw_Data!L1641))))</f>
        <v>Active</v>
      </c>
      <c r="O1641" s="13" t="str">
        <f aca="false">IF(M1641=0,"",IF(TRIM(Raw_Data!M1641)="","Not Recorded",TRIM(Raw_Data!M1641)))</f>
        <v/>
      </c>
      <c r="P1641" s="16" t="n">
        <f aca="false">ROUND((IF(C1641="",AsOfDate,C1641)-B1641)/365.25,2)</f>
        <v>2.08</v>
      </c>
      <c r="Q1641" s="13" t="str">
        <f aca="false">IF(D1641="","Unknown",IF(D1641&lt;25,"Under 25",IF(D1641&lt;35,"25-34",IF(D1641&lt;45,"35-44",IF(D1641&lt;55,"45-54","55+")))))</f>
        <v>25-34</v>
      </c>
      <c r="R1641" s="13" t="str">
        <f aca="false">IF(P1641&lt;1,"0-1 yrs",IF(P1641&lt;3,"1-3 yrs",IF(P1641&lt;5,"3-5 yrs",IF(P1641&lt;10,"5-10 yrs","10+ yrs"))))</f>
        <v>1-3 yrs</v>
      </c>
      <c r="S1641" s="13" t="str">
        <f aca="false">IF(I1641&gt;=4,"High",IF(I1641=3,"Medium","Low"))</f>
        <v>Low</v>
      </c>
      <c r="T1641" s="13" t="str">
        <f aca="false">IF(M1641=1,YEAR(C1641),"")</f>
        <v/>
      </c>
      <c r="U1641" s="13" t="str">
        <f aca="false">IF(M1641=1,YEAR(C1641)&amp;"-Q"&amp;ROUNDUP(MONTH(C1641)/3,0),"")</f>
        <v/>
      </c>
      <c r="V1641" s="13" t="str">
        <f aca="false">IF(M1641=1,MONTH(C1641),"")</f>
        <v/>
      </c>
    </row>
    <row r="1642" customFormat="false" ht="15" hidden="false" customHeight="false" outlineLevel="0" collapsed="false">
      <c r="A1642" s="13" t="str">
        <f aca="false">TRIM(Raw_Data!A1642)</f>
        <v>EMP1641</v>
      </c>
      <c r="B1642" s="14" t="n">
        <f aca="false">Raw_Data!B1642</f>
        <v>45261</v>
      </c>
      <c r="C1642" s="14" t="n">
        <f aca="false">IF(Raw_Data!C1642="","",Raw_Data!C1642)</f>
        <v>45857</v>
      </c>
      <c r="D1642" s="13" t="n">
        <f aca="false">IF(Raw_Data!D1642="","",Raw_Data!D1642)</f>
        <v>26</v>
      </c>
      <c r="E1642" s="13" t="str">
        <f aca="false">IF(UPPER(LEFT(TRIM(Raw_Data!E1642),1))="M","Male",IF(UPPER(LEFT(TRIM(Raw_Data!E1642),1))="F","Female","Unknown"))</f>
        <v>Female</v>
      </c>
      <c r="F1642" s="13" t="str">
        <f aca="false">PROPER(TRIM(SUBSTITUTE(Raw_Data!F1642,"'","")))</f>
        <v>Bachelors</v>
      </c>
      <c r="G1642" s="13" t="str">
        <f aca="false">PROPER(TRIM(Raw_Data!G1642))</f>
        <v>Customer Support</v>
      </c>
      <c r="H1642" s="13" t="str">
        <f aca="false">PROPER(TRIM(Raw_Data!H1642))</f>
        <v>Associate</v>
      </c>
      <c r="I1642" s="13" t="n">
        <f aca="false">IF(Raw_Data!I1642="",DefaultPerf,Raw_Data!I1642)</f>
        <v>3</v>
      </c>
      <c r="J1642" s="13" t="n">
        <f aca="false">IF(Raw_Data!J1642="",DefaultSat,Raw_Data!J1642)</f>
        <v>3</v>
      </c>
      <c r="K1642" s="15" t="n">
        <f aca="false">Raw_Data!K1642</f>
        <v>36500</v>
      </c>
      <c r="L1642" s="13" t="str">
        <f aca="false">PROPER(TRIM(Raw_Data!N1642))</f>
        <v>No</v>
      </c>
      <c r="M1642" s="13" t="n">
        <f aca="false">IF(C1642="",0,1)</f>
        <v>1</v>
      </c>
      <c r="N1642" s="13" t="str">
        <f aca="false">IF(M1642=0,"Active",IF(TRIM(Raw_Data!L1642)="","Unknown",PROPER(TRIM(Raw_Data!L1642))))</f>
        <v>Involuntary</v>
      </c>
      <c r="O1642" s="13" t="str">
        <f aca="false">IF(M1642=0,"",IF(TRIM(Raw_Data!M1642)="","Not Recorded",TRIM(Raw_Data!M1642)))</f>
        <v>Restructuring / Layoff</v>
      </c>
      <c r="P1642" s="16" t="n">
        <f aca="false">ROUND((IF(C1642="",AsOfDate,C1642)-B1642)/365.25,2)</f>
        <v>1.63</v>
      </c>
      <c r="Q1642" s="13" t="str">
        <f aca="false">IF(D1642="","Unknown",IF(D1642&lt;25,"Under 25",IF(D1642&lt;35,"25-34",IF(D1642&lt;45,"35-44",IF(D1642&lt;55,"45-54","55+")))))</f>
        <v>25-34</v>
      </c>
      <c r="R1642" s="13" t="str">
        <f aca="false">IF(P1642&lt;1,"0-1 yrs",IF(P1642&lt;3,"1-3 yrs",IF(P1642&lt;5,"3-5 yrs",IF(P1642&lt;10,"5-10 yrs","10+ yrs"))))</f>
        <v>1-3 yrs</v>
      </c>
      <c r="S1642" s="13" t="str">
        <f aca="false">IF(I1642&gt;=4,"High",IF(I1642=3,"Medium","Low"))</f>
        <v>Medium</v>
      </c>
      <c r="T1642" s="13" t="n">
        <f aca="false">IF(M1642=1,YEAR(C1642),"")</f>
        <v>2025</v>
      </c>
      <c r="U1642" s="13" t="str">
        <f aca="false">IF(M1642=1,YEAR(C1642)&amp;"-Q"&amp;ROUNDUP(MONTH(C1642)/3,0),"")</f>
        <v>2025-Q3</v>
      </c>
      <c r="V1642" s="13" t="n">
        <f aca="false">IF(M1642=1,MONTH(C1642),"")</f>
        <v>7</v>
      </c>
    </row>
    <row r="1643" customFormat="false" ht="15" hidden="false" customHeight="false" outlineLevel="0" collapsed="false">
      <c r="A1643" s="13" t="str">
        <f aca="false">TRIM(Raw_Data!A1643)</f>
        <v>EMP1642</v>
      </c>
      <c r="B1643" s="14" t="n">
        <f aca="false">Raw_Data!B1643</f>
        <v>45261</v>
      </c>
      <c r="C1643" s="14" t="str">
        <f aca="false">IF(Raw_Data!C1643="","",Raw_Data!C1643)</f>
        <v/>
      </c>
      <c r="D1643" s="13" t="n">
        <f aca="false">IF(Raw_Data!D1643="","",Raw_Data!D1643)</f>
        <v>36</v>
      </c>
      <c r="E1643" s="13" t="str">
        <f aca="false">IF(UPPER(LEFT(TRIM(Raw_Data!E1643),1))="M","Male",IF(UPPER(LEFT(TRIM(Raw_Data!E1643),1))="F","Female","Unknown"))</f>
        <v>Male</v>
      </c>
      <c r="F1643" s="13" t="str">
        <f aca="false">PROPER(TRIM(SUBSTITUTE(Raw_Data!F1643,"'","")))</f>
        <v>Masters</v>
      </c>
      <c r="G1643" s="13" t="str">
        <f aca="false">PROPER(TRIM(Raw_Data!G1643))</f>
        <v>Sales</v>
      </c>
      <c r="H1643" s="13" t="str">
        <f aca="false">PROPER(TRIM(Raw_Data!H1643))</f>
        <v>Analyst</v>
      </c>
      <c r="I1643" s="13" t="n">
        <f aca="false">IF(Raw_Data!I1643="",DefaultPerf,Raw_Data!I1643)</f>
        <v>2</v>
      </c>
      <c r="J1643" s="13" t="n">
        <f aca="false">IF(Raw_Data!J1643="",DefaultSat,Raw_Data!J1643)</f>
        <v>3</v>
      </c>
      <c r="K1643" s="15" t="n">
        <f aca="false">Raw_Data!K1643</f>
        <v>57000</v>
      </c>
      <c r="L1643" s="13" t="str">
        <f aca="false">PROPER(TRIM(Raw_Data!N1643))</f>
        <v>No</v>
      </c>
      <c r="M1643" s="13" t="n">
        <f aca="false">IF(C1643="",0,1)</f>
        <v>0</v>
      </c>
      <c r="N1643" s="13" t="str">
        <f aca="false">IF(M1643=0,"Active",IF(TRIM(Raw_Data!L1643)="","Unknown",PROPER(TRIM(Raw_Data!L1643))))</f>
        <v>Active</v>
      </c>
      <c r="O1643" s="13" t="str">
        <f aca="false">IF(M1643=0,"",IF(TRIM(Raw_Data!M1643)="","Not Recorded",TRIM(Raw_Data!M1643)))</f>
        <v/>
      </c>
      <c r="P1643" s="16" t="n">
        <f aca="false">ROUND((IF(C1643="",AsOfDate,C1643)-B1643)/365.25,2)</f>
        <v>2.08</v>
      </c>
      <c r="Q1643" s="13" t="str">
        <f aca="false">IF(D1643="","Unknown",IF(D1643&lt;25,"Under 25",IF(D1643&lt;35,"25-34",IF(D1643&lt;45,"35-44",IF(D1643&lt;55,"45-54","55+")))))</f>
        <v>35-44</v>
      </c>
      <c r="R1643" s="13" t="str">
        <f aca="false">IF(P1643&lt;1,"0-1 yrs",IF(P1643&lt;3,"1-3 yrs",IF(P1643&lt;5,"3-5 yrs",IF(P1643&lt;10,"5-10 yrs","10+ yrs"))))</f>
        <v>1-3 yrs</v>
      </c>
      <c r="S1643" s="13" t="str">
        <f aca="false">IF(I1643&gt;=4,"High",IF(I1643=3,"Medium","Low"))</f>
        <v>Low</v>
      </c>
      <c r="T1643" s="13" t="str">
        <f aca="false">IF(M1643=1,YEAR(C1643),"")</f>
        <v/>
      </c>
      <c r="U1643" s="13" t="str">
        <f aca="false">IF(M1643=1,YEAR(C1643)&amp;"-Q"&amp;ROUNDUP(MONTH(C1643)/3,0),"")</f>
        <v/>
      </c>
      <c r="V1643" s="13" t="str">
        <f aca="false">IF(M1643=1,MONTH(C1643),"")</f>
        <v/>
      </c>
    </row>
    <row r="1644" customFormat="false" ht="15" hidden="false" customHeight="false" outlineLevel="0" collapsed="false">
      <c r="A1644" s="13" t="str">
        <f aca="false">TRIM(Raw_Data!A1644)</f>
        <v>EMP1643</v>
      </c>
      <c r="B1644" s="14" t="n">
        <f aca="false">Raw_Data!B1644</f>
        <v>45261</v>
      </c>
      <c r="C1644" s="14" t="str">
        <f aca="false">IF(Raw_Data!C1644="","",Raw_Data!C1644)</f>
        <v/>
      </c>
      <c r="D1644" s="13" t="n">
        <f aca="false">IF(Raw_Data!D1644="","",Raw_Data!D1644)</f>
        <v>30</v>
      </c>
      <c r="E1644" s="13" t="str">
        <f aca="false">IF(UPPER(LEFT(TRIM(Raw_Data!E1644),1))="M","Male",IF(UPPER(LEFT(TRIM(Raw_Data!E1644),1))="F","Female","Unknown"))</f>
        <v>Male</v>
      </c>
      <c r="F1644" s="13" t="str">
        <f aca="false">PROPER(TRIM(SUBSTITUTE(Raw_Data!F1644,"'","")))</f>
        <v>Bachelors</v>
      </c>
      <c r="G1644" s="13" t="str">
        <f aca="false">PROPER(TRIM(Raw_Data!G1644))</f>
        <v>Operations</v>
      </c>
      <c r="H1644" s="13" t="str">
        <f aca="false">PROPER(TRIM(Raw_Data!H1644))</f>
        <v>Associate</v>
      </c>
      <c r="I1644" s="13" t="n">
        <f aca="false">IF(Raw_Data!I1644="",DefaultPerf,Raw_Data!I1644)</f>
        <v>4</v>
      </c>
      <c r="J1644" s="13" t="n">
        <f aca="false">IF(Raw_Data!J1644="",DefaultSat,Raw_Data!J1644)</f>
        <v>3</v>
      </c>
      <c r="K1644" s="15" t="n">
        <f aca="false">Raw_Data!K1644</f>
        <v>35000</v>
      </c>
      <c r="L1644" s="13" t="str">
        <f aca="false">PROPER(TRIM(Raw_Data!N1644))</f>
        <v>No</v>
      </c>
      <c r="M1644" s="13" t="n">
        <f aca="false">IF(C1644="",0,1)</f>
        <v>0</v>
      </c>
      <c r="N1644" s="13" t="str">
        <f aca="false">IF(M1644=0,"Active",IF(TRIM(Raw_Data!L1644)="","Unknown",PROPER(TRIM(Raw_Data!L1644))))</f>
        <v>Active</v>
      </c>
      <c r="O1644" s="13" t="str">
        <f aca="false">IF(M1644=0,"",IF(TRIM(Raw_Data!M1644)="","Not Recorded",TRIM(Raw_Data!M1644)))</f>
        <v/>
      </c>
      <c r="P1644" s="16" t="n">
        <f aca="false">ROUND((IF(C1644="",AsOfDate,C1644)-B1644)/365.25,2)</f>
        <v>2.08</v>
      </c>
      <c r="Q1644" s="13" t="str">
        <f aca="false">IF(D1644="","Unknown",IF(D1644&lt;25,"Under 25",IF(D1644&lt;35,"25-34",IF(D1644&lt;45,"35-44",IF(D1644&lt;55,"45-54","55+")))))</f>
        <v>25-34</v>
      </c>
      <c r="R1644" s="13" t="str">
        <f aca="false">IF(P1644&lt;1,"0-1 yrs",IF(P1644&lt;3,"1-3 yrs",IF(P1644&lt;5,"3-5 yrs",IF(P1644&lt;10,"5-10 yrs","10+ yrs"))))</f>
        <v>1-3 yrs</v>
      </c>
      <c r="S1644" s="13" t="str">
        <f aca="false">IF(I1644&gt;=4,"High",IF(I1644=3,"Medium","Low"))</f>
        <v>High</v>
      </c>
      <c r="T1644" s="13" t="str">
        <f aca="false">IF(M1644=1,YEAR(C1644),"")</f>
        <v/>
      </c>
      <c r="U1644" s="13" t="str">
        <f aca="false">IF(M1644=1,YEAR(C1644)&amp;"-Q"&amp;ROUNDUP(MONTH(C1644)/3,0),"")</f>
        <v/>
      </c>
      <c r="V1644" s="13" t="str">
        <f aca="false">IF(M1644=1,MONTH(C1644),"")</f>
        <v/>
      </c>
    </row>
    <row r="1645" customFormat="false" ht="15" hidden="false" customHeight="false" outlineLevel="0" collapsed="false">
      <c r="A1645" s="13" t="str">
        <f aca="false">TRIM(Raw_Data!A1645)</f>
        <v>EMP1644</v>
      </c>
      <c r="B1645" s="14" t="n">
        <f aca="false">Raw_Data!B1645</f>
        <v>45262</v>
      </c>
      <c r="C1645" s="14" t="n">
        <f aca="false">IF(Raw_Data!C1645="","",Raw_Data!C1645)</f>
        <v>45757</v>
      </c>
      <c r="D1645" s="13" t="n">
        <f aca="false">IF(Raw_Data!D1645="","",Raw_Data!D1645)</f>
        <v>31</v>
      </c>
      <c r="E1645" s="13" t="str">
        <f aca="false">IF(UPPER(LEFT(TRIM(Raw_Data!E1645),1))="M","Male",IF(UPPER(LEFT(TRIM(Raw_Data!E1645),1))="F","Female","Unknown"))</f>
        <v>Female</v>
      </c>
      <c r="F1645" s="13" t="str">
        <f aca="false">PROPER(TRIM(SUBSTITUTE(Raw_Data!F1645,"'","")))</f>
        <v>High School</v>
      </c>
      <c r="G1645" s="13" t="str">
        <f aca="false">PROPER(TRIM(Raw_Data!G1645))</f>
        <v>Engineering</v>
      </c>
      <c r="H1645" s="13" t="str">
        <f aca="false">PROPER(TRIM(Raw_Data!H1645))</f>
        <v>Analyst</v>
      </c>
      <c r="I1645" s="13" t="n">
        <f aca="false">IF(Raw_Data!I1645="",DefaultPerf,Raw_Data!I1645)</f>
        <v>3</v>
      </c>
      <c r="J1645" s="13" t="n">
        <f aca="false">IF(Raw_Data!J1645="",DefaultSat,Raw_Data!J1645)</f>
        <v>3</v>
      </c>
      <c r="K1645" s="15" t="n">
        <f aca="false">Raw_Data!K1645</f>
        <v>59000</v>
      </c>
      <c r="L1645" s="13" t="str">
        <f aca="false">PROPER(TRIM(Raw_Data!N1645))</f>
        <v>No</v>
      </c>
      <c r="M1645" s="13" t="n">
        <f aca="false">IF(C1645="",0,1)</f>
        <v>1</v>
      </c>
      <c r="N1645" s="13" t="str">
        <f aca="false">IF(M1645=0,"Active",IF(TRIM(Raw_Data!L1645)="","Unknown",PROPER(TRIM(Raw_Data!L1645))))</f>
        <v>Involuntary</v>
      </c>
      <c r="O1645" s="13" t="str">
        <f aca="false">IF(M1645=0,"",IF(TRIM(Raw_Data!M1645)="","Not Recorded",TRIM(Raw_Data!M1645)))</f>
        <v>Restructuring / Layoff</v>
      </c>
      <c r="P1645" s="16" t="n">
        <f aca="false">ROUND((IF(C1645="",AsOfDate,C1645)-B1645)/365.25,2)</f>
        <v>1.36</v>
      </c>
      <c r="Q1645" s="13" t="str">
        <f aca="false">IF(D1645="","Unknown",IF(D1645&lt;25,"Under 25",IF(D1645&lt;35,"25-34",IF(D1645&lt;45,"35-44",IF(D1645&lt;55,"45-54","55+")))))</f>
        <v>25-34</v>
      </c>
      <c r="R1645" s="13" t="str">
        <f aca="false">IF(P1645&lt;1,"0-1 yrs",IF(P1645&lt;3,"1-3 yrs",IF(P1645&lt;5,"3-5 yrs",IF(P1645&lt;10,"5-10 yrs","10+ yrs"))))</f>
        <v>1-3 yrs</v>
      </c>
      <c r="S1645" s="13" t="str">
        <f aca="false">IF(I1645&gt;=4,"High",IF(I1645=3,"Medium","Low"))</f>
        <v>Medium</v>
      </c>
      <c r="T1645" s="13" t="n">
        <f aca="false">IF(M1645=1,YEAR(C1645),"")</f>
        <v>2025</v>
      </c>
      <c r="U1645" s="13" t="str">
        <f aca="false">IF(M1645=1,YEAR(C1645)&amp;"-Q"&amp;ROUNDUP(MONTH(C1645)/3,0),"")</f>
        <v>2025-Q2</v>
      </c>
      <c r="V1645" s="13" t="n">
        <f aca="false">IF(M1645=1,MONTH(C1645),"")</f>
        <v>4</v>
      </c>
    </row>
    <row r="1646" customFormat="false" ht="15" hidden="false" customHeight="false" outlineLevel="0" collapsed="false">
      <c r="A1646" s="13" t="str">
        <f aca="false">TRIM(Raw_Data!A1646)</f>
        <v>EMP1645</v>
      </c>
      <c r="B1646" s="14" t="n">
        <f aca="false">Raw_Data!B1646</f>
        <v>45263</v>
      </c>
      <c r="C1646" s="14" t="n">
        <f aca="false">IF(Raw_Data!C1646="","",Raw_Data!C1646)</f>
        <v>45786</v>
      </c>
      <c r="D1646" s="13" t="n">
        <f aca="false">IF(Raw_Data!D1646="","",Raw_Data!D1646)</f>
        <v>33</v>
      </c>
      <c r="E1646" s="13" t="str">
        <f aca="false">IF(UPPER(LEFT(TRIM(Raw_Data!E1646),1))="M","Male",IF(UPPER(LEFT(TRIM(Raw_Data!E1646),1))="F","Female","Unknown"))</f>
        <v>Male</v>
      </c>
      <c r="F1646" s="13" t="str">
        <f aca="false">PROPER(TRIM(SUBSTITUTE(Raw_Data!F1646,"'","")))</f>
        <v>Bachelors</v>
      </c>
      <c r="G1646" s="13" t="str">
        <f aca="false">PROPER(TRIM(Raw_Data!G1646))</f>
        <v>Operations</v>
      </c>
      <c r="H1646" s="13" t="str">
        <f aca="false">PROPER(TRIM(Raw_Data!H1646))</f>
        <v>Analyst</v>
      </c>
      <c r="I1646" s="17" t="n">
        <f aca="false">IF(Raw_Data!I1646="",DefaultPerf,Raw_Data!I1646)</f>
        <v>3</v>
      </c>
      <c r="J1646" s="13" t="n">
        <f aca="false">IF(Raw_Data!J1646="",DefaultSat,Raw_Data!J1646)</f>
        <v>3</v>
      </c>
      <c r="K1646" s="15" t="n">
        <f aca="false">Raw_Data!K1646</f>
        <v>62000</v>
      </c>
      <c r="L1646" s="13" t="str">
        <f aca="false">PROPER(TRIM(Raw_Data!N1646))</f>
        <v>Yes</v>
      </c>
      <c r="M1646" s="13" t="n">
        <f aca="false">IF(C1646="",0,1)</f>
        <v>1</v>
      </c>
      <c r="N1646" s="13" t="str">
        <f aca="false">IF(M1646=0,"Active",IF(TRIM(Raw_Data!L1646)="","Unknown",PROPER(TRIM(Raw_Data!L1646))))</f>
        <v>Voluntary</v>
      </c>
      <c r="O1646" s="13" t="str">
        <f aca="false">IF(M1646=0,"",IF(TRIM(Raw_Data!M1646)="","Not Recorded",TRIM(Raw_Data!M1646)))</f>
        <v>Career Growth</v>
      </c>
      <c r="P1646" s="16" t="n">
        <f aca="false">ROUND((IF(C1646="",AsOfDate,C1646)-B1646)/365.25,2)</f>
        <v>1.43</v>
      </c>
      <c r="Q1646" s="13" t="str">
        <f aca="false">IF(D1646="","Unknown",IF(D1646&lt;25,"Under 25",IF(D1646&lt;35,"25-34",IF(D1646&lt;45,"35-44",IF(D1646&lt;55,"45-54","55+")))))</f>
        <v>25-34</v>
      </c>
      <c r="R1646" s="13" t="str">
        <f aca="false">IF(P1646&lt;1,"0-1 yrs",IF(P1646&lt;3,"1-3 yrs",IF(P1646&lt;5,"3-5 yrs",IF(P1646&lt;10,"5-10 yrs","10+ yrs"))))</f>
        <v>1-3 yrs</v>
      </c>
      <c r="S1646" s="13" t="str">
        <f aca="false">IF(I1646&gt;=4,"High",IF(I1646=3,"Medium","Low"))</f>
        <v>Medium</v>
      </c>
      <c r="T1646" s="13" t="n">
        <f aca="false">IF(M1646=1,YEAR(C1646),"")</f>
        <v>2025</v>
      </c>
      <c r="U1646" s="13" t="str">
        <f aca="false">IF(M1646=1,YEAR(C1646)&amp;"-Q"&amp;ROUNDUP(MONTH(C1646)/3,0),"")</f>
        <v>2025-Q2</v>
      </c>
      <c r="V1646" s="13" t="n">
        <f aca="false">IF(M1646=1,MONTH(C1646),"")</f>
        <v>5</v>
      </c>
    </row>
    <row r="1647" customFormat="false" ht="15" hidden="false" customHeight="false" outlineLevel="0" collapsed="false">
      <c r="A1647" s="13" t="str">
        <f aca="false">TRIM(Raw_Data!A1647)</f>
        <v>EMP1646</v>
      </c>
      <c r="B1647" s="14" t="n">
        <f aca="false">Raw_Data!B1647</f>
        <v>45266</v>
      </c>
      <c r="C1647" s="14" t="n">
        <f aca="false">IF(Raw_Data!C1647="","",Raw_Data!C1647)</f>
        <v>45364</v>
      </c>
      <c r="D1647" s="13" t="n">
        <f aca="false">IF(Raw_Data!D1647="","",Raw_Data!D1647)</f>
        <v>36</v>
      </c>
      <c r="E1647" s="13" t="str">
        <f aca="false">IF(UPPER(LEFT(TRIM(Raw_Data!E1647),1))="M","Male",IF(UPPER(LEFT(TRIM(Raw_Data!E1647),1))="F","Female","Unknown"))</f>
        <v>Female</v>
      </c>
      <c r="F1647" s="13" t="str">
        <f aca="false">PROPER(TRIM(SUBSTITUTE(Raw_Data!F1647,"'","")))</f>
        <v>Bachelors</v>
      </c>
      <c r="G1647" s="13" t="str">
        <f aca="false">PROPER(TRIM(Raw_Data!G1647))</f>
        <v>Sales</v>
      </c>
      <c r="H1647" s="13" t="str">
        <f aca="false">PROPER(TRIM(Raw_Data!H1647))</f>
        <v>Associate</v>
      </c>
      <c r="I1647" s="13" t="n">
        <f aca="false">IF(Raw_Data!I1647="",DefaultPerf,Raw_Data!I1647)</f>
        <v>2</v>
      </c>
      <c r="J1647" s="13" t="n">
        <f aca="false">IF(Raw_Data!J1647="",DefaultSat,Raw_Data!J1647)</f>
        <v>2</v>
      </c>
      <c r="K1647" s="15" t="n">
        <f aca="false">Raw_Data!K1647</f>
        <v>37000</v>
      </c>
      <c r="L1647" s="13" t="str">
        <f aca="false">PROPER(TRIM(Raw_Data!N1647))</f>
        <v>No</v>
      </c>
      <c r="M1647" s="13" t="n">
        <f aca="false">IF(C1647="",0,1)</f>
        <v>1</v>
      </c>
      <c r="N1647" s="13" t="str">
        <f aca="false">IF(M1647=0,"Active",IF(TRIM(Raw_Data!L1647)="","Unknown",PROPER(TRIM(Raw_Data!L1647))))</f>
        <v>Voluntary</v>
      </c>
      <c r="O1647" s="13" t="str">
        <f aca="false">IF(M1647=0,"",IF(TRIM(Raw_Data!M1647)="","Not Recorded",TRIM(Raw_Data!M1647)))</f>
        <v>Job Dissatisfaction</v>
      </c>
      <c r="P1647" s="16" t="n">
        <f aca="false">ROUND((IF(C1647="",AsOfDate,C1647)-B1647)/365.25,2)</f>
        <v>0.27</v>
      </c>
      <c r="Q1647" s="13" t="str">
        <f aca="false">IF(D1647="","Unknown",IF(D1647&lt;25,"Under 25",IF(D1647&lt;35,"25-34",IF(D1647&lt;45,"35-44",IF(D1647&lt;55,"45-54","55+")))))</f>
        <v>35-44</v>
      </c>
      <c r="R1647" s="13" t="str">
        <f aca="false">IF(P1647&lt;1,"0-1 yrs",IF(P1647&lt;3,"1-3 yrs",IF(P1647&lt;5,"3-5 yrs",IF(P1647&lt;10,"5-10 yrs","10+ yrs"))))</f>
        <v>0-1 yrs</v>
      </c>
      <c r="S1647" s="13" t="str">
        <f aca="false">IF(I1647&gt;=4,"High",IF(I1647=3,"Medium","Low"))</f>
        <v>Low</v>
      </c>
      <c r="T1647" s="13" t="n">
        <f aca="false">IF(M1647=1,YEAR(C1647),"")</f>
        <v>2024</v>
      </c>
      <c r="U1647" s="13" t="str">
        <f aca="false">IF(M1647=1,YEAR(C1647)&amp;"-Q"&amp;ROUNDUP(MONTH(C1647)/3,0),"")</f>
        <v>2024-Q1</v>
      </c>
      <c r="V1647" s="13" t="n">
        <f aca="false">IF(M1647=1,MONTH(C1647),"")</f>
        <v>3</v>
      </c>
    </row>
    <row r="1648" customFormat="false" ht="15" hidden="false" customHeight="false" outlineLevel="0" collapsed="false">
      <c r="A1648" s="13" t="str">
        <f aca="false">TRIM(Raw_Data!A1648)</f>
        <v>EMP1647</v>
      </c>
      <c r="B1648" s="14" t="n">
        <f aca="false">Raw_Data!B1648</f>
        <v>45267</v>
      </c>
      <c r="C1648" s="14" t="n">
        <f aca="false">IF(Raw_Data!C1648="","",Raw_Data!C1648)</f>
        <v>45727</v>
      </c>
      <c r="D1648" s="13" t="n">
        <f aca="false">IF(Raw_Data!D1648="","",Raw_Data!D1648)</f>
        <v>30</v>
      </c>
      <c r="E1648" s="13" t="str">
        <f aca="false">IF(UPPER(LEFT(TRIM(Raw_Data!E1648),1))="M","Male",IF(UPPER(LEFT(TRIM(Raw_Data!E1648),1))="F","Female","Unknown"))</f>
        <v>Male</v>
      </c>
      <c r="F1648" s="13" t="str">
        <f aca="false">PROPER(TRIM(SUBSTITUTE(Raw_Data!F1648,"'","")))</f>
        <v>Bachelors</v>
      </c>
      <c r="G1648" s="13" t="str">
        <f aca="false">PROPER(TRIM(Raw_Data!G1648))</f>
        <v>Engineering</v>
      </c>
      <c r="H1648" s="13" t="str">
        <f aca="false">PROPER(TRIM(Raw_Data!H1648))</f>
        <v>Analyst</v>
      </c>
      <c r="I1648" s="13" t="n">
        <f aca="false">IF(Raw_Data!I1648="",DefaultPerf,Raw_Data!I1648)</f>
        <v>2</v>
      </c>
      <c r="J1648" s="13" t="n">
        <f aca="false">IF(Raw_Data!J1648="",DefaultSat,Raw_Data!J1648)</f>
        <v>3</v>
      </c>
      <c r="K1648" s="15" t="n">
        <f aca="false">Raw_Data!K1648</f>
        <v>60000</v>
      </c>
      <c r="L1648" s="13" t="str">
        <f aca="false">PROPER(TRIM(Raw_Data!N1648))</f>
        <v>Yes</v>
      </c>
      <c r="M1648" s="13" t="n">
        <f aca="false">IF(C1648="",0,1)</f>
        <v>1</v>
      </c>
      <c r="N1648" s="13" t="str">
        <f aca="false">IF(M1648=0,"Active",IF(TRIM(Raw_Data!L1648)="","Unknown",PROPER(TRIM(Raw_Data!L1648))))</f>
        <v>Voluntary</v>
      </c>
      <c r="O1648" s="13" t="str">
        <f aca="false">IF(M1648=0,"",IF(TRIM(Raw_Data!M1648)="","Not Recorded",TRIM(Raw_Data!M1648)))</f>
        <v>Better Compensation</v>
      </c>
      <c r="P1648" s="16" t="n">
        <f aca="false">ROUND((IF(C1648="",AsOfDate,C1648)-B1648)/365.25,2)</f>
        <v>1.26</v>
      </c>
      <c r="Q1648" s="13" t="str">
        <f aca="false">IF(D1648="","Unknown",IF(D1648&lt;25,"Under 25",IF(D1648&lt;35,"25-34",IF(D1648&lt;45,"35-44",IF(D1648&lt;55,"45-54","55+")))))</f>
        <v>25-34</v>
      </c>
      <c r="R1648" s="13" t="str">
        <f aca="false">IF(P1648&lt;1,"0-1 yrs",IF(P1648&lt;3,"1-3 yrs",IF(P1648&lt;5,"3-5 yrs",IF(P1648&lt;10,"5-10 yrs","10+ yrs"))))</f>
        <v>1-3 yrs</v>
      </c>
      <c r="S1648" s="13" t="str">
        <f aca="false">IF(I1648&gt;=4,"High",IF(I1648=3,"Medium","Low"))</f>
        <v>Low</v>
      </c>
      <c r="T1648" s="13" t="n">
        <f aca="false">IF(M1648=1,YEAR(C1648),"")</f>
        <v>2025</v>
      </c>
      <c r="U1648" s="13" t="str">
        <f aca="false">IF(M1648=1,YEAR(C1648)&amp;"-Q"&amp;ROUNDUP(MONTH(C1648)/3,0),"")</f>
        <v>2025-Q1</v>
      </c>
      <c r="V1648" s="13" t="n">
        <f aca="false">IF(M1648=1,MONTH(C1648),"")</f>
        <v>3</v>
      </c>
    </row>
    <row r="1649" customFormat="false" ht="15" hidden="false" customHeight="false" outlineLevel="0" collapsed="false">
      <c r="A1649" s="13" t="str">
        <f aca="false">TRIM(Raw_Data!A1649)</f>
        <v>EMP1648</v>
      </c>
      <c r="B1649" s="14" t="n">
        <f aca="false">Raw_Data!B1649</f>
        <v>45270</v>
      </c>
      <c r="C1649" s="14" t="n">
        <f aca="false">IF(Raw_Data!C1649="","",Raw_Data!C1649)</f>
        <v>45401</v>
      </c>
      <c r="D1649" s="13" t="n">
        <f aca="false">IF(Raw_Data!D1649="","",Raw_Data!D1649)</f>
        <v>31</v>
      </c>
      <c r="E1649" s="13" t="str">
        <f aca="false">IF(UPPER(LEFT(TRIM(Raw_Data!E1649),1))="M","Male",IF(UPPER(LEFT(TRIM(Raw_Data!E1649),1))="F","Female","Unknown"))</f>
        <v>Male</v>
      </c>
      <c r="F1649" s="13" t="str">
        <f aca="false">PROPER(TRIM(SUBSTITUTE(Raw_Data!F1649,"'","")))</f>
        <v>Diploma</v>
      </c>
      <c r="G1649" s="13" t="str">
        <f aca="false">PROPER(TRIM(Raw_Data!G1649))</f>
        <v>Operations</v>
      </c>
      <c r="H1649" s="13" t="str">
        <f aca="false">PROPER(TRIM(Raw_Data!H1649))</f>
        <v>Senior Analyst</v>
      </c>
      <c r="I1649" s="13" t="n">
        <f aca="false">IF(Raw_Data!I1649="",DefaultPerf,Raw_Data!I1649)</f>
        <v>2</v>
      </c>
      <c r="J1649" s="13" t="n">
        <f aca="false">IF(Raw_Data!J1649="",DefaultSat,Raw_Data!J1649)</f>
        <v>3</v>
      </c>
      <c r="K1649" s="15" t="n">
        <f aca="false">Raw_Data!K1649</f>
        <v>88000</v>
      </c>
      <c r="L1649" s="13" t="str">
        <f aca="false">PROPER(TRIM(Raw_Data!N1649))</f>
        <v>Yes</v>
      </c>
      <c r="M1649" s="13" t="n">
        <f aca="false">IF(C1649="",0,1)</f>
        <v>1</v>
      </c>
      <c r="N1649" s="13" t="str">
        <f aca="false">IF(M1649=0,"Active",IF(TRIM(Raw_Data!L1649)="","Unknown",PROPER(TRIM(Raw_Data!L1649))))</f>
        <v>Involuntary</v>
      </c>
      <c r="O1649" s="13" t="str">
        <f aca="false">IF(M1649=0,"",IF(TRIM(Raw_Data!M1649)="","Not Recorded",TRIM(Raw_Data!M1649)))</f>
        <v>Poor Performance</v>
      </c>
      <c r="P1649" s="16" t="n">
        <f aca="false">ROUND((IF(C1649="",AsOfDate,C1649)-B1649)/365.25,2)</f>
        <v>0.36</v>
      </c>
      <c r="Q1649" s="13" t="str">
        <f aca="false">IF(D1649="","Unknown",IF(D1649&lt;25,"Under 25",IF(D1649&lt;35,"25-34",IF(D1649&lt;45,"35-44",IF(D1649&lt;55,"45-54","55+")))))</f>
        <v>25-34</v>
      </c>
      <c r="R1649" s="13" t="str">
        <f aca="false">IF(P1649&lt;1,"0-1 yrs",IF(P1649&lt;3,"1-3 yrs",IF(P1649&lt;5,"3-5 yrs",IF(P1649&lt;10,"5-10 yrs","10+ yrs"))))</f>
        <v>0-1 yrs</v>
      </c>
      <c r="S1649" s="13" t="str">
        <f aca="false">IF(I1649&gt;=4,"High",IF(I1649=3,"Medium","Low"))</f>
        <v>Low</v>
      </c>
      <c r="T1649" s="13" t="n">
        <f aca="false">IF(M1649=1,YEAR(C1649),"")</f>
        <v>2024</v>
      </c>
      <c r="U1649" s="13" t="str">
        <f aca="false">IF(M1649=1,YEAR(C1649)&amp;"-Q"&amp;ROUNDUP(MONTH(C1649)/3,0),"")</f>
        <v>2024-Q2</v>
      </c>
      <c r="V1649" s="13" t="n">
        <f aca="false">IF(M1649=1,MONTH(C1649),"")</f>
        <v>4</v>
      </c>
    </row>
    <row r="1650" customFormat="false" ht="15" hidden="false" customHeight="false" outlineLevel="0" collapsed="false">
      <c r="A1650" s="13" t="str">
        <f aca="false">TRIM(Raw_Data!A1650)</f>
        <v>EMP1649</v>
      </c>
      <c r="B1650" s="14" t="n">
        <f aca="false">Raw_Data!B1650</f>
        <v>45273</v>
      </c>
      <c r="C1650" s="14" t="n">
        <f aca="false">IF(Raw_Data!C1650="","",Raw_Data!C1650)</f>
        <v>45336</v>
      </c>
      <c r="D1650" s="13" t="n">
        <f aca="false">IF(Raw_Data!D1650="","",Raw_Data!D1650)</f>
        <v>34</v>
      </c>
      <c r="E1650" s="13" t="str">
        <f aca="false">IF(UPPER(LEFT(TRIM(Raw_Data!E1650),1))="M","Male",IF(UPPER(LEFT(TRIM(Raw_Data!E1650),1))="F","Female","Unknown"))</f>
        <v>Male</v>
      </c>
      <c r="F1650" s="13" t="str">
        <f aca="false">PROPER(TRIM(SUBSTITUTE(Raw_Data!F1650,"'","")))</f>
        <v>Doctorate</v>
      </c>
      <c r="G1650" s="13" t="str">
        <f aca="false">PROPER(TRIM(Raw_Data!G1650))</f>
        <v>Customer Support</v>
      </c>
      <c r="H1650" s="13" t="str">
        <f aca="false">PROPER(TRIM(Raw_Data!H1650))</f>
        <v>Analyst</v>
      </c>
      <c r="I1650" s="13" t="n">
        <f aca="false">IF(Raw_Data!I1650="",DefaultPerf,Raw_Data!I1650)</f>
        <v>3</v>
      </c>
      <c r="J1650" s="13" t="n">
        <f aca="false">IF(Raw_Data!J1650="",DefaultSat,Raw_Data!J1650)</f>
        <v>2</v>
      </c>
      <c r="K1650" s="15" t="n">
        <f aca="false">Raw_Data!K1650</f>
        <v>59500</v>
      </c>
      <c r="L1650" s="13" t="str">
        <f aca="false">PROPER(TRIM(Raw_Data!N1650))</f>
        <v>No</v>
      </c>
      <c r="M1650" s="13" t="n">
        <f aca="false">IF(C1650="",0,1)</f>
        <v>1</v>
      </c>
      <c r="N1650" s="13" t="str">
        <f aca="false">IF(M1650=0,"Active",IF(TRIM(Raw_Data!L1650)="","Unknown",PROPER(TRIM(Raw_Data!L1650))))</f>
        <v>Voluntary</v>
      </c>
      <c r="O1650" s="13" t="str">
        <f aca="false">IF(M1650=0,"",IF(TRIM(Raw_Data!M1650)="","Not Recorded",TRIM(Raw_Data!M1650)))</f>
        <v>Manager Issues</v>
      </c>
      <c r="P1650" s="16" t="n">
        <f aca="false">ROUND((IF(C1650="",AsOfDate,C1650)-B1650)/365.25,2)</f>
        <v>0.17</v>
      </c>
      <c r="Q1650" s="13" t="str">
        <f aca="false">IF(D1650="","Unknown",IF(D1650&lt;25,"Under 25",IF(D1650&lt;35,"25-34",IF(D1650&lt;45,"35-44",IF(D1650&lt;55,"45-54","55+")))))</f>
        <v>25-34</v>
      </c>
      <c r="R1650" s="13" t="str">
        <f aca="false">IF(P1650&lt;1,"0-1 yrs",IF(P1650&lt;3,"1-3 yrs",IF(P1650&lt;5,"3-5 yrs",IF(P1650&lt;10,"5-10 yrs","10+ yrs"))))</f>
        <v>0-1 yrs</v>
      </c>
      <c r="S1650" s="13" t="str">
        <f aca="false">IF(I1650&gt;=4,"High",IF(I1650=3,"Medium","Low"))</f>
        <v>Medium</v>
      </c>
      <c r="T1650" s="13" t="n">
        <f aca="false">IF(M1650=1,YEAR(C1650),"")</f>
        <v>2024</v>
      </c>
      <c r="U1650" s="13" t="str">
        <f aca="false">IF(M1650=1,YEAR(C1650)&amp;"-Q"&amp;ROUNDUP(MONTH(C1650)/3,0),"")</f>
        <v>2024-Q1</v>
      </c>
      <c r="V1650" s="13" t="n">
        <f aca="false">IF(M1650=1,MONTH(C1650),"")</f>
        <v>2</v>
      </c>
    </row>
    <row r="1651" customFormat="false" ht="15" hidden="false" customHeight="false" outlineLevel="0" collapsed="false">
      <c r="A1651" s="13" t="str">
        <f aca="false">TRIM(Raw_Data!A1651)</f>
        <v>EMP1650</v>
      </c>
      <c r="B1651" s="14" t="n">
        <f aca="false">Raw_Data!B1651</f>
        <v>45277</v>
      </c>
      <c r="C1651" s="14" t="str">
        <f aca="false">IF(Raw_Data!C1651="","",Raw_Data!C1651)</f>
        <v/>
      </c>
      <c r="D1651" s="13" t="n">
        <f aca="false">IF(Raw_Data!D1651="","",Raw_Data!D1651)</f>
        <v>30</v>
      </c>
      <c r="E1651" s="13" t="str">
        <f aca="false">IF(UPPER(LEFT(TRIM(Raw_Data!E1651),1))="M","Male",IF(UPPER(LEFT(TRIM(Raw_Data!E1651),1))="F","Female","Unknown"))</f>
        <v>Male</v>
      </c>
      <c r="F1651" s="13" t="str">
        <f aca="false">PROPER(TRIM(SUBSTITUTE(Raw_Data!F1651,"'","")))</f>
        <v>Masters</v>
      </c>
      <c r="G1651" s="13" t="str">
        <f aca="false">PROPER(TRIM(Raw_Data!G1651))</f>
        <v>Sales</v>
      </c>
      <c r="H1651" s="13" t="str">
        <f aca="false">PROPER(TRIM(Raw_Data!H1651))</f>
        <v>Analyst</v>
      </c>
      <c r="I1651" s="13" t="n">
        <f aca="false">IF(Raw_Data!I1651="",DefaultPerf,Raw_Data!I1651)</f>
        <v>3</v>
      </c>
      <c r="J1651" s="13" t="n">
        <f aca="false">IF(Raw_Data!J1651="",DefaultSat,Raw_Data!J1651)</f>
        <v>2</v>
      </c>
      <c r="K1651" s="15" t="n">
        <f aca="false">Raw_Data!K1651</f>
        <v>59500</v>
      </c>
      <c r="L1651" s="13" t="str">
        <f aca="false">PROPER(TRIM(Raw_Data!N1651))</f>
        <v>No</v>
      </c>
      <c r="M1651" s="13" t="n">
        <f aca="false">IF(C1651="",0,1)</f>
        <v>0</v>
      </c>
      <c r="N1651" s="13" t="str">
        <f aca="false">IF(M1651=0,"Active",IF(TRIM(Raw_Data!L1651)="","Unknown",PROPER(TRIM(Raw_Data!L1651))))</f>
        <v>Active</v>
      </c>
      <c r="O1651" s="13" t="str">
        <f aca="false">IF(M1651=0,"",IF(TRIM(Raw_Data!M1651)="","Not Recorded",TRIM(Raw_Data!M1651)))</f>
        <v/>
      </c>
      <c r="P1651" s="16" t="n">
        <f aca="false">ROUND((IF(C1651="",AsOfDate,C1651)-B1651)/365.25,2)</f>
        <v>2.04</v>
      </c>
      <c r="Q1651" s="13" t="str">
        <f aca="false">IF(D1651="","Unknown",IF(D1651&lt;25,"Under 25",IF(D1651&lt;35,"25-34",IF(D1651&lt;45,"35-44",IF(D1651&lt;55,"45-54","55+")))))</f>
        <v>25-34</v>
      </c>
      <c r="R1651" s="13" t="str">
        <f aca="false">IF(P1651&lt;1,"0-1 yrs",IF(P1651&lt;3,"1-3 yrs",IF(P1651&lt;5,"3-5 yrs",IF(P1651&lt;10,"5-10 yrs","10+ yrs"))))</f>
        <v>1-3 yrs</v>
      </c>
      <c r="S1651" s="13" t="str">
        <f aca="false">IF(I1651&gt;=4,"High",IF(I1651=3,"Medium","Low"))</f>
        <v>Medium</v>
      </c>
      <c r="T1651" s="13" t="str">
        <f aca="false">IF(M1651=1,YEAR(C1651),"")</f>
        <v/>
      </c>
      <c r="U1651" s="13" t="str">
        <f aca="false">IF(M1651=1,YEAR(C1651)&amp;"-Q"&amp;ROUNDUP(MONTH(C1651)/3,0),"")</f>
        <v/>
      </c>
      <c r="V1651" s="13" t="str">
        <f aca="false">IF(M1651=1,MONTH(C1651),"")</f>
        <v/>
      </c>
    </row>
    <row r="1652" customFormat="false" ht="15" hidden="false" customHeight="false" outlineLevel="0" collapsed="false">
      <c r="A1652" s="13" t="str">
        <f aca="false">TRIM(Raw_Data!A1652)</f>
        <v>EMP1651</v>
      </c>
      <c r="B1652" s="14" t="n">
        <f aca="false">Raw_Data!B1652</f>
        <v>45279</v>
      </c>
      <c r="C1652" s="14" t="n">
        <f aca="false">IF(Raw_Data!C1652="","",Raw_Data!C1652)</f>
        <v>45792</v>
      </c>
      <c r="D1652" s="13" t="n">
        <f aca="false">IF(Raw_Data!D1652="","",Raw_Data!D1652)</f>
        <v>38</v>
      </c>
      <c r="E1652" s="13" t="str">
        <f aca="false">IF(UPPER(LEFT(TRIM(Raw_Data!E1652),1))="M","Male",IF(UPPER(LEFT(TRIM(Raw_Data!E1652),1))="F","Female","Unknown"))</f>
        <v>Female</v>
      </c>
      <c r="F1652" s="13" t="str">
        <f aca="false">PROPER(TRIM(SUBSTITUTE(Raw_Data!F1652,"'","")))</f>
        <v>High School</v>
      </c>
      <c r="G1652" s="13" t="str">
        <f aca="false">PROPER(TRIM(Raw_Data!G1652))</f>
        <v>Engineering</v>
      </c>
      <c r="H1652" s="13" t="str">
        <f aca="false">PROPER(TRIM(Raw_Data!H1652))</f>
        <v>Analyst</v>
      </c>
      <c r="I1652" s="13" t="n">
        <f aca="false">IF(Raw_Data!I1652="",DefaultPerf,Raw_Data!I1652)</f>
        <v>1</v>
      </c>
      <c r="J1652" s="13" t="n">
        <f aca="false">IF(Raw_Data!J1652="",DefaultSat,Raw_Data!J1652)</f>
        <v>2</v>
      </c>
      <c r="K1652" s="15" t="n">
        <f aca="false">Raw_Data!K1652</f>
        <v>59500</v>
      </c>
      <c r="L1652" s="13" t="str">
        <f aca="false">PROPER(TRIM(Raw_Data!N1652))</f>
        <v>No</v>
      </c>
      <c r="M1652" s="13" t="n">
        <f aca="false">IF(C1652="",0,1)</f>
        <v>1</v>
      </c>
      <c r="N1652" s="13" t="str">
        <f aca="false">IF(M1652=0,"Active",IF(TRIM(Raw_Data!L1652)="","Unknown",PROPER(TRIM(Raw_Data!L1652))))</f>
        <v>Voluntary</v>
      </c>
      <c r="O1652" s="13" t="str">
        <f aca="false">IF(M1652=0,"",IF(TRIM(Raw_Data!M1652)="","Not Recorded",TRIM(Raw_Data!M1652)))</f>
        <v>Better Compensation</v>
      </c>
      <c r="P1652" s="16" t="n">
        <f aca="false">ROUND((IF(C1652="",AsOfDate,C1652)-B1652)/365.25,2)</f>
        <v>1.4</v>
      </c>
      <c r="Q1652" s="13" t="str">
        <f aca="false">IF(D1652="","Unknown",IF(D1652&lt;25,"Under 25",IF(D1652&lt;35,"25-34",IF(D1652&lt;45,"35-44",IF(D1652&lt;55,"45-54","55+")))))</f>
        <v>35-44</v>
      </c>
      <c r="R1652" s="13" t="str">
        <f aca="false">IF(P1652&lt;1,"0-1 yrs",IF(P1652&lt;3,"1-3 yrs",IF(P1652&lt;5,"3-5 yrs",IF(P1652&lt;10,"5-10 yrs","10+ yrs"))))</f>
        <v>1-3 yrs</v>
      </c>
      <c r="S1652" s="13" t="str">
        <f aca="false">IF(I1652&gt;=4,"High",IF(I1652=3,"Medium","Low"))</f>
        <v>Low</v>
      </c>
      <c r="T1652" s="13" t="n">
        <f aca="false">IF(M1652=1,YEAR(C1652),"")</f>
        <v>2025</v>
      </c>
      <c r="U1652" s="13" t="str">
        <f aca="false">IF(M1652=1,YEAR(C1652)&amp;"-Q"&amp;ROUNDUP(MONTH(C1652)/3,0),"")</f>
        <v>2025-Q2</v>
      </c>
      <c r="V1652" s="13" t="n">
        <f aca="false">IF(M1652=1,MONTH(C1652),"")</f>
        <v>5</v>
      </c>
    </row>
    <row r="1653" customFormat="false" ht="15" hidden="false" customHeight="false" outlineLevel="0" collapsed="false">
      <c r="A1653" s="13" t="str">
        <f aca="false">TRIM(Raw_Data!A1653)</f>
        <v>EMP1652</v>
      </c>
      <c r="B1653" s="14" t="n">
        <f aca="false">Raw_Data!B1653</f>
        <v>45285</v>
      </c>
      <c r="C1653" s="14" t="n">
        <f aca="false">IF(Raw_Data!C1653="","",Raw_Data!C1653)</f>
        <v>46018</v>
      </c>
      <c r="D1653" s="13" t="n">
        <f aca="false">IF(Raw_Data!D1653="","",Raw_Data!D1653)</f>
        <v>35</v>
      </c>
      <c r="E1653" s="13" t="str">
        <f aca="false">IF(UPPER(LEFT(TRIM(Raw_Data!E1653),1))="M","Male",IF(UPPER(LEFT(TRIM(Raw_Data!E1653),1))="F","Female","Unknown"))</f>
        <v>Male</v>
      </c>
      <c r="F1653" s="13" t="str">
        <f aca="false">PROPER(TRIM(SUBSTITUTE(Raw_Data!F1653,"'","")))</f>
        <v>Masters</v>
      </c>
      <c r="G1653" s="13" t="str">
        <f aca="false">PROPER(TRIM(Raw_Data!G1653))</f>
        <v>Engineering</v>
      </c>
      <c r="H1653" s="13" t="str">
        <f aca="false">PROPER(TRIM(Raw_Data!H1653))</f>
        <v>Manager</v>
      </c>
      <c r="I1653" s="13" t="n">
        <f aca="false">IF(Raw_Data!I1653="",DefaultPerf,Raw_Data!I1653)</f>
        <v>3</v>
      </c>
      <c r="J1653" s="13" t="n">
        <f aca="false">IF(Raw_Data!J1653="",DefaultSat,Raw_Data!J1653)</f>
        <v>4</v>
      </c>
      <c r="K1653" s="15" t="n">
        <f aca="false">Raw_Data!K1653</f>
        <v>191000</v>
      </c>
      <c r="L1653" s="13" t="str">
        <f aca="false">PROPER(TRIM(Raw_Data!N1653))</f>
        <v>No</v>
      </c>
      <c r="M1653" s="13" t="n">
        <f aca="false">IF(C1653="",0,1)</f>
        <v>1</v>
      </c>
      <c r="N1653" s="13" t="str">
        <f aca="false">IF(M1653=0,"Active",IF(TRIM(Raw_Data!L1653)="","Unknown",PROPER(TRIM(Raw_Data!L1653))))</f>
        <v>Voluntary</v>
      </c>
      <c r="O1653" s="13" t="str">
        <f aca="false">IF(M1653=0,"",IF(TRIM(Raw_Data!M1653)="","Not Recorded",TRIM(Raw_Data!M1653)))</f>
        <v>Career Growth</v>
      </c>
      <c r="P1653" s="16" t="n">
        <f aca="false">ROUND((IF(C1653="",AsOfDate,C1653)-B1653)/365.25,2)</f>
        <v>2.01</v>
      </c>
      <c r="Q1653" s="13" t="str">
        <f aca="false">IF(D1653="","Unknown",IF(D1653&lt;25,"Under 25",IF(D1653&lt;35,"25-34",IF(D1653&lt;45,"35-44",IF(D1653&lt;55,"45-54","55+")))))</f>
        <v>35-44</v>
      </c>
      <c r="R1653" s="13" t="str">
        <f aca="false">IF(P1653&lt;1,"0-1 yrs",IF(P1653&lt;3,"1-3 yrs",IF(P1653&lt;5,"3-5 yrs",IF(P1653&lt;10,"5-10 yrs","10+ yrs"))))</f>
        <v>1-3 yrs</v>
      </c>
      <c r="S1653" s="13" t="str">
        <f aca="false">IF(I1653&gt;=4,"High",IF(I1653=3,"Medium","Low"))</f>
        <v>Medium</v>
      </c>
      <c r="T1653" s="13" t="n">
        <f aca="false">IF(M1653=1,YEAR(C1653),"")</f>
        <v>2025</v>
      </c>
      <c r="U1653" s="13" t="str">
        <f aca="false">IF(M1653=1,YEAR(C1653)&amp;"-Q"&amp;ROUNDUP(MONTH(C1653)/3,0),"")</f>
        <v>2025-Q4</v>
      </c>
      <c r="V1653" s="13" t="n">
        <f aca="false">IF(M1653=1,MONTH(C1653),"")</f>
        <v>12</v>
      </c>
    </row>
    <row r="1654" customFormat="false" ht="15" hidden="false" customHeight="false" outlineLevel="0" collapsed="false">
      <c r="A1654" s="13" t="str">
        <f aca="false">TRIM(Raw_Data!A1654)</f>
        <v>EMP1653</v>
      </c>
      <c r="B1654" s="14" t="n">
        <f aca="false">Raw_Data!B1654</f>
        <v>45286</v>
      </c>
      <c r="C1654" s="14" t="str">
        <f aca="false">IF(Raw_Data!C1654="","",Raw_Data!C1654)</f>
        <v/>
      </c>
      <c r="D1654" s="13" t="n">
        <f aca="false">IF(Raw_Data!D1654="","",Raw_Data!D1654)</f>
        <v>33</v>
      </c>
      <c r="E1654" s="13" t="str">
        <f aca="false">IF(UPPER(LEFT(TRIM(Raw_Data!E1654),1))="M","Male",IF(UPPER(LEFT(TRIM(Raw_Data!E1654),1))="F","Female","Unknown"))</f>
        <v>Female</v>
      </c>
      <c r="F1654" s="13" t="str">
        <f aca="false">PROPER(TRIM(SUBSTITUTE(Raw_Data!F1654,"'","")))</f>
        <v>High School</v>
      </c>
      <c r="G1654" s="13" t="str">
        <f aca="false">PROPER(TRIM(Raw_Data!G1654))</f>
        <v>Customer Support</v>
      </c>
      <c r="H1654" s="13" t="str">
        <f aca="false">PROPER(TRIM(Raw_Data!H1654))</f>
        <v>Team Lead</v>
      </c>
      <c r="I1654" s="13" t="n">
        <f aca="false">IF(Raw_Data!I1654="",DefaultPerf,Raw_Data!I1654)</f>
        <v>3</v>
      </c>
      <c r="J1654" s="13" t="n">
        <f aca="false">IF(Raw_Data!J1654="",DefaultSat,Raw_Data!J1654)</f>
        <v>4</v>
      </c>
      <c r="K1654" s="15" t="n">
        <f aca="false">Raw_Data!K1654</f>
        <v>139500</v>
      </c>
      <c r="L1654" s="13" t="str">
        <f aca="false">PROPER(TRIM(Raw_Data!N1654))</f>
        <v>No</v>
      </c>
      <c r="M1654" s="13" t="n">
        <f aca="false">IF(C1654="",0,1)</f>
        <v>0</v>
      </c>
      <c r="N1654" s="13" t="str">
        <f aca="false">IF(M1654=0,"Active",IF(TRIM(Raw_Data!L1654)="","Unknown",PROPER(TRIM(Raw_Data!L1654))))</f>
        <v>Active</v>
      </c>
      <c r="O1654" s="13" t="str">
        <f aca="false">IF(M1654=0,"",IF(TRIM(Raw_Data!M1654)="","Not Recorded",TRIM(Raw_Data!M1654)))</f>
        <v/>
      </c>
      <c r="P1654" s="16" t="n">
        <f aca="false">ROUND((IF(C1654="",AsOfDate,C1654)-B1654)/365.25,2)</f>
        <v>2.02</v>
      </c>
      <c r="Q1654" s="13" t="str">
        <f aca="false">IF(D1654="","Unknown",IF(D1654&lt;25,"Under 25",IF(D1654&lt;35,"25-34",IF(D1654&lt;45,"35-44",IF(D1654&lt;55,"45-54","55+")))))</f>
        <v>25-34</v>
      </c>
      <c r="R1654" s="13" t="str">
        <f aca="false">IF(P1654&lt;1,"0-1 yrs",IF(P1654&lt;3,"1-3 yrs",IF(P1654&lt;5,"3-5 yrs",IF(P1654&lt;10,"5-10 yrs","10+ yrs"))))</f>
        <v>1-3 yrs</v>
      </c>
      <c r="S1654" s="13" t="str">
        <f aca="false">IF(I1654&gt;=4,"High",IF(I1654=3,"Medium","Low"))</f>
        <v>Medium</v>
      </c>
      <c r="T1654" s="13" t="str">
        <f aca="false">IF(M1654=1,YEAR(C1654),"")</f>
        <v/>
      </c>
      <c r="U1654" s="13" t="str">
        <f aca="false">IF(M1654=1,YEAR(C1654)&amp;"-Q"&amp;ROUNDUP(MONTH(C1654)/3,0),"")</f>
        <v/>
      </c>
      <c r="V1654" s="13" t="str">
        <f aca="false">IF(M1654=1,MONTH(C1654),"")</f>
        <v/>
      </c>
    </row>
    <row r="1655" customFormat="false" ht="15" hidden="false" customHeight="false" outlineLevel="0" collapsed="false">
      <c r="A1655" s="13" t="str">
        <f aca="false">TRIM(Raw_Data!A1655)</f>
        <v>EMP1654</v>
      </c>
      <c r="B1655" s="14" t="n">
        <f aca="false">Raw_Data!B1655</f>
        <v>45287</v>
      </c>
      <c r="C1655" s="14" t="str">
        <f aca="false">IF(Raw_Data!C1655="","",Raw_Data!C1655)</f>
        <v/>
      </c>
      <c r="D1655" s="13" t="n">
        <f aca="false">IF(Raw_Data!D1655="","",Raw_Data!D1655)</f>
        <v>39</v>
      </c>
      <c r="E1655" s="13" t="str">
        <f aca="false">IF(UPPER(LEFT(TRIM(Raw_Data!E1655),1))="M","Male",IF(UPPER(LEFT(TRIM(Raw_Data!E1655),1))="F","Female","Unknown"))</f>
        <v>Male</v>
      </c>
      <c r="F1655" s="13" t="str">
        <f aca="false">PROPER(TRIM(SUBSTITUTE(Raw_Data!F1655,"'","")))</f>
        <v>High School</v>
      </c>
      <c r="G1655" s="13" t="str">
        <f aca="false">PROPER(TRIM(Raw_Data!G1655))</f>
        <v>Operations</v>
      </c>
      <c r="H1655" s="13" t="str">
        <f aca="false">PROPER(TRIM(Raw_Data!H1655))</f>
        <v>Analyst</v>
      </c>
      <c r="I1655" s="13" t="n">
        <f aca="false">IF(Raw_Data!I1655="",DefaultPerf,Raw_Data!I1655)</f>
        <v>3</v>
      </c>
      <c r="J1655" s="13" t="n">
        <f aca="false">IF(Raw_Data!J1655="",DefaultSat,Raw_Data!J1655)</f>
        <v>3</v>
      </c>
      <c r="K1655" s="15" t="n">
        <f aca="false">Raw_Data!K1655</f>
        <v>67000</v>
      </c>
      <c r="L1655" s="13" t="str">
        <f aca="false">PROPER(TRIM(Raw_Data!N1655))</f>
        <v>Yes</v>
      </c>
      <c r="M1655" s="13" t="n">
        <f aca="false">IF(C1655="",0,1)</f>
        <v>0</v>
      </c>
      <c r="N1655" s="13" t="str">
        <f aca="false">IF(M1655=0,"Active",IF(TRIM(Raw_Data!L1655)="","Unknown",PROPER(TRIM(Raw_Data!L1655))))</f>
        <v>Active</v>
      </c>
      <c r="O1655" s="13" t="str">
        <f aca="false">IF(M1655=0,"",IF(TRIM(Raw_Data!M1655)="","Not Recorded",TRIM(Raw_Data!M1655)))</f>
        <v/>
      </c>
      <c r="P1655" s="16" t="n">
        <f aca="false">ROUND((IF(C1655="",AsOfDate,C1655)-B1655)/365.25,2)</f>
        <v>2.01</v>
      </c>
      <c r="Q1655" s="13" t="str">
        <f aca="false">IF(D1655="","Unknown",IF(D1655&lt;25,"Under 25",IF(D1655&lt;35,"25-34",IF(D1655&lt;45,"35-44",IF(D1655&lt;55,"45-54","55+")))))</f>
        <v>35-44</v>
      </c>
      <c r="R1655" s="13" t="str">
        <f aca="false">IF(P1655&lt;1,"0-1 yrs",IF(P1655&lt;3,"1-3 yrs",IF(P1655&lt;5,"3-5 yrs",IF(P1655&lt;10,"5-10 yrs","10+ yrs"))))</f>
        <v>1-3 yrs</v>
      </c>
      <c r="S1655" s="13" t="str">
        <f aca="false">IF(I1655&gt;=4,"High",IF(I1655=3,"Medium","Low"))</f>
        <v>Medium</v>
      </c>
      <c r="T1655" s="13" t="str">
        <f aca="false">IF(M1655=1,YEAR(C1655),"")</f>
        <v/>
      </c>
      <c r="U1655" s="13" t="str">
        <f aca="false">IF(M1655=1,YEAR(C1655)&amp;"-Q"&amp;ROUNDUP(MONTH(C1655)/3,0),"")</f>
        <v/>
      </c>
      <c r="V1655" s="13" t="str">
        <f aca="false">IF(M1655=1,MONTH(C1655),"")</f>
        <v/>
      </c>
    </row>
    <row r="1656" customFormat="false" ht="15" hidden="false" customHeight="false" outlineLevel="0" collapsed="false">
      <c r="A1656" s="13" t="str">
        <f aca="false">TRIM(Raw_Data!A1656)</f>
        <v>EMP1655</v>
      </c>
      <c r="B1656" s="14" t="n">
        <f aca="false">Raw_Data!B1656</f>
        <v>45287</v>
      </c>
      <c r="C1656" s="14" t="str">
        <f aca="false">IF(Raw_Data!C1656="","",Raw_Data!C1656)</f>
        <v/>
      </c>
      <c r="D1656" s="13" t="n">
        <f aca="false">IF(Raw_Data!D1656="","",Raw_Data!D1656)</f>
        <v>33</v>
      </c>
      <c r="E1656" s="13" t="str">
        <f aca="false">IF(UPPER(LEFT(TRIM(Raw_Data!E1656),1))="M","Male",IF(UPPER(LEFT(TRIM(Raw_Data!E1656),1))="F","Female","Unknown"))</f>
        <v>Male</v>
      </c>
      <c r="F1656" s="13" t="str">
        <f aca="false">PROPER(TRIM(SUBSTITUTE(Raw_Data!F1656,"'","")))</f>
        <v>Masters</v>
      </c>
      <c r="G1656" s="13" t="str">
        <f aca="false">PROPER(TRIM(Raw_Data!G1656))</f>
        <v>Engineering</v>
      </c>
      <c r="H1656" s="13" t="str">
        <f aca="false">PROPER(TRIM(Raw_Data!H1656))</f>
        <v>Specialist</v>
      </c>
      <c r="I1656" s="13" t="n">
        <f aca="false">IF(Raw_Data!I1656="",DefaultPerf,Raw_Data!I1656)</f>
        <v>4</v>
      </c>
      <c r="J1656" s="13" t="n">
        <f aca="false">IF(Raw_Data!J1656="",DefaultSat,Raw_Data!J1656)</f>
        <v>1</v>
      </c>
      <c r="K1656" s="15" t="n">
        <f aca="false">Raw_Data!K1656</f>
        <v>104000</v>
      </c>
      <c r="L1656" s="13" t="str">
        <f aca="false">PROPER(TRIM(Raw_Data!N1656))</f>
        <v>No</v>
      </c>
      <c r="M1656" s="13" t="n">
        <f aca="false">IF(C1656="",0,1)</f>
        <v>0</v>
      </c>
      <c r="N1656" s="13" t="str">
        <f aca="false">IF(M1656=0,"Active",IF(TRIM(Raw_Data!L1656)="","Unknown",PROPER(TRIM(Raw_Data!L1656))))</f>
        <v>Active</v>
      </c>
      <c r="O1656" s="13" t="str">
        <f aca="false">IF(M1656=0,"",IF(TRIM(Raw_Data!M1656)="","Not Recorded",TRIM(Raw_Data!M1656)))</f>
        <v/>
      </c>
      <c r="P1656" s="16" t="n">
        <f aca="false">ROUND((IF(C1656="",AsOfDate,C1656)-B1656)/365.25,2)</f>
        <v>2.01</v>
      </c>
      <c r="Q1656" s="13" t="str">
        <f aca="false">IF(D1656="","Unknown",IF(D1656&lt;25,"Under 25",IF(D1656&lt;35,"25-34",IF(D1656&lt;45,"35-44",IF(D1656&lt;55,"45-54","55+")))))</f>
        <v>25-34</v>
      </c>
      <c r="R1656" s="13" t="str">
        <f aca="false">IF(P1656&lt;1,"0-1 yrs",IF(P1656&lt;3,"1-3 yrs",IF(P1656&lt;5,"3-5 yrs",IF(P1656&lt;10,"5-10 yrs","10+ yrs"))))</f>
        <v>1-3 yrs</v>
      </c>
      <c r="S1656" s="13" t="str">
        <f aca="false">IF(I1656&gt;=4,"High",IF(I1656=3,"Medium","Low"))</f>
        <v>High</v>
      </c>
      <c r="T1656" s="13" t="str">
        <f aca="false">IF(M1656=1,YEAR(C1656),"")</f>
        <v/>
      </c>
      <c r="U1656" s="13" t="str">
        <f aca="false">IF(M1656=1,YEAR(C1656)&amp;"-Q"&amp;ROUNDUP(MONTH(C1656)/3,0),"")</f>
        <v/>
      </c>
      <c r="V1656" s="13" t="str">
        <f aca="false">IF(M1656=1,MONTH(C1656),"")</f>
        <v/>
      </c>
    </row>
    <row r="1657" customFormat="false" ht="15" hidden="false" customHeight="false" outlineLevel="0" collapsed="false">
      <c r="A1657" s="13" t="str">
        <f aca="false">TRIM(Raw_Data!A1657)</f>
        <v>EMP1656</v>
      </c>
      <c r="B1657" s="14" t="n">
        <f aca="false">Raw_Data!B1657</f>
        <v>45292</v>
      </c>
      <c r="C1657" s="14" t="str">
        <f aca="false">IF(Raw_Data!C1657="","",Raw_Data!C1657)</f>
        <v/>
      </c>
      <c r="D1657" s="13" t="n">
        <f aca="false">IF(Raw_Data!D1657="","",Raw_Data!D1657)</f>
        <v>42</v>
      </c>
      <c r="E1657" s="13" t="str">
        <f aca="false">IF(UPPER(LEFT(TRIM(Raw_Data!E1657),1))="M","Male",IF(UPPER(LEFT(TRIM(Raw_Data!E1657),1))="F","Female","Unknown"))</f>
        <v>Female</v>
      </c>
      <c r="F1657" s="13" t="str">
        <f aca="false">PROPER(TRIM(SUBSTITUTE(Raw_Data!F1657,"'","")))</f>
        <v>High School</v>
      </c>
      <c r="G1657" s="13" t="str">
        <f aca="false">PROPER(TRIM(Raw_Data!G1657))</f>
        <v>Engineering</v>
      </c>
      <c r="H1657" s="13" t="str">
        <f aca="false">PROPER(TRIM(Raw_Data!H1657))</f>
        <v>Team Lead</v>
      </c>
      <c r="I1657" s="13" t="n">
        <f aca="false">IF(Raw_Data!I1657="",DefaultPerf,Raw_Data!I1657)</f>
        <v>4</v>
      </c>
      <c r="J1657" s="13" t="n">
        <f aca="false">IF(Raw_Data!J1657="",DefaultSat,Raw_Data!J1657)</f>
        <v>4</v>
      </c>
      <c r="K1657" s="15" t="n">
        <f aca="false">Raw_Data!K1657</f>
        <v>120000</v>
      </c>
      <c r="L1657" s="13" t="str">
        <f aca="false">PROPER(TRIM(Raw_Data!N1657))</f>
        <v>No</v>
      </c>
      <c r="M1657" s="13" t="n">
        <f aca="false">IF(C1657="",0,1)</f>
        <v>0</v>
      </c>
      <c r="N1657" s="13" t="str">
        <f aca="false">IF(M1657=0,"Active",IF(TRIM(Raw_Data!L1657)="","Unknown",PROPER(TRIM(Raw_Data!L1657))))</f>
        <v>Active</v>
      </c>
      <c r="O1657" s="13" t="str">
        <f aca="false">IF(M1657=0,"",IF(TRIM(Raw_Data!M1657)="","Not Recorded",TRIM(Raw_Data!M1657)))</f>
        <v/>
      </c>
      <c r="P1657" s="16" t="n">
        <f aca="false">ROUND((IF(C1657="",AsOfDate,C1657)-B1657)/365.25,2)</f>
        <v>2</v>
      </c>
      <c r="Q1657" s="13" t="str">
        <f aca="false">IF(D1657="","Unknown",IF(D1657&lt;25,"Under 25",IF(D1657&lt;35,"25-34",IF(D1657&lt;45,"35-44",IF(D1657&lt;55,"45-54","55+")))))</f>
        <v>35-44</v>
      </c>
      <c r="R1657" s="13" t="str">
        <f aca="false">IF(P1657&lt;1,"0-1 yrs",IF(P1657&lt;3,"1-3 yrs",IF(P1657&lt;5,"3-5 yrs",IF(P1657&lt;10,"5-10 yrs","10+ yrs"))))</f>
        <v>1-3 yrs</v>
      </c>
      <c r="S1657" s="13" t="str">
        <f aca="false">IF(I1657&gt;=4,"High",IF(I1657=3,"Medium","Low"))</f>
        <v>High</v>
      </c>
      <c r="T1657" s="13" t="str">
        <f aca="false">IF(M1657=1,YEAR(C1657),"")</f>
        <v/>
      </c>
      <c r="U1657" s="13" t="str">
        <f aca="false">IF(M1657=1,YEAR(C1657)&amp;"-Q"&amp;ROUNDUP(MONTH(C1657)/3,0),"")</f>
        <v/>
      </c>
      <c r="V1657" s="13" t="str">
        <f aca="false">IF(M1657=1,MONTH(C1657),"")</f>
        <v/>
      </c>
    </row>
    <row r="1658" customFormat="false" ht="15" hidden="false" customHeight="false" outlineLevel="0" collapsed="false">
      <c r="A1658" s="13" t="str">
        <f aca="false">TRIM(Raw_Data!A1658)</f>
        <v>EMP1657</v>
      </c>
      <c r="B1658" s="14" t="n">
        <f aca="false">Raw_Data!B1658</f>
        <v>45293</v>
      </c>
      <c r="C1658" s="14" t="n">
        <f aca="false">IF(Raw_Data!C1658="","",Raw_Data!C1658)</f>
        <v>45329</v>
      </c>
      <c r="D1658" s="13" t="n">
        <f aca="false">IF(Raw_Data!D1658="","",Raw_Data!D1658)</f>
        <v>29</v>
      </c>
      <c r="E1658" s="13" t="str">
        <f aca="false">IF(UPPER(LEFT(TRIM(Raw_Data!E1658),1))="M","Male",IF(UPPER(LEFT(TRIM(Raw_Data!E1658),1))="F","Female","Unknown"))</f>
        <v>Female</v>
      </c>
      <c r="F1658" s="13" t="str">
        <f aca="false">PROPER(TRIM(SUBSTITUTE(Raw_Data!F1658,"'","")))</f>
        <v>Masters</v>
      </c>
      <c r="G1658" s="13" t="str">
        <f aca="false">PROPER(TRIM(Raw_Data!G1658))</f>
        <v>Customer Support</v>
      </c>
      <c r="H1658" s="13" t="str">
        <f aca="false">PROPER(TRIM(Raw_Data!H1658))</f>
        <v>Senior Analyst</v>
      </c>
      <c r="I1658" s="13" t="n">
        <f aca="false">IF(Raw_Data!I1658="",DefaultPerf,Raw_Data!I1658)</f>
        <v>4</v>
      </c>
      <c r="J1658" s="13" t="n">
        <f aca="false">IF(Raw_Data!J1658="",DefaultSat,Raw_Data!J1658)</f>
        <v>1</v>
      </c>
      <c r="K1658" s="15" t="n">
        <f aca="false">Raw_Data!K1658</f>
        <v>81500</v>
      </c>
      <c r="L1658" s="13" t="str">
        <f aca="false">PROPER(TRIM(Raw_Data!N1658))</f>
        <v>Yes</v>
      </c>
      <c r="M1658" s="13" t="n">
        <f aca="false">IF(C1658="",0,1)</f>
        <v>1</v>
      </c>
      <c r="N1658" s="13" t="str">
        <f aca="false">IF(M1658=0,"Active",IF(TRIM(Raw_Data!L1658)="","Unknown",PROPER(TRIM(Raw_Data!L1658))))</f>
        <v>Voluntary</v>
      </c>
      <c r="O1658" s="13" t="str">
        <f aca="false">IF(M1658=0,"",IF(TRIM(Raw_Data!M1658)="","Not Recorded",TRIM(Raw_Data!M1658)))</f>
        <v>Better Compensation</v>
      </c>
      <c r="P1658" s="16" t="n">
        <f aca="false">ROUND((IF(C1658="",AsOfDate,C1658)-B1658)/365.25,2)</f>
        <v>0.1</v>
      </c>
      <c r="Q1658" s="13" t="str">
        <f aca="false">IF(D1658="","Unknown",IF(D1658&lt;25,"Under 25",IF(D1658&lt;35,"25-34",IF(D1658&lt;45,"35-44",IF(D1658&lt;55,"45-54","55+")))))</f>
        <v>25-34</v>
      </c>
      <c r="R1658" s="13" t="str">
        <f aca="false">IF(P1658&lt;1,"0-1 yrs",IF(P1658&lt;3,"1-3 yrs",IF(P1658&lt;5,"3-5 yrs",IF(P1658&lt;10,"5-10 yrs","10+ yrs"))))</f>
        <v>0-1 yrs</v>
      </c>
      <c r="S1658" s="13" t="str">
        <f aca="false">IF(I1658&gt;=4,"High",IF(I1658=3,"Medium","Low"))</f>
        <v>High</v>
      </c>
      <c r="T1658" s="13" t="n">
        <f aca="false">IF(M1658=1,YEAR(C1658),"")</f>
        <v>2024</v>
      </c>
      <c r="U1658" s="13" t="str">
        <f aca="false">IF(M1658=1,YEAR(C1658)&amp;"-Q"&amp;ROUNDUP(MONTH(C1658)/3,0),"")</f>
        <v>2024-Q1</v>
      </c>
      <c r="V1658" s="13" t="n">
        <f aca="false">IF(M1658=1,MONTH(C1658),"")</f>
        <v>2</v>
      </c>
    </row>
    <row r="1659" customFormat="false" ht="15" hidden="false" customHeight="false" outlineLevel="0" collapsed="false">
      <c r="A1659" s="13" t="str">
        <f aca="false">TRIM(Raw_Data!A1659)</f>
        <v>EMP1658</v>
      </c>
      <c r="B1659" s="14" t="n">
        <f aca="false">Raw_Data!B1659</f>
        <v>45294</v>
      </c>
      <c r="C1659" s="14" t="str">
        <f aca="false">IF(Raw_Data!C1659="","",Raw_Data!C1659)</f>
        <v/>
      </c>
      <c r="D1659" s="13" t="n">
        <f aca="false">IF(Raw_Data!D1659="","",Raw_Data!D1659)</f>
        <v>34</v>
      </c>
      <c r="E1659" s="13" t="str">
        <f aca="false">IF(UPPER(LEFT(TRIM(Raw_Data!E1659),1))="M","Male",IF(UPPER(LEFT(TRIM(Raw_Data!E1659),1))="F","Female","Unknown"))</f>
        <v>Female</v>
      </c>
      <c r="F1659" s="13" t="str">
        <f aca="false">PROPER(TRIM(SUBSTITUTE(Raw_Data!F1659,"'","")))</f>
        <v>Bachelors</v>
      </c>
      <c r="G1659" s="13" t="str">
        <f aca="false">PROPER(TRIM(Raw_Data!G1659))</f>
        <v>Sales</v>
      </c>
      <c r="H1659" s="13" t="str">
        <f aca="false">PROPER(TRIM(Raw_Data!H1659))</f>
        <v>Specialist</v>
      </c>
      <c r="I1659" s="13" t="n">
        <f aca="false">IF(Raw_Data!I1659="",DefaultPerf,Raw_Data!I1659)</f>
        <v>4</v>
      </c>
      <c r="J1659" s="13" t="n">
        <f aca="false">IF(Raw_Data!J1659="",DefaultSat,Raw_Data!J1659)</f>
        <v>3</v>
      </c>
      <c r="K1659" s="15" t="n">
        <f aca="false">Raw_Data!K1659</f>
        <v>100000</v>
      </c>
      <c r="L1659" s="13" t="str">
        <f aca="false">PROPER(TRIM(Raw_Data!N1659))</f>
        <v>No</v>
      </c>
      <c r="M1659" s="13" t="n">
        <f aca="false">IF(C1659="",0,1)</f>
        <v>0</v>
      </c>
      <c r="N1659" s="13" t="str">
        <f aca="false">IF(M1659=0,"Active",IF(TRIM(Raw_Data!L1659)="","Unknown",PROPER(TRIM(Raw_Data!L1659))))</f>
        <v>Active</v>
      </c>
      <c r="O1659" s="13" t="str">
        <f aca="false">IF(M1659=0,"",IF(TRIM(Raw_Data!M1659)="","Not Recorded",TRIM(Raw_Data!M1659)))</f>
        <v/>
      </c>
      <c r="P1659" s="16" t="n">
        <f aca="false">ROUND((IF(C1659="",AsOfDate,C1659)-B1659)/365.25,2)</f>
        <v>1.99</v>
      </c>
      <c r="Q1659" s="13" t="str">
        <f aca="false">IF(D1659="","Unknown",IF(D1659&lt;25,"Under 25",IF(D1659&lt;35,"25-34",IF(D1659&lt;45,"35-44",IF(D1659&lt;55,"45-54","55+")))))</f>
        <v>25-34</v>
      </c>
      <c r="R1659" s="13" t="str">
        <f aca="false">IF(P1659&lt;1,"0-1 yrs",IF(P1659&lt;3,"1-3 yrs",IF(P1659&lt;5,"3-5 yrs",IF(P1659&lt;10,"5-10 yrs","10+ yrs"))))</f>
        <v>1-3 yrs</v>
      </c>
      <c r="S1659" s="13" t="str">
        <f aca="false">IF(I1659&gt;=4,"High",IF(I1659=3,"Medium","Low"))</f>
        <v>High</v>
      </c>
      <c r="T1659" s="13" t="str">
        <f aca="false">IF(M1659=1,YEAR(C1659),"")</f>
        <v/>
      </c>
      <c r="U1659" s="13" t="str">
        <f aca="false">IF(M1659=1,YEAR(C1659)&amp;"-Q"&amp;ROUNDUP(MONTH(C1659)/3,0),"")</f>
        <v/>
      </c>
      <c r="V1659" s="13" t="str">
        <f aca="false">IF(M1659=1,MONTH(C1659),"")</f>
        <v/>
      </c>
    </row>
    <row r="1660" customFormat="false" ht="15" hidden="false" customHeight="false" outlineLevel="0" collapsed="false">
      <c r="A1660" s="13" t="str">
        <f aca="false">TRIM(Raw_Data!A1660)</f>
        <v>EMP1659</v>
      </c>
      <c r="B1660" s="14" t="n">
        <f aca="false">Raw_Data!B1660</f>
        <v>45297</v>
      </c>
      <c r="C1660" s="14" t="str">
        <f aca="false">IF(Raw_Data!C1660="","",Raw_Data!C1660)</f>
        <v/>
      </c>
      <c r="D1660" s="13" t="n">
        <f aca="false">IF(Raw_Data!D1660="","",Raw_Data!D1660)</f>
        <v>34</v>
      </c>
      <c r="E1660" s="13" t="str">
        <f aca="false">IF(UPPER(LEFT(TRIM(Raw_Data!E1660),1))="M","Male",IF(UPPER(LEFT(TRIM(Raw_Data!E1660),1))="F","Female","Unknown"))</f>
        <v>Female</v>
      </c>
      <c r="F1660" s="13" t="str">
        <f aca="false">PROPER(TRIM(SUBSTITUTE(Raw_Data!F1660,"'","")))</f>
        <v>Bachelors</v>
      </c>
      <c r="G1660" s="13" t="str">
        <f aca="false">PROPER(TRIM(Raw_Data!G1660))</f>
        <v>Operations</v>
      </c>
      <c r="H1660" s="13" t="str">
        <f aca="false">PROPER(TRIM(Raw_Data!H1660))</f>
        <v>Associate</v>
      </c>
      <c r="I1660" s="13" t="n">
        <f aca="false">IF(Raw_Data!I1660="",DefaultPerf,Raw_Data!I1660)</f>
        <v>4</v>
      </c>
      <c r="J1660" s="13" t="n">
        <f aca="false">IF(Raw_Data!J1660="",DefaultSat,Raw_Data!J1660)</f>
        <v>2</v>
      </c>
      <c r="K1660" s="15" t="n">
        <f aca="false">Raw_Data!K1660</f>
        <v>37500</v>
      </c>
      <c r="L1660" s="13" t="str">
        <f aca="false">PROPER(TRIM(Raw_Data!N1660))</f>
        <v>No</v>
      </c>
      <c r="M1660" s="13" t="n">
        <f aca="false">IF(C1660="",0,1)</f>
        <v>0</v>
      </c>
      <c r="N1660" s="13" t="str">
        <f aca="false">IF(M1660=0,"Active",IF(TRIM(Raw_Data!L1660)="","Unknown",PROPER(TRIM(Raw_Data!L1660))))</f>
        <v>Active</v>
      </c>
      <c r="O1660" s="13" t="str">
        <f aca="false">IF(M1660=0,"",IF(TRIM(Raw_Data!M1660)="","Not Recorded",TRIM(Raw_Data!M1660)))</f>
        <v/>
      </c>
      <c r="P1660" s="16" t="n">
        <f aca="false">ROUND((IF(C1660="",AsOfDate,C1660)-B1660)/365.25,2)</f>
        <v>1.98</v>
      </c>
      <c r="Q1660" s="13" t="str">
        <f aca="false">IF(D1660="","Unknown",IF(D1660&lt;25,"Under 25",IF(D1660&lt;35,"25-34",IF(D1660&lt;45,"35-44",IF(D1660&lt;55,"45-54","55+")))))</f>
        <v>25-34</v>
      </c>
      <c r="R1660" s="13" t="str">
        <f aca="false">IF(P1660&lt;1,"0-1 yrs",IF(P1660&lt;3,"1-3 yrs",IF(P1660&lt;5,"3-5 yrs",IF(P1660&lt;10,"5-10 yrs","10+ yrs"))))</f>
        <v>1-3 yrs</v>
      </c>
      <c r="S1660" s="13" t="str">
        <f aca="false">IF(I1660&gt;=4,"High",IF(I1660=3,"Medium","Low"))</f>
        <v>High</v>
      </c>
      <c r="T1660" s="13" t="str">
        <f aca="false">IF(M1660=1,YEAR(C1660),"")</f>
        <v/>
      </c>
      <c r="U1660" s="13" t="str">
        <f aca="false">IF(M1660=1,YEAR(C1660)&amp;"-Q"&amp;ROUNDUP(MONTH(C1660)/3,0),"")</f>
        <v/>
      </c>
      <c r="V1660" s="13" t="str">
        <f aca="false">IF(M1660=1,MONTH(C1660),"")</f>
        <v/>
      </c>
    </row>
    <row r="1661" customFormat="false" ht="15" hidden="false" customHeight="false" outlineLevel="0" collapsed="false">
      <c r="A1661" s="13" t="str">
        <f aca="false">TRIM(Raw_Data!A1661)</f>
        <v>EMP1660</v>
      </c>
      <c r="B1661" s="14" t="n">
        <f aca="false">Raw_Data!B1661</f>
        <v>45297</v>
      </c>
      <c r="C1661" s="14" t="n">
        <f aca="false">IF(Raw_Data!C1661="","",Raw_Data!C1661)</f>
        <v>45760</v>
      </c>
      <c r="D1661" s="13" t="n">
        <f aca="false">IF(Raw_Data!D1661="","",Raw_Data!D1661)</f>
        <v>29</v>
      </c>
      <c r="E1661" s="13" t="str">
        <f aca="false">IF(UPPER(LEFT(TRIM(Raw_Data!E1661),1))="M","Male",IF(UPPER(LEFT(TRIM(Raw_Data!E1661),1))="F","Female","Unknown"))</f>
        <v>Male</v>
      </c>
      <c r="F1661" s="13" t="str">
        <f aca="false">PROPER(TRIM(SUBSTITUTE(Raw_Data!F1661,"'","")))</f>
        <v>Bachelors</v>
      </c>
      <c r="G1661" s="13" t="str">
        <f aca="false">PROPER(TRIM(Raw_Data!G1661))</f>
        <v>Sales</v>
      </c>
      <c r="H1661" s="13" t="str">
        <f aca="false">PROPER(TRIM(Raw_Data!H1661))</f>
        <v>Specialist</v>
      </c>
      <c r="I1661" s="13" t="n">
        <f aca="false">IF(Raw_Data!I1661="",DefaultPerf,Raw_Data!I1661)</f>
        <v>1</v>
      </c>
      <c r="J1661" s="13" t="n">
        <f aca="false">IF(Raw_Data!J1661="",DefaultSat,Raw_Data!J1661)</f>
        <v>4</v>
      </c>
      <c r="K1661" s="15" t="n">
        <f aca="false">Raw_Data!K1661</f>
        <v>134500</v>
      </c>
      <c r="L1661" s="13" t="str">
        <f aca="false">PROPER(TRIM(Raw_Data!N1661))</f>
        <v>Yes</v>
      </c>
      <c r="M1661" s="13" t="n">
        <f aca="false">IF(C1661="",0,1)</f>
        <v>1</v>
      </c>
      <c r="N1661" s="13" t="str">
        <f aca="false">IF(M1661=0,"Active",IF(TRIM(Raw_Data!L1661)="","Unknown",PROPER(TRIM(Raw_Data!L1661))))</f>
        <v>Voluntary</v>
      </c>
      <c r="O1661" s="13" t="str">
        <f aca="false">IF(M1661=0,"",IF(TRIM(Raw_Data!M1661)="","Not Recorded",TRIM(Raw_Data!M1661)))</f>
        <v>Relocation</v>
      </c>
      <c r="P1661" s="16" t="n">
        <f aca="false">ROUND((IF(C1661="",AsOfDate,C1661)-B1661)/365.25,2)</f>
        <v>1.27</v>
      </c>
      <c r="Q1661" s="13" t="str">
        <f aca="false">IF(D1661="","Unknown",IF(D1661&lt;25,"Under 25",IF(D1661&lt;35,"25-34",IF(D1661&lt;45,"35-44",IF(D1661&lt;55,"45-54","55+")))))</f>
        <v>25-34</v>
      </c>
      <c r="R1661" s="13" t="str">
        <f aca="false">IF(P1661&lt;1,"0-1 yrs",IF(P1661&lt;3,"1-3 yrs",IF(P1661&lt;5,"3-5 yrs",IF(P1661&lt;10,"5-10 yrs","10+ yrs"))))</f>
        <v>1-3 yrs</v>
      </c>
      <c r="S1661" s="13" t="str">
        <f aca="false">IF(I1661&gt;=4,"High",IF(I1661=3,"Medium","Low"))</f>
        <v>Low</v>
      </c>
      <c r="T1661" s="13" t="n">
        <f aca="false">IF(M1661=1,YEAR(C1661),"")</f>
        <v>2025</v>
      </c>
      <c r="U1661" s="13" t="str">
        <f aca="false">IF(M1661=1,YEAR(C1661)&amp;"-Q"&amp;ROUNDUP(MONTH(C1661)/3,0),"")</f>
        <v>2025-Q2</v>
      </c>
      <c r="V1661" s="13" t="n">
        <f aca="false">IF(M1661=1,MONTH(C1661),"")</f>
        <v>4</v>
      </c>
    </row>
    <row r="1662" customFormat="false" ht="15" hidden="false" customHeight="false" outlineLevel="0" collapsed="false">
      <c r="A1662" s="13" t="str">
        <f aca="false">TRIM(Raw_Data!A1662)</f>
        <v>EMP1661</v>
      </c>
      <c r="B1662" s="14" t="n">
        <f aca="false">Raw_Data!B1662</f>
        <v>45298</v>
      </c>
      <c r="C1662" s="14" t="str">
        <f aca="false">IF(Raw_Data!C1662="","",Raw_Data!C1662)</f>
        <v/>
      </c>
      <c r="D1662" s="13" t="n">
        <f aca="false">IF(Raw_Data!D1662="","",Raw_Data!D1662)</f>
        <v>31</v>
      </c>
      <c r="E1662" s="13" t="str">
        <f aca="false">IF(UPPER(LEFT(TRIM(Raw_Data!E1662),1))="M","Male",IF(UPPER(LEFT(TRIM(Raw_Data!E1662),1))="F","Female","Unknown"))</f>
        <v>Female</v>
      </c>
      <c r="F1662" s="13" t="str">
        <f aca="false">PROPER(TRIM(SUBSTITUTE(Raw_Data!F1662,"'","")))</f>
        <v>Diploma</v>
      </c>
      <c r="G1662" s="13" t="str">
        <f aca="false">PROPER(TRIM(Raw_Data!G1662))</f>
        <v>Finance</v>
      </c>
      <c r="H1662" s="13" t="str">
        <f aca="false">PROPER(TRIM(Raw_Data!H1662))</f>
        <v>Associate</v>
      </c>
      <c r="I1662" s="13" t="n">
        <f aca="false">IF(Raw_Data!I1662="",DefaultPerf,Raw_Data!I1662)</f>
        <v>3</v>
      </c>
      <c r="J1662" s="13" t="n">
        <f aca="false">IF(Raw_Data!J1662="",DefaultSat,Raw_Data!J1662)</f>
        <v>2</v>
      </c>
      <c r="K1662" s="15" t="n">
        <f aca="false">Raw_Data!K1662</f>
        <v>36500</v>
      </c>
      <c r="L1662" s="13" t="str">
        <f aca="false">PROPER(TRIM(Raw_Data!N1662))</f>
        <v>Yes</v>
      </c>
      <c r="M1662" s="13" t="n">
        <f aca="false">IF(C1662="",0,1)</f>
        <v>0</v>
      </c>
      <c r="N1662" s="13" t="str">
        <f aca="false">IF(M1662=0,"Active",IF(TRIM(Raw_Data!L1662)="","Unknown",PROPER(TRIM(Raw_Data!L1662))))</f>
        <v>Active</v>
      </c>
      <c r="O1662" s="13" t="str">
        <f aca="false">IF(M1662=0,"",IF(TRIM(Raw_Data!M1662)="","Not Recorded",TRIM(Raw_Data!M1662)))</f>
        <v/>
      </c>
      <c r="P1662" s="16" t="n">
        <f aca="false">ROUND((IF(C1662="",AsOfDate,C1662)-B1662)/365.25,2)</f>
        <v>1.98</v>
      </c>
      <c r="Q1662" s="13" t="str">
        <f aca="false">IF(D1662="","Unknown",IF(D1662&lt;25,"Under 25",IF(D1662&lt;35,"25-34",IF(D1662&lt;45,"35-44",IF(D1662&lt;55,"45-54","55+")))))</f>
        <v>25-34</v>
      </c>
      <c r="R1662" s="13" t="str">
        <f aca="false">IF(P1662&lt;1,"0-1 yrs",IF(P1662&lt;3,"1-3 yrs",IF(P1662&lt;5,"3-5 yrs",IF(P1662&lt;10,"5-10 yrs","10+ yrs"))))</f>
        <v>1-3 yrs</v>
      </c>
      <c r="S1662" s="13" t="str">
        <f aca="false">IF(I1662&gt;=4,"High",IF(I1662=3,"Medium","Low"))</f>
        <v>Medium</v>
      </c>
      <c r="T1662" s="13" t="str">
        <f aca="false">IF(M1662=1,YEAR(C1662),"")</f>
        <v/>
      </c>
      <c r="U1662" s="13" t="str">
        <f aca="false">IF(M1662=1,YEAR(C1662)&amp;"-Q"&amp;ROUNDUP(MONTH(C1662)/3,0),"")</f>
        <v/>
      </c>
      <c r="V1662" s="13" t="str">
        <f aca="false">IF(M1662=1,MONTH(C1662),"")</f>
        <v/>
      </c>
    </row>
    <row r="1663" customFormat="false" ht="15" hidden="false" customHeight="false" outlineLevel="0" collapsed="false">
      <c r="A1663" s="13" t="str">
        <f aca="false">TRIM(Raw_Data!A1663)</f>
        <v>EMP1662</v>
      </c>
      <c r="B1663" s="14" t="n">
        <f aca="false">Raw_Data!B1663</f>
        <v>45298</v>
      </c>
      <c r="C1663" s="14" t="str">
        <f aca="false">IF(Raw_Data!C1663="","",Raw_Data!C1663)</f>
        <v/>
      </c>
      <c r="D1663" s="13" t="n">
        <f aca="false">IF(Raw_Data!D1663="","",Raw_Data!D1663)</f>
        <v>36</v>
      </c>
      <c r="E1663" s="13" t="str">
        <f aca="false">IF(UPPER(LEFT(TRIM(Raw_Data!E1663),1))="M","Male",IF(UPPER(LEFT(TRIM(Raw_Data!E1663),1))="F","Female","Unknown"))</f>
        <v>Male</v>
      </c>
      <c r="F1663" s="13" t="str">
        <f aca="false">PROPER(TRIM(SUBSTITUTE(Raw_Data!F1663,"'","")))</f>
        <v>Diploma</v>
      </c>
      <c r="G1663" s="13" t="str">
        <f aca="false">PROPER(TRIM(Raw_Data!G1663))</f>
        <v>Operations</v>
      </c>
      <c r="H1663" s="13" t="str">
        <f aca="false">PROPER(TRIM(Raw_Data!H1663))</f>
        <v>Manager</v>
      </c>
      <c r="I1663" s="13" t="n">
        <f aca="false">IF(Raw_Data!I1663="",DefaultPerf,Raw_Data!I1663)</f>
        <v>4</v>
      </c>
      <c r="J1663" s="13" t="n">
        <f aca="false">IF(Raw_Data!J1663="",DefaultSat,Raw_Data!J1663)</f>
        <v>1</v>
      </c>
      <c r="K1663" s="15" t="n">
        <f aca="false">Raw_Data!K1663</f>
        <v>151000</v>
      </c>
      <c r="L1663" s="13" t="str">
        <f aca="false">PROPER(TRIM(Raw_Data!N1663))</f>
        <v>No</v>
      </c>
      <c r="M1663" s="13" t="n">
        <f aca="false">IF(C1663="",0,1)</f>
        <v>0</v>
      </c>
      <c r="N1663" s="13" t="str">
        <f aca="false">IF(M1663=0,"Active",IF(TRIM(Raw_Data!L1663)="","Unknown",PROPER(TRIM(Raw_Data!L1663))))</f>
        <v>Active</v>
      </c>
      <c r="O1663" s="13" t="str">
        <f aca="false">IF(M1663=0,"",IF(TRIM(Raw_Data!M1663)="","Not Recorded",TRIM(Raw_Data!M1663)))</f>
        <v/>
      </c>
      <c r="P1663" s="16" t="n">
        <f aca="false">ROUND((IF(C1663="",AsOfDate,C1663)-B1663)/365.25,2)</f>
        <v>1.98</v>
      </c>
      <c r="Q1663" s="13" t="str">
        <f aca="false">IF(D1663="","Unknown",IF(D1663&lt;25,"Under 25",IF(D1663&lt;35,"25-34",IF(D1663&lt;45,"35-44",IF(D1663&lt;55,"45-54","55+")))))</f>
        <v>35-44</v>
      </c>
      <c r="R1663" s="13" t="str">
        <f aca="false">IF(P1663&lt;1,"0-1 yrs",IF(P1663&lt;3,"1-3 yrs",IF(P1663&lt;5,"3-5 yrs",IF(P1663&lt;10,"5-10 yrs","10+ yrs"))))</f>
        <v>1-3 yrs</v>
      </c>
      <c r="S1663" s="13" t="str">
        <f aca="false">IF(I1663&gt;=4,"High",IF(I1663=3,"Medium","Low"))</f>
        <v>High</v>
      </c>
      <c r="T1663" s="13" t="str">
        <f aca="false">IF(M1663=1,YEAR(C1663),"")</f>
        <v/>
      </c>
      <c r="U1663" s="13" t="str">
        <f aca="false">IF(M1663=1,YEAR(C1663)&amp;"-Q"&amp;ROUNDUP(MONTH(C1663)/3,0),"")</f>
        <v/>
      </c>
      <c r="V1663" s="13" t="str">
        <f aca="false">IF(M1663=1,MONTH(C1663),"")</f>
        <v/>
      </c>
    </row>
    <row r="1664" customFormat="false" ht="15" hidden="false" customHeight="false" outlineLevel="0" collapsed="false">
      <c r="A1664" s="13" t="str">
        <f aca="false">TRIM(Raw_Data!A1664)</f>
        <v>EMP1663</v>
      </c>
      <c r="B1664" s="14" t="n">
        <f aca="false">Raw_Data!B1664</f>
        <v>45303</v>
      </c>
      <c r="C1664" s="14" t="n">
        <f aca="false">IF(Raw_Data!C1664="","",Raw_Data!C1664)</f>
        <v>45491</v>
      </c>
      <c r="D1664" s="13" t="n">
        <f aca="false">IF(Raw_Data!D1664="","",Raw_Data!D1664)</f>
        <v>22</v>
      </c>
      <c r="E1664" s="13" t="str">
        <f aca="false">IF(UPPER(LEFT(TRIM(Raw_Data!E1664),1))="M","Male",IF(UPPER(LEFT(TRIM(Raw_Data!E1664),1))="F","Female","Unknown"))</f>
        <v>Female</v>
      </c>
      <c r="F1664" s="13" t="str">
        <f aca="false">PROPER(TRIM(SUBSTITUTE(Raw_Data!F1664,"'","")))</f>
        <v>Bachelors</v>
      </c>
      <c r="G1664" s="13" t="str">
        <f aca="false">PROPER(TRIM(Raw_Data!G1664))</f>
        <v>Engineering</v>
      </c>
      <c r="H1664" s="13" t="str">
        <f aca="false">PROPER(TRIM(Raw_Data!H1664))</f>
        <v>Associate</v>
      </c>
      <c r="I1664" s="13" t="n">
        <f aca="false">IF(Raw_Data!I1664="",DefaultPerf,Raw_Data!I1664)</f>
        <v>3</v>
      </c>
      <c r="J1664" s="13" t="n">
        <f aca="false">IF(Raw_Data!J1664="",DefaultSat,Raw_Data!J1664)</f>
        <v>1</v>
      </c>
      <c r="K1664" s="15" t="n">
        <f aca="false">Raw_Data!K1664</f>
        <v>36500</v>
      </c>
      <c r="L1664" s="13" t="str">
        <f aca="false">PROPER(TRIM(Raw_Data!N1664))</f>
        <v>No</v>
      </c>
      <c r="M1664" s="13" t="n">
        <f aca="false">IF(C1664="",0,1)</f>
        <v>1</v>
      </c>
      <c r="N1664" s="13" t="str">
        <f aca="false">IF(M1664=0,"Active",IF(TRIM(Raw_Data!L1664)="","Unknown",PROPER(TRIM(Raw_Data!L1664))))</f>
        <v>Voluntary</v>
      </c>
      <c r="O1664" s="13" t="str">
        <f aca="false">IF(M1664=0,"",IF(TRIM(Raw_Data!M1664)="","Not Recorded",TRIM(Raw_Data!M1664)))</f>
        <v>Work-Life Balance</v>
      </c>
      <c r="P1664" s="16" t="n">
        <f aca="false">ROUND((IF(C1664="",AsOfDate,C1664)-B1664)/365.25,2)</f>
        <v>0.51</v>
      </c>
      <c r="Q1664" s="13" t="str">
        <f aca="false">IF(D1664="","Unknown",IF(D1664&lt;25,"Under 25",IF(D1664&lt;35,"25-34",IF(D1664&lt;45,"35-44",IF(D1664&lt;55,"45-54","55+")))))</f>
        <v>Under 25</v>
      </c>
      <c r="R1664" s="13" t="str">
        <f aca="false">IF(P1664&lt;1,"0-1 yrs",IF(P1664&lt;3,"1-3 yrs",IF(P1664&lt;5,"3-5 yrs",IF(P1664&lt;10,"5-10 yrs","10+ yrs"))))</f>
        <v>0-1 yrs</v>
      </c>
      <c r="S1664" s="13" t="str">
        <f aca="false">IF(I1664&gt;=4,"High",IF(I1664=3,"Medium","Low"))</f>
        <v>Medium</v>
      </c>
      <c r="T1664" s="13" t="n">
        <f aca="false">IF(M1664=1,YEAR(C1664),"")</f>
        <v>2024</v>
      </c>
      <c r="U1664" s="13" t="str">
        <f aca="false">IF(M1664=1,YEAR(C1664)&amp;"-Q"&amp;ROUNDUP(MONTH(C1664)/3,0),"")</f>
        <v>2024-Q3</v>
      </c>
      <c r="V1664" s="13" t="n">
        <f aca="false">IF(M1664=1,MONTH(C1664),"")</f>
        <v>7</v>
      </c>
    </row>
    <row r="1665" customFormat="false" ht="15" hidden="false" customHeight="false" outlineLevel="0" collapsed="false">
      <c r="A1665" s="13" t="str">
        <f aca="false">TRIM(Raw_Data!A1665)</f>
        <v>EMP1664</v>
      </c>
      <c r="B1665" s="14" t="n">
        <f aca="false">Raw_Data!B1665</f>
        <v>45303</v>
      </c>
      <c r="C1665" s="14" t="n">
        <f aca="false">IF(Raw_Data!C1665="","",Raw_Data!C1665)</f>
        <v>45511</v>
      </c>
      <c r="D1665" s="13" t="n">
        <f aca="false">IF(Raw_Data!D1665="","",Raw_Data!D1665)</f>
        <v>31</v>
      </c>
      <c r="E1665" s="13" t="str">
        <f aca="false">IF(UPPER(LEFT(TRIM(Raw_Data!E1665),1))="M","Male",IF(UPPER(LEFT(TRIM(Raw_Data!E1665),1))="F","Female","Unknown"))</f>
        <v>Female</v>
      </c>
      <c r="F1665" s="13" t="str">
        <f aca="false">PROPER(TRIM(SUBSTITUTE(Raw_Data!F1665,"'","")))</f>
        <v>Bachelors</v>
      </c>
      <c r="G1665" s="13" t="str">
        <f aca="false">PROPER(TRIM(Raw_Data!G1665))</f>
        <v>Human Resources</v>
      </c>
      <c r="H1665" s="13" t="str">
        <f aca="false">PROPER(TRIM(Raw_Data!H1665))</f>
        <v>Associate</v>
      </c>
      <c r="I1665" s="13" t="n">
        <f aca="false">IF(Raw_Data!I1665="",DefaultPerf,Raw_Data!I1665)</f>
        <v>4</v>
      </c>
      <c r="J1665" s="13" t="n">
        <f aca="false">IF(Raw_Data!J1665="",DefaultSat,Raw_Data!J1665)</f>
        <v>2</v>
      </c>
      <c r="K1665" s="15" t="n">
        <f aca="false">Raw_Data!K1665</f>
        <v>33500</v>
      </c>
      <c r="L1665" s="13" t="str">
        <f aca="false">PROPER(TRIM(Raw_Data!N1665))</f>
        <v>No</v>
      </c>
      <c r="M1665" s="13" t="n">
        <f aca="false">IF(C1665="",0,1)</f>
        <v>1</v>
      </c>
      <c r="N1665" s="13" t="str">
        <f aca="false">IF(M1665=0,"Active",IF(TRIM(Raw_Data!L1665)="","Unknown",PROPER(TRIM(Raw_Data!L1665))))</f>
        <v>Voluntary</v>
      </c>
      <c r="O1665" s="13" t="str">
        <f aca="false">IF(M1665=0,"",IF(TRIM(Raw_Data!M1665)="","Not Recorded",TRIM(Raw_Data!M1665)))</f>
        <v>Better Compensation</v>
      </c>
      <c r="P1665" s="16" t="n">
        <f aca="false">ROUND((IF(C1665="",AsOfDate,C1665)-B1665)/365.25,2)</f>
        <v>0.57</v>
      </c>
      <c r="Q1665" s="13" t="str">
        <f aca="false">IF(D1665="","Unknown",IF(D1665&lt;25,"Under 25",IF(D1665&lt;35,"25-34",IF(D1665&lt;45,"35-44",IF(D1665&lt;55,"45-54","55+")))))</f>
        <v>25-34</v>
      </c>
      <c r="R1665" s="13" t="str">
        <f aca="false">IF(P1665&lt;1,"0-1 yrs",IF(P1665&lt;3,"1-3 yrs",IF(P1665&lt;5,"3-5 yrs",IF(P1665&lt;10,"5-10 yrs","10+ yrs"))))</f>
        <v>0-1 yrs</v>
      </c>
      <c r="S1665" s="13" t="str">
        <f aca="false">IF(I1665&gt;=4,"High",IF(I1665=3,"Medium","Low"))</f>
        <v>High</v>
      </c>
      <c r="T1665" s="13" t="n">
        <f aca="false">IF(M1665=1,YEAR(C1665),"")</f>
        <v>2024</v>
      </c>
      <c r="U1665" s="13" t="str">
        <f aca="false">IF(M1665=1,YEAR(C1665)&amp;"-Q"&amp;ROUNDUP(MONTH(C1665)/3,0),"")</f>
        <v>2024-Q3</v>
      </c>
      <c r="V1665" s="13" t="n">
        <f aca="false">IF(M1665=1,MONTH(C1665),"")</f>
        <v>8</v>
      </c>
    </row>
    <row r="1666" customFormat="false" ht="15" hidden="false" customHeight="false" outlineLevel="0" collapsed="false">
      <c r="A1666" s="13" t="str">
        <f aca="false">TRIM(Raw_Data!A1666)</f>
        <v>EMP1665</v>
      </c>
      <c r="B1666" s="14" t="n">
        <f aca="false">Raw_Data!B1666</f>
        <v>45305</v>
      </c>
      <c r="C1666" s="14" t="str">
        <f aca="false">IF(Raw_Data!C1666="","",Raw_Data!C1666)</f>
        <v/>
      </c>
      <c r="D1666" s="13" t="n">
        <f aca="false">IF(Raw_Data!D1666="","",Raw_Data!D1666)</f>
        <v>41</v>
      </c>
      <c r="E1666" s="13" t="str">
        <f aca="false">IF(UPPER(LEFT(TRIM(Raw_Data!E1666),1))="M","Male",IF(UPPER(LEFT(TRIM(Raw_Data!E1666),1))="F","Female","Unknown"))</f>
        <v>Male</v>
      </c>
      <c r="F1666" s="13" t="str">
        <f aca="false">PROPER(TRIM(SUBSTITUTE(Raw_Data!F1666,"'","")))</f>
        <v>Diploma</v>
      </c>
      <c r="G1666" s="13" t="str">
        <f aca="false">PROPER(TRIM(Raw_Data!G1666))</f>
        <v>Finance</v>
      </c>
      <c r="H1666" s="13" t="str">
        <f aca="false">PROPER(TRIM(Raw_Data!H1666))</f>
        <v>Analyst</v>
      </c>
      <c r="I1666" s="13" t="n">
        <f aca="false">IF(Raw_Data!I1666="",DefaultPerf,Raw_Data!I1666)</f>
        <v>4</v>
      </c>
      <c r="J1666" s="13" t="n">
        <f aca="false">IF(Raw_Data!J1666="",DefaultSat,Raw_Data!J1666)</f>
        <v>1</v>
      </c>
      <c r="K1666" s="15" t="n">
        <f aca="false">Raw_Data!K1666</f>
        <v>56000</v>
      </c>
      <c r="L1666" s="13" t="str">
        <f aca="false">PROPER(TRIM(Raw_Data!N1666))</f>
        <v>Yes</v>
      </c>
      <c r="M1666" s="13" t="n">
        <f aca="false">IF(C1666="",0,1)</f>
        <v>0</v>
      </c>
      <c r="N1666" s="13" t="str">
        <f aca="false">IF(M1666=0,"Active",IF(TRIM(Raw_Data!L1666)="","Unknown",PROPER(TRIM(Raw_Data!L1666))))</f>
        <v>Active</v>
      </c>
      <c r="O1666" s="13" t="str">
        <f aca="false">IF(M1666=0,"",IF(TRIM(Raw_Data!M1666)="","Not Recorded",TRIM(Raw_Data!M1666)))</f>
        <v/>
      </c>
      <c r="P1666" s="16" t="n">
        <f aca="false">ROUND((IF(C1666="",AsOfDate,C1666)-B1666)/365.25,2)</f>
        <v>1.96</v>
      </c>
      <c r="Q1666" s="13" t="str">
        <f aca="false">IF(D1666="","Unknown",IF(D1666&lt;25,"Under 25",IF(D1666&lt;35,"25-34",IF(D1666&lt;45,"35-44",IF(D1666&lt;55,"45-54","55+")))))</f>
        <v>35-44</v>
      </c>
      <c r="R1666" s="13" t="str">
        <f aca="false">IF(P1666&lt;1,"0-1 yrs",IF(P1666&lt;3,"1-3 yrs",IF(P1666&lt;5,"3-5 yrs",IF(P1666&lt;10,"5-10 yrs","10+ yrs"))))</f>
        <v>1-3 yrs</v>
      </c>
      <c r="S1666" s="13" t="str">
        <f aca="false">IF(I1666&gt;=4,"High",IF(I1666=3,"Medium","Low"))</f>
        <v>High</v>
      </c>
      <c r="T1666" s="13" t="str">
        <f aca="false">IF(M1666=1,YEAR(C1666),"")</f>
        <v/>
      </c>
      <c r="U1666" s="13" t="str">
        <f aca="false">IF(M1666=1,YEAR(C1666)&amp;"-Q"&amp;ROUNDUP(MONTH(C1666)/3,0),"")</f>
        <v/>
      </c>
      <c r="V1666" s="13" t="str">
        <f aca="false">IF(M1666=1,MONTH(C1666),"")</f>
        <v/>
      </c>
    </row>
    <row r="1667" customFormat="false" ht="15" hidden="false" customHeight="false" outlineLevel="0" collapsed="false">
      <c r="A1667" s="13" t="str">
        <f aca="false">TRIM(Raw_Data!A1667)</f>
        <v>EMP1666</v>
      </c>
      <c r="B1667" s="14" t="n">
        <f aca="false">Raw_Data!B1667</f>
        <v>45306</v>
      </c>
      <c r="C1667" s="14" t="str">
        <f aca="false">IF(Raw_Data!C1667="","",Raw_Data!C1667)</f>
        <v/>
      </c>
      <c r="D1667" s="13" t="n">
        <f aca="false">IF(Raw_Data!D1667="","",Raw_Data!D1667)</f>
        <v>30</v>
      </c>
      <c r="E1667" s="13" t="str">
        <f aca="false">IF(UPPER(LEFT(TRIM(Raw_Data!E1667),1))="M","Male",IF(UPPER(LEFT(TRIM(Raw_Data!E1667),1))="F","Female","Unknown"))</f>
        <v>Female</v>
      </c>
      <c r="F1667" s="13" t="str">
        <f aca="false">PROPER(TRIM(SUBSTITUTE(Raw_Data!F1667,"'","")))</f>
        <v>High School</v>
      </c>
      <c r="G1667" s="13" t="str">
        <f aca="false">PROPER(TRIM(Raw_Data!G1667))</f>
        <v>Human Resources</v>
      </c>
      <c r="H1667" s="13" t="str">
        <f aca="false">PROPER(TRIM(Raw_Data!H1667))</f>
        <v>Analyst</v>
      </c>
      <c r="I1667" s="13" t="n">
        <f aca="false">IF(Raw_Data!I1667="",DefaultPerf,Raw_Data!I1667)</f>
        <v>5</v>
      </c>
      <c r="J1667" s="13" t="n">
        <f aca="false">IF(Raw_Data!J1667="",DefaultSat,Raw_Data!J1667)</f>
        <v>4</v>
      </c>
      <c r="K1667" s="15" t="n">
        <f aca="false">Raw_Data!K1667</f>
        <v>53500</v>
      </c>
      <c r="L1667" s="13" t="str">
        <f aca="false">PROPER(TRIM(Raw_Data!N1667))</f>
        <v>No</v>
      </c>
      <c r="M1667" s="13" t="n">
        <f aca="false">IF(C1667="",0,1)</f>
        <v>0</v>
      </c>
      <c r="N1667" s="13" t="str">
        <f aca="false">IF(M1667=0,"Active",IF(TRIM(Raw_Data!L1667)="","Unknown",PROPER(TRIM(Raw_Data!L1667))))</f>
        <v>Active</v>
      </c>
      <c r="O1667" s="13" t="str">
        <f aca="false">IF(M1667=0,"",IF(TRIM(Raw_Data!M1667)="","Not Recorded",TRIM(Raw_Data!M1667)))</f>
        <v/>
      </c>
      <c r="P1667" s="16" t="n">
        <f aca="false">ROUND((IF(C1667="",AsOfDate,C1667)-B1667)/365.25,2)</f>
        <v>1.96</v>
      </c>
      <c r="Q1667" s="13" t="str">
        <f aca="false">IF(D1667="","Unknown",IF(D1667&lt;25,"Under 25",IF(D1667&lt;35,"25-34",IF(D1667&lt;45,"35-44",IF(D1667&lt;55,"45-54","55+")))))</f>
        <v>25-34</v>
      </c>
      <c r="R1667" s="13" t="str">
        <f aca="false">IF(P1667&lt;1,"0-1 yrs",IF(P1667&lt;3,"1-3 yrs",IF(P1667&lt;5,"3-5 yrs",IF(P1667&lt;10,"5-10 yrs","10+ yrs"))))</f>
        <v>1-3 yrs</v>
      </c>
      <c r="S1667" s="13" t="str">
        <f aca="false">IF(I1667&gt;=4,"High",IF(I1667=3,"Medium","Low"))</f>
        <v>High</v>
      </c>
      <c r="T1667" s="13" t="str">
        <f aca="false">IF(M1667=1,YEAR(C1667),"")</f>
        <v/>
      </c>
      <c r="U1667" s="13" t="str">
        <f aca="false">IF(M1667=1,YEAR(C1667)&amp;"-Q"&amp;ROUNDUP(MONTH(C1667)/3,0),"")</f>
        <v/>
      </c>
      <c r="V1667" s="13" t="str">
        <f aca="false">IF(M1667=1,MONTH(C1667),"")</f>
        <v/>
      </c>
    </row>
    <row r="1668" customFormat="false" ht="15" hidden="false" customHeight="false" outlineLevel="0" collapsed="false">
      <c r="A1668" s="13" t="str">
        <f aca="false">TRIM(Raw_Data!A1668)</f>
        <v>EMP1667</v>
      </c>
      <c r="B1668" s="14" t="n">
        <f aca="false">Raw_Data!B1668</f>
        <v>45313</v>
      </c>
      <c r="C1668" s="14" t="str">
        <f aca="false">IF(Raw_Data!C1668="","",Raw_Data!C1668)</f>
        <v/>
      </c>
      <c r="D1668" s="13" t="n">
        <f aca="false">IF(Raw_Data!D1668="","",Raw_Data!D1668)</f>
        <v>34</v>
      </c>
      <c r="E1668" s="13" t="str">
        <f aca="false">IF(UPPER(LEFT(TRIM(Raw_Data!E1668),1))="M","Male",IF(UPPER(LEFT(TRIM(Raw_Data!E1668),1))="F","Female","Unknown"))</f>
        <v>Female</v>
      </c>
      <c r="F1668" s="13" t="str">
        <f aca="false">PROPER(TRIM(SUBSTITUTE(Raw_Data!F1668,"'","")))</f>
        <v>Diploma</v>
      </c>
      <c r="G1668" s="13" t="str">
        <f aca="false">PROPER(TRIM(Raw_Data!G1668))</f>
        <v>Customer Support</v>
      </c>
      <c r="H1668" s="13" t="str">
        <f aca="false">PROPER(TRIM(Raw_Data!H1668))</f>
        <v>Associate</v>
      </c>
      <c r="I1668" s="13" t="n">
        <f aca="false">IF(Raw_Data!I1668="",DefaultPerf,Raw_Data!I1668)</f>
        <v>2</v>
      </c>
      <c r="J1668" s="13" t="n">
        <f aca="false">IF(Raw_Data!J1668="",DefaultSat,Raw_Data!J1668)</f>
        <v>2</v>
      </c>
      <c r="K1668" s="15" t="n">
        <f aca="false">Raw_Data!K1668</f>
        <v>37000</v>
      </c>
      <c r="L1668" s="13" t="str">
        <f aca="false">PROPER(TRIM(Raw_Data!N1668))</f>
        <v>Yes</v>
      </c>
      <c r="M1668" s="13" t="n">
        <f aca="false">IF(C1668="",0,1)</f>
        <v>0</v>
      </c>
      <c r="N1668" s="13" t="str">
        <f aca="false">IF(M1668=0,"Active",IF(TRIM(Raw_Data!L1668)="","Unknown",PROPER(TRIM(Raw_Data!L1668))))</f>
        <v>Active</v>
      </c>
      <c r="O1668" s="13" t="str">
        <f aca="false">IF(M1668=0,"",IF(TRIM(Raw_Data!M1668)="","Not Recorded",TRIM(Raw_Data!M1668)))</f>
        <v/>
      </c>
      <c r="P1668" s="16" t="n">
        <f aca="false">ROUND((IF(C1668="",AsOfDate,C1668)-B1668)/365.25,2)</f>
        <v>1.94</v>
      </c>
      <c r="Q1668" s="13" t="str">
        <f aca="false">IF(D1668="","Unknown",IF(D1668&lt;25,"Under 25",IF(D1668&lt;35,"25-34",IF(D1668&lt;45,"35-44",IF(D1668&lt;55,"45-54","55+")))))</f>
        <v>25-34</v>
      </c>
      <c r="R1668" s="13" t="str">
        <f aca="false">IF(P1668&lt;1,"0-1 yrs",IF(P1668&lt;3,"1-3 yrs",IF(P1668&lt;5,"3-5 yrs",IF(P1668&lt;10,"5-10 yrs","10+ yrs"))))</f>
        <v>1-3 yrs</v>
      </c>
      <c r="S1668" s="13" t="str">
        <f aca="false">IF(I1668&gt;=4,"High",IF(I1668=3,"Medium","Low"))</f>
        <v>Low</v>
      </c>
      <c r="T1668" s="13" t="str">
        <f aca="false">IF(M1668=1,YEAR(C1668),"")</f>
        <v/>
      </c>
      <c r="U1668" s="13" t="str">
        <f aca="false">IF(M1668=1,YEAR(C1668)&amp;"-Q"&amp;ROUNDUP(MONTH(C1668)/3,0),"")</f>
        <v/>
      </c>
      <c r="V1668" s="13" t="str">
        <f aca="false">IF(M1668=1,MONTH(C1668),"")</f>
        <v/>
      </c>
    </row>
    <row r="1669" customFormat="false" ht="15" hidden="false" customHeight="false" outlineLevel="0" collapsed="false">
      <c r="A1669" s="13" t="str">
        <f aca="false">TRIM(Raw_Data!A1669)</f>
        <v>EMP1668</v>
      </c>
      <c r="B1669" s="14" t="n">
        <f aca="false">Raw_Data!B1669</f>
        <v>45314</v>
      </c>
      <c r="C1669" s="14" t="str">
        <f aca="false">IF(Raw_Data!C1669="","",Raw_Data!C1669)</f>
        <v/>
      </c>
      <c r="D1669" s="13" t="n">
        <f aca="false">IF(Raw_Data!D1669="","",Raw_Data!D1669)</f>
        <v>32</v>
      </c>
      <c r="E1669" s="13" t="str">
        <f aca="false">IF(UPPER(LEFT(TRIM(Raw_Data!E1669),1))="M","Male",IF(UPPER(LEFT(TRIM(Raw_Data!E1669),1))="F","Female","Unknown"))</f>
        <v>Male</v>
      </c>
      <c r="F1669" s="13" t="str">
        <f aca="false">PROPER(TRIM(SUBSTITUTE(Raw_Data!F1669,"'","")))</f>
        <v>Masters</v>
      </c>
      <c r="G1669" s="13" t="str">
        <f aca="false">PROPER(TRIM(Raw_Data!G1669))</f>
        <v>Customer Support</v>
      </c>
      <c r="H1669" s="13" t="str">
        <f aca="false">PROPER(TRIM(Raw_Data!H1669))</f>
        <v>Associate</v>
      </c>
      <c r="I1669" s="13" t="n">
        <f aca="false">IF(Raw_Data!I1669="",DefaultPerf,Raw_Data!I1669)</f>
        <v>4</v>
      </c>
      <c r="J1669" s="17" t="n">
        <f aca="false">IF(Raw_Data!J1669="",DefaultSat,Raw_Data!J1669)</f>
        <v>3</v>
      </c>
      <c r="K1669" s="15" t="n">
        <f aca="false">Raw_Data!K1669</f>
        <v>41500</v>
      </c>
      <c r="L1669" s="13" t="str">
        <f aca="false">PROPER(TRIM(Raw_Data!N1669))</f>
        <v>No</v>
      </c>
      <c r="M1669" s="13" t="n">
        <f aca="false">IF(C1669="",0,1)</f>
        <v>0</v>
      </c>
      <c r="N1669" s="13" t="str">
        <f aca="false">IF(M1669=0,"Active",IF(TRIM(Raw_Data!L1669)="","Unknown",PROPER(TRIM(Raw_Data!L1669))))</f>
        <v>Active</v>
      </c>
      <c r="O1669" s="13" t="str">
        <f aca="false">IF(M1669=0,"",IF(TRIM(Raw_Data!M1669)="","Not Recorded",TRIM(Raw_Data!M1669)))</f>
        <v/>
      </c>
      <c r="P1669" s="16" t="n">
        <f aca="false">ROUND((IF(C1669="",AsOfDate,C1669)-B1669)/365.25,2)</f>
        <v>1.94</v>
      </c>
      <c r="Q1669" s="13" t="str">
        <f aca="false">IF(D1669="","Unknown",IF(D1669&lt;25,"Under 25",IF(D1669&lt;35,"25-34",IF(D1669&lt;45,"35-44",IF(D1669&lt;55,"45-54","55+")))))</f>
        <v>25-34</v>
      </c>
      <c r="R1669" s="13" t="str">
        <f aca="false">IF(P1669&lt;1,"0-1 yrs",IF(P1669&lt;3,"1-3 yrs",IF(P1669&lt;5,"3-5 yrs",IF(P1669&lt;10,"5-10 yrs","10+ yrs"))))</f>
        <v>1-3 yrs</v>
      </c>
      <c r="S1669" s="13" t="str">
        <f aca="false">IF(I1669&gt;=4,"High",IF(I1669=3,"Medium","Low"))</f>
        <v>High</v>
      </c>
      <c r="T1669" s="13" t="str">
        <f aca="false">IF(M1669=1,YEAR(C1669),"")</f>
        <v/>
      </c>
      <c r="U1669" s="13" t="str">
        <f aca="false">IF(M1669=1,YEAR(C1669)&amp;"-Q"&amp;ROUNDUP(MONTH(C1669)/3,0),"")</f>
        <v/>
      </c>
      <c r="V1669" s="13" t="str">
        <f aca="false">IF(M1669=1,MONTH(C1669),"")</f>
        <v/>
      </c>
    </row>
    <row r="1670" customFormat="false" ht="15" hidden="false" customHeight="false" outlineLevel="0" collapsed="false">
      <c r="A1670" s="13" t="str">
        <f aca="false">TRIM(Raw_Data!A1670)</f>
        <v>EMP1669</v>
      </c>
      <c r="B1670" s="14" t="n">
        <f aca="false">Raw_Data!B1670</f>
        <v>45314</v>
      </c>
      <c r="C1670" s="14" t="str">
        <f aca="false">IF(Raw_Data!C1670="","",Raw_Data!C1670)</f>
        <v/>
      </c>
      <c r="D1670" s="13" t="n">
        <f aca="false">IF(Raw_Data!D1670="","",Raw_Data!D1670)</f>
        <v>38</v>
      </c>
      <c r="E1670" s="13" t="str">
        <f aca="false">IF(UPPER(LEFT(TRIM(Raw_Data!E1670),1))="M","Male",IF(UPPER(LEFT(TRIM(Raw_Data!E1670),1))="F","Female","Unknown"))</f>
        <v>Male</v>
      </c>
      <c r="F1670" s="13" t="str">
        <f aca="false">PROPER(TRIM(SUBSTITUTE(Raw_Data!F1670,"'","")))</f>
        <v>Masters</v>
      </c>
      <c r="G1670" s="13" t="str">
        <f aca="false">PROPER(TRIM(Raw_Data!G1670))</f>
        <v>Engineering</v>
      </c>
      <c r="H1670" s="13" t="str">
        <f aca="false">PROPER(TRIM(Raw_Data!H1670))</f>
        <v>Manager</v>
      </c>
      <c r="I1670" s="13" t="n">
        <f aca="false">IF(Raw_Data!I1670="",DefaultPerf,Raw_Data!I1670)</f>
        <v>4</v>
      </c>
      <c r="J1670" s="13" t="n">
        <f aca="false">IF(Raw_Data!J1670="",DefaultSat,Raw_Data!J1670)</f>
        <v>3</v>
      </c>
      <c r="K1670" s="15" t="n">
        <f aca="false">Raw_Data!K1670</f>
        <v>198000</v>
      </c>
      <c r="L1670" s="13" t="str">
        <f aca="false">PROPER(TRIM(Raw_Data!N1670))</f>
        <v>No</v>
      </c>
      <c r="M1670" s="13" t="n">
        <f aca="false">IF(C1670="",0,1)</f>
        <v>0</v>
      </c>
      <c r="N1670" s="13" t="str">
        <f aca="false">IF(M1670=0,"Active",IF(TRIM(Raw_Data!L1670)="","Unknown",PROPER(TRIM(Raw_Data!L1670))))</f>
        <v>Active</v>
      </c>
      <c r="O1670" s="13" t="str">
        <f aca="false">IF(M1670=0,"",IF(TRIM(Raw_Data!M1670)="","Not Recorded",TRIM(Raw_Data!M1670)))</f>
        <v/>
      </c>
      <c r="P1670" s="16" t="n">
        <f aca="false">ROUND((IF(C1670="",AsOfDate,C1670)-B1670)/365.25,2)</f>
        <v>1.94</v>
      </c>
      <c r="Q1670" s="13" t="str">
        <f aca="false">IF(D1670="","Unknown",IF(D1670&lt;25,"Under 25",IF(D1670&lt;35,"25-34",IF(D1670&lt;45,"35-44",IF(D1670&lt;55,"45-54","55+")))))</f>
        <v>35-44</v>
      </c>
      <c r="R1670" s="13" t="str">
        <f aca="false">IF(P1670&lt;1,"0-1 yrs",IF(P1670&lt;3,"1-3 yrs",IF(P1670&lt;5,"3-5 yrs",IF(P1670&lt;10,"5-10 yrs","10+ yrs"))))</f>
        <v>1-3 yrs</v>
      </c>
      <c r="S1670" s="13" t="str">
        <f aca="false">IF(I1670&gt;=4,"High",IF(I1670=3,"Medium","Low"))</f>
        <v>High</v>
      </c>
      <c r="T1670" s="13" t="str">
        <f aca="false">IF(M1670=1,YEAR(C1670),"")</f>
        <v/>
      </c>
      <c r="U1670" s="13" t="str">
        <f aca="false">IF(M1670=1,YEAR(C1670)&amp;"-Q"&amp;ROUNDUP(MONTH(C1670)/3,0),"")</f>
        <v/>
      </c>
      <c r="V1670" s="13" t="str">
        <f aca="false">IF(M1670=1,MONTH(C1670),"")</f>
        <v/>
      </c>
    </row>
    <row r="1671" customFormat="false" ht="15" hidden="false" customHeight="false" outlineLevel="0" collapsed="false">
      <c r="A1671" s="13" t="str">
        <f aca="false">TRIM(Raw_Data!A1671)</f>
        <v>EMP1670</v>
      </c>
      <c r="B1671" s="14" t="n">
        <f aca="false">Raw_Data!B1671</f>
        <v>45315</v>
      </c>
      <c r="C1671" s="14" t="str">
        <f aca="false">IF(Raw_Data!C1671="","",Raw_Data!C1671)</f>
        <v/>
      </c>
      <c r="D1671" s="13" t="n">
        <f aca="false">IF(Raw_Data!D1671="","",Raw_Data!D1671)</f>
        <v>45</v>
      </c>
      <c r="E1671" s="13" t="str">
        <f aca="false">IF(UPPER(LEFT(TRIM(Raw_Data!E1671),1))="M","Male",IF(UPPER(LEFT(TRIM(Raw_Data!E1671),1))="F","Female","Unknown"))</f>
        <v>Female</v>
      </c>
      <c r="F1671" s="13" t="str">
        <f aca="false">PROPER(TRIM(SUBSTITUTE(Raw_Data!F1671,"'","")))</f>
        <v>Doctorate</v>
      </c>
      <c r="G1671" s="13" t="str">
        <f aca="false">PROPER(TRIM(Raw_Data!G1671))</f>
        <v>Engineering</v>
      </c>
      <c r="H1671" s="13" t="str">
        <f aca="false">PROPER(TRIM(Raw_Data!H1671))</f>
        <v>Associate</v>
      </c>
      <c r="I1671" s="13" t="n">
        <f aca="false">IF(Raw_Data!I1671="",DefaultPerf,Raw_Data!I1671)</f>
        <v>3</v>
      </c>
      <c r="J1671" s="13" t="n">
        <f aca="false">IF(Raw_Data!J1671="",DefaultSat,Raw_Data!J1671)</f>
        <v>2</v>
      </c>
      <c r="K1671" s="15" t="n">
        <f aca="false">Raw_Data!K1671</f>
        <v>37500</v>
      </c>
      <c r="L1671" s="13" t="str">
        <f aca="false">PROPER(TRIM(Raw_Data!N1671))</f>
        <v>No</v>
      </c>
      <c r="M1671" s="13" t="n">
        <f aca="false">IF(C1671="",0,1)</f>
        <v>0</v>
      </c>
      <c r="N1671" s="13" t="str">
        <f aca="false">IF(M1671=0,"Active",IF(TRIM(Raw_Data!L1671)="","Unknown",PROPER(TRIM(Raw_Data!L1671))))</f>
        <v>Active</v>
      </c>
      <c r="O1671" s="13" t="str">
        <f aca="false">IF(M1671=0,"",IF(TRIM(Raw_Data!M1671)="","Not Recorded",TRIM(Raw_Data!M1671)))</f>
        <v/>
      </c>
      <c r="P1671" s="16" t="n">
        <f aca="false">ROUND((IF(C1671="",AsOfDate,C1671)-B1671)/365.25,2)</f>
        <v>1.94</v>
      </c>
      <c r="Q1671" s="13" t="str">
        <f aca="false">IF(D1671="","Unknown",IF(D1671&lt;25,"Under 25",IF(D1671&lt;35,"25-34",IF(D1671&lt;45,"35-44",IF(D1671&lt;55,"45-54","55+")))))</f>
        <v>45-54</v>
      </c>
      <c r="R1671" s="13" t="str">
        <f aca="false">IF(P1671&lt;1,"0-1 yrs",IF(P1671&lt;3,"1-3 yrs",IF(P1671&lt;5,"3-5 yrs",IF(P1671&lt;10,"5-10 yrs","10+ yrs"))))</f>
        <v>1-3 yrs</v>
      </c>
      <c r="S1671" s="13" t="str">
        <f aca="false">IF(I1671&gt;=4,"High",IF(I1671=3,"Medium","Low"))</f>
        <v>Medium</v>
      </c>
      <c r="T1671" s="13" t="str">
        <f aca="false">IF(M1671=1,YEAR(C1671),"")</f>
        <v/>
      </c>
      <c r="U1671" s="13" t="str">
        <f aca="false">IF(M1671=1,YEAR(C1671)&amp;"-Q"&amp;ROUNDUP(MONTH(C1671)/3,0),"")</f>
        <v/>
      </c>
      <c r="V1671" s="13" t="str">
        <f aca="false">IF(M1671=1,MONTH(C1671),"")</f>
        <v/>
      </c>
    </row>
    <row r="1672" customFormat="false" ht="15" hidden="false" customHeight="false" outlineLevel="0" collapsed="false">
      <c r="A1672" s="13" t="str">
        <f aca="false">TRIM(Raw_Data!A1672)</f>
        <v>EMP1671</v>
      </c>
      <c r="B1672" s="14" t="n">
        <f aca="false">Raw_Data!B1672</f>
        <v>45316</v>
      </c>
      <c r="C1672" s="14" t="str">
        <f aca="false">IF(Raw_Data!C1672="","",Raw_Data!C1672)</f>
        <v/>
      </c>
      <c r="D1672" s="13" t="n">
        <f aca="false">IF(Raw_Data!D1672="","",Raw_Data!D1672)</f>
        <v>27</v>
      </c>
      <c r="E1672" s="13" t="str">
        <f aca="false">IF(UPPER(LEFT(TRIM(Raw_Data!E1672),1))="M","Male",IF(UPPER(LEFT(TRIM(Raw_Data!E1672),1))="F","Female","Unknown"))</f>
        <v>Female</v>
      </c>
      <c r="F1672" s="13" t="str">
        <f aca="false">PROPER(TRIM(SUBSTITUTE(Raw_Data!F1672,"'","")))</f>
        <v>Diploma</v>
      </c>
      <c r="G1672" s="13" t="str">
        <f aca="false">PROPER(TRIM(Raw_Data!G1672))</f>
        <v>Sales</v>
      </c>
      <c r="H1672" s="13" t="str">
        <f aca="false">PROPER(TRIM(Raw_Data!H1672))</f>
        <v>Associate</v>
      </c>
      <c r="I1672" s="13" t="n">
        <f aca="false">IF(Raw_Data!I1672="",DefaultPerf,Raw_Data!I1672)</f>
        <v>3</v>
      </c>
      <c r="J1672" s="13" t="n">
        <f aca="false">IF(Raw_Data!J1672="",DefaultSat,Raw_Data!J1672)</f>
        <v>4</v>
      </c>
      <c r="K1672" s="15" t="n">
        <f aca="false">Raw_Data!K1672</f>
        <v>43000</v>
      </c>
      <c r="L1672" s="13" t="str">
        <f aca="false">PROPER(TRIM(Raw_Data!N1672))</f>
        <v>No</v>
      </c>
      <c r="M1672" s="13" t="n">
        <f aca="false">IF(C1672="",0,1)</f>
        <v>0</v>
      </c>
      <c r="N1672" s="13" t="str">
        <f aca="false">IF(M1672=0,"Active",IF(TRIM(Raw_Data!L1672)="","Unknown",PROPER(TRIM(Raw_Data!L1672))))</f>
        <v>Active</v>
      </c>
      <c r="O1672" s="13" t="str">
        <f aca="false">IF(M1672=0,"",IF(TRIM(Raw_Data!M1672)="","Not Recorded",TRIM(Raw_Data!M1672)))</f>
        <v/>
      </c>
      <c r="P1672" s="16" t="n">
        <f aca="false">ROUND((IF(C1672="",AsOfDate,C1672)-B1672)/365.25,2)</f>
        <v>1.93</v>
      </c>
      <c r="Q1672" s="13" t="str">
        <f aca="false">IF(D1672="","Unknown",IF(D1672&lt;25,"Under 25",IF(D1672&lt;35,"25-34",IF(D1672&lt;45,"35-44",IF(D1672&lt;55,"45-54","55+")))))</f>
        <v>25-34</v>
      </c>
      <c r="R1672" s="13" t="str">
        <f aca="false">IF(P1672&lt;1,"0-1 yrs",IF(P1672&lt;3,"1-3 yrs",IF(P1672&lt;5,"3-5 yrs",IF(P1672&lt;10,"5-10 yrs","10+ yrs"))))</f>
        <v>1-3 yrs</v>
      </c>
      <c r="S1672" s="13" t="str">
        <f aca="false">IF(I1672&gt;=4,"High",IF(I1672=3,"Medium","Low"))</f>
        <v>Medium</v>
      </c>
      <c r="T1672" s="13" t="str">
        <f aca="false">IF(M1672=1,YEAR(C1672),"")</f>
        <v/>
      </c>
      <c r="U1672" s="13" t="str">
        <f aca="false">IF(M1672=1,YEAR(C1672)&amp;"-Q"&amp;ROUNDUP(MONTH(C1672)/3,0),"")</f>
        <v/>
      </c>
      <c r="V1672" s="13" t="str">
        <f aca="false">IF(M1672=1,MONTH(C1672),"")</f>
        <v/>
      </c>
    </row>
    <row r="1673" customFormat="false" ht="15" hidden="false" customHeight="false" outlineLevel="0" collapsed="false">
      <c r="A1673" s="13" t="str">
        <f aca="false">TRIM(Raw_Data!A1673)</f>
        <v>EMP1672</v>
      </c>
      <c r="B1673" s="14" t="n">
        <f aca="false">Raw_Data!B1673</f>
        <v>45317</v>
      </c>
      <c r="C1673" s="14" t="str">
        <f aca="false">IF(Raw_Data!C1673="","",Raw_Data!C1673)</f>
        <v/>
      </c>
      <c r="D1673" s="13" t="n">
        <f aca="false">IF(Raw_Data!D1673="","",Raw_Data!D1673)</f>
        <v>28</v>
      </c>
      <c r="E1673" s="13" t="str">
        <f aca="false">IF(UPPER(LEFT(TRIM(Raw_Data!E1673),1))="M","Male",IF(UPPER(LEFT(TRIM(Raw_Data!E1673),1))="F","Female","Unknown"))</f>
        <v>Female</v>
      </c>
      <c r="F1673" s="13" t="str">
        <f aca="false">PROPER(TRIM(SUBSTITUTE(Raw_Data!F1673,"'","")))</f>
        <v>Bachelors</v>
      </c>
      <c r="G1673" s="13" t="str">
        <f aca="false">PROPER(TRIM(Raw_Data!G1673))</f>
        <v>Customer Support</v>
      </c>
      <c r="H1673" s="13" t="str">
        <f aca="false">PROPER(TRIM(Raw_Data!H1673))</f>
        <v>Analyst</v>
      </c>
      <c r="I1673" s="13" t="n">
        <f aca="false">IF(Raw_Data!I1673="",DefaultPerf,Raw_Data!I1673)</f>
        <v>5</v>
      </c>
      <c r="J1673" s="13" t="n">
        <f aca="false">IF(Raw_Data!J1673="",DefaultSat,Raw_Data!J1673)</f>
        <v>4</v>
      </c>
      <c r="K1673" s="15" t="n">
        <f aca="false">Raw_Data!K1673</f>
        <v>60500</v>
      </c>
      <c r="L1673" s="13" t="str">
        <f aca="false">PROPER(TRIM(Raw_Data!N1673))</f>
        <v>No</v>
      </c>
      <c r="M1673" s="13" t="n">
        <f aca="false">IF(C1673="",0,1)</f>
        <v>0</v>
      </c>
      <c r="N1673" s="13" t="str">
        <f aca="false">IF(M1673=0,"Active",IF(TRIM(Raw_Data!L1673)="","Unknown",PROPER(TRIM(Raw_Data!L1673))))</f>
        <v>Active</v>
      </c>
      <c r="O1673" s="13" t="str">
        <f aca="false">IF(M1673=0,"",IF(TRIM(Raw_Data!M1673)="","Not Recorded",TRIM(Raw_Data!M1673)))</f>
        <v/>
      </c>
      <c r="P1673" s="16" t="n">
        <f aca="false">ROUND((IF(C1673="",AsOfDate,C1673)-B1673)/365.25,2)</f>
        <v>1.93</v>
      </c>
      <c r="Q1673" s="13" t="str">
        <f aca="false">IF(D1673="","Unknown",IF(D1673&lt;25,"Under 25",IF(D1673&lt;35,"25-34",IF(D1673&lt;45,"35-44",IF(D1673&lt;55,"45-54","55+")))))</f>
        <v>25-34</v>
      </c>
      <c r="R1673" s="13" t="str">
        <f aca="false">IF(P1673&lt;1,"0-1 yrs",IF(P1673&lt;3,"1-3 yrs",IF(P1673&lt;5,"3-5 yrs",IF(P1673&lt;10,"5-10 yrs","10+ yrs"))))</f>
        <v>1-3 yrs</v>
      </c>
      <c r="S1673" s="13" t="str">
        <f aca="false">IF(I1673&gt;=4,"High",IF(I1673=3,"Medium","Low"))</f>
        <v>High</v>
      </c>
      <c r="T1673" s="13" t="str">
        <f aca="false">IF(M1673=1,YEAR(C1673),"")</f>
        <v/>
      </c>
      <c r="U1673" s="13" t="str">
        <f aca="false">IF(M1673=1,YEAR(C1673)&amp;"-Q"&amp;ROUNDUP(MONTH(C1673)/3,0),"")</f>
        <v/>
      </c>
      <c r="V1673" s="13" t="str">
        <f aca="false">IF(M1673=1,MONTH(C1673),"")</f>
        <v/>
      </c>
    </row>
    <row r="1674" customFormat="false" ht="15" hidden="false" customHeight="false" outlineLevel="0" collapsed="false">
      <c r="A1674" s="13" t="str">
        <f aca="false">TRIM(Raw_Data!A1674)</f>
        <v>EMP1673</v>
      </c>
      <c r="B1674" s="14" t="n">
        <f aca="false">Raw_Data!B1674</f>
        <v>45317</v>
      </c>
      <c r="C1674" s="14" t="str">
        <f aca="false">IF(Raw_Data!C1674="","",Raw_Data!C1674)</f>
        <v/>
      </c>
      <c r="D1674" s="13" t="n">
        <f aca="false">IF(Raw_Data!D1674="","",Raw_Data!D1674)</f>
        <v>34</v>
      </c>
      <c r="E1674" s="13" t="str">
        <f aca="false">IF(UPPER(LEFT(TRIM(Raw_Data!E1674),1))="M","Male",IF(UPPER(LEFT(TRIM(Raw_Data!E1674),1))="F","Female","Unknown"))</f>
        <v>Female</v>
      </c>
      <c r="F1674" s="13" t="str">
        <f aca="false">PROPER(TRIM(SUBSTITUTE(Raw_Data!F1674,"'","")))</f>
        <v>Doctorate</v>
      </c>
      <c r="G1674" s="13" t="str">
        <f aca="false">PROPER(TRIM(Raw_Data!G1674))</f>
        <v>Customer Support</v>
      </c>
      <c r="H1674" s="13" t="str">
        <f aca="false">PROPER(TRIM(Raw_Data!H1674))</f>
        <v>Analyst</v>
      </c>
      <c r="I1674" s="13" t="n">
        <f aca="false">IF(Raw_Data!I1674="",DefaultPerf,Raw_Data!I1674)</f>
        <v>2</v>
      </c>
      <c r="J1674" s="13" t="n">
        <f aca="false">IF(Raw_Data!J1674="",DefaultSat,Raw_Data!J1674)</f>
        <v>3</v>
      </c>
      <c r="K1674" s="15" t="n">
        <f aca="false">Raw_Data!K1674</f>
        <v>61000</v>
      </c>
      <c r="L1674" s="13" t="str">
        <f aca="false">PROPER(TRIM(Raw_Data!N1674))</f>
        <v>No</v>
      </c>
      <c r="M1674" s="13" t="n">
        <f aca="false">IF(C1674="",0,1)</f>
        <v>0</v>
      </c>
      <c r="N1674" s="13" t="str">
        <f aca="false">IF(M1674=0,"Active",IF(TRIM(Raw_Data!L1674)="","Unknown",PROPER(TRIM(Raw_Data!L1674))))</f>
        <v>Active</v>
      </c>
      <c r="O1674" s="13" t="str">
        <f aca="false">IF(M1674=0,"",IF(TRIM(Raw_Data!M1674)="","Not Recorded",TRIM(Raw_Data!M1674)))</f>
        <v/>
      </c>
      <c r="P1674" s="16" t="n">
        <f aca="false">ROUND((IF(C1674="",AsOfDate,C1674)-B1674)/365.25,2)</f>
        <v>1.93</v>
      </c>
      <c r="Q1674" s="13" t="str">
        <f aca="false">IF(D1674="","Unknown",IF(D1674&lt;25,"Under 25",IF(D1674&lt;35,"25-34",IF(D1674&lt;45,"35-44",IF(D1674&lt;55,"45-54","55+")))))</f>
        <v>25-34</v>
      </c>
      <c r="R1674" s="13" t="str">
        <f aca="false">IF(P1674&lt;1,"0-1 yrs",IF(P1674&lt;3,"1-3 yrs",IF(P1674&lt;5,"3-5 yrs",IF(P1674&lt;10,"5-10 yrs","10+ yrs"))))</f>
        <v>1-3 yrs</v>
      </c>
      <c r="S1674" s="13" t="str">
        <f aca="false">IF(I1674&gt;=4,"High",IF(I1674=3,"Medium","Low"))</f>
        <v>Low</v>
      </c>
      <c r="T1674" s="13" t="str">
        <f aca="false">IF(M1674=1,YEAR(C1674),"")</f>
        <v/>
      </c>
      <c r="U1674" s="13" t="str">
        <f aca="false">IF(M1674=1,YEAR(C1674)&amp;"-Q"&amp;ROUNDUP(MONTH(C1674)/3,0),"")</f>
        <v/>
      </c>
      <c r="V1674" s="13" t="str">
        <f aca="false">IF(M1674=1,MONTH(C1674),"")</f>
        <v/>
      </c>
    </row>
    <row r="1675" customFormat="false" ht="15" hidden="false" customHeight="false" outlineLevel="0" collapsed="false">
      <c r="A1675" s="13" t="str">
        <f aca="false">TRIM(Raw_Data!A1675)</f>
        <v>EMP1674</v>
      </c>
      <c r="B1675" s="14" t="n">
        <f aca="false">Raw_Data!B1675</f>
        <v>45323</v>
      </c>
      <c r="C1675" s="14" t="n">
        <f aca="false">IF(Raw_Data!C1675="","",Raw_Data!C1675)</f>
        <v>45525</v>
      </c>
      <c r="D1675" s="13" t="n">
        <f aca="false">IF(Raw_Data!D1675="","",Raw_Data!D1675)</f>
        <v>38</v>
      </c>
      <c r="E1675" s="13" t="str">
        <f aca="false">IF(UPPER(LEFT(TRIM(Raw_Data!E1675),1))="M","Male",IF(UPPER(LEFT(TRIM(Raw_Data!E1675),1))="F","Female","Unknown"))</f>
        <v>Male</v>
      </c>
      <c r="F1675" s="13" t="str">
        <f aca="false">PROPER(TRIM(SUBSTITUTE(Raw_Data!F1675,"'","")))</f>
        <v>Diploma</v>
      </c>
      <c r="G1675" s="13" t="str">
        <f aca="false">PROPER(TRIM(Raw_Data!G1675))</f>
        <v>Sales</v>
      </c>
      <c r="H1675" s="13" t="str">
        <f aca="false">PROPER(TRIM(Raw_Data!H1675))</f>
        <v>Associate</v>
      </c>
      <c r="I1675" s="13" t="n">
        <f aca="false">IF(Raw_Data!I1675="",DefaultPerf,Raw_Data!I1675)</f>
        <v>4</v>
      </c>
      <c r="J1675" s="13" t="n">
        <f aca="false">IF(Raw_Data!J1675="",DefaultSat,Raw_Data!J1675)</f>
        <v>3</v>
      </c>
      <c r="K1675" s="15" t="n">
        <f aca="false">Raw_Data!K1675</f>
        <v>26000</v>
      </c>
      <c r="L1675" s="13" t="str">
        <f aca="false">PROPER(TRIM(Raw_Data!N1675))</f>
        <v>No</v>
      </c>
      <c r="M1675" s="13" t="n">
        <f aca="false">IF(C1675="",0,1)</f>
        <v>1</v>
      </c>
      <c r="N1675" s="13" t="str">
        <f aca="false">IF(M1675=0,"Active",IF(TRIM(Raw_Data!L1675)="","Unknown",PROPER(TRIM(Raw_Data!L1675))))</f>
        <v>Involuntary</v>
      </c>
      <c r="O1675" s="13" t="str">
        <f aca="false">IF(M1675=0,"",IF(TRIM(Raw_Data!M1675)="","Not Recorded",TRIM(Raw_Data!M1675)))</f>
        <v>Restructuring / Layoff</v>
      </c>
      <c r="P1675" s="16" t="n">
        <f aca="false">ROUND((IF(C1675="",AsOfDate,C1675)-B1675)/365.25,2)</f>
        <v>0.55</v>
      </c>
      <c r="Q1675" s="13" t="str">
        <f aca="false">IF(D1675="","Unknown",IF(D1675&lt;25,"Under 25",IF(D1675&lt;35,"25-34",IF(D1675&lt;45,"35-44",IF(D1675&lt;55,"45-54","55+")))))</f>
        <v>35-44</v>
      </c>
      <c r="R1675" s="13" t="str">
        <f aca="false">IF(P1675&lt;1,"0-1 yrs",IF(P1675&lt;3,"1-3 yrs",IF(P1675&lt;5,"3-5 yrs",IF(P1675&lt;10,"5-10 yrs","10+ yrs"))))</f>
        <v>0-1 yrs</v>
      </c>
      <c r="S1675" s="13" t="str">
        <f aca="false">IF(I1675&gt;=4,"High",IF(I1675=3,"Medium","Low"))</f>
        <v>High</v>
      </c>
      <c r="T1675" s="13" t="n">
        <f aca="false">IF(M1675=1,YEAR(C1675),"")</f>
        <v>2024</v>
      </c>
      <c r="U1675" s="13" t="str">
        <f aca="false">IF(M1675=1,YEAR(C1675)&amp;"-Q"&amp;ROUNDUP(MONTH(C1675)/3,0),"")</f>
        <v>2024-Q3</v>
      </c>
      <c r="V1675" s="13" t="n">
        <f aca="false">IF(M1675=1,MONTH(C1675),"")</f>
        <v>8</v>
      </c>
    </row>
    <row r="1676" customFormat="false" ht="15" hidden="false" customHeight="false" outlineLevel="0" collapsed="false">
      <c r="A1676" s="13" t="str">
        <f aca="false">TRIM(Raw_Data!A1676)</f>
        <v>EMP1675</v>
      </c>
      <c r="B1676" s="14" t="n">
        <f aca="false">Raw_Data!B1676</f>
        <v>45328</v>
      </c>
      <c r="C1676" s="14" t="n">
        <f aca="false">IF(Raw_Data!C1676="","",Raw_Data!C1676)</f>
        <v>45806</v>
      </c>
      <c r="D1676" s="13" t="n">
        <f aca="false">IF(Raw_Data!D1676="","",Raw_Data!D1676)</f>
        <v>22</v>
      </c>
      <c r="E1676" s="13" t="str">
        <f aca="false">IF(UPPER(LEFT(TRIM(Raw_Data!E1676),1))="M","Male",IF(UPPER(LEFT(TRIM(Raw_Data!E1676),1))="F","Female","Unknown"))</f>
        <v>Female</v>
      </c>
      <c r="F1676" s="13" t="str">
        <f aca="false">PROPER(TRIM(SUBSTITUTE(Raw_Data!F1676,"'","")))</f>
        <v>Masters</v>
      </c>
      <c r="G1676" s="13" t="str">
        <f aca="false">PROPER(TRIM(Raw_Data!G1676))</f>
        <v>Sales</v>
      </c>
      <c r="H1676" s="13" t="str">
        <f aca="false">PROPER(TRIM(Raw_Data!H1676))</f>
        <v>Specialist</v>
      </c>
      <c r="I1676" s="13" t="n">
        <f aca="false">IF(Raw_Data!I1676="",DefaultPerf,Raw_Data!I1676)</f>
        <v>3</v>
      </c>
      <c r="J1676" s="13" t="n">
        <f aca="false">IF(Raw_Data!J1676="",DefaultSat,Raw_Data!J1676)</f>
        <v>2</v>
      </c>
      <c r="K1676" s="15" t="n">
        <f aca="false">Raw_Data!K1676</f>
        <v>90000</v>
      </c>
      <c r="L1676" s="13" t="str">
        <f aca="false">PROPER(TRIM(Raw_Data!N1676))</f>
        <v>No</v>
      </c>
      <c r="M1676" s="13" t="n">
        <f aca="false">IF(C1676="",0,1)</f>
        <v>1</v>
      </c>
      <c r="N1676" s="13" t="str">
        <f aca="false">IF(M1676=0,"Active",IF(TRIM(Raw_Data!L1676)="","Unknown",PROPER(TRIM(Raw_Data!L1676))))</f>
        <v>Voluntary</v>
      </c>
      <c r="O1676" s="13" t="str">
        <f aca="false">IF(M1676=0,"",IF(TRIM(Raw_Data!M1676)="","Not Recorded",TRIM(Raw_Data!M1676)))</f>
        <v>Job Dissatisfaction</v>
      </c>
      <c r="P1676" s="16" t="n">
        <f aca="false">ROUND((IF(C1676="",AsOfDate,C1676)-B1676)/365.25,2)</f>
        <v>1.31</v>
      </c>
      <c r="Q1676" s="13" t="str">
        <f aca="false">IF(D1676="","Unknown",IF(D1676&lt;25,"Under 25",IF(D1676&lt;35,"25-34",IF(D1676&lt;45,"35-44",IF(D1676&lt;55,"45-54","55+")))))</f>
        <v>Under 25</v>
      </c>
      <c r="R1676" s="13" t="str">
        <f aca="false">IF(P1676&lt;1,"0-1 yrs",IF(P1676&lt;3,"1-3 yrs",IF(P1676&lt;5,"3-5 yrs",IF(P1676&lt;10,"5-10 yrs","10+ yrs"))))</f>
        <v>1-3 yrs</v>
      </c>
      <c r="S1676" s="13" t="str">
        <f aca="false">IF(I1676&gt;=4,"High",IF(I1676=3,"Medium","Low"))</f>
        <v>Medium</v>
      </c>
      <c r="T1676" s="13" t="n">
        <f aca="false">IF(M1676=1,YEAR(C1676),"")</f>
        <v>2025</v>
      </c>
      <c r="U1676" s="13" t="str">
        <f aca="false">IF(M1676=1,YEAR(C1676)&amp;"-Q"&amp;ROUNDUP(MONTH(C1676)/3,0),"")</f>
        <v>2025-Q2</v>
      </c>
      <c r="V1676" s="13" t="n">
        <f aca="false">IF(M1676=1,MONTH(C1676),"")</f>
        <v>5</v>
      </c>
    </row>
    <row r="1677" customFormat="false" ht="15" hidden="false" customHeight="false" outlineLevel="0" collapsed="false">
      <c r="A1677" s="13" t="str">
        <f aca="false">TRIM(Raw_Data!A1677)</f>
        <v>EMP1676</v>
      </c>
      <c r="B1677" s="14" t="n">
        <f aca="false">Raw_Data!B1677</f>
        <v>45329</v>
      </c>
      <c r="C1677" s="14" t="str">
        <f aca="false">IF(Raw_Data!C1677="","",Raw_Data!C1677)</f>
        <v/>
      </c>
      <c r="D1677" s="13" t="n">
        <f aca="false">IF(Raw_Data!D1677="","",Raw_Data!D1677)</f>
        <v>30</v>
      </c>
      <c r="E1677" s="13" t="str">
        <f aca="false">IF(UPPER(LEFT(TRIM(Raw_Data!E1677),1))="M","Male",IF(UPPER(LEFT(TRIM(Raw_Data!E1677),1))="F","Female","Unknown"))</f>
        <v>Male</v>
      </c>
      <c r="F1677" s="13" t="str">
        <f aca="false">PROPER(TRIM(SUBSTITUTE(Raw_Data!F1677,"'","")))</f>
        <v>High School</v>
      </c>
      <c r="G1677" s="13" t="str">
        <f aca="false">PROPER(TRIM(Raw_Data!G1677))</f>
        <v>Engineering</v>
      </c>
      <c r="H1677" s="13" t="str">
        <f aca="false">PROPER(TRIM(Raw_Data!H1677))</f>
        <v>Analyst</v>
      </c>
      <c r="I1677" s="13" t="n">
        <f aca="false">IF(Raw_Data!I1677="",DefaultPerf,Raw_Data!I1677)</f>
        <v>5</v>
      </c>
      <c r="J1677" s="13" t="n">
        <f aca="false">IF(Raw_Data!J1677="",DefaultSat,Raw_Data!J1677)</f>
        <v>3</v>
      </c>
      <c r="K1677" s="15" t="n">
        <f aca="false">Raw_Data!K1677</f>
        <v>55000</v>
      </c>
      <c r="L1677" s="13" t="str">
        <f aca="false">PROPER(TRIM(Raw_Data!N1677))</f>
        <v>No</v>
      </c>
      <c r="M1677" s="13" t="n">
        <f aca="false">IF(C1677="",0,1)</f>
        <v>0</v>
      </c>
      <c r="N1677" s="13" t="str">
        <f aca="false">IF(M1677=0,"Active",IF(TRIM(Raw_Data!L1677)="","Unknown",PROPER(TRIM(Raw_Data!L1677))))</f>
        <v>Active</v>
      </c>
      <c r="O1677" s="13" t="str">
        <f aca="false">IF(M1677=0,"",IF(TRIM(Raw_Data!M1677)="","Not Recorded",TRIM(Raw_Data!M1677)))</f>
        <v/>
      </c>
      <c r="P1677" s="16" t="n">
        <f aca="false">ROUND((IF(C1677="",AsOfDate,C1677)-B1677)/365.25,2)</f>
        <v>1.9</v>
      </c>
      <c r="Q1677" s="13" t="str">
        <f aca="false">IF(D1677="","Unknown",IF(D1677&lt;25,"Under 25",IF(D1677&lt;35,"25-34",IF(D1677&lt;45,"35-44",IF(D1677&lt;55,"45-54","55+")))))</f>
        <v>25-34</v>
      </c>
      <c r="R1677" s="13" t="str">
        <f aca="false">IF(P1677&lt;1,"0-1 yrs",IF(P1677&lt;3,"1-3 yrs",IF(P1677&lt;5,"3-5 yrs",IF(P1677&lt;10,"5-10 yrs","10+ yrs"))))</f>
        <v>1-3 yrs</v>
      </c>
      <c r="S1677" s="13" t="str">
        <f aca="false">IF(I1677&gt;=4,"High",IF(I1677=3,"Medium","Low"))</f>
        <v>High</v>
      </c>
      <c r="T1677" s="13" t="str">
        <f aca="false">IF(M1677=1,YEAR(C1677),"")</f>
        <v/>
      </c>
      <c r="U1677" s="13" t="str">
        <f aca="false">IF(M1677=1,YEAR(C1677)&amp;"-Q"&amp;ROUNDUP(MONTH(C1677)/3,0),"")</f>
        <v/>
      </c>
      <c r="V1677" s="13" t="str">
        <f aca="false">IF(M1677=1,MONTH(C1677),"")</f>
        <v/>
      </c>
    </row>
    <row r="1678" customFormat="false" ht="15" hidden="false" customHeight="false" outlineLevel="0" collapsed="false">
      <c r="A1678" s="13" t="str">
        <f aca="false">TRIM(Raw_Data!A1678)</f>
        <v>EMP1677</v>
      </c>
      <c r="B1678" s="14" t="n">
        <f aca="false">Raw_Data!B1678</f>
        <v>45339</v>
      </c>
      <c r="C1678" s="14" t="str">
        <f aca="false">IF(Raw_Data!C1678="","",Raw_Data!C1678)</f>
        <v/>
      </c>
      <c r="D1678" s="13" t="n">
        <f aca="false">IF(Raw_Data!D1678="","",Raw_Data!D1678)</f>
        <v>31</v>
      </c>
      <c r="E1678" s="13" t="str">
        <f aca="false">IF(UPPER(LEFT(TRIM(Raw_Data!E1678),1))="M","Male",IF(UPPER(LEFT(TRIM(Raw_Data!E1678),1))="F","Female","Unknown"))</f>
        <v>Male</v>
      </c>
      <c r="F1678" s="13" t="str">
        <f aca="false">PROPER(TRIM(SUBSTITUTE(Raw_Data!F1678,"'","")))</f>
        <v>Bachelors</v>
      </c>
      <c r="G1678" s="13" t="str">
        <f aca="false">PROPER(TRIM(Raw_Data!G1678))</f>
        <v>Sales</v>
      </c>
      <c r="H1678" s="13" t="str">
        <f aca="false">PROPER(TRIM(Raw_Data!H1678))</f>
        <v>Team Lead</v>
      </c>
      <c r="I1678" s="13" t="n">
        <f aca="false">IF(Raw_Data!I1678="",DefaultPerf,Raw_Data!I1678)</f>
        <v>4</v>
      </c>
      <c r="J1678" s="13" t="n">
        <f aca="false">IF(Raw_Data!J1678="",DefaultSat,Raw_Data!J1678)</f>
        <v>4</v>
      </c>
      <c r="K1678" s="15" t="n">
        <f aca="false">Raw_Data!K1678</f>
        <v>119500</v>
      </c>
      <c r="L1678" s="13" t="str">
        <f aca="false">PROPER(TRIM(Raw_Data!N1678))</f>
        <v>Yes</v>
      </c>
      <c r="M1678" s="13" t="n">
        <f aca="false">IF(C1678="",0,1)</f>
        <v>0</v>
      </c>
      <c r="N1678" s="13" t="str">
        <f aca="false">IF(M1678=0,"Active",IF(TRIM(Raw_Data!L1678)="","Unknown",PROPER(TRIM(Raw_Data!L1678))))</f>
        <v>Active</v>
      </c>
      <c r="O1678" s="13" t="str">
        <f aca="false">IF(M1678=0,"",IF(TRIM(Raw_Data!M1678)="","Not Recorded",TRIM(Raw_Data!M1678)))</f>
        <v/>
      </c>
      <c r="P1678" s="16" t="n">
        <f aca="false">ROUND((IF(C1678="",AsOfDate,C1678)-B1678)/365.25,2)</f>
        <v>1.87</v>
      </c>
      <c r="Q1678" s="13" t="str">
        <f aca="false">IF(D1678="","Unknown",IF(D1678&lt;25,"Under 25",IF(D1678&lt;35,"25-34",IF(D1678&lt;45,"35-44",IF(D1678&lt;55,"45-54","55+")))))</f>
        <v>25-34</v>
      </c>
      <c r="R1678" s="13" t="str">
        <f aca="false">IF(P1678&lt;1,"0-1 yrs",IF(P1678&lt;3,"1-3 yrs",IF(P1678&lt;5,"3-5 yrs",IF(P1678&lt;10,"5-10 yrs","10+ yrs"))))</f>
        <v>1-3 yrs</v>
      </c>
      <c r="S1678" s="13" t="str">
        <f aca="false">IF(I1678&gt;=4,"High",IF(I1678=3,"Medium","Low"))</f>
        <v>High</v>
      </c>
      <c r="T1678" s="13" t="str">
        <f aca="false">IF(M1678=1,YEAR(C1678),"")</f>
        <v/>
      </c>
      <c r="U1678" s="13" t="str">
        <f aca="false">IF(M1678=1,YEAR(C1678)&amp;"-Q"&amp;ROUNDUP(MONTH(C1678)/3,0),"")</f>
        <v/>
      </c>
      <c r="V1678" s="13" t="str">
        <f aca="false">IF(M1678=1,MONTH(C1678),"")</f>
        <v/>
      </c>
    </row>
    <row r="1679" customFormat="false" ht="15" hidden="false" customHeight="false" outlineLevel="0" collapsed="false">
      <c r="A1679" s="13" t="str">
        <f aca="false">TRIM(Raw_Data!A1679)</f>
        <v>EMP1678</v>
      </c>
      <c r="B1679" s="14" t="n">
        <f aca="false">Raw_Data!B1679</f>
        <v>45339</v>
      </c>
      <c r="C1679" s="14" t="n">
        <f aca="false">IF(Raw_Data!C1679="","",Raw_Data!C1679)</f>
        <v>45635</v>
      </c>
      <c r="D1679" s="13" t="n">
        <f aca="false">IF(Raw_Data!D1679="","",Raw_Data!D1679)</f>
        <v>30</v>
      </c>
      <c r="E1679" s="13" t="str">
        <f aca="false">IF(UPPER(LEFT(TRIM(Raw_Data!E1679),1))="M","Male",IF(UPPER(LEFT(TRIM(Raw_Data!E1679),1))="F","Female","Unknown"))</f>
        <v>Female</v>
      </c>
      <c r="F1679" s="13" t="str">
        <f aca="false">PROPER(TRIM(SUBSTITUTE(Raw_Data!F1679,"'","")))</f>
        <v>Bachelors</v>
      </c>
      <c r="G1679" s="13" t="str">
        <f aca="false">PROPER(TRIM(Raw_Data!G1679))</f>
        <v>Sales</v>
      </c>
      <c r="H1679" s="13" t="str">
        <f aca="false">PROPER(TRIM(Raw_Data!H1679))</f>
        <v>Associate</v>
      </c>
      <c r="I1679" s="13" t="n">
        <f aca="false">IF(Raw_Data!I1679="",DefaultPerf,Raw_Data!I1679)</f>
        <v>4</v>
      </c>
      <c r="J1679" s="13" t="n">
        <f aca="false">IF(Raw_Data!J1679="",DefaultSat,Raw_Data!J1679)</f>
        <v>2</v>
      </c>
      <c r="K1679" s="15" t="n">
        <f aca="false">Raw_Data!K1679</f>
        <v>34000</v>
      </c>
      <c r="L1679" s="13" t="str">
        <f aca="false">PROPER(TRIM(Raw_Data!N1679))</f>
        <v>No</v>
      </c>
      <c r="M1679" s="13" t="n">
        <f aca="false">IF(C1679="",0,1)</f>
        <v>1</v>
      </c>
      <c r="N1679" s="13" t="str">
        <f aca="false">IF(M1679=0,"Active",IF(TRIM(Raw_Data!L1679)="","Unknown",PROPER(TRIM(Raw_Data!L1679))))</f>
        <v>Voluntary</v>
      </c>
      <c r="O1679" s="13" t="str">
        <f aca="false">IF(M1679=0,"",IF(TRIM(Raw_Data!M1679)="","Not Recorded",TRIM(Raw_Data!M1679)))</f>
        <v>Job Dissatisfaction</v>
      </c>
      <c r="P1679" s="16" t="n">
        <f aca="false">ROUND((IF(C1679="",AsOfDate,C1679)-B1679)/365.25,2)</f>
        <v>0.81</v>
      </c>
      <c r="Q1679" s="13" t="str">
        <f aca="false">IF(D1679="","Unknown",IF(D1679&lt;25,"Under 25",IF(D1679&lt;35,"25-34",IF(D1679&lt;45,"35-44",IF(D1679&lt;55,"45-54","55+")))))</f>
        <v>25-34</v>
      </c>
      <c r="R1679" s="13" t="str">
        <f aca="false">IF(P1679&lt;1,"0-1 yrs",IF(P1679&lt;3,"1-3 yrs",IF(P1679&lt;5,"3-5 yrs",IF(P1679&lt;10,"5-10 yrs","10+ yrs"))))</f>
        <v>0-1 yrs</v>
      </c>
      <c r="S1679" s="13" t="str">
        <f aca="false">IF(I1679&gt;=4,"High",IF(I1679=3,"Medium","Low"))</f>
        <v>High</v>
      </c>
      <c r="T1679" s="13" t="n">
        <f aca="false">IF(M1679=1,YEAR(C1679),"")</f>
        <v>2024</v>
      </c>
      <c r="U1679" s="13" t="str">
        <f aca="false">IF(M1679=1,YEAR(C1679)&amp;"-Q"&amp;ROUNDUP(MONTH(C1679)/3,0),"")</f>
        <v>2024-Q4</v>
      </c>
      <c r="V1679" s="13" t="n">
        <f aca="false">IF(M1679=1,MONTH(C1679),"")</f>
        <v>12</v>
      </c>
    </row>
    <row r="1680" customFormat="false" ht="15" hidden="false" customHeight="false" outlineLevel="0" collapsed="false">
      <c r="A1680" s="13" t="str">
        <f aca="false">TRIM(Raw_Data!A1680)</f>
        <v>EMP1679</v>
      </c>
      <c r="B1680" s="14" t="n">
        <f aca="false">Raw_Data!B1680</f>
        <v>45341</v>
      </c>
      <c r="C1680" s="14" t="str">
        <f aca="false">IF(Raw_Data!C1680="","",Raw_Data!C1680)</f>
        <v/>
      </c>
      <c r="D1680" s="13" t="n">
        <f aca="false">IF(Raw_Data!D1680="","",Raw_Data!D1680)</f>
        <v>39</v>
      </c>
      <c r="E1680" s="13" t="str">
        <f aca="false">IF(UPPER(LEFT(TRIM(Raw_Data!E1680),1))="M","Male",IF(UPPER(LEFT(TRIM(Raw_Data!E1680),1))="F","Female","Unknown"))</f>
        <v>Female</v>
      </c>
      <c r="F1680" s="13" t="str">
        <f aca="false">PROPER(TRIM(SUBSTITUTE(Raw_Data!F1680,"'","")))</f>
        <v>Masters</v>
      </c>
      <c r="G1680" s="13" t="str">
        <f aca="false">PROPER(TRIM(Raw_Data!G1680))</f>
        <v>Human Resources</v>
      </c>
      <c r="H1680" s="13" t="str">
        <f aca="false">PROPER(TRIM(Raw_Data!H1680))</f>
        <v>Associate</v>
      </c>
      <c r="I1680" s="13" t="n">
        <f aca="false">IF(Raw_Data!I1680="",DefaultPerf,Raw_Data!I1680)</f>
        <v>4</v>
      </c>
      <c r="J1680" s="13" t="n">
        <f aca="false">IF(Raw_Data!J1680="",DefaultSat,Raw_Data!J1680)</f>
        <v>3</v>
      </c>
      <c r="K1680" s="15" t="n">
        <f aca="false">Raw_Data!K1680</f>
        <v>34500</v>
      </c>
      <c r="L1680" s="13" t="str">
        <f aca="false">PROPER(TRIM(Raw_Data!N1680))</f>
        <v>No</v>
      </c>
      <c r="M1680" s="13" t="n">
        <f aca="false">IF(C1680="",0,1)</f>
        <v>0</v>
      </c>
      <c r="N1680" s="13" t="str">
        <f aca="false">IF(M1680=0,"Active",IF(TRIM(Raw_Data!L1680)="","Unknown",PROPER(TRIM(Raw_Data!L1680))))</f>
        <v>Active</v>
      </c>
      <c r="O1680" s="13" t="str">
        <f aca="false">IF(M1680=0,"",IF(TRIM(Raw_Data!M1680)="","Not Recorded",TRIM(Raw_Data!M1680)))</f>
        <v/>
      </c>
      <c r="P1680" s="16" t="n">
        <f aca="false">ROUND((IF(C1680="",AsOfDate,C1680)-B1680)/365.25,2)</f>
        <v>1.86</v>
      </c>
      <c r="Q1680" s="13" t="str">
        <f aca="false">IF(D1680="","Unknown",IF(D1680&lt;25,"Under 25",IF(D1680&lt;35,"25-34",IF(D1680&lt;45,"35-44",IF(D1680&lt;55,"45-54","55+")))))</f>
        <v>35-44</v>
      </c>
      <c r="R1680" s="13" t="str">
        <f aca="false">IF(P1680&lt;1,"0-1 yrs",IF(P1680&lt;3,"1-3 yrs",IF(P1680&lt;5,"3-5 yrs",IF(P1680&lt;10,"5-10 yrs","10+ yrs"))))</f>
        <v>1-3 yrs</v>
      </c>
      <c r="S1680" s="13" t="str">
        <f aca="false">IF(I1680&gt;=4,"High",IF(I1680=3,"Medium","Low"))</f>
        <v>High</v>
      </c>
      <c r="T1680" s="13" t="str">
        <f aca="false">IF(M1680=1,YEAR(C1680),"")</f>
        <v/>
      </c>
      <c r="U1680" s="13" t="str">
        <f aca="false">IF(M1680=1,YEAR(C1680)&amp;"-Q"&amp;ROUNDUP(MONTH(C1680)/3,0),"")</f>
        <v/>
      </c>
      <c r="V1680" s="13" t="str">
        <f aca="false">IF(M1680=1,MONTH(C1680),"")</f>
        <v/>
      </c>
    </row>
    <row r="1681" customFormat="false" ht="15" hidden="false" customHeight="false" outlineLevel="0" collapsed="false">
      <c r="A1681" s="13" t="str">
        <f aca="false">TRIM(Raw_Data!A1681)</f>
        <v>EMP1680</v>
      </c>
      <c r="B1681" s="14" t="n">
        <f aca="false">Raw_Data!B1681</f>
        <v>45343</v>
      </c>
      <c r="C1681" s="14" t="str">
        <f aca="false">IF(Raw_Data!C1681="","",Raw_Data!C1681)</f>
        <v/>
      </c>
      <c r="D1681" s="13" t="n">
        <f aca="false">IF(Raw_Data!D1681="","",Raw_Data!D1681)</f>
        <v>31</v>
      </c>
      <c r="E1681" s="13" t="str">
        <f aca="false">IF(UPPER(LEFT(TRIM(Raw_Data!E1681),1))="M","Male",IF(UPPER(LEFT(TRIM(Raw_Data!E1681),1))="F","Female","Unknown"))</f>
        <v>Male</v>
      </c>
      <c r="F1681" s="13" t="str">
        <f aca="false">PROPER(TRIM(SUBSTITUTE(Raw_Data!F1681,"'","")))</f>
        <v>Doctorate</v>
      </c>
      <c r="G1681" s="13" t="str">
        <f aca="false">PROPER(TRIM(Raw_Data!G1681))</f>
        <v>Engineering</v>
      </c>
      <c r="H1681" s="13" t="str">
        <f aca="false">PROPER(TRIM(Raw_Data!H1681))</f>
        <v>Senior Analyst</v>
      </c>
      <c r="I1681" s="13" t="n">
        <f aca="false">IF(Raw_Data!I1681="",DefaultPerf,Raw_Data!I1681)</f>
        <v>4</v>
      </c>
      <c r="J1681" s="13" t="n">
        <f aca="false">IF(Raw_Data!J1681="",DefaultSat,Raw_Data!J1681)</f>
        <v>2</v>
      </c>
      <c r="K1681" s="15" t="n">
        <f aca="false">Raw_Data!K1681</f>
        <v>81500</v>
      </c>
      <c r="L1681" s="13" t="str">
        <f aca="false">PROPER(TRIM(Raw_Data!N1681))</f>
        <v>Yes</v>
      </c>
      <c r="M1681" s="13" t="n">
        <f aca="false">IF(C1681="",0,1)</f>
        <v>0</v>
      </c>
      <c r="N1681" s="13" t="str">
        <f aca="false">IF(M1681=0,"Active",IF(TRIM(Raw_Data!L1681)="","Unknown",PROPER(TRIM(Raw_Data!L1681))))</f>
        <v>Active</v>
      </c>
      <c r="O1681" s="13" t="str">
        <f aca="false">IF(M1681=0,"",IF(TRIM(Raw_Data!M1681)="","Not Recorded",TRIM(Raw_Data!M1681)))</f>
        <v/>
      </c>
      <c r="P1681" s="16" t="n">
        <f aca="false">ROUND((IF(C1681="",AsOfDate,C1681)-B1681)/365.25,2)</f>
        <v>1.86</v>
      </c>
      <c r="Q1681" s="13" t="str">
        <f aca="false">IF(D1681="","Unknown",IF(D1681&lt;25,"Under 25",IF(D1681&lt;35,"25-34",IF(D1681&lt;45,"35-44",IF(D1681&lt;55,"45-54","55+")))))</f>
        <v>25-34</v>
      </c>
      <c r="R1681" s="13" t="str">
        <f aca="false">IF(P1681&lt;1,"0-1 yrs",IF(P1681&lt;3,"1-3 yrs",IF(P1681&lt;5,"3-5 yrs",IF(P1681&lt;10,"5-10 yrs","10+ yrs"))))</f>
        <v>1-3 yrs</v>
      </c>
      <c r="S1681" s="13" t="str">
        <f aca="false">IF(I1681&gt;=4,"High",IF(I1681=3,"Medium","Low"))</f>
        <v>High</v>
      </c>
      <c r="T1681" s="13" t="str">
        <f aca="false">IF(M1681=1,YEAR(C1681),"")</f>
        <v/>
      </c>
      <c r="U1681" s="13" t="str">
        <f aca="false">IF(M1681=1,YEAR(C1681)&amp;"-Q"&amp;ROUNDUP(MONTH(C1681)/3,0),"")</f>
        <v/>
      </c>
      <c r="V1681" s="13" t="str">
        <f aca="false">IF(M1681=1,MONTH(C1681),"")</f>
        <v/>
      </c>
    </row>
    <row r="1682" customFormat="false" ht="15" hidden="false" customHeight="false" outlineLevel="0" collapsed="false">
      <c r="A1682" s="13" t="str">
        <f aca="false">TRIM(Raw_Data!A1682)</f>
        <v>EMP1681</v>
      </c>
      <c r="B1682" s="14" t="n">
        <f aca="false">Raw_Data!B1682</f>
        <v>45345</v>
      </c>
      <c r="C1682" s="14" t="str">
        <f aca="false">IF(Raw_Data!C1682="","",Raw_Data!C1682)</f>
        <v/>
      </c>
      <c r="D1682" s="13" t="n">
        <f aca="false">IF(Raw_Data!D1682="","",Raw_Data!D1682)</f>
        <v>35</v>
      </c>
      <c r="E1682" s="13" t="str">
        <f aca="false">IF(UPPER(LEFT(TRIM(Raw_Data!E1682),1))="M","Male",IF(UPPER(LEFT(TRIM(Raw_Data!E1682),1))="F","Female","Unknown"))</f>
        <v>Male</v>
      </c>
      <c r="F1682" s="13" t="str">
        <f aca="false">PROPER(TRIM(SUBSTITUTE(Raw_Data!F1682,"'","")))</f>
        <v>Bachelors</v>
      </c>
      <c r="G1682" s="13" t="str">
        <f aca="false">PROPER(TRIM(Raw_Data!G1682))</f>
        <v>Sales</v>
      </c>
      <c r="H1682" s="13" t="str">
        <f aca="false">PROPER(TRIM(Raw_Data!H1682))</f>
        <v>Manager</v>
      </c>
      <c r="I1682" s="13" t="n">
        <f aca="false">IF(Raw_Data!I1682="",DefaultPerf,Raw_Data!I1682)</f>
        <v>3</v>
      </c>
      <c r="J1682" s="13" t="n">
        <f aca="false">IF(Raw_Data!J1682="",DefaultSat,Raw_Data!J1682)</f>
        <v>3</v>
      </c>
      <c r="K1682" s="15" t="n">
        <f aca="false">Raw_Data!K1682</f>
        <v>191000</v>
      </c>
      <c r="L1682" s="13" t="str">
        <f aca="false">PROPER(TRIM(Raw_Data!N1682))</f>
        <v>No</v>
      </c>
      <c r="M1682" s="13" t="n">
        <f aca="false">IF(C1682="",0,1)</f>
        <v>0</v>
      </c>
      <c r="N1682" s="13" t="str">
        <f aca="false">IF(M1682=0,"Active",IF(TRIM(Raw_Data!L1682)="","Unknown",PROPER(TRIM(Raw_Data!L1682))))</f>
        <v>Active</v>
      </c>
      <c r="O1682" s="13" t="str">
        <f aca="false">IF(M1682=0,"",IF(TRIM(Raw_Data!M1682)="","Not Recorded",TRIM(Raw_Data!M1682)))</f>
        <v/>
      </c>
      <c r="P1682" s="16" t="n">
        <f aca="false">ROUND((IF(C1682="",AsOfDate,C1682)-B1682)/365.25,2)</f>
        <v>1.85</v>
      </c>
      <c r="Q1682" s="13" t="str">
        <f aca="false">IF(D1682="","Unknown",IF(D1682&lt;25,"Under 25",IF(D1682&lt;35,"25-34",IF(D1682&lt;45,"35-44",IF(D1682&lt;55,"45-54","55+")))))</f>
        <v>35-44</v>
      </c>
      <c r="R1682" s="13" t="str">
        <f aca="false">IF(P1682&lt;1,"0-1 yrs",IF(P1682&lt;3,"1-3 yrs",IF(P1682&lt;5,"3-5 yrs",IF(P1682&lt;10,"5-10 yrs","10+ yrs"))))</f>
        <v>1-3 yrs</v>
      </c>
      <c r="S1682" s="13" t="str">
        <f aca="false">IF(I1682&gt;=4,"High",IF(I1682=3,"Medium","Low"))</f>
        <v>Medium</v>
      </c>
      <c r="T1682" s="13" t="str">
        <f aca="false">IF(M1682=1,YEAR(C1682),"")</f>
        <v/>
      </c>
      <c r="U1682" s="13" t="str">
        <f aca="false">IF(M1682=1,YEAR(C1682)&amp;"-Q"&amp;ROUNDUP(MONTH(C1682)/3,0),"")</f>
        <v/>
      </c>
      <c r="V1682" s="13" t="str">
        <f aca="false">IF(M1682=1,MONTH(C1682),"")</f>
        <v/>
      </c>
    </row>
    <row r="1683" customFormat="false" ht="15" hidden="false" customHeight="false" outlineLevel="0" collapsed="false">
      <c r="A1683" s="13" t="str">
        <f aca="false">TRIM(Raw_Data!A1683)</f>
        <v>EMP1682</v>
      </c>
      <c r="B1683" s="14" t="n">
        <f aca="false">Raw_Data!B1683</f>
        <v>45347</v>
      </c>
      <c r="C1683" s="14" t="n">
        <f aca="false">IF(Raw_Data!C1683="","",Raw_Data!C1683)</f>
        <v>45508</v>
      </c>
      <c r="D1683" s="13" t="n">
        <f aca="false">IF(Raw_Data!D1683="","",Raw_Data!D1683)</f>
        <v>23</v>
      </c>
      <c r="E1683" s="13" t="str">
        <f aca="false">IF(UPPER(LEFT(TRIM(Raw_Data!E1683),1))="M","Male",IF(UPPER(LEFT(TRIM(Raw_Data!E1683),1))="F","Female","Unknown"))</f>
        <v>Male</v>
      </c>
      <c r="F1683" s="13" t="str">
        <f aca="false">PROPER(TRIM(SUBSTITUTE(Raw_Data!F1683,"'","")))</f>
        <v>Masters</v>
      </c>
      <c r="G1683" s="13" t="str">
        <f aca="false">PROPER(TRIM(Raw_Data!G1683))</f>
        <v>Operations</v>
      </c>
      <c r="H1683" s="13" t="str">
        <f aca="false">PROPER(TRIM(Raw_Data!H1683))</f>
        <v>Associate</v>
      </c>
      <c r="I1683" s="13" t="n">
        <f aca="false">IF(Raw_Data!I1683="",DefaultPerf,Raw_Data!I1683)</f>
        <v>5</v>
      </c>
      <c r="J1683" s="13" t="n">
        <f aca="false">IF(Raw_Data!J1683="",DefaultSat,Raw_Data!J1683)</f>
        <v>1</v>
      </c>
      <c r="K1683" s="15" t="n">
        <f aca="false">Raw_Data!K1683</f>
        <v>32500</v>
      </c>
      <c r="L1683" s="13" t="str">
        <f aca="false">PROPER(TRIM(Raw_Data!N1683))</f>
        <v>No</v>
      </c>
      <c r="M1683" s="13" t="n">
        <f aca="false">IF(C1683="",0,1)</f>
        <v>1</v>
      </c>
      <c r="N1683" s="13" t="str">
        <f aca="false">IF(M1683=0,"Active",IF(TRIM(Raw_Data!L1683)="","Unknown",PROPER(TRIM(Raw_Data!L1683))))</f>
        <v>Involuntary</v>
      </c>
      <c r="O1683" s="13" t="str">
        <f aca="false">IF(M1683=0,"",IF(TRIM(Raw_Data!M1683)="","Not Recorded",TRIM(Raw_Data!M1683)))</f>
        <v>Not Recorded</v>
      </c>
      <c r="P1683" s="16" t="n">
        <f aca="false">ROUND((IF(C1683="",AsOfDate,C1683)-B1683)/365.25,2)</f>
        <v>0.44</v>
      </c>
      <c r="Q1683" s="13" t="str">
        <f aca="false">IF(D1683="","Unknown",IF(D1683&lt;25,"Under 25",IF(D1683&lt;35,"25-34",IF(D1683&lt;45,"35-44",IF(D1683&lt;55,"45-54","55+")))))</f>
        <v>Under 25</v>
      </c>
      <c r="R1683" s="13" t="str">
        <f aca="false">IF(P1683&lt;1,"0-1 yrs",IF(P1683&lt;3,"1-3 yrs",IF(P1683&lt;5,"3-5 yrs",IF(P1683&lt;10,"5-10 yrs","10+ yrs"))))</f>
        <v>0-1 yrs</v>
      </c>
      <c r="S1683" s="13" t="str">
        <f aca="false">IF(I1683&gt;=4,"High",IF(I1683=3,"Medium","Low"))</f>
        <v>High</v>
      </c>
      <c r="T1683" s="13" t="n">
        <f aca="false">IF(M1683=1,YEAR(C1683),"")</f>
        <v>2024</v>
      </c>
      <c r="U1683" s="13" t="str">
        <f aca="false">IF(M1683=1,YEAR(C1683)&amp;"-Q"&amp;ROUNDUP(MONTH(C1683)/3,0),"")</f>
        <v>2024-Q3</v>
      </c>
      <c r="V1683" s="13" t="n">
        <f aca="false">IF(M1683=1,MONTH(C1683),"")</f>
        <v>8</v>
      </c>
    </row>
    <row r="1684" customFormat="false" ht="15" hidden="false" customHeight="false" outlineLevel="0" collapsed="false">
      <c r="A1684" s="13" t="str">
        <f aca="false">TRIM(Raw_Data!A1684)</f>
        <v>EMP1683</v>
      </c>
      <c r="B1684" s="14" t="n">
        <f aca="false">Raw_Data!B1684</f>
        <v>45350</v>
      </c>
      <c r="C1684" s="14" t="str">
        <f aca="false">IF(Raw_Data!C1684="","",Raw_Data!C1684)</f>
        <v/>
      </c>
      <c r="D1684" s="13" t="n">
        <f aca="false">IF(Raw_Data!D1684="","",Raw_Data!D1684)</f>
        <v>33</v>
      </c>
      <c r="E1684" s="13" t="str">
        <f aca="false">IF(UPPER(LEFT(TRIM(Raw_Data!E1684),1))="M","Male",IF(UPPER(LEFT(TRIM(Raw_Data!E1684),1))="F","Female","Unknown"))</f>
        <v>Male</v>
      </c>
      <c r="F1684" s="13" t="str">
        <f aca="false">PROPER(TRIM(SUBSTITUTE(Raw_Data!F1684,"'","")))</f>
        <v>Masters</v>
      </c>
      <c r="G1684" s="13" t="str">
        <f aca="false">PROPER(TRIM(Raw_Data!G1684))</f>
        <v>Operations</v>
      </c>
      <c r="H1684" s="13" t="str">
        <f aca="false">PROPER(TRIM(Raw_Data!H1684))</f>
        <v>Specialist</v>
      </c>
      <c r="I1684" s="13" t="n">
        <f aca="false">IF(Raw_Data!I1684="",DefaultPerf,Raw_Data!I1684)</f>
        <v>3</v>
      </c>
      <c r="J1684" s="13" t="n">
        <f aca="false">IF(Raw_Data!J1684="",DefaultSat,Raw_Data!J1684)</f>
        <v>4</v>
      </c>
      <c r="K1684" s="15" t="n">
        <f aca="false">Raw_Data!K1684</f>
        <v>91500</v>
      </c>
      <c r="L1684" s="13" t="str">
        <f aca="false">PROPER(TRIM(Raw_Data!N1684))</f>
        <v>No</v>
      </c>
      <c r="M1684" s="13" t="n">
        <f aca="false">IF(C1684="",0,1)</f>
        <v>0</v>
      </c>
      <c r="N1684" s="13" t="str">
        <f aca="false">IF(M1684=0,"Active",IF(TRIM(Raw_Data!L1684)="","Unknown",PROPER(TRIM(Raw_Data!L1684))))</f>
        <v>Active</v>
      </c>
      <c r="O1684" s="13" t="str">
        <f aca="false">IF(M1684=0,"",IF(TRIM(Raw_Data!M1684)="","Not Recorded",TRIM(Raw_Data!M1684)))</f>
        <v/>
      </c>
      <c r="P1684" s="16" t="n">
        <f aca="false">ROUND((IF(C1684="",AsOfDate,C1684)-B1684)/365.25,2)</f>
        <v>1.84</v>
      </c>
      <c r="Q1684" s="13" t="str">
        <f aca="false">IF(D1684="","Unknown",IF(D1684&lt;25,"Under 25",IF(D1684&lt;35,"25-34",IF(D1684&lt;45,"35-44",IF(D1684&lt;55,"45-54","55+")))))</f>
        <v>25-34</v>
      </c>
      <c r="R1684" s="13" t="str">
        <f aca="false">IF(P1684&lt;1,"0-1 yrs",IF(P1684&lt;3,"1-3 yrs",IF(P1684&lt;5,"3-5 yrs",IF(P1684&lt;10,"5-10 yrs","10+ yrs"))))</f>
        <v>1-3 yrs</v>
      </c>
      <c r="S1684" s="13" t="str">
        <f aca="false">IF(I1684&gt;=4,"High",IF(I1684=3,"Medium","Low"))</f>
        <v>Medium</v>
      </c>
      <c r="T1684" s="13" t="str">
        <f aca="false">IF(M1684=1,YEAR(C1684),"")</f>
        <v/>
      </c>
      <c r="U1684" s="13" t="str">
        <f aca="false">IF(M1684=1,YEAR(C1684)&amp;"-Q"&amp;ROUNDUP(MONTH(C1684)/3,0),"")</f>
        <v/>
      </c>
      <c r="V1684" s="13" t="str">
        <f aca="false">IF(M1684=1,MONTH(C1684),"")</f>
        <v/>
      </c>
    </row>
    <row r="1685" customFormat="false" ht="15" hidden="false" customHeight="false" outlineLevel="0" collapsed="false">
      <c r="A1685" s="13" t="str">
        <f aca="false">TRIM(Raw_Data!A1685)</f>
        <v>EMP1684</v>
      </c>
      <c r="B1685" s="14" t="n">
        <f aca="false">Raw_Data!B1685</f>
        <v>45354</v>
      </c>
      <c r="C1685" s="14" t="str">
        <f aca="false">IF(Raw_Data!C1685="","",Raw_Data!C1685)</f>
        <v/>
      </c>
      <c r="D1685" s="13" t="n">
        <f aca="false">IF(Raw_Data!D1685="","",Raw_Data!D1685)</f>
        <v>29</v>
      </c>
      <c r="E1685" s="13" t="str">
        <f aca="false">IF(UPPER(LEFT(TRIM(Raw_Data!E1685),1))="M","Male",IF(UPPER(LEFT(TRIM(Raw_Data!E1685),1))="F","Female","Unknown"))</f>
        <v>Male</v>
      </c>
      <c r="F1685" s="13" t="str">
        <f aca="false">PROPER(TRIM(SUBSTITUTE(Raw_Data!F1685,"'","")))</f>
        <v>Masters</v>
      </c>
      <c r="G1685" s="13" t="str">
        <f aca="false">PROPER(TRIM(Raw_Data!G1685))</f>
        <v>Operations</v>
      </c>
      <c r="H1685" s="13" t="str">
        <f aca="false">PROPER(TRIM(Raw_Data!H1685))</f>
        <v>Analyst</v>
      </c>
      <c r="I1685" s="13" t="n">
        <f aca="false">IF(Raw_Data!I1685="",DefaultPerf,Raw_Data!I1685)</f>
        <v>3</v>
      </c>
      <c r="J1685" s="13" t="n">
        <f aca="false">IF(Raw_Data!J1685="",DefaultSat,Raw_Data!J1685)</f>
        <v>4</v>
      </c>
      <c r="K1685" s="15" t="n">
        <f aca="false">Raw_Data!K1685</f>
        <v>60000</v>
      </c>
      <c r="L1685" s="13" t="str">
        <f aca="false">PROPER(TRIM(Raw_Data!N1685))</f>
        <v>Yes</v>
      </c>
      <c r="M1685" s="13" t="n">
        <f aca="false">IF(C1685="",0,1)</f>
        <v>0</v>
      </c>
      <c r="N1685" s="13" t="str">
        <f aca="false">IF(M1685=0,"Active",IF(TRIM(Raw_Data!L1685)="","Unknown",PROPER(TRIM(Raw_Data!L1685))))</f>
        <v>Active</v>
      </c>
      <c r="O1685" s="13" t="str">
        <f aca="false">IF(M1685=0,"",IF(TRIM(Raw_Data!M1685)="","Not Recorded",TRIM(Raw_Data!M1685)))</f>
        <v/>
      </c>
      <c r="P1685" s="16" t="n">
        <f aca="false">ROUND((IF(C1685="",AsOfDate,C1685)-B1685)/365.25,2)</f>
        <v>1.83</v>
      </c>
      <c r="Q1685" s="13" t="str">
        <f aca="false">IF(D1685="","Unknown",IF(D1685&lt;25,"Under 25",IF(D1685&lt;35,"25-34",IF(D1685&lt;45,"35-44",IF(D1685&lt;55,"45-54","55+")))))</f>
        <v>25-34</v>
      </c>
      <c r="R1685" s="13" t="str">
        <f aca="false">IF(P1685&lt;1,"0-1 yrs",IF(P1685&lt;3,"1-3 yrs",IF(P1685&lt;5,"3-5 yrs",IF(P1685&lt;10,"5-10 yrs","10+ yrs"))))</f>
        <v>1-3 yrs</v>
      </c>
      <c r="S1685" s="13" t="str">
        <f aca="false">IF(I1685&gt;=4,"High",IF(I1685=3,"Medium","Low"))</f>
        <v>Medium</v>
      </c>
      <c r="T1685" s="13" t="str">
        <f aca="false">IF(M1685=1,YEAR(C1685),"")</f>
        <v/>
      </c>
      <c r="U1685" s="13" t="str">
        <f aca="false">IF(M1685=1,YEAR(C1685)&amp;"-Q"&amp;ROUNDUP(MONTH(C1685)/3,0),"")</f>
        <v/>
      </c>
      <c r="V1685" s="13" t="str">
        <f aca="false">IF(M1685=1,MONTH(C1685),"")</f>
        <v/>
      </c>
    </row>
    <row r="1686" customFormat="false" ht="15" hidden="false" customHeight="false" outlineLevel="0" collapsed="false">
      <c r="A1686" s="13" t="str">
        <f aca="false">TRIM(Raw_Data!A1686)</f>
        <v>EMP1685</v>
      </c>
      <c r="B1686" s="14" t="n">
        <f aca="false">Raw_Data!B1686</f>
        <v>45355</v>
      </c>
      <c r="C1686" s="14" t="str">
        <f aca="false">IF(Raw_Data!C1686="","",Raw_Data!C1686)</f>
        <v/>
      </c>
      <c r="D1686" s="13" t="n">
        <f aca="false">IF(Raw_Data!D1686="","",Raw_Data!D1686)</f>
        <v>39</v>
      </c>
      <c r="E1686" s="13" t="str">
        <f aca="false">IF(UPPER(LEFT(TRIM(Raw_Data!E1686),1))="M","Male",IF(UPPER(LEFT(TRIM(Raw_Data!E1686),1))="F","Female","Unknown"))</f>
        <v>Female</v>
      </c>
      <c r="F1686" s="13" t="str">
        <f aca="false">PROPER(TRIM(SUBSTITUTE(Raw_Data!F1686,"'","")))</f>
        <v>Bachelors</v>
      </c>
      <c r="G1686" s="13" t="str">
        <f aca="false">PROPER(TRIM(Raw_Data!G1686))</f>
        <v>Engineering</v>
      </c>
      <c r="H1686" s="13" t="str">
        <f aca="false">PROPER(TRIM(Raw_Data!H1686))</f>
        <v>Specialist</v>
      </c>
      <c r="I1686" s="13" t="n">
        <f aca="false">IF(Raw_Data!I1686="",DefaultPerf,Raw_Data!I1686)</f>
        <v>3</v>
      </c>
      <c r="J1686" s="13" t="n">
        <f aca="false">IF(Raw_Data!J1686="",DefaultSat,Raw_Data!J1686)</f>
        <v>3</v>
      </c>
      <c r="K1686" s="15" t="n">
        <f aca="false">Raw_Data!K1686</f>
        <v>120500</v>
      </c>
      <c r="L1686" s="13" t="str">
        <f aca="false">PROPER(TRIM(Raw_Data!N1686))</f>
        <v>No</v>
      </c>
      <c r="M1686" s="13" t="n">
        <f aca="false">IF(C1686="",0,1)</f>
        <v>0</v>
      </c>
      <c r="N1686" s="13" t="str">
        <f aca="false">IF(M1686=0,"Active",IF(TRIM(Raw_Data!L1686)="","Unknown",PROPER(TRIM(Raw_Data!L1686))))</f>
        <v>Active</v>
      </c>
      <c r="O1686" s="13" t="str">
        <f aca="false">IF(M1686=0,"",IF(TRIM(Raw_Data!M1686)="","Not Recorded",TRIM(Raw_Data!M1686)))</f>
        <v/>
      </c>
      <c r="P1686" s="16" t="n">
        <f aca="false">ROUND((IF(C1686="",AsOfDate,C1686)-B1686)/365.25,2)</f>
        <v>1.83</v>
      </c>
      <c r="Q1686" s="13" t="str">
        <f aca="false">IF(D1686="","Unknown",IF(D1686&lt;25,"Under 25",IF(D1686&lt;35,"25-34",IF(D1686&lt;45,"35-44",IF(D1686&lt;55,"45-54","55+")))))</f>
        <v>35-44</v>
      </c>
      <c r="R1686" s="13" t="str">
        <f aca="false">IF(P1686&lt;1,"0-1 yrs",IF(P1686&lt;3,"1-3 yrs",IF(P1686&lt;5,"3-5 yrs",IF(P1686&lt;10,"5-10 yrs","10+ yrs"))))</f>
        <v>1-3 yrs</v>
      </c>
      <c r="S1686" s="13" t="str">
        <f aca="false">IF(I1686&gt;=4,"High",IF(I1686=3,"Medium","Low"))</f>
        <v>Medium</v>
      </c>
      <c r="T1686" s="13" t="str">
        <f aca="false">IF(M1686=1,YEAR(C1686),"")</f>
        <v/>
      </c>
      <c r="U1686" s="13" t="str">
        <f aca="false">IF(M1686=1,YEAR(C1686)&amp;"-Q"&amp;ROUNDUP(MONTH(C1686)/3,0),"")</f>
        <v/>
      </c>
      <c r="V1686" s="13" t="str">
        <f aca="false">IF(M1686=1,MONTH(C1686),"")</f>
        <v/>
      </c>
    </row>
    <row r="1687" customFormat="false" ht="15" hidden="false" customHeight="false" outlineLevel="0" collapsed="false">
      <c r="A1687" s="13" t="str">
        <f aca="false">TRIM(Raw_Data!A1687)</f>
        <v>EMP1686</v>
      </c>
      <c r="B1687" s="14" t="n">
        <f aca="false">Raw_Data!B1687</f>
        <v>45359</v>
      </c>
      <c r="C1687" s="14" t="str">
        <f aca="false">IF(Raw_Data!C1687="","",Raw_Data!C1687)</f>
        <v/>
      </c>
      <c r="D1687" s="13" t="n">
        <f aca="false">IF(Raw_Data!D1687="","",Raw_Data!D1687)</f>
        <v>34</v>
      </c>
      <c r="E1687" s="13" t="str">
        <f aca="false">IF(UPPER(LEFT(TRIM(Raw_Data!E1687),1))="M","Male",IF(UPPER(LEFT(TRIM(Raw_Data!E1687),1))="F","Female","Unknown"))</f>
        <v>Female</v>
      </c>
      <c r="F1687" s="13" t="str">
        <f aca="false">PROPER(TRIM(SUBSTITUTE(Raw_Data!F1687,"'","")))</f>
        <v>High School</v>
      </c>
      <c r="G1687" s="13" t="str">
        <f aca="false">PROPER(TRIM(Raw_Data!G1687))</f>
        <v>Operations</v>
      </c>
      <c r="H1687" s="13" t="str">
        <f aca="false">PROPER(TRIM(Raw_Data!H1687))</f>
        <v>Analyst</v>
      </c>
      <c r="I1687" s="13" t="n">
        <f aca="false">IF(Raw_Data!I1687="",DefaultPerf,Raw_Data!I1687)</f>
        <v>1</v>
      </c>
      <c r="J1687" s="13" t="n">
        <f aca="false">IF(Raw_Data!J1687="",DefaultSat,Raw_Data!J1687)</f>
        <v>1</v>
      </c>
      <c r="K1687" s="15" t="n">
        <f aca="false">Raw_Data!K1687</f>
        <v>64500</v>
      </c>
      <c r="L1687" s="13" t="str">
        <f aca="false">PROPER(TRIM(Raw_Data!N1687))</f>
        <v>No</v>
      </c>
      <c r="M1687" s="13" t="n">
        <f aca="false">IF(C1687="",0,1)</f>
        <v>0</v>
      </c>
      <c r="N1687" s="13" t="str">
        <f aca="false">IF(M1687=0,"Active",IF(TRIM(Raw_Data!L1687)="","Unknown",PROPER(TRIM(Raw_Data!L1687))))</f>
        <v>Active</v>
      </c>
      <c r="O1687" s="13" t="str">
        <f aca="false">IF(M1687=0,"",IF(TRIM(Raw_Data!M1687)="","Not Recorded",TRIM(Raw_Data!M1687)))</f>
        <v/>
      </c>
      <c r="P1687" s="16" t="n">
        <f aca="false">ROUND((IF(C1687="",AsOfDate,C1687)-B1687)/365.25,2)</f>
        <v>1.82</v>
      </c>
      <c r="Q1687" s="13" t="str">
        <f aca="false">IF(D1687="","Unknown",IF(D1687&lt;25,"Under 25",IF(D1687&lt;35,"25-34",IF(D1687&lt;45,"35-44",IF(D1687&lt;55,"45-54","55+")))))</f>
        <v>25-34</v>
      </c>
      <c r="R1687" s="13" t="str">
        <f aca="false">IF(P1687&lt;1,"0-1 yrs",IF(P1687&lt;3,"1-3 yrs",IF(P1687&lt;5,"3-5 yrs",IF(P1687&lt;10,"5-10 yrs","10+ yrs"))))</f>
        <v>1-3 yrs</v>
      </c>
      <c r="S1687" s="13" t="str">
        <f aca="false">IF(I1687&gt;=4,"High",IF(I1687=3,"Medium","Low"))</f>
        <v>Low</v>
      </c>
      <c r="T1687" s="13" t="str">
        <f aca="false">IF(M1687=1,YEAR(C1687),"")</f>
        <v/>
      </c>
      <c r="U1687" s="13" t="str">
        <f aca="false">IF(M1687=1,YEAR(C1687)&amp;"-Q"&amp;ROUNDUP(MONTH(C1687)/3,0),"")</f>
        <v/>
      </c>
      <c r="V1687" s="13" t="str">
        <f aca="false">IF(M1687=1,MONTH(C1687),"")</f>
        <v/>
      </c>
    </row>
    <row r="1688" customFormat="false" ht="15" hidden="false" customHeight="false" outlineLevel="0" collapsed="false">
      <c r="A1688" s="13" t="str">
        <f aca="false">TRIM(Raw_Data!A1688)</f>
        <v>EMP1687</v>
      </c>
      <c r="B1688" s="14" t="n">
        <f aca="false">Raw_Data!B1688</f>
        <v>45359</v>
      </c>
      <c r="C1688" s="14" t="str">
        <f aca="false">IF(Raw_Data!C1688="","",Raw_Data!C1688)</f>
        <v/>
      </c>
      <c r="D1688" s="13" t="n">
        <f aca="false">IF(Raw_Data!D1688="","",Raw_Data!D1688)</f>
        <v>28</v>
      </c>
      <c r="E1688" s="13" t="str">
        <f aca="false">IF(UPPER(LEFT(TRIM(Raw_Data!E1688),1))="M","Male",IF(UPPER(LEFT(TRIM(Raw_Data!E1688),1))="F","Female","Unknown"))</f>
        <v>Female</v>
      </c>
      <c r="F1688" s="13" t="str">
        <f aca="false">PROPER(TRIM(SUBSTITUTE(Raw_Data!F1688,"'","")))</f>
        <v>Masters</v>
      </c>
      <c r="G1688" s="13" t="str">
        <f aca="false">PROPER(TRIM(Raw_Data!G1688))</f>
        <v>Operations</v>
      </c>
      <c r="H1688" s="13" t="str">
        <f aca="false">PROPER(TRIM(Raw_Data!H1688))</f>
        <v>Team Lead</v>
      </c>
      <c r="I1688" s="13" t="n">
        <f aca="false">IF(Raw_Data!I1688="",DefaultPerf,Raw_Data!I1688)</f>
        <v>3</v>
      </c>
      <c r="J1688" s="13" t="n">
        <f aca="false">IF(Raw_Data!J1688="",DefaultSat,Raw_Data!J1688)</f>
        <v>3</v>
      </c>
      <c r="K1688" s="15" t="n">
        <f aca="false">Raw_Data!K1688</f>
        <v>113500</v>
      </c>
      <c r="L1688" s="13" t="str">
        <f aca="false">PROPER(TRIM(Raw_Data!N1688))</f>
        <v>No</v>
      </c>
      <c r="M1688" s="13" t="n">
        <f aca="false">IF(C1688="",0,1)</f>
        <v>0</v>
      </c>
      <c r="N1688" s="13" t="str">
        <f aca="false">IF(M1688=0,"Active",IF(TRIM(Raw_Data!L1688)="","Unknown",PROPER(TRIM(Raw_Data!L1688))))</f>
        <v>Active</v>
      </c>
      <c r="O1688" s="13" t="str">
        <f aca="false">IF(M1688=0,"",IF(TRIM(Raw_Data!M1688)="","Not Recorded",TRIM(Raw_Data!M1688)))</f>
        <v/>
      </c>
      <c r="P1688" s="16" t="n">
        <f aca="false">ROUND((IF(C1688="",AsOfDate,C1688)-B1688)/365.25,2)</f>
        <v>1.82</v>
      </c>
      <c r="Q1688" s="13" t="str">
        <f aca="false">IF(D1688="","Unknown",IF(D1688&lt;25,"Under 25",IF(D1688&lt;35,"25-34",IF(D1688&lt;45,"35-44",IF(D1688&lt;55,"45-54","55+")))))</f>
        <v>25-34</v>
      </c>
      <c r="R1688" s="13" t="str">
        <f aca="false">IF(P1688&lt;1,"0-1 yrs",IF(P1688&lt;3,"1-3 yrs",IF(P1688&lt;5,"3-5 yrs",IF(P1688&lt;10,"5-10 yrs","10+ yrs"))))</f>
        <v>1-3 yrs</v>
      </c>
      <c r="S1688" s="13" t="str">
        <f aca="false">IF(I1688&gt;=4,"High",IF(I1688=3,"Medium","Low"))</f>
        <v>Medium</v>
      </c>
      <c r="T1688" s="13" t="str">
        <f aca="false">IF(M1688=1,YEAR(C1688),"")</f>
        <v/>
      </c>
      <c r="U1688" s="13" t="str">
        <f aca="false">IF(M1688=1,YEAR(C1688)&amp;"-Q"&amp;ROUNDUP(MONTH(C1688)/3,0),"")</f>
        <v/>
      </c>
      <c r="V1688" s="13" t="str">
        <f aca="false">IF(M1688=1,MONTH(C1688),"")</f>
        <v/>
      </c>
    </row>
    <row r="1689" customFormat="false" ht="15" hidden="false" customHeight="false" outlineLevel="0" collapsed="false">
      <c r="A1689" s="13" t="str">
        <f aca="false">TRIM(Raw_Data!A1689)</f>
        <v>EMP1688</v>
      </c>
      <c r="B1689" s="14" t="n">
        <f aca="false">Raw_Data!B1689</f>
        <v>45369</v>
      </c>
      <c r="C1689" s="14" t="str">
        <f aca="false">IF(Raw_Data!C1689="","",Raw_Data!C1689)</f>
        <v/>
      </c>
      <c r="D1689" s="13" t="n">
        <f aca="false">IF(Raw_Data!D1689="","",Raw_Data!D1689)</f>
        <v>31</v>
      </c>
      <c r="E1689" s="13" t="str">
        <f aca="false">IF(UPPER(LEFT(TRIM(Raw_Data!E1689),1))="M","Male",IF(UPPER(LEFT(TRIM(Raw_Data!E1689),1))="F","Female","Unknown"))</f>
        <v>Female</v>
      </c>
      <c r="F1689" s="13" t="str">
        <f aca="false">PROPER(TRIM(SUBSTITUTE(Raw_Data!F1689,"'","")))</f>
        <v>Diploma</v>
      </c>
      <c r="G1689" s="13" t="str">
        <f aca="false">PROPER(TRIM(Raw_Data!G1689))</f>
        <v>Customer Support</v>
      </c>
      <c r="H1689" s="13" t="str">
        <f aca="false">PROPER(TRIM(Raw_Data!H1689))</f>
        <v>Senior Analyst</v>
      </c>
      <c r="I1689" s="13" t="n">
        <f aca="false">IF(Raw_Data!I1689="",DefaultPerf,Raw_Data!I1689)</f>
        <v>3</v>
      </c>
      <c r="J1689" s="13" t="n">
        <f aca="false">IF(Raw_Data!J1689="",DefaultSat,Raw_Data!J1689)</f>
        <v>4</v>
      </c>
      <c r="K1689" s="15" t="n">
        <f aca="false">Raw_Data!K1689</f>
        <v>93000</v>
      </c>
      <c r="L1689" s="13" t="str">
        <f aca="false">PROPER(TRIM(Raw_Data!N1689))</f>
        <v>No</v>
      </c>
      <c r="M1689" s="13" t="n">
        <f aca="false">IF(C1689="",0,1)</f>
        <v>0</v>
      </c>
      <c r="N1689" s="13" t="str">
        <f aca="false">IF(M1689=0,"Active",IF(TRIM(Raw_Data!L1689)="","Unknown",PROPER(TRIM(Raw_Data!L1689))))</f>
        <v>Active</v>
      </c>
      <c r="O1689" s="13" t="str">
        <f aca="false">IF(M1689=0,"",IF(TRIM(Raw_Data!M1689)="","Not Recorded",TRIM(Raw_Data!M1689)))</f>
        <v/>
      </c>
      <c r="P1689" s="16" t="n">
        <f aca="false">ROUND((IF(C1689="",AsOfDate,C1689)-B1689)/365.25,2)</f>
        <v>1.79</v>
      </c>
      <c r="Q1689" s="13" t="str">
        <f aca="false">IF(D1689="","Unknown",IF(D1689&lt;25,"Under 25",IF(D1689&lt;35,"25-34",IF(D1689&lt;45,"35-44",IF(D1689&lt;55,"45-54","55+")))))</f>
        <v>25-34</v>
      </c>
      <c r="R1689" s="13" t="str">
        <f aca="false">IF(P1689&lt;1,"0-1 yrs",IF(P1689&lt;3,"1-3 yrs",IF(P1689&lt;5,"3-5 yrs",IF(P1689&lt;10,"5-10 yrs","10+ yrs"))))</f>
        <v>1-3 yrs</v>
      </c>
      <c r="S1689" s="13" t="str">
        <f aca="false">IF(I1689&gt;=4,"High",IF(I1689=3,"Medium","Low"))</f>
        <v>Medium</v>
      </c>
      <c r="T1689" s="13" t="str">
        <f aca="false">IF(M1689=1,YEAR(C1689),"")</f>
        <v/>
      </c>
      <c r="U1689" s="13" t="str">
        <f aca="false">IF(M1689=1,YEAR(C1689)&amp;"-Q"&amp;ROUNDUP(MONTH(C1689)/3,0),"")</f>
        <v/>
      </c>
      <c r="V1689" s="13" t="str">
        <f aca="false">IF(M1689=1,MONTH(C1689),"")</f>
        <v/>
      </c>
    </row>
    <row r="1690" customFormat="false" ht="15" hidden="false" customHeight="false" outlineLevel="0" collapsed="false">
      <c r="A1690" s="13" t="str">
        <f aca="false">TRIM(Raw_Data!A1690)</f>
        <v>EMP1689</v>
      </c>
      <c r="B1690" s="14" t="n">
        <f aca="false">Raw_Data!B1690</f>
        <v>45374</v>
      </c>
      <c r="C1690" s="14" t="str">
        <f aca="false">IF(Raw_Data!C1690="","",Raw_Data!C1690)</f>
        <v/>
      </c>
      <c r="D1690" s="13" t="n">
        <f aca="false">IF(Raw_Data!D1690="","",Raw_Data!D1690)</f>
        <v>28</v>
      </c>
      <c r="E1690" s="13" t="str">
        <f aca="false">IF(UPPER(LEFT(TRIM(Raw_Data!E1690),1))="M","Male",IF(UPPER(LEFT(TRIM(Raw_Data!E1690),1))="F","Female","Unknown"))</f>
        <v>Female</v>
      </c>
      <c r="F1690" s="13" t="str">
        <f aca="false">PROPER(TRIM(SUBSTITUTE(Raw_Data!F1690,"'","")))</f>
        <v>Bachelors</v>
      </c>
      <c r="G1690" s="13" t="str">
        <f aca="false">PROPER(TRIM(Raw_Data!G1690))</f>
        <v>Finance</v>
      </c>
      <c r="H1690" s="13" t="str">
        <f aca="false">PROPER(TRIM(Raw_Data!H1690))</f>
        <v>Analyst</v>
      </c>
      <c r="I1690" s="13" t="n">
        <f aca="false">IF(Raw_Data!I1690="",DefaultPerf,Raw_Data!I1690)</f>
        <v>3</v>
      </c>
      <c r="J1690" s="13" t="n">
        <f aca="false">IF(Raw_Data!J1690="",DefaultSat,Raw_Data!J1690)</f>
        <v>3</v>
      </c>
      <c r="K1690" s="15" t="n">
        <f aca="false">Raw_Data!K1690</f>
        <v>59000</v>
      </c>
      <c r="L1690" s="13" t="str">
        <f aca="false">PROPER(TRIM(Raw_Data!N1690))</f>
        <v>No</v>
      </c>
      <c r="M1690" s="13" t="n">
        <f aca="false">IF(C1690="",0,1)</f>
        <v>0</v>
      </c>
      <c r="N1690" s="13" t="str">
        <f aca="false">IF(M1690=0,"Active",IF(TRIM(Raw_Data!L1690)="","Unknown",PROPER(TRIM(Raw_Data!L1690))))</f>
        <v>Active</v>
      </c>
      <c r="O1690" s="13" t="str">
        <f aca="false">IF(M1690=0,"",IF(TRIM(Raw_Data!M1690)="","Not Recorded",TRIM(Raw_Data!M1690)))</f>
        <v/>
      </c>
      <c r="P1690" s="16" t="n">
        <f aca="false">ROUND((IF(C1690="",AsOfDate,C1690)-B1690)/365.25,2)</f>
        <v>1.77</v>
      </c>
      <c r="Q1690" s="13" t="str">
        <f aca="false">IF(D1690="","Unknown",IF(D1690&lt;25,"Under 25",IF(D1690&lt;35,"25-34",IF(D1690&lt;45,"35-44",IF(D1690&lt;55,"45-54","55+")))))</f>
        <v>25-34</v>
      </c>
      <c r="R1690" s="13" t="str">
        <f aca="false">IF(P1690&lt;1,"0-1 yrs",IF(P1690&lt;3,"1-3 yrs",IF(P1690&lt;5,"3-5 yrs",IF(P1690&lt;10,"5-10 yrs","10+ yrs"))))</f>
        <v>1-3 yrs</v>
      </c>
      <c r="S1690" s="13" t="str">
        <f aca="false">IF(I1690&gt;=4,"High",IF(I1690=3,"Medium","Low"))</f>
        <v>Medium</v>
      </c>
      <c r="T1690" s="13" t="str">
        <f aca="false">IF(M1690=1,YEAR(C1690),"")</f>
        <v/>
      </c>
      <c r="U1690" s="13" t="str">
        <f aca="false">IF(M1690=1,YEAR(C1690)&amp;"-Q"&amp;ROUNDUP(MONTH(C1690)/3,0),"")</f>
        <v/>
      </c>
      <c r="V1690" s="13" t="str">
        <f aca="false">IF(M1690=1,MONTH(C1690),"")</f>
        <v/>
      </c>
    </row>
    <row r="1691" customFormat="false" ht="15" hidden="false" customHeight="false" outlineLevel="0" collapsed="false">
      <c r="A1691" s="13" t="str">
        <f aca="false">TRIM(Raw_Data!A1691)</f>
        <v>EMP1690</v>
      </c>
      <c r="B1691" s="14" t="n">
        <f aca="false">Raw_Data!B1691</f>
        <v>45375</v>
      </c>
      <c r="C1691" s="14" t="str">
        <f aca="false">IF(Raw_Data!C1691="","",Raw_Data!C1691)</f>
        <v/>
      </c>
      <c r="D1691" s="13" t="n">
        <f aca="false">IF(Raw_Data!D1691="","",Raw_Data!D1691)</f>
        <v>27</v>
      </c>
      <c r="E1691" s="13" t="str">
        <f aca="false">IF(UPPER(LEFT(TRIM(Raw_Data!E1691),1))="M","Male",IF(UPPER(LEFT(TRIM(Raw_Data!E1691),1))="F","Female","Unknown"))</f>
        <v>Female</v>
      </c>
      <c r="F1691" s="13" t="str">
        <f aca="false">PROPER(TRIM(SUBSTITUTE(Raw_Data!F1691,"'","")))</f>
        <v>Bachelors</v>
      </c>
      <c r="G1691" s="13" t="str">
        <f aca="false">PROPER(TRIM(Raw_Data!G1691))</f>
        <v>Finance</v>
      </c>
      <c r="H1691" s="13" t="str">
        <f aca="false">PROPER(TRIM(Raw_Data!H1691))</f>
        <v>Analyst</v>
      </c>
      <c r="I1691" s="13" t="n">
        <f aca="false">IF(Raw_Data!I1691="",DefaultPerf,Raw_Data!I1691)</f>
        <v>4</v>
      </c>
      <c r="J1691" s="13" t="n">
        <f aca="false">IF(Raw_Data!J1691="",DefaultSat,Raw_Data!J1691)</f>
        <v>2</v>
      </c>
      <c r="K1691" s="15" t="n">
        <f aca="false">Raw_Data!K1691</f>
        <v>66500</v>
      </c>
      <c r="L1691" s="13" t="str">
        <f aca="false">PROPER(TRIM(Raw_Data!N1691))</f>
        <v>No</v>
      </c>
      <c r="M1691" s="13" t="n">
        <f aca="false">IF(C1691="",0,1)</f>
        <v>0</v>
      </c>
      <c r="N1691" s="13" t="str">
        <f aca="false">IF(M1691=0,"Active",IF(TRIM(Raw_Data!L1691)="","Unknown",PROPER(TRIM(Raw_Data!L1691))))</f>
        <v>Active</v>
      </c>
      <c r="O1691" s="13" t="str">
        <f aca="false">IF(M1691=0,"",IF(TRIM(Raw_Data!M1691)="","Not Recorded",TRIM(Raw_Data!M1691)))</f>
        <v/>
      </c>
      <c r="P1691" s="16" t="n">
        <f aca="false">ROUND((IF(C1691="",AsOfDate,C1691)-B1691)/365.25,2)</f>
        <v>1.77</v>
      </c>
      <c r="Q1691" s="13" t="str">
        <f aca="false">IF(D1691="","Unknown",IF(D1691&lt;25,"Under 25",IF(D1691&lt;35,"25-34",IF(D1691&lt;45,"35-44",IF(D1691&lt;55,"45-54","55+")))))</f>
        <v>25-34</v>
      </c>
      <c r="R1691" s="13" t="str">
        <f aca="false">IF(P1691&lt;1,"0-1 yrs",IF(P1691&lt;3,"1-3 yrs",IF(P1691&lt;5,"3-5 yrs",IF(P1691&lt;10,"5-10 yrs","10+ yrs"))))</f>
        <v>1-3 yrs</v>
      </c>
      <c r="S1691" s="13" t="str">
        <f aca="false">IF(I1691&gt;=4,"High",IF(I1691=3,"Medium","Low"))</f>
        <v>High</v>
      </c>
      <c r="T1691" s="13" t="str">
        <f aca="false">IF(M1691=1,YEAR(C1691),"")</f>
        <v/>
      </c>
      <c r="U1691" s="13" t="str">
        <f aca="false">IF(M1691=1,YEAR(C1691)&amp;"-Q"&amp;ROUNDUP(MONTH(C1691)/3,0),"")</f>
        <v/>
      </c>
      <c r="V1691" s="13" t="str">
        <f aca="false">IF(M1691=1,MONTH(C1691),"")</f>
        <v/>
      </c>
    </row>
    <row r="1692" customFormat="false" ht="15" hidden="false" customHeight="false" outlineLevel="0" collapsed="false">
      <c r="A1692" s="13" t="str">
        <f aca="false">TRIM(Raw_Data!A1692)</f>
        <v>EMP1691</v>
      </c>
      <c r="B1692" s="14" t="n">
        <f aca="false">Raw_Data!B1692</f>
        <v>45379</v>
      </c>
      <c r="C1692" s="14" t="str">
        <f aca="false">IF(Raw_Data!C1692="","",Raw_Data!C1692)</f>
        <v/>
      </c>
      <c r="D1692" s="13" t="n">
        <f aca="false">IF(Raw_Data!D1692="","",Raw_Data!D1692)</f>
        <v>30</v>
      </c>
      <c r="E1692" s="13" t="str">
        <f aca="false">IF(UPPER(LEFT(TRIM(Raw_Data!E1692),1))="M","Male",IF(UPPER(LEFT(TRIM(Raw_Data!E1692),1))="F","Female","Unknown"))</f>
        <v>Male</v>
      </c>
      <c r="F1692" s="13" t="str">
        <f aca="false">PROPER(TRIM(SUBSTITUTE(Raw_Data!F1692,"'","")))</f>
        <v>High School</v>
      </c>
      <c r="G1692" s="13" t="str">
        <f aca="false">PROPER(TRIM(Raw_Data!G1692))</f>
        <v>Customer Support</v>
      </c>
      <c r="H1692" s="13" t="str">
        <f aca="false">PROPER(TRIM(Raw_Data!H1692))</f>
        <v>Senior Analyst</v>
      </c>
      <c r="I1692" s="13" t="n">
        <f aca="false">IF(Raw_Data!I1692="",DefaultPerf,Raw_Data!I1692)</f>
        <v>3</v>
      </c>
      <c r="J1692" s="13" t="n">
        <f aca="false">IF(Raw_Data!J1692="",DefaultSat,Raw_Data!J1692)</f>
        <v>4</v>
      </c>
      <c r="K1692" s="15" t="n">
        <f aca="false">Raw_Data!K1692</f>
        <v>75000</v>
      </c>
      <c r="L1692" s="13" t="str">
        <f aca="false">PROPER(TRIM(Raw_Data!N1692))</f>
        <v>Yes</v>
      </c>
      <c r="M1692" s="13" t="n">
        <f aca="false">IF(C1692="",0,1)</f>
        <v>0</v>
      </c>
      <c r="N1692" s="13" t="str">
        <f aca="false">IF(M1692=0,"Active",IF(TRIM(Raw_Data!L1692)="","Unknown",PROPER(TRIM(Raw_Data!L1692))))</f>
        <v>Active</v>
      </c>
      <c r="O1692" s="13" t="str">
        <f aca="false">IF(M1692=0,"",IF(TRIM(Raw_Data!M1692)="","Not Recorded",TRIM(Raw_Data!M1692)))</f>
        <v/>
      </c>
      <c r="P1692" s="16" t="n">
        <f aca="false">ROUND((IF(C1692="",AsOfDate,C1692)-B1692)/365.25,2)</f>
        <v>1.76</v>
      </c>
      <c r="Q1692" s="13" t="str">
        <f aca="false">IF(D1692="","Unknown",IF(D1692&lt;25,"Under 25",IF(D1692&lt;35,"25-34",IF(D1692&lt;45,"35-44",IF(D1692&lt;55,"45-54","55+")))))</f>
        <v>25-34</v>
      </c>
      <c r="R1692" s="13" t="str">
        <f aca="false">IF(P1692&lt;1,"0-1 yrs",IF(P1692&lt;3,"1-3 yrs",IF(P1692&lt;5,"3-5 yrs",IF(P1692&lt;10,"5-10 yrs","10+ yrs"))))</f>
        <v>1-3 yrs</v>
      </c>
      <c r="S1692" s="13" t="str">
        <f aca="false">IF(I1692&gt;=4,"High",IF(I1692=3,"Medium","Low"))</f>
        <v>Medium</v>
      </c>
      <c r="T1692" s="13" t="str">
        <f aca="false">IF(M1692=1,YEAR(C1692),"")</f>
        <v/>
      </c>
      <c r="U1692" s="13" t="str">
        <f aca="false">IF(M1692=1,YEAR(C1692)&amp;"-Q"&amp;ROUNDUP(MONTH(C1692)/3,0),"")</f>
        <v/>
      </c>
      <c r="V1692" s="13" t="str">
        <f aca="false">IF(M1692=1,MONTH(C1692),"")</f>
        <v/>
      </c>
    </row>
    <row r="1693" customFormat="false" ht="15" hidden="false" customHeight="false" outlineLevel="0" collapsed="false">
      <c r="A1693" s="13" t="str">
        <f aca="false">TRIM(Raw_Data!A1693)</f>
        <v>EMP1692</v>
      </c>
      <c r="B1693" s="14" t="n">
        <f aca="false">Raw_Data!B1693</f>
        <v>45379</v>
      </c>
      <c r="C1693" s="14" t="str">
        <f aca="false">IF(Raw_Data!C1693="","",Raw_Data!C1693)</f>
        <v/>
      </c>
      <c r="D1693" s="13" t="n">
        <f aca="false">IF(Raw_Data!D1693="","",Raw_Data!D1693)</f>
        <v>31</v>
      </c>
      <c r="E1693" s="13" t="str">
        <f aca="false">IF(UPPER(LEFT(TRIM(Raw_Data!E1693),1))="M","Male",IF(UPPER(LEFT(TRIM(Raw_Data!E1693),1))="F","Female","Unknown"))</f>
        <v>Male</v>
      </c>
      <c r="F1693" s="13" t="str">
        <f aca="false">PROPER(TRIM(SUBSTITUTE(Raw_Data!F1693,"'","")))</f>
        <v>Bachelors</v>
      </c>
      <c r="G1693" s="13" t="str">
        <f aca="false">PROPER(TRIM(Raw_Data!G1693))</f>
        <v>Operations</v>
      </c>
      <c r="H1693" s="13" t="str">
        <f aca="false">PROPER(TRIM(Raw_Data!H1693))</f>
        <v>Analyst</v>
      </c>
      <c r="I1693" s="13" t="n">
        <f aca="false">IF(Raw_Data!I1693="",DefaultPerf,Raw_Data!I1693)</f>
        <v>5</v>
      </c>
      <c r="J1693" s="13" t="n">
        <f aca="false">IF(Raw_Data!J1693="",DefaultSat,Raw_Data!J1693)</f>
        <v>2</v>
      </c>
      <c r="K1693" s="15" t="n">
        <f aca="false">Raw_Data!K1693</f>
        <v>60000</v>
      </c>
      <c r="L1693" s="13" t="str">
        <f aca="false">PROPER(TRIM(Raw_Data!N1693))</f>
        <v>Yes</v>
      </c>
      <c r="M1693" s="13" t="n">
        <f aca="false">IF(C1693="",0,1)</f>
        <v>0</v>
      </c>
      <c r="N1693" s="13" t="str">
        <f aca="false">IF(M1693=0,"Active",IF(TRIM(Raw_Data!L1693)="","Unknown",PROPER(TRIM(Raw_Data!L1693))))</f>
        <v>Active</v>
      </c>
      <c r="O1693" s="13" t="str">
        <f aca="false">IF(M1693=0,"",IF(TRIM(Raw_Data!M1693)="","Not Recorded",TRIM(Raw_Data!M1693)))</f>
        <v/>
      </c>
      <c r="P1693" s="16" t="n">
        <f aca="false">ROUND((IF(C1693="",AsOfDate,C1693)-B1693)/365.25,2)</f>
        <v>1.76</v>
      </c>
      <c r="Q1693" s="13" t="str">
        <f aca="false">IF(D1693="","Unknown",IF(D1693&lt;25,"Under 25",IF(D1693&lt;35,"25-34",IF(D1693&lt;45,"35-44",IF(D1693&lt;55,"45-54","55+")))))</f>
        <v>25-34</v>
      </c>
      <c r="R1693" s="13" t="str">
        <f aca="false">IF(P1693&lt;1,"0-1 yrs",IF(P1693&lt;3,"1-3 yrs",IF(P1693&lt;5,"3-5 yrs",IF(P1693&lt;10,"5-10 yrs","10+ yrs"))))</f>
        <v>1-3 yrs</v>
      </c>
      <c r="S1693" s="13" t="str">
        <f aca="false">IF(I1693&gt;=4,"High",IF(I1693=3,"Medium","Low"))</f>
        <v>High</v>
      </c>
      <c r="T1693" s="13" t="str">
        <f aca="false">IF(M1693=1,YEAR(C1693),"")</f>
        <v/>
      </c>
      <c r="U1693" s="13" t="str">
        <f aca="false">IF(M1693=1,YEAR(C1693)&amp;"-Q"&amp;ROUNDUP(MONTH(C1693)/3,0),"")</f>
        <v/>
      </c>
      <c r="V1693" s="13" t="str">
        <f aca="false">IF(M1693=1,MONTH(C1693),"")</f>
        <v/>
      </c>
    </row>
    <row r="1694" customFormat="false" ht="15" hidden="false" customHeight="false" outlineLevel="0" collapsed="false">
      <c r="A1694" s="13" t="str">
        <f aca="false">TRIM(Raw_Data!A1694)</f>
        <v>EMP1693</v>
      </c>
      <c r="B1694" s="14" t="n">
        <f aca="false">Raw_Data!B1694</f>
        <v>45380</v>
      </c>
      <c r="C1694" s="14" t="str">
        <f aca="false">IF(Raw_Data!C1694="","",Raw_Data!C1694)</f>
        <v/>
      </c>
      <c r="D1694" s="13" t="n">
        <f aca="false">IF(Raw_Data!D1694="","",Raw_Data!D1694)</f>
        <v>25</v>
      </c>
      <c r="E1694" s="13" t="str">
        <f aca="false">IF(UPPER(LEFT(TRIM(Raw_Data!E1694),1))="M","Male",IF(UPPER(LEFT(TRIM(Raw_Data!E1694),1))="F","Female","Unknown"))</f>
        <v>Female</v>
      </c>
      <c r="F1694" s="13" t="str">
        <f aca="false">PROPER(TRIM(SUBSTITUTE(Raw_Data!F1694,"'","")))</f>
        <v>Masters</v>
      </c>
      <c r="G1694" s="13" t="str">
        <f aca="false">PROPER(TRIM(Raw_Data!G1694))</f>
        <v>Operations</v>
      </c>
      <c r="H1694" s="13" t="str">
        <f aca="false">PROPER(TRIM(Raw_Data!H1694))</f>
        <v>Analyst</v>
      </c>
      <c r="I1694" s="13" t="n">
        <f aca="false">IF(Raw_Data!I1694="",DefaultPerf,Raw_Data!I1694)</f>
        <v>3</v>
      </c>
      <c r="J1694" s="13" t="n">
        <f aca="false">IF(Raw_Data!J1694="",DefaultSat,Raw_Data!J1694)</f>
        <v>1</v>
      </c>
      <c r="K1694" s="15" t="n">
        <f aca="false">Raw_Data!K1694</f>
        <v>53000</v>
      </c>
      <c r="L1694" s="13" t="str">
        <f aca="false">PROPER(TRIM(Raw_Data!N1694))</f>
        <v>No</v>
      </c>
      <c r="M1694" s="13" t="n">
        <f aca="false">IF(C1694="",0,1)</f>
        <v>0</v>
      </c>
      <c r="N1694" s="13" t="str">
        <f aca="false">IF(M1694=0,"Active",IF(TRIM(Raw_Data!L1694)="","Unknown",PROPER(TRIM(Raw_Data!L1694))))</f>
        <v>Active</v>
      </c>
      <c r="O1694" s="13" t="str">
        <f aca="false">IF(M1694=0,"",IF(TRIM(Raw_Data!M1694)="","Not Recorded",TRIM(Raw_Data!M1694)))</f>
        <v/>
      </c>
      <c r="P1694" s="16" t="n">
        <f aca="false">ROUND((IF(C1694="",AsOfDate,C1694)-B1694)/365.25,2)</f>
        <v>1.76</v>
      </c>
      <c r="Q1694" s="13" t="str">
        <f aca="false">IF(D1694="","Unknown",IF(D1694&lt;25,"Under 25",IF(D1694&lt;35,"25-34",IF(D1694&lt;45,"35-44",IF(D1694&lt;55,"45-54","55+")))))</f>
        <v>25-34</v>
      </c>
      <c r="R1694" s="13" t="str">
        <f aca="false">IF(P1694&lt;1,"0-1 yrs",IF(P1694&lt;3,"1-3 yrs",IF(P1694&lt;5,"3-5 yrs",IF(P1694&lt;10,"5-10 yrs","10+ yrs"))))</f>
        <v>1-3 yrs</v>
      </c>
      <c r="S1694" s="13" t="str">
        <f aca="false">IF(I1694&gt;=4,"High",IF(I1694=3,"Medium","Low"))</f>
        <v>Medium</v>
      </c>
      <c r="T1694" s="13" t="str">
        <f aca="false">IF(M1694=1,YEAR(C1694),"")</f>
        <v/>
      </c>
      <c r="U1694" s="13" t="str">
        <f aca="false">IF(M1694=1,YEAR(C1694)&amp;"-Q"&amp;ROUNDUP(MONTH(C1694)/3,0),"")</f>
        <v/>
      </c>
      <c r="V1694" s="13" t="str">
        <f aca="false">IF(M1694=1,MONTH(C1694),"")</f>
        <v/>
      </c>
    </row>
    <row r="1695" customFormat="false" ht="15" hidden="false" customHeight="false" outlineLevel="0" collapsed="false">
      <c r="A1695" s="13" t="str">
        <f aca="false">TRIM(Raw_Data!A1695)</f>
        <v>EMP1694</v>
      </c>
      <c r="B1695" s="14" t="n">
        <f aca="false">Raw_Data!B1695</f>
        <v>45384</v>
      </c>
      <c r="C1695" s="14" t="n">
        <f aca="false">IF(Raw_Data!C1695="","",Raw_Data!C1695)</f>
        <v>45743</v>
      </c>
      <c r="D1695" s="13" t="n">
        <f aca="false">IF(Raw_Data!D1695="","",Raw_Data!D1695)</f>
        <v>23</v>
      </c>
      <c r="E1695" s="13" t="str">
        <f aca="false">IF(UPPER(LEFT(TRIM(Raw_Data!E1695),1))="M","Male",IF(UPPER(LEFT(TRIM(Raw_Data!E1695),1))="F","Female","Unknown"))</f>
        <v>Male</v>
      </c>
      <c r="F1695" s="13" t="str">
        <f aca="false">PROPER(TRIM(SUBSTITUTE(Raw_Data!F1695,"'","")))</f>
        <v>Bachelors</v>
      </c>
      <c r="G1695" s="13" t="str">
        <f aca="false">PROPER(TRIM(Raw_Data!G1695))</f>
        <v>Finance</v>
      </c>
      <c r="H1695" s="13" t="str">
        <f aca="false">PROPER(TRIM(Raw_Data!H1695))</f>
        <v>Manager</v>
      </c>
      <c r="I1695" s="13" t="n">
        <f aca="false">IF(Raw_Data!I1695="",DefaultPerf,Raw_Data!I1695)</f>
        <v>2</v>
      </c>
      <c r="J1695" s="13" t="n">
        <f aca="false">IF(Raw_Data!J1695="",DefaultSat,Raw_Data!J1695)</f>
        <v>2</v>
      </c>
      <c r="K1695" s="15" t="n">
        <f aca="false">Raw_Data!K1695</f>
        <v>141500</v>
      </c>
      <c r="L1695" s="13" t="str">
        <f aca="false">PROPER(TRIM(Raw_Data!N1695))</f>
        <v>No</v>
      </c>
      <c r="M1695" s="13" t="n">
        <f aca="false">IF(C1695="",0,1)</f>
        <v>1</v>
      </c>
      <c r="N1695" s="13" t="str">
        <f aca="false">IF(M1695=0,"Active",IF(TRIM(Raw_Data!L1695)="","Unknown",PROPER(TRIM(Raw_Data!L1695))))</f>
        <v>Involuntary</v>
      </c>
      <c r="O1695" s="13" t="str">
        <f aca="false">IF(M1695=0,"",IF(TRIM(Raw_Data!M1695)="","Not Recorded",TRIM(Raw_Data!M1695)))</f>
        <v>Poor Performance</v>
      </c>
      <c r="P1695" s="16" t="n">
        <f aca="false">ROUND((IF(C1695="",AsOfDate,C1695)-B1695)/365.25,2)</f>
        <v>0.98</v>
      </c>
      <c r="Q1695" s="13" t="str">
        <f aca="false">IF(D1695="","Unknown",IF(D1695&lt;25,"Under 25",IF(D1695&lt;35,"25-34",IF(D1695&lt;45,"35-44",IF(D1695&lt;55,"45-54","55+")))))</f>
        <v>Under 25</v>
      </c>
      <c r="R1695" s="13" t="str">
        <f aca="false">IF(P1695&lt;1,"0-1 yrs",IF(P1695&lt;3,"1-3 yrs",IF(P1695&lt;5,"3-5 yrs",IF(P1695&lt;10,"5-10 yrs","10+ yrs"))))</f>
        <v>0-1 yrs</v>
      </c>
      <c r="S1695" s="13" t="str">
        <f aca="false">IF(I1695&gt;=4,"High",IF(I1695=3,"Medium","Low"))</f>
        <v>Low</v>
      </c>
      <c r="T1695" s="13" t="n">
        <f aca="false">IF(M1695=1,YEAR(C1695),"")</f>
        <v>2025</v>
      </c>
      <c r="U1695" s="13" t="str">
        <f aca="false">IF(M1695=1,YEAR(C1695)&amp;"-Q"&amp;ROUNDUP(MONTH(C1695)/3,0),"")</f>
        <v>2025-Q1</v>
      </c>
      <c r="V1695" s="13" t="n">
        <f aca="false">IF(M1695=1,MONTH(C1695),"")</f>
        <v>3</v>
      </c>
    </row>
    <row r="1696" customFormat="false" ht="15" hidden="false" customHeight="false" outlineLevel="0" collapsed="false">
      <c r="A1696" s="13" t="str">
        <f aca="false">TRIM(Raw_Data!A1696)</f>
        <v>EMP1695</v>
      </c>
      <c r="B1696" s="14" t="n">
        <f aca="false">Raw_Data!B1696</f>
        <v>45384</v>
      </c>
      <c r="C1696" s="14" t="n">
        <f aca="false">IF(Raw_Data!C1696="","",Raw_Data!C1696)</f>
        <v>45692</v>
      </c>
      <c r="D1696" s="13" t="n">
        <f aca="false">IF(Raw_Data!D1696="","",Raw_Data!D1696)</f>
        <v>33</v>
      </c>
      <c r="E1696" s="13" t="str">
        <f aca="false">IF(UPPER(LEFT(TRIM(Raw_Data!E1696),1))="M","Male",IF(UPPER(LEFT(TRIM(Raw_Data!E1696),1))="F","Female","Unknown"))</f>
        <v>Female</v>
      </c>
      <c r="F1696" s="13" t="str">
        <f aca="false">PROPER(TRIM(SUBSTITUTE(Raw_Data!F1696,"'","")))</f>
        <v>Masters</v>
      </c>
      <c r="G1696" s="13" t="str">
        <f aca="false">PROPER(TRIM(Raw_Data!G1696))</f>
        <v>Finance</v>
      </c>
      <c r="H1696" s="13" t="str">
        <f aca="false">PROPER(TRIM(Raw_Data!H1696))</f>
        <v>Associate</v>
      </c>
      <c r="I1696" s="13" t="n">
        <f aca="false">IF(Raw_Data!I1696="",DefaultPerf,Raw_Data!I1696)</f>
        <v>3</v>
      </c>
      <c r="J1696" s="13" t="n">
        <f aca="false">IF(Raw_Data!J1696="",DefaultSat,Raw_Data!J1696)</f>
        <v>1</v>
      </c>
      <c r="K1696" s="15" t="n">
        <f aca="false">Raw_Data!K1696</f>
        <v>42500</v>
      </c>
      <c r="L1696" s="13" t="str">
        <f aca="false">PROPER(TRIM(Raw_Data!N1696))</f>
        <v>No</v>
      </c>
      <c r="M1696" s="13" t="n">
        <f aca="false">IF(C1696="",0,1)</f>
        <v>1</v>
      </c>
      <c r="N1696" s="13" t="str">
        <f aca="false">IF(M1696=0,"Active",IF(TRIM(Raw_Data!L1696)="","Unknown",PROPER(TRIM(Raw_Data!L1696))))</f>
        <v>Voluntary</v>
      </c>
      <c r="O1696" s="13" t="str">
        <f aca="false">IF(M1696=0,"",IF(TRIM(Raw_Data!M1696)="","Not Recorded",TRIM(Raw_Data!M1696)))</f>
        <v>Job Dissatisfaction</v>
      </c>
      <c r="P1696" s="16" t="n">
        <f aca="false">ROUND((IF(C1696="",AsOfDate,C1696)-B1696)/365.25,2)</f>
        <v>0.84</v>
      </c>
      <c r="Q1696" s="13" t="str">
        <f aca="false">IF(D1696="","Unknown",IF(D1696&lt;25,"Under 25",IF(D1696&lt;35,"25-34",IF(D1696&lt;45,"35-44",IF(D1696&lt;55,"45-54","55+")))))</f>
        <v>25-34</v>
      </c>
      <c r="R1696" s="13" t="str">
        <f aca="false">IF(P1696&lt;1,"0-1 yrs",IF(P1696&lt;3,"1-3 yrs",IF(P1696&lt;5,"3-5 yrs",IF(P1696&lt;10,"5-10 yrs","10+ yrs"))))</f>
        <v>0-1 yrs</v>
      </c>
      <c r="S1696" s="13" t="str">
        <f aca="false">IF(I1696&gt;=4,"High",IF(I1696=3,"Medium","Low"))</f>
        <v>Medium</v>
      </c>
      <c r="T1696" s="13" t="n">
        <f aca="false">IF(M1696=1,YEAR(C1696),"")</f>
        <v>2025</v>
      </c>
      <c r="U1696" s="13" t="str">
        <f aca="false">IF(M1696=1,YEAR(C1696)&amp;"-Q"&amp;ROUNDUP(MONTH(C1696)/3,0),"")</f>
        <v>2025-Q1</v>
      </c>
      <c r="V1696" s="13" t="n">
        <f aca="false">IF(M1696=1,MONTH(C1696),"")</f>
        <v>2</v>
      </c>
    </row>
    <row r="1697" customFormat="false" ht="15" hidden="false" customHeight="false" outlineLevel="0" collapsed="false">
      <c r="A1697" s="13" t="str">
        <f aca="false">TRIM(Raw_Data!A1697)</f>
        <v>EMP1696</v>
      </c>
      <c r="B1697" s="14" t="n">
        <f aca="false">Raw_Data!B1697</f>
        <v>45385</v>
      </c>
      <c r="C1697" s="14" t="n">
        <f aca="false">IF(Raw_Data!C1697="","",Raw_Data!C1697)</f>
        <v>45986</v>
      </c>
      <c r="D1697" s="13" t="n">
        <f aca="false">IF(Raw_Data!D1697="","",Raw_Data!D1697)</f>
        <v>32</v>
      </c>
      <c r="E1697" s="13" t="str">
        <f aca="false">IF(UPPER(LEFT(TRIM(Raw_Data!E1697),1))="M","Male",IF(UPPER(LEFT(TRIM(Raw_Data!E1697),1))="F","Female","Unknown"))</f>
        <v>Male</v>
      </c>
      <c r="F1697" s="13" t="str">
        <f aca="false">PROPER(TRIM(SUBSTITUTE(Raw_Data!F1697,"'","")))</f>
        <v>Masters</v>
      </c>
      <c r="G1697" s="13" t="str">
        <f aca="false">PROPER(TRIM(Raw_Data!G1697))</f>
        <v>Engineering</v>
      </c>
      <c r="H1697" s="13" t="str">
        <f aca="false">PROPER(TRIM(Raw_Data!H1697))</f>
        <v>Specialist</v>
      </c>
      <c r="I1697" s="13" t="n">
        <f aca="false">IF(Raw_Data!I1697="",DefaultPerf,Raw_Data!I1697)</f>
        <v>4</v>
      </c>
      <c r="J1697" s="13" t="n">
        <f aca="false">IF(Raw_Data!J1697="",DefaultSat,Raw_Data!J1697)</f>
        <v>1</v>
      </c>
      <c r="K1697" s="15" t="n">
        <f aca="false">Raw_Data!K1697</f>
        <v>108000</v>
      </c>
      <c r="L1697" s="13" t="str">
        <f aca="false">PROPER(TRIM(Raw_Data!N1697))</f>
        <v>Yes</v>
      </c>
      <c r="M1697" s="13" t="n">
        <f aca="false">IF(C1697="",0,1)</f>
        <v>1</v>
      </c>
      <c r="N1697" s="13" t="str">
        <f aca="false">IF(M1697=0,"Active",IF(TRIM(Raw_Data!L1697)="","Unknown",PROPER(TRIM(Raw_Data!L1697))))</f>
        <v>Voluntary</v>
      </c>
      <c r="O1697" s="13" t="str">
        <f aca="false">IF(M1697=0,"",IF(TRIM(Raw_Data!M1697)="","Not Recorded",TRIM(Raw_Data!M1697)))</f>
        <v>Better Compensation</v>
      </c>
      <c r="P1697" s="16" t="n">
        <f aca="false">ROUND((IF(C1697="",AsOfDate,C1697)-B1697)/365.25,2)</f>
        <v>1.65</v>
      </c>
      <c r="Q1697" s="13" t="str">
        <f aca="false">IF(D1697="","Unknown",IF(D1697&lt;25,"Under 25",IF(D1697&lt;35,"25-34",IF(D1697&lt;45,"35-44",IF(D1697&lt;55,"45-54","55+")))))</f>
        <v>25-34</v>
      </c>
      <c r="R1697" s="13" t="str">
        <f aca="false">IF(P1697&lt;1,"0-1 yrs",IF(P1697&lt;3,"1-3 yrs",IF(P1697&lt;5,"3-5 yrs",IF(P1697&lt;10,"5-10 yrs","10+ yrs"))))</f>
        <v>1-3 yrs</v>
      </c>
      <c r="S1697" s="13" t="str">
        <f aca="false">IF(I1697&gt;=4,"High",IF(I1697=3,"Medium","Low"))</f>
        <v>High</v>
      </c>
      <c r="T1697" s="13" t="n">
        <f aca="false">IF(M1697=1,YEAR(C1697),"")</f>
        <v>2025</v>
      </c>
      <c r="U1697" s="13" t="str">
        <f aca="false">IF(M1697=1,YEAR(C1697)&amp;"-Q"&amp;ROUNDUP(MONTH(C1697)/3,0),"")</f>
        <v>2025-Q4</v>
      </c>
      <c r="V1697" s="13" t="n">
        <f aca="false">IF(M1697=1,MONTH(C1697),"")</f>
        <v>11</v>
      </c>
    </row>
    <row r="1698" customFormat="false" ht="15" hidden="false" customHeight="false" outlineLevel="0" collapsed="false">
      <c r="A1698" s="13" t="str">
        <f aca="false">TRIM(Raw_Data!A1698)</f>
        <v>EMP1697</v>
      </c>
      <c r="B1698" s="14" t="n">
        <f aca="false">Raw_Data!B1698</f>
        <v>45386</v>
      </c>
      <c r="C1698" s="14" t="str">
        <f aca="false">IF(Raw_Data!C1698="","",Raw_Data!C1698)</f>
        <v/>
      </c>
      <c r="D1698" s="13" t="n">
        <f aca="false">IF(Raw_Data!D1698="","",Raw_Data!D1698)</f>
        <v>31</v>
      </c>
      <c r="E1698" s="13" t="str">
        <f aca="false">IF(UPPER(LEFT(TRIM(Raw_Data!E1698),1))="M","Male",IF(UPPER(LEFT(TRIM(Raw_Data!E1698),1))="F","Female","Unknown"))</f>
        <v>Male</v>
      </c>
      <c r="F1698" s="13" t="str">
        <f aca="false">PROPER(TRIM(SUBSTITUTE(Raw_Data!F1698,"'","")))</f>
        <v>Bachelors</v>
      </c>
      <c r="G1698" s="13" t="str">
        <f aca="false">PROPER(TRIM(Raw_Data!G1698))</f>
        <v>Engineering</v>
      </c>
      <c r="H1698" s="13" t="str">
        <f aca="false">PROPER(TRIM(Raw_Data!H1698))</f>
        <v>Associate</v>
      </c>
      <c r="I1698" s="13" t="n">
        <f aca="false">IF(Raw_Data!I1698="",DefaultPerf,Raw_Data!I1698)</f>
        <v>5</v>
      </c>
      <c r="J1698" s="13" t="n">
        <f aca="false">IF(Raw_Data!J1698="",DefaultSat,Raw_Data!J1698)</f>
        <v>1</v>
      </c>
      <c r="K1698" s="15" t="n">
        <f aca="false">Raw_Data!K1698</f>
        <v>38000</v>
      </c>
      <c r="L1698" s="13" t="str">
        <f aca="false">PROPER(TRIM(Raw_Data!N1698))</f>
        <v>No</v>
      </c>
      <c r="M1698" s="13" t="n">
        <f aca="false">IF(C1698="",0,1)</f>
        <v>0</v>
      </c>
      <c r="N1698" s="13" t="str">
        <f aca="false">IF(M1698=0,"Active",IF(TRIM(Raw_Data!L1698)="","Unknown",PROPER(TRIM(Raw_Data!L1698))))</f>
        <v>Active</v>
      </c>
      <c r="O1698" s="13" t="str">
        <f aca="false">IF(M1698=0,"",IF(TRIM(Raw_Data!M1698)="","Not Recorded",TRIM(Raw_Data!M1698)))</f>
        <v/>
      </c>
      <c r="P1698" s="16" t="n">
        <f aca="false">ROUND((IF(C1698="",AsOfDate,C1698)-B1698)/365.25,2)</f>
        <v>1.74</v>
      </c>
      <c r="Q1698" s="13" t="str">
        <f aca="false">IF(D1698="","Unknown",IF(D1698&lt;25,"Under 25",IF(D1698&lt;35,"25-34",IF(D1698&lt;45,"35-44",IF(D1698&lt;55,"45-54","55+")))))</f>
        <v>25-34</v>
      </c>
      <c r="R1698" s="13" t="str">
        <f aca="false">IF(P1698&lt;1,"0-1 yrs",IF(P1698&lt;3,"1-3 yrs",IF(P1698&lt;5,"3-5 yrs",IF(P1698&lt;10,"5-10 yrs","10+ yrs"))))</f>
        <v>1-3 yrs</v>
      </c>
      <c r="S1698" s="13" t="str">
        <f aca="false">IF(I1698&gt;=4,"High",IF(I1698=3,"Medium","Low"))</f>
        <v>High</v>
      </c>
      <c r="T1698" s="13" t="str">
        <f aca="false">IF(M1698=1,YEAR(C1698),"")</f>
        <v/>
      </c>
      <c r="U1698" s="13" t="str">
        <f aca="false">IF(M1698=1,YEAR(C1698)&amp;"-Q"&amp;ROUNDUP(MONTH(C1698)/3,0),"")</f>
        <v/>
      </c>
      <c r="V1698" s="13" t="str">
        <f aca="false">IF(M1698=1,MONTH(C1698),"")</f>
        <v/>
      </c>
    </row>
    <row r="1699" customFormat="false" ht="15" hidden="false" customHeight="false" outlineLevel="0" collapsed="false">
      <c r="A1699" s="13" t="str">
        <f aca="false">TRIM(Raw_Data!A1699)</f>
        <v>EMP1698</v>
      </c>
      <c r="B1699" s="14" t="n">
        <f aca="false">Raw_Data!B1699</f>
        <v>45386</v>
      </c>
      <c r="C1699" s="14" t="n">
        <f aca="false">IF(Raw_Data!C1699="","",Raw_Data!C1699)</f>
        <v>45522</v>
      </c>
      <c r="D1699" s="13" t="n">
        <f aca="false">IF(Raw_Data!D1699="","",Raw_Data!D1699)</f>
        <v>33</v>
      </c>
      <c r="E1699" s="13" t="str">
        <f aca="false">IF(UPPER(LEFT(TRIM(Raw_Data!E1699),1))="M","Male",IF(UPPER(LEFT(TRIM(Raw_Data!E1699),1))="F","Female","Unknown"))</f>
        <v>Male</v>
      </c>
      <c r="F1699" s="13" t="str">
        <f aca="false">PROPER(TRIM(SUBSTITUTE(Raw_Data!F1699,"'","")))</f>
        <v>Bachelors</v>
      </c>
      <c r="G1699" s="13" t="str">
        <f aca="false">PROPER(TRIM(Raw_Data!G1699))</f>
        <v>Operations</v>
      </c>
      <c r="H1699" s="13" t="str">
        <f aca="false">PROPER(TRIM(Raw_Data!H1699))</f>
        <v>Associate</v>
      </c>
      <c r="I1699" s="13" t="n">
        <f aca="false">IF(Raw_Data!I1699="",DefaultPerf,Raw_Data!I1699)</f>
        <v>3</v>
      </c>
      <c r="J1699" s="13" t="n">
        <f aca="false">IF(Raw_Data!J1699="",DefaultSat,Raw_Data!J1699)</f>
        <v>1</v>
      </c>
      <c r="K1699" s="15" t="n">
        <f aca="false">Raw_Data!K1699</f>
        <v>33000</v>
      </c>
      <c r="L1699" s="13" t="str">
        <f aca="false">PROPER(TRIM(Raw_Data!N1699))</f>
        <v>No</v>
      </c>
      <c r="M1699" s="13" t="n">
        <f aca="false">IF(C1699="",0,1)</f>
        <v>1</v>
      </c>
      <c r="N1699" s="13" t="str">
        <f aca="false">IF(M1699=0,"Active",IF(TRIM(Raw_Data!L1699)="","Unknown",PROPER(TRIM(Raw_Data!L1699))))</f>
        <v>Voluntary</v>
      </c>
      <c r="O1699" s="13" t="str">
        <f aca="false">IF(M1699=0,"",IF(TRIM(Raw_Data!M1699)="","Not Recorded",TRIM(Raw_Data!M1699)))</f>
        <v>Not Recorded</v>
      </c>
      <c r="P1699" s="16" t="n">
        <f aca="false">ROUND((IF(C1699="",AsOfDate,C1699)-B1699)/365.25,2)</f>
        <v>0.37</v>
      </c>
      <c r="Q1699" s="13" t="str">
        <f aca="false">IF(D1699="","Unknown",IF(D1699&lt;25,"Under 25",IF(D1699&lt;35,"25-34",IF(D1699&lt;45,"35-44",IF(D1699&lt;55,"45-54","55+")))))</f>
        <v>25-34</v>
      </c>
      <c r="R1699" s="13" t="str">
        <f aca="false">IF(P1699&lt;1,"0-1 yrs",IF(P1699&lt;3,"1-3 yrs",IF(P1699&lt;5,"3-5 yrs",IF(P1699&lt;10,"5-10 yrs","10+ yrs"))))</f>
        <v>0-1 yrs</v>
      </c>
      <c r="S1699" s="13" t="str">
        <f aca="false">IF(I1699&gt;=4,"High",IF(I1699=3,"Medium","Low"))</f>
        <v>Medium</v>
      </c>
      <c r="T1699" s="13" t="n">
        <f aca="false">IF(M1699=1,YEAR(C1699),"")</f>
        <v>2024</v>
      </c>
      <c r="U1699" s="13" t="str">
        <f aca="false">IF(M1699=1,YEAR(C1699)&amp;"-Q"&amp;ROUNDUP(MONTH(C1699)/3,0),"")</f>
        <v>2024-Q3</v>
      </c>
      <c r="V1699" s="13" t="n">
        <f aca="false">IF(M1699=1,MONTH(C1699),"")</f>
        <v>8</v>
      </c>
    </row>
    <row r="1700" customFormat="false" ht="15" hidden="false" customHeight="false" outlineLevel="0" collapsed="false">
      <c r="A1700" s="13" t="str">
        <f aca="false">TRIM(Raw_Data!A1700)</f>
        <v>EMP1699</v>
      </c>
      <c r="B1700" s="14" t="n">
        <f aca="false">Raw_Data!B1700</f>
        <v>45388</v>
      </c>
      <c r="C1700" s="14" t="str">
        <f aca="false">IF(Raw_Data!C1700="","",Raw_Data!C1700)</f>
        <v/>
      </c>
      <c r="D1700" s="13" t="n">
        <f aca="false">IF(Raw_Data!D1700="","",Raw_Data!D1700)</f>
        <v>29</v>
      </c>
      <c r="E1700" s="13" t="str">
        <f aca="false">IF(UPPER(LEFT(TRIM(Raw_Data!E1700),1))="M","Male",IF(UPPER(LEFT(TRIM(Raw_Data!E1700),1))="F","Female","Unknown"))</f>
        <v>Male</v>
      </c>
      <c r="F1700" s="13" t="str">
        <f aca="false">PROPER(TRIM(SUBSTITUTE(Raw_Data!F1700,"'","")))</f>
        <v>Bachelors</v>
      </c>
      <c r="G1700" s="13" t="str">
        <f aca="false">PROPER(TRIM(Raw_Data!G1700))</f>
        <v>Customer Support</v>
      </c>
      <c r="H1700" s="13" t="str">
        <f aca="false">PROPER(TRIM(Raw_Data!H1700))</f>
        <v>Specialist</v>
      </c>
      <c r="I1700" s="13" t="n">
        <f aca="false">IF(Raw_Data!I1700="",DefaultPerf,Raw_Data!I1700)</f>
        <v>3</v>
      </c>
      <c r="J1700" s="13" t="n">
        <f aca="false">IF(Raw_Data!J1700="",DefaultSat,Raw_Data!J1700)</f>
        <v>4</v>
      </c>
      <c r="K1700" s="15" t="n">
        <f aca="false">Raw_Data!K1700</f>
        <v>111000</v>
      </c>
      <c r="L1700" s="13" t="str">
        <f aca="false">PROPER(TRIM(Raw_Data!N1700))</f>
        <v>Yes</v>
      </c>
      <c r="M1700" s="13" t="n">
        <f aca="false">IF(C1700="",0,1)</f>
        <v>0</v>
      </c>
      <c r="N1700" s="13" t="str">
        <f aca="false">IF(M1700=0,"Active",IF(TRIM(Raw_Data!L1700)="","Unknown",PROPER(TRIM(Raw_Data!L1700))))</f>
        <v>Active</v>
      </c>
      <c r="O1700" s="13" t="str">
        <f aca="false">IF(M1700=0,"",IF(TRIM(Raw_Data!M1700)="","Not Recorded",TRIM(Raw_Data!M1700)))</f>
        <v/>
      </c>
      <c r="P1700" s="16" t="n">
        <f aca="false">ROUND((IF(C1700="",AsOfDate,C1700)-B1700)/365.25,2)</f>
        <v>1.74</v>
      </c>
      <c r="Q1700" s="13" t="str">
        <f aca="false">IF(D1700="","Unknown",IF(D1700&lt;25,"Under 25",IF(D1700&lt;35,"25-34",IF(D1700&lt;45,"35-44",IF(D1700&lt;55,"45-54","55+")))))</f>
        <v>25-34</v>
      </c>
      <c r="R1700" s="13" t="str">
        <f aca="false">IF(P1700&lt;1,"0-1 yrs",IF(P1700&lt;3,"1-3 yrs",IF(P1700&lt;5,"3-5 yrs",IF(P1700&lt;10,"5-10 yrs","10+ yrs"))))</f>
        <v>1-3 yrs</v>
      </c>
      <c r="S1700" s="13" t="str">
        <f aca="false">IF(I1700&gt;=4,"High",IF(I1700=3,"Medium","Low"))</f>
        <v>Medium</v>
      </c>
      <c r="T1700" s="13" t="str">
        <f aca="false">IF(M1700=1,YEAR(C1700),"")</f>
        <v/>
      </c>
      <c r="U1700" s="13" t="str">
        <f aca="false">IF(M1700=1,YEAR(C1700)&amp;"-Q"&amp;ROUNDUP(MONTH(C1700)/3,0),"")</f>
        <v/>
      </c>
      <c r="V1700" s="13" t="str">
        <f aca="false">IF(M1700=1,MONTH(C1700),"")</f>
        <v/>
      </c>
    </row>
    <row r="1701" customFormat="false" ht="15" hidden="false" customHeight="false" outlineLevel="0" collapsed="false">
      <c r="A1701" s="13" t="str">
        <f aca="false">TRIM(Raw_Data!A1701)</f>
        <v>EMP1700</v>
      </c>
      <c r="B1701" s="14" t="n">
        <f aca="false">Raw_Data!B1701</f>
        <v>45389</v>
      </c>
      <c r="C1701" s="14" t="str">
        <f aca="false">IF(Raw_Data!C1701="","",Raw_Data!C1701)</f>
        <v/>
      </c>
      <c r="D1701" s="13" t="n">
        <f aca="false">IF(Raw_Data!D1701="","",Raw_Data!D1701)</f>
        <v>30</v>
      </c>
      <c r="E1701" s="13" t="str">
        <f aca="false">IF(UPPER(LEFT(TRIM(Raw_Data!E1701),1))="M","Male",IF(UPPER(LEFT(TRIM(Raw_Data!E1701),1))="F","Female","Unknown"))</f>
        <v>Female</v>
      </c>
      <c r="F1701" s="13" t="str">
        <f aca="false">PROPER(TRIM(SUBSTITUTE(Raw_Data!F1701,"'","")))</f>
        <v>Bachelors</v>
      </c>
      <c r="G1701" s="13" t="str">
        <f aca="false">PROPER(TRIM(Raw_Data!G1701))</f>
        <v>Operations</v>
      </c>
      <c r="H1701" s="13" t="str">
        <f aca="false">PROPER(TRIM(Raw_Data!H1701))</f>
        <v>Analyst</v>
      </c>
      <c r="I1701" s="13" t="n">
        <f aca="false">IF(Raw_Data!I1701="",DefaultPerf,Raw_Data!I1701)</f>
        <v>1</v>
      </c>
      <c r="J1701" s="13" t="n">
        <f aca="false">IF(Raw_Data!J1701="",DefaultSat,Raw_Data!J1701)</f>
        <v>2</v>
      </c>
      <c r="K1701" s="15" t="n">
        <f aca="false">Raw_Data!K1701</f>
        <v>60000</v>
      </c>
      <c r="L1701" s="13" t="str">
        <f aca="false">PROPER(TRIM(Raw_Data!N1701))</f>
        <v>No</v>
      </c>
      <c r="M1701" s="13" t="n">
        <f aca="false">IF(C1701="",0,1)</f>
        <v>0</v>
      </c>
      <c r="N1701" s="13" t="str">
        <f aca="false">IF(M1701=0,"Active",IF(TRIM(Raw_Data!L1701)="","Unknown",PROPER(TRIM(Raw_Data!L1701))))</f>
        <v>Active</v>
      </c>
      <c r="O1701" s="13" t="str">
        <f aca="false">IF(M1701=0,"",IF(TRIM(Raw_Data!M1701)="","Not Recorded",TRIM(Raw_Data!M1701)))</f>
        <v/>
      </c>
      <c r="P1701" s="16" t="n">
        <f aca="false">ROUND((IF(C1701="",AsOfDate,C1701)-B1701)/365.25,2)</f>
        <v>1.73</v>
      </c>
      <c r="Q1701" s="13" t="str">
        <f aca="false">IF(D1701="","Unknown",IF(D1701&lt;25,"Under 25",IF(D1701&lt;35,"25-34",IF(D1701&lt;45,"35-44",IF(D1701&lt;55,"45-54","55+")))))</f>
        <v>25-34</v>
      </c>
      <c r="R1701" s="13" t="str">
        <f aca="false">IF(P1701&lt;1,"0-1 yrs",IF(P1701&lt;3,"1-3 yrs",IF(P1701&lt;5,"3-5 yrs",IF(P1701&lt;10,"5-10 yrs","10+ yrs"))))</f>
        <v>1-3 yrs</v>
      </c>
      <c r="S1701" s="13" t="str">
        <f aca="false">IF(I1701&gt;=4,"High",IF(I1701=3,"Medium","Low"))</f>
        <v>Low</v>
      </c>
      <c r="T1701" s="13" t="str">
        <f aca="false">IF(M1701=1,YEAR(C1701),"")</f>
        <v/>
      </c>
      <c r="U1701" s="13" t="str">
        <f aca="false">IF(M1701=1,YEAR(C1701)&amp;"-Q"&amp;ROUNDUP(MONTH(C1701)/3,0),"")</f>
        <v/>
      </c>
      <c r="V1701" s="13" t="str">
        <f aca="false">IF(M1701=1,MONTH(C1701),"")</f>
        <v/>
      </c>
    </row>
    <row r="1702" customFormat="false" ht="15" hidden="false" customHeight="false" outlineLevel="0" collapsed="false">
      <c r="A1702" s="13" t="str">
        <f aca="false">TRIM(Raw_Data!A1702)</f>
        <v>EMP1701</v>
      </c>
      <c r="B1702" s="14" t="n">
        <f aca="false">Raw_Data!B1702</f>
        <v>45391</v>
      </c>
      <c r="C1702" s="14" t="str">
        <f aca="false">IF(Raw_Data!C1702="","",Raw_Data!C1702)</f>
        <v/>
      </c>
      <c r="D1702" s="13" t="n">
        <f aca="false">IF(Raw_Data!D1702="","",Raw_Data!D1702)</f>
        <v>39</v>
      </c>
      <c r="E1702" s="13" t="str">
        <f aca="false">IF(UPPER(LEFT(TRIM(Raw_Data!E1702),1))="M","Male",IF(UPPER(LEFT(TRIM(Raw_Data!E1702),1))="F","Female","Unknown"))</f>
        <v>Female</v>
      </c>
      <c r="F1702" s="13" t="str">
        <f aca="false">PROPER(TRIM(SUBSTITUTE(Raw_Data!F1702,"'","")))</f>
        <v>Masters</v>
      </c>
      <c r="G1702" s="13" t="str">
        <f aca="false">PROPER(TRIM(Raw_Data!G1702))</f>
        <v>Sales</v>
      </c>
      <c r="H1702" s="13" t="str">
        <f aca="false">PROPER(TRIM(Raw_Data!H1702))</f>
        <v>Analyst</v>
      </c>
      <c r="I1702" s="13" t="n">
        <f aca="false">IF(Raw_Data!I1702="",DefaultPerf,Raw_Data!I1702)</f>
        <v>3</v>
      </c>
      <c r="J1702" s="13" t="n">
        <f aca="false">IF(Raw_Data!J1702="",DefaultSat,Raw_Data!J1702)</f>
        <v>1</v>
      </c>
      <c r="K1702" s="15" t="n">
        <f aca="false">Raw_Data!K1702</f>
        <v>57000</v>
      </c>
      <c r="L1702" s="13" t="str">
        <f aca="false">PROPER(TRIM(Raw_Data!N1702))</f>
        <v>No</v>
      </c>
      <c r="M1702" s="13" t="n">
        <f aca="false">IF(C1702="",0,1)</f>
        <v>0</v>
      </c>
      <c r="N1702" s="13" t="str">
        <f aca="false">IF(M1702=0,"Active",IF(TRIM(Raw_Data!L1702)="","Unknown",PROPER(TRIM(Raw_Data!L1702))))</f>
        <v>Active</v>
      </c>
      <c r="O1702" s="13" t="str">
        <f aca="false">IF(M1702=0,"",IF(TRIM(Raw_Data!M1702)="","Not Recorded",TRIM(Raw_Data!M1702)))</f>
        <v/>
      </c>
      <c r="P1702" s="16" t="n">
        <f aca="false">ROUND((IF(C1702="",AsOfDate,C1702)-B1702)/365.25,2)</f>
        <v>1.73</v>
      </c>
      <c r="Q1702" s="13" t="str">
        <f aca="false">IF(D1702="","Unknown",IF(D1702&lt;25,"Under 25",IF(D1702&lt;35,"25-34",IF(D1702&lt;45,"35-44",IF(D1702&lt;55,"45-54","55+")))))</f>
        <v>35-44</v>
      </c>
      <c r="R1702" s="13" t="str">
        <f aca="false">IF(P1702&lt;1,"0-1 yrs",IF(P1702&lt;3,"1-3 yrs",IF(P1702&lt;5,"3-5 yrs",IF(P1702&lt;10,"5-10 yrs","10+ yrs"))))</f>
        <v>1-3 yrs</v>
      </c>
      <c r="S1702" s="13" t="str">
        <f aca="false">IF(I1702&gt;=4,"High",IF(I1702=3,"Medium","Low"))</f>
        <v>Medium</v>
      </c>
      <c r="T1702" s="13" t="str">
        <f aca="false">IF(M1702=1,YEAR(C1702),"")</f>
        <v/>
      </c>
      <c r="U1702" s="13" t="str">
        <f aca="false">IF(M1702=1,YEAR(C1702)&amp;"-Q"&amp;ROUNDUP(MONTH(C1702)/3,0),"")</f>
        <v/>
      </c>
      <c r="V1702" s="13" t="str">
        <f aca="false">IF(M1702=1,MONTH(C1702),"")</f>
        <v/>
      </c>
    </row>
    <row r="1703" customFormat="false" ht="15" hidden="false" customHeight="false" outlineLevel="0" collapsed="false">
      <c r="A1703" s="13" t="str">
        <f aca="false">TRIM(Raw_Data!A1703)</f>
        <v>EMP1702</v>
      </c>
      <c r="B1703" s="14" t="n">
        <f aca="false">Raw_Data!B1703</f>
        <v>45396</v>
      </c>
      <c r="C1703" s="14" t="n">
        <f aca="false">IF(Raw_Data!C1703="","",Raw_Data!C1703)</f>
        <v>45688</v>
      </c>
      <c r="D1703" s="13" t="n">
        <f aca="false">IF(Raw_Data!D1703="","",Raw_Data!D1703)</f>
        <v>25</v>
      </c>
      <c r="E1703" s="13" t="str">
        <f aca="false">IF(UPPER(LEFT(TRIM(Raw_Data!E1703),1))="M","Male",IF(UPPER(LEFT(TRIM(Raw_Data!E1703),1))="F","Female","Unknown"))</f>
        <v>Male</v>
      </c>
      <c r="F1703" s="13" t="str">
        <f aca="false">PROPER(TRIM(SUBSTITUTE(Raw_Data!F1703,"'","")))</f>
        <v>Masters</v>
      </c>
      <c r="G1703" s="13" t="str">
        <f aca="false">PROPER(TRIM(Raw_Data!G1703))</f>
        <v>Sales</v>
      </c>
      <c r="H1703" s="13" t="str">
        <f aca="false">PROPER(TRIM(Raw_Data!H1703))</f>
        <v>Associate</v>
      </c>
      <c r="I1703" s="13" t="n">
        <f aca="false">IF(Raw_Data!I1703="",DefaultPerf,Raw_Data!I1703)</f>
        <v>3</v>
      </c>
      <c r="J1703" s="13" t="n">
        <f aca="false">IF(Raw_Data!J1703="",DefaultSat,Raw_Data!J1703)</f>
        <v>1</v>
      </c>
      <c r="K1703" s="15" t="n">
        <f aca="false">Raw_Data!K1703</f>
        <v>35500</v>
      </c>
      <c r="L1703" s="13" t="str">
        <f aca="false">PROPER(TRIM(Raw_Data!N1703))</f>
        <v>No</v>
      </c>
      <c r="M1703" s="13" t="n">
        <f aca="false">IF(C1703="",0,1)</f>
        <v>1</v>
      </c>
      <c r="N1703" s="13" t="str">
        <f aca="false">IF(M1703=0,"Active",IF(TRIM(Raw_Data!L1703)="","Unknown",PROPER(TRIM(Raw_Data!L1703))))</f>
        <v>Voluntary</v>
      </c>
      <c r="O1703" s="13" t="str">
        <f aca="false">IF(M1703=0,"",IF(TRIM(Raw_Data!M1703)="","Not Recorded",TRIM(Raw_Data!M1703)))</f>
        <v>Job Dissatisfaction</v>
      </c>
      <c r="P1703" s="16" t="n">
        <f aca="false">ROUND((IF(C1703="",AsOfDate,C1703)-B1703)/365.25,2)</f>
        <v>0.8</v>
      </c>
      <c r="Q1703" s="13" t="str">
        <f aca="false">IF(D1703="","Unknown",IF(D1703&lt;25,"Under 25",IF(D1703&lt;35,"25-34",IF(D1703&lt;45,"35-44",IF(D1703&lt;55,"45-54","55+")))))</f>
        <v>25-34</v>
      </c>
      <c r="R1703" s="13" t="str">
        <f aca="false">IF(P1703&lt;1,"0-1 yrs",IF(P1703&lt;3,"1-3 yrs",IF(P1703&lt;5,"3-5 yrs",IF(P1703&lt;10,"5-10 yrs","10+ yrs"))))</f>
        <v>0-1 yrs</v>
      </c>
      <c r="S1703" s="13" t="str">
        <f aca="false">IF(I1703&gt;=4,"High",IF(I1703=3,"Medium","Low"))</f>
        <v>Medium</v>
      </c>
      <c r="T1703" s="13" t="n">
        <f aca="false">IF(M1703=1,YEAR(C1703),"")</f>
        <v>2025</v>
      </c>
      <c r="U1703" s="13" t="str">
        <f aca="false">IF(M1703=1,YEAR(C1703)&amp;"-Q"&amp;ROUNDUP(MONTH(C1703)/3,0),"")</f>
        <v>2025-Q1</v>
      </c>
      <c r="V1703" s="13" t="n">
        <f aca="false">IF(M1703=1,MONTH(C1703),"")</f>
        <v>1</v>
      </c>
    </row>
    <row r="1704" customFormat="false" ht="15" hidden="false" customHeight="false" outlineLevel="0" collapsed="false">
      <c r="A1704" s="13" t="str">
        <f aca="false">TRIM(Raw_Data!A1704)</f>
        <v>EMP1703</v>
      </c>
      <c r="B1704" s="14" t="n">
        <f aca="false">Raw_Data!B1704</f>
        <v>45399</v>
      </c>
      <c r="C1704" s="14" t="str">
        <f aca="false">IF(Raw_Data!C1704="","",Raw_Data!C1704)</f>
        <v/>
      </c>
      <c r="D1704" s="13" t="n">
        <f aca="false">IF(Raw_Data!D1704="","",Raw_Data!D1704)</f>
        <v>39</v>
      </c>
      <c r="E1704" s="13" t="str">
        <f aca="false">IF(UPPER(LEFT(TRIM(Raw_Data!E1704),1))="M","Male",IF(UPPER(LEFT(TRIM(Raw_Data!E1704),1))="F","Female","Unknown"))</f>
        <v>Male</v>
      </c>
      <c r="F1704" s="13" t="str">
        <f aca="false">PROPER(TRIM(SUBSTITUTE(Raw_Data!F1704,"'","")))</f>
        <v>Bachelors</v>
      </c>
      <c r="G1704" s="13" t="str">
        <f aca="false">PROPER(TRIM(Raw_Data!G1704))</f>
        <v>Finance</v>
      </c>
      <c r="H1704" s="13" t="str">
        <f aca="false">PROPER(TRIM(Raw_Data!H1704))</f>
        <v>Team Lead</v>
      </c>
      <c r="I1704" s="13" t="n">
        <f aca="false">IF(Raw_Data!I1704="",DefaultPerf,Raw_Data!I1704)</f>
        <v>3</v>
      </c>
      <c r="J1704" s="13" t="n">
        <f aca="false">IF(Raw_Data!J1704="",DefaultSat,Raw_Data!J1704)</f>
        <v>4</v>
      </c>
      <c r="K1704" s="15" t="n">
        <f aca="false">Raw_Data!K1704</f>
        <v>120000</v>
      </c>
      <c r="L1704" s="13" t="str">
        <f aca="false">PROPER(TRIM(Raw_Data!N1704))</f>
        <v>No</v>
      </c>
      <c r="M1704" s="13" t="n">
        <f aca="false">IF(C1704="",0,1)</f>
        <v>0</v>
      </c>
      <c r="N1704" s="13" t="str">
        <f aca="false">IF(M1704=0,"Active",IF(TRIM(Raw_Data!L1704)="","Unknown",PROPER(TRIM(Raw_Data!L1704))))</f>
        <v>Active</v>
      </c>
      <c r="O1704" s="13" t="str">
        <f aca="false">IF(M1704=0,"",IF(TRIM(Raw_Data!M1704)="","Not Recorded",TRIM(Raw_Data!M1704)))</f>
        <v/>
      </c>
      <c r="P1704" s="16" t="n">
        <f aca="false">ROUND((IF(C1704="",AsOfDate,C1704)-B1704)/365.25,2)</f>
        <v>1.71</v>
      </c>
      <c r="Q1704" s="13" t="str">
        <f aca="false">IF(D1704="","Unknown",IF(D1704&lt;25,"Under 25",IF(D1704&lt;35,"25-34",IF(D1704&lt;45,"35-44",IF(D1704&lt;55,"45-54","55+")))))</f>
        <v>35-44</v>
      </c>
      <c r="R1704" s="13" t="str">
        <f aca="false">IF(P1704&lt;1,"0-1 yrs",IF(P1704&lt;3,"1-3 yrs",IF(P1704&lt;5,"3-5 yrs",IF(P1704&lt;10,"5-10 yrs","10+ yrs"))))</f>
        <v>1-3 yrs</v>
      </c>
      <c r="S1704" s="13" t="str">
        <f aca="false">IF(I1704&gt;=4,"High",IF(I1704=3,"Medium","Low"))</f>
        <v>Medium</v>
      </c>
      <c r="T1704" s="13" t="str">
        <f aca="false">IF(M1704=1,YEAR(C1704),"")</f>
        <v/>
      </c>
      <c r="U1704" s="13" t="str">
        <f aca="false">IF(M1704=1,YEAR(C1704)&amp;"-Q"&amp;ROUNDUP(MONTH(C1704)/3,0),"")</f>
        <v/>
      </c>
      <c r="V1704" s="13" t="str">
        <f aca="false">IF(M1704=1,MONTH(C1704),"")</f>
        <v/>
      </c>
    </row>
    <row r="1705" customFormat="false" ht="15" hidden="false" customHeight="false" outlineLevel="0" collapsed="false">
      <c r="A1705" s="13" t="str">
        <f aca="false">TRIM(Raw_Data!A1705)</f>
        <v>EMP1704</v>
      </c>
      <c r="B1705" s="14" t="n">
        <f aca="false">Raw_Data!B1705</f>
        <v>45400</v>
      </c>
      <c r="C1705" s="14" t="str">
        <f aca="false">IF(Raw_Data!C1705="","",Raw_Data!C1705)</f>
        <v/>
      </c>
      <c r="D1705" s="13" t="n">
        <f aca="false">IF(Raw_Data!D1705="","",Raw_Data!D1705)</f>
        <v>34</v>
      </c>
      <c r="E1705" s="13" t="str">
        <f aca="false">IF(UPPER(LEFT(TRIM(Raw_Data!E1705),1))="M","Male",IF(UPPER(LEFT(TRIM(Raw_Data!E1705),1))="F","Female","Unknown"))</f>
        <v>Female</v>
      </c>
      <c r="F1705" s="13" t="str">
        <f aca="false">PROPER(TRIM(SUBSTITUTE(Raw_Data!F1705,"'","")))</f>
        <v>High School</v>
      </c>
      <c r="G1705" s="13" t="str">
        <f aca="false">PROPER(TRIM(Raw_Data!G1705))</f>
        <v>Customer Support</v>
      </c>
      <c r="H1705" s="13" t="str">
        <f aca="false">PROPER(TRIM(Raw_Data!H1705))</f>
        <v>Specialist</v>
      </c>
      <c r="I1705" s="13" t="n">
        <f aca="false">IF(Raw_Data!I1705="",DefaultPerf,Raw_Data!I1705)</f>
        <v>4</v>
      </c>
      <c r="J1705" s="13" t="n">
        <f aca="false">IF(Raw_Data!J1705="",DefaultSat,Raw_Data!J1705)</f>
        <v>4</v>
      </c>
      <c r="K1705" s="15" t="n">
        <f aca="false">Raw_Data!K1705</f>
        <v>108500</v>
      </c>
      <c r="L1705" s="13" t="str">
        <f aca="false">PROPER(TRIM(Raw_Data!N1705))</f>
        <v>No</v>
      </c>
      <c r="M1705" s="13" t="n">
        <f aca="false">IF(C1705="",0,1)</f>
        <v>0</v>
      </c>
      <c r="N1705" s="13" t="str">
        <f aca="false">IF(M1705=0,"Active",IF(TRIM(Raw_Data!L1705)="","Unknown",PROPER(TRIM(Raw_Data!L1705))))</f>
        <v>Active</v>
      </c>
      <c r="O1705" s="13" t="str">
        <f aca="false">IF(M1705=0,"",IF(TRIM(Raw_Data!M1705)="","Not Recorded",TRIM(Raw_Data!M1705)))</f>
        <v/>
      </c>
      <c r="P1705" s="16" t="n">
        <f aca="false">ROUND((IF(C1705="",AsOfDate,C1705)-B1705)/365.25,2)</f>
        <v>1.7</v>
      </c>
      <c r="Q1705" s="13" t="str">
        <f aca="false">IF(D1705="","Unknown",IF(D1705&lt;25,"Under 25",IF(D1705&lt;35,"25-34",IF(D1705&lt;45,"35-44",IF(D1705&lt;55,"45-54","55+")))))</f>
        <v>25-34</v>
      </c>
      <c r="R1705" s="13" t="str">
        <f aca="false">IF(P1705&lt;1,"0-1 yrs",IF(P1705&lt;3,"1-3 yrs",IF(P1705&lt;5,"3-5 yrs",IF(P1705&lt;10,"5-10 yrs","10+ yrs"))))</f>
        <v>1-3 yrs</v>
      </c>
      <c r="S1705" s="13" t="str">
        <f aca="false">IF(I1705&gt;=4,"High",IF(I1705=3,"Medium","Low"))</f>
        <v>High</v>
      </c>
      <c r="T1705" s="13" t="str">
        <f aca="false">IF(M1705=1,YEAR(C1705),"")</f>
        <v/>
      </c>
      <c r="U1705" s="13" t="str">
        <f aca="false">IF(M1705=1,YEAR(C1705)&amp;"-Q"&amp;ROUNDUP(MONTH(C1705)/3,0),"")</f>
        <v/>
      </c>
      <c r="V1705" s="13" t="str">
        <f aca="false">IF(M1705=1,MONTH(C1705),"")</f>
        <v/>
      </c>
    </row>
    <row r="1706" customFormat="false" ht="15" hidden="false" customHeight="false" outlineLevel="0" collapsed="false">
      <c r="A1706" s="13" t="str">
        <f aca="false">TRIM(Raw_Data!A1706)</f>
        <v>EMP1705</v>
      </c>
      <c r="B1706" s="14" t="n">
        <f aca="false">Raw_Data!B1706</f>
        <v>45404</v>
      </c>
      <c r="C1706" s="14" t="str">
        <f aca="false">IF(Raw_Data!C1706="","",Raw_Data!C1706)</f>
        <v/>
      </c>
      <c r="D1706" s="13" t="n">
        <f aca="false">IF(Raw_Data!D1706="","",Raw_Data!D1706)</f>
        <v>34</v>
      </c>
      <c r="E1706" s="13" t="str">
        <f aca="false">IF(UPPER(LEFT(TRIM(Raw_Data!E1706),1))="M","Male",IF(UPPER(LEFT(TRIM(Raw_Data!E1706),1))="F","Female","Unknown"))</f>
        <v>Male</v>
      </c>
      <c r="F1706" s="13" t="str">
        <f aca="false">PROPER(TRIM(SUBSTITUTE(Raw_Data!F1706,"'","")))</f>
        <v>Masters</v>
      </c>
      <c r="G1706" s="13" t="str">
        <f aca="false">PROPER(TRIM(Raw_Data!G1706))</f>
        <v>Engineering</v>
      </c>
      <c r="H1706" s="13" t="str">
        <f aca="false">PROPER(TRIM(Raw_Data!H1706))</f>
        <v>Associate</v>
      </c>
      <c r="I1706" s="13" t="n">
        <f aca="false">IF(Raw_Data!I1706="",DefaultPerf,Raw_Data!I1706)</f>
        <v>3</v>
      </c>
      <c r="J1706" s="13" t="n">
        <f aca="false">IF(Raw_Data!J1706="",DefaultSat,Raw_Data!J1706)</f>
        <v>3</v>
      </c>
      <c r="K1706" s="15" t="n">
        <f aca="false">Raw_Data!K1706</f>
        <v>41000</v>
      </c>
      <c r="L1706" s="13" t="str">
        <f aca="false">PROPER(TRIM(Raw_Data!N1706))</f>
        <v>No</v>
      </c>
      <c r="M1706" s="13" t="n">
        <f aca="false">IF(C1706="",0,1)</f>
        <v>0</v>
      </c>
      <c r="N1706" s="13" t="str">
        <f aca="false">IF(M1706=0,"Active",IF(TRIM(Raw_Data!L1706)="","Unknown",PROPER(TRIM(Raw_Data!L1706))))</f>
        <v>Active</v>
      </c>
      <c r="O1706" s="13" t="str">
        <f aca="false">IF(M1706=0,"",IF(TRIM(Raw_Data!M1706)="","Not Recorded",TRIM(Raw_Data!M1706)))</f>
        <v/>
      </c>
      <c r="P1706" s="16" t="n">
        <f aca="false">ROUND((IF(C1706="",AsOfDate,C1706)-B1706)/365.25,2)</f>
        <v>1.69</v>
      </c>
      <c r="Q1706" s="13" t="str">
        <f aca="false">IF(D1706="","Unknown",IF(D1706&lt;25,"Under 25",IF(D1706&lt;35,"25-34",IF(D1706&lt;45,"35-44",IF(D1706&lt;55,"45-54","55+")))))</f>
        <v>25-34</v>
      </c>
      <c r="R1706" s="13" t="str">
        <f aca="false">IF(P1706&lt;1,"0-1 yrs",IF(P1706&lt;3,"1-3 yrs",IF(P1706&lt;5,"3-5 yrs",IF(P1706&lt;10,"5-10 yrs","10+ yrs"))))</f>
        <v>1-3 yrs</v>
      </c>
      <c r="S1706" s="13" t="str">
        <f aca="false">IF(I1706&gt;=4,"High",IF(I1706=3,"Medium","Low"))</f>
        <v>Medium</v>
      </c>
      <c r="T1706" s="13" t="str">
        <f aca="false">IF(M1706=1,YEAR(C1706),"")</f>
        <v/>
      </c>
      <c r="U1706" s="13" t="str">
        <f aca="false">IF(M1706=1,YEAR(C1706)&amp;"-Q"&amp;ROUNDUP(MONTH(C1706)/3,0),"")</f>
        <v/>
      </c>
      <c r="V1706" s="13" t="str">
        <f aca="false">IF(M1706=1,MONTH(C1706),"")</f>
        <v/>
      </c>
    </row>
    <row r="1707" customFormat="false" ht="15" hidden="false" customHeight="false" outlineLevel="0" collapsed="false">
      <c r="A1707" s="13" t="str">
        <f aca="false">TRIM(Raw_Data!A1707)</f>
        <v>EMP1706</v>
      </c>
      <c r="B1707" s="14" t="n">
        <f aca="false">Raw_Data!B1707</f>
        <v>45408</v>
      </c>
      <c r="C1707" s="14" t="str">
        <f aca="false">IF(Raw_Data!C1707="","",Raw_Data!C1707)</f>
        <v/>
      </c>
      <c r="D1707" s="13" t="n">
        <f aca="false">IF(Raw_Data!D1707="","",Raw_Data!D1707)</f>
        <v>30</v>
      </c>
      <c r="E1707" s="13" t="str">
        <f aca="false">IF(UPPER(LEFT(TRIM(Raw_Data!E1707),1))="M","Male",IF(UPPER(LEFT(TRIM(Raw_Data!E1707),1))="F","Female","Unknown"))</f>
        <v>Male</v>
      </c>
      <c r="F1707" s="13" t="str">
        <f aca="false">PROPER(TRIM(SUBSTITUTE(Raw_Data!F1707,"'","")))</f>
        <v>Masters</v>
      </c>
      <c r="G1707" s="13" t="str">
        <f aca="false">PROPER(TRIM(Raw_Data!G1707))</f>
        <v>Customer Support</v>
      </c>
      <c r="H1707" s="13" t="str">
        <f aca="false">PROPER(TRIM(Raw_Data!H1707))</f>
        <v>Analyst</v>
      </c>
      <c r="I1707" s="13" t="n">
        <f aca="false">IF(Raw_Data!I1707="",DefaultPerf,Raw_Data!I1707)</f>
        <v>3</v>
      </c>
      <c r="J1707" s="13" t="n">
        <f aca="false">IF(Raw_Data!J1707="",DefaultSat,Raw_Data!J1707)</f>
        <v>3</v>
      </c>
      <c r="K1707" s="15" t="n">
        <f aca="false">Raw_Data!K1707</f>
        <v>53000</v>
      </c>
      <c r="L1707" s="13" t="str">
        <f aca="false">PROPER(TRIM(Raw_Data!N1707))</f>
        <v>No</v>
      </c>
      <c r="M1707" s="13" t="n">
        <f aca="false">IF(C1707="",0,1)</f>
        <v>0</v>
      </c>
      <c r="N1707" s="13" t="str">
        <f aca="false">IF(M1707=0,"Active",IF(TRIM(Raw_Data!L1707)="","Unknown",PROPER(TRIM(Raw_Data!L1707))))</f>
        <v>Active</v>
      </c>
      <c r="O1707" s="13" t="str">
        <f aca="false">IF(M1707=0,"",IF(TRIM(Raw_Data!M1707)="","Not Recorded",TRIM(Raw_Data!M1707)))</f>
        <v/>
      </c>
      <c r="P1707" s="16" t="n">
        <f aca="false">ROUND((IF(C1707="",AsOfDate,C1707)-B1707)/365.25,2)</f>
        <v>1.68</v>
      </c>
      <c r="Q1707" s="13" t="str">
        <f aca="false">IF(D1707="","Unknown",IF(D1707&lt;25,"Under 25",IF(D1707&lt;35,"25-34",IF(D1707&lt;45,"35-44",IF(D1707&lt;55,"45-54","55+")))))</f>
        <v>25-34</v>
      </c>
      <c r="R1707" s="13" t="str">
        <f aca="false">IF(P1707&lt;1,"0-1 yrs",IF(P1707&lt;3,"1-3 yrs",IF(P1707&lt;5,"3-5 yrs",IF(P1707&lt;10,"5-10 yrs","10+ yrs"))))</f>
        <v>1-3 yrs</v>
      </c>
      <c r="S1707" s="13" t="str">
        <f aca="false">IF(I1707&gt;=4,"High",IF(I1707=3,"Medium","Low"))</f>
        <v>Medium</v>
      </c>
      <c r="T1707" s="13" t="str">
        <f aca="false">IF(M1707=1,YEAR(C1707),"")</f>
        <v/>
      </c>
      <c r="U1707" s="13" t="str">
        <f aca="false">IF(M1707=1,YEAR(C1707)&amp;"-Q"&amp;ROUNDUP(MONTH(C1707)/3,0),"")</f>
        <v/>
      </c>
      <c r="V1707" s="13" t="str">
        <f aca="false">IF(M1707=1,MONTH(C1707),"")</f>
        <v/>
      </c>
    </row>
    <row r="1708" customFormat="false" ht="15" hidden="false" customHeight="false" outlineLevel="0" collapsed="false">
      <c r="A1708" s="13" t="str">
        <f aca="false">TRIM(Raw_Data!A1708)</f>
        <v>EMP1707</v>
      </c>
      <c r="B1708" s="14" t="n">
        <f aca="false">Raw_Data!B1708</f>
        <v>45410</v>
      </c>
      <c r="C1708" s="14" t="str">
        <f aca="false">IF(Raw_Data!C1708="","",Raw_Data!C1708)</f>
        <v/>
      </c>
      <c r="D1708" s="13" t="n">
        <f aca="false">IF(Raw_Data!D1708="","",Raw_Data!D1708)</f>
        <v>36</v>
      </c>
      <c r="E1708" s="13" t="str">
        <f aca="false">IF(UPPER(LEFT(TRIM(Raw_Data!E1708),1))="M","Male",IF(UPPER(LEFT(TRIM(Raw_Data!E1708),1))="F","Female","Unknown"))</f>
        <v>Female</v>
      </c>
      <c r="F1708" s="13" t="str">
        <f aca="false">PROPER(TRIM(SUBSTITUTE(Raw_Data!F1708,"'","")))</f>
        <v>Masters</v>
      </c>
      <c r="G1708" s="13" t="str">
        <f aca="false">PROPER(TRIM(Raw_Data!G1708))</f>
        <v>Operations</v>
      </c>
      <c r="H1708" s="13" t="str">
        <f aca="false">PROPER(TRIM(Raw_Data!H1708))</f>
        <v>Associate</v>
      </c>
      <c r="I1708" s="13" t="n">
        <f aca="false">IF(Raw_Data!I1708="",DefaultPerf,Raw_Data!I1708)</f>
        <v>3</v>
      </c>
      <c r="J1708" s="13" t="n">
        <f aca="false">IF(Raw_Data!J1708="",DefaultSat,Raw_Data!J1708)</f>
        <v>3</v>
      </c>
      <c r="K1708" s="15" t="n">
        <f aca="false">Raw_Data!K1708</f>
        <v>36500</v>
      </c>
      <c r="L1708" s="13" t="str">
        <f aca="false">PROPER(TRIM(Raw_Data!N1708))</f>
        <v>No</v>
      </c>
      <c r="M1708" s="13" t="n">
        <f aca="false">IF(C1708="",0,1)</f>
        <v>0</v>
      </c>
      <c r="N1708" s="13" t="str">
        <f aca="false">IF(M1708=0,"Active",IF(TRIM(Raw_Data!L1708)="","Unknown",PROPER(TRIM(Raw_Data!L1708))))</f>
        <v>Active</v>
      </c>
      <c r="O1708" s="13" t="str">
        <f aca="false">IF(M1708=0,"",IF(TRIM(Raw_Data!M1708)="","Not Recorded",TRIM(Raw_Data!M1708)))</f>
        <v/>
      </c>
      <c r="P1708" s="16" t="n">
        <f aca="false">ROUND((IF(C1708="",AsOfDate,C1708)-B1708)/365.25,2)</f>
        <v>1.68</v>
      </c>
      <c r="Q1708" s="13" t="str">
        <f aca="false">IF(D1708="","Unknown",IF(D1708&lt;25,"Under 25",IF(D1708&lt;35,"25-34",IF(D1708&lt;45,"35-44",IF(D1708&lt;55,"45-54","55+")))))</f>
        <v>35-44</v>
      </c>
      <c r="R1708" s="13" t="str">
        <f aca="false">IF(P1708&lt;1,"0-1 yrs",IF(P1708&lt;3,"1-3 yrs",IF(P1708&lt;5,"3-5 yrs",IF(P1708&lt;10,"5-10 yrs","10+ yrs"))))</f>
        <v>1-3 yrs</v>
      </c>
      <c r="S1708" s="13" t="str">
        <f aca="false">IF(I1708&gt;=4,"High",IF(I1708=3,"Medium","Low"))</f>
        <v>Medium</v>
      </c>
      <c r="T1708" s="13" t="str">
        <f aca="false">IF(M1708=1,YEAR(C1708),"")</f>
        <v/>
      </c>
      <c r="U1708" s="13" t="str">
        <f aca="false">IF(M1708=1,YEAR(C1708)&amp;"-Q"&amp;ROUNDUP(MONTH(C1708)/3,0),"")</f>
        <v/>
      </c>
      <c r="V1708" s="13" t="str">
        <f aca="false">IF(M1708=1,MONTH(C1708),"")</f>
        <v/>
      </c>
    </row>
    <row r="1709" customFormat="false" ht="15" hidden="false" customHeight="false" outlineLevel="0" collapsed="false">
      <c r="A1709" s="13" t="str">
        <f aca="false">TRIM(Raw_Data!A1709)</f>
        <v>EMP1708</v>
      </c>
      <c r="B1709" s="14" t="n">
        <f aca="false">Raw_Data!B1709</f>
        <v>45410</v>
      </c>
      <c r="C1709" s="14" t="n">
        <f aca="false">IF(Raw_Data!C1709="","",Raw_Data!C1709)</f>
        <v>45795</v>
      </c>
      <c r="D1709" s="13" t="n">
        <f aca="false">IF(Raw_Data!D1709="","",Raw_Data!D1709)</f>
        <v>32</v>
      </c>
      <c r="E1709" s="13" t="str">
        <f aca="false">IF(UPPER(LEFT(TRIM(Raw_Data!E1709),1))="M","Male",IF(UPPER(LEFT(TRIM(Raw_Data!E1709),1))="F","Female","Unknown"))</f>
        <v>Female</v>
      </c>
      <c r="F1709" s="13" t="str">
        <f aca="false">PROPER(TRIM(SUBSTITUTE(Raw_Data!F1709,"'","")))</f>
        <v>Bachelors</v>
      </c>
      <c r="G1709" s="13" t="str">
        <f aca="false">PROPER(TRIM(Raw_Data!G1709))</f>
        <v>Finance</v>
      </c>
      <c r="H1709" s="13" t="str">
        <f aca="false">PROPER(TRIM(Raw_Data!H1709))</f>
        <v>Specialist</v>
      </c>
      <c r="I1709" s="13" t="n">
        <f aca="false">IF(Raw_Data!I1709="",DefaultPerf,Raw_Data!I1709)</f>
        <v>3</v>
      </c>
      <c r="J1709" s="13" t="n">
        <f aca="false">IF(Raw_Data!J1709="",DefaultSat,Raw_Data!J1709)</f>
        <v>2</v>
      </c>
      <c r="K1709" s="15" t="n">
        <f aca="false">Raw_Data!K1709</f>
        <v>89500</v>
      </c>
      <c r="L1709" s="13" t="str">
        <f aca="false">PROPER(TRIM(Raw_Data!N1709))</f>
        <v>Yes</v>
      </c>
      <c r="M1709" s="13" t="n">
        <f aca="false">IF(C1709="",0,1)</f>
        <v>1</v>
      </c>
      <c r="N1709" s="13" t="str">
        <f aca="false">IF(M1709=0,"Active",IF(TRIM(Raw_Data!L1709)="","Unknown",PROPER(TRIM(Raw_Data!L1709))))</f>
        <v>Voluntary</v>
      </c>
      <c r="O1709" s="13" t="str">
        <f aca="false">IF(M1709=0,"",IF(TRIM(Raw_Data!M1709)="","Not Recorded",TRIM(Raw_Data!M1709)))</f>
        <v>Work-Life Balance</v>
      </c>
      <c r="P1709" s="16" t="n">
        <f aca="false">ROUND((IF(C1709="",AsOfDate,C1709)-B1709)/365.25,2)</f>
        <v>1.05</v>
      </c>
      <c r="Q1709" s="13" t="str">
        <f aca="false">IF(D1709="","Unknown",IF(D1709&lt;25,"Under 25",IF(D1709&lt;35,"25-34",IF(D1709&lt;45,"35-44",IF(D1709&lt;55,"45-54","55+")))))</f>
        <v>25-34</v>
      </c>
      <c r="R1709" s="13" t="str">
        <f aca="false">IF(P1709&lt;1,"0-1 yrs",IF(P1709&lt;3,"1-3 yrs",IF(P1709&lt;5,"3-5 yrs",IF(P1709&lt;10,"5-10 yrs","10+ yrs"))))</f>
        <v>1-3 yrs</v>
      </c>
      <c r="S1709" s="13" t="str">
        <f aca="false">IF(I1709&gt;=4,"High",IF(I1709=3,"Medium","Low"))</f>
        <v>Medium</v>
      </c>
      <c r="T1709" s="13" t="n">
        <f aca="false">IF(M1709=1,YEAR(C1709),"")</f>
        <v>2025</v>
      </c>
      <c r="U1709" s="13" t="str">
        <f aca="false">IF(M1709=1,YEAR(C1709)&amp;"-Q"&amp;ROUNDUP(MONTH(C1709)/3,0),"")</f>
        <v>2025-Q2</v>
      </c>
      <c r="V1709" s="13" t="n">
        <f aca="false">IF(M1709=1,MONTH(C1709),"")</f>
        <v>5</v>
      </c>
    </row>
    <row r="1710" customFormat="false" ht="15" hidden="false" customHeight="false" outlineLevel="0" collapsed="false">
      <c r="A1710" s="13" t="str">
        <f aca="false">TRIM(Raw_Data!A1710)</f>
        <v>EMP1709</v>
      </c>
      <c r="B1710" s="14" t="n">
        <f aca="false">Raw_Data!B1710</f>
        <v>45412</v>
      </c>
      <c r="C1710" s="14" t="str">
        <f aca="false">IF(Raw_Data!C1710="","",Raw_Data!C1710)</f>
        <v/>
      </c>
      <c r="D1710" s="13" t="n">
        <f aca="false">IF(Raw_Data!D1710="","",Raw_Data!D1710)</f>
        <v>26</v>
      </c>
      <c r="E1710" s="13" t="str">
        <f aca="false">IF(UPPER(LEFT(TRIM(Raw_Data!E1710),1))="M","Male",IF(UPPER(LEFT(TRIM(Raw_Data!E1710),1))="F","Female","Unknown"))</f>
        <v>Female</v>
      </c>
      <c r="F1710" s="13" t="str">
        <f aca="false">PROPER(TRIM(SUBSTITUTE(Raw_Data!F1710,"'","")))</f>
        <v>Masters</v>
      </c>
      <c r="G1710" s="13" t="str">
        <f aca="false">PROPER(TRIM(Raw_Data!G1710))</f>
        <v>Customer Support</v>
      </c>
      <c r="H1710" s="13" t="str">
        <f aca="false">PROPER(TRIM(Raw_Data!H1710))</f>
        <v>Senior Analyst</v>
      </c>
      <c r="I1710" s="13" t="n">
        <f aca="false">IF(Raw_Data!I1710="",DefaultPerf,Raw_Data!I1710)</f>
        <v>2</v>
      </c>
      <c r="J1710" s="13" t="n">
        <f aca="false">IF(Raw_Data!J1710="",DefaultSat,Raw_Data!J1710)</f>
        <v>3</v>
      </c>
      <c r="K1710" s="15" t="n">
        <f aca="false">Raw_Data!K1710</f>
        <v>89500</v>
      </c>
      <c r="L1710" s="13" t="str">
        <f aca="false">PROPER(TRIM(Raw_Data!N1710))</f>
        <v>No</v>
      </c>
      <c r="M1710" s="13" t="n">
        <f aca="false">IF(C1710="",0,1)</f>
        <v>0</v>
      </c>
      <c r="N1710" s="13" t="str">
        <f aca="false">IF(M1710=0,"Active",IF(TRIM(Raw_Data!L1710)="","Unknown",PROPER(TRIM(Raw_Data!L1710))))</f>
        <v>Active</v>
      </c>
      <c r="O1710" s="13" t="str">
        <f aca="false">IF(M1710=0,"",IF(TRIM(Raw_Data!M1710)="","Not Recorded",TRIM(Raw_Data!M1710)))</f>
        <v/>
      </c>
      <c r="P1710" s="16" t="n">
        <f aca="false">ROUND((IF(C1710="",AsOfDate,C1710)-B1710)/365.25,2)</f>
        <v>1.67</v>
      </c>
      <c r="Q1710" s="13" t="str">
        <f aca="false">IF(D1710="","Unknown",IF(D1710&lt;25,"Under 25",IF(D1710&lt;35,"25-34",IF(D1710&lt;45,"35-44",IF(D1710&lt;55,"45-54","55+")))))</f>
        <v>25-34</v>
      </c>
      <c r="R1710" s="13" t="str">
        <f aca="false">IF(P1710&lt;1,"0-1 yrs",IF(P1710&lt;3,"1-3 yrs",IF(P1710&lt;5,"3-5 yrs",IF(P1710&lt;10,"5-10 yrs","10+ yrs"))))</f>
        <v>1-3 yrs</v>
      </c>
      <c r="S1710" s="13" t="str">
        <f aca="false">IF(I1710&gt;=4,"High",IF(I1710=3,"Medium","Low"))</f>
        <v>Low</v>
      </c>
      <c r="T1710" s="13" t="str">
        <f aca="false">IF(M1710=1,YEAR(C1710),"")</f>
        <v/>
      </c>
      <c r="U1710" s="13" t="str">
        <f aca="false">IF(M1710=1,YEAR(C1710)&amp;"-Q"&amp;ROUNDUP(MONTH(C1710)/3,0),"")</f>
        <v/>
      </c>
      <c r="V1710" s="13" t="str">
        <f aca="false">IF(M1710=1,MONTH(C1710),"")</f>
        <v/>
      </c>
    </row>
    <row r="1711" customFormat="false" ht="15" hidden="false" customHeight="false" outlineLevel="0" collapsed="false">
      <c r="A1711" s="13" t="str">
        <f aca="false">TRIM(Raw_Data!A1711)</f>
        <v>EMP1710</v>
      </c>
      <c r="B1711" s="14" t="n">
        <f aca="false">Raw_Data!B1711</f>
        <v>45413</v>
      </c>
      <c r="C1711" s="14" t="str">
        <f aca="false">IF(Raw_Data!C1711="","",Raw_Data!C1711)</f>
        <v/>
      </c>
      <c r="D1711" s="13" t="n">
        <f aca="false">IF(Raw_Data!D1711="","",Raw_Data!D1711)</f>
        <v>29</v>
      </c>
      <c r="E1711" s="13" t="str">
        <f aca="false">IF(UPPER(LEFT(TRIM(Raw_Data!E1711),1))="M","Male",IF(UPPER(LEFT(TRIM(Raw_Data!E1711),1))="F","Female","Unknown"))</f>
        <v>Female</v>
      </c>
      <c r="F1711" s="13" t="str">
        <f aca="false">PROPER(TRIM(SUBSTITUTE(Raw_Data!F1711,"'","")))</f>
        <v>Bachelors</v>
      </c>
      <c r="G1711" s="13" t="str">
        <f aca="false">PROPER(TRIM(Raw_Data!G1711))</f>
        <v>Engineering</v>
      </c>
      <c r="H1711" s="13" t="str">
        <f aca="false">PROPER(TRIM(Raw_Data!H1711))</f>
        <v>Analyst</v>
      </c>
      <c r="I1711" s="13" t="n">
        <f aca="false">IF(Raw_Data!I1711="",DefaultPerf,Raw_Data!I1711)</f>
        <v>3</v>
      </c>
      <c r="J1711" s="13" t="n">
        <f aca="false">IF(Raw_Data!J1711="",DefaultSat,Raw_Data!J1711)</f>
        <v>2</v>
      </c>
      <c r="K1711" s="15" t="n">
        <f aca="false">Raw_Data!K1711</f>
        <v>53000</v>
      </c>
      <c r="L1711" s="13" t="str">
        <f aca="false">PROPER(TRIM(Raw_Data!N1711))</f>
        <v>No</v>
      </c>
      <c r="M1711" s="13" t="n">
        <f aca="false">IF(C1711="",0,1)</f>
        <v>0</v>
      </c>
      <c r="N1711" s="13" t="str">
        <f aca="false">IF(M1711=0,"Active",IF(TRIM(Raw_Data!L1711)="","Unknown",PROPER(TRIM(Raw_Data!L1711))))</f>
        <v>Active</v>
      </c>
      <c r="O1711" s="13" t="str">
        <f aca="false">IF(M1711=0,"",IF(TRIM(Raw_Data!M1711)="","Not Recorded",TRIM(Raw_Data!M1711)))</f>
        <v/>
      </c>
      <c r="P1711" s="16" t="n">
        <f aca="false">ROUND((IF(C1711="",AsOfDate,C1711)-B1711)/365.25,2)</f>
        <v>1.67</v>
      </c>
      <c r="Q1711" s="13" t="str">
        <f aca="false">IF(D1711="","Unknown",IF(D1711&lt;25,"Under 25",IF(D1711&lt;35,"25-34",IF(D1711&lt;45,"35-44",IF(D1711&lt;55,"45-54","55+")))))</f>
        <v>25-34</v>
      </c>
      <c r="R1711" s="13" t="str">
        <f aca="false">IF(P1711&lt;1,"0-1 yrs",IF(P1711&lt;3,"1-3 yrs",IF(P1711&lt;5,"3-5 yrs",IF(P1711&lt;10,"5-10 yrs","10+ yrs"))))</f>
        <v>1-3 yrs</v>
      </c>
      <c r="S1711" s="13" t="str">
        <f aca="false">IF(I1711&gt;=4,"High",IF(I1711=3,"Medium","Low"))</f>
        <v>Medium</v>
      </c>
      <c r="T1711" s="13" t="str">
        <f aca="false">IF(M1711=1,YEAR(C1711),"")</f>
        <v/>
      </c>
      <c r="U1711" s="13" t="str">
        <f aca="false">IF(M1711=1,YEAR(C1711)&amp;"-Q"&amp;ROUNDUP(MONTH(C1711)/3,0),"")</f>
        <v/>
      </c>
      <c r="V1711" s="13" t="str">
        <f aca="false">IF(M1711=1,MONTH(C1711),"")</f>
        <v/>
      </c>
    </row>
    <row r="1712" customFormat="false" ht="15" hidden="false" customHeight="false" outlineLevel="0" collapsed="false">
      <c r="A1712" s="13" t="str">
        <f aca="false">TRIM(Raw_Data!A1712)</f>
        <v>EMP1711</v>
      </c>
      <c r="B1712" s="14" t="n">
        <f aca="false">Raw_Data!B1712</f>
        <v>45417</v>
      </c>
      <c r="C1712" s="14" t="str">
        <f aca="false">IF(Raw_Data!C1712="","",Raw_Data!C1712)</f>
        <v/>
      </c>
      <c r="D1712" s="13" t="n">
        <f aca="false">IF(Raw_Data!D1712="","",Raw_Data!D1712)</f>
        <v>29</v>
      </c>
      <c r="E1712" s="13" t="str">
        <f aca="false">IF(UPPER(LEFT(TRIM(Raw_Data!E1712),1))="M","Male",IF(UPPER(LEFT(TRIM(Raw_Data!E1712),1))="F","Female","Unknown"))</f>
        <v>Male</v>
      </c>
      <c r="F1712" s="13" t="str">
        <f aca="false">PROPER(TRIM(SUBSTITUTE(Raw_Data!F1712,"'","")))</f>
        <v>Masters</v>
      </c>
      <c r="G1712" s="13" t="str">
        <f aca="false">PROPER(TRIM(Raw_Data!G1712))</f>
        <v>Sales</v>
      </c>
      <c r="H1712" s="13" t="str">
        <f aca="false">PROPER(TRIM(Raw_Data!H1712))</f>
        <v>Senior Analyst</v>
      </c>
      <c r="I1712" s="13" t="n">
        <f aca="false">IF(Raw_Data!I1712="",DefaultPerf,Raw_Data!I1712)</f>
        <v>2</v>
      </c>
      <c r="J1712" s="13" t="n">
        <f aca="false">IF(Raw_Data!J1712="",DefaultSat,Raw_Data!J1712)</f>
        <v>4</v>
      </c>
      <c r="K1712" s="15" t="n">
        <f aca="false">Raw_Data!K1712</f>
        <v>100000</v>
      </c>
      <c r="L1712" s="13" t="str">
        <f aca="false">PROPER(TRIM(Raw_Data!N1712))</f>
        <v>No</v>
      </c>
      <c r="M1712" s="13" t="n">
        <f aca="false">IF(C1712="",0,1)</f>
        <v>0</v>
      </c>
      <c r="N1712" s="13" t="str">
        <f aca="false">IF(M1712=0,"Active",IF(TRIM(Raw_Data!L1712)="","Unknown",PROPER(TRIM(Raw_Data!L1712))))</f>
        <v>Active</v>
      </c>
      <c r="O1712" s="13" t="str">
        <f aca="false">IF(M1712=0,"",IF(TRIM(Raw_Data!M1712)="","Not Recorded",TRIM(Raw_Data!M1712)))</f>
        <v/>
      </c>
      <c r="P1712" s="16" t="n">
        <f aca="false">ROUND((IF(C1712="",AsOfDate,C1712)-B1712)/365.25,2)</f>
        <v>1.66</v>
      </c>
      <c r="Q1712" s="13" t="str">
        <f aca="false">IF(D1712="","Unknown",IF(D1712&lt;25,"Under 25",IF(D1712&lt;35,"25-34",IF(D1712&lt;45,"35-44",IF(D1712&lt;55,"45-54","55+")))))</f>
        <v>25-34</v>
      </c>
      <c r="R1712" s="13" t="str">
        <f aca="false">IF(P1712&lt;1,"0-1 yrs",IF(P1712&lt;3,"1-3 yrs",IF(P1712&lt;5,"3-5 yrs",IF(P1712&lt;10,"5-10 yrs","10+ yrs"))))</f>
        <v>1-3 yrs</v>
      </c>
      <c r="S1712" s="13" t="str">
        <f aca="false">IF(I1712&gt;=4,"High",IF(I1712=3,"Medium","Low"))</f>
        <v>Low</v>
      </c>
      <c r="T1712" s="13" t="str">
        <f aca="false">IF(M1712=1,YEAR(C1712),"")</f>
        <v/>
      </c>
      <c r="U1712" s="13" t="str">
        <f aca="false">IF(M1712=1,YEAR(C1712)&amp;"-Q"&amp;ROUNDUP(MONTH(C1712)/3,0),"")</f>
        <v/>
      </c>
      <c r="V1712" s="13" t="str">
        <f aca="false">IF(M1712=1,MONTH(C1712),"")</f>
        <v/>
      </c>
    </row>
    <row r="1713" customFormat="false" ht="15" hidden="false" customHeight="false" outlineLevel="0" collapsed="false">
      <c r="A1713" s="13" t="str">
        <f aca="false">TRIM(Raw_Data!A1713)</f>
        <v>EMP1712</v>
      </c>
      <c r="B1713" s="14" t="n">
        <f aca="false">Raw_Data!B1713</f>
        <v>45417</v>
      </c>
      <c r="C1713" s="14" t="str">
        <f aca="false">IF(Raw_Data!C1713="","",Raw_Data!C1713)</f>
        <v/>
      </c>
      <c r="D1713" s="13" t="n">
        <f aca="false">IF(Raw_Data!D1713="","",Raw_Data!D1713)</f>
        <v>33</v>
      </c>
      <c r="E1713" s="13" t="str">
        <f aca="false">IF(UPPER(LEFT(TRIM(Raw_Data!E1713),1))="M","Male",IF(UPPER(LEFT(TRIM(Raw_Data!E1713),1))="F","Female","Unknown"))</f>
        <v>Female</v>
      </c>
      <c r="F1713" s="13" t="str">
        <f aca="false">PROPER(TRIM(SUBSTITUTE(Raw_Data!F1713,"'","")))</f>
        <v>Masters</v>
      </c>
      <c r="G1713" s="13" t="str">
        <f aca="false">PROPER(TRIM(Raw_Data!G1713))</f>
        <v>Engineering</v>
      </c>
      <c r="H1713" s="13" t="str">
        <f aca="false">PROPER(TRIM(Raw_Data!H1713))</f>
        <v>Specialist</v>
      </c>
      <c r="I1713" s="13" t="n">
        <f aca="false">IF(Raw_Data!I1713="",DefaultPerf,Raw_Data!I1713)</f>
        <v>4</v>
      </c>
      <c r="J1713" s="13" t="n">
        <f aca="false">IF(Raw_Data!J1713="",DefaultSat,Raw_Data!J1713)</f>
        <v>4</v>
      </c>
      <c r="K1713" s="15" t="n">
        <f aca="false">Raw_Data!K1713</f>
        <v>91000</v>
      </c>
      <c r="L1713" s="13" t="str">
        <f aca="false">PROPER(TRIM(Raw_Data!N1713))</f>
        <v>No</v>
      </c>
      <c r="M1713" s="13" t="n">
        <f aca="false">IF(C1713="",0,1)</f>
        <v>0</v>
      </c>
      <c r="N1713" s="13" t="str">
        <f aca="false">IF(M1713=0,"Active",IF(TRIM(Raw_Data!L1713)="","Unknown",PROPER(TRIM(Raw_Data!L1713))))</f>
        <v>Active</v>
      </c>
      <c r="O1713" s="13" t="str">
        <f aca="false">IF(M1713=0,"",IF(TRIM(Raw_Data!M1713)="","Not Recorded",TRIM(Raw_Data!M1713)))</f>
        <v/>
      </c>
      <c r="P1713" s="16" t="n">
        <f aca="false">ROUND((IF(C1713="",AsOfDate,C1713)-B1713)/365.25,2)</f>
        <v>1.66</v>
      </c>
      <c r="Q1713" s="13" t="str">
        <f aca="false">IF(D1713="","Unknown",IF(D1713&lt;25,"Under 25",IF(D1713&lt;35,"25-34",IF(D1713&lt;45,"35-44",IF(D1713&lt;55,"45-54","55+")))))</f>
        <v>25-34</v>
      </c>
      <c r="R1713" s="13" t="str">
        <f aca="false">IF(P1713&lt;1,"0-1 yrs",IF(P1713&lt;3,"1-3 yrs",IF(P1713&lt;5,"3-5 yrs",IF(P1713&lt;10,"5-10 yrs","10+ yrs"))))</f>
        <v>1-3 yrs</v>
      </c>
      <c r="S1713" s="13" t="str">
        <f aca="false">IF(I1713&gt;=4,"High",IF(I1713=3,"Medium","Low"))</f>
        <v>High</v>
      </c>
      <c r="T1713" s="13" t="str">
        <f aca="false">IF(M1713=1,YEAR(C1713),"")</f>
        <v/>
      </c>
      <c r="U1713" s="13" t="str">
        <f aca="false">IF(M1713=1,YEAR(C1713)&amp;"-Q"&amp;ROUNDUP(MONTH(C1713)/3,0),"")</f>
        <v/>
      </c>
      <c r="V1713" s="13" t="str">
        <f aca="false">IF(M1713=1,MONTH(C1713),"")</f>
        <v/>
      </c>
    </row>
    <row r="1714" customFormat="false" ht="15" hidden="false" customHeight="false" outlineLevel="0" collapsed="false">
      <c r="A1714" s="13" t="str">
        <f aca="false">TRIM(Raw_Data!A1714)</f>
        <v>EMP1713</v>
      </c>
      <c r="B1714" s="14" t="n">
        <f aca="false">Raw_Data!B1714</f>
        <v>45419</v>
      </c>
      <c r="C1714" s="14" t="str">
        <f aca="false">IF(Raw_Data!C1714="","",Raw_Data!C1714)</f>
        <v/>
      </c>
      <c r="D1714" s="13" t="n">
        <f aca="false">IF(Raw_Data!D1714="","",Raw_Data!D1714)</f>
        <v>31</v>
      </c>
      <c r="E1714" s="13" t="str">
        <f aca="false">IF(UPPER(LEFT(TRIM(Raw_Data!E1714),1))="M","Male",IF(UPPER(LEFT(TRIM(Raw_Data!E1714),1))="F","Female","Unknown"))</f>
        <v>Male</v>
      </c>
      <c r="F1714" s="13" t="str">
        <f aca="false">PROPER(TRIM(SUBSTITUTE(Raw_Data!F1714,"'","")))</f>
        <v>Masters</v>
      </c>
      <c r="G1714" s="13" t="str">
        <f aca="false">PROPER(TRIM(Raw_Data!G1714))</f>
        <v>Engineering</v>
      </c>
      <c r="H1714" s="13" t="str">
        <f aca="false">PROPER(TRIM(Raw_Data!H1714))</f>
        <v>Associate</v>
      </c>
      <c r="I1714" s="13" t="n">
        <f aca="false">IF(Raw_Data!I1714="",DefaultPerf,Raw_Data!I1714)</f>
        <v>3</v>
      </c>
      <c r="J1714" s="13" t="n">
        <f aca="false">IF(Raw_Data!J1714="",DefaultSat,Raw_Data!J1714)</f>
        <v>2</v>
      </c>
      <c r="K1714" s="15" t="n">
        <f aca="false">Raw_Data!K1714</f>
        <v>39000</v>
      </c>
      <c r="L1714" s="13" t="str">
        <f aca="false">PROPER(TRIM(Raw_Data!N1714))</f>
        <v>No</v>
      </c>
      <c r="M1714" s="13" t="n">
        <f aca="false">IF(C1714="",0,1)</f>
        <v>0</v>
      </c>
      <c r="N1714" s="13" t="str">
        <f aca="false">IF(M1714=0,"Active",IF(TRIM(Raw_Data!L1714)="","Unknown",PROPER(TRIM(Raw_Data!L1714))))</f>
        <v>Active</v>
      </c>
      <c r="O1714" s="13" t="str">
        <f aca="false">IF(M1714=0,"",IF(TRIM(Raw_Data!M1714)="","Not Recorded",TRIM(Raw_Data!M1714)))</f>
        <v/>
      </c>
      <c r="P1714" s="16" t="n">
        <f aca="false">ROUND((IF(C1714="",AsOfDate,C1714)-B1714)/365.25,2)</f>
        <v>1.65</v>
      </c>
      <c r="Q1714" s="13" t="str">
        <f aca="false">IF(D1714="","Unknown",IF(D1714&lt;25,"Under 25",IF(D1714&lt;35,"25-34",IF(D1714&lt;45,"35-44",IF(D1714&lt;55,"45-54","55+")))))</f>
        <v>25-34</v>
      </c>
      <c r="R1714" s="13" t="str">
        <f aca="false">IF(P1714&lt;1,"0-1 yrs",IF(P1714&lt;3,"1-3 yrs",IF(P1714&lt;5,"3-5 yrs",IF(P1714&lt;10,"5-10 yrs","10+ yrs"))))</f>
        <v>1-3 yrs</v>
      </c>
      <c r="S1714" s="13" t="str">
        <f aca="false">IF(I1714&gt;=4,"High",IF(I1714=3,"Medium","Low"))</f>
        <v>Medium</v>
      </c>
      <c r="T1714" s="13" t="str">
        <f aca="false">IF(M1714=1,YEAR(C1714),"")</f>
        <v/>
      </c>
      <c r="U1714" s="13" t="str">
        <f aca="false">IF(M1714=1,YEAR(C1714)&amp;"-Q"&amp;ROUNDUP(MONTH(C1714)/3,0),"")</f>
        <v/>
      </c>
      <c r="V1714" s="13" t="str">
        <f aca="false">IF(M1714=1,MONTH(C1714),"")</f>
        <v/>
      </c>
    </row>
    <row r="1715" customFormat="false" ht="15" hidden="false" customHeight="false" outlineLevel="0" collapsed="false">
      <c r="A1715" s="13" t="str">
        <f aca="false">TRIM(Raw_Data!A1715)</f>
        <v>EMP1714</v>
      </c>
      <c r="B1715" s="14" t="n">
        <f aca="false">Raw_Data!B1715</f>
        <v>45419</v>
      </c>
      <c r="C1715" s="14" t="n">
        <f aca="false">IF(Raw_Data!C1715="","",Raw_Data!C1715)</f>
        <v>45789</v>
      </c>
      <c r="D1715" s="13" t="n">
        <f aca="false">IF(Raw_Data!D1715="","",Raw_Data!D1715)</f>
        <v>30</v>
      </c>
      <c r="E1715" s="13" t="str">
        <f aca="false">IF(UPPER(LEFT(TRIM(Raw_Data!E1715),1))="M","Male",IF(UPPER(LEFT(TRIM(Raw_Data!E1715),1))="F","Female","Unknown"))</f>
        <v>Female</v>
      </c>
      <c r="F1715" s="13" t="str">
        <f aca="false">PROPER(TRIM(SUBSTITUTE(Raw_Data!F1715,"'","")))</f>
        <v>Bachelors</v>
      </c>
      <c r="G1715" s="13" t="str">
        <f aca="false">PROPER(TRIM(Raw_Data!G1715))</f>
        <v>Finance</v>
      </c>
      <c r="H1715" s="13" t="str">
        <f aca="false">PROPER(TRIM(Raw_Data!H1715))</f>
        <v>Analyst</v>
      </c>
      <c r="I1715" s="13" t="n">
        <f aca="false">IF(Raw_Data!I1715="",DefaultPerf,Raw_Data!I1715)</f>
        <v>2</v>
      </c>
      <c r="J1715" s="13" t="n">
        <f aca="false">IF(Raw_Data!J1715="",DefaultSat,Raw_Data!J1715)</f>
        <v>3</v>
      </c>
      <c r="K1715" s="15" t="n">
        <f aca="false">Raw_Data!K1715</f>
        <v>57000</v>
      </c>
      <c r="L1715" s="13" t="str">
        <f aca="false">PROPER(TRIM(Raw_Data!N1715))</f>
        <v>Yes</v>
      </c>
      <c r="M1715" s="13" t="n">
        <f aca="false">IF(C1715="",0,1)</f>
        <v>1</v>
      </c>
      <c r="N1715" s="13" t="str">
        <f aca="false">IF(M1715=0,"Active",IF(TRIM(Raw_Data!L1715)="","Unknown",PROPER(TRIM(Raw_Data!L1715))))</f>
        <v>Involuntary</v>
      </c>
      <c r="O1715" s="13" t="str">
        <f aca="false">IF(M1715=0,"",IF(TRIM(Raw_Data!M1715)="","Not Recorded",TRIM(Raw_Data!M1715)))</f>
        <v>End of Contract</v>
      </c>
      <c r="P1715" s="16" t="n">
        <f aca="false">ROUND((IF(C1715="",AsOfDate,C1715)-B1715)/365.25,2)</f>
        <v>1.01</v>
      </c>
      <c r="Q1715" s="13" t="str">
        <f aca="false">IF(D1715="","Unknown",IF(D1715&lt;25,"Under 25",IF(D1715&lt;35,"25-34",IF(D1715&lt;45,"35-44",IF(D1715&lt;55,"45-54","55+")))))</f>
        <v>25-34</v>
      </c>
      <c r="R1715" s="13" t="str">
        <f aca="false">IF(P1715&lt;1,"0-1 yrs",IF(P1715&lt;3,"1-3 yrs",IF(P1715&lt;5,"3-5 yrs",IF(P1715&lt;10,"5-10 yrs","10+ yrs"))))</f>
        <v>1-3 yrs</v>
      </c>
      <c r="S1715" s="13" t="str">
        <f aca="false">IF(I1715&gt;=4,"High",IF(I1715=3,"Medium","Low"))</f>
        <v>Low</v>
      </c>
      <c r="T1715" s="13" t="n">
        <f aca="false">IF(M1715=1,YEAR(C1715),"")</f>
        <v>2025</v>
      </c>
      <c r="U1715" s="13" t="str">
        <f aca="false">IF(M1715=1,YEAR(C1715)&amp;"-Q"&amp;ROUNDUP(MONTH(C1715)/3,0),"")</f>
        <v>2025-Q2</v>
      </c>
      <c r="V1715" s="13" t="n">
        <f aca="false">IF(M1715=1,MONTH(C1715),"")</f>
        <v>5</v>
      </c>
    </row>
    <row r="1716" customFormat="false" ht="15" hidden="false" customHeight="false" outlineLevel="0" collapsed="false">
      <c r="A1716" s="13" t="str">
        <f aca="false">TRIM(Raw_Data!A1716)</f>
        <v>EMP1715</v>
      </c>
      <c r="B1716" s="14" t="n">
        <f aca="false">Raw_Data!B1716</f>
        <v>45422</v>
      </c>
      <c r="C1716" s="14" t="str">
        <f aca="false">IF(Raw_Data!C1716="","",Raw_Data!C1716)</f>
        <v/>
      </c>
      <c r="D1716" s="13" t="n">
        <f aca="false">IF(Raw_Data!D1716="","",Raw_Data!D1716)</f>
        <v>25</v>
      </c>
      <c r="E1716" s="13" t="str">
        <f aca="false">IF(UPPER(LEFT(TRIM(Raw_Data!E1716),1))="M","Male",IF(UPPER(LEFT(TRIM(Raw_Data!E1716),1))="F","Female","Unknown"))</f>
        <v>Female</v>
      </c>
      <c r="F1716" s="13" t="str">
        <f aca="false">PROPER(TRIM(SUBSTITUTE(Raw_Data!F1716,"'","")))</f>
        <v>Bachelors</v>
      </c>
      <c r="G1716" s="13" t="str">
        <f aca="false">PROPER(TRIM(Raw_Data!G1716))</f>
        <v>Operations</v>
      </c>
      <c r="H1716" s="13" t="str">
        <f aca="false">PROPER(TRIM(Raw_Data!H1716))</f>
        <v>Analyst</v>
      </c>
      <c r="I1716" s="13" t="n">
        <f aca="false">IF(Raw_Data!I1716="",DefaultPerf,Raw_Data!I1716)</f>
        <v>1</v>
      </c>
      <c r="J1716" s="13" t="n">
        <f aca="false">IF(Raw_Data!J1716="",DefaultSat,Raw_Data!J1716)</f>
        <v>3</v>
      </c>
      <c r="K1716" s="15" t="n">
        <f aca="false">Raw_Data!K1716</f>
        <v>54000</v>
      </c>
      <c r="L1716" s="13" t="str">
        <f aca="false">PROPER(TRIM(Raw_Data!N1716))</f>
        <v>No</v>
      </c>
      <c r="M1716" s="13" t="n">
        <f aca="false">IF(C1716="",0,1)</f>
        <v>0</v>
      </c>
      <c r="N1716" s="13" t="str">
        <f aca="false">IF(M1716=0,"Active",IF(TRIM(Raw_Data!L1716)="","Unknown",PROPER(TRIM(Raw_Data!L1716))))</f>
        <v>Active</v>
      </c>
      <c r="O1716" s="13" t="str">
        <f aca="false">IF(M1716=0,"",IF(TRIM(Raw_Data!M1716)="","Not Recorded",TRIM(Raw_Data!M1716)))</f>
        <v/>
      </c>
      <c r="P1716" s="16" t="n">
        <f aca="false">ROUND((IF(C1716="",AsOfDate,C1716)-B1716)/365.25,2)</f>
        <v>1.64</v>
      </c>
      <c r="Q1716" s="13" t="str">
        <f aca="false">IF(D1716="","Unknown",IF(D1716&lt;25,"Under 25",IF(D1716&lt;35,"25-34",IF(D1716&lt;45,"35-44",IF(D1716&lt;55,"45-54","55+")))))</f>
        <v>25-34</v>
      </c>
      <c r="R1716" s="13" t="str">
        <f aca="false">IF(P1716&lt;1,"0-1 yrs",IF(P1716&lt;3,"1-3 yrs",IF(P1716&lt;5,"3-5 yrs",IF(P1716&lt;10,"5-10 yrs","10+ yrs"))))</f>
        <v>1-3 yrs</v>
      </c>
      <c r="S1716" s="13" t="str">
        <f aca="false">IF(I1716&gt;=4,"High",IF(I1716=3,"Medium","Low"))</f>
        <v>Low</v>
      </c>
      <c r="T1716" s="13" t="str">
        <f aca="false">IF(M1716=1,YEAR(C1716),"")</f>
        <v/>
      </c>
      <c r="U1716" s="13" t="str">
        <f aca="false">IF(M1716=1,YEAR(C1716)&amp;"-Q"&amp;ROUNDUP(MONTH(C1716)/3,0),"")</f>
        <v/>
      </c>
      <c r="V1716" s="13" t="str">
        <f aca="false">IF(M1716=1,MONTH(C1716),"")</f>
        <v/>
      </c>
    </row>
    <row r="1717" customFormat="false" ht="15" hidden="false" customHeight="false" outlineLevel="0" collapsed="false">
      <c r="A1717" s="13" t="str">
        <f aca="false">TRIM(Raw_Data!A1717)</f>
        <v>EMP1716</v>
      </c>
      <c r="B1717" s="14" t="n">
        <f aca="false">Raw_Data!B1717</f>
        <v>45423</v>
      </c>
      <c r="C1717" s="14" t="str">
        <f aca="false">IF(Raw_Data!C1717="","",Raw_Data!C1717)</f>
        <v/>
      </c>
      <c r="D1717" s="13" t="n">
        <f aca="false">IF(Raw_Data!D1717="","",Raw_Data!D1717)</f>
        <v>33</v>
      </c>
      <c r="E1717" s="13" t="str">
        <f aca="false">IF(UPPER(LEFT(TRIM(Raw_Data!E1717),1))="M","Male",IF(UPPER(LEFT(TRIM(Raw_Data!E1717),1))="F","Female","Unknown"))</f>
        <v>Male</v>
      </c>
      <c r="F1717" s="13" t="str">
        <f aca="false">PROPER(TRIM(SUBSTITUTE(Raw_Data!F1717,"'","")))</f>
        <v>Masters</v>
      </c>
      <c r="G1717" s="13" t="str">
        <f aca="false">PROPER(TRIM(Raw_Data!G1717))</f>
        <v>Operations</v>
      </c>
      <c r="H1717" s="13" t="str">
        <f aca="false">PROPER(TRIM(Raw_Data!H1717))</f>
        <v>Senior Analyst</v>
      </c>
      <c r="I1717" s="13" t="n">
        <f aca="false">IF(Raw_Data!I1717="",DefaultPerf,Raw_Data!I1717)</f>
        <v>5</v>
      </c>
      <c r="J1717" s="13" t="n">
        <f aca="false">IF(Raw_Data!J1717="",DefaultSat,Raw_Data!J1717)</f>
        <v>3</v>
      </c>
      <c r="K1717" s="15" t="n">
        <f aca="false">Raw_Data!K1717</f>
        <v>80500</v>
      </c>
      <c r="L1717" s="13" t="str">
        <f aca="false">PROPER(TRIM(Raw_Data!N1717))</f>
        <v>Yes</v>
      </c>
      <c r="M1717" s="13" t="n">
        <f aca="false">IF(C1717="",0,1)</f>
        <v>0</v>
      </c>
      <c r="N1717" s="13" t="str">
        <f aca="false">IF(M1717=0,"Active",IF(TRIM(Raw_Data!L1717)="","Unknown",PROPER(TRIM(Raw_Data!L1717))))</f>
        <v>Active</v>
      </c>
      <c r="O1717" s="13" t="str">
        <f aca="false">IF(M1717=0,"",IF(TRIM(Raw_Data!M1717)="","Not Recorded",TRIM(Raw_Data!M1717)))</f>
        <v/>
      </c>
      <c r="P1717" s="16" t="n">
        <f aca="false">ROUND((IF(C1717="",AsOfDate,C1717)-B1717)/365.25,2)</f>
        <v>1.64</v>
      </c>
      <c r="Q1717" s="13" t="str">
        <f aca="false">IF(D1717="","Unknown",IF(D1717&lt;25,"Under 25",IF(D1717&lt;35,"25-34",IF(D1717&lt;45,"35-44",IF(D1717&lt;55,"45-54","55+")))))</f>
        <v>25-34</v>
      </c>
      <c r="R1717" s="13" t="str">
        <f aca="false">IF(P1717&lt;1,"0-1 yrs",IF(P1717&lt;3,"1-3 yrs",IF(P1717&lt;5,"3-5 yrs",IF(P1717&lt;10,"5-10 yrs","10+ yrs"))))</f>
        <v>1-3 yrs</v>
      </c>
      <c r="S1717" s="13" t="str">
        <f aca="false">IF(I1717&gt;=4,"High",IF(I1717=3,"Medium","Low"))</f>
        <v>High</v>
      </c>
      <c r="T1717" s="13" t="str">
        <f aca="false">IF(M1717=1,YEAR(C1717),"")</f>
        <v/>
      </c>
      <c r="U1717" s="13" t="str">
        <f aca="false">IF(M1717=1,YEAR(C1717)&amp;"-Q"&amp;ROUNDUP(MONTH(C1717)/3,0),"")</f>
        <v/>
      </c>
      <c r="V1717" s="13" t="str">
        <f aca="false">IF(M1717=1,MONTH(C1717),"")</f>
        <v/>
      </c>
    </row>
    <row r="1718" customFormat="false" ht="15" hidden="false" customHeight="false" outlineLevel="0" collapsed="false">
      <c r="A1718" s="13" t="str">
        <f aca="false">TRIM(Raw_Data!A1718)</f>
        <v>EMP1717</v>
      </c>
      <c r="B1718" s="14" t="n">
        <f aca="false">Raw_Data!B1718</f>
        <v>45426</v>
      </c>
      <c r="C1718" s="14" t="str">
        <f aca="false">IF(Raw_Data!C1718="","",Raw_Data!C1718)</f>
        <v/>
      </c>
      <c r="D1718" s="13" t="n">
        <f aca="false">IF(Raw_Data!D1718="","",Raw_Data!D1718)</f>
        <v>29</v>
      </c>
      <c r="E1718" s="13" t="str">
        <f aca="false">IF(UPPER(LEFT(TRIM(Raw_Data!E1718),1))="M","Male",IF(UPPER(LEFT(TRIM(Raw_Data!E1718),1))="F","Female","Unknown"))</f>
        <v>Male</v>
      </c>
      <c r="F1718" s="13" t="str">
        <f aca="false">PROPER(TRIM(SUBSTITUTE(Raw_Data!F1718,"'","")))</f>
        <v>Bachelors</v>
      </c>
      <c r="G1718" s="13" t="str">
        <f aca="false">PROPER(TRIM(Raw_Data!G1718))</f>
        <v>Engineering</v>
      </c>
      <c r="H1718" s="13" t="str">
        <f aca="false">PROPER(TRIM(Raw_Data!H1718))</f>
        <v>Associate</v>
      </c>
      <c r="I1718" s="13" t="n">
        <f aca="false">IF(Raw_Data!I1718="",DefaultPerf,Raw_Data!I1718)</f>
        <v>3</v>
      </c>
      <c r="J1718" s="13" t="n">
        <f aca="false">IF(Raw_Data!J1718="",DefaultSat,Raw_Data!J1718)</f>
        <v>4</v>
      </c>
      <c r="K1718" s="15" t="n">
        <f aca="false">Raw_Data!K1718</f>
        <v>44500</v>
      </c>
      <c r="L1718" s="13" t="str">
        <f aca="false">PROPER(TRIM(Raw_Data!N1718))</f>
        <v>No</v>
      </c>
      <c r="M1718" s="13" t="n">
        <f aca="false">IF(C1718="",0,1)</f>
        <v>0</v>
      </c>
      <c r="N1718" s="13" t="str">
        <f aca="false">IF(M1718=0,"Active",IF(TRIM(Raw_Data!L1718)="","Unknown",PROPER(TRIM(Raw_Data!L1718))))</f>
        <v>Active</v>
      </c>
      <c r="O1718" s="13" t="str">
        <f aca="false">IF(M1718=0,"",IF(TRIM(Raw_Data!M1718)="","Not Recorded",TRIM(Raw_Data!M1718)))</f>
        <v/>
      </c>
      <c r="P1718" s="16" t="n">
        <f aca="false">ROUND((IF(C1718="",AsOfDate,C1718)-B1718)/365.25,2)</f>
        <v>1.63</v>
      </c>
      <c r="Q1718" s="13" t="str">
        <f aca="false">IF(D1718="","Unknown",IF(D1718&lt;25,"Under 25",IF(D1718&lt;35,"25-34",IF(D1718&lt;45,"35-44",IF(D1718&lt;55,"45-54","55+")))))</f>
        <v>25-34</v>
      </c>
      <c r="R1718" s="13" t="str">
        <f aca="false">IF(P1718&lt;1,"0-1 yrs",IF(P1718&lt;3,"1-3 yrs",IF(P1718&lt;5,"3-5 yrs",IF(P1718&lt;10,"5-10 yrs","10+ yrs"))))</f>
        <v>1-3 yrs</v>
      </c>
      <c r="S1718" s="13" t="str">
        <f aca="false">IF(I1718&gt;=4,"High",IF(I1718=3,"Medium","Low"))</f>
        <v>Medium</v>
      </c>
      <c r="T1718" s="13" t="str">
        <f aca="false">IF(M1718=1,YEAR(C1718),"")</f>
        <v/>
      </c>
      <c r="U1718" s="13" t="str">
        <f aca="false">IF(M1718=1,YEAR(C1718)&amp;"-Q"&amp;ROUNDUP(MONTH(C1718)/3,0),"")</f>
        <v/>
      </c>
      <c r="V1718" s="13" t="str">
        <f aca="false">IF(M1718=1,MONTH(C1718),"")</f>
        <v/>
      </c>
    </row>
    <row r="1719" customFormat="false" ht="15" hidden="false" customHeight="false" outlineLevel="0" collapsed="false">
      <c r="A1719" s="13" t="str">
        <f aca="false">TRIM(Raw_Data!A1719)</f>
        <v>EMP1718</v>
      </c>
      <c r="B1719" s="14" t="n">
        <f aca="false">Raw_Data!B1719</f>
        <v>45427</v>
      </c>
      <c r="C1719" s="14" t="str">
        <f aca="false">IF(Raw_Data!C1719="","",Raw_Data!C1719)</f>
        <v/>
      </c>
      <c r="D1719" s="13" t="n">
        <f aca="false">IF(Raw_Data!D1719="","",Raw_Data!D1719)</f>
        <v>28</v>
      </c>
      <c r="E1719" s="13" t="str">
        <f aca="false">IF(UPPER(LEFT(TRIM(Raw_Data!E1719),1))="M","Male",IF(UPPER(LEFT(TRIM(Raw_Data!E1719),1))="F","Female","Unknown"))</f>
        <v>Male</v>
      </c>
      <c r="F1719" s="13" t="str">
        <f aca="false">PROPER(TRIM(SUBSTITUTE(Raw_Data!F1719,"'","")))</f>
        <v>Bachelors</v>
      </c>
      <c r="G1719" s="13" t="str">
        <f aca="false">PROPER(TRIM(Raw_Data!G1719))</f>
        <v>Engineering</v>
      </c>
      <c r="H1719" s="13" t="str">
        <f aca="false">PROPER(TRIM(Raw_Data!H1719))</f>
        <v>Analyst</v>
      </c>
      <c r="I1719" s="13" t="n">
        <f aca="false">IF(Raw_Data!I1719="",DefaultPerf,Raw_Data!I1719)</f>
        <v>2</v>
      </c>
      <c r="J1719" s="13" t="n">
        <f aca="false">IF(Raw_Data!J1719="",DefaultSat,Raw_Data!J1719)</f>
        <v>4</v>
      </c>
      <c r="K1719" s="15" t="n">
        <f aca="false">Raw_Data!K1719</f>
        <v>51500</v>
      </c>
      <c r="L1719" s="13" t="str">
        <f aca="false">PROPER(TRIM(Raw_Data!N1719))</f>
        <v>No</v>
      </c>
      <c r="M1719" s="13" t="n">
        <f aca="false">IF(C1719="",0,1)</f>
        <v>0</v>
      </c>
      <c r="N1719" s="13" t="str">
        <f aca="false">IF(M1719=0,"Active",IF(TRIM(Raw_Data!L1719)="","Unknown",PROPER(TRIM(Raw_Data!L1719))))</f>
        <v>Active</v>
      </c>
      <c r="O1719" s="13" t="str">
        <f aca="false">IF(M1719=0,"",IF(TRIM(Raw_Data!M1719)="","Not Recorded",TRIM(Raw_Data!M1719)))</f>
        <v/>
      </c>
      <c r="P1719" s="16" t="n">
        <f aca="false">ROUND((IF(C1719="",AsOfDate,C1719)-B1719)/365.25,2)</f>
        <v>1.63</v>
      </c>
      <c r="Q1719" s="13" t="str">
        <f aca="false">IF(D1719="","Unknown",IF(D1719&lt;25,"Under 25",IF(D1719&lt;35,"25-34",IF(D1719&lt;45,"35-44",IF(D1719&lt;55,"45-54","55+")))))</f>
        <v>25-34</v>
      </c>
      <c r="R1719" s="13" t="str">
        <f aca="false">IF(P1719&lt;1,"0-1 yrs",IF(P1719&lt;3,"1-3 yrs",IF(P1719&lt;5,"3-5 yrs",IF(P1719&lt;10,"5-10 yrs","10+ yrs"))))</f>
        <v>1-3 yrs</v>
      </c>
      <c r="S1719" s="13" t="str">
        <f aca="false">IF(I1719&gt;=4,"High",IF(I1719=3,"Medium","Low"))</f>
        <v>Low</v>
      </c>
      <c r="T1719" s="13" t="str">
        <f aca="false">IF(M1719=1,YEAR(C1719),"")</f>
        <v/>
      </c>
      <c r="U1719" s="13" t="str">
        <f aca="false">IF(M1719=1,YEAR(C1719)&amp;"-Q"&amp;ROUNDUP(MONTH(C1719)/3,0),"")</f>
        <v/>
      </c>
      <c r="V1719" s="13" t="str">
        <f aca="false">IF(M1719=1,MONTH(C1719),"")</f>
        <v/>
      </c>
    </row>
    <row r="1720" customFormat="false" ht="15" hidden="false" customHeight="false" outlineLevel="0" collapsed="false">
      <c r="A1720" s="13" t="str">
        <f aca="false">TRIM(Raw_Data!A1720)</f>
        <v>EMP1719</v>
      </c>
      <c r="B1720" s="14" t="n">
        <f aca="false">Raw_Data!B1720</f>
        <v>45429</v>
      </c>
      <c r="C1720" s="14" t="str">
        <f aca="false">IF(Raw_Data!C1720="","",Raw_Data!C1720)</f>
        <v/>
      </c>
      <c r="D1720" s="13" t="n">
        <f aca="false">IF(Raw_Data!D1720="","",Raw_Data!D1720)</f>
        <v>23</v>
      </c>
      <c r="E1720" s="13" t="str">
        <f aca="false">IF(UPPER(LEFT(TRIM(Raw_Data!E1720),1))="M","Male",IF(UPPER(LEFT(TRIM(Raw_Data!E1720),1))="F","Female","Unknown"))</f>
        <v>Female</v>
      </c>
      <c r="F1720" s="13" t="str">
        <f aca="false">PROPER(TRIM(SUBSTITUTE(Raw_Data!F1720,"'","")))</f>
        <v>Diploma</v>
      </c>
      <c r="G1720" s="13" t="str">
        <f aca="false">PROPER(TRIM(Raw_Data!G1720))</f>
        <v>Customer Support</v>
      </c>
      <c r="H1720" s="13" t="str">
        <f aca="false">PROPER(TRIM(Raw_Data!H1720))</f>
        <v>Associate</v>
      </c>
      <c r="I1720" s="13" t="n">
        <f aca="false">IF(Raw_Data!I1720="",DefaultPerf,Raw_Data!I1720)</f>
        <v>4</v>
      </c>
      <c r="J1720" s="13" t="n">
        <f aca="false">IF(Raw_Data!J1720="",DefaultSat,Raw_Data!J1720)</f>
        <v>2</v>
      </c>
      <c r="K1720" s="15" t="n">
        <f aca="false">Raw_Data!K1720</f>
        <v>37000</v>
      </c>
      <c r="L1720" s="13" t="str">
        <f aca="false">PROPER(TRIM(Raw_Data!N1720))</f>
        <v>Yes</v>
      </c>
      <c r="M1720" s="13" t="n">
        <f aca="false">IF(C1720="",0,1)</f>
        <v>0</v>
      </c>
      <c r="N1720" s="13" t="str">
        <f aca="false">IF(M1720=0,"Active",IF(TRIM(Raw_Data!L1720)="","Unknown",PROPER(TRIM(Raw_Data!L1720))))</f>
        <v>Active</v>
      </c>
      <c r="O1720" s="13" t="str">
        <f aca="false">IF(M1720=0,"",IF(TRIM(Raw_Data!M1720)="","Not Recorded",TRIM(Raw_Data!M1720)))</f>
        <v/>
      </c>
      <c r="P1720" s="16" t="n">
        <f aca="false">ROUND((IF(C1720="",AsOfDate,C1720)-B1720)/365.25,2)</f>
        <v>1.62</v>
      </c>
      <c r="Q1720" s="13" t="str">
        <f aca="false">IF(D1720="","Unknown",IF(D1720&lt;25,"Under 25",IF(D1720&lt;35,"25-34",IF(D1720&lt;45,"35-44",IF(D1720&lt;55,"45-54","55+")))))</f>
        <v>Under 25</v>
      </c>
      <c r="R1720" s="13" t="str">
        <f aca="false">IF(P1720&lt;1,"0-1 yrs",IF(P1720&lt;3,"1-3 yrs",IF(P1720&lt;5,"3-5 yrs",IF(P1720&lt;10,"5-10 yrs","10+ yrs"))))</f>
        <v>1-3 yrs</v>
      </c>
      <c r="S1720" s="13" t="str">
        <f aca="false">IF(I1720&gt;=4,"High",IF(I1720=3,"Medium","Low"))</f>
        <v>High</v>
      </c>
      <c r="T1720" s="13" t="str">
        <f aca="false">IF(M1720=1,YEAR(C1720),"")</f>
        <v/>
      </c>
      <c r="U1720" s="13" t="str">
        <f aca="false">IF(M1720=1,YEAR(C1720)&amp;"-Q"&amp;ROUNDUP(MONTH(C1720)/3,0),"")</f>
        <v/>
      </c>
      <c r="V1720" s="13" t="str">
        <f aca="false">IF(M1720=1,MONTH(C1720),"")</f>
        <v/>
      </c>
    </row>
    <row r="1721" customFormat="false" ht="15" hidden="false" customHeight="false" outlineLevel="0" collapsed="false">
      <c r="A1721" s="13" t="str">
        <f aca="false">TRIM(Raw_Data!A1721)</f>
        <v>EMP1720</v>
      </c>
      <c r="B1721" s="14" t="n">
        <f aca="false">Raw_Data!B1721</f>
        <v>45431</v>
      </c>
      <c r="C1721" s="14" t="n">
        <f aca="false">IF(Raw_Data!C1721="","",Raw_Data!C1721)</f>
        <v>45543</v>
      </c>
      <c r="D1721" s="13" t="n">
        <f aca="false">IF(Raw_Data!D1721="","",Raw_Data!D1721)</f>
        <v>31</v>
      </c>
      <c r="E1721" s="13" t="str">
        <f aca="false">IF(UPPER(LEFT(TRIM(Raw_Data!E1721),1))="M","Male",IF(UPPER(LEFT(TRIM(Raw_Data!E1721),1))="F","Female","Unknown"))</f>
        <v>Female</v>
      </c>
      <c r="F1721" s="13" t="str">
        <f aca="false">PROPER(TRIM(SUBSTITUTE(Raw_Data!F1721,"'","")))</f>
        <v>Diploma</v>
      </c>
      <c r="G1721" s="13" t="str">
        <f aca="false">PROPER(TRIM(Raw_Data!G1721))</f>
        <v>Operations</v>
      </c>
      <c r="H1721" s="13" t="str">
        <f aca="false">PROPER(TRIM(Raw_Data!H1721))</f>
        <v>Associate</v>
      </c>
      <c r="I1721" s="13" t="n">
        <f aca="false">IF(Raw_Data!I1721="",DefaultPerf,Raw_Data!I1721)</f>
        <v>3</v>
      </c>
      <c r="J1721" s="13" t="n">
        <f aca="false">IF(Raw_Data!J1721="",DefaultSat,Raw_Data!J1721)</f>
        <v>3</v>
      </c>
      <c r="K1721" s="15" t="n">
        <f aca="false">Raw_Data!K1721</f>
        <v>32000</v>
      </c>
      <c r="L1721" s="13" t="str">
        <f aca="false">PROPER(TRIM(Raw_Data!N1721))</f>
        <v>No</v>
      </c>
      <c r="M1721" s="13" t="n">
        <f aca="false">IF(C1721="",0,1)</f>
        <v>1</v>
      </c>
      <c r="N1721" s="13" t="str">
        <f aca="false">IF(M1721=0,"Active",IF(TRIM(Raw_Data!L1721)="","Unknown",PROPER(TRIM(Raw_Data!L1721))))</f>
        <v>Unknown</v>
      </c>
      <c r="O1721" s="13" t="str">
        <f aca="false">IF(M1721=0,"",IF(TRIM(Raw_Data!M1721)="","Not Recorded",TRIM(Raw_Data!M1721)))</f>
        <v>Better Compensation</v>
      </c>
      <c r="P1721" s="16" t="n">
        <f aca="false">ROUND((IF(C1721="",AsOfDate,C1721)-B1721)/365.25,2)</f>
        <v>0.31</v>
      </c>
      <c r="Q1721" s="13" t="str">
        <f aca="false">IF(D1721="","Unknown",IF(D1721&lt;25,"Under 25",IF(D1721&lt;35,"25-34",IF(D1721&lt;45,"35-44",IF(D1721&lt;55,"45-54","55+")))))</f>
        <v>25-34</v>
      </c>
      <c r="R1721" s="13" t="str">
        <f aca="false">IF(P1721&lt;1,"0-1 yrs",IF(P1721&lt;3,"1-3 yrs",IF(P1721&lt;5,"3-5 yrs",IF(P1721&lt;10,"5-10 yrs","10+ yrs"))))</f>
        <v>0-1 yrs</v>
      </c>
      <c r="S1721" s="13" t="str">
        <f aca="false">IF(I1721&gt;=4,"High",IF(I1721=3,"Medium","Low"))</f>
        <v>Medium</v>
      </c>
      <c r="T1721" s="13" t="n">
        <f aca="false">IF(M1721=1,YEAR(C1721),"")</f>
        <v>2024</v>
      </c>
      <c r="U1721" s="13" t="str">
        <f aca="false">IF(M1721=1,YEAR(C1721)&amp;"-Q"&amp;ROUNDUP(MONTH(C1721)/3,0),"")</f>
        <v>2024-Q3</v>
      </c>
      <c r="V1721" s="13" t="n">
        <f aca="false">IF(M1721=1,MONTH(C1721),"")</f>
        <v>9</v>
      </c>
    </row>
    <row r="1722" customFormat="false" ht="15" hidden="false" customHeight="false" outlineLevel="0" collapsed="false">
      <c r="A1722" s="13" t="str">
        <f aca="false">TRIM(Raw_Data!A1722)</f>
        <v>EMP1721</v>
      </c>
      <c r="B1722" s="14" t="n">
        <f aca="false">Raw_Data!B1722</f>
        <v>45432</v>
      </c>
      <c r="C1722" s="14" t="str">
        <f aca="false">IF(Raw_Data!C1722="","",Raw_Data!C1722)</f>
        <v/>
      </c>
      <c r="D1722" s="13" t="n">
        <f aca="false">IF(Raw_Data!D1722="","",Raw_Data!D1722)</f>
        <v>29</v>
      </c>
      <c r="E1722" s="13" t="str">
        <f aca="false">IF(UPPER(LEFT(TRIM(Raw_Data!E1722),1))="M","Male",IF(UPPER(LEFT(TRIM(Raw_Data!E1722),1))="F","Female","Unknown"))</f>
        <v>Male</v>
      </c>
      <c r="F1722" s="13" t="str">
        <f aca="false">PROPER(TRIM(SUBSTITUTE(Raw_Data!F1722,"'","")))</f>
        <v>Masters</v>
      </c>
      <c r="G1722" s="13" t="str">
        <f aca="false">PROPER(TRIM(Raw_Data!G1722))</f>
        <v>Engineering</v>
      </c>
      <c r="H1722" s="13" t="str">
        <f aca="false">PROPER(TRIM(Raw_Data!H1722))</f>
        <v>Analyst</v>
      </c>
      <c r="I1722" s="13" t="n">
        <f aca="false">IF(Raw_Data!I1722="",DefaultPerf,Raw_Data!I1722)</f>
        <v>4</v>
      </c>
      <c r="J1722" s="13" t="n">
        <f aca="false">IF(Raw_Data!J1722="",DefaultSat,Raw_Data!J1722)</f>
        <v>2</v>
      </c>
      <c r="K1722" s="15" t="n">
        <f aca="false">Raw_Data!K1722</f>
        <v>54000</v>
      </c>
      <c r="L1722" s="13" t="str">
        <f aca="false">PROPER(TRIM(Raw_Data!N1722))</f>
        <v>No</v>
      </c>
      <c r="M1722" s="13" t="n">
        <f aca="false">IF(C1722="",0,1)</f>
        <v>0</v>
      </c>
      <c r="N1722" s="13" t="str">
        <f aca="false">IF(M1722=0,"Active",IF(TRIM(Raw_Data!L1722)="","Unknown",PROPER(TRIM(Raw_Data!L1722))))</f>
        <v>Active</v>
      </c>
      <c r="O1722" s="13" t="str">
        <f aca="false">IF(M1722=0,"",IF(TRIM(Raw_Data!M1722)="","Not Recorded",TRIM(Raw_Data!M1722)))</f>
        <v/>
      </c>
      <c r="P1722" s="16" t="n">
        <f aca="false">ROUND((IF(C1722="",AsOfDate,C1722)-B1722)/365.25,2)</f>
        <v>1.62</v>
      </c>
      <c r="Q1722" s="13" t="str">
        <f aca="false">IF(D1722="","Unknown",IF(D1722&lt;25,"Under 25",IF(D1722&lt;35,"25-34",IF(D1722&lt;45,"35-44",IF(D1722&lt;55,"45-54","55+")))))</f>
        <v>25-34</v>
      </c>
      <c r="R1722" s="13" t="str">
        <f aca="false">IF(P1722&lt;1,"0-1 yrs",IF(P1722&lt;3,"1-3 yrs",IF(P1722&lt;5,"3-5 yrs",IF(P1722&lt;10,"5-10 yrs","10+ yrs"))))</f>
        <v>1-3 yrs</v>
      </c>
      <c r="S1722" s="13" t="str">
        <f aca="false">IF(I1722&gt;=4,"High",IF(I1722=3,"Medium","Low"))</f>
        <v>High</v>
      </c>
      <c r="T1722" s="13" t="str">
        <f aca="false">IF(M1722=1,YEAR(C1722),"")</f>
        <v/>
      </c>
      <c r="U1722" s="13" t="str">
        <f aca="false">IF(M1722=1,YEAR(C1722)&amp;"-Q"&amp;ROUNDUP(MONTH(C1722)/3,0),"")</f>
        <v/>
      </c>
      <c r="V1722" s="13" t="str">
        <f aca="false">IF(M1722=1,MONTH(C1722),"")</f>
        <v/>
      </c>
    </row>
    <row r="1723" customFormat="false" ht="15" hidden="false" customHeight="false" outlineLevel="0" collapsed="false">
      <c r="A1723" s="13" t="str">
        <f aca="false">TRIM(Raw_Data!A1723)</f>
        <v>EMP1722</v>
      </c>
      <c r="B1723" s="14" t="n">
        <f aca="false">Raw_Data!B1723</f>
        <v>45432</v>
      </c>
      <c r="C1723" s="14" t="n">
        <f aca="false">IF(Raw_Data!C1723="","",Raw_Data!C1723)</f>
        <v>45834</v>
      </c>
      <c r="D1723" s="13" t="n">
        <f aca="false">IF(Raw_Data!D1723="","",Raw_Data!D1723)</f>
        <v>24</v>
      </c>
      <c r="E1723" s="13" t="str">
        <f aca="false">IF(UPPER(LEFT(TRIM(Raw_Data!E1723),1))="M","Male",IF(UPPER(LEFT(TRIM(Raw_Data!E1723),1))="F","Female","Unknown"))</f>
        <v>Male</v>
      </c>
      <c r="F1723" s="13" t="str">
        <f aca="false">PROPER(TRIM(SUBSTITUTE(Raw_Data!F1723,"'","")))</f>
        <v>Bachelors</v>
      </c>
      <c r="G1723" s="13" t="str">
        <f aca="false">PROPER(TRIM(Raw_Data!G1723))</f>
        <v>Engineering</v>
      </c>
      <c r="H1723" s="13" t="str">
        <f aca="false">PROPER(TRIM(Raw_Data!H1723))</f>
        <v>Associate</v>
      </c>
      <c r="I1723" s="13" t="n">
        <f aca="false">IF(Raw_Data!I1723="",DefaultPerf,Raw_Data!I1723)</f>
        <v>3</v>
      </c>
      <c r="J1723" s="13" t="n">
        <f aca="false">IF(Raw_Data!J1723="",DefaultSat,Raw_Data!J1723)</f>
        <v>2</v>
      </c>
      <c r="K1723" s="15" t="n">
        <f aca="false">Raw_Data!K1723</f>
        <v>29500</v>
      </c>
      <c r="L1723" s="13" t="str">
        <f aca="false">PROPER(TRIM(Raw_Data!N1723))</f>
        <v>No</v>
      </c>
      <c r="M1723" s="13" t="n">
        <f aca="false">IF(C1723="",0,1)</f>
        <v>1</v>
      </c>
      <c r="N1723" s="13" t="str">
        <f aca="false">IF(M1723=0,"Active",IF(TRIM(Raw_Data!L1723)="","Unknown",PROPER(TRIM(Raw_Data!L1723))))</f>
        <v>Voluntary</v>
      </c>
      <c r="O1723" s="13" t="str">
        <f aca="false">IF(M1723=0,"",IF(TRIM(Raw_Data!M1723)="","Not Recorded",TRIM(Raw_Data!M1723)))</f>
        <v>Better Compensation</v>
      </c>
      <c r="P1723" s="16" t="n">
        <f aca="false">ROUND((IF(C1723="",AsOfDate,C1723)-B1723)/365.25,2)</f>
        <v>1.1</v>
      </c>
      <c r="Q1723" s="13" t="str">
        <f aca="false">IF(D1723="","Unknown",IF(D1723&lt;25,"Under 25",IF(D1723&lt;35,"25-34",IF(D1723&lt;45,"35-44",IF(D1723&lt;55,"45-54","55+")))))</f>
        <v>Under 25</v>
      </c>
      <c r="R1723" s="13" t="str">
        <f aca="false">IF(P1723&lt;1,"0-1 yrs",IF(P1723&lt;3,"1-3 yrs",IF(P1723&lt;5,"3-5 yrs",IF(P1723&lt;10,"5-10 yrs","10+ yrs"))))</f>
        <v>1-3 yrs</v>
      </c>
      <c r="S1723" s="13" t="str">
        <f aca="false">IF(I1723&gt;=4,"High",IF(I1723=3,"Medium","Low"))</f>
        <v>Medium</v>
      </c>
      <c r="T1723" s="13" t="n">
        <f aca="false">IF(M1723=1,YEAR(C1723),"")</f>
        <v>2025</v>
      </c>
      <c r="U1723" s="13" t="str">
        <f aca="false">IF(M1723=1,YEAR(C1723)&amp;"-Q"&amp;ROUNDUP(MONTH(C1723)/3,0),"")</f>
        <v>2025-Q2</v>
      </c>
      <c r="V1723" s="13" t="n">
        <f aca="false">IF(M1723=1,MONTH(C1723),"")</f>
        <v>6</v>
      </c>
    </row>
    <row r="1724" customFormat="false" ht="15" hidden="false" customHeight="false" outlineLevel="0" collapsed="false">
      <c r="A1724" s="13" t="str">
        <f aca="false">TRIM(Raw_Data!A1724)</f>
        <v>EMP1723</v>
      </c>
      <c r="B1724" s="14" t="n">
        <f aca="false">Raw_Data!B1724</f>
        <v>45439</v>
      </c>
      <c r="C1724" s="14" t="str">
        <f aca="false">IF(Raw_Data!C1724="","",Raw_Data!C1724)</f>
        <v/>
      </c>
      <c r="D1724" s="13" t="n">
        <f aca="false">IF(Raw_Data!D1724="","",Raw_Data!D1724)</f>
        <v>33</v>
      </c>
      <c r="E1724" s="13" t="str">
        <f aca="false">IF(UPPER(LEFT(TRIM(Raw_Data!E1724),1))="M","Male",IF(UPPER(LEFT(TRIM(Raw_Data!E1724),1))="F","Female","Unknown"))</f>
        <v>Male</v>
      </c>
      <c r="F1724" s="13" t="str">
        <f aca="false">PROPER(TRIM(SUBSTITUTE(Raw_Data!F1724,"'","")))</f>
        <v>Diploma</v>
      </c>
      <c r="G1724" s="13" t="str">
        <f aca="false">PROPER(TRIM(Raw_Data!G1724))</f>
        <v>Engineering</v>
      </c>
      <c r="H1724" s="13" t="str">
        <f aca="false">PROPER(TRIM(Raw_Data!H1724))</f>
        <v>Senior Analyst</v>
      </c>
      <c r="I1724" s="13" t="n">
        <f aca="false">IF(Raw_Data!I1724="",DefaultPerf,Raw_Data!I1724)</f>
        <v>3</v>
      </c>
      <c r="J1724" s="13" t="n">
        <f aca="false">IF(Raw_Data!J1724="",DefaultSat,Raw_Data!J1724)</f>
        <v>4</v>
      </c>
      <c r="K1724" s="15" t="n">
        <f aca="false">Raw_Data!K1724</f>
        <v>95500</v>
      </c>
      <c r="L1724" s="13" t="str">
        <f aca="false">PROPER(TRIM(Raw_Data!N1724))</f>
        <v>No</v>
      </c>
      <c r="M1724" s="13" t="n">
        <f aca="false">IF(C1724="",0,1)</f>
        <v>0</v>
      </c>
      <c r="N1724" s="13" t="str">
        <f aca="false">IF(M1724=0,"Active",IF(TRIM(Raw_Data!L1724)="","Unknown",PROPER(TRIM(Raw_Data!L1724))))</f>
        <v>Active</v>
      </c>
      <c r="O1724" s="13" t="str">
        <f aca="false">IF(M1724=0,"",IF(TRIM(Raw_Data!M1724)="","Not Recorded",TRIM(Raw_Data!M1724)))</f>
        <v/>
      </c>
      <c r="P1724" s="16" t="n">
        <f aca="false">ROUND((IF(C1724="",AsOfDate,C1724)-B1724)/365.25,2)</f>
        <v>1.6</v>
      </c>
      <c r="Q1724" s="13" t="str">
        <f aca="false">IF(D1724="","Unknown",IF(D1724&lt;25,"Under 25",IF(D1724&lt;35,"25-34",IF(D1724&lt;45,"35-44",IF(D1724&lt;55,"45-54","55+")))))</f>
        <v>25-34</v>
      </c>
      <c r="R1724" s="13" t="str">
        <f aca="false">IF(P1724&lt;1,"0-1 yrs",IF(P1724&lt;3,"1-3 yrs",IF(P1724&lt;5,"3-5 yrs",IF(P1724&lt;10,"5-10 yrs","10+ yrs"))))</f>
        <v>1-3 yrs</v>
      </c>
      <c r="S1724" s="13" t="str">
        <f aca="false">IF(I1724&gt;=4,"High",IF(I1724=3,"Medium","Low"))</f>
        <v>Medium</v>
      </c>
      <c r="T1724" s="13" t="str">
        <f aca="false">IF(M1724=1,YEAR(C1724),"")</f>
        <v/>
      </c>
      <c r="U1724" s="13" t="str">
        <f aca="false">IF(M1724=1,YEAR(C1724)&amp;"-Q"&amp;ROUNDUP(MONTH(C1724)/3,0),"")</f>
        <v/>
      </c>
      <c r="V1724" s="13" t="str">
        <f aca="false">IF(M1724=1,MONTH(C1724),"")</f>
        <v/>
      </c>
    </row>
    <row r="1725" customFormat="false" ht="15" hidden="false" customHeight="false" outlineLevel="0" collapsed="false">
      <c r="A1725" s="13" t="str">
        <f aca="false">TRIM(Raw_Data!A1725)</f>
        <v>EMP1724</v>
      </c>
      <c r="B1725" s="14" t="n">
        <f aca="false">Raw_Data!B1725</f>
        <v>45440</v>
      </c>
      <c r="C1725" s="14" t="str">
        <f aca="false">IF(Raw_Data!C1725="","",Raw_Data!C1725)</f>
        <v/>
      </c>
      <c r="D1725" s="13" t="n">
        <f aca="false">IF(Raw_Data!D1725="","",Raw_Data!D1725)</f>
        <v>27</v>
      </c>
      <c r="E1725" s="13" t="str">
        <f aca="false">IF(UPPER(LEFT(TRIM(Raw_Data!E1725),1))="M","Male",IF(UPPER(LEFT(TRIM(Raw_Data!E1725),1))="F","Female","Unknown"))</f>
        <v>Male</v>
      </c>
      <c r="F1725" s="13" t="str">
        <f aca="false">PROPER(TRIM(SUBSTITUTE(Raw_Data!F1725,"'","")))</f>
        <v>Bachelors</v>
      </c>
      <c r="G1725" s="13" t="str">
        <f aca="false">PROPER(TRIM(Raw_Data!G1725))</f>
        <v>Human Resources</v>
      </c>
      <c r="H1725" s="13" t="str">
        <f aca="false">PROPER(TRIM(Raw_Data!H1725))</f>
        <v>Associate</v>
      </c>
      <c r="I1725" s="17" t="n">
        <f aca="false">IF(Raw_Data!I1725="",DefaultPerf,Raw_Data!I1725)</f>
        <v>3</v>
      </c>
      <c r="J1725" s="13" t="n">
        <f aca="false">IF(Raw_Data!J1725="",DefaultSat,Raw_Data!J1725)</f>
        <v>2</v>
      </c>
      <c r="K1725" s="15" t="n">
        <f aca="false">Raw_Data!K1725</f>
        <v>38500</v>
      </c>
      <c r="L1725" s="13" t="str">
        <f aca="false">PROPER(TRIM(Raw_Data!N1725))</f>
        <v>No</v>
      </c>
      <c r="M1725" s="13" t="n">
        <f aca="false">IF(C1725="",0,1)</f>
        <v>0</v>
      </c>
      <c r="N1725" s="13" t="str">
        <f aca="false">IF(M1725=0,"Active",IF(TRIM(Raw_Data!L1725)="","Unknown",PROPER(TRIM(Raw_Data!L1725))))</f>
        <v>Active</v>
      </c>
      <c r="O1725" s="13" t="str">
        <f aca="false">IF(M1725=0,"",IF(TRIM(Raw_Data!M1725)="","Not Recorded",TRIM(Raw_Data!M1725)))</f>
        <v/>
      </c>
      <c r="P1725" s="16" t="n">
        <f aca="false">ROUND((IF(C1725="",AsOfDate,C1725)-B1725)/365.25,2)</f>
        <v>1.59</v>
      </c>
      <c r="Q1725" s="13" t="str">
        <f aca="false">IF(D1725="","Unknown",IF(D1725&lt;25,"Under 25",IF(D1725&lt;35,"25-34",IF(D1725&lt;45,"35-44",IF(D1725&lt;55,"45-54","55+")))))</f>
        <v>25-34</v>
      </c>
      <c r="R1725" s="13" t="str">
        <f aca="false">IF(P1725&lt;1,"0-1 yrs",IF(P1725&lt;3,"1-3 yrs",IF(P1725&lt;5,"3-5 yrs",IF(P1725&lt;10,"5-10 yrs","10+ yrs"))))</f>
        <v>1-3 yrs</v>
      </c>
      <c r="S1725" s="13" t="str">
        <f aca="false">IF(I1725&gt;=4,"High",IF(I1725=3,"Medium","Low"))</f>
        <v>Medium</v>
      </c>
      <c r="T1725" s="13" t="str">
        <f aca="false">IF(M1725=1,YEAR(C1725),"")</f>
        <v/>
      </c>
      <c r="U1725" s="13" t="str">
        <f aca="false">IF(M1725=1,YEAR(C1725)&amp;"-Q"&amp;ROUNDUP(MONTH(C1725)/3,0),"")</f>
        <v/>
      </c>
      <c r="V1725" s="13" t="str">
        <f aca="false">IF(M1725=1,MONTH(C1725),"")</f>
        <v/>
      </c>
    </row>
    <row r="1726" customFormat="false" ht="15" hidden="false" customHeight="false" outlineLevel="0" collapsed="false">
      <c r="A1726" s="13" t="str">
        <f aca="false">TRIM(Raw_Data!A1726)</f>
        <v>EMP1725</v>
      </c>
      <c r="B1726" s="14" t="n">
        <f aca="false">Raw_Data!B1726</f>
        <v>45443</v>
      </c>
      <c r="C1726" s="14" t="n">
        <f aca="false">IF(Raw_Data!C1726="","",Raw_Data!C1726)</f>
        <v>45488</v>
      </c>
      <c r="D1726" s="13" t="n">
        <f aca="false">IF(Raw_Data!D1726="","",Raw_Data!D1726)</f>
        <v>33</v>
      </c>
      <c r="E1726" s="13" t="str">
        <f aca="false">IF(UPPER(LEFT(TRIM(Raw_Data!E1726),1))="M","Male",IF(UPPER(LEFT(TRIM(Raw_Data!E1726),1))="F","Female","Unknown"))</f>
        <v>Female</v>
      </c>
      <c r="F1726" s="13" t="str">
        <f aca="false">PROPER(TRIM(SUBSTITUTE(Raw_Data!F1726,"'","")))</f>
        <v>Bachelors</v>
      </c>
      <c r="G1726" s="13" t="str">
        <f aca="false">PROPER(TRIM(Raw_Data!G1726))</f>
        <v>Engineering</v>
      </c>
      <c r="H1726" s="13" t="str">
        <f aca="false">PROPER(TRIM(Raw_Data!H1726))</f>
        <v>Team Lead</v>
      </c>
      <c r="I1726" s="13" t="n">
        <f aca="false">IF(Raw_Data!I1726="",DefaultPerf,Raw_Data!I1726)</f>
        <v>3</v>
      </c>
      <c r="J1726" s="13" t="n">
        <f aca="false">IF(Raw_Data!J1726="",DefaultSat,Raw_Data!J1726)</f>
        <v>2</v>
      </c>
      <c r="K1726" s="15" t="n">
        <f aca="false">Raw_Data!K1726</f>
        <v>125500</v>
      </c>
      <c r="L1726" s="13" t="str">
        <f aca="false">PROPER(TRIM(Raw_Data!N1726))</f>
        <v>No</v>
      </c>
      <c r="M1726" s="13" t="n">
        <f aca="false">IF(C1726="",0,1)</f>
        <v>1</v>
      </c>
      <c r="N1726" s="13" t="str">
        <f aca="false">IF(M1726=0,"Active",IF(TRIM(Raw_Data!L1726)="","Unknown",PROPER(TRIM(Raw_Data!L1726))))</f>
        <v>Voluntary</v>
      </c>
      <c r="O1726" s="13" t="str">
        <f aca="false">IF(M1726=0,"",IF(TRIM(Raw_Data!M1726)="","Not Recorded",TRIM(Raw_Data!M1726)))</f>
        <v>Further Studies</v>
      </c>
      <c r="P1726" s="16" t="n">
        <f aca="false">ROUND((IF(C1726="",AsOfDate,C1726)-B1726)/365.25,2)</f>
        <v>0.12</v>
      </c>
      <c r="Q1726" s="13" t="str">
        <f aca="false">IF(D1726="","Unknown",IF(D1726&lt;25,"Under 25",IF(D1726&lt;35,"25-34",IF(D1726&lt;45,"35-44",IF(D1726&lt;55,"45-54","55+")))))</f>
        <v>25-34</v>
      </c>
      <c r="R1726" s="13" t="str">
        <f aca="false">IF(P1726&lt;1,"0-1 yrs",IF(P1726&lt;3,"1-3 yrs",IF(P1726&lt;5,"3-5 yrs",IF(P1726&lt;10,"5-10 yrs","10+ yrs"))))</f>
        <v>0-1 yrs</v>
      </c>
      <c r="S1726" s="13" t="str">
        <f aca="false">IF(I1726&gt;=4,"High",IF(I1726=3,"Medium","Low"))</f>
        <v>Medium</v>
      </c>
      <c r="T1726" s="13" t="n">
        <f aca="false">IF(M1726=1,YEAR(C1726),"")</f>
        <v>2024</v>
      </c>
      <c r="U1726" s="13" t="str">
        <f aca="false">IF(M1726=1,YEAR(C1726)&amp;"-Q"&amp;ROUNDUP(MONTH(C1726)/3,0),"")</f>
        <v>2024-Q3</v>
      </c>
      <c r="V1726" s="13" t="n">
        <f aca="false">IF(M1726=1,MONTH(C1726),"")</f>
        <v>7</v>
      </c>
    </row>
    <row r="1727" customFormat="false" ht="15" hidden="false" customHeight="false" outlineLevel="0" collapsed="false">
      <c r="A1727" s="13" t="str">
        <f aca="false">TRIM(Raw_Data!A1727)</f>
        <v>EMP1726</v>
      </c>
      <c r="B1727" s="14" t="n">
        <f aca="false">Raw_Data!B1727</f>
        <v>45443</v>
      </c>
      <c r="C1727" s="14" t="str">
        <f aca="false">IF(Raw_Data!C1727="","",Raw_Data!C1727)</f>
        <v/>
      </c>
      <c r="D1727" s="13" t="n">
        <f aca="false">IF(Raw_Data!D1727="","",Raw_Data!D1727)</f>
        <v>28</v>
      </c>
      <c r="E1727" s="13" t="str">
        <f aca="false">IF(UPPER(LEFT(TRIM(Raw_Data!E1727),1))="M","Male",IF(UPPER(LEFT(TRIM(Raw_Data!E1727),1))="F","Female","Unknown"))</f>
        <v>Female</v>
      </c>
      <c r="F1727" s="13" t="str">
        <f aca="false">PROPER(TRIM(SUBSTITUTE(Raw_Data!F1727,"'","")))</f>
        <v>Bachelors</v>
      </c>
      <c r="G1727" s="13" t="str">
        <f aca="false">PROPER(TRIM(Raw_Data!G1727))</f>
        <v>Sales</v>
      </c>
      <c r="H1727" s="13" t="str">
        <f aca="false">PROPER(TRIM(Raw_Data!H1727))</f>
        <v>Team Lead</v>
      </c>
      <c r="I1727" s="13" t="n">
        <f aca="false">IF(Raw_Data!I1727="",DefaultPerf,Raw_Data!I1727)</f>
        <v>2</v>
      </c>
      <c r="J1727" s="13" t="n">
        <f aca="false">IF(Raw_Data!J1727="",DefaultSat,Raw_Data!J1727)</f>
        <v>3</v>
      </c>
      <c r="K1727" s="15" t="n">
        <f aca="false">Raw_Data!K1727</f>
        <v>139000</v>
      </c>
      <c r="L1727" s="13" t="str">
        <f aca="false">PROPER(TRIM(Raw_Data!N1727))</f>
        <v>No</v>
      </c>
      <c r="M1727" s="13" t="n">
        <f aca="false">IF(C1727="",0,1)</f>
        <v>0</v>
      </c>
      <c r="N1727" s="13" t="str">
        <f aca="false">IF(M1727=0,"Active",IF(TRIM(Raw_Data!L1727)="","Unknown",PROPER(TRIM(Raw_Data!L1727))))</f>
        <v>Active</v>
      </c>
      <c r="O1727" s="13" t="str">
        <f aca="false">IF(M1727=0,"",IF(TRIM(Raw_Data!M1727)="","Not Recorded",TRIM(Raw_Data!M1727)))</f>
        <v/>
      </c>
      <c r="P1727" s="16" t="n">
        <f aca="false">ROUND((IF(C1727="",AsOfDate,C1727)-B1727)/365.25,2)</f>
        <v>1.59</v>
      </c>
      <c r="Q1727" s="13" t="str">
        <f aca="false">IF(D1727="","Unknown",IF(D1727&lt;25,"Under 25",IF(D1727&lt;35,"25-34",IF(D1727&lt;45,"35-44",IF(D1727&lt;55,"45-54","55+")))))</f>
        <v>25-34</v>
      </c>
      <c r="R1727" s="13" t="str">
        <f aca="false">IF(P1727&lt;1,"0-1 yrs",IF(P1727&lt;3,"1-3 yrs",IF(P1727&lt;5,"3-5 yrs",IF(P1727&lt;10,"5-10 yrs","10+ yrs"))))</f>
        <v>1-3 yrs</v>
      </c>
      <c r="S1727" s="13" t="str">
        <f aca="false">IF(I1727&gt;=4,"High",IF(I1727=3,"Medium","Low"))</f>
        <v>Low</v>
      </c>
      <c r="T1727" s="13" t="str">
        <f aca="false">IF(M1727=1,YEAR(C1727),"")</f>
        <v/>
      </c>
      <c r="U1727" s="13" t="str">
        <f aca="false">IF(M1727=1,YEAR(C1727)&amp;"-Q"&amp;ROUNDUP(MONTH(C1727)/3,0),"")</f>
        <v/>
      </c>
      <c r="V1727" s="13" t="str">
        <f aca="false">IF(M1727=1,MONTH(C1727),"")</f>
        <v/>
      </c>
    </row>
    <row r="1728" customFormat="false" ht="15" hidden="false" customHeight="false" outlineLevel="0" collapsed="false">
      <c r="A1728" s="13" t="str">
        <f aca="false">TRIM(Raw_Data!A1728)</f>
        <v>EMP1727</v>
      </c>
      <c r="B1728" s="14" t="n">
        <f aca="false">Raw_Data!B1728</f>
        <v>45444</v>
      </c>
      <c r="C1728" s="14" t="str">
        <f aca="false">IF(Raw_Data!C1728="","",Raw_Data!C1728)</f>
        <v/>
      </c>
      <c r="D1728" s="13" t="n">
        <f aca="false">IF(Raw_Data!D1728="","",Raw_Data!D1728)</f>
        <v>37</v>
      </c>
      <c r="E1728" s="13" t="str">
        <f aca="false">IF(UPPER(LEFT(TRIM(Raw_Data!E1728),1))="M","Male",IF(UPPER(LEFT(TRIM(Raw_Data!E1728),1))="F","Female","Unknown"))</f>
        <v>Female</v>
      </c>
      <c r="F1728" s="13" t="str">
        <f aca="false">PROPER(TRIM(SUBSTITUTE(Raw_Data!F1728,"'","")))</f>
        <v>Bachelors</v>
      </c>
      <c r="G1728" s="13" t="str">
        <f aca="false">PROPER(TRIM(Raw_Data!G1728))</f>
        <v>Finance</v>
      </c>
      <c r="H1728" s="13" t="str">
        <f aca="false">PROPER(TRIM(Raw_Data!H1728))</f>
        <v>Manager</v>
      </c>
      <c r="I1728" s="13" t="n">
        <f aca="false">IF(Raw_Data!I1728="",DefaultPerf,Raw_Data!I1728)</f>
        <v>1</v>
      </c>
      <c r="J1728" s="13" t="n">
        <f aca="false">IF(Raw_Data!J1728="",DefaultSat,Raw_Data!J1728)</f>
        <v>4</v>
      </c>
      <c r="K1728" s="15" t="n">
        <f aca="false">Raw_Data!K1728</f>
        <v>204500</v>
      </c>
      <c r="L1728" s="13" t="str">
        <f aca="false">PROPER(TRIM(Raw_Data!N1728))</f>
        <v>No</v>
      </c>
      <c r="M1728" s="13" t="n">
        <f aca="false">IF(C1728="",0,1)</f>
        <v>0</v>
      </c>
      <c r="N1728" s="13" t="str">
        <f aca="false">IF(M1728=0,"Active",IF(TRIM(Raw_Data!L1728)="","Unknown",PROPER(TRIM(Raw_Data!L1728))))</f>
        <v>Active</v>
      </c>
      <c r="O1728" s="13" t="str">
        <f aca="false">IF(M1728=0,"",IF(TRIM(Raw_Data!M1728)="","Not Recorded",TRIM(Raw_Data!M1728)))</f>
        <v/>
      </c>
      <c r="P1728" s="16" t="n">
        <f aca="false">ROUND((IF(C1728="",AsOfDate,C1728)-B1728)/365.25,2)</f>
        <v>1.58</v>
      </c>
      <c r="Q1728" s="13" t="str">
        <f aca="false">IF(D1728="","Unknown",IF(D1728&lt;25,"Under 25",IF(D1728&lt;35,"25-34",IF(D1728&lt;45,"35-44",IF(D1728&lt;55,"45-54","55+")))))</f>
        <v>35-44</v>
      </c>
      <c r="R1728" s="13" t="str">
        <f aca="false">IF(P1728&lt;1,"0-1 yrs",IF(P1728&lt;3,"1-3 yrs",IF(P1728&lt;5,"3-5 yrs",IF(P1728&lt;10,"5-10 yrs","10+ yrs"))))</f>
        <v>1-3 yrs</v>
      </c>
      <c r="S1728" s="13" t="str">
        <f aca="false">IF(I1728&gt;=4,"High",IF(I1728=3,"Medium","Low"))</f>
        <v>Low</v>
      </c>
      <c r="T1728" s="13" t="str">
        <f aca="false">IF(M1728=1,YEAR(C1728),"")</f>
        <v/>
      </c>
      <c r="U1728" s="13" t="str">
        <f aca="false">IF(M1728=1,YEAR(C1728)&amp;"-Q"&amp;ROUNDUP(MONTH(C1728)/3,0),"")</f>
        <v/>
      </c>
      <c r="V1728" s="13" t="str">
        <f aca="false">IF(M1728=1,MONTH(C1728),"")</f>
        <v/>
      </c>
    </row>
    <row r="1729" customFormat="false" ht="15" hidden="false" customHeight="false" outlineLevel="0" collapsed="false">
      <c r="A1729" s="13" t="str">
        <f aca="false">TRIM(Raw_Data!A1729)</f>
        <v>EMP1728</v>
      </c>
      <c r="B1729" s="14" t="n">
        <f aca="false">Raw_Data!B1729</f>
        <v>45446</v>
      </c>
      <c r="C1729" s="14" t="str">
        <f aca="false">IF(Raw_Data!C1729="","",Raw_Data!C1729)</f>
        <v/>
      </c>
      <c r="D1729" s="13" t="n">
        <f aca="false">IF(Raw_Data!D1729="","",Raw_Data!D1729)</f>
        <v>32</v>
      </c>
      <c r="E1729" s="13" t="str">
        <f aca="false">IF(UPPER(LEFT(TRIM(Raw_Data!E1729),1))="M","Male",IF(UPPER(LEFT(TRIM(Raw_Data!E1729),1))="F","Female","Unknown"))</f>
        <v>Female</v>
      </c>
      <c r="F1729" s="13" t="str">
        <f aca="false">PROPER(TRIM(SUBSTITUTE(Raw_Data!F1729,"'","")))</f>
        <v>Bachelors</v>
      </c>
      <c r="G1729" s="13" t="str">
        <f aca="false">PROPER(TRIM(Raw_Data!G1729))</f>
        <v>Operations</v>
      </c>
      <c r="H1729" s="13" t="str">
        <f aca="false">PROPER(TRIM(Raw_Data!H1729))</f>
        <v>Associate</v>
      </c>
      <c r="I1729" s="13" t="n">
        <f aca="false">IF(Raw_Data!I1729="",DefaultPerf,Raw_Data!I1729)</f>
        <v>3</v>
      </c>
      <c r="J1729" s="13" t="n">
        <f aca="false">IF(Raw_Data!J1729="",DefaultSat,Raw_Data!J1729)</f>
        <v>1</v>
      </c>
      <c r="K1729" s="15" t="n">
        <f aca="false">Raw_Data!K1729</f>
        <v>32500</v>
      </c>
      <c r="L1729" s="13" t="str">
        <f aca="false">PROPER(TRIM(Raw_Data!N1729))</f>
        <v>No</v>
      </c>
      <c r="M1729" s="13" t="n">
        <f aca="false">IF(C1729="",0,1)</f>
        <v>0</v>
      </c>
      <c r="N1729" s="13" t="str">
        <f aca="false">IF(M1729=0,"Active",IF(TRIM(Raw_Data!L1729)="","Unknown",PROPER(TRIM(Raw_Data!L1729))))</f>
        <v>Active</v>
      </c>
      <c r="O1729" s="13" t="str">
        <f aca="false">IF(M1729=0,"",IF(TRIM(Raw_Data!M1729)="","Not Recorded",TRIM(Raw_Data!M1729)))</f>
        <v/>
      </c>
      <c r="P1729" s="16" t="n">
        <f aca="false">ROUND((IF(C1729="",AsOfDate,C1729)-B1729)/365.25,2)</f>
        <v>1.58</v>
      </c>
      <c r="Q1729" s="13" t="str">
        <f aca="false">IF(D1729="","Unknown",IF(D1729&lt;25,"Under 25",IF(D1729&lt;35,"25-34",IF(D1729&lt;45,"35-44",IF(D1729&lt;55,"45-54","55+")))))</f>
        <v>25-34</v>
      </c>
      <c r="R1729" s="13" t="str">
        <f aca="false">IF(P1729&lt;1,"0-1 yrs",IF(P1729&lt;3,"1-3 yrs",IF(P1729&lt;5,"3-5 yrs",IF(P1729&lt;10,"5-10 yrs","10+ yrs"))))</f>
        <v>1-3 yrs</v>
      </c>
      <c r="S1729" s="13" t="str">
        <f aca="false">IF(I1729&gt;=4,"High",IF(I1729=3,"Medium","Low"))</f>
        <v>Medium</v>
      </c>
      <c r="T1729" s="13" t="str">
        <f aca="false">IF(M1729=1,YEAR(C1729),"")</f>
        <v/>
      </c>
      <c r="U1729" s="13" t="str">
        <f aca="false">IF(M1729=1,YEAR(C1729)&amp;"-Q"&amp;ROUNDUP(MONTH(C1729)/3,0),"")</f>
        <v/>
      </c>
      <c r="V1729" s="13" t="str">
        <f aca="false">IF(M1729=1,MONTH(C1729),"")</f>
        <v/>
      </c>
    </row>
    <row r="1730" customFormat="false" ht="15" hidden="false" customHeight="false" outlineLevel="0" collapsed="false">
      <c r="A1730" s="13" t="str">
        <f aca="false">TRIM(Raw_Data!A1730)</f>
        <v>EMP1729</v>
      </c>
      <c r="B1730" s="14" t="n">
        <f aca="false">Raw_Data!B1730</f>
        <v>45447</v>
      </c>
      <c r="C1730" s="14" t="str">
        <f aca="false">IF(Raw_Data!C1730="","",Raw_Data!C1730)</f>
        <v/>
      </c>
      <c r="D1730" s="13" t="n">
        <f aca="false">IF(Raw_Data!D1730="","",Raw_Data!D1730)</f>
        <v>23</v>
      </c>
      <c r="E1730" s="13" t="str">
        <f aca="false">IF(UPPER(LEFT(TRIM(Raw_Data!E1730),1))="M","Male",IF(UPPER(LEFT(TRIM(Raw_Data!E1730),1))="F","Female","Unknown"))</f>
        <v>Female</v>
      </c>
      <c r="F1730" s="13" t="str">
        <f aca="false">PROPER(TRIM(SUBSTITUTE(Raw_Data!F1730,"'","")))</f>
        <v>Bachelors</v>
      </c>
      <c r="G1730" s="13" t="str">
        <f aca="false">PROPER(TRIM(Raw_Data!G1730))</f>
        <v>Finance</v>
      </c>
      <c r="H1730" s="13" t="str">
        <f aca="false">PROPER(TRIM(Raw_Data!H1730))</f>
        <v>Associate</v>
      </c>
      <c r="I1730" s="13" t="n">
        <f aca="false">IF(Raw_Data!I1730="",DefaultPerf,Raw_Data!I1730)</f>
        <v>1</v>
      </c>
      <c r="J1730" s="13" t="n">
        <f aca="false">IF(Raw_Data!J1730="",DefaultSat,Raw_Data!J1730)</f>
        <v>4</v>
      </c>
      <c r="K1730" s="15" t="n">
        <f aca="false">Raw_Data!K1730</f>
        <v>41500</v>
      </c>
      <c r="L1730" s="13" t="str">
        <f aca="false">PROPER(TRIM(Raw_Data!N1730))</f>
        <v>No</v>
      </c>
      <c r="M1730" s="13" t="n">
        <f aca="false">IF(C1730="",0,1)</f>
        <v>0</v>
      </c>
      <c r="N1730" s="13" t="str">
        <f aca="false">IF(M1730=0,"Active",IF(TRIM(Raw_Data!L1730)="","Unknown",PROPER(TRIM(Raw_Data!L1730))))</f>
        <v>Active</v>
      </c>
      <c r="O1730" s="13" t="str">
        <f aca="false">IF(M1730=0,"",IF(TRIM(Raw_Data!M1730)="","Not Recorded",TRIM(Raw_Data!M1730)))</f>
        <v/>
      </c>
      <c r="P1730" s="16" t="n">
        <f aca="false">ROUND((IF(C1730="",AsOfDate,C1730)-B1730)/365.25,2)</f>
        <v>1.57</v>
      </c>
      <c r="Q1730" s="13" t="str">
        <f aca="false">IF(D1730="","Unknown",IF(D1730&lt;25,"Under 25",IF(D1730&lt;35,"25-34",IF(D1730&lt;45,"35-44",IF(D1730&lt;55,"45-54","55+")))))</f>
        <v>Under 25</v>
      </c>
      <c r="R1730" s="13" t="str">
        <f aca="false">IF(P1730&lt;1,"0-1 yrs",IF(P1730&lt;3,"1-3 yrs",IF(P1730&lt;5,"3-5 yrs",IF(P1730&lt;10,"5-10 yrs","10+ yrs"))))</f>
        <v>1-3 yrs</v>
      </c>
      <c r="S1730" s="13" t="str">
        <f aca="false">IF(I1730&gt;=4,"High",IF(I1730=3,"Medium","Low"))</f>
        <v>Low</v>
      </c>
      <c r="T1730" s="13" t="str">
        <f aca="false">IF(M1730=1,YEAR(C1730),"")</f>
        <v/>
      </c>
      <c r="U1730" s="13" t="str">
        <f aca="false">IF(M1730=1,YEAR(C1730)&amp;"-Q"&amp;ROUNDUP(MONTH(C1730)/3,0),"")</f>
        <v/>
      </c>
      <c r="V1730" s="13" t="str">
        <f aca="false">IF(M1730=1,MONTH(C1730),"")</f>
        <v/>
      </c>
    </row>
    <row r="1731" customFormat="false" ht="15" hidden="false" customHeight="false" outlineLevel="0" collapsed="false">
      <c r="A1731" s="13" t="str">
        <f aca="false">TRIM(Raw_Data!A1731)</f>
        <v>EMP1730</v>
      </c>
      <c r="B1731" s="14" t="n">
        <f aca="false">Raw_Data!B1731</f>
        <v>45453</v>
      </c>
      <c r="C1731" s="14" t="str">
        <f aca="false">IF(Raw_Data!C1731="","",Raw_Data!C1731)</f>
        <v/>
      </c>
      <c r="D1731" s="13" t="n">
        <f aca="false">IF(Raw_Data!D1731="","",Raw_Data!D1731)</f>
        <v>32</v>
      </c>
      <c r="E1731" s="13" t="str">
        <f aca="false">IF(UPPER(LEFT(TRIM(Raw_Data!E1731),1))="M","Male",IF(UPPER(LEFT(TRIM(Raw_Data!E1731),1))="F","Female","Unknown"))</f>
        <v>Female</v>
      </c>
      <c r="F1731" s="13" t="str">
        <f aca="false">PROPER(TRIM(SUBSTITUTE(Raw_Data!F1731,"'","")))</f>
        <v>Diploma</v>
      </c>
      <c r="G1731" s="13" t="str">
        <f aca="false">PROPER(TRIM(Raw_Data!G1731))</f>
        <v>Sales</v>
      </c>
      <c r="H1731" s="13" t="str">
        <f aca="false">PROPER(TRIM(Raw_Data!H1731))</f>
        <v>Manager</v>
      </c>
      <c r="I1731" s="13" t="n">
        <f aca="false">IF(Raw_Data!I1731="",DefaultPerf,Raw_Data!I1731)</f>
        <v>4</v>
      </c>
      <c r="J1731" s="13" t="n">
        <f aca="false">IF(Raw_Data!J1731="",DefaultSat,Raw_Data!J1731)</f>
        <v>3</v>
      </c>
      <c r="K1731" s="15" t="n">
        <f aca="false">Raw_Data!K1731</f>
        <v>170000</v>
      </c>
      <c r="L1731" s="13" t="str">
        <f aca="false">PROPER(TRIM(Raw_Data!N1731))</f>
        <v>Yes</v>
      </c>
      <c r="M1731" s="13" t="n">
        <f aca="false">IF(C1731="",0,1)</f>
        <v>0</v>
      </c>
      <c r="N1731" s="13" t="str">
        <f aca="false">IF(M1731=0,"Active",IF(TRIM(Raw_Data!L1731)="","Unknown",PROPER(TRIM(Raw_Data!L1731))))</f>
        <v>Active</v>
      </c>
      <c r="O1731" s="13" t="str">
        <f aca="false">IF(M1731=0,"",IF(TRIM(Raw_Data!M1731)="","Not Recorded",TRIM(Raw_Data!M1731)))</f>
        <v/>
      </c>
      <c r="P1731" s="16" t="n">
        <f aca="false">ROUND((IF(C1731="",AsOfDate,C1731)-B1731)/365.25,2)</f>
        <v>1.56</v>
      </c>
      <c r="Q1731" s="13" t="str">
        <f aca="false">IF(D1731="","Unknown",IF(D1731&lt;25,"Under 25",IF(D1731&lt;35,"25-34",IF(D1731&lt;45,"35-44",IF(D1731&lt;55,"45-54","55+")))))</f>
        <v>25-34</v>
      </c>
      <c r="R1731" s="13" t="str">
        <f aca="false">IF(P1731&lt;1,"0-1 yrs",IF(P1731&lt;3,"1-3 yrs",IF(P1731&lt;5,"3-5 yrs",IF(P1731&lt;10,"5-10 yrs","10+ yrs"))))</f>
        <v>1-3 yrs</v>
      </c>
      <c r="S1731" s="13" t="str">
        <f aca="false">IF(I1731&gt;=4,"High",IF(I1731=3,"Medium","Low"))</f>
        <v>High</v>
      </c>
      <c r="T1731" s="13" t="str">
        <f aca="false">IF(M1731=1,YEAR(C1731),"")</f>
        <v/>
      </c>
      <c r="U1731" s="13" t="str">
        <f aca="false">IF(M1731=1,YEAR(C1731)&amp;"-Q"&amp;ROUNDUP(MONTH(C1731)/3,0),"")</f>
        <v/>
      </c>
      <c r="V1731" s="13" t="str">
        <f aca="false">IF(M1731=1,MONTH(C1731),"")</f>
        <v/>
      </c>
    </row>
    <row r="1732" customFormat="false" ht="15" hidden="false" customHeight="false" outlineLevel="0" collapsed="false">
      <c r="A1732" s="13" t="str">
        <f aca="false">TRIM(Raw_Data!A1732)</f>
        <v>EMP1731</v>
      </c>
      <c r="B1732" s="14" t="n">
        <f aca="false">Raw_Data!B1732</f>
        <v>45455</v>
      </c>
      <c r="C1732" s="14" t="str">
        <f aca="false">IF(Raw_Data!C1732="","",Raw_Data!C1732)</f>
        <v/>
      </c>
      <c r="D1732" s="13" t="n">
        <f aca="false">IF(Raw_Data!D1732="","",Raw_Data!D1732)</f>
        <v>23</v>
      </c>
      <c r="E1732" s="13" t="str">
        <f aca="false">IF(UPPER(LEFT(TRIM(Raw_Data!E1732),1))="M","Male",IF(UPPER(LEFT(TRIM(Raw_Data!E1732),1))="F","Female","Unknown"))</f>
        <v>Male</v>
      </c>
      <c r="F1732" s="13" t="str">
        <f aca="false">PROPER(TRIM(SUBSTITUTE(Raw_Data!F1732,"'","")))</f>
        <v>Bachelors</v>
      </c>
      <c r="G1732" s="13" t="str">
        <f aca="false">PROPER(TRIM(Raw_Data!G1732))</f>
        <v>Engineering</v>
      </c>
      <c r="H1732" s="13" t="str">
        <f aca="false">PROPER(TRIM(Raw_Data!H1732))</f>
        <v>Associate</v>
      </c>
      <c r="I1732" s="13" t="n">
        <f aca="false">IF(Raw_Data!I1732="",DefaultPerf,Raw_Data!I1732)</f>
        <v>3</v>
      </c>
      <c r="J1732" s="13" t="n">
        <f aca="false">IF(Raw_Data!J1732="",DefaultSat,Raw_Data!J1732)</f>
        <v>4</v>
      </c>
      <c r="K1732" s="15" t="n">
        <f aca="false">Raw_Data!K1732</f>
        <v>35000</v>
      </c>
      <c r="L1732" s="13" t="str">
        <f aca="false">PROPER(TRIM(Raw_Data!N1732))</f>
        <v>No</v>
      </c>
      <c r="M1732" s="13" t="n">
        <f aca="false">IF(C1732="",0,1)</f>
        <v>0</v>
      </c>
      <c r="N1732" s="13" t="str">
        <f aca="false">IF(M1732=0,"Active",IF(TRIM(Raw_Data!L1732)="","Unknown",PROPER(TRIM(Raw_Data!L1732))))</f>
        <v>Active</v>
      </c>
      <c r="O1732" s="13" t="str">
        <f aca="false">IF(M1732=0,"",IF(TRIM(Raw_Data!M1732)="","Not Recorded",TRIM(Raw_Data!M1732)))</f>
        <v/>
      </c>
      <c r="P1732" s="16" t="n">
        <f aca="false">ROUND((IF(C1732="",AsOfDate,C1732)-B1732)/365.25,2)</f>
        <v>1.55</v>
      </c>
      <c r="Q1732" s="13" t="str">
        <f aca="false">IF(D1732="","Unknown",IF(D1732&lt;25,"Under 25",IF(D1732&lt;35,"25-34",IF(D1732&lt;45,"35-44",IF(D1732&lt;55,"45-54","55+")))))</f>
        <v>Under 25</v>
      </c>
      <c r="R1732" s="13" t="str">
        <f aca="false">IF(P1732&lt;1,"0-1 yrs",IF(P1732&lt;3,"1-3 yrs",IF(P1732&lt;5,"3-5 yrs",IF(P1732&lt;10,"5-10 yrs","10+ yrs"))))</f>
        <v>1-3 yrs</v>
      </c>
      <c r="S1732" s="13" t="str">
        <f aca="false">IF(I1732&gt;=4,"High",IF(I1732=3,"Medium","Low"))</f>
        <v>Medium</v>
      </c>
      <c r="T1732" s="13" t="str">
        <f aca="false">IF(M1732=1,YEAR(C1732),"")</f>
        <v/>
      </c>
      <c r="U1732" s="13" t="str">
        <f aca="false">IF(M1732=1,YEAR(C1732)&amp;"-Q"&amp;ROUNDUP(MONTH(C1732)/3,0),"")</f>
        <v/>
      </c>
      <c r="V1732" s="13" t="str">
        <f aca="false">IF(M1732=1,MONTH(C1732),"")</f>
        <v/>
      </c>
    </row>
    <row r="1733" customFormat="false" ht="15" hidden="false" customHeight="false" outlineLevel="0" collapsed="false">
      <c r="A1733" s="13" t="str">
        <f aca="false">TRIM(Raw_Data!A1733)</f>
        <v>EMP1732</v>
      </c>
      <c r="B1733" s="14" t="n">
        <f aca="false">Raw_Data!B1733</f>
        <v>45455</v>
      </c>
      <c r="C1733" s="14" t="str">
        <f aca="false">IF(Raw_Data!C1733="","",Raw_Data!C1733)</f>
        <v/>
      </c>
      <c r="D1733" s="13" t="n">
        <f aca="false">IF(Raw_Data!D1733="","",Raw_Data!D1733)</f>
        <v>26</v>
      </c>
      <c r="E1733" s="13" t="str">
        <f aca="false">IF(UPPER(LEFT(TRIM(Raw_Data!E1733),1))="M","Male",IF(UPPER(LEFT(TRIM(Raw_Data!E1733),1))="F","Female","Unknown"))</f>
        <v>Female</v>
      </c>
      <c r="F1733" s="13" t="str">
        <f aca="false">PROPER(TRIM(SUBSTITUTE(Raw_Data!F1733,"'","")))</f>
        <v>Masters</v>
      </c>
      <c r="G1733" s="13" t="str">
        <f aca="false">PROPER(TRIM(Raw_Data!G1733))</f>
        <v>Customer Support</v>
      </c>
      <c r="H1733" s="13" t="str">
        <f aca="false">PROPER(TRIM(Raw_Data!H1733))</f>
        <v>Associate</v>
      </c>
      <c r="I1733" s="13" t="n">
        <f aca="false">IF(Raw_Data!I1733="",DefaultPerf,Raw_Data!I1733)</f>
        <v>4</v>
      </c>
      <c r="J1733" s="13" t="n">
        <f aca="false">IF(Raw_Data!J1733="",DefaultSat,Raw_Data!J1733)</f>
        <v>4</v>
      </c>
      <c r="K1733" s="15" t="n">
        <f aca="false">Raw_Data!K1733</f>
        <v>37000</v>
      </c>
      <c r="L1733" s="13" t="str">
        <f aca="false">PROPER(TRIM(Raw_Data!N1733))</f>
        <v>No</v>
      </c>
      <c r="M1733" s="13" t="n">
        <f aca="false">IF(C1733="",0,1)</f>
        <v>0</v>
      </c>
      <c r="N1733" s="13" t="str">
        <f aca="false">IF(M1733=0,"Active",IF(TRIM(Raw_Data!L1733)="","Unknown",PROPER(TRIM(Raw_Data!L1733))))</f>
        <v>Active</v>
      </c>
      <c r="O1733" s="13" t="str">
        <f aca="false">IF(M1733=0,"",IF(TRIM(Raw_Data!M1733)="","Not Recorded",TRIM(Raw_Data!M1733)))</f>
        <v/>
      </c>
      <c r="P1733" s="16" t="n">
        <f aca="false">ROUND((IF(C1733="",AsOfDate,C1733)-B1733)/365.25,2)</f>
        <v>1.55</v>
      </c>
      <c r="Q1733" s="13" t="str">
        <f aca="false">IF(D1733="","Unknown",IF(D1733&lt;25,"Under 25",IF(D1733&lt;35,"25-34",IF(D1733&lt;45,"35-44",IF(D1733&lt;55,"45-54","55+")))))</f>
        <v>25-34</v>
      </c>
      <c r="R1733" s="13" t="str">
        <f aca="false">IF(P1733&lt;1,"0-1 yrs",IF(P1733&lt;3,"1-3 yrs",IF(P1733&lt;5,"3-5 yrs",IF(P1733&lt;10,"5-10 yrs","10+ yrs"))))</f>
        <v>1-3 yrs</v>
      </c>
      <c r="S1733" s="13" t="str">
        <f aca="false">IF(I1733&gt;=4,"High",IF(I1733=3,"Medium","Low"))</f>
        <v>High</v>
      </c>
      <c r="T1733" s="13" t="str">
        <f aca="false">IF(M1733=1,YEAR(C1733),"")</f>
        <v/>
      </c>
      <c r="U1733" s="13" t="str">
        <f aca="false">IF(M1733=1,YEAR(C1733)&amp;"-Q"&amp;ROUNDUP(MONTH(C1733)/3,0),"")</f>
        <v/>
      </c>
      <c r="V1733" s="13" t="str">
        <f aca="false">IF(M1733=1,MONTH(C1733),"")</f>
        <v/>
      </c>
    </row>
    <row r="1734" customFormat="false" ht="15" hidden="false" customHeight="false" outlineLevel="0" collapsed="false">
      <c r="A1734" s="13" t="str">
        <f aca="false">TRIM(Raw_Data!A1734)</f>
        <v>EMP1733</v>
      </c>
      <c r="B1734" s="14" t="n">
        <f aca="false">Raw_Data!B1734</f>
        <v>45457</v>
      </c>
      <c r="C1734" s="14" t="str">
        <f aca="false">IF(Raw_Data!C1734="","",Raw_Data!C1734)</f>
        <v/>
      </c>
      <c r="D1734" s="13" t="n">
        <f aca="false">IF(Raw_Data!D1734="","",Raw_Data!D1734)</f>
        <v>34</v>
      </c>
      <c r="E1734" s="13" t="str">
        <f aca="false">IF(UPPER(LEFT(TRIM(Raw_Data!E1734),1))="M","Male",IF(UPPER(LEFT(TRIM(Raw_Data!E1734),1))="F","Female","Unknown"))</f>
        <v>Male</v>
      </c>
      <c r="F1734" s="13" t="str">
        <f aca="false">PROPER(TRIM(SUBSTITUTE(Raw_Data!F1734,"'","")))</f>
        <v>Masters</v>
      </c>
      <c r="G1734" s="13" t="str">
        <f aca="false">PROPER(TRIM(Raw_Data!G1734))</f>
        <v>Engineering</v>
      </c>
      <c r="H1734" s="13" t="str">
        <f aca="false">PROPER(TRIM(Raw_Data!H1734))</f>
        <v>Associate</v>
      </c>
      <c r="I1734" s="13" t="n">
        <f aca="false">IF(Raw_Data!I1734="",DefaultPerf,Raw_Data!I1734)</f>
        <v>3</v>
      </c>
      <c r="J1734" s="13" t="n">
        <f aca="false">IF(Raw_Data!J1734="",DefaultSat,Raw_Data!J1734)</f>
        <v>4</v>
      </c>
      <c r="K1734" s="15" t="n">
        <f aca="false">Raw_Data!K1734</f>
        <v>38000</v>
      </c>
      <c r="L1734" s="13" t="str">
        <f aca="false">PROPER(TRIM(Raw_Data!N1734))</f>
        <v>Yes</v>
      </c>
      <c r="M1734" s="13" t="n">
        <f aca="false">IF(C1734="",0,1)</f>
        <v>0</v>
      </c>
      <c r="N1734" s="13" t="str">
        <f aca="false">IF(M1734=0,"Active",IF(TRIM(Raw_Data!L1734)="","Unknown",PROPER(TRIM(Raw_Data!L1734))))</f>
        <v>Active</v>
      </c>
      <c r="O1734" s="13" t="str">
        <f aca="false">IF(M1734=0,"",IF(TRIM(Raw_Data!M1734)="","Not Recorded",TRIM(Raw_Data!M1734)))</f>
        <v/>
      </c>
      <c r="P1734" s="16" t="n">
        <f aca="false">ROUND((IF(C1734="",AsOfDate,C1734)-B1734)/365.25,2)</f>
        <v>1.55</v>
      </c>
      <c r="Q1734" s="13" t="str">
        <f aca="false">IF(D1734="","Unknown",IF(D1734&lt;25,"Under 25",IF(D1734&lt;35,"25-34",IF(D1734&lt;45,"35-44",IF(D1734&lt;55,"45-54","55+")))))</f>
        <v>25-34</v>
      </c>
      <c r="R1734" s="13" t="str">
        <f aca="false">IF(P1734&lt;1,"0-1 yrs",IF(P1734&lt;3,"1-3 yrs",IF(P1734&lt;5,"3-5 yrs",IF(P1734&lt;10,"5-10 yrs","10+ yrs"))))</f>
        <v>1-3 yrs</v>
      </c>
      <c r="S1734" s="13" t="str">
        <f aca="false">IF(I1734&gt;=4,"High",IF(I1734=3,"Medium","Low"))</f>
        <v>Medium</v>
      </c>
      <c r="T1734" s="13" t="str">
        <f aca="false">IF(M1734=1,YEAR(C1734),"")</f>
        <v/>
      </c>
      <c r="U1734" s="13" t="str">
        <f aca="false">IF(M1734=1,YEAR(C1734)&amp;"-Q"&amp;ROUNDUP(MONTH(C1734)/3,0),"")</f>
        <v/>
      </c>
      <c r="V1734" s="13" t="str">
        <f aca="false">IF(M1734=1,MONTH(C1734),"")</f>
        <v/>
      </c>
    </row>
    <row r="1735" customFormat="false" ht="15" hidden="false" customHeight="false" outlineLevel="0" collapsed="false">
      <c r="A1735" s="13" t="str">
        <f aca="false">TRIM(Raw_Data!A1735)</f>
        <v>EMP1734</v>
      </c>
      <c r="B1735" s="14" t="n">
        <f aca="false">Raw_Data!B1735</f>
        <v>45460</v>
      </c>
      <c r="C1735" s="14" t="n">
        <f aca="false">IF(Raw_Data!C1735="","",Raw_Data!C1735)</f>
        <v>45743</v>
      </c>
      <c r="D1735" s="13" t="n">
        <f aca="false">IF(Raw_Data!D1735="","",Raw_Data!D1735)</f>
        <v>26</v>
      </c>
      <c r="E1735" s="13" t="str">
        <f aca="false">IF(UPPER(LEFT(TRIM(Raw_Data!E1735),1))="M","Male",IF(UPPER(LEFT(TRIM(Raw_Data!E1735),1))="F","Female","Unknown"))</f>
        <v>Female</v>
      </c>
      <c r="F1735" s="13" t="str">
        <f aca="false">PROPER(TRIM(SUBSTITUTE(Raw_Data!F1735,"'","")))</f>
        <v>Masters</v>
      </c>
      <c r="G1735" s="13" t="str">
        <f aca="false">PROPER(TRIM(Raw_Data!G1735))</f>
        <v>Sales</v>
      </c>
      <c r="H1735" s="13" t="str">
        <f aca="false">PROPER(TRIM(Raw_Data!H1735))</f>
        <v>Senior Analyst</v>
      </c>
      <c r="I1735" s="17" t="n">
        <f aca="false">IF(Raw_Data!I1735="",DefaultPerf,Raw_Data!I1735)</f>
        <v>3</v>
      </c>
      <c r="J1735" s="13" t="n">
        <f aca="false">IF(Raw_Data!J1735="",DefaultSat,Raw_Data!J1735)</f>
        <v>1</v>
      </c>
      <c r="K1735" s="15" t="n">
        <f aca="false">Raw_Data!K1735</f>
        <v>83000</v>
      </c>
      <c r="L1735" s="13" t="str">
        <f aca="false">PROPER(TRIM(Raw_Data!N1735))</f>
        <v>Yes</v>
      </c>
      <c r="M1735" s="13" t="n">
        <f aca="false">IF(C1735="",0,1)</f>
        <v>1</v>
      </c>
      <c r="N1735" s="13" t="str">
        <f aca="false">IF(M1735=0,"Active",IF(TRIM(Raw_Data!L1735)="","Unknown",PROPER(TRIM(Raw_Data!L1735))))</f>
        <v>Voluntary</v>
      </c>
      <c r="O1735" s="13" t="str">
        <f aca="false">IF(M1735=0,"",IF(TRIM(Raw_Data!M1735)="","Not Recorded",TRIM(Raw_Data!M1735)))</f>
        <v>Relocation</v>
      </c>
      <c r="P1735" s="16" t="n">
        <f aca="false">ROUND((IF(C1735="",AsOfDate,C1735)-B1735)/365.25,2)</f>
        <v>0.77</v>
      </c>
      <c r="Q1735" s="13" t="str">
        <f aca="false">IF(D1735="","Unknown",IF(D1735&lt;25,"Under 25",IF(D1735&lt;35,"25-34",IF(D1735&lt;45,"35-44",IF(D1735&lt;55,"45-54","55+")))))</f>
        <v>25-34</v>
      </c>
      <c r="R1735" s="13" t="str">
        <f aca="false">IF(P1735&lt;1,"0-1 yrs",IF(P1735&lt;3,"1-3 yrs",IF(P1735&lt;5,"3-5 yrs",IF(P1735&lt;10,"5-10 yrs","10+ yrs"))))</f>
        <v>0-1 yrs</v>
      </c>
      <c r="S1735" s="13" t="str">
        <f aca="false">IF(I1735&gt;=4,"High",IF(I1735=3,"Medium","Low"))</f>
        <v>Medium</v>
      </c>
      <c r="T1735" s="13" t="n">
        <f aca="false">IF(M1735=1,YEAR(C1735),"")</f>
        <v>2025</v>
      </c>
      <c r="U1735" s="13" t="str">
        <f aca="false">IF(M1735=1,YEAR(C1735)&amp;"-Q"&amp;ROUNDUP(MONTH(C1735)/3,0),"")</f>
        <v>2025-Q1</v>
      </c>
      <c r="V1735" s="13" t="n">
        <f aca="false">IF(M1735=1,MONTH(C1735),"")</f>
        <v>3</v>
      </c>
    </row>
    <row r="1736" customFormat="false" ht="15" hidden="false" customHeight="false" outlineLevel="0" collapsed="false">
      <c r="A1736" s="13" t="str">
        <f aca="false">TRIM(Raw_Data!A1736)</f>
        <v>EMP1735</v>
      </c>
      <c r="B1736" s="14" t="n">
        <f aca="false">Raw_Data!B1736</f>
        <v>45460</v>
      </c>
      <c r="C1736" s="14" t="str">
        <f aca="false">IF(Raw_Data!C1736="","",Raw_Data!C1736)</f>
        <v/>
      </c>
      <c r="D1736" s="13" t="n">
        <f aca="false">IF(Raw_Data!D1736="","",Raw_Data!D1736)</f>
        <v>31</v>
      </c>
      <c r="E1736" s="13" t="str">
        <f aca="false">IF(UPPER(LEFT(TRIM(Raw_Data!E1736),1))="M","Male",IF(UPPER(LEFT(TRIM(Raw_Data!E1736),1))="F","Female","Unknown"))</f>
        <v>Male</v>
      </c>
      <c r="F1736" s="13" t="str">
        <f aca="false">PROPER(TRIM(SUBSTITUTE(Raw_Data!F1736,"'","")))</f>
        <v>Masters</v>
      </c>
      <c r="G1736" s="13" t="str">
        <f aca="false">PROPER(TRIM(Raw_Data!G1736))</f>
        <v>Engineering</v>
      </c>
      <c r="H1736" s="13" t="str">
        <f aca="false">PROPER(TRIM(Raw_Data!H1736))</f>
        <v>Specialist</v>
      </c>
      <c r="I1736" s="13" t="n">
        <f aca="false">IF(Raw_Data!I1736="",DefaultPerf,Raw_Data!I1736)</f>
        <v>4</v>
      </c>
      <c r="J1736" s="13" t="n">
        <f aca="false">IF(Raw_Data!J1736="",DefaultSat,Raw_Data!J1736)</f>
        <v>3</v>
      </c>
      <c r="K1736" s="15" t="n">
        <f aca="false">Raw_Data!K1736</f>
        <v>90500</v>
      </c>
      <c r="L1736" s="13" t="str">
        <f aca="false">PROPER(TRIM(Raw_Data!N1736))</f>
        <v>No</v>
      </c>
      <c r="M1736" s="13" t="n">
        <f aca="false">IF(C1736="",0,1)</f>
        <v>0</v>
      </c>
      <c r="N1736" s="13" t="str">
        <f aca="false">IF(M1736=0,"Active",IF(TRIM(Raw_Data!L1736)="","Unknown",PROPER(TRIM(Raw_Data!L1736))))</f>
        <v>Active</v>
      </c>
      <c r="O1736" s="13" t="str">
        <f aca="false">IF(M1736=0,"",IF(TRIM(Raw_Data!M1736)="","Not Recorded",TRIM(Raw_Data!M1736)))</f>
        <v/>
      </c>
      <c r="P1736" s="16" t="n">
        <f aca="false">ROUND((IF(C1736="",AsOfDate,C1736)-B1736)/365.25,2)</f>
        <v>1.54</v>
      </c>
      <c r="Q1736" s="13" t="str">
        <f aca="false">IF(D1736="","Unknown",IF(D1736&lt;25,"Under 25",IF(D1736&lt;35,"25-34",IF(D1736&lt;45,"35-44",IF(D1736&lt;55,"45-54","55+")))))</f>
        <v>25-34</v>
      </c>
      <c r="R1736" s="13" t="str">
        <f aca="false">IF(P1736&lt;1,"0-1 yrs",IF(P1736&lt;3,"1-3 yrs",IF(P1736&lt;5,"3-5 yrs",IF(P1736&lt;10,"5-10 yrs","10+ yrs"))))</f>
        <v>1-3 yrs</v>
      </c>
      <c r="S1736" s="13" t="str">
        <f aca="false">IF(I1736&gt;=4,"High",IF(I1736=3,"Medium","Low"))</f>
        <v>High</v>
      </c>
      <c r="T1736" s="13" t="str">
        <f aca="false">IF(M1736=1,YEAR(C1736),"")</f>
        <v/>
      </c>
      <c r="U1736" s="13" t="str">
        <f aca="false">IF(M1736=1,YEAR(C1736)&amp;"-Q"&amp;ROUNDUP(MONTH(C1736)/3,0),"")</f>
        <v/>
      </c>
      <c r="V1736" s="13" t="str">
        <f aca="false">IF(M1736=1,MONTH(C1736),"")</f>
        <v/>
      </c>
    </row>
    <row r="1737" customFormat="false" ht="15" hidden="false" customHeight="false" outlineLevel="0" collapsed="false">
      <c r="A1737" s="13" t="str">
        <f aca="false">TRIM(Raw_Data!A1737)</f>
        <v>EMP1736</v>
      </c>
      <c r="B1737" s="14" t="n">
        <f aca="false">Raw_Data!B1737</f>
        <v>45461</v>
      </c>
      <c r="C1737" s="14" t="str">
        <f aca="false">IF(Raw_Data!C1737="","",Raw_Data!C1737)</f>
        <v/>
      </c>
      <c r="D1737" s="13" t="n">
        <f aca="false">IF(Raw_Data!D1737="","",Raw_Data!D1737)</f>
        <v>34</v>
      </c>
      <c r="E1737" s="13" t="str">
        <f aca="false">IF(UPPER(LEFT(TRIM(Raw_Data!E1737),1))="M","Male",IF(UPPER(LEFT(TRIM(Raw_Data!E1737),1))="F","Female","Unknown"))</f>
        <v>Female</v>
      </c>
      <c r="F1737" s="13" t="str">
        <f aca="false">PROPER(TRIM(SUBSTITUTE(Raw_Data!F1737,"'","")))</f>
        <v>Masters</v>
      </c>
      <c r="G1737" s="13" t="str">
        <f aca="false">PROPER(TRIM(Raw_Data!G1737))</f>
        <v>Engineering</v>
      </c>
      <c r="H1737" s="13" t="str">
        <f aca="false">PROPER(TRIM(Raw_Data!H1737))</f>
        <v>Associate</v>
      </c>
      <c r="I1737" s="13" t="n">
        <f aca="false">IF(Raw_Data!I1737="",DefaultPerf,Raw_Data!I1737)</f>
        <v>3</v>
      </c>
      <c r="J1737" s="13" t="n">
        <f aca="false">IF(Raw_Data!J1737="",DefaultSat,Raw_Data!J1737)</f>
        <v>3</v>
      </c>
      <c r="K1737" s="15" t="n">
        <f aca="false">Raw_Data!K1737</f>
        <v>35500</v>
      </c>
      <c r="L1737" s="13" t="str">
        <f aca="false">PROPER(TRIM(Raw_Data!N1737))</f>
        <v>No</v>
      </c>
      <c r="M1737" s="13" t="n">
        <f aca="false">IF(C1737="",0,1)</f>
        <v>0</v>
      </c>
      <c r="N1737" s="13" t="str">
        <f aca="false">IF(M1737=0,"Active",IF(TRIM(Raw_Data!L1737)="","Unknown",PROPER(TRIM(Raw_Data!L1737))))</f>
        <v>Active</v>
      </c>
      <c r="O1737" s="13" t="str">
        <f aca="false">IF(M1737=0,"",IF(TRIM(Raw_Data!M1737)="","Not Recorded",TRIM(Raw_Data!M1737)))</f>
        <v/>
      </c>
      <c r="P1737" s="16" t="n">
        <f aca="false">ROUND((IF(C1737="",AsOfDate,C1737)-B1737)/365.25,2)</f>
        <v>1.54</v>
      </c>
      <c r="Q1737" s="13" t="str">
        <f aca="false">IF(D1737="","Unknown",IF(D1737&lt;25,"Under 25",IF(D1737&lt;35,"25-34",IF(D1737&lt;45,"35-44",IF(D1737&lt;55,"45-54","55+")))))</f>
        <v>25-34</v>
      </c>
      <c r="R1737" s="13" t="str">
        <f aca="false">IF(P1737&lt;1,"0-1 yrs",IF(P1737&lt;3,"1-3 yrs",IF(P1737&lt;5,"3-5 yrs",IF(P1737&lt;10,"5-10 yrs","10+ yrs"))))</f>
        <v>1-3 yrs</v>
      </c>
      <c r="S1737" s="13" t="str">
        <f aca="false">IF(I1737&gt;=4,"High",IF(I1737=3,"Medium","Low"))</f>
        <v>Medium</v>
      </c>
      <c r="T1737" s="13" t="str">
        <f aca="false">IF(M1737=1,YEAR(C1737),"")</f>
        <v/>
      </c>
      <c r="U1737" s="13" t="str">
        <f aca="false">IF(M1737=1,YEAR(C1737)&amp;"-Q"&amp;ROUNDUP(MONTH(C1737)/3,0),"")</f>
        <v/>
      </c>
      <c r="V1737" s="13" t="str">
        <f aca="false">IF(M1737=1,MONTH(C1737),"")</f>
        <v/>
      </c>
    </row>
    <row r="1738" customFormat="false" ht="15" hidden="false" customHeight="false" outlineLevel="0" collapsed="false">
      <c r="A1738" s="13" t="str">
        <f aca="false">TRIM(Raw_Data!A1738)</f>
        <v>EMP1737</v>
      </c>
      <c r="B1738" s="14" t="n">
        <f aca="false">Raw_Data!B1738</f>
        <v>45463</v>
      </c>
      <c r="C1738" s="14" t="str">
        <f aca="false">IF(Raw_Data!C1738="","",Raw_Data!C1738)</f>
        <v/>
      </c>
      <c r="D1738" s="13" t="n">
        <f aca="false">IF(Raw_Data!D1738="","",Raw_Data!D1738)</f>
        <v>33</v>
      </c>
      <c r="E1738" s="13" t="str">
        <f aca="false">IF(UPPER(LEFT(TRIM(Raw_Data!E1738),1))="M","Male",IF(UPPER(LEFT(TRIM(Raw_Data!E1738),1))="F","Female","Unknown"))</f>
        <v>Male</v>
      </c>
      <c r="F1738" s="13" t="str">
        <f aca="false">PROPER(TRIM(SUBSTITUTE(Raw_Data!F1738,"'","")))</f>
        <v>Masters</v>
      </c>
      <c r="G1738" s="13" t="str">
        <f aca="false">PROPER(TRIM(Raw_Data!G1738))</f>
        <v>Customer Support</v>
      </c>
      <c r="H1738" s="13" t="str">
        <f aca="false">PROPER(TRIM(Raw_Data!H1738))</f>
        <v>Analyst</v>
      </c>
      <c r="I1738" s="13" t="n">
        <f aca="false">IF(Raw_Data!I1738="",DefaultPerf,Raw_Data!I1738)</f>
        <v>4</v>
      </c>
      <c r="J1738" s="13" t="n">
        <f aca="false">IF(Raw_Data!J1738="",DefaultSat,Raw_Data!J1738)</f>
        <v>4</v>
      </c>
      <c r="K1738" s="15" t="n">
        <f aca="false">Raw_Data!K1738</f>
        <v>54500</v>
      </c>
      <c r="L1738" s="13" t="str">
        <f aca="false">PROPER(TRIM(Raw_Data!N1738))</f>
        <v>No</v>
      </c>
      <c r="M1738" s="13" t="n">
        <f aca="false">IF(C1738="",0,1)</f>
        <v>0</v>
      </c>
      <c r="N1738" s="13" t="str">
        <f aca="false">IF(M1738=0,"Active",IF(TRIM(Raw_Data!L1738)="","Unknown",PROPER(TRIM(Raw_Data!L1738))))</f>
        <v>Active</v>
      </c>
      <c r="O1738" s="13" t="str">
        <f aca="false">IF(M1738=0,"",IF(TRIM(Raw_Data!M1738)="","Not Recorded",TRIM(Raw_Data!M1738)))</f>
        <v/>
      </c>
      <c r="P1738" s="16" t="n">
        <f aca="false">ROUND((IF(C1738="",AsOfDate,C1738)-B1738)/365.25,2)</f>
        <v>1.53</v>
      </c>
      <c r="Q1738" s="13" t="str">
        <f aca="false">IF(D1738="","Unknown",IF(D1738&lt;25,"Under 25",IF(D1738&lt;35,"25-34",IF(D1738&lt;45,"35-44",IF(D1738&lt;55,"45-54","55+")))))</f>
        <v>25-34</v>
      </c>
      <c r="R1738" s="13" t="str">
        <f aca="false">IF(P1738&lt;1,"0-1 yrs",IF(P1738&lt;3,"1-3 yrs",IF(P1738&lt;5,"3-5 yrs",IF(P1738&lt;10,"5-10 yrs","10+ yrs"))))</f>
        <v>1-3 yrs</v>
      </c>
      <c r="S1738" s="13" t="str">
        <f aca="false">IF(I1738&gt;=4,"High",IF(I1738=3,"Medium","Low"))</f>
        <v>High</v>
      </c>
      <c r="T1738" s="13" t="str">
        <f aca="false">IF(M1738=1,YEAR(C1738),"")</f>
        <v/>
      </c>
      <c r="U1738" s="13" t="str">
        <f aca="false">IF(M1738=1,YEAR(C1738)&amp;"-Q"&amp;ROUNDUP(MONTH(C1738)/3,0),"")</f>
        <v/>
      </c>
      <c r="V1738" s="13" t="str">
        <f aca="false">IF(M1738=1,MONTH(C1738),"")</f>
        <v/>
      </c>
    </row>
    <row r="1739" customFormat="false" ht="15" hidden="false" customHeight="false" outlineLevel="0" collapsed="false">
      <c r="A1739" s="13" t="str">
        <f aca="false">TRIM(Raw_Data!A1739)</f>
        <v>EMP1738</v>
      </c>
      <c r="B1739" s="14" t="n">
        <f aca="false">Raw_Data!B1739</f>
        <v>45463</v>
      </c>
      <c r="C1739" s="14" t="str">
        <f aca="false">IF(Raw_Data!C1739="","",Raw_Data!C1739)</f>
        <v/>
      </c>
      <c r="D1739" s="13" t="n">
        <f aca="false">IF(Raw_Data!D1739="","",Raw_Data!D1739)</f>
        <v>37</v>
      </c>
      <c r="E1739" s="13" t="str">
        <f aca="false">IF(UPPER(LEFT(TRIM(Raw_Data!E1739),1))="M","Male",IF(UPPER(LEFT(TRIM(Raw_Data!E1739),1))="F","Female","Unknown"))</f>
        <v>Male</v>
      </c>
      <c r="F1739" s="13" t="str">
        <f aca="false">PROPER(TRIM(SUBSTITUTE(Raw_Data!F1739,"'","")))</f>
        <v>Masters</v>
      </c>
      <c r="G1739" s="13" t="str">
        <f aca="false">PROPER(TRIM(Raw_Data!G1739))</f>
        <v>Operations</v>
      </c>
      <c r="H1739" s="13" t="str">
        <f aca="false">PROPER(TRIM(Raw_Data!H1739))</f>
        <v>Analyst</v>
      </c>
      <c r="I1739" s="13" t="n">
        <f aca="false">IF(Raw_Data!I1739="",DefaultPerf,Raw_Data!I1739)</f>
        <v>4</v>
      </c>
      <c r="J1739" s="13" t="n">
        <f aca="false">IF(Raw_Data!J1739="",DefaultSat,Raw_Data!J1739)</f>
        <v>2</v>
      </c>
      <c r="K1739" s="15" t="n">
        <f aca="false">Raw_Data!K1739</f>
        <v>58500</v>
      </c>
      <c r="L1739" s="13" t="str">
        <f aca="false">PROPER(TRIM(Raw_Data!N1739))</f>
        <v>No</v>
      </c>
      <c r="M1739" s="13" t="n">
        <f aca="false">IF(C1739="",0,1)</f>
        <v>0</v>
      </c>
      <c r="N1739" s="13" t="str">
        <f aca="false">IF(M1739=0,"Active",IF(TRIM(Raw_Data!L1739)="","Unknown",PROPER(TRIM(Raw_Data!L1739))))</f>
        <v>Active</v>
      </c>
      <c r="O1739" s="13" t="str">
        <f aca="false">IF(M1739=0,"",IF(TRIM(Raw_Data!M1739)="","Not Recorded",TRIM(Raw_Data!M1739)))</f>
        <v/>
      </c>
      <c r="P1739" s="16" t="n">
        <f aca="false">ROUND((IF(C1739="",AsOfDate,C1739)-B1739)/365.25,2)</f>
        <v>1.53</v>
      </c>
      <c r="Q1739" s="13" t="str">
        <f aca="false">IF(D1739="","Unknown",IF(D1739&lt;25,"Under 25",IF(D1739&lt;35,"25-34",IF(D1739&lt;45,"35-44",IF(D1739&lt;55,"45-54","55+")))))</f>
        <v>35-44</v>
      </c>
      <c r="R1739" s="13" t="str">
        <f aca="false">IF(P1739&lt;1,"0-1 yrs",IF(P1739&lt;3,"1-3 yrs",IF(P1739&lt;5,"3-5 yrs",IF(P1739&lt;10,"5-10 yrs","10+ yrs"))))</f>
        <v>1-3 yrs</v>
      </c>
      <c r="S1739" s="13" t="str">
        <f aca="false">IF(I1739&gt;=4,"High",IF(I1739=3,"Medium","Low"))</f>
        <v>High</v>
      </c>
      <c r="T1739" s="13" t="str">
        <f aca="false">IF(M1739=1,YEAR(C1739),"")</f>
        <v/>
      </c>
      <c r="U1739" s="13" t="str">
        <f aca="false">IF(M1739=1,YEAR(C1739)&amp;"-Q"&amp;ROUNDUP(MONTH(C1739)/3,0),"")</f>
        <v/>
      </c>
      <c r="V1739" s="13" t="str">
        <f aca="false">IF(M1739=1,MONTH(C1739),"")</f>
        <v/>
      </c>
    </row>
    <row r="1740" customFormat="false" ht="15" hidden="false" customHeight="false" outlineLevel="0" collapsed="false">
      <c r="A1740" s="13" t="str">
        <f aca="false">TRIM(Raw_Data!A1740)</f>
        <v>EMP1739</v>
      </c>
      <c r="B1740" s="14" t="n">
        <f aca="false">Raw_Data!B1740</f>
        <v>45465</v>
      </c>
      <c r="C1740" s="14" t="str">
        <f aca="false">IF(Raw_Data!C1740="","",Raw_Data!C1740)</f>
        <v/>
      </c>
      <c r="D1740" s="13" t="n">
        <f aca="false">IF(Raw_Data!D1740="","",Raw_Data!D1740)</f>
        <v>26</v>
      </c>
      <c r="E1740" s="13" t="str">
        <f aca="false">IF(UPPER(LEFT(TRIM(Raw_Data!E1740),1))="M","Male",IF(UPPER(LEFT(TRIM(Raw_Data!E1740),1))="F","Female","Unknown"))</f>
        <v>Male</v>
      </c>
      <c r="F1740" s="13" t="str">
        <f aca="false">PROPER(TRIM(SUBSTITUTE(Raw_Data!F1740,"'","")))</f>
        <v>Bachelors</v>
      </c>
      <c r="G1740" s="13" t="str">
        <f aca="false">PROPER(TRIM(Raw_Data!G1740))</f>
        <v>Finance</v>
      </c>
      <c r="H1740" s="13" t="str">
        <f aca="false">PROPER(TRIM(Raw_Data!H1740))</f>
        <v>Manager</v>
      </c>
      <c r="I1740" s="13" t="n">
        <f aca="false">IF(Raw_Data!I1740="",DefaultPerf,Raw_Data!I1740)</f>
        <v>4</v>
      </c>
      <c r="J1740" s="13" t="n">
        <f aca="false">IF(Raw_Data!J1740="",DefaultSat,Raw_Data!J1740)</f>
        <v>2</v>
      </c>
      <c r="K1740" s="15" t="n">
        <f aca="false">Raw_Data!K1740</f>
        <v>166000</v>
      </c>
      <c r="L1740" s="13" t="str">
        <f aca="false">PROPER(TRIM(Raw_Data!N1740))</f>
        <v>Yes</v>
      </c>
      <c r="M1740" s="13" t="n">
        <f aca="false">IF(C1740="",0,1)</f>
        <v>0</v>
      </c>
      <c r="N1740" s="13" t="str">
        <f aca="false">IF(M1740=0,"Active",IF(TRIM(Raw_Data!L1740)="","Unknown",PROPER(TRIM(Raw_Data!L1740))))</f>
        <v>Active</v>
      </c>
      <c r="O1740" s="13" t="str">
        <f aca="false">IF(M1740=0,"",IF(TRIM(Raw_Data!M1740)="","Not Recorded",TRIM(Raw_Data!M1740)))</f>
        <v/>
      </c>
      <c r="P1740" s="16" t="n">
        <f aca="false">ROUND((IF(C1740="",AsOfDate,C1740)-B1740)/365.25,2)</f>
        <v>1.52</v>
      </c>
      <c r="Q1740" s="13" t="str">
        <f aca="false">IF(D1740="","Unknown",IF(D1740&lt;25,"Under 25",IF(D1740&lt;35,"25-34",IF(D1740&lt;45,"35-44",IF(D1740&lt;55,"45-54","55+")))))</f>
        <v>25-34</v>
      </c>
      <c r="R1740" s="13" t="str">
        <f aca="false">IF(P1740&lt;1,"0-1 yrs",IF(P1740&lt;3,"1-3 yrs",IF(P1740&lt;5,"3-5 yrs",IF(P1740&lt;10,"5-10 yrs","10+ yrs"))))</f>
        <v>1-3 yrs</v>
      </c>
      <c r="S1740" s="13" t="str">
        <f aca="false">IF(I1740&gt;=4,"High",IF(I1740=3,"Medium","Low"))</f>
        <v>High</v>
      </c>
      <c r="T1740" s="13" t="str">
        <f aca="false">IF(M1740=1,YEAR(C1740),"")</f>
        <v/>
      </c>
      <c r="U1740" s="13" t="str">
        <f aca="false">IF(M1740=1,YEAR(C1740)&amp;"-Q"&amp;ROUNDUP(MONTH(C1740)/3,0),"")</f>
        <v/>
      </c>
      <c r="V1740" s="13" t="str">
        <f aca="false">IF(M1740=1,MONTH(C1740),"")</f>
        <v/>
      </c>
    </row>
    <row r="1741" customFormat="false" ht="15" hidden="false" customHeight="false" outlineLevel="0" collapsed="false">
      <c r="A1741" s="13" t="str">
        <f aca="false">TRIM(Raw_Data!A1741)</f>
        <v>EMP1740</v>
      </c>
      <c r="B1741" s="14" t="n">
        <f aca="false">Raw_Data!B1741</f>
        <v>45465</v>
      </c>
      <c r="C1741" s="14" t="str">
        <f aca="false">IF(Raw_Data!C1741="","",Raw_Data!C1741)</f>
        <v/>
      </c>
      <c r="D1741" s="13" t="n">
        <f aca="false">IF(Raw_Data!D1741="","",Raw_Data!D1741)</f>
        <v>29</v>
      </c>
      <c r="E1741" s="13" t="str">
        <f aca="false">IF(UPPER(LEFT(TRIM(Raw_Data!E1741),1))="M","Male",IF(UPPER(LEFT(TRIM(Raw_Data!E1741),1))="F","Female","Unknown"))</f>
        <v>Female</v>
      </c>
      <c r="F1741" s="13" t="str">
        <f aca="false">PROPER(TRIM(SUBSTITUTE(Raw_Data!F1741,"'","")))</f>
        <v>Masters</v>
      </c>
      <c r="G1741" s="13" t="str">
        <f aca="false">PROPER(TRIM(Raw_Data!G1741))</f>
        <v>Customer Support</v>
      </c>
      <c r="H1741" s="13" t="str">
        <f aca="false">PROPER(TRIM(Raw_Data!H1741))</f>
        <v>Senior Analyst</v>
      </c>
      <c r="I1741" s="13" t="n">
        <f aca="false">IF(Raw_Data!I1741="",DefaultPerf,Raw_Data!I1741)</f>
        <v>4</v>
      </c>
      <c r="J1741" s="13" t="n">
        <f aca="false">IF(Raw_Data!J1741="",DefaultSat,Raw_Data!J1741)</f>
        <v>3</v>
      </c>
      <c r="K1741" s="15" t="n">
        <f aca="false">Raw_Data!K1741</f>
        <v>96000</v>
      </c>
      <c r="L1741" s="13" t="str">
        <f aca="false">PROPER(TRIM(Raw_Data!N1741))</f>
        <v>No</v>
      </c>
      <c r="M1741" s="13" t="n">
        <f aca="false">IF(C1741="",0,1)</f>
        <v>0</v>
      </c>
      <c r="N1741" s="13" t="str">
        <f aca="false">IF(M1741=0,"Active",IF(TRIM(Raw_Data!L1741)="","Unknown",PROPER(TRIM(Raw_Data!L1741))))</f>
        <v>Active</v>
      </c>
      <c r="O1741" s="13" t="str">
        <f aca="false">IF(M1741=0,"",IF(TRIM(Raw_Data!M1741)="","Not Recorded",TRIM(Raw_Data!M1741)))</f>
        <v/>
      </c>
      <c r="P1741" s="16" t="n">
        <f aca="false">ROUND((IF(C1741="",AsOfDate,C1741)-B1741)/365.25,2)</f>
        <v>1.52</v>
      </c>
      <c r="Q1741" s="13" t="str">
        <f aca="false">IF(D1741="","Unknown",IF(D1741&lt;25,"Under 25",IF(D1741&lt;35,"25-34",IF(D1741&lt;45,"35-44",IF(D1741&lt;55,"45-54","55+")))))</f>
        <v>25-34</v>
      </c>
      <c r="R1741" s="13" t="str">
        <f aca="false">IF(P1741&lt;1,"0-1 yrs",IF(P1741&lt;3,"1-3 yrs",IF(P1741&lt;5,"3-5 yrs",IF(P1741&lt;10,"5-10 yrs","10+ yrs"))))</f>
        <v>1-3 yrs</v>
      </c>
      <c r="S1741" s="13" t="str">
        <f aca="false">IF(I1741&gt;=4,"High",IF(I1741=3,"Medium","Low"))</f>
        <v>High</v>
      </c>
      <c r="T1741" s="13" t="str">
        <f aca="false">IF(M1741=1,YEAR(C1741),"")</f>
        <v/>
      </c>
      <c r="U1741" s="13" t="str">
        <f aca="false">IF(M1741=1,YEAR(C1741)&amp;"-Q"&amp;ROUNDUP(MONTH(C1741)/3,0),"")</f>
        <v/>
      </c>
      <c r="V1741" s="13" t="str">
        <f aca="false">IF(M1741=1,MONTH(C1741),"")</f>
        <v/>
      </c>
    </row>
    <row r="1742" customFormat="false" ht="15" hidden="false" customHeight="false" outlineLevel="0" collapsed="false">
      <c r="A1742" s="13" t="str">
        <f aca="false">TRIM(Raw_Data!A1742)</f>
        <v>EMP1741</v>
      </c>
      <c r="B1742" s="14" t="n">
        <f aca="false">Raw_Data!B1742</f>
        <v>45467</v>
      </c>
      <c r="C1742" s="14" t="str">
        <f aca="false">IF(Raw_Data!C1742="","",Raw_Data!C1742)</f>
        <v/>
      </c>
      <c r="D1742" s="13" t="n">
        <f aca="false">IF(Raw_Data!D1742="","",Raw_Data!D1742)</f>
        <v>32</v>
      </c>
      <c r="E1742" s="13" t="str">
        <f aca="false">IF(UPPER(LEFT(TRIM(Raw_Data!E1742),1))="M","Male",IF(UPPER(LEFT(TRIM(Raw_Data!E1742),1))="F","Female","Unknown"))</f>
        <v>Male</v>
      </c>
      <c r="F1742" s="13" t="str">
        <f aca="false">PROPER(TRIM(SUBSTITUTE(Raw_Data!F1742,"'","")))</f>
        <v>Bachelors</v>
      </c>
      <c r="G1742" s="13" t="str">
        <f aca="false">PROPER(TRIM(Raw_Data!G1742))</f>
        <v>Sales</v>
      </c>
      <c r="H1742" s="13" t="str">
        <f aca="false">PROPER(TRIM(Raw_Data!H1742))</f>
        <v>Analyst</v>
      </c>
      <c r="I1742" s="13" t="n">
        <f aca="false">IF(Raw_Data!I1742="",DefaultPerf,Raw_Data!I1742)</f>
        <v>3</v>
      </c>
      <c r="J1742" s="13" t="n">
        <f aca="false">IF(Raw_Data!J1742="",DefaultSat,Raw_Data!J1742)</f>
        <v>2</v>
      </c>
      <c r="K1742" s="15" t="n">
        <f aca="false">Raw_Data!K1742</f>
        <v>69500</v>
      </c>
      <c r="L1742" s="13" t="str">
        <f aca="false">PROPER(TRIM(Raw_Data!N1742))</f>
        <v>Yes</v>
      </c>
      <c r="M1742" s="13" t="n">
        <f aca="false">IF(C1742="",0,1)</f>
        <v>0</v>
      </c>
      <c r="N1742" s="13" t="str">
        <f aca="false">IF(M1742=0,"Active",IF(TRIM(Raw_Data!L1742)="","Unknown",PROPER(TRIM(Raw_Data!L1742))))</f>
        <v>Active</v>
      </c>
      <c r="O1742" s="13" t="str">
        <f aca="false">IF(M1742=0,"",IF(TRIM(Raw_Data!M1742)="","Not Recorded",TRIM(Raw_Data!M1742)))</f>
        <v/>
      </c>
      <c r="P1742" s="16" t="n">
        <f aca="false">ROUND((IF(C1742="",AsOfDate,C1742)-B1742)/365.25,2)</f>
        <v>1.52</v>
      </c>
      <c r="Q1742" s="13" t="str">
        <f aca="false">IF(D1742="","Unknown",IF(D1742&lt;25,"Under 25",IF(D1742&lt;35,"25-34",IF(D1742&lt;45,"35-44",IF(D1742&lt;55,"45-54","55+")))))</f>
        <v>25-34</v>
      </c>
      <c r="R1742" s="13" t="str">
        <f aca="false">IF(P1742&lt;1,"0-1 yrs",IF(P1742&lt;3,"1-3 yrs",IF(P1742&lt;5,"3-5 yrs",IF(P1742&lt;10,"5-10 yrs","10+ yrs"))))</f>
        <v>1-3 yrs</v>
      </c>
      <c r="S1742" s="13" t="str">
        <f aca="false">IF(I1742&gt;=4,"High",IF(I1742=3,"Medium","Low"))</f>
        <v>Medium</v>
      </c>
      <c r="T1742" s="13" t="str">
        <f aca="false">IF(M1742=1,YEAR(C1742),"")</f>
        <v/>
      </c>
      <c r="U1742" s="13" t="str">
        <f aca="false">IF(M1742=1,YEAR(C1742)&amp;"-Q"&amp;ROUNDUP(MONTH(C1742)/3,0),"")</f>
        <v/>
      </c>
      <c r="V1742" s="13" t="str">
        <f aca="false">IF(M1742=1,MONTH(C1742),"")</f>
        <v/>
      </c>
    </row>
    <row r="1743" customFormat="false" ht="15" hidden="false" customHeight="false" outlineLevel="0" collapsed="false">
      <c r="A1743" s="13" t="str">
        <f aca="false">TRIM(Raw_Data!A1743)</f>
        <v>EMP1742</v>
      </c>
      <c r="B1743" s="14" t="n">
        <f aca="false">Raw_Data!B1743</f>
        <v>45468</v>
      </c>
      <c r="C1743" s="14" t="str">
        <f aca="false">IF(Raw_Data!C1743="","",Raw_Data!C1743)</f>
        <v/>
      </c>
      <c r="D1743" s="13" t="n">
        <f aca="false">IF(Raw_Data!D1743="","",Raw_Data!D1743)</f>
        <v>33</v>
      </c>
      <c r="E1743" s="13" t="str">
        <f aca="false">IF(UPPER(LEFT(TRIM(Raw_Data!E1743),1))="M","Male",IF(UPPER(LEFT(TRIM(Raw_Data!E1743),1))="F","Female","Unknown"))</f>
        <v>Female</v>
      </c>
      <c r="F1743" s="13" t="str">
        <f aca="false">PROPER(TRIM(SUBSTITUTE(Raw_Data!F1743,"'","")))</f>
        <v>Bachelors</v>
      </c>
      <c r="G1743" s="13" t="str">
        <f aca="false">PROPER(TRIM(Raw_Data!G1743))</f>
        <v>Sales</v>
      </c>
      <c r="H1743" s="13" t="str">
        <f aca="false">PROPER(TRIM(Raw_Data!H1743))</f>
        <v>Analyst</v>
      </c>
      <c r="I1743" s="13" t="n">
        <f aca="false">IF(Raw_Data!I1743="",DefaultPerf,Raw_Data!I1743)</f>
        <v>3</v>
      </c>
      <c r="J1743" s="13" t="n">
        <f aca="false">IF(Raw_Data!J1743="",DefaultSat,Raw_Data!J1743)</f>
        <v>2</v>
      </c>
      <c r="K1743" s="15" t="n">
        <f aca="false">Raw_Data!K1743</f>
        <v>54000</v>
      </c>
      <c r="L1743" s="13" t="str">
        <f aca="false">PROPER(TRIM(Raw_Data!N1743))</f>
        <v>No</v>
      </c>
      <c r="M1743" s="13" t="n">
        <f aca="false">IF(C1743="",0,1)</f>
        <v>0</v>
      </c>
      <c r="N1743" s="13" t="str">
        <f aca="false">IF(M1743=0,"Active",IF(TRIM(Raw_Data!L1743)="","Unknown",PROPER(TRIM(Raw_Data!L1743))))</f>
        <v>Active</v>
      </c>
      <c r="O1743" s="13" t="str">
        <f aca="false">IF(M1743=0,"",IF(TRIM(Raw_Data!M1743)="","Not Recorded",TRIM(Raw_Data!M1743)))</f>
        <v/>
      </c>
      <c r="P1743" s="16" t="n">
        <f aca="false">ROUND((IF(C1743="",AsOfDate,C1743)-B1743)/365.25,2)</f>
        <v>1.52</v>
      </c>
      <c r="Q1743" s="13" t="str">
        <f aca="false">IF(D1743="","Unknown",IF(D1743&lt;25,"Under 25",IF(D1743&lt;35,"25-34",IF(D1743&lt;45,"35-44",IF(D1743&lt;55,"45-54","55+")))))</f>
        <v>25-34</v>
      </c>
      <c r="R1743" s="13" t="str">
        <f aca="false">IF(P1743&lt;1,"0-1 yrs",IF(P1743&lt;3,"1-3 yrs",IF(P1743&lt;5,"3-5 yrs",IF(P1743&lt;10,"5-10 yrs","10+ yrs"))))</f>
        <v>1-3 yrs</v>
      </c>
      <c r="S1743" s="13" t="str">
        <f aca="false">IF(I1743&gt;=4,"High",IF(I1743=3,"Medium","Low"))</f>
        <v>Medium</v>
      </c>
      <c r="T1743" s="13" t="str">
        <f aca="false">IF(M1743=1,YEAR(C1743),"")</f>
        <v/>
      </c>
      <c r="U1743" s="13" t="str">
        <f aca="false">IF(M1743=1,YEAR(C1743)&amp;"-Q"&amp;ROUNDUP(MONTH(C1743)/3,0),"")</f>
        <v/>
      </c>
      <c r="V1743" s="13" t="str">
        <f aca="false">IF(M1743=1,MONTH(C1743),"")</f>
        <v/>
      </c>
    </row>
    <row r="1744" customFormat="false" ht="15" hidden="false" customHeight="false" outlineLevel="0" collapsed="false">
      <c r="A1744" s="13" t="str">
        <f aca="false">TRIM(Raw_Data!A1744)</f>
        <v>EMP1743</v>
      </c>
      <c r="B1744" s="14" t="n">
        <f aca="false">Raw_Data!B1744</f>
        <v>45471</v>
      </c>
      <c r="C1744" s="14" t="n">
        <f aca="false">IF(Raw_Data!C1744="","",Raw_Data!C1744)</f>
        <v>45489</v>
      </c>
      <c r="D1744" s="13" t="n">
        <f aca="false">IF(Raw_Data!D1744="","",Raw_Data!D1744)</f>
        <v>23</v>
      </c>
      <c r="E1744" s="13" t="str">
        <f aca="false">IF(UPPER(LEFT(TRIM(Raw_Data!E1744),1))="M","Male",IF(UPPER(LEFT(TRIM(Raw_Data!E1744),1))="F","Female","Unknown"))</f>
        <v>Male</v>
      </c>
      <c r="F1744" s="13" t="str">
        <f aca="false">PROPER(TRIM(SUBSTITUTE(Raw_Data!F1744,"'","")))</f>
        <v>Bachelors</v>
      </c>
      <c r="G1744" s="13" t="str">
        <f aca="false">PROPER(TRIM(Raw_Data!G1744))</f>
        <v>Human Resources</v>
      </c>
      <c r="H1744" s="13" t="str">
        <f aca="false">PROPER(TRIM(Raw_Data!H1744))</f>
        <v>Analyst</v>
      </c>
      <c r="I1744" s="13" t="n">
        <f aca="false">IF(Raw_Data!I1744="",DefaultPerf,Raw_Data!I1744)</f>
        <v>2</v>
      </c>
      <c r="J1744" s="13" t="n">
        <f aca="false">IF(Raw_Data!J1744="",DefaultSat,Raw_Data!J1744)</f>
        <v>2</v>
      </c>
      <c r="K1744" s="15" t="n">
        <f aca="false">Raw_Data!K1744</f>
        <v>50500</v>
      </c>
      <c r="L1744" s="13" t="str">
        <f aca="false">PROPER(TRIM(Raw_Data!N1744))</f>
        <v>No</v>
      </c>
      <c r="M1744" s="13" t="n">
        <f aca="false">IF(C1744="",0,1)</f>
        <v>1</v>
      </c>
      <c r="N1744" s="13" t="str">
        <f aca="false">IF(M1744=0,"Active",IF(TRIM(Raw_Data!L1744)="","Unknown",PROPER(TRIM(Raw_Data!L1744))))</f>
        <v>Involuntary</v>
      </c>
      <c r="O1744" s="13" t="str">
        <f aca="false">IF(M1744=0,"",IF(TRIM(Raw_Data!M1744)="","Not Recorded",TRIM(Raw_Data!M1744)))</f>
        <v>Restructuring / Layoff</v>
      </c>
      <c r="P1744" s="16" t="n">
        <f aca="false">ROUND((IF(C1744="",AsOfDate,C1744)-B1744)/365.25,2)</f>
        <v>0.05</v>
      </c>
      <c r="Q1744" s="13" t="str">
        <f aca="false">IF(D1744="","Unknown",IF(D1744&lt;25,"Under 25",IF(D1744&lt;35,"25-34",IF(D1744&lt;45,"35-44",IF(D1744&lt;55,"45-54","55+")))))</f>
        <v>Under 25</v>
      </c>
      <c r="R1744" s="13" t="str">
        <f aca="false">IF(P1744&lt;1,"0-1 yrs",IF(P1744&lt;3,"1-3 yrs",IF(P1744&lt;5,"3-5 yrs",IF(P1744&lt;10,"5-10 yrs","10+ yrs"))))</f>
        <v>0-1 yrs</v>
      </c>
      <c r="S1744" s="13" t="str">
        <f aca="false">IF(I1744&gt;=4,"High",IF(I1744=3,"Medium","Low"))</f>
        <v>Low</v>
      </c>
      <c r="T1744" s="13" t="n">
        <f aca="false">IF(M1744=1,YEAR(C1744),"")</f>
        <v>2024</v>
      </c>
      <c r="U1744" s="13" t="str">
        <f aca="false">IF(M1744=1,YEAR(C1744)&amp;"-Q"&amp;ROUNDUP(MONTH(C1744)/3,0),"")</f>
        <v>2024-Q3</v>
      </c>
      <c r="V1744" s="13" t="n">
        <f aca="false">IF(M1744=1,MONTH(C1744),"")</f>
        <v>7</v>
      </c>
    </row>
    <row r="1745" customFormat="false" ht="15" hidden="false" customHeight="false" outlineLevel="0" collapsed="false">
      <c r="A1745" s="13" t="str">
        <f aca="false">TRIM(Raw_Data!A1745)</f>
        <v>EMP1744</v>
      </c>
      <c r="B1745" s="14" t="n">
        <f aca="false">Raw_Data!B1745</f>
        <v>45471</v>
      </c>
      <c r="C1745" s="14" t="n">
        <f aca="false">IF(Raw_Data!C1745="","",Raw_Data!C1745)</f>
        <v>45731</v>
      </c>
      <c r="D1745" s="13" t="n">
        <f aca="false">IF(Raw_Data!D1745="","",Raw_Data!D1745)</f>
        <v>23</v>
      </c>
      <c r="E1745" s="13" t="str">
        <f aca="false">IF(UPPER(LEFT(TRIM(Raw_Data!E1745),1))="M","Male",IF(UPPER(LEFT(TRIM(Raw_Data!E1745),1))="F","Female","Unknown"))</f>
        <v>Female</v>
      </c>
      <c r="F1745" s="13" t="str">
        <f aca="false">PROPER(TRIM(SUBSTITUTE(Raw_Data!F1745,"'","")))</f>
        <v>Bachelors</v>
      </c>
      <c r="G1745" s="13" t="str">
        <f aca="false">PROPER(TRIM(Raw_Data!G1745))</f>
        <v>Customer Support</v>
      </c>
      <c r="H1745" s="13" t="str">
        <f aca="false">PROPER(TRIM(Raw_Data!H1745))</f>
        <v>Associate</v>
      </c>
      <c r="I1745" s="13" t="n">
        <f aca="false">IF(Raw_Data!I1745="",DefaultPerf,Raw_Data!I1745)</f>
        <v>4</v>
      </c>
      <c r="J1745" s="13" t="n">
        <f aca="false">IF(Raw_Data!J1745="",DefaultSat,Raw_Data!J1745)</f>
        <v>4</v>
      </c>
      <c r="K1745" s="15" t="n">
        <f aca="false">Raw_Data!K1745</f>
        <v>33500</v>
      </c>
      <c r="L1745" s="13" t="str">
        <f aca="false">PROPER(TRIM(Raw_Data!N1745))</f>
        <v>No</v>
      </c>
      <c r="M1745" s="13" t="n">
        <f aca="false">IF(C1745="",0,1)</f>
        <v>1</v>
      </c>
      <c r="N1745" s="13" t="str">
        <f aca="false">IF(M1745=0,"Active",IF(TRIM(Raw_Data!L1745)="","Unknown",PROPER(TRIM(Raw_Data!L1745))))</f>
        <v>Voluntary</v>
      </c>
      <c r="O1745" s="13" t="str">
        <f aca="false">IF(M1745=0,"",IF(TRIM(Raw_Data!M1745)="","Not Recorded",TRIM(Raw_Data!M1745)))</f>
        <v>Better Compensation</v>
      </c>
      <c r="P1745" s="16" t="n">
        <f aca="false">ROUND((IF(C1745="",AsOfDate,C1745)-B1745)/365.25,2)</f>
        <v>0.71</v>
      </c>
      <c r="Q1745" s="13" t="str">
        <f aca="false">IF(D1745="","Unknown",IF(D1745&lt;25,"Under 25",IF(D1745&lt;35,"25-34",IF(D1745&lt;45,"35-44",IF(D1745&lt;55,"45-54","55+")))))</f>
        <v>Under 25</v>
      </c>
      <c r="R1745" s="13" t="str">
        <f aca="false">IF(P1745&lt;1,"0-1 yrs",IF(P1745&lt;3,"1-3 yrs",IF(P1745&lt;5,"3-5 yrs",IF(P1745&lt;10,"5-10 yrs","10+ yrs"))))</f>
        <v>0-1 yrs</v>
      </c>
      <c r="S1745" s="13" t="str">
        <f aca="false">IF(I1745&gt;=4,"High",IF(I1745=3,"Medium","Low"))</f>
        <v>High</v>
      </c>
      <c r="T1745" s="13" t="n">
        <f aca="false">IF(M1745=1,YEAR(C1745),"")</f>
        <v>2025</v>
      </c>
      <c r="U1745" s="13" t="str">
        <f aca="false">IF(M1745=1,YEAR(C1745)&amp;"-Q"&amp;ROUNDUP(MONTH(C1745)/3,0),"")</f>
        <v>2025-Q1</v>
      </c>
      <c r="V1745" s="13" t="n">
        <f aca="false">IF(M1745=1,MONTH(C1745),"")</f>
        <v>3</v>
      </c>
    </row>
    <row r="1746" customFormat="false" ht="15" hidden="false" customHeight="false" outlineLevel="0" collapsed="false">
      <c r="A1746" s="13" t="str">
        <f aca="false">TRIM(Raw_Data!A1746)</f>
        <v>EMP1745</v>
      </c>
      <c r="B1746" s="14" t="n">
        <f aca="false">Raw_Data!B1746</f>
        <v>45477</v>
      </c>
      <c r="C1746" s="14" t="str">
        <f aca="false">IF(Raw_Data!C1746="","",Raw_Data!C1746)</f>
        <v/>
      </c>
      <c r="D1746" s="13" t="n">
        <f aca="false">IF(Raw_Data!D1746="","",Raw_Data!D1746)</f>
        <v>22</v>
      </c>
      <c r="E1746" s="13" t="str">
        <f aca="false">IF(UPPER(LEFT(TRIM(Raw_Data!E1746),1))="M","Male",IF(UPPER(LEFT(TRIM(Raw_Data!E1746),1))="F","Female","Unknown"))</f>
        <v>Female</v>
      </c>
      <c r="F1746" s="13" t="str">
        <f aca="false">PROPER(TRIM(SUBSTITUTE(Raw_Data!F1746,"'","")))</f>
        <v>Masters</v>
      </c>
      <c r="G1746" s="13" t="str">
        <f aca="false">PROPER(TRIM(Raw_Data!G1746))</f>
        <v>Customer Support</v>
      </c>
      <c r="H1746" s="13" t="str">
        <f aca="false">PROPER(TRIM(Raw_Data!H1746))</f>
        <v>Specialist</v>
      </c>
      <c r="I1746" s="13" t="n">
        <f aca="false">IF(Raw_Data!I1746="",DefaultPerf,Raw_Data!I1746)</f>
        <v>3</v>
      </c>
      <c r="J1746" s="13" t="n">
        <f aca="false">IF(Raw_Data!J1746="",DefaultSat,Raw_Data!J1746)</f>
        <v>3</v>
      </c>
      <c r="K1746" s="15" t="n">
        <f aca="false">Raw_Data!K1746</f>
        <v>93500</v>
      </c>
      <c r="L1746" s="13" t="str">
        <f aca="false">PROPER(TRIM(Raw_Data!N1746))</f>
        <v>No</v>
      </c>
      <c r="M1746" s="13" t="n">
        <f aca="false">IF(C1746="",0,1)</f>
        <v>0</v>
      </c>
      <c r="N1746" s="13" t="str">
        <f aca="false">IF(M1746=0,"Active",IF(TRIM(Raw_Data!L1746)="","Unknown",PROPER(TRIM(Raw_Data!L1746))))</f>
        <v>Active</v>
      </c>
      <c r="O1746" s="13" t="str">
        <f aca="false">IF(M1746=0,"",IF(TRIM(Raw_Data!M1746)="","Not Recorded",TRIM(Raw_Data!M1746)))</f>
        <v/>
      </c>
      <c r="P1746" s="16" t="n">
        <f aca="false">ROUND((IF(C1746="",AsOfDate,C1746)-B1746)/365.25,2)</f>
        <v>1.49</v>
      </c>
      <c r="Q1746" s="13" t="str">
        <f aca="false">IF(D1746="","Unknown",IF(D1746&lt;25,"Under 25",IF(D1746&lt;35,"25-34",IF(D1746&lt;45,"35-44",IF(D1746&lt;55,"45-54","55+")))))</f>
        <v>Under 25</v>
      </c>
      <c r="R1746" s="13" t="str">
        <f aca="false">IF(P1746&lt;1,"0-1 yrs",IF(P1746&lt;3,"1-3 yrs",IF(P1746&lt;5,"3-5 yrs",IF(P1746&lt;10,"5-10 yrs","10+ yrs"))))</f>
        <v>1-3 yrs</v>
      </c>
      <c r="S1746" s="13" t="str">
        <f aca="false">IF(I1746&gt;=4,"High",IF(I1746=3,"Medium","Low"))</f>
        <v>Medium</v>
      </c>
      <c r="T1746" s="13" t="str">
        <f aca="false">IF(M1746=1,YEAR(C1746),"")</f>
        <v/>
      </c>
      <c r="U1746" s="13" t="str">
        <f aca="false">IF(M1746=1,YEAR(C1746)&amp;"-Q"&amp;ROUNDUP(MONTH(C1746)/3,0),"")</f>
        <v/>
      </c>
      <c r="V1746" s="13" t="str">
        <f aca="false">IF(M1746=1,MONTH(C1746),"")</f>
        <v/>
      </c>
    </row>
    <row r="1747" customFormat="false" ht="15" hidden="false" customHeight="false" outlineLevel="0" collapsed="false">
      <c r="A1747" s="13" t="str">
        <f aca="false">TRIM(Raw_Data!A1747)</f>
        <v>EMP1746</v>
      </c>
      <c r="B1747" s="14" t="n">
        <f aca="false">Raw_Data!B1747</f>
        <v>45478</v>
      </c>
      <c r="C1747" s="14" t="str">
        <f aca="false">IF(Raw_Data!C1747="","",Raw_Data!C1747)</f>
        <v/>
      </c>
      <c r="D1747" s="13" t="n">
        <f aca="false">IF(Raw_Data!D1747="","",Raw_Data!D1747)</f>
        <v>29</v>
      </c>
      <c r="E1747" s="13" t="str">
        <f aca="false">IF(UPPER(LEFT(TRIM(Raw_Data!E1747),1))="M","Male",IF(UPPER(LEFT(TRIM(Raw_Data!E1747),1))="F","Female","Unknown"))</f>
        <v>Male</v>
      </c>
      <c r="F1747" s="13" t="str">
        <f aca="false">PROPER(TRIM(SUBSTITUTE(Raw_Data!F1747,"'","")))</f>
        <v>Masters</v>
      </c>
      <c r="G1747" s="13" t="str">
        <f aca="false">PROPER(TRIM(Raw_Data!G1747))</f>
        <v>Sales</v>
      </c>
      <c r="H1747" s="13" t="str">
        <f aca="false">PROPER(TRIM(Raw_Data!H1747))</f>
        <v>Associate</v>
      </c>
      <c r="I1747" s="13" t="n">
        <f aca="false">IF(Raw_Data!I1747="",DefaultPerf,Raw_Data!I1747)</f>
        <v>4</v>
      </c>
      <c r="J1747" s="13" t="n">
        <f aca="false">IF(Raw_Data!J1747="",DefaultSat,Raw_Data!J1747)</f>
        <v>2</v>
      </c>
      <c r="K1747" s="15" t="n">
        <f aca="false">Raw_Data!K1747</f>
        <v>41500</v>
      </c>
      <c r="L1747" s="13" t="str">
        <f aca="false">PROPER(TRIM(Raw_Data!N1747))</f>
        <v>No</v>
      </c>
      <c r="M1747" s="13" t="n">
        <f aca="false">IF(C1747="",0,1)</f>
        <v>0</v>
      </c>
      <c r="N1747" s="13" t="str">
        <f aca="false">IF(M1747=0,"Active",IF(TRIM(Raw_Data!L1747)="","Unknown",PROPER(TRIM(Raw_Data!L1747))))</f>
        <v>Active</v>
      </c>
      <c r="O1747" s="13" t="str">
        <f aca="false">IF(M1747=0,"",IF(TRIM(Raw_Data!M1747)="","Not Recorded",TRIM(Raw_Data!M1747)))</f>
        <v/>
      </c>
      <c r="P1747" s="16" t="n">
        <f aca="false">ROUND((IF(C1747="",AsOfDate,C1747)-B1747)/365.25,2)</f>
        <v>1.49</v>
      </c>
      <c r="Q1747" s="13" t="str">
        <f aca="false">IF(D1747="","Unknown",IF(D1747&lt;25,"Under 25",IF(D1747&lt;35,"25-34",IF(D1747&lt;45,"35-44",IF(D1747&lt;55,"45-54","55+")))))</f>
        <v>25-34</v>
      </c>
      <c r="R1747" s="13" t="str">
        <f aca="false">IF(P1747&lt;1,"0-1 yrs",IF(P1747&lt;3,"1-3 yrs",IF(P1747&lt;5,"3-5 yrs",IF(P1747&lt;10,"5-10 yrs","10+ yrs"))))</f>
        <v>1-3 yrs</v>
      </c>
      <c r="S1747" s="13" t="str">
        <f aca="false">IF(I1747&gt;=4,"High",IF(I1747=3,"Medium","Low"))</f>
        <v>High</v>
      </c>
      <c r="T1747" s="13" t="str">
        <f aca="false">IF(M1747=1,YEAR(C1747),"")</f>
        <v/>
      </c>
      <c r="U1747" s="13" t="str">
        <f aca="false">IF(M1747=1,YEAR(C1747)&amp;"-Q"&amp;ROUNDUP(MONTH(C1747)/3,0),"")</f>
        <v/>
      </c>
      <c r="V1747" s="13" t="str">
        <f aca="false">IF(M1747=1,MONTH(C1747),"")</f>
        <v/>
      </c>
    </row>
    <row r="1748" customFormat="false" ht="15" hidden="false" customHeight="false" outlineLevel="0" collapsed="false">
      <c r="A1748" s="13" t="str">
        <f aca="false">TRIM(Raw_Data!A1748)</f>
        <v>EMP1747</v>
      </c>
      <c r="B1748" s="14" t="n">
        <f aca="false">Raw_Data!B1748</f>
        <v>45479</v>
      </c>
      <c r="C1748" s="14" t="str">
        <f aca="false">IF(Raw_Data!C1748="","",Raw_Data!C1748)</f>
        <v/>
      </c>
      <c r="D1748" s="13" t="n">
        <f aca="false">IF(Raw_Data!D1748="","",Raw_Data!D1748)</f>
        <v>33</v>
      </c>
      <c r="E1748" s="13" t="str">
        <f aca="false">IF(UPPER(LEFT(TRIM(Raw_Data!E1748),1))="M","Male",IF(UPPER(LEFT(TRIM(Raw_Data!E1748),1))="F","Female","Unknown"))</f>
        <v>Female</v>
      </c>
      <c r="F1748" s="13" t="str">
        <f aca="false">PROPER(TRIM(SUBSTITUTE(Raw_Data!F1748,"'","")))</f>
        <v>Bachelors</v>
      </c>
      <c r="G1748" s="13" t="str">
        <f aca="false">PROPER(TRIM(Raw_Data!G1748))</f>
        <v>Operations</v>
      </c>
      <c r="H1748" s="13" t="str">
        <f aca="false">PROPER(TRIM(Raw_Data!H1748))</f>
        <v>Senior Analyst</v>
      </c>
      <c r="I1748" s="13" t="n">
        <f aca="false">IF(Raw_Data!I1748="",DefaultPerf,Raw_Data!I1748)</f>
        <v>3</v>
      </c>
      <c r="J1748" s="13" t="n">
        <f aca="false">IF(Raw_Data!J1748="",DefaultSat,Raw_Data!J1748)</f>
        <v>1</v>
      </c>
      <c r="K1748" s="15" t="n">
        <f aca="false">Raw_Data!K1748</f>
        <v>100500</v>
      </c>
      <c r="L1748" s="13" t="str">
        <f aca="false">PROPER(TRIM(Raw_Data!N1748))</f>
        <v>No</v>
      </c>
      <c r="M1748" s="13" t="n">
        <f aca="false">IF(C1748="",0,1)</f>
        <v>0</v>
      </c>
      <c r="N1748" s="13" t="str">
        <f aca="false">IF(M1748=0,"Active",IF(TRIM(Raw_Data!L1748)="","Unknown",PROPER(TRIM(Raw_Data!L1748))))</f>
        <v>Active</v>
      </c>
      <c r="O1748" s="13" t="str">
        <f aca="false">IF(M1748=0,"",IF(TRIM(Raw_Data!M1748)="","Not Recorded",TRIM(Raw_Data!M1748)))</f>
        <v/>
      </c>
      <c r="P1748" s="16" t="n">
        <f aca="false">ROUND((IF(C1748="",AsOfDate,C1748)-B1748)/365.25,2)</f>
        <v>1.49</v>
      </c>
      <c r="Q1748" s="13" t="str">
        <f aca="false">IF(D1748="","Unknown",IF(D1748&lt;25,"Under 25",IF(D1748&lt;35,"25-34",IF(D1748&lt;45,"35-44",IF(D1748&lt;55,"45-54","55+")))))</f>
        <v>25-34</v>
      </c>
      <c r="R1748" s="13" t="str">
        <f aca="false">IF(P1748&lt;1,"0-1 yrs",IF(P1748&lt;3,"1-3 yrs",IF(P1748&lt;5,"3-5 yrs",IF(P1748&lt;10,"5-10 yrs","10+ yrs"))))</f>
        <v>1-3 yrs</v>
      </c>
      <c r="S1748" s="13" t="str">
        <f aca="false">IF(I1748&gt;=4,"High",IF(I1748=3,"Medium","Low"))</f>
        <v>Medium</v>
      </c>
      <c r="T1748" s="13" t="str">
        <f aca="false">IF(M1748=1,YEAR(C1748),"")</f>
        <v/>
      </c>
      <c r="U1748" s="13" t="str">
        <f aca="false">IF(M1748=1,YEAR(C1748)&amp;"-Q"&amp;ROUNDUP(MONTH(C1748)/3,0),"")</f>
        <v/>
      </c>
      <c r="V1748" s="13" t="str">
        <f aca="false">IF(M1748=1,MONTH(C1748),"")</f>
        <v/>
      </c>
    </row>
    <row r="1749" customFormat="false" ht="15" hidden="false" customHeight="false" outlineLevel="0" collapsed="false">
      <c r="A1749" s="13" t="str">
        <f aca="false">TRIM(Raw_Data!A1749)</f>
        <v>EMP1748</v>
      </c>
      <c r="B1749" s="14" t="n">
        <f aca="false">Raw_Data!B1749</f>
        <v>45480</v>
      </c>
      <c r="C1749" s="14" t="str">
        <f aca="false">IF(Raw_Data!C1749="","",Raw_Data!C1749)</f>
        <v/>
      </c>
      <c r="D1749" s="13" t="n">
        <f aca="false">IF(Raw_Data!D1749="","",Raw_Data!D1749)</f>
        <v>29</v>
      </c>
      <c r="E1749" s="13" t="str">
        <f aca="false">IF(UPPER(LEFT(TRIM(Raw_Data!E1749),1))="M","Male",IF(UPPER(LEFT(TRIM(Raw_Data!E1749),1))="F","Female","Unknown"))</f>
        <v>Female</v>
      </c>
      <c r="F1749" s="13" t="str">
        <f aca="false">PROPER(TRIM(SUBSTITUTE(Raw_Data!F1749,"'","")))</f>
        <v>Diploma</v>
      </c>
      <c r="G1749" s="13" t="str">
        <f aca="false">PROPER(TRIM(Raw_Data!G1749))</f>
        <v>Customer Support</v>
      </c>
      <c r="H1749" s="13" t="str">
        <f aca="false">PROPER(TRIM(Raw_Data!H1749))</f>
        <v>Specialist</v>
      </c>
      <c r="I1749" s="13" t="n">
        <f aca="false">IF(Raw_Data!I1749="",DefaultPerf,Raw_Data!I1749)</f>
        <v>3</v>
      </c>
      <c r="J1749" s="13" t="n">
        <f aca="false">IF(Raw_Data!J1749="",DefaultSat,Raw_Data!J1749)</f>
        <v>4</v>
      </c>
      <c r="K1749" s="15" t="n">
        <f aca="false">Raw_Data!K1749</f>
        <v>110000</v>
      </c>
      <c r="L1749" s="13" t="str">
        <f aca="false">PROPER(TRIM(Raw_Data!N1749))</f>
        <v>No</v>
      </c>
      <c r="M1749" s="13" t="n">
        <f aca="false">IF(C1749="",0,1)</f>
        <v>0</v>
      </c>
      <c r="N1749" s="13" t="str">
        <f aca="false">IF(M1749=0,"Active",IF(TRIM(Raw_Data!L1749)="","Unknown",PROPER(TRIM(Raw_Data!L1749))))</f>
        <v>Active</v>
      </c>
      <c r="O1749" s="13" t="str">
        <f aca="false">IF(M1749=0,"",IF(TRIM(Raw_Data!M1749)="","Not Recorded",TRIM(Raw_Data!M1749)))</f>
        <v/>
      </c>
      <c r="P1749" s="16" t="n">
        <f aca="false">ROUND((IF(C1749="",AsOfDate,C1749)-B1749)/365.25,2)</f>
        <v>1.48</v>
      </c>
      <c r="Q1749" s="13" t="str">
        <f aca="false">IF(D1749="","Unknown",IF(D1749&lt;25,"Under 25",IF(D1749&lt;35,"25-34",IF(D1749&lt;45,"35-44",IF(D1749&lt;55,"45-54","55+")))))</f>
        <v>25-34</v>
      </c>
      <c r="R1749" s="13" t="str">
        <f aca="false">IF(P1749&lt;1,"0-1 yrs",IF(P1749&lt;3,"1-3 yrs",IF(P1749&lt;5,"3-5 yrs",IF(P1749&lt;10,"5-10 yrs","10+ yrs"))))</f>
        <v>1-3 yrs</v>
      </c>
      <c r="S1749" s="13" t="str">
        <f aca="false">IF(I1749&gt;=4,"High",IF(I1749=3,"Medium","Low"))</f>
        <v>Medium</v>
      </c>
      <c r="T1749" s="13" t="str">
        <f aca="false">IF(M1749=1,YEAR(C1749),"")</f>
        <v/>
      </c>
      <c r="U1749" s="13" t="str">
        <f aca="false">IF(M1749=1,YEAR(C1749)&amp;"-Q"&amp;ROUNDUP(MONTH(C1749)/3,0),"")</f>
        <v/>
      </c>
      <c r="V1749" s="13" t="str">
        <f aca="false">IF(M1749=1,MONTH(C1749),"")</f>
        <v/>
      </c>
    </row>
    <row r="1750" customFormat="false" ht="15" hidden="false" customHeight="false" outlineLevel="0" collapsed="false">
      <c r="A1750" s="13" t="str">
        <f aca="false">TRIM(Raw_Data!A1750)</f>
        <v>EMP1749</v>
      </c>
      <c r="B1750" s="14" t="n">
        <f aca="false">Raw_Data!B1750</f>
        <v>45481</v>
      </c>
      <c r="C1750" s="14" t="n">
        <f aca="false">IF(Raw_Data!C1750="","",Raw_Data!C1750)</f>
        <v>45698</v>
      </c>
      <c r="D1750" s="13" t="n">
        <f aca="false">IF(Raw_Data!D1750="","",Raw_Data!D1750)</f>
        <v>29</v>
      </c>
      <c r="E1750" s="13" t="str">
        <f aca="false">IF(UPPER(LEFT(TRIM(Raw_Data!E1750),1))="M","Male",IF(UPPER(LEFT(TRIM(Raw_Data!E1750),1))="F","Female","Unknown"))</f>
        <v>Male</v>
      </c>
      <c r="F1750" s="13" t="str">
        <f aca="false">PROPER(TRIM(SUBSTITUTE(Raw_Data!F1750,"'","")))</f>
        <v>Bachelors</v>
      </c>
      <c r="G1750" s="13" t="str">
        <f aca="false">PROPER(TRIM(Raw_Data!G1750))</f>
        <v>Customer Support</v>
      </c>
      <c r="H1750" s="13" t="str">
        <f aca="false">PROPER(TRIM(Raw_Data!H1750))</f>
        <v>Analyst</v>
      </c>
      <c r="I1750" s="13" t="n">
        <f aca="false">IF(Raw_Data!I1750="",DefaultPerf,Raw_Data!I1750)</f>
        <v>5</v>
      </c>
      <c r="J1750" s="13" t="n">
        <f aca="false">IF(Raw_Data!J1750="",DefaultSat,Raw_Data!J1750)</f>
        <v>2</v>
      </c>
      <c r="K1750" s="15" t="n">
        <f aca="false">Raw_Data!K1750</f>
        <v>54000</v>
      </c>
      <c r="L1750" s="13" t="str">
        <f aca="false">PROPER(TRIM(Raw_Data!N1750))</f>
        <v>No</v>
      </c>
      <c r="M1750" s="13" t="n">
        <f aca="false">IF(C1750="",0,1)</f>
        <v>1</v>
      </c>
      <c r="N1750" s="13" t="str">
        <f aca="false">IF(M1750=0,"Active",IF(TRIM(Raw_Data!L1750)="","Unknown",PROPER(TRIM(Raw_Data!L1750))))</f>
        <v>Involuntary</v>
      </c>
      <c r="O1750" s="13" t="str">
        <f aca="false">IF(M1750=0,"",IF(TRIM(Raw_Data!M1750)="","Not Recorded",TRIM(Raw_Data!M1750)))</f>
        <v>Restructuring / Layoff</v>
      </c>
      <c r="P1750" s="16" t="n">
        <f aca="false">ROUND((IF(C1750="",AsOfDate,C1750)-B1750)/365.25,2)</f>
        <v>0.59</v>
      </c>
      <c r="Q1750" s="13" t="str">
        <f aca="false">IF(D1750="","Unknown",IF(D1750&lt;25,"Under 25",IF(D1750&lt;35,"25-34",IF(D1750&lt;45,"35-44",IF(D1750&lt;55,"45-54","55+")))))</f>
        <v>25-34</v>
      </c>
      <c r="R1750" s="13" t="str">
        <f aca="false">IF(P1750&lt;1,"0-1 yrs",IF(P1750&lt;3,"1-3 yrs",IF(P1750&lt;5,"3-5 yrs",IF(P1750&lt;10,"5-10 yrs","10+ yrs"))))</f>
        <v>0-1 yrs</v>
      </c>
      <c r="S1750" s="13" t="str">
        <f aca="false">IF(I1750&gt;=4,"High",IF(I1750=3,"Medium","Low"))</f>
        <v>High</v>
      </c>
      <c r="T1750" s="13" t="n">
        <f aca="false">IF(M1750=1,YEAR(C1750),"")</f>
        <v>2025</v>
      </c>
      <c r="U1750" s="13" t="str">
        <f aca="false">IF(M1750=1,YEAR(C1750)&amp;"-Q"&amp;ROUNDUP(MONTH(C1750)/3,0),"")</f>
        <v>2025-Q1</v>
      </c>
      <c r="V1750" s="13" t="n">
        <f aca="false">IF(M1750=1,MONTH(C1750),"")</f>
        <v>2</v>
      </c>
    </row>
    <row r="1751" customFormat="false" ht="15" hidden="false" customHeight="false" outlineLevel="0" collapsed="false">
      <c r="A1751" s="13" t="str">
        <f aca="false">TRIM(Raw_Data!A1751)</f>
        <v>EMP1750</v>
      </c>
      <c r="B1751" s="14" t="n">
        <f aca="false">Raw_Data!B1751</f>
        <v>45483</v>
      </c>
      <c r="C1751" s="14" t="str">
        <f aca="false">IF(Raw_Data!C1751="","",Raw_Data!C1751)</f>
        <v/>
      </c>
      <c r="D1751" s="13" t="n">
        <f aca="false">IF(Raw_Data!D1751="","",Raw_Data!D1751)</f>
        <v>34</v>
      </c>
      <c r="E1751" s="13" t="str">
        <f aca="false">IF(UPPER(LEFT(TRIM(Raw_Data!E1751),1))="M","Male",IF(UPPER(LEFT(TRIM(Raw_Data!E1751),1))="F","Female","Unknown"))</f>
        <v>Male</v>
      </c>
      <c r="F1751" s="13" t="str">
        <f aca="false">PROPER(TRIM(SUBSTITUTE(Raw_Data!F1751,"'","")))</f>
        <v>Bachelors</v>
      </c>
      <c r="G1751" s="13" t="str">
        <f aca="false">PROPER(TRIM(Raw_Data!G1751))</f>
        <v>Finance</v>
      </c>
      <c r="H1751" s="13" t="str">
        <f aca="false">PROPER(TRIM(Raw_Data!H1751))</f>
        <v>Analyst</v>
      </c>
      <c r="I1751" s="13" t="n">
        <f aca="false">IF(Raw_Data!I1751="",DefaultPerf,Raw_Data!I1751)</f>
        <v>3</v>
      </c>
      <c r="J1751" s="13" t="n">
        <f aca="false">IF(Raw_Data!J1751="",DefaultSat,Raw_Data!J1751)</f>
        <v>2</v>
      </c>
      <c r="K1751" s="15" t="n">
        <f aca="false">Raw_Data!K1751</f>
        <v>53500</v>
      </c>
      <c r="L1751" s="13" t="str">
        <f aca="false">PROPER(TRIM(Raw_Data!N1751))</f>
        <v>No</v>
      </c>
      <c r="M1751" s="13" t="n">
        <f aca="false">IF(C1751="",0,1)</f>
        <v>0</v>
      </c>
      <c r="N1751" s="13" t="str">
        <f aca="false">IF(M1751=0,"Active",IF(TRIM(Raw_Data!L1751)="","Unknown",PROPER(TRIM(Raw_Data!L1751))))</f>
        <v>Active</v>
      </c>
      <c r="O1751" s="13" t="str">
        <f aca="false">IF(M1751=0,"",IF(TRIM(Raw_Data!M1751)="","Not Recorded",TRIM(Raw_Data!M1751)))</f>
        <v/>
      </c>
      <c r="P1751" s="16" t="n">
        <f aca="false">ROUND((IF(C1751="",AsOfDate,C1751)-B1751)/365.25,2)</f>
        <v>1.48</v>
      </c>
      <c r="Q1751" s="13" t="str">
        <f aca="false">IF(D1751="","Unknown",IF(D1751&lt;25,"Under 25",IF(D1751&lt;35,"25-34",IF(D1751&lt;45,"35-44",IF(D1751&lt;55,"45-54","55+")))))</f>
        <v>25-34</v>
      </c>
      <c r="R1751" s="13" t="str">
        <f aca="false">IF(P1751&lt;1,"0-1 yrs",IF(P1751&lt;3,"1-3 yrs",IF(P1751&lt;5,"3-5 yrs",IF(P1751&lt;10,"5-10 yrs","10+ yrs"))))</f>
        <v>1-3 yrs</v>
      </c>
      <c r="S1751" s="13" t="str">
        <f aca="false">IF(I1751&gt;=4,"High",IF(I1751=3,"Medium","Low"))</f>
        <v>Medium</v>
      </c>
      <c r="T1751" s="13" t="str">
        <f aca="false">IF(M1751=1,YEAR(C1751),"")</f>
        <v/>
      </c>
      <c r="U1751" s="13" t="str">
        <f aca="false">IF(M1751=1,YEAR(C1751)&amp;"-Q"&amp;ROUNDUP(MONTH(C1751)/3,0),"")</f>
        <v/>
      </c>
      <c r="V1751" s="13" t="str">
        <f aca="false">IF(M1751=1,MONTH(C1751),"")</f>
        <v/>
      </c>
    </row>
    <row r="1752" customFormat="false" ht="15" hidden="false" customHeight="false" outlineLevel="0" collapsed="false">
      <c r="A1752" s="13" t="str">
        <f aca="false">TRIM(Raw_Data!A1752)</f>
        <v>EMP1751</v>
      </c>
      <c r="B1752" s="14" t="n">
        <f aca="false">Raw_Data!B1752</f>
        <v>45484</v>
      </c>
      <c r="C1752" s="14" t="n">
        <f aca="false">IF(Raw_Data!C1752="","",Raw_Data!C1752)</f>
        <v>45790</v>
      </c>
      <c r="D1752" s="13" t="n">
        <f aca="false">IF(Raw_Data!D1752="","",Raw_Data!D1752)</f>
        <v>22</v>
      </c>
      <c r="E1752" s="13" t="str">
        <f aca="false">IF(UPPER(LEFT(TRIM(Raw_Data!E1752),1))="M","Male",IF(UPPER(LEFT(TRIM(Raw_Data!E1752),1))="F","Female","Unknown"))</f>
        <v>Female</v>
      </c>
      <c r="F1752" s="13" t="str">
        <f aca="false">PROPER(TRIM(SUBSTITUTE(Raw_Data!F1752,"'","")))</f>
        <v>Bachelors</v>
      </c>
      <c r="G1752" s="13" t="str">
        <f aca="false">PROPER(TRIM(Raw_Data!G1752))</f>
        <v>Customer Support</v>
      </c>
      <c r="H1752" s="13" t="str">
        <f aca="false">PROPER(TRIM(Raw_Data!H1752))</f>
        <v>Senior Analyst</v>
      </c>
      <c r="I1752" s="13" t="n">
        <f aca="false">IF(Raw_Data!I1752="",DefaultPerf,Raw_Data!I1752)</f>
        <v>1</v>
      </c>
      <c r="J1752" s="13" t="n">
        <f aca="false">IF(Raw_Data!J1752="",DefaultSat,Raw_Data!J1752)</f>
        <v>2</v>
      </c>
      <c r="K1752" s="15" t="n">
        <f aca="false">Raw_Data!K1752</f>
        <v>79000</v>
      </c>
      <c r="L1752" s="13" t="str">
        <f aca="false">PROPER(TRIM(Raw_Data!N1752))</f>
        <v>Yes</v>
      </c>
      <c r="M1752" s="13" t="n">
        <f aca="false">IF(C1752="",0,1)</f>
        <v>1</v>
      </c>
      <c r="N1752" s="13" t="str">
        <f aca="false">IF(M1752=0,"Active",IF(TRIM(Raw_Data!L1752)="","Unknown",PROPER(TRIM(Raw_Data!L1752))))</f>
        <v>Involuntary</v>
      </c>
      <c r="O1752" s="13" t="str">
        <f aca="false">IF(M1752=0,"",IF(TRIM(Raw_Data!M1752)="","Not Recorded",TRIM(Raw_Data!M1752)))</f>
        <v>End of Contract</v>
      </c>
      <c r="P1752" s="16" t="n">
        <f aca="false">ROUND((IF(C1752="",AsOfDate,C1752)-B1752)/365.25,2)</f>
        <v>0.84</v>
      </c>
      <c r="Q1752" s="13" t="str">
        <f aca="false">IF(D1752="","Unknown",IF(D1752&lt;25,"Under 25",IF(D1752&lt;35,"25-34",IF(D1752&lt;45,"35-44",IF(D1752&lt;55,"45-54","55+")))))</f>
        <v>Under 25</v>
      </c>
      <c r="R1752" s="13" t="str">
        <f aca="false">IF(P1752&lt;1,"0-1 yrs",IF(P1752&lt;3,"1-3 yrs",IF(P1752&lt;5,"3-5 yrs",IF(P1752&lt;10,"5-10 yrs","10+ yrs"))))</f>
        <v>0-1 yrs</v>
      </c>
      <c r="S1752" s="13" t="str">
        <f aca="false">IF(I1752&gt;=4,"High",IF(I1752=3,"Medium","Low"))</f>
        <v>Low</v>
      </c>
      <c r="T1752" s="13" t="n">
        <f aca="false">IF(M1752=1,YEAR(C1752),"")</f>
        <v>2025</v>
      </c>
      <c r="U1752" s="13" t="str">
        <f aca="false">IF(M1752=1,YEAR(C1752)&amp;"-Q"&amp;ROUNDUP(MONTH(C1752)/3,0),"")</f>
        <v>2025-Q2</v>
      </c>
      <c r="V1752" s="13" t="n">
        <f aca="false">IF(M1752=1,MONTH(C1752),"")</f>
        <v>5</v>
      </c>
    </row>
    <row r="1753" customFormat="false" ht="15" hidden="false" customHeight="false" outlineLevel="0" collapsed="false">
      <c r="A1753" s="13" t="str">
        <f aca="false">TRIM(Raw_Data!A1753)</f>
        <v>EMP1752</v>
      </c>
      <c r="B1753" s="14" t="n">
        <f aca="false">Raw_Data!B1753</f>
        <v>45485</v>
      </c>
      <c r="C1753" s="14" t="str">
        <f aca="false">IF(Raw_Data!C1753="","",Raw_Data!C1753)</f>
        <v/>
      </c>
      <c r="D1753" s="13" t="n">
        <f aca="false">IF(Raw_Data!D1753="","",Raw_Data!D1753)</f>
        <v>27</v>
      </c>
      <c r="E1753" s="13" t="str">
        <f aca="false">IF(UPPER(LEFT(TRIM(Raw_Data!E1753),1))="M","Male",IF(UPPER(LEFT(TRIM(Raw_Data!E1753),1))="F","Female","Unknown"))</f>
        <v>Male</v>
      </c>
      <c r="F1753" s="13" t="str">
        <f aca="false">PROPER(TRIM(SUBSTITUTE(Raw_Data!F1753,"'","")))</f>
        <v>Masters</v>
      </c>
      <c r="G1753" s="13" t="str">
        <f aca="false">PROPER(TRIM(Raw_Data!G1753))</f>
        <v>Human Resources</v>
      </c>
      <c r="H1753" s="13" t="str">
        <f aca="false">PROPER(TRIM(Raw_Data!H1753))</f>
        <v>Associate</v>
      </c>
      <c r="I1753" s="13" t="n">
        <f aca="false">IF(Raw_Data!I1753="",DefaultPerf,Raw_Data!I1753)</f>
        <v>4</v>
      </c>
      <c r="J1753" s="13" t="n">
        <f aca="false">IF(Raw_Data!J1753="",DefaultSat,Raw_Data!J1753)</f>
        <v>4</v>
      </c>
      <c r="K1753" s="15" t="n">
        <f aca="false">Raw_Data!K1753</f>
        <v>35000</v>
      </c>
      <c r="L1753" s="13" t="str">
        <f aca="false">PROPER(TRIM(Raw_Data!N1753))</f>
        <v>Yes</v>
      </c>
      <c r="M1753" s="13" t="n">
        <f aca="false">IF(C1753="",0,1)</f>
        <v>0</v>
      </c>
      <c r="N1753" s="13" t="str">
        <f aca="false">IF(M1753=0,"Active",IF(TRIM(Raw_Data!L1753)="","Unknown",PROPER(TRIM(Raw_Data!L1753))))</f>
        <v>Active</v>
      </c>
      <c r="O1753" s="13" t="str">
        <f aca="false">IF(M1753=0,"",IF(TRIM(Raw_Data!M1753)="","Not Recorded",TRIM(Raw_Data!M1753)))</f>
        <v/>
      </c>
      <c r="P1753" s="16" t="n">
        <f aca="false">ROUND((IF(C1753="",AsOfDate,C1753)-B1753)/365.25,2)</f>
        <v>1.47</v>
      </c>
      <c r="Q1753" s="13" t="str">
        <f aca="false">IF(D1753="","Unknown",IF(D1753&lt;25,"Under 25",IF(D1753&lt;35,"25-34",IF(D1753&lt;45,"35-44",IF(D1753&lt;55,"45-54","55+")))))</f>
        <v>25-34</v>
      </c>
      <c r="R1753" s="13" t="str">
        <f aca="false">IF(P1753&lt;1,"0-1 yrs",IF(P1753&lt;3,"1-3 yrs",IF(P1753&lt;5,"3-5 yrs",IF(P1753&lt;10,"5-10 yrs","10+ yrs"))))</f>
        <v>1-3 yrs</v>
      </c>
      <c r="S1753" s="13" t="str">
        <f aca="false">IF(I1753&gt;=4,"High",IF(I1753=3,"Medium","Low"))</f>
        <v>High</v>
      </c>
      <c r="T1753" s="13" t="str">
        <f aca="false">IF(M1753=1,YEAR(C1753),"")</f>
        <v/>
      </c>
      <c r="U1753" s="13" t="str">
        <f aca="false">IF(M1753=1,YEAR(C1753)&amp;"-Q"&amp;ROUNDUP(MONTH(C1753)/3,0),"")</f>
        <v/>
      </c>
      <c r="V1753" s="13" t="str">
        <f aca="false">IF(M1753=1,MONTH(C1753),"")</f>
        <v/>
      </c>
    </row>
    <row r="1754" customFormat="false" ht="15" hidden="false" customHeight="false" outlineLevel="0" collapsed="false">
      <c r="A1754" s="13" t="str">
        <f aca="false">TRIM(Raw_Data!A1754)</f>
        <v>EMP1753</v>
      </c>
      <c r="B1754" s="14" t="n">
        <f aca="false">Raw_Data!B1754</f>
        <v>45486</v>
      </c>
      <c r="C1754" s="14" t="str">
        <f aca="false">IF(Raw_Data!C1754="","",Raw_Data!C1754)</f>
        <v/>
      </c>
      <c r="D1754" s="13" t="n">
        <f aca="false">IF(Raw_Data!D1754="","",Raw_Data!D1754)</f>
        <v>22</v>
      </c>
      <c r="E1754" s="13" t="str">
        <f aca="false">IF(UPPER(LEFT(TRIM(Raw_Data!E1754),1))="M","Male",IF(UPPER(LEFT(TRIM(Raw_Data!E1754),1))="F","Female","Unknown"))</f>
        <v>Male</v>
      </c>
      <c r="F1754" s="13" t="str">
        <f aca="false">PROPER(TRIM(SUBSTITUTE(Raw_Data!F1754,"'","")))</f>
        <v>Masters</v>
      </c>
      <c r="G1754" s="13" t="str">
        <f aca="false">PROPER(TRIM(Raw_Data!G1754))</f>
        <v>Sales</v>
      </c>
      <c r="H1754" s="13" t="str">
        <f aca="false">PROPER(TRIM(Raw_Data!H1754))</f>
        <v>Associate</v>
      </c>
      <c r="I1754" s="13" t="n">
        <f aca="false">IF(Raw_Data!I1754="",DefaultPerf,Raw_Data!I1754)</f>
        <v>3</v>
      </c>
      <c r="J1754" s="13" t="n">
        <f aca="false">IF(Raw_Data!J1754="",DefaultSat,Raw_Data!J1754)</f>
        <v>4</v>
      </c>
      <c r="K1754" s="15" t="n">
        <f aca="false">Raw_Data!K1754</f>
        <v>37500</v>
      </c>
      <c r="L1754" s="13" t="str">
        <f aca="false">PROPER(TRIM(Raw_Data!N1754))</f>
        <v>No</v>
      </c>
      <c r="M1754" s="13" t="n">
        <f aca="false">IF(C1754="",0,1)</f>
        <v>0</v>
      </c>
      <c r="N1754" s="13" t="str">
        <f aca="false">IF(M1754=0,"Active",IF(TRIM(Raw_Data!L1754)="","Unknown",PROPER(TRIM(Raw_Data!L1754))))</f>
        <v>Active</v>
      </c>
      <c r="O1754" s="13" t="str">
        <f aca="false">IF(M1754=0,"",IF(TRIM(Raw_Data!M1754)="","Not Recorded",TRIM(Raw_Data!M1754)))</f>
        <v/>
      </c>
      <c r="P1754" s="16" t="n">
        <f aca="false">ROUND((IF(C1754="",AsOfDate,C1754)-B1754)/365.25,2)</f>
        <v>1.47</v>
      </c>
      <c r="Q1754" s="13" t="str">
        <f aca="false">IF(D1754="","Unknown",IF(D1754&lt;25,"Under 25",IF(D1754&lt;35,"25-34",IF(D1754&lt;45,"35-44",IF(D1754&lt;55,"45-54","55+")))))</f>
        <v>Under 25</v>
      </c>
      <c r="R1754" s="13" t="str">
        <f aca="false">IF(P1754&lt;1,"0-1 yrs",IF(P1754&lt;3,"1-3 yrs",IF(P1754&lt;5,"3-5 yrs",IF(P1754&lt;10,"5-10 yrs","10+ yrs"))))</f>
        <v>1-3 yrs</v>
      </c>
      <c r="S1754" s="13" t="str">
        <f aca="false">IF(I1754&gt;=4,"High",IF(I1754=3,"Medium","Low"))</f>
        <v>Medium</v>
      </c>
      <c r="T1754" s="13" t="str">
        <f aca="false">IF(M1754=1,YEAR(C1754),"")</f>
        <v/>
      </c>
      <c r="U1754" s="13" t="str">
        <f aca="false">IF(M1754=1,YEAR(C1754)&amp;"-Q"&amp;ROUNDUP(MONTH(C1754)/3,0),"")</f>
        <v/>
      </c>
      <c r="V1754" s="13" t="str">
        <f aca="false">IF(M1754=1,MONTH(C1754),"")</f>
        <v/>
      </c>
    </row>
    <row r="1755" customFormat="false" ht="15" hidden="false" customHeight="false" outlineLevel="0" collapsed="false">
      <c r="A1755" s="13" t="str">
        <f aca="false">TRIM(Raw_Data!A1755)</f>
        <v>EMP1754</v>
      </c>
      <c r="B1755" s="14" t="n">
        <f aca="false">Raw_Data!B1755</f>
        <v>45487</v>
      </c>
      <c r="C1755" s="14" t="n">
        <f aca="false">IF(Raw_Data!C1755="","",Raw_Data!C1755)</f>
        <v>45510</v>
      </c>
      <c r="D1755" s="13" t="n">
        <f aca="false">IF(Raw_Data!D1755="","",Raw_Data!D1755)</f>
        <v>34</v>
      </c>
      <c r="E1755" s="13" t="str">
        <f aca="false">IF(UPPER(LEFT(TRIM(Raw_Data!E1755),1))="M","Male",IF(UPPER(LEFT(TRIM(Raw_Data!E1755),1))="F","Female","Unknown"))</f>
        <v>Female</v>
      </c>
      <c r="F1755" s="13" t="str">
        <f aca="false">PROPER(TRIM(SUBSTITUTE(Raw_Data!F1755,"'","")))</f>
        <v>High School</v>
      </c>
      <c r="G1755" s="13" t="str">
        <f aca="false">PROPER(TRIM(Raw_Data!G1755))</f>
        <v>Sales</v>
      </c>
      <c r="H1755" s="13" t="str">
        <f aca="false">PROPER(TRIM(Raw_Data!H1755))</f>
        <v>Associate</v>
      </c>
      <c r="I1755" s="13" t="n">
        <f aca="false">IF(Raw_Data!I1755="",DefaultPerf,Raw_Data!I1755)</f>
        <v>2</v>
      </c>
      <c r="J1755" s="13" t="n">
        <f aca="false">IF(Raw_Data!J1755="",DefaultSat,Raw_Data!J1755)</f>
        <v>3</v>
      </c>
      <c r="K1755" s="15" t="n">
        <f aca="false">Raw_Data!K1755</f>
        <v>35500</v>
      </c>
      <c r="L1755" s="13" t="str">
        <f aca="false">PROPER(TRIM(Raw_Data!N1755))</f>
        <v>No</v>
      </c>
      <c r="M1755" s="13" t="n">
        <f aca="false">IF(C1755="",0,1)</f>
        <v>1</v>
      </c>
      <c r="N1755" s="13" t="str">
        <f aca="false">IF(M1755=0,"Active",IF(TRIM(Raw_Data!L1755)="","Unknown",PROPER(TRIM(Raw_Data!L1755))))</f>
        <v>Voluntary</v>
      </c>
      <c r="O1755" s="13" t="str">
        <f aca="false">IF(M1755=0,"",IF(TRIM(Raw_Data!M1755)="","Not Recorded",TRIM(Raw_Data!M1755)))</f>
        <v>Career Growth</v>
      </c>
      <c r="P1755" s="16" t="n">
        <f aca="false">ROUND((IF(C1755="",AsOfDate,C1755)-B1755)/365.25,2)</f>
        <v>0.06</v>
      </c>
      <c r="Q1755" s="13" t="str">
        <f aca="false">IF(D1755="","Unknown",IF(D1755&lt;25,"Under 25",IF(D1755&lt;35,"25-34",IF(D1755&lt;45,"35-44",IF(D1755&lt;55,"45-54","55+")))))</f>
        <v>25-34</v>
      </c>
      <c r="R1755" s="13" t="str">
        <f aca="false">IF(P1755&lt;1,"0-1 yrs",IF(P1755&lt;3,"1-3 yrs",IF(P1755&lt;5,"3-5 yrs",IF(P1755&lt;10,"5-10 yrs","10+ yrs"))))</f>
        <v>0-1 yrs</v>
      </c>
      <c r="S1755" s="13" t="str">
        <f aca="false">IF(I1755&gt;=4,"High",IF(I1755=3,"Medium","Low"))</f>
        <v>Low</v>
      </c>
      <c r="T1755" s="13" t="n">
        <f aca="false">IF(M1755=1,YEAR(C1755),"")</f>
        <v>2024</v>
      </c>
      <c r="U1755" s="13" t="str">
        <f aca="false">IF(M1755=1,YEAR(C1755)&amp;"-Q"&amp;ROUNDUP(MONTH(C1755)/3,0),"")</f>
        <v>2024-Q3</v>
      </c>
      <c r="V1755" s="13" t="n">
        <f aca="false">IF(M1755=1,MONTH(C1755),"")</f>
        <v>8</v>
      </c>
    </row>
    <row r="1756" customFormat="false" ht="15" hidden="false" customHeight="false" outlineLevel="0" collapsed="false">
      <c r="A1756" s="13" t="str">
        <f aca="false">TRIM(Raw_Data!A1756)</f>
        <v>EMP1755</v>
      </c>
      <c r="B1756" s="14" t="n">
        <f aca="false">Raw_Data!B1756</f>
        <v>45487</v>
      </c>
      <c r="C1756" s="14" t="n">
        <f aca="false">IF(Raw_Data!C1756="","",Raw_Data!C1756)</f>
        <v>45655</v>
      </c>
      <c r="D1756" s="13" t="n">
        <f aca="false">IF(Raw_Data!D1756="","",Raw_Data!D1756)</f>
        <v>30</v>
      </c>
      <c r="E1756" s="13" t="str">
        <f aca="false">IF(UPPER(LEFT(TRIM(Raw_Data!E1756),1))="M","Male",IF(UPPER(LEFT(TRIM(Raw_Data!E1756),1))="F","Female","Unknown"))</f>
        <v>Female</v>
      </c>
      <c r="F1756" s="13" t="str">
        <f aca="false">PROPER(TRIM(SUBSTITUTE(Raw_Data!F1756,"'","")))</f>
        <v>Bachelors</v>
      </c>
      <c r="G1756" s="13" t="str">
        <f aca="false">PROPER(TRIM(Raw_Data!G1756))</f>
        <v>Engineering</v>
      </c>
      <c r="H1756" s="13" t="str">
        <f aca="false">PROPER(TRIM(Raw_Data!H1756))</f>
        <v>Analyst</v>
      </c>
      <c r="I1756" s="13" t="n">
        <f aca="false">IF(Raw_Data!I1756="",DefaultPerf,Raw_Data!I1756)</f>
        <v>2</v>
      </c>
      <c r="J1756" s="13" t="n">
        <f aca="false">IF(Raw_Data!J1756="",DefaultSat,Raw_Data!J1756)</f>
        <v>3</v>
      </c>
      <c r="K1756" s="15" t="n">
        <f aca="false">Raw_Data!K1756</f>
        <v>52500</v>
      </c>
      <c r="L1756" s="13" t="str">
        <f aca="false">PROPER(TRIM(Raw_Data!N1756))</f>
        <v>No</v>
      </c>
      <c r="M1756" s="13" t="n">
        <f aca="false">IF(C1756="",0,1)</f>
        <v>1</v>
      </c>
      <c r="N1756" s="13" t="str">
        <f aca="false">IF(M1756=0,"Active",IF(TRIM(Raw_Data!L1756)="","Unknown",PROPER(TRIM(Raw_Data!L1756))))</f>
        <v>Voluntary</v>
      </c>
      <c r="O1756" s="13" t="str">
        <f aca="false">IF(M1756=0,"",IF(TRIM(Raw_Data!M1756)="","Not Recorded",TRIM(Raw_Data!M1756)))</f>
        <v>Personal Reasons</v>
      </c>
      <c r="P1756" s="16" t="n">
        <f aca="false">ROUND((IF(C1756="",AsOfDate,C1756)-B1756)/365.25,2)</f>
        <v>0.46</v>
      </c>
      <c r="Q1756" s="13" t="str">
        <f aca="false">IF(D1756="","Unknown",IF(D1756&lt;25,"Under 25",IF(D1756&lt;35,"25-34",IF(D1756&lt;45,"35-44",IF(D1756&lt;55,"45-54","55+")))))</f>
        <v>25-34</v>
      </c>
      <c r="R1756" s="13" t="str">
        <f aca="false">IF(P1756&lt;1,"0-1 yrs",IF(P1756&lt;3,"1-3 yrs",IF(P1756&lt;5,"3-5 yrs",IF(P1756&lt;10,"5-10 yrs","10+ yrs"))))</f>
        <v>0-1 yrs</v>
      </c>
      <c r="S1756" s="13" t="str">
        <f aca="false">IF(I1756&gt;=4,"High",IF(I1756=3,"Medium","Low"))</f>
        <v>Low</v>
      </c>
      <c r="T1756" s="13" t="n">
        <f aca="false">IF(M1756=1,YEAR(C1756),"")</f>
        <v>2024</v>
      </c>
      <c r="U1756" s="13" t="str">
        <f aca="false">IF(M1756=1,YEAR(C1756)&amp;"-Q"&amp;ROUNDUP(MONTH(C1756)/3,0),"")</f>
        <v>2024-Q4</v>
      </c>
      <c r="V1756" s="13" t="n">
        <f aca="false">IF(M1756=1,MONTH(C1756),"")</f>
        <v>12</v>
      </c>
    </row>
    <row r="1757" customFormat="false" ht="15" hidden="false" customHeight="false" outlineLevel="0" collapsed="false">
      <c r="A1757" s="13" t="str">
        <f aca="false">TRIM(Raw_Data!A1757)</f>
        <v>EMP1756</v>
      </c>
      <c r="B1757" s="14" t="n">
        <f aca="false">Raw_Data!B1757</f>
        <v>45489</v>
      </c>
      <c r="C1757" s="14" t="str">
        <f aca="false">IF(Raw_Data!C1757="","",Raw_Data!C1757)</f>
        <v/>
      </c>
      <c r="D1757" s="13" t="n">
        <f aca="false">IF(Raw_Data!D1757="","",Raw_Data!D1757)</f>
        <v>36</v>
      </c>
      <c r="E1757" s="13" t="str">
        <f aca="false">IF(UPPER(LEFT(TRIM(Raw_Data!E1757),1))="M","Male",IF(UPPER(LEFT(TRIM(Raw_Data!E1757),1))="F","Female","Unknown"))</f>
        <v>Male</v>
      </c>
      <c r="F1757" s="13" t="str">
        <f aca="false">PROPER(TRIM(SUBSTITUTE(Raw_Data!F1757,"'","")))</f>
        <v>Bachelors</v>
      </c>
      <c r="G1757" s="13" t="str">
        <f aca="false">PROPER(TRIM(Raw_Data!G1757))</f>
        <v>Human Resources</v>
      </c>
      <c r="H1757" s="13" t="str">
        <f aca="false">PROPER(TRIM(Raw_Data!H1757))</f>
        <v>Analyst</v>
      </c>
      <c r="I1757" s="13" t="n">
        <f aca="false">IF(Raw_Data!I1757="",DefaultPerf,Raw_Data!I1757)</f>
        <v>4</v>
      </c>
      <c r="J1757" s="13" t="n">
        <f aca="false">IF(Raw_Data!J1757="",DefaultSat,Raw_Data!J1757)</f>
        <v>4</v>
      </c>
      <c r="K1757" s="15" t="n">
        <f aca="false">Raw_Data!K1757</f>
        <v>62500</v>
      </c>
      <c r="L1757" s="13" t="str">
        <f aca="false">PROPER(TRIM(Raw_Data!N1757))</f>
        <v>Yes</v>
      </c>
      <c r="M1757" s="13" t="n">
        <f aca="false">IF(C1757="",0,1)</f>
        <v>0</v>
      </c>
      <c r="N1757" s="13" t="str">
        <f aca="false">IF(M1757=0,"Active",IF(TRIM(Raw_Data!L1757)="","Unknown",PROPER(TRIM(Raw_Data!L1757))))</f>
        <v>Active</v>
      </c>
      <c r="O1757" s="13" t="str">
        <f aca="false">IF(M1757=0,"",IF(TRIM(Raw_Data!M1757)="","Not Recorded",TRIM(Raw_Data!M1757)))</f>
        <v/>
      </c>
      <c r="P1757" s="16" t="n">
        <f aca="false">ROUND((IF(C1757="",AsOfDate,C1757)-B1757)/365.25,2)</f>
        <v>1.46</v>
      </c>
      <c r="Q1757" s="13" t="str">
        <f aca="false">IF(D1757="","Unknown",IF(D1757&lt;25,"Under 25",IF(D1757&lt;35,"25-34",IF(D1757&lt;45,"35-44",IF(D1757&lt;55,"45-54","55+")))))</f>
        <v>35-44</v>
      </c>
      <c r="R1757" s="13" t="str">
        <f aca="false">IF(P1757&lt;1,"0-1 yrs",IF(P1757&lt;3,"1-3 yrs",IF(P1757&lt;5,"3-5 yrs",IF(P1757&lt;10,"5-10 yrs","10+ yrs"))))</f>
        <v>1-3 yrs</v>
      </c>
      <c r="S1757" s="13" t="str">
        <f aca="false">IF(I1757&gt;=4,"High",IF(I1757=3,"Medium","Low"))</f>
        <v>High</v>
      </c>
      <c r="T1757" s="13" t="str">
        <f aca="false">IF(M1757=1,YEAR(C1757),"")</f>
        <v/>
      </c>
      <c r="U1757" s="13" t="str">
        <f aca="false">IF(M1757=1,YEAR(C1757)&amp;"-Q"&amp;ROUNDUP(MONTH(C1757)/3,0),"")</f>
        <v/>
      </c>
      <c r="V1757" s="13" t="str">
        <f aca="false">IF(M1757=1,MONTH(C1757),"")</f>
        <v/>
      </c>
    </row>
    <row r="1758" customFormat="false" ht="15" hidden="false" customHeight="false" outlineLevel="0" collapsed="false">
      <c r="A1758" s="13" t="str">
        <f aca="false">TRIM(Raw_Data!A1758)</f>
        <v>EMP1757</v>
      </c>
      <c r="B1758" s="14" t="n">
        <f aca="false">Raw_Data!B1758</f>
        <v>45493</v>
      </c>
      <c r="C1758" s="14" t="str">
        <f aca="false">IF(Raw_Data!C1758="","",Raw_Data!C1758)</f>
        <v/>
      </c>
      <c r="D1758" s="13" t="n">
        <f aca="false">IF(Raw_Data!D1758="","",Raw_Data!D1758)</f>
        <v>22</v>
      </c>
      <c r="E1758" s="13" t="str">
        <f aca="false">IF(UPPER(LEFT(TRIM(Raw_Data!E1758),1))="M","Male",IF(UPPER(LEFT(TRIM(Raw_Data!E1758),1))="F","Female","Unknown"))</f>
        <v>Male</v>
      </c>
      <c r="F1758" s="13" t="str">
        <f aca="false">PROPER(TRIM(SUBSTITUTE(Raw_Data!F1758,"'","")))</f>
        <v>Masters</v>
      </c>
      <c r="G1758" s="13" t="str">
        <f aca="false">PROPER(TRIM(Raw_Data!G1758))</f>
        <v>Finance</v>
      </c>
      <c r="H1758" s="13" t="str">
        <f aca="false">PROPER(TRIM(Raw_Data!H1758))</f>
        <v>Analyst</v>
      </c>
      <c r="I1758" s="13" t="n">
        <f aca="false">IF(Raw_Data!I1758="",DefaultPerf,Raw_Data!I1758)</f>
        <v>4</v>
      </c>
      <c r="J1758" s="13" t="n">
        <f aca="false">IF(Raw_Data!J1758="",DefaultSat,Raw_Data!J1758)</f>
        <v>2</v>
      </c>
      <c r="K1758" s="15" t="n">
        <f aca="false">Raw_Data!K1758</f>
        <v>68500</v>
      </c>
      <c r="L1758" s="13" t="str">
        <f aca="false">PROPER(TRIM(Raw_Data!N1758))</f>
        <v>No</v>
      </c>
      <c r="M1758" s="13" t="n">
        <f aca="false">IF(C1758="",0,1)</f>
        <v>0</v>
      </c>
      <c r="N1758" s="13" t="str">
        <f aca="false">IF(M1758=0,"Active",IF(TRIM(Raw_Data!L1758)="","Unknown",PROPER(TRIM(Raw_Data!L1758))))</f>
        <v>Active</v>
      </c>
      <c r="O1758" s="13" t="str">
        <f aca="false">IF(M1758=0,"",IF(TRIM(Raw_Data!M1758)="","Not Recorded",TRIM(Raw_Data!M1758)))</f>
        <v/>
      </c>
      <c r="P1758" s="16" t="n">
        <f aca="false">ROUND((IF(C1758="",AsOfDate,C1758)-B1758)/365.25,2)</f>
        <v>1.45</v>
      </c>
      <c r="Q1758" s="13" t="str">
        <f aca="false">IF(D1758="","Unknown",IF(D1758&lt;25,"Under 25",IF(D1758&lt;35,"25-34",IF(D1758&lt;45,"35-44",IF(D1758&lt;55,"45-54","55+")))))</f>
        <v>Under 25</v>
      </c>
      <c r="R1758" s="13" t="str">
        <f aca="false">IF(P1758&lt;1,"0-1 yrs",IF(P1758&lt;3,"1-3 yrs",IF(P1758&lt;5,"3-5 yrs",IF(P1758&lt;10,"5-10 yrs","10+ yrs"))))</f>
        <v>1-3 yrs</v>
      </c>
      <c r="S1758" s="13" t="str">
        <f aca="false">IF(I1758&gt;=4,"High",IF(I1758=3,"Medium","Low"))</f>
        <v>High</v>
      </c>
      <c r="T1758" s="13" t="str">
        <f aca="false">IF(M1758=1,YEAR(C1758),"")</f>
        <v/>
      </c>
      <c r="U1758" s="13" t="str">
        <f aca="false">IF(M1758=1,YEAR(C1758)&amp;"-Q"&amp;ROUNDUP(MONTH(C1758)/3,0),"")</f>
        <v/>
      </c>
      <c r="V1758" s="13" t="str">
        <f aca="false">IF(M1758=1,MONTH(C1758),"")</f>
        <v/>
      </c>
    </row>
    <row r="1759" customFormat="false" ht="15" hidden="false" customHeight="false" outlineLevel="0" collapsed="false">
      <c r="A1759" s="13" t="str">
        <f aca="false">TRIM(Raw_Data!A1759)</f>
        <v>EMP1758</v>
      </c>
      <c r="B1759" s="14" t="n">
        <f aca="false">Raw_Data!B1759</f>
        <v>45495</v>
      </c>
      <c r="C1759" s="14" t="str">
        <f aca="false">IF(Raw_Data!C1759="","",Raw_Data!C1759)</f>
        <v/>
      </c>
      <c r="D1759" s="13" t="n">
        <f aca="false">IF(Raw_Data!D1759="","",Raw_Data!D1759)</f>
        <v>23</v>
      </c>
      <c r="E1759" s="13" t="str">
        <f aca="false">IF(UPPER(LEFT(TRIM(Raw_Data!E1759),1))="M","Male",IF(UPPER(LEFT(TRIM(Raw_Data!E1759),1))="F","Female","Unknown"))</f>
        <v>Female</v>
      </c>
      <c r="F1759" s="13" t="str">
        <f aca="false">PROPER(TRIM(SUBSTITUTE(Raw_Data!F1759,"'","")))</f>
        <v>Doctorate</v>
      </c>
      <c r="G1759" s="13" t="str">
        <f aca="false">PROPER(TRIM(Raw_Data!G1759))</f>
        <v>Engineering</v>
      </c>
      <c r="H1759" s="13" t="str">
        <f aca="false">PROPER(TRIM(Raw_Data!H1759))</f>
        <v>Analyst</v>
      </c>
      <c r="I1759" s="13" t="n">
        <f aca="false">IF(Raw_Data!I1759="",DefaultPerf,Raw_Data!I1759)</f>
        <v>4</v>
      </c>
      <c r="J1759" s="13" t="n">
        <f aca="false">IF(Raw_Data!J1759="",DefaultSat,Raw_Data!J1759)</f>
        <v>4</v>
      </c>
      <c r="K1759" s="15" t="n">
        <f aca="false">Raw_Data!K1759</f>
        <v>56500</v>
      </c>
      <c r="L1759" s="13" t="str">
        <f aca="false">PROPER(TRIM(Raw_Data!N1759))</f>
        <v>No</v>
      </c>
      <c r="M1759" s="13" t="n">
        <f aca="false">IF(C1759="",0,1)</f>
        <v>0</v>
      </c>
      <c r="N1759" s="13" t="str">
        <f aca="false">IF(M1759=0,"Active",IF(TRIM(Raw_Data!L1759)="","Unknown",PROPER(TRIM(Raw_Data!L1759))))</f>
        <v>Active</v>
      </c>
      <c r="O1759" s="13" t="str">
        <f aca="false">IF(M1759=0,"",IF(TRIM(Raw_Data!M1759)="","Not Recorded",TRIM(Raw_Data!M1759)))</f>
        <v/>
      </c>
      <c r="P1759" s="16" t="n">
        <f aca="false">ROUND((IF(C1759="",AsOfDate,C1759)-B1759)/365.25,2)</f>
        <v>1.44</v>
      </c>
      <c r="Q1759" s="13" t="str">
        <f aca="false">IF(D1759="","Unknown",IF(D1759&lt;25,"Under 25",IF(D1759&lt;35,"25-34",IF(D1759&lt;45,"35-44",IF(D1759&lt;55,"45-54","55+")))))</f>
        <v>Under 25</v>
      </c>
      <c r="R1759" s="13" t="str">
        <f aca="false">IF(P1759&lt;1,"0-1 yrs",IF(P1759&lt;3,"1-3 yrs",IF(P1759&lt;5,"3-5 yrs",IF(P1759&lt;10,"5-10 yrs","10+ yrs"))))</f>
        <v>1-3 yrs</v>
      </c>
      <c r="S1759" s="13" t="str">
        <f aca="false">IF(I1759&gt;=4,"High",IF(I1759=3,"Medium","Low"))</f>
        <v>High</v>
      </c>
      <c r="T1759" s="13" t="str">
        <f aca="false">IF(M1759=1,YEAR(C1759),"")</f>
        <v/>
      </c>
      <c r="U1759" s="13" t="str">
        <f aca="false">IF(M1759=1,YEAR(C1759)&amp;"-Q"&amp;ROUNDUP(MONTH(C1759)/3,0),"")</f>
        <v/>
      </c>
      <c r="V1759" s="13" t="str">
        <f aca="false">IF(M1759=1,MONTH(C1759),"")</f>
        <v/>
      </c>
    </row>
    <row r="1760" customFormat="false" ht="15" hidden="false" customHeight="false" outlineLevel="0" collapsed="false">
      <c r="A1760" s="13" t="str">
        <f aca="false">TRIM(Raw_Data!A1760)</f>
        <v>EMP1759</v>
      </c>
      <c r="B1760" s="14" t="n">
        <f aca="false">Raw_Data!B1760</f>
        <v>45496</v>
      </c>
      <c r="C1760" s="14" t="str">
        <f aca="false">IF(Raw_Data!C1760="","",Raw_Data!C1760)</f>
        <v/>
      </c>
      <c r="D1760" s="13" t="n">
        <f aca="false">IF(Raw_Data!D1760="","",Raw_Data!D1760)</f>
        <v>26</v>
      </c>
      <c r="E1760" s="13" t="str">
        <f aca="false">IF(UPPER(LEFT(TRIM(Raw_Data!E1760),1))="M","Male",IF(UPPER(LEFT(TRIM(Raw_Data!E1760),1))="F","Female","Unknown"))</f>
        <v>Male</v>
      </c>
      <c r="F1760" s="13" t="str">
        <f aca="false">PROPER(TRIM(SUBSTITUTE(Raw_Data!F1760,"'","")))</f>
        <v>Bachelors</v>
      </c>
      <c r="G1760" s="13" t="str">
        <f aca="false">PROPER(TRIM(Raw_Data!G1760))</f>
        <v>Finance</v>
      </c>
      <c r="H1760" s="13" t="str">
        <f aca="false">PROPER(TRIM(Raw_Data!H1760))</f>
        <v>Specialist</v>
      </c>
      <c r="I1760" s="13" t="n">
        <f aca="false">IF(Raw_Data!I1760="",DefaultPerf,Raw_Data!I1760)</f>
        <v>2</v>
      </c>
      <c r="J1760" s="13" t="n">
        <f aca="false">IF(Raw_Data!J1760="",DefaultSat,Raw_Data!J1760)</f>
        <v>4</v>
      </c>
      <c r="K1760" s="15" t="n">
        <f aca="false">Raw_Data!K1760</f>
        <v>98000</v>
      </c>
      <c r="L1760" s="13" t="str">
        <f aca="false">PROPER(TRIM(Raw_Data!N1760))</f>
        <v>Yes</v>
      </c>
      <c r="M1760" s="13" t="n">
        <f aca="false">IF(C1760="",0,1)</f>
        <v>0</v>
      </c>
      <c r="N1760" s="13" t="str">
        <f aca="false">IF(M1760=0,"Active",IF(TRIM(Raw_Data!L1760)="","Unknown",PROPER(TRIM(Raw_Data!L1760))))</f>
        <v>Active</v>
      </c>
      <c r="O1760" s="13" t="str">
        <f aca="false">IF(M1760=0,"",IF(TRIM(Raw_Data!M1760)="","Not Recorded",TRIM(Raw_Data!M1760)))</f>
        <v/>
      </c>
      <c r="P1760" s="16" t="n">
        <f aca="false">ROUND((IF(C1760="",AsOfDate,C1760)-B1760)/365.25,2)</f>
        <v>1.44</v>
      </c>
      <c r="Q1760" s="13" t="str">
        <f aca="false">IF(D1760="","Unknown",IF(D1760&lt;25,"Under 25",IF(D1760&lt;35,"25-34",IF(D1760&lt;45,"35-44",IF(D1760&lt;55,"45-54","55+")))))</f>
        <v>25-34</v>
      </c>
      <c r="R1760" s="13" t="str">
        <f aca="false">IF(P1760&lt;1,"0-1 yrs",IF(P1760&lt;3,"1-3 yrs",IF(P1760&lt;5,"3-5 yrs",IF(P1760&lt;10,"5-10 yrs","10+ yrs"))))</f>
        <v>1-3 yrs</v>
      </c>
      <c r="S1760" s="13" t="str">
        <f aca="false">IF(I1760&gt;=4,"High",IF(I1760=3,"Medium","Low"))</f>
        <v>Low</v>
      </c>
      <c r="T1760" s="13" t="str">
        <f aca="false">IF(M1760=1,YEAR(C1760),"")</f>
        <v/>
      </c>
      <c r="U1760" s="13" t="str">
        <f aca="false">IF(M1760=1,YEAR(C1760)&amp;"-Q"&amp;ROUNDUP(MONTH(C1760)/3,0),"")</f>
        <v/>
      </c>
      <c r="V1760" s="13" t="str">
        <f aca="false">IF(M1760=1,MONTH(C1760),"")</f>
        <v/>
      </c>
    </row>
    <row r="1761" customFormat="false" ht="15" hidden="false" customHeight="false" outlineLevel="0" collapsed="false">
      <c r="A1761" s="13" t="str">
        <f aca="false">TRIM(Raw_Data!A1761)</f>
        <v>EMP1760</v>
      </c>
      <c r="B1761" s="14" t="n">
        <f aca="false">Raw_Data!B1761</f>
        <v>45496</v>
      </c>
      <c r="C1761" s="14" t="str">
        <f aca="false">IF(Raw_Data!C1761="","",Raw_Data!C1761)</f>
        <v/>
      </c>
      <c r="D1761" s="13" t="n">
        <f aca="false">IF(Raw_Data!D1761="","",Raw_Data!D1761)</f>
        <v>31</v>
      </c>
      <c r="E1761" s="13" t="str">
        <f aca="false">IF(UPPER(LEFT(TRIM(Raw_Data!E1761),1))="M","Male",IF(UPPER(LEFT(TRIM(Raw_Data!E1761),1))="F","Female","Unknown"))</f>
        <v>Male</v>
      </c>
      <c r="F1761" s="13" t="str">
        <f aca="false">PROPER(TRIM(SUBSTITUTE(Raw_Data!F1761,"'","")))</f>
        <v>Diploma</v>
      </c>
      <c r="G1761" s="13" t="str">
        <f aca="false">PROPER(TRIM(Raw_Data!G1761))</f>
        <v>Human Resources</v>
      </c>
      <c r="H1761" s="13" t="str">
        <f aca="false">PROPER(TRIM(Raw_Data!H1761))</f>
        <v>Specialist</v>
      </c>
      <c r="I1761" s="13" t="n">
        <f aca="false">IF(Raw_Data!I1761="",DefaultPerf,Raw_Data!I1761)</f>
        <v>4</v>
      </c>
      <c r="J1761" s="13" t="n">
        <f aca="false">IF(Raw_Data!J1761="",DefaultSat,Raw_Data!J1761)</f>
        <v>3</v>
      </c>
      <c r="K1761" s="15" t="n">
        <f aca="false">Raw_Data!K1761</f>
        <v>110500</v>
      </c>
      <c r="L1761" s="13" t="str">
        <f aca="false">PROPER(TRIM(Raw_Data!N1761))</f>
        <v>No</v>
      </c>
      <c r="M1761" s="13" t="n">
        <f aca="false">IF(C1761="",0,1)</f>
        <v>0</v>
      </c>
      <c r="N1761" s="13" t="str">
        <f aca="false">IF(M1761=0,"Active",IF(TRIM(Raw_Data!L1761)="","Unknown",PROPER(TRIM(Raw_Data!L1761))))</f>
        <v>Active</v>
      </c>
      <c r="O1761" s="13" t="str">
        <f aca="false">IF(M1761=0,"",IF(TRIM(Raw_Data!M1761)="","Not Recorded",TRIM(Raw_Data!M1761)))</f>
        <v/>
      </c>
      <c r="P1761" s="16" t="n">
        <f aca="false">ROUND((IF(C1761="",AsOfDate,C1761)-B1761)/365.25,2)</f>
        <v>1.44</v>
      </c>
      <c r="Q1761" s="13" t="str">
        <f aca="false">IF(D1761="","Unknown",IF(D1761&lt;25,"Under 25",IF(D1761&lt;35,"25-34",IF(D1761&lt;45,"35-44",IF(D1761&lt;55,"45-54","55+")))))</f>
        <v>25-34</v>
      </c>
      <c r="R1761" s="13" t="str">
        <f aca="false">IF(P1761&lt;1,"0-1 yrs",IF(P1761&lt;3,"1-3 yrs",IF(P1761&lt;5,"3-5 yrs",IF(P1761&lt;10,"5-10 yrs","10+ yrs"))))</f>
        <v>1-3 yrs</v>
      </c>
      <c r="S1761" s="13" t="str">
        <f aca="false">IF(I1761&gt;=4,"High",IF(I1761=3,"Medium","Low"))</f>
        <v>High</v>
      </c>
      <c r="T1761" s="13" t="str">
        <f aca="false">IF(M1761=1,YEAR(C1761),"")</f>
        <v/>
      </c>
      <c r="U1761" s="13" t="str">
        <f aca="false">IF(M1761=1,YEAR(C1761)&amp;"-Q"&amp;ROUNDUP(MONTH(C1761)/3,0),"")</f>
        <v/>
      </c>
      <c r="V1761" s="13" t="str">
        <f aca="false">IF(M1761=1,MONTH(C1761),"")</f>
        <v/>
      </c>
    </row>
    <row r="1762" customFormat="false" ht="15" hidden="false" customHeight="false" outlineLevel="0" collapsed="false">
      <c r="A1762" s="13" t="str">
        <f aca="false">TRIM(Raw_Data!A1762)</f>
        <v>EMP1761</v>
      </c>
      <c r="B1762" s="14" t="n">
        <f aca="false">Raw_Data!B1762</f>
        <v>45499</v>
      </c>
      <c r="C1762" s="14" t="n">
        <f aca="false">IF(Raw_Data!C1762="","",Raw_Data!C1762)</f>
        <v>45683</v>
      </c>
      <c r="D1762" s="13" t="n">
        <f aca="false">IF(Raw_Data!D1762="","",Raw_Data!D1762)</f>
        <v>30</v>
      </c>
      <c r="E1762" s="13" t="str">
        <f aca="false">IF(UPPER(LEFT(TRIM(Raw_Data!E1762),1))="M","Male",IF(UPPER(LEFT(TRIM(Raw_Data!E1762),1))="F","Female","Unknown"))</f>
        <v>Male</v>
      </c>
      <c r="F1762" s="13" t="str">
        <f aca="false">PROPER(TRIM(SUBSTITUTE(Raw_Data!F1762,"'","")))</f>
        <v>High School</v>
      </c>
      <c r="G1762" s="13" t="str">
        <f aca="false">PROPER(TRIM(Raw_Data!G1762))</f>
        <v>Human Resources</v>
      </c>
      <c r="H1762" s="13" t="str">
        <f aca="false">PROPER(TRIM(Raw_Data!H1762))</f>
        <v>Specialist</v>
      </c>
      <c r="I1762" s="13" t="n">
        <f aca="false">IF(Raw_Data!I1762="",DefaultPerf,Raw_Data!I1762)</f>
        <v>3</v>
      </c>
      <c r="J1762" s="13" t="n">
        <f aca="false">IF(Raw_Data!J1762="",DefaultSat,Raw_Data!J1762)</f>
        <v>3</v>
      </c>
      <c r="K1762" s="15" t="n">
        <f aca="false">Raw_Data!K1762</f>
        <v>100500</v>
      </c>
      <c r="L1762" s="13" t="str">
        <f aca="false">PROPER(TRIM(Raw_Data!N1762))</f>
        <v>No</v>
      </c>
      <c r="M1762" s="13" t="n">
        <f aca="false">IF(C1762="",0,1)</f>
        <v>1</v>
      </c>
      <c r="N1762" s="13" t="str">
        <f aca="false">IF(M1762=0,"Active",IF(TRIM(Raw_Data!L1762)="","Unknown",PROPER(TRIM(Raw_Data!L1762))))</f>
        <v>Voluntary</v>
      </c>
      <c r="O1762" s="13" t="str">
        <f aca="false">IF(M1762=0,"",IF(TRIM(Raw_Data!M1762)="","Not Recorded",TRIM(Raw_Data!M1762)))</f>
        <v>Job Dissatisfaction</v>
      </c>
      <c r="P1762" s="16" t="n">
        <f aca="false">ROUND((IF(C1762="",AsOfDate,C1762)-B1762)/365.25,2)</f>
        <v>0.5</v>
      </c>
      <c r="Q1762" s="13" t="str">
        <f aca="false">IF(D1762="","Unknown",IF(D1762&lt;25,"Under 25",IF(D1762&lt;35,"25-34",IF(D1762&lt;45,"35-44",IF(D1762&lt;55,"45-54","55+")))))</f>
        <v>25-34</v>
      </c>
      <c r="R1762" s="13" t="str">
        <f aca="false">IF(P1762&lt;1,"0-1 yrs",IF(P1762&lt;3,"1-3 yrs",IF(P1762&lt;5,"3-5 yrs",IF(P1762&lt;10,"5-10 yrs","10+ yrs"))))</f>
        <v>0-1 yrs</v>
      </c>
      <c r="S1762" s="13" t="str">
        <f aca="false">IF(I1762&gt;=4,"High",IF(I1762=3,"Medium","Low"))</f>
        <v>Medium</v>
      </c>
      <c r="T1762" s="13" t="n">
        <f aca="false">IF(M1762=1,YEAR(C1762),"")</f>
        <v>2025</v>
      </c>
      <c r="U1762" s="13" t="str">
        <f aca="false">IF(M1762=1,YEAR(C1762)&amp;"-Q"&amp;ROUNDUP(MONTH(C1762)/3,0),"")</f>
        <v>2025-Q1</v>
      </c>
      <c r="V1762" s="13" t="n">
        <f aca="false">IF(M1762=1,MONTH(C1762),"")</f>
        <v>1</v>
      </c>
    </row>
    <row r="1763" customFormat="false" ht="15" hidden="false" customHeight="false" outlineLevel="0" collapsed="false">
      <c r="A1763" s="13" t="str">
        <f aca="false">TRIM(Raw_Data!A1763)</f>
        <v>EMP1762</v>
      </c>
      <c r="B1763" s="14" t="n">
        <f aca="false">Raw_Data!B1763</f>
        <v>45499</v>
      </c>
      <c r="C1763" s="14" t="str">
        <f aca="false">IF(Raw_Data!C1763="","",Raw_Data!C1763)</f>
        <v/>
      </c>
      <c r="D1763" s="13" t="n">
        <f aca="false">IF(Raw_Data!D1763="","",Raw_Data!D1763)</f>
        <v>33</v>
      </c>
      <c r="E1763" s="13" t="str">
        <f aca="false">IF(UPPER(LEFT(TRIM(Raw_Data!E1763),1))="M","Male",IF(UPPER(LEFT(TRIM(Raw_Data!E1763),1))="F","Female","Unknown"))</f>
        <v>Female</v>
      </c>
      <c r="F1763" s="13" t="str">
        <f aca="false">PROPER(TRIM(SUBSTITUTE(Raw_Data!F1763,"'","")))</f>
        <v>Bachelors</v>
      </c>
      <c r="G1763" s="13" t="str">
        <f aca="false">PROPER(TRIM(Raw_Data!G1763))</f>
        <v>Operations</v>
      </c>
      <c r="H1763" s="13" t="str">
        <f aca="false">PROPER(TRIM(Raw_Data!H1763))</f>
        <v>Specialist</v>
      </c>
      <c r="I1763" s="13" t="n">
        <f aca="false">IF(Raw_Data!I1763="",DefaultPerf,Raw_Data!I1763)</f>
        <v>3</v>
      </c>
      <c r="J1763" s="13" t="n">
        <f aca="false">IF(Raw_Data!J1763="",DefaultSat,Raw_Data!J1763)</f>
        <v>4</v>
      </c>
      <c r="K1763" s="15" t="n">
        <f aca="false">Raw_Data!K1763</f>
        <v>91500</v>
      </c>
      <c r="L1763" s="13" t="str">
        <f aca="false">PROPER(TRIM(Raw_Data!N1763))</f>
        <v>No</v>
      </c>
      <c r="M1763" s="13" t="n">
        <f aca="false">IF(C1763="",0,1)</f>
        <v>0</v>
      </c>
      <c r="N1763" s="13" t="str">
        <f aca="false">IF(M1763=0,"Active",IF(TRIM(Raw_Data!L1763)="","Unknown",PROPER(TRIM(Raw_Data!L1763))))</f>
        <v>Active</v>
      </c>
      <c r="O1763" s="13" t="str">
        <f aca="false">IF(M1763=0,"",IF(TRIM(Raw_Data!M1763)="","Not Recorded",TRIM(Raw_Data!M1763)))</f>
        <v/>
      </c>
      <c r="P1763" s="16" t="n">
        <f aca="false">ROUND((IF(C1763="",AsOfDate,C1763)-B1763)/365.25,2)</f>
        <v>1.43</v>
      </c>
      <c r="Q1763" s="13" t="str">
        <f aca="false">IF(D1763="","Unknown",IF(D1763&lt;25,"Under 25",IF(D1763&lt;35,"25-34",IF(D1763&lt;45,"35-44",IF(D1763&lt;55,"45-54","55+")))))</f>
        <v>25-34</v>
      </c>
      <c r="R1763" s="13" t="str">
        <f aca="false">IF(P1763&lt;1,"0-1 yrs",IF(P1763&lt;3,"1-3 yrs",IF(P1763&lt;5,"3-5 yrs",IF(P1763&lt;10,"5-10 yrs","10+ yrs"))))</f>
        <v>1-3 yrs</v>
      </c>
      <c r="S1763" s="13" t="str">
        <f aca="false">IF(I1763&gt;=4,"High",IF(I1763=3,"Medium","Low"))</f>
        <v>Medium</v>
      </c>
      <c r="T1763" s="13" t="str">
        <f aca="false">IF(M1763=1,YEAR(C1763),"")</f>
        <v/>
      </c>
      <c r="U1763" s="13" t="str">
        <f aca="false">IF(M1763=1,YEAR(C1763)&amp;"-Q"&amp;ROUNDUP(MONTH(C1763)/3,0),"")</f>
        <v/>
      </c>
      <c r="V1763" s="13" t="str">
        <f aca="false">IF(M1763=1,MONTH(C1763),"")</f>
        <v/>
      </c>
    </row>
    <row r="1764" customFormat="false" ht="15" hidden="false" customHeight="false" outlineLevel="0" collapsed="false">
      <c r="A1764" s="13" t="str">
        <f aca="false">TRIM(Raw_Data!A1764)</f>
        <v>EMP1763</v>
      </c>
      <c r="B1764" s="14" t="n">
        <f aca="false">Raw_Data!B1764</f>
        <v>45502</v>
      </c>
      <c r="C1764" s="14" t="n">
        <f aca="false">IF(Raw_Data!C1764="","",Raw_Data!C1764)</f>
        <v>45847</v>
      </c>
      <c r="D1764" s="13" t="n">
        <f aca="false">IF(Raw_Data!D1764="","",Raw_Data!D1764)</f>
        <v>32</v>
      </c>
      <c r="E1764" s="13" t="str">
        <f aca="false">IF(UPPER(LEFT(TRIM(Raw_Data!E1764),1))="M","Male",IF(UPPER(LEFT(TRIM(Raw_Data!E1764),1))="F","Female","Unknown"))</f>
        <v>Female</v>
      </c>
      <c r="F1764" s="13" t="str">
        <f aca="false">PROPER(TRIM(SUBSTITUTE(Raw_Data!F1764,"'","")))</f>
        <v>Bachelors</v>
      </c>
      <c r="G1764" s="13" t="str">
        <f aca="false">PROPER(TRIM(Raw_Data!G1764))</f>
        <v>Engineering</v>
      </c>
      <c r="H1764" s="13" t="str">
        <f aca="false">PROPER(TRIM(Raw_Data!H1764))</f>
        <v>Associate</v>
      </c>
      <c r="I1764" s="13" t="n">
        <f aca="false">IF(Raw_Data!I1764="",DefaultPerf,Raw_Data!I1764)</f>
        <v>4</v>
      </c>
      <c r="J1764" s="13" t="n">
        <f aca="false">IF(Raw_Data!J1764="",DefaultSat,Raw_Data!J1764)</f>
        <v>2</v>
      </c>
      <c r="K1764" s="15" t="n">
        <f aca="false">Raw_Data!K1764</f>
        <v>34000</v>
      </c>
      <c r="L1764" s="13" t="str">
        <f aca="false">PROPER(TRIM(Raw_Data!N1764))</f>
        <v>Yes</v>
      </c>
      <c r="M1764" s="13" t="n">
        <f aca="false">IF(C1764="",0,1)</f>
        <v>1</v>
      </c>
      <c r="N1764" s="13" t="str">
        <f aca="false">IF(M1764=0,"Active",IF(TRIM(Raw_Data!L1764)="","Unknown",PROPER(TRIM(Raw_Data!L1764))))</f>
        <v>Voluntary</v>
      </c>
      <c r="O1764" s="13" t="str">
        <f aca="false">IF(M1764=0,"",IF(TRIM(Raw_Data!M1764)="","Not Recorded",TRIM(Raw_Data!M1764)))</f>
        <v>Personal Reasons</v>
      </c>
      <c r="P1764" s="16" t="n">
        <f aca="false">ROUND((IF(C1764="",AsOfDate,C1764)-B1764)/365.25,2)</f>
        <v>0.94</v>
      </c>
      <c r="Q1764" s="13" t="str">
        <f aca="false">IF(D1764="","Unknown",IF(D1764&lt;25,"Under 25",IF(D1764&lt;35,"25-34",IF(D1764&lt;45,"35-44",IF(D1764&lt;55,"45-54","55+")))))</f>
        <v>25-34</v>
      </c>
      <c r="R1764" s="13" t="str">
        <f aca="false">IF(P1764&lt;1,"0-1 yrs",IF(P1764&lt;3,"1-3 yrs",IF(P1764&lt;5,"3-5 yrs",IF(P1764&lt;10,"5-10 yrs","10+ yrs"))))</f>
        <v>0-1 yrs</v>
      </c>
      <c r="S1764" s="13" t="str">
        <f aca="false">IF(I1764&gt;=4,"High",IF(I1764=3,"Medium","Low"))</f>
        <v>High</v>
      </c>
      <c r="T1764" s="13" t="n">
        <f aca="false">IF(M1764=1,YEAR(C1764),"")</f>
        <v>2025</v>
      </c>
      <c r="U1764" s="13" t="str">
        <f aca="false">IF(M1764=1,YEAR(C1764)&amp;"-Q"&amp;ROUNDUP(MONTH(C1764)/3,0),"")</f>
        <v>2025-Q3</v>
      </c>
      <c r="V1764" s="13" t="n">
        <f aca="false">IF(M1764=1,MONTH(C1764),"")</f>
        <v>7</v>
      </c>
    </row>
    <row r="1765" customFormat="false" ht="15" hidden="false" customHeight="false" outlineLevel="0" collapsed="false">
      <c r="A1765" s="13" t="str">
        <f aca="false">TRIM(Raw_Data!A1765)</f>
        <v>EMP1764</v>
      </c>
      <c r="B1765" s="14" t="n">
        <f aca="false">Raw_Data!B1765</f>
        <v>45507</v>
      </c>
      <c r="C1765" s="14" t="n">
        <f aca="false">IF(Raw_Data!C1765="","",Raw_Data!C1765)</f>
        <v>45587</v>
      </c>
      <c r="D1765" s="13" t="n">
        <f aca="false">IF(Raw_Data!D1765="","",Raw_Data!D1765)</f>
        <v>23</v>
      </c>
      <c r="E1765" s="13" t="str">
        <f aca="false">IF(UPPER(LEFT(TRIM(Raw_Data!E1765),1))="M","Male",IF(UPPER(LEFT(TRIM(Raw_Data!E1765),1))="F","Female","Unknown"))</f>
        <v>Female</v>
      </c>
      <c r="F1765" s="13" t="str">
        <f aca="false">PROPER(TRIM(SUBSTITUTE(Raw_Data!F1765,"'","")))</f>
        <v>High School</v>
      </c>
      <c r="G1765" s="13" t="str">
        <f aca="false">PROPER(TRIM(Raw_Data!G1765))</f>
        <v>Finance</v>
      </c>
      <c r="H1765" s="13" t="str">
        <f aca="false">PROPER(TRIM(Raw_Data!H1765))</f>
        <v>Analyst</v>
      </c>
      <c r="I1765" s="13" t="n">
        <f aca="false">IF(Raw_Data!I1765="",DefaultPerf,Raw_Data!I1765)</f>
        <v>4</v>
      </c>
      <c r="J1765" s="13" t="n">
        <f aca="false">IF(Raw_Data!J1765="",DefaultSat,Raw_Data!J1765)</f>
        <v>3</v>
      </c>
      <c r="K1765" s="15" t="n">
        <f aca="false">Raw_Data!K1765</f>
        <v>63500</v>
      </c>
      <c r="L1765" s="13" t="str">
        <f aca="false">PROPER(TRIM(Raw_Data!N1765))</f>
        <v>No</v>
      </c>
      <c r="M1765" s="13" t="n">
        <f aca="false">IF(C1765="",0,1)</f>
        <v>1</v>
      </c>
      <c r="N1765" s="13" t="str">
        <f aca="false">IF(M1765=0,"Active",IF(TRIM(Raw_Data!L1765)="","Unknown",PROPER(TRIM(Raw_Data!L1765))))</f>
        <v>Voluntary</v>
      </c>
      <c r="O1765" s="13" t="str">
        <f aca="false">IF(M1765=0,"",IF(TRIM(Raw_Data!M1765)="","Not Recorded",TRIM(Raw_Data!M1765)))</f>
        <v>Relocation</v>
      </c>
      <c r="P1765" s="16" t="n">
        <f aca="false">ROUND((IF(C1765="",AsOfDate,C1765)-B1765)/365.25,2)</f>
        <v>0.22</v>
      </c>
      <c r="Q1765" s="13" t="str">
        <f aca="false">IF(D1765="","Unknown",IF(D1765&lt;25,"Under 25",IF(D1765&lt;35,"25-34",IF(D1765&lt;45,"35-44",IF(D1765&lt;55,"45-54","55+")))))</f>
        <v>Under 25</v>
      </c>
      <c r="R1765" s="13" t="str">
        <f aca="false">IF(P1765&lt;1,"0-1 yrs",IF(P1765&lt;3,"1-3 yrs",IF(P1765&lt;5,"3-5 yrs",IF(P1765&lt;10,"5-10 yrs","10+ yrs"))))</f>
        <v>0-1 yrs</v>
      </c>
      <c r="S1765" s="13" t="str">
        <f aca="false">IF(I1765&gt;=4,"High",IF(I1765=3,"Medium","Low"))</f>
        <v>High</v>
      </c>
      <c r="T1765" s="13" t="n">
        <f aca="false">IF(M1765=1,YEAR(C1765),"")</f>
        <v>2024</v>
      </c>
      <c r="U1765" s="13" t="str">
        <f aca="false">IF(M1765=1,YEAR(C1765)&amp;"-Q"&amp;ROUNDUP(MONTH(C1765)/3,0),"")</f>
        <v>2024-Q4</v>
      </c>
      <c r="V1765" s="13" t="n">
        <f aca="false">IF(M1765=1,MONTH(C1765),"")</f>
        <v>10</v>
      </c>
    </row>
    <row r="1766" customFormat="false" ht="15" hidden="false" customHeight="false" outlineLevel="0" collapsed="false">
      <c r="A1766" s="13" t="str">
        <f aca="false">TRIM(Raw_Data!A1766)</f>
        <v>EMP1765</v>
      </c>
      <c r="B1766" s="14" t="n">
        <f aca="false">Raw_Data!B1766</f>
        <v>45508</v>
      </c>
      <c r="C1766" s="14" t="str">
        <f aca="false">IF(Raw_Data!C1766="","",Raw_Data!C1766)</f>
        <v/>
      </c>
      <c r="D1766" s="13" t="n">
        <f aca="false">IF(Raw_Data!D1766="","",Raw_Data!D1766)</f>
        <v>26</v>
      </c>
      <c r="E1766" s="13" t="str">
        <f aca="false">IF(UPPER(LEFT(TRIM(Raw_Data!E1766),1))="M","Male",IF(UPPER(LEFT(TRIM(Raw_Data!E1766),1))="F","Female","Unknown"))</f>
        <v>Female</v>
      </c>
      <c r="F1766" s="13" t="str">
        <f aca="false">PROPER(TRIM(SUBSTITUTE(Raw_Data!F1766,"'","")))</f>
        <v>Bachelors</v>
      </c>
      <c r="G1766" s="13" t="str">
        <f aca="false">PROPER(TRIM(Raw_Data!G1766))</f>
        <v>Operations</v>
      </c>
      <c r="H1766" s="13" t="str">
        <f aca="false">PROPER(TRIM(Raw_Data!H1766))</f>
        <v>Analyst</v>
      </c>
      <c r="I1766" s="13" t="n">
        <f aca="false">IF(Raw_Data!I1766="",DefaultPerf,Raw_Data!I1766)</f>
        <v>4</v>
      </c>
      <c r="J1766" s="13" t="n">
        <f aca="false">IF(Raw_Data!J1766="",DefaultSat,Raw_Data!J1766)</f>
        <v>3</v>
      </c>
      <c r="K1766" s="15" t="n">
        <f aca="false">Raw_Data!K1766</f>
        <v>63000</v>
      </c>
      <c r="L1766" s="13" t="str">
        <f aca="false">PROPER(TRIM(Raw_Data!N1766))</f>
        <v>No</v>
      </c>
      <c r="M1766" s="13" t="n">
        <f aca="false">IF(C1766="",0,1)</f>
        <v>0</v>
      </c>
      <c r="N1766" s="13" t="str">
        <f aca="false">IF(M1766=0,"Active",IF(TRIM(Raw_Data!L1766)="","Unknown",PROPER(TRIM(Raw_Data!L1766))))</f>
        <v>Active</v>
      </c>
      <c r="O1766" s="13" t="str">
        <f aca="false">IF(M1766=0,"",IF(TRIM(Raw_Data!M1766)="","Not Recorded",TRIM(Raw_Data!M1766)))</f>
        <v/>
      </c>
      <c r="P1766" s="16" t="n">
        <f aca="false">ROUND((IF(C1766="",AsOfDate,C1766)-B1766)/365.25,2)</f>
        <v>1.41</v>
      </c>
      <c r="Q1766" s="13" t="str">
        <f aca="false">IF(D1766="","Unknown",IF(D1766&lt;25,"Under 25",IF(D1766&lt;35,"25-34",IF(D1766&lt;45,"35-44",IF(D1766&lt;55,"45-54","55+")))))</f>
        <v>25-34</v>
      </c>
      <c r="R1766" s="13" t="str">
        <f aca="false">IF(P1766&lt;1,"0-1 yrs",IF(P1766&lt;3,"1-3 yrs",IF(P1766&lt;5,"3-5 yrs",IF(P1766&lt;10,"5-10 yrs","10+ yrs"))))</f>
        <v>1-3 yrs</v>
      </c>
      <c r="S1766" s="13" t="str">
        <f aca="false">IF(I1766&gt;=4,"High",IF(I1766=3,"Medium","Low"))</f>
        <v>High</v>
      </c>
      <c r="T1766" s="13" t="str">
        <f aca="false">IF(M1766=1,YEAR(C1766),"")</f>
        <v/>
      </c>
      <c r="U1766" s="13" t="str">
        <f aca="false">IF(M1766=1,YEAR(C1766)&amp;"-Q"&amp;ROUNDUP(MONTH(C1766)/3,0),"")</f>
        <v/>
      </c>
      <c r="V1766" s="13" t="str">
        <f aca="false">IF(M1766=1,MONTH(C1766),"")</f>
        <v/>
      </c>
    </row>
    <row r="1767" customFormat="false" ht="15" hidden="false" customHeight="false" outlineLevel="0" collapsed="false">
      <c r="A1767" s="13" t="str">
        <f aca="false">TRIM(Raw_Data!A1767)</f>
        <v>EMP1766</v>
      </c>
      <c r="B1767" s="14" t="n">
        <f aca="false">Raw_Data!B1767</f>
        <v>45509</v>
      </c>
      <c r="C1767" s="14" t="n">
        <f aca="false">IF(Raw_Data!C1767="","",Raw_Data!C1767)</f>
        <v>45772</v>
      </c>
      <c r="D1767" s="13" t="n">
        <f aca="false">IF(Raw_Data!D1767="","",Raw_Data!D1767)</f>
        <v>25</v>
      </c>
      <c r="E1767" s="13" t="str">
        <f aca="false">IF(UPPER(LEFT(TRIM(Raw_Data!E1767),1))="M","Male",IF(UPPER(LEFT(TRIM(Raw_Data!E1767),1))="F","Female","Unknown"))</f>
        <v>Male</v>
      </c>
      <c r="F1767" s="13" t="str">
        <f aca="false">PROPER(TRIM(SUBSTITUTE(Raw_Data!F1767,"'","")))</f>
        <v>High School</v>
      </c>
      <c r="G1767" s="13" t="str">
        <f aca="false">PROPER(TRIM(Raw_Data!G1767))</f>
        <v>Engineering</v>
      </c>
      <c r="H1767" s="13" t="str">
        <f aca="false">PROPER(TRIM(Raw_Data!H1767))</f>
        <v>Senior Analyst</v>
      </c>
      <c r="I1767" s="13" t="n">
        <f aca="false">IF(Raw_Data!I1767="",DefaultPerf,Raw_Data!I1767)</f>
        <v>3</v>
      </c>
      <c r="J1767" s="13" t="n">
        <f aca="false">IF(Raw_Data!J1767="",DefaultSat,Raw_Data!J1767)</f>
        <v>4</v>
      </c>
      <c r="K1767" s="15" t="n">
        <f aca="false">Raw_Data!K1767</f>
        <v>85500</v>
      </c>
      <c r="L1767" s="13" t="str">
        <f aca="false">PROPER(TRIM(Raw_Data!N1767))</f>
        <v>No</v>
      </c>
      <c r="M1767" s="13" t="n">
        <f aca="false">IF(C1767="",0,1)</f>
        <v>1</v>
      </c>
      <c r="N1767" s="13" t="str">
        <f aca="false">IF(M1767=0,"Active",IF(TRIM(Raw_Data!L1767)="","Unknown",PROPER(TRIM(Raw_Data!L1767))))</f>
        <v>Voluntary</v>
      </c>
      <c r="O1767" s="13" t="str">
        <f aca="false">IF(M1767=0,"",IF(TRIM(Raw_Data!M1767)="","Not Recorded",TRIM(Raw_Data!M1767)))</f>
        <v>Manager Issues</v>
      </c>
      <c r="P1767" s="16" t="n">
        <f aca="false">ROUND((IF(C1767="",AsOfDate,C1767)-B1767)/365.25,2)</f>
        <v>0.72</v>
      </c>
      <c r="Q1767" s="13" t="str">
        <f aca="false">IF(D1767="","Unknown",IF(D1767&lt;25,"Under 25",IF(D1767&lt;35,"25-34",IF(D1767&lt;45,"35-44",IF(D1767&lt;55,"45-54","55+")))))</f>
        <v>25-34</v>
      </c>
      <c r="R1767" s="13" t="str">
        <f aca="false">IF(P1767&lt;1,"0-1 yrs",IF(P1767&lt;3,"1-3 yrs",IF(P1767&lt;5,"3-5 yrs",IF(P1767&lt;10,"5-10 yrs","10+ yrs"))))</f>
        <v>0-1 yrs</v>
      </c>
      <c r="S1767" s="13" t="str">
        <f aca="false">IF(I1767&gt;=4,"High",IF(I1767=3,"Medium","Low"))</f>
        <v>Medium</v>
      </c>
      <c r="T1767" s="13" t="n">
        <f aca="false">IF(M1767=1,YEAR(C1767),"")</f>
        <v>2025</v>
      </c>
      <c r="U1767" s="13" t="str">
        <f aca="false">IF(M1767=1,YEAR(C1767)&amp;"-Q"&amp;ROUNDUP(MONTH(C1767)/3,0),"")</f>
        <v>2025-Q2</v>
      </c>
      <c r="V1767" s="13" t="n">
        <f aca="false">IF(M1767=1,MONTH(C1767),"")</f>
        <v>4</v>
      </c>
    </row>
    <row r="1768" customFormat="false" ht="15" hidden="false" customHeight="false" outlineLevel="0" collapsed="false">
      <c r="A1768" s="13" t="str">
        <f aca="false">TRIM(Raw_Data!A1768)</f>
        <v>EMP1767</v>
      </c>
      <c r="B1768" s="14" t="n">
        <f aca="false">Raw_Data!B1768</f>
        <v>45510</v>
      </c>
      <c r="C1768" s="14" t="str">
        <f aca="false">IF(Raw_Data!C1768="","",Raw_Data!C1768)</f>
        <v/>
      </c>
      <c r="D1768" s="13" t="n">
        <f aca="false">IF(Raw_Data!D1768="","",Raw_Data!D1768)</f>
        <v>36</v>
      </c>
      <c r="E1768" s="13" t="str">
        <f aca="false">IF(UPPER(LEFT(TRIM(Raw_Data!E1768),1))="M","Male",IF(UPPER(LEFT(TRIM(Raw_Data!E1768),1))="F","Female","Unknown"))</f>
        <v>Female</v>
      </c>
      <c r="F1768" s="13" t="str">
        <f aca="false">PROPER(TRIM(SUBSTITUTE(Raw_Data!F1768,"'","")))</f>
        <v>Masters</v>
      </c>
      <c r="G1768" s="13" t="str">
        <f aca="false">PROPER(TRIM(Raw_Data!G1768))</f>
        <v>Operations</v>
      </c>
      <c r="H1768" s="13" t="str">
        <f aca="false">PROPER(TRIM(Raw_Data!H1768))</f>
        <v>Analyst</v>
      </c>
      <c r="I1768" s="13" t="n">
        <f aca="false">IF(Raw_Data!I1768="",DefaultPerf,Raw_Data!I1768)</f>
        <v>4</v>
      </c>
      <c r="J1768" s="13" t="n">
        <f aca="false">IF(Raw_Data!J1768="",DefaultSat,Raw_Data!J1768)</f>
        <v>3</v>
      </c>
      <c r="K1768" s="15" t="n">
        <f aca="false">Raw_Data!K1768</f>
        <v>57000</v>
      </c>
      <c r="L1768" s="13" t="str">
        <f aca="false">PROPER(TRIM(Raw_Data!N1768))</f>
        <v>No</v>
      </c>
      <c r="M1768" s="13" t="n">
        <f aca="false">IF(C1768="",0,1)</f>
        <v>0</v>
      </c>
      <c r="N1768" s="13" t="str">
        <f aca="false">IF(M1768=0,"Active",IF(TRIM(Raw_Data!L1768)="","Unknown",PROPER(TRIM(Raw_Data!L1768))))</f>
        <v>Active</v>
      </c>
      <c r="O1768" s="13" t="str">
        <f aca="false">IF(M1768=0,"",IF(TRIM(Raw_Data!M1768)="","Not Recorded",TRIM(Raw_Data!M1768)))</f>
        <v/>
      </c>
      <c r="P1768" s="16" t="n">
        <f aca="false">ROUND((IF(C1768="",AsOfDate,C1768)-B1768)/365.25,2)</f>
        <v>1.4</v>
      </c>
      <c r="Q1768" s="13" t="str">
        <f aca="false">IF(D1768="","Unknown",IF(D1768&lt;25,"Under 25",IF(D1768&lt;35,"25-34",IF(D1768&lt;45,"35-44",IF(D1768&lt;55,"45-54","55+")))))</f>
        <v>35-44</v>
      </c>
      <c r="R1768" s="13" t="str">
        <f aca="false">IF(P1768&lt;1,"0-1 yrs",IF(P1768&lt;3,"1-3 yrs",IF(P1768&lt;5,"3-5 yrs",IF(P1768&lt;10,"5-10 yrs","10+ yrs"))))</f>
        <v>1-3 yrs</v>
      </c>
      <c r="S1768" s="13" t="str">
        <f aca="false">IF(I1768&gt;=4,"High",IF(I1768=3,"Medium","Low"))</f>
        <v>High</v>
      </c>
      <c r="T1768" s="13" t="str">
        <f aca="false">IF(M1768=1,YEAR(C1768),"")</f>
        <v/>
      </c>
      <c r="U1768" s="13" t="str">
        <f aca="false">IF(M1768=1,YEAR(C1768)&amp;"-Q"&amp;ROUNDUP(MONTH(C1768)/3,0),"")</f>
        <v/>
      </c>
      <c r="V1768" s="13" t="str">
        <f aca="false">IF(M1768=1,MONTH(C1768),"")</f>
        <v/>
      </c>
    </row>
    <row r="1769" customFormat="false" ht="15" hidden="false" customHeight="false" outlineLevel="0" collapsed="false">
      <c r="A1769" s="13" t="str">
        <f aca="false">TRIM(Raw_Data!A1769)</f>
        <v>EMP1768</v>
      </c>
      <c r="B1769" s="14" t="n">
        <f aca="false">Raw_Data!B1769</f>
        <v>45510</v>
      </c>
      <c r="C1769" s="14" t="str">
        <f aca="false">IF(Raw_Data!C1769="","",Raw_Data!C1769)</f>
        <v/>
      </c>
      <c r="D1769" s="13" t="n">
        <f aca="false">IF(Raw_Data!D1769="","",Raw_Data!D1769)</f>
        <v>35</v>
      </c>
      <c r="E1769" s="13" t="str">
        <f aca="false">IF(UPPER(LEFT(TRIM(Raw_Data!E1769),1))="M","Male",IF(UPPER(LEFT(TRIM(Raw_Data!E1769),1))="F","Female","Unknown"))</f>
        <v>Male</v>
      </c>
      <c r="F1769" s="13" t="str">
        <f aca="false">PROPER(TRIM(SUBSTITUTE(Raw_Data!F1769,"'","")))</f>
        <v>High School</v>
      </c>
      <c r="G1769" s="13" t="str">
        <f aca="false">PROPER(TRIM(Raw_Data!G1769))</f>
        <v>Engineering</v>
      </c>
      <c r="H1769" s="13" t="str">
        <f aca="false">PROPER(TRIM(Raw_Data!H1769))</f>
        <v>Senior Analyst</v>
      </c>
      <c r="I1769" s="13" t="n">
        <f aca="false">IF(Raw_Data!I1769="",DefaultPerf,Raw_Data!I1769)</f>
        <v>3</v>
      </c>
      <c r="J1769" s="13" t="n">
        <f aca="false">IF(Raw_Data!J1769="",DefaultSat,Raw_Data!J1769)</f>
        <v>2</v>
      </c>
      <c r="K1769" s="15" t="n">
        <f aca="false">Raw_Data!K1769</f>
        <v>87500</v>
      </c>
      <c r="L1769" s="13" t="str">
        <f aca="false">PROPER(TRIM(Raw_Data!N1769))</f>
        <v>No</v>
      </c>
      <c r="M1769" s="13" t="n">
        <f aca="false">IF(C1769="",0,1)</f>
        <v>0</v>
      </c>
      <c r="N1769" s="13" t="str">
        <f aca="false">IF(M1769=0,"Active",IF(TRIM(Raw_Data!L1769)="","Unknown",PROPER(TRIM(Raw_Data!L1769))))</f>
        <v>Active</v>
      </c>
      <c r="O1769" s="13" t="str">
        <f aca="false">IF(M1769=0,"",IF(TRIM(Raw_Data!M1769)="","Not Recorded",TRIM(Raw_Data!M1769)))</f>
        <v/>
      </c>
      <c r="P1769" s="16" t="n">
        <f aca="false">ROUND((IF(C1769="",AsOfDate,C1769)-B1769)/365.25,2)</f>
        <v>1.4</v>
      </c>
      <c r="Q1769" s="13" t="str">
        <f aca="false">IF(D1769="","Unknown",IF(D1769&lt;25,"Under 25",IF(D1769&lt;35,"25-34",IF(D1769&lt;45,"35-44",IF(D1769&lt;55,"45-54","55+")))))</f>
        <v>35-44</v>
      </c>
      <c r="R1769" s="13" t="str">
        <f aca="false">IF(P1769&lt;1,"0-1 yrs",IF(P1769&lt;3,"1-3 yrs",IF(P1769&lt;5,"3-5 yrs",IF(P1769&lt;10,"5-10 yrs","10+ yrs"))))</f>
        <v>1-3 yrs</v>
      </c>
      <c r="S1769" s="13" t="str">
        <f aca="false">IF(I1769&gt;=4,"High",IF(I1769=3,"Medium","Low"))</f>
        <v>Medium</v>
      </c>
      <c r="T1769" s="13" t="str">
        <f aca="false">IF(M1769=1,YEAR(C1769),"")</f>
        <v/>
      </c>
      <c r="U1769" s="13" t="str">
        <f aca="false">IF(M1769=1,YEAR(C1769)&amp;"-Q"&amp;ROUNDUP(MONTH(C1769)/3,0),"")</f>
        <v/>
      </c>
      <c r="V1769" s="13" t="str">
        <f aca="false">IF(M1769=1,MONTH(C1769),"")</f>
        <v/>
      </c>
    </row>
    <row r="1770" customFormat="false" ht="15" hidden="false" customHeight="false" outlineLevel="0" collapsed="false">
      <c r="A1770" s="13" t="str">
        <f aca="false">TRIM(Raw_Data!A1770)</f>
        <v>EMP1769</v>
      </c>
      <c r="B1770" s="14" t="n">
        <f aca="false">Raw_Data!B1770</f>
        <v>45511</v>
      </c>
      <c r="C1770" s="14" t="n">
        <f aca="false">IF(Raw_Data!C1770="","",Raw_Data!C1770)</f>
        <v>45946</v>
      </c>
      <c r="D1770" s="13" t="n">
        <f aca="false">IF(Raw_Data!D1770="","",Raw_Data!D1770)</f>
        <v>33</v>
      </c>
      <c r="E1770" s="13" t="str">
        <f aca="false">IF(UPPER(LEFT(TRIM(Raw_Data!E1770),1))="M","Male",IF(UPPER(LEFT(TRIM(Raw_Data!E1770),1))="F","Female","Unknown"))</f>
        <v>Male</v>
      </c>
      <c r="F1770" s="13" t="str">
        <f aca="false">PROPER(TRIM(SUBSTITUTE(Raw_Data!F1770,"'","")))</f>
        <v>Masters</v>
      </c>
      <c r="G1770" s="13" t="str">
        <f aca="false">PROPER(TRIM(Raw_Data!G1770))</f>
        <v>Customer Support</v>
      </c>
      <c r="H1770" s="13" t="str">
        <f aca="false">PROPER(TRIM(Raw_Data!H1770))</f>
        <v>Specialist</v>
      </c>
      <c r="I1770" s="13" t="n">
        <f aca="false">IF(Raw_Data!I1770="",DefaultPerf,Raw_Data!I1770)</f>
        <v>5</v>
      </c>
      <c r="J1770" s="13" t="n">
        <f aca="false">IF(Raw_Data!J1770="",DefaultSat,Raw_Data!J1770)</f>
        <v>2</v>
      </c>
      <c r="K1770" s="15" t="n">
        <f aca="false">Raw_Data!K1770</f>
        <v>104000</v>
      </c>
      <c r="L1770" s="13" t="str">
        <f aca="false">PROPER(TRIM(Raw_Data!N1770))</f>
        <v>Yes</v>
      </c>
      <c r="M1770" s="13" t="n">
        <f aca="false">IF(C1770="",0,1)</f>
        <v>1</v>
      </c>
      <c r="N1770" s="13" t="str">
        <f aca="false">IF(M1770=0,"Active",IF(TRIM(Raw_Data!L1770)="","Unknown",PROPER(TRIM(Raw_Data!L1770))))</f>
        <v>Voluntary</v>
      </c>
      <c r="O1770" s="13" t="str">
        <f aca="false">IF(M1770=0,"",IF(TRIM(Raw_Data!M1770)="","Not Recorded",TRIM(Raw_Data!M1770)))</f>
        <v>Further Studies</v>
      </c>
      <c r="P1770" s="16" t="n">
        <f aca="false">ROUND((IF(C1770="",AsOfDate,C1770)-B1770)/365.25,2)</f>
        <v>1.19</v>
      </c>
      <c r="Q1770" s="13" t="str">
        <f aca="false">IF(D1770="","Unknown",IF(D1770&lt;25,"Under 25",IF(D1770&lt;35,"25-34",IF(D1770&lt;45,"35-44",IF(D1770&lt;55,"45-54","55+")))))</f>
        <v>25-34</v>
      </c>
      <c r="R1770" s="13" t="str">
        <f aca="false">IF(P1770&lt;1,"0-1 yrs",IF(P1770&lt;3,"1-3 yrs",IF(P1770&lt;5,"3-5 yrs",IF(P1770&lt;10,"5-10 yrs","10+ yrs"))))</f>
        <v>1-3 yrs</v>
      </c>
      <c r="S1770" s="13" t="str">
        <f aca="false">IF(I1770&gt;=4,"High",IF(I1770=3,"Medium","Low"))</f>
        <v>High</v>
      </c>
      <c r="T1770" s="13" t="n">
        <f aca="false">IF(M1770=1,YEAR(C1770),"")</f>
        <v>2025</v>
      </c>
      <c r="U1770" s="13" t="str">
        <f aca="false">IF(M1770=1,YEAR(C1770)&amp;"-Q"&amp;ROUNDUP(MONTH(C1770)/3,0),"")</f>
        <v>2025-Q4</v>
      </c>
      <c r="V1770" s="13" t="n">
        <f aca="false">IF(M1770=1,MONTH(C1770),"")</f>
        <v>10</v>
      </c>
    </row>
    <row r="1771" customFormat="false" ht="15" hidden="false" customHeight="false" outlineLevel="0" collapsed="false">
      <c r="A1771" s="13" t="str">
        <f aca="false">TRIM(Raw_Data!A1771)</f>
        <v>EMP1770</v>
      </c>
      <c r="B1771" s="14" t="n">
        <f aca="false">Raw_Data!B1771</f>
        <v>45512</v>
      </c>
      <c r="C1771" s="14" t="n">
        <f aca="false">IF(Raw_Data!C1771="","",Raw_Data!C1771)</f>
        <v>45576</v>
      </c>
      <c r="D1771" s="13" t="n">
        <f aca="false">IF(Raw_Data!D1771="","",Raw_Data!D1771)</f>
        <v>28</v>
      </c>
      <c r="E1771" s="13" t="str">
        <f aca="false">IF(UPPER(LEFT(TRIM(Raw_Data!E1771),1))="M","Male",IF(UPPER(LEFT(TRIM(Raw_Data!E1771),1))="F","Female","Unknown"))</f>
        <v>Female</v>
      </c>
      <c r="F1771" s="13" t="str">
        <f aca="false">PROPER(TRIM(SUBSTITUTE(Raw_Data!F1771,"'","")))</f>
        <v>Masters</v>
      </c>
      <c r="G1771" s="13" t="str">
        <f aca="false">PROPER(TRIM(Raw_Data!G1771))</f>
        <v>Sales</v>
      </c>
      <c r="H1771" s="13" t="str">
        <f aca="false">PROPER(TRIM(Raw_Data!H1771))</f>
        <v>Senior Analyst</v>
      </c>
      <c r="I1771" s="13" t="n">
        <f aca="false">IF(Raw_Data!I1771="",DefaultPerf,Raw_Data!I1771)</f>
        <v>4</v>
      </c>
      <c r="J1771" s="13" t="n">
        <f aca="false">IF(Raw_Data!J1771="",DefaultSat,Raw_Data!J1771)</f>
        <v>4</v>
      </c>
      <c r="K1771" s="15" t="n">
        <f aca="false">Raw_Data!K1771</f>
        <v>100000</v>
      </c>
      <c r="L1771" s="13" t="str">
        <f aca="false">PROPER(TRIM(Raw_Data!N1771))</f>
        <v>No</v>
      </c>
      <c r="M1771" s="13" t="n">
        <f aca="false">IF(C1771="",0,1)</f>
        <v>1</v>
      </c>
      <c r="N1771" s="13" t="str">
        <f aca="false">IF(M1771=0,"Active",IF(TRIM(Raw_Data!L1771)="","Unknown",PROPER(TRIM(Raw_Data!L1771))))</f>
        <v>Unknown</v>
      </c>
      <c r="O1771" s="13" t="str">
        <f aca="false">IF(M1771=0,"",IF(TRIM(Raw_Data!M1771)="","Not Recorded",TRIM(Raw_Data!M1771)))</f>
        <v>Work-Life Balance</v>
      </c>
      <c r="P1771" s="16" t="n">
        <f aca="false">ROUND((IF(C1771="",AsOfDate,C1771)-B1771)/365.25,2)</f>
        <v>0.18</v>
      </c>
      <c r="Q1771" s="13" t="str">
        <f aca="false">IF(D1771="","Unknown",IF(D1771&lt;25,"Under 25",IF(D1771&lt;35,"25-34",IF(D1771&lt;45,"35-44",IF(D1771&lt;55,"45-54","55+")))))</f>
        <v>25-34</v>
      </c>
      <c r="R1771" s="13" t="str">
        <f aca="false">IF(P1771&lt;1,"0-1 yrs",IF(P1771&lt;3,"1-3 yrs",IF(P1771&lt;5,"3-5 yrs",IF(P1771&lt;10,"5-10 yrs","10+ yrs"))))</f>
        <v>0-1 yrs</v>
      </c>
      <c r="S1771" s="13" t="str">
        <f aca="false">IF(I1771&gt;=4,"High",IF(I1771=3,"Medium","Low"))</f>
        <v>High</v>
      </c>
      <c r="T1771" s="13" t="n">
        <f aca="false">IF(M1771=1,YEAR(C1771),"")</f>
        <v>2024</v>
      </c>
      <c r="U1771" s="13" t="str">
        <f aca="false">IF(M1771=1,YEAR(C1771)&amp;"-Q"&amp;ROUNDUP(MONTH(C1771)/3,0),"")</f>
        <v>2024-Q4</v>
      </c>
      <c r="V1771" s="13" t="n">
        <f aca="false">IF(M1771=1,MONTH(C1771),"")</f>
        <v>10</v>
      </c>
    </row>
    <row r="1772" customFormat="false" ht="15" hidden="false" customHeight="false" outlineLevel="0" collapsed="false">
      <c r="A1772" s="13" t="str">
        <f aca="false">TRIM(Raw_Data!A1772)</f>
        <v>EMP1771</v>
      </c>
      <c r="B1772" s="14" t="n">
        <f aca="false">Raw_Data!B1772</f>
        <v>45514</v>
      </c>
      <c r="C1772" s="14" t="n">
        <f aca="false">IF(Raw_Data!C1772="","",Raw_Data!C1772)</f>
        <v>45767</v>
      </c>
      <c r="D1772" s="13" t="str">
        <f aca="false">IF(Raw_Data!D1772="","",Raw_Data!D1772)</f>
        <v/>
      </c>
      <c r="E1772" s="13" t="str">
        <f aca="false">IF(UPPER(LEFT(TRIM(Raw_Data!E1772),1))="M","Male",IF(UPPER(LEFT(TRIM(Raw_Data!E1772),1))="F","Female","Unknown"))</f>
        <v>Female</v>
      </c>
      <c r="F1772" s="13" t="str">
        <f aca="false">PROPER(TRIM(SUBSTITUTE(Raw_Data!F1772,"'","")))</f>
        <v>Bachelors</v>
      </c>
      <c r="G1772" s="13" t="str">
        <f aca="false">PROPER(TRIM(Raw_Data!G1772))</f>
        <v>Sales</v>
      </c>
      <c r="H1772" s="13" t="str">
        <f aca="false">PROPER(TRIM(Raw_Data!H1772))</f>
        <v>Associate</v>
      </c>
      <c r="I1772" s="13" t="n">
        <f aca="false">IF(Raw_Data!I1772="",DefaultPerf,Raw_Data!I1772)</f>
        <v>3</v>
      </c>
      <c r="J1772" s="13" t="n">
        <f aca="false">IF(Raw_Data!J1772="",DefaultSat,Raw_Data!J1772)</f>
        <v>2</v>
      </c>
      <c r="K1772" s="15" t="n">
        <f aca="false">Raw_Data!K1772</f>
        <v>37500</v>
      </c>
      <c r="L1772" s="13" t="str">
        <f aca="false">PROPER(TRIM(Raw_Data!N1772))</f>
        <v>No</v>
      </c>
      <c r="M1772" s="13" t="n">
        <f aca="false">IF(C1772="",0,1)</f>
        <v>1</v>
      </c>
      <c r="N1772" s="13" t="str">
        <f aca="false">IF(M1772=0,"Active",IF(TRIM(Raw_Data!L1772)="","Unknown",PROPER(TRIM(Raw_Data!L1772))))</f>
        <v>Voluntary</v>
      </c>
      <c r="O1772" s="13" t="str">
        <f aca="false">IF(M1772=0,"",IF(TRIM(Raw_Data!M1772)="","Not Recorded",TRIM(Raw_Data!M1772)))</f>
        <v>Job Dissatisfaction</v>
      </c>
      <c r="P1772" s="16" t="n">
        <f aca="false">ROUND((IF(C1772="",AsOfDate,C1772)-B1772)/365.25,2)</f>
        <v>0.69</v>
      </c>
      <c r="Q1772" s="13" t="str">
        <f aca="false">IF(D1772="","Unknown",IF(D1772&lt;25,"Under 25",IF(D1772&lt;35,"25-34",IF(D1772&lt;45,"35-44",IF(D1772&lt;55,"45-54","55+")))))</f>
        <v>Unknown</v>
      </c>
      <c r="R1772" s="13" t="str">
        <f aca="false">IF(P1772&lt;1,"0-1 yrs",IF(P1772&lt;3,"1-3 yrs",IF(P1772&lt;5,"3-5 yrs",IF(P1772&lt;10,"5-10 yrs","10+ yrs"))))</f>
        <v>0-1 yrs</v>
      </c>
      <c r="S1772" s="13" t="str">
        <f aca="false">IF(I1772&gt;=4,"High",IF(I1772=3,"Medium","Low"))</f>
        <v>Medium</v>
      </c>
      <c r="T1772" s="13" t="n">
        <f aca="false">IF(M1772=1,YEAR(C1772),"")</f>
        <v>2025</v>
      </c>
      <c r="U1772" s="13" t="str">
        <f aca="false">IF(M1772=1,YEAR(C1772)&amp;"-Q"&amp;ROUNDUP(MONTH(C1772)/3,0),"")</f>
        <v>2025-Q2</v>
      </c>
      <c r="V1772" s="13" t="n">
        <f aca="false">IF(M1772=1,MONTH(C1772),"")</f>
        <v>4</v>
      </c>
    </row>
    <row r="1773" customFormat="false" ht="15" hidden="false" customHeight="false" outlineLevel="0" collapsed="false">
      <c r="A1773" s="13" t="str">
        <f aca="false">TRIM(Raw_Data!A1773)</f>
        <v>EMP1772</v>
      </c>
      <c r="B1773" s="14" t="n">
        <f aca="false">Raw_Data!B1773</f>
        <v>45519</v>
      </c>
      <c r="C1773" s="14" t="str">
        <f aca="false">IF(Raw_Data!C1773="","",Raw_Data!C1773)</f>
        <v/>
      </c>
      <c r="D1773" s="13" t="n">
        <f aca="false">IF(Raw_Data!D1773="","",Raw_Data!D1773)</f>
        <v>31</v>
      </c>
      <c r="E1773" s="13" t="str">
        <f aca="false">IF(UPPER(LEFT(TRIM(Raw_Data!E1773),1))="M","Male",IF(UPPER(LEFT(TRIM(Raw_Data!E1773),1))="F","Female","Unknown"))</f>
        <v>Female</v>
      </c>
      <c r="F1773" s="13" t="str">
        <f aca="false">PROPER(TRIM(SUBSTITUTE(Raw_Data!F1773,"'","")))</f>
        <v>Diploma</v>
      </c>
      <c r="G1773" s="13" t="str">
        <f aca="false">PROPER(TRIM(Raw_Data!G1773))</f>
        <v>Sales</v>
      </c>
      <c r="H1773" s="13" t="str">
        <f aca="false">PROPER(TRIM(Raw_Data!H1773))</f>
        <v>Team Lead</v>
      </c>
      <c r="I1773" s="13" t="n">
        <f aca="false">IF(Raw_Data!I1773="",DefaultPerf,Raw_Data!I1773)</f>
        <v>3</v>
      </c>
      <c r="J1773" s="13" t="n">
        <f aca="false">IF(Raw_Data!J1773="",DefaultSat,Raw_Data!J1773)</f>
        <v>4</v>
      </c>
      <c r="K1773" s="15" t="n">
        <f aca="false">Raw_Data!K1773</f>
        <v>98000</v>
      </c>
      <c r="L1773" s="13" t="str">
        <f aca="false">PROPER(TRIM(Raw_Data!N1773))</f>
        <v>No</v>
      </c>
      <c r="M1773" s="13" t="n">
        <f aca="false">IF(C1773="",0,1)</f>
        <v>0</v>
      </c>
      <c r="N1773" s="13" t="str">
        <f aca="false">IF(M1773=0,"Active",IF(TRIM(Raw_Data!L1773)="","Unknown",PROPER(TRIM(Raw_Data!L1773))))</f>
        <v>Active</v>
      </c>
      <c r="O1773" s="13" t="str">
        <f aca="false">IF(M1773=0,"",IF(TRIM(Raw_Data!M1773)="","Not Recorded",TRIM(Raw_Data!M1773)))</f>
        <v/>
      </c>
      <c r="P1773" s="16" t="n">
        <f aca="false">ROUND((IF(C1773="",AsOfDate,C1773)-B1773)/365.25,2)</f>
        <v>1.38</v>
      </c>
      <c r="Q1773" s="13" t="str">
        <f aca="false">IF(D1773="","Unknown",IF(D1773&lt;25,"Under 25",IF(D1773&lt;35,"25-34",IF(D1773&lt;45,"35-44",IF(D1773&lt;55,"45-54","55+")))))</f>
        <v>25-34</v>
      </c>
      <c r="R1773" s="13" t="str">
        <f aca="false">IF(P1773&lt;1,"0-1 yrs",IF(P1773&lt;3,"1-3 yrs",IF(P1773&lt;5,"3-5 yrs",IF(P1773&lt;10,"5-10 yrs","10+ yrs"))))</f>
        <v>1-3 yrs</v>
      </c>
      <c r="S1773" s="13" t="str">
        <f aca="false">IF(I1773&gt;=4,"High",IF(I1773=3,"Medium","Low"))</f>
        <v>Medium</v>
      </c>
      <c r="T1773" s="13" t="str">
        <f aca="false">IF(M1773=1,YEAR(C1773),"")</f>
        <v/>
      </c>
      <c r="U1773" s="13" t="str">
        <f aca="false">IF(M1773=1,YEAR(C1773)&amp;"-Q"&amp;ROUNDUP(MONTH(C1773)/3,0),"")</f>
        <v/>
      </c>
      <c r="V1773" s="13" t="str">
        <f aca="false">IF(M1773=1,MONTH(C1773),"")</f>
        <v/>
      </c>
    </row>
    <row r="1774" customFormat="false" ht="15" hidden="false" customHeight="false" outlineLevel="0" collapsed="false">
      <c r="A1774" s="13" t="str">
        <f aca="false">TRIM(Raw_Data!A1774)</f>
        <v>EMP1773</v>
      </c>
      <c r="B1774" s="14" t="n">
        <f aca="false">Raw_Data!B1774</f>
        <v>45519</v>
      </c>
      <c r="C1774" s="14" t="str">
        <f aca="false">IF(Raw_Data!C1774="","",Raw_Data!C1774)</f>
        <v/>
      </c>
      <c r="D1774" s="13" t="n">
        <f aca="false">IF(Raw_Data!D1774="","",Raw_Data!D1774)</f>
        <v>41</v>
      </c>
      <c r="E1774" s="13" t="str">
        <f aca="false">IF(UPPER(LEFT(TRIM(Raw_Data!E1774),1))="M","Male",IF(UPPER(LEFT(TRIM(Raw_Data!E1774),1))="F","Female","Unknown"))</f>
        <v>Female</v>
      </c>
      <c r="F1774" s="13" t="str">
        <f aca="false">PROPER(TRIM(SUBSTITUTE(Raw_Data!F1774,"'","")))</f>
        <v>Bachelors</v>
      </c>
      <c r="G1774" s="13" t="str">
        <f aca="false">PROPER(TRIM(Raw_Data!G1774))</f>
        <v>Customer Support</v>
      </c>
      <c r="H1774" s="13" t="str">
        <f aca="false">PROPER(TRIM(Raw_Data!H1774))</f>
        <v>Team Lead</v>
      </c>
      <c r="I1774" s="13" t="n">
        <f aca="false">IF(Raw_Data!I1774="",DefaultPerf,Raw_Data!I1774)</f>
        <v>3</v>
      </c>
      <c r="J1774" s="13" t="n">
        <f aca="false">IF(Raw_Data!J1774="",DefaultSat,Raw_Data!J1774)</f>
        <v>4</v>
      </c>
      <c r="K1774" s="15" t="n">
        <f aca="false">Raw_Data!K1774</f>
        <v>133000</v>
      </c>
      <c r="L1774" s="13" t="str">
        <f aca="false">PROPER(TRIM(Raw_Data!N1774))</f>
        <v>No</v>
      </c>
      <c r="M1774" s="13" t="n">
        <f aca="false">IF(C1774="",0,1)</f>
        <v>0</v>
      </c>
      <c r="N1774" s="13" t="str">
        <f aca="false">IF(M1774=0,"Active",IF(TRIM(Raw_Data!L1774)="","Unknown",PROPER(TRIM(Raw_Data!L1774))))</f>
        <v>Active</v>
      </c>
      <c r="O1774" s="13" t="str">
        <f aca="false">IF(M1774=0,"",IF(TRIM(Raw_Data!M1774)="","Not Recorded",TRIM(Raw_Data!M1774)))</f>
        <v/>
      </c>
      <c r="P1774" s="16" t="n">
        <f aca="false">ROUND((IF(C1774="",AsOfDate,C1774)-B1774)/365.25,2)</f>
        <v>1.38</v>
      </c>
      <c r="Q1774" s="13" t="str">
        <f aca="false">IF(D1774="","Unknown",IF(D1774&lt;25,"Under 25",IF(D1774&lt;35,"25-34",IF(D1774&lt;45,"35-44",IF(D1774&lt;55,"45-54","55+")))))</f>
        <v>35-44</v>
      </c>
      <c r="R1774" s="13" t="str">
        <f aca="false">IF(P1774&lt;1,"0-1 yrs",IF(P1774&lt;3,"1-3 yrs",IF(P1774&lt;5,"3-5 yrs",IF(P1774&lt;10,"5-10 yrs","10+ yrs"))))</f>
        <v>1-3 yrs</v>
      </c>
      <c r="S1774" s="13" t="str">
        <f aca="false">IF(I1774&gt;=4,"High",IF(I1774=3,"Medium","Low"))</f>
        <v>Medium</v>
      </c>
      <c r="T1774" s="13" t="str">
        <f aca="false">IF(M1774=1,YEAR(C1774),"")</f>
        <v/>
      </c>
      <c r="U1774" s="13" t="str">
        <f aca="false">IF(M1774=1,YEAR(C1774)&amp;"-Q"&amp;ROUNDUP(MONTH(C1774)/3,0),"")</f>
        <v/>
      </c>
      <c r="V1774" s="13" t="str">
        <f aca="false">IF(M1774=1,MONTH(C1774),"")</f>
        <v/>
      </c>
    </row>
    <row r="1775" customFormat="false" ht="15" hidden="false" customHeight="false" outlineLevel="0" collapsed="false">
      <c r="A1775" s="13" t="str">
        <f aca="false">TRIM(Raw_Data!A1775)</f>
        <v>EMP1774</v>
      </c>
      <c r="B1775" s="14" t="n">
        <f aca="false">Raw_Data!B1775</f>
        <v>45519</v>
      </c>
      <c r="C1775" s="14" t="str">
        <f aca="false">IF(Raw_Data!C1775="","",Raw_Data!C1775)</f>
        <v/>
      </c>
      <c r="D1775" s="13" t="n">
        <f aca="false">IF(Raw_Data!D1775="","",Raw_Data!D1775)</f>
        <v>34</v>
      </c>
      <c r="E1775" s="13" t="str">
        <f aca="false">IF(UPPER(LEFT(TRIM(Raw_Data!E1775),1))="M","Male",IF(UPPER(LEFT(TRIM(Raw_Data!E1775),1))="F","Female","Unknown"))</f>
        <v>Male</v>
      </c>
      <c r="F1775" s="13" t="str">
        <f aca="false">PROPER(TRIM(SUBSTITUTE(Raw_Data!F1775,"'","")))</f>
        <v>High School</v>
      </c>
      <c r="G1775" s="13" t="str">
        <f aca="false">PROPER(TRIM(Raw_Data!G1775))</f>
        <v>Sales</v>
      </c>
      <c r="H1775" s="13" t="str">
        <f aca="false">PROPER(TRIM(Raw_Data!H1775))</f>
        <v>Analyst</v>
      </c>
      <c r="I1775" s="13" t="n">
        <f aca="false">IF(Raw_Data!I1775="",DefaultPerf,Raw_Data!I1775)</f>
        <v>4</v>
      </c>
      <c r="J1775" s="13" t="n">
        <f aca="false">IF(Raw_Data!J1775="",DefaultSat,Raw_Data!J1775)</f>
        <v>4</v>
      </c>
      <c r="K1775" s="15" t="n">
        <f aca="false">Raw_Data!K1775</f>
        <v>62500</v>
      </c>
      <c r="L1775" s="13" t="str">
        <f aca="false">PROPER(TRIM(Raw_Data!N1775))</f>
        <v>No</v>
      </c>
      <c r="M1775" s="13" t="n">
        <f aca="false">IF(C1775="",0,1)</f>
        <v>0</v>
      </c>
      <c r="N1775" s="13" t="str">
        <f aca="false">IF(M1775=0,"Active",IF(TRIM(Raw_Data!L1775)="","Unknown",PROPER(TRIM(Raw_Data!L1775))))</f>
        <v>Active</v>
      </c>
      <c r="O1775" s="13" t="str">
        <f aca="false">IF(M1775=0,"",IF(TRIM(Raw_Data!M1775)="","Not Recorded",TRIM(Raw_Data!M1775)))</f>
        <v/>
      </c>
      <c r="P1775" s="16" t="n">
        <f aca="false">ROUND((IF(C1775="",AsOfDate,C1775)-B1775)/365.25,2)</f>
        <v>1.38</v>
      </c>
      <c r="Q1775" s="13" t="str">
        <f aca="false">IF(D1775="","Unknown",IF(D1775&lt;25,"Under 25",IF(D1775&lt;35,"25-34",IF(D1775&lt;45,"35-44",IF(D1775&lt;55,"45-54","55+")))))</f>
        <v>25-34</v>
      </c>
      <c r="R1775" s="13" t="str">
        <f aca="false">IF(P1775&lt;1,"0-1 yrs",IF(P1775&lt;3,"1-3 yrs",IF(P1775&lt;5,"3-5 yrs",IF(P1775&lt;10,"5-10 yrs","10+ yrs"))))</f>
        <v>1-3 yrs</v>
      </c>
      <c r="S1775" s="13" t="str">
        <f aca="false">IF(I1775&gt;=4,"High",IF(I1775=3,"Medium","Low"))</f>
        <v>High</v>
      </c>
      <c r="T1775" s="13" t="str">
        <f aca="false">IF(M1775=1,YEAR(C1775),"")</f>
        <v/>
      </c>
      <c r="U1775" s="13" t="str">
        <f aca="false">IF(M1775=1,YEAR(C1775)&amp;"-Q"&amp;ROUNDUP(MONTH(C1775)/3,0),"")</f>
        <v/>
      </c>
      <c r="V1775" s="13" t="str">
        <f aca="false">IF(M1775=1,MONTH(C1775),"")</f>
        <v/>
      </c>
    </row>
    <row r="1776" customFormat="false" ht="15" hidden="false" customHeight="false" outlineLevel="0" collapsed="false">
      <c r="A1776" s="13" t="str">
        <f aca="false">TRIM(Raw_Data!A1776)</f>
        <v>EMP1775</v>
      </c>
      <c r="B1776" s="14" t="n">
        <f aca="false">Raw_Data!B1776</f>
        <v>45525</v>
      </c>
      <c r="C1776" s="14" t="n">
        <f aca="false">IF(Raw_Data!C1776="","",Raw_Data!C1776)</f>
        <v>45836</v>
      </c>
      <c r="D1776" s="13" t="n">
        <f aca="false">IF(Raw_Data!D1776="","",Raw_Data!D1776)</f>
        <v>26</v>
      </c>
      <c r="E1776" s="13" t="str">
        <f aca="false">IF(UPPER(LEFT(TRIM(Raw_Data!E1776),1))="M","Male",IF(UPPER(LEFT(TRIM(Raw_Data!E1776),1))="F","Female","Unknown"))</f>
        <v>Male</v>
      </c>
      <c r="F1776" s="13" t="str">
        <f aca="false">PROPER(TRIM(SUBSTITUTE(Raw_Data!F1776,"'","")))</f>
        <v>Bachelors</v>
      </c>
      <c r="G1776" s="13" t="str">
        <f aca="false">PROPER(TRIM(Raw_Data!G1776))</f>
        <v>Engineering</v>
      </c>
      <c r="H1776" s="13" t="str">
        <f aca="false">PROPER(TRIM(Raw_Data!H1776))</f>
        <v>Specialist</v>
      </c>
      <c r="I1776" s="13" t="n">
        <f aca="false">IF(Raw_Data!I1776="",DefaultPerf,Raw_Data!I1776)</f>
        <v>3</v>
      </c>
      <c r="J1776" s="13" t="n">
        <f aca="false">IF(Raw_Data!J1776="",DefaultSat,Raw_Data!J1776)</f>
        <v>3</v>
      </c>
      <c r="K1776" s="15" t="n">
        <f aca="false">Raw_Data!K1776</f>
        <v>94000</v>
      </c>
      <c r="L1776" s="13" t="str">
        <f aca="false">PROPER(TRIM(Raw_Data!N1776))</f>
        <v>No</v>
      </c>
      <c r="M1776" s="13" t="n">
        <f aca="false">IF(C1776="",0,1)</f>
        <v>1</v>
      </c>
      <c r="N1776" s="13" t="str">
        <f aca="false">IF(M1776=0,"Active",IF(TRIM(Raw_Data!L1776)="","Unknown",PROPER(TRIM(Raw_Data!L1776))))</f>
        <v>Voluntary</v>
      </c>
      <c r="O1776" s="13" t="str">
        <f aca="false">IF(M1776=0,"",IF(TRIM(Raw_Data!M1776)="","Not Recorded",TRIM(Raw_Data!M1776)))</f>
        <v>Personal Reasons</v>
      </c>
      <c r="P1776" s="16" t="n">
        <f aca="false">ROUND((IF(C1776="",AsOfDate,C1776)-B1776)/365.25,2)</f>
        <v>0.85</v>
      </c>
      <c r="Q1776" s="13" t="str">
        <f aca="false">IF(D1776="","Unknown",IF(D1776&lt;25,"Under 25",IF(D1776&lt;35,"25-34",IF(D1776&lt;45,"35-44",IF(D1776&lt;55,"45-54","55+")))))</f>
        <v>25-34</v>
      </c>
      <c r="R1776" s="13" t="str">
        <f aca="false">IF(P1776&lt;1,"0-1 yrs",IF(P1776&lt;3,"1-3 yrs",IF(P1776&lt;5,"3-5 yrs",IF(P1776&lt;10,"5-10 yrs","10+ yrs"))))</f>
        <v>0-1 yrs</v>
      </c>
      <c r="S1776" s="13" t="str">
        <f aca="false">IF(I1776&gt;=4,"High",IF(I1776=3,"Medium","Low"))</f>
        <v>Medium</v>
      </c>
      <c r="T1776" s="13" t="n">
        <f aca="false">IF(M1776=1,YEAR(C1776),"")</f>
        <v>2025</v>
      </c>
      <c r="U1776" s="13" t="str">
        <f aca="false">IF(M1776=1,YEAR(C1776)&amp;"-Q"&amp;ROUNDUP(MONTH(C1776)/3,0),"")</f>
        <v>2025-Q2</v>
      </c>
      <c r="V1776" s="13" t="n">
        <f aca="false">IF(M1776=1,MONTH(C1776),"")</f>
        <v>6</v>
      </c>
    </row>
    <row r="1777" customFormat="false" ht="15" hidden="false" customHeight="false" outlineLevel="0" collapsed="false">
      <c r="A1777" s="13" t="str">
        <f aca="false">TRIM(Raw_Data!A1777)</f>
        <v>EMP1776</v>
      </c>
      <c r="B1777" s="14" t="n">
        <f aca="false">Raw_Data!B1777</f>
        <v>45531</v>
      </c>
      <c r="C1777" s="14" t="str">
        <f aca="false">IF(Raw_Data!C1777="","",Raw_Data!C1777)</f>
        <v/>
      </c>
      <c r="D1777" s="13" t="n">
        <f aca="false">IF(Raw_Data!D1777="","",Raw_Data!D1777)</f>
        <v>28</v>
      </c>
      <c r="E1777" s="13" t="str">
        <f aca="false">IF(UPPER(LEFT(TRIM(Raw_Data!E1777),1))="M","Male",IF(UPPER(LEFT(TRIM(Raw_Data!E1777),1))="F","Female","Unknown"))</f>
        <v>Male</v>
      </c>
      <c r="F1777" s="13" t="str">
        <f aca="false">PROPER(TRIM(SUBSTITUTE(Raw_Data!F1777,"'","")))</f>
        <v>Masters</v>
      </c>
      <c r="G1777" s="13" t="str">
        <f aca="false">PROPER(TRIM(Raw_Data!G1777))</f>
        <v>Finance</v>
      </c>
      <c r="H1777" s="13" t="str">
        <f aca="false">PROPER(TRIM(Raw_Data!H1777))</f>
        <v>Associate</v>
      </c>
      <c r="I1777" s="13" t="n">
        <f aca="false">IF(Raw_Data!I1777="",DefaultPerf,Raw_Data!I1777)</f>
        <v>5</v>
      </c>
      <c r="J1777" s="13" t="n">
        <f aca="false">IF(Raw_Data!J1777="",DefaultSat,Raw_Data!J1777)</f>
        <v>2</v>
      </c>
      <c r="K1777" s="15" t="n">
        <f aca="false">Raw_Data!K1777</f>
        <v>32000</v>
      </c>
      <c r="L1777" s="13" t="str">
        <f aca="false">PROPER(TRIM(Raw_Data!N1777))</f>
        <v>No</v>
      </c>
      <c r="M1777" s="13" t="n">
        <f aca="false">IF(C1777="",0,1)</f>
        <v>0</v>
      </c>
      <c r="N1777" s="13" t="str">
        <f aca="false">IF(M1777=0,"Active",IF(TRIM(Raw_Data!L1777)="","Unknown",PROPER(TRIM(Raw_Data!L1777))))</f>
        <v>Active</v>
      </c>
      <c r="O1777" s="13" t="str">
        <f aca="false">IF(M1777=0,"",IF(TRIM(Raw_Data!M1777)="","Not Recorded",TRIM(Raw_Data!M1777)))</f>
        <v/>
      </c>
      <c r="P1777" s="16" t="n">
        <f aca="false">ROUND((IF(C1777="",AsOfDate,C1777)-B1777)/365.25,2)</f>
        <v>1.34</v>
      </c>
      <c r="Q1777" s="13" t="str">
        <f aca="false">IF(D1777="","Unknown",IF(D1777&lt;25,"Under 25",IF(D1777&lt;35,"25-34",IF(D1777&lt;45,"35-44",IF(D1777&lt;55,"45-54","55+")))))</f>
        <v>25-34</v>
      </c>
      <c r="R1777" s="13" t="str">
        <f aca="false">IF(P1777&lt;1,"0-1 yrs",IF(P1777&lt;3,"1-3 yrs",IF(P1777&lt;5,"3-5 yrs",IF(P1777&lt;10,"5-10 yrs","10+ yrs"))))</f>
        <v>1-3 yrs</v>
      </c>
      <c r="S1777" s="13" t="str">
        <f aca="false">IF(I1777&gt;=4,"High",IF(I1777=3,"Medium","Low"))</f>
        <v>High</v>
      </c>
      <c r="T1777" s="13" t="str">
        <f aca="false">IF(M1777=1,YEAR(C1777),"")</f>
        <v/>
      </c>
      <c r="U1777" s="13" t="str">
        <f aca="false">IF(M1777=1,YEAR(C1777)&amp;"-Q"&amp;ROUNDUP(MONTH(C1777)/3,0),"")</f>
        <v/>
      </c>
      <c r="V1777" s="13" t="str">
        <f aca="false">IF(M1777=1,MONTH(C1777),"")</f>
        <v/>
      </c>
    </row>
    <row r="1778" customFormat="false" ht="15" hidden="false" customHeight="false" outlineLevel="0" collapsed="false">
      <c r="A1778" s="13" t="str">
        <f aca="false">TRIM(Raw_Data!A1778)</f>
        <v>EMP1777</v>
      </c>
      <c r="B1778" s="14" t="n">
        <f aca="false">Raw_Data!B1778</f>
        <v>45533</v>
      </c>
      <c r="C1778" s="14" t="n">
        <f aca="false">IF(Raw_Data!C1778="","",Raw_Data!C1778)</f>
        <v>45992</v>
      </c>
      <c r="D1778" s="13" t="n">
        <f aca="false">IF(Raw_Data!D1778="","",Raw_Data!D1778)</f>
        <v>22</v>
      </c>
      <c r="E1778" s="13" t="str">
        <f aca="false">IF(UPPER(LEFT(TRIM(Raw_Data!E1778),1))="M","Male",IF(UPPER(LEFT(TRIM(Raw_Data!E1778),1))="F","Female","Unknown"))</f>
        <v>Female</v>
      </c>
      <c r="F1778" s="13" t="str">
        <f aca="false">PROPER(TRIM(SUBSTITUTE(Raw_Data!F1778,"'","")))</f>
        <v>Masters</v>
      </c>
      <c r="G1778" s="13" t="str">
        <f aca="false">PROPER(TRIM(Raw_Data!G1778))</f>
        <v>Engineering</v>
      </c>
      <c r="H1778" s="13" t="str">
        <f aca="false">PROPER(TRIM(Raw_Data!H1778))</f>
        <v>Senior Analyst</v>
      </c>
      <c r="I1778" s="13" t="n">
        <f aca="false">IF(Raw_Data!I1778="",DefaultPerf,Raw_Data!I1778)</f>
        <v>4</v>
      </c>
      <c r="J1778" s="13" t="n">
        <f aca="false">IF(Raw_Data!J1778="",DefaultSat,Raw_Data!J1778)</f>
        <v>1</v>
      </c>
      <c r="K1778" s="15" t="n">
        <f aca="false">Raw_Data!K1778</f>
        <v>76500</v>
      </c>
      <c r="L1778" s="13" t="str">
        <f aca="false">PROPER(TRIM(Raw_Data!N1778))</f>
        <v>No</v>
      </c>
      <c r="M1778" s="13" t="n">
        <f aca="false">IF(C1778="",0,1)</f>
        <v>1</v>
      </c>
      <c r="N1778" s="13" t="str">
        <f aca="false">IF(M1778=0,"Active",IF(TRIM(Raw_Data!L1778)="","Unknown",PROPER(TRIM(Raw_Data!L1778))))</f>
        <v>Voluntary</v>
      </c>
      <c r="O1778" s="13" t="str">
        <f aca="false">IF(M1778=0,"",IF(TRIM(Raw_Data!M1778)="","Not Recorded",TRIM(Raw_Data!M1778)))</f>
        <v>Job Dissatisfaction</v>
      </c>
      <c r="P1778" s="16" t="n">
        <f aca="false">ROUND((IF(C1778="",AsOfDate,C1778)-B1778)/365.25,2)</f>
        <v>1.26</v>
      </c>
      <c r="Q1778" s="13" t="str">
        <f aca="false">IF(D1778="","Unknown",IF(D1778&lt;25,"Under 25",IF(D1778&lt;35,"25-34",IF(D1778&lt;45,"35-44",IF(D1778&lt;55,"45-54","55+")))))</f>
        <v>Under 25</v>
      </c>
      <c r="R1778" s="13" t="str">
        <f aca="false">IF(P1778&lt;1,"0-1 yrs",IF(P1778&lt;3,"1-3 yrs",IF(P1778&lt;5,"3-5 yrs",IF(P1778&lt;10,"5-10 yrs","10+ yrs"))))</f>
        <v>1-3 yrs</v>
      </c>
      <c r="S1778" s="13" t="str">
        <f aca="false">IF(I1778&gt;=4,"High",IF(I1778=3,"Medium","Low"))</f>
        <v>High</v>
      </c>
      <c r="T1778" s="13" t="n">
        <f aca="false">IF(M1778=1,YEAR(C1778),"")</f>
        <v>2025</v>
      </c>
      <c r="U1778" s="13" t="str">
        <f aca="false">IF(M1778=1,YEAR(C1778)&amp;"-Q"&amp;ROUNDUP(MONTH(C1778)/3,0),"")</f>
        <v>2025-Q4</v>
      </c>
      <c r="V1778" s="13" t="n">
        <f aca="false">IF(M1778=1,MONTH(C1778),"")</f>
        <v>12</v>
      </c>
    </row>
    <row r="1779" customFormat="false" ht="15" hidden="false" customHeight="false" outlineLevel="0" collapsed="false">
      <c r="A1779" s="13" t="str">
        <f aca="false">TRIM(Raw_Data!A1779)</f>
        <v>EMP1778</v>
      </c>
      <c r="B1779" s="14" t="n">
        <f aca="false">Raw_Data!B1779</f>
        <v>45534</v>
      </c>
      <c r="C1779" s="14" t="str">
        <f aca="false">IF(Raw_Data!C1779="","",Raw_Data!C1779)</f>
        <v/>
      </c>
      <c r="D1779" s="13" t="n">
        <f aca="false">IF(Raw_Data!D1779="","",Raw_Data!D1779)</f>
        <v>36</v>
      </c>
      <c r="E1779" s="13" t="str">
        <f aca="false">IF(UPPER(LEFT(TRIM(Raw_Data!E1779),1))="M","Male",IF(UPPER(LEFT(TRIM(Raw_Data!E1779),1))="F","Female","Unknown"))</f>
        <v>Female</v>
      </c>
      <c r="F1779" s="13" t="str">
        <f aca="false">PROPER(TRIM(SUBSTITUTE(Raw_Data!F1779,"'","")))</f>
        <v>Bachelors</v>
      </c>
      <c r="G1779" s="13" t="str">
        <f aca="false">PROPER(TRIM(Raw_Data!G1779))</f>
        <v>Sales</v>
      </c>
      <c r="H1779" s="13" t="str">
        <f aca="false">PROPER(TRIM(Raw_Data!H1779))</f>
        <v>Senior Analyst</v>
      </c>
      <c r="I1779" s="13" t="n">
        <f aca="false">IF(Raw_Data!I1779="",DefaultPerf,Raw_Data!I1779)</f>
        <v>3</v>
      </c>
      <c r="J1779" s="13" t="n">
        <f aca="false">IF(Raw_Data!J1779="",DefaultSat,Raw_Data!J1779)</f>
        <v>3</v>
      </c>
      <c r="K1779" s="15" t="n">
        <f aca="false">Raw_Data!K1779</f>
        <v>95500</v>
      </c>
      <c r="L1779" s="13" t="str">
        <f aca="false">PROPER(TRIM(Raw_Data!N1779))</f>
        <v>No</v>
      </c>
      <c r="M1779" s="13" t="n">
        <f aca="false">IF(C1779="",0,1)</f>
        <v>0</v>
      </c>
      <c r="N1779" s="13" t="str">
        <f aca="false">IF(M1779=0,"Active",IF(TRIM(Raw_Data!L1779)="","Unknown",PROPER(TRIM(Raw_Data!L1779))))</f>
        <v>Active</v>
      </c>
      <c r="O1779" s="13" t="str">
        <f aca="false">IF(M1779=0,"",IF(TRIM(Raw_Data!M1779)="","Not Recorded",TRIM(Raw_Data!M1779)))</f>
        <v/>
      </c>
      <c r="P1779" s="16" t="n">
        <f aca="false">ROUND((IF(C1779="",AsOfDate,C1779)-B1779)/365.25,2)</f>
        <v>1.34</v>
      </c>
      <c r="Q1779" s="13" t="str">
        <f aca="false">IF(D1779="","Unknown",IF(D1779&lt;25,"Under 25",IF(D1779&lt;35,"25-34",IF(D1779&lt;45,"35-44",IF(D1779&lt;55,"45-54","55+")))))</f>
        <v>35-44</v>
      </c>
      <c r="R1779" s="13" t="str">
        <f aca="false">IF(P1779&lt;1,"0-1 yrs",IF(P1779&lt;3,"1-3 yrs",IF(P1779&lt;5,"3-5 yrs",IF(P1779&lt;10,"5-10 yrs","10+ yrs"))))</f>
        <v>1-3 yrs</v>
      </c>
      <c r="S1779" s="13" t="str">
        <f aca="false">IF(I1779&gt;=4,"High",IF(I1779=3,"Medium","Low"))</f>
        <v>Medium</v>
      </c>
      <c r="T1779" s="13" t="str">
        <f aca="false">IF(M1779=1,YEAR(C1779),"")</f>
        <v/>
      </c>
      <c r="U1779" s="13" t="str">
        <f aca="false">IF(M1779=1,YEAR(C1779)&amp;"-Q"&amp;ROUNDUP(MONTH(C1779)/3,0),"")</f>
        <v/>
      </c>
      <c r="V1779" s="13" t="str">
        <f aca="false">IF(M1779=1,MONTH(C1779),"")</f>
        <v/>
      </c>
    </row>
    <row r="1780" customFormat="false" ht="15" hidden="false" customHeight="false" outlineLevel="0" collapsed="false">
      <c r="A1780" s="13" t="str">
        <f aca="false">TRIM(Raw_Data!A1780)</f>
        <v>EMP1779</v>
      </c>
      <c r="B1780" s="14" t="n">
        <f aca="false">Raw_Data!B1780</f>
        <v>45536</v>
      </c>
      <c r="C1780" s="14" t="str">
        <f aca="false">IF(Raw_Data!C1780="","",Raw_Data!C1780)</f>
        <v/>
      </c>
      <c r="D1780" s="13" t="n">
        <f aca="false">IF(Raw_Data!D1780="","",Raw_Data!D1780)</f>
        <v>25</v>
      </c>
      <c r="E1780" s="13" t="str">
        <f aca="false">IF(UPPER(LEFT(TRIM(Raw_Data!E1780),1))="M","Male",IF(UPPER(LEFT(TRIM(Raw_Data!E1780),1))="F","Female","Unknown"))</f>
        <v>Male</v>
      </c>
      <c r="F1780" s="13" t="str">
        <f aca="false">PROPER(TRIM(SUBSTITUTE(Raw_Data!F1780,"'","")))</f>
        <v>Diploma</v>
      </c>
      <c r="G1780" s="13" t="str">
        <f aca="false">PROPER(TRIM(Raw_Data!G1780))</f>
        <v>Operations</v>
      </c>
      <c r="H1780" s="13" t="str">
        <f aca="false">PROPER(TRIM(Raw_Data!H1780))</f>
        <v>Manager</v>
      </c>
      <c r="I1780" s="13" t="n">
        <f aca="false">IF(Raw_Data!I1780="",DefaultPerf,Raw_Data!I1780)</f>
        <v>3</v>
      </c>
      <c r="J1780" s="13" t="n">
        <f aca="false">IF(Raw_Data!J1780="",DefaultSat,Raw_Data!J1780)</f>
        <v>2</v>
      </c>
      <c r="K1780" s="15" t="n">
        <f aca="false">Raw_Data!K1780</f>
        <v>173000</v>
      </c>
      <c r="L1780" s="13" t="str">
        <f aca="false">PROPER(TRIM(Raw_Data!N1780))</f>
        <v>Yes</v>
      </c>
      <c r="M1780" s="13" t="n">
        <f aca="false">IF(C1780="",0,1)</f>
        <v>0</v>
      </c>
      <c r="N1780" s="13" t="str">
        <f aca="false">IF(M1780=0,"Active",IF(TRIM(Raw_Data!L1780)="","Unknown",PROPER(TRIM(Raw_Data!L1780))))</f>
        <v>Active</v>
      </c>
      <c r="O1780" s="13" t="str">
        <f aca="false">IF(M1780=0,"",IF(TRIM(Raw_Data!M1780)="","Not Recorded",TRIM(Raw_Data!M1780)))</f>
        <v/>
      </c>
      <c r="P1780" s="16" t="n">
        <f aca="false">ROUND((IF(C1780="",AsOfDate,C1780)-B1780)/365.25,2)</f>
        <v>1.33</v>
      </c>
      <c r="Q1780" s="13" t="str">
        <f aca="false">IF(D1780="","Unknown",IF(D1780&lt;25,"Under 25",IF(D1780&lt;35,"25-34",IF(D1780&lt;45,"35-44",IF(D1780&lt;55,"45-54","55+")))))</f>
        <v>25-34</v>
      </c>
      <c r="R1780" s="13" t="str">
        <f aca="false">IF(P1780&lt;1,"0-1 yrs",IF(P1780&lt;3,"1-3 yrs",IF(P1780&lt;5,"3-5 yrs",IF(P1780&lt;10,"5-10 yrs","10+ yrs"))))</f>
        <v>1-3 yrs</v>
      </c>
      <c r="S1780" s="13" t="str">
        <f aca="false">IF(I1780&gt;=4,"High",IF(I1780=3,"Medium","Low"))</f>
        <v>Medium</v>
      </c>
      <c r="T1780" s="13" t="str">
        <f aca="false">IF(M1780=1,YEAR(C1780),"")</f>
        <v/>
      </c>
      <c r="U1780" s="13" t="str">
        <f aca="false">IF(M1780=1,YEAR(C1780)&amp;"-Q"&amp;ROUNDUP(MONTH(C1780)/3,0),"")</f>
        <v/>
      </c>
      <c r="V1780" s="13" t="str">
        <f aca="false">IF(M1780=1,MONTH(C1780),"")</f>
        <v/>
      </c>
    </row>
    <row r="1781" customFormat="false" ht="15" hidden="false" customHeight="false" outlineLevel="0" collapsed="false">
      <c r="A1781" s="13" t="str">
        <f aca="false">TRIM(Raw_Data!A1781)</f>
        <v>EMP1780</v>
      </c>
      <c r="B1781" s="14" t="n">
        <f aca="false">Raw_Data!B1781</f>
        <v>45538</v>
      </c>
      <c r="C1781" s="14" t="str">
        <f aca="false">IF(Raw_Data!C1781="","",Raw_Data!C1781)</f>
        <v/>
      </c>
      <c r="D1781" s="13" t="n">
        <f aca="false">IF(Raw_Data!D1781="","",Raw_Data!D1781)</f>
        <v>31</v>
      </c>
      <c r="E1781" s="13" t="str">
        <f aca="false">IF(UPPER(LEFT(TRIM(Raw_Data!E1781),1))="M","Male",IF(UPPER(LEFT(TRIM(Raw_Data!E1781),1))="F","Female","Unknown"))</f>
        <v>Female</v>
      </c>
      <c r="F1781" s="13" t="str">
        <f aca="false">PROPER(TRIM(SUBSTITUTE(Raw_Data!F1781,"'","")))</f>
        <v>Diploma</v>
      </c>
      <c r="G1781" s="13" t="str">
        <f aca="false">PROPER(TRIM(Raw_Data!G1781))</f>
        <v>Sales</v>
      </c>
      <c r="H1781" s="13" t="str">
        <f aca="false">PROPER(TRIM(Raw_Data!H1781))</f>
        <v>Specialist</v>
      </c>
      <c r="I1781" s="13" t="n">
        <f aca="false">IF(Raw_Data!I1781="",DefaultPerf,Raw_Data!I1781)</f>
        <v>4</v>
      </c>
      <c r="J1781" s="13" t="n">
        <f aca="false">IF(Raw_Data!J1781="",DefaultSat,Raw_Data!J1781)</f>
        <v>1</v>
      </c>
      <c r="K1781" s="15" t="n">
        <f aca="false">Raw_Data!K1781</f>
        <v>109000</v>
      </c>
      <c r="L1781" s="13" t="str">
        <f aca="false">PROPER(TRIM(Raw_Data!N1781))</f>
        <v>No</v>
      </c>
      <c r="M1781" s="13" t="n">
        <f aca="false">IF(C1781="",0,1)</f>
        <v>0</v>
      </c>
      <c r="N1781" s="13" t="str">
        <f aca="false">IF(M1781=0,"Active",IF(TRIM(Raw_Data!L1781)="","Unknown",PROPER(TRIM(Raw_Data!L1781))))</f>
        <v>Active</v>
      </c>
      <c r="O1781" s="13" t="str">
        <f aca="false">IF(M1781=0,"",IF(TRIM(Raw_Data!M1781)="","Not Recorded",TRIM(Raw_Data!M1781)))</f>
        <v/>
      </c>
      <c r="P1781" s="16" t="n">
        <f aca="false">ROUND((IF(C1781="",AsOfDate,C1781)-B1781)/365.25,2)</f>
        <v>1.33</v>
      </c>
      <c r="Q1781" s="13" t="str">
        <f aca="false">IF(D1781="","Unknown",IF(D1781&lt;25,"Under 25",IF(D1781&lt;35,"25-34",IF(D1781&lt;45,"35-44",IF(D1781&lt;55,"45-54","55+")))))</f>
        <v>25-34</v>
      </c>
      <c r="R1781" s="13" t="str">
        <f aca="false">IF(P1781&lt;1,"0-1 yrs",IF(P1781&lt;3,"1-3 yrs",IF(P1781&lt;5,"3-5 yrs",IF(P1781&lt;10,"5-10 yrs","10+ yrs"))))</f>
        <v>1-3 yrs</v>
      </c>
      <c r="S1781" s="13" t="str">
        <f aca="false">IF(I1781&gt;=4,"High",IF(I1781=3,"Medium","Low"))</f>
        <v>High</v>
      </c>
      <c r="T1781" s="13" t="str">
        <f aca="false">IF(M1781=1,YEAR(C1781),"")</f>
        <v/>
      </c>
      <c r="U1781" s="13" t="str">
        <f aca="false">IF(M1781=1,YEAR(C1781)&amp;"-Q"&amp;ROUNDUP(MONTH(C1781)/3,0),"")</f>
        <v/>
      </c>
      <c r="V1781" s="13" t="str">
        <f aca="false">IF(M1781=1,MONTH(C1781),"")</f>
        <v/>
      </c>
    </row>
    <row r="1782" customFormat="false" ht="15" hidden="false" customHeight="false" outlineLevel="0" collapsed="false">
      <c r="A1782" s="13" t="str">
        <f aca="false">TRIM(Raw_Data!A1782)</f>
        <v>EMP1781</v>
      </c>
      <c r="B1782" s="14" t="n">
        <f aca="false">Raw_Data!B1782</f>
        <v>45539</v>
      </c>
      <c r="C1782" s="14" t="str">
        <f aca="false">IF(Raw_Data!C1782="","",Raw_Data!C1782)</f>
        <v/>
      </c>
      <c r="D1782" s="13" t="n">
        <f aca="false">IF(Raw_Data!D1782="","",Raw_Data!D1782)</f>
        <v>23</v>
      </c>
      <c r="E1782" s="13" t="str">
        <f aca="false">IF(UPPER(LEFT(TRIM(Raw_Data!E1782),1))="M","Male",IF(UPPER(LEFT(TRIM(Raw_Data!E1782),1))="F","Female","Unknown"))</f>
        <v>Male</v>
      </c>
      <c r="F1782" s="13" t="str">
        <f aca="false">PROPER(TRIM(SUBSTITUTE(Raw_Data!F1782,"'","")))</f>
        <v>Diploma</v>
      </c>
      <c r="G1782" s="13" t="str">
        <f aca="false">PROPER(TRIM(Raw_Data!G1782))</f>
        <v>Customer Support</v>
      </c>
      <c r="H1782" s="13" t="str">
        <f aca="false">PROPER(TRIM(Raw_Data!H1782))</f>
        <v>Associate</v>
      </c>
      <c r="I1782" s="13" t="n">
        <f aca="false">IF(Raw_Data!I1782="",DefaultPerf,Raw_Data!I1782)</f>
        <v>3</v>
      </c>
      <c r="J1782" s="13" t="n">
        <f aca="false">IF(Raw_Data!J1782="",DefaultSat,Raw_Data!J1782)</f>
        <v>2</v>
      </c>
      <c r="K1782" s="15" t="n">
        <f aca="false">Raw_Data!K1782</f>
        <v>42000</v>
      </c>
      <c r="L1782" s="13" t="str">
        <f aca="false">PROPER(TRIM(Raw_Data!N1782))</f>
        <v>No</v>
      </c>
      <c r="M1782" s="13" t="n">
        <f aca="false">IF(C1782="",0,1)</f>
        <v>0</v>
      </c>
      <c r="N1782" s="13" t="str">
        <f aca="false">IF(M1782=0,"Active",IF(TRIM(Raw_Data!L1782)="","Unknown",PROPER(TRIM(Raw_Data!L1782))))</f>
        <v>Active</v>
      </c>
      <c r="O1782" s="13" t="str">
        <f aca="false">IF(M1782=0,"",IF(TRIM(Raw_Data!M1782)="","Not Recorded",TRIM(Raw_Data!M1782)))</f>
        <v/>
      </c>
      <c r="P1782" s="16" t="n">
        <f aca="false">ROUND((IF(C1782="",AsOfDate,C1782)-B1782)/365.25,2)</f>
        <v>1.32</v>
      </c>
      <c r="Q1782" s="13" t="str">
        <f aca="false">IF(D1782="","Unknown",IF(D1782&lt;25,"Under 25",IF(D1782&lt;35,"25-34",IF(D1782&lt;45,"35-44",IF(D1782&lt;55,"45-54","55+")))))</f>
        <v>Under 25</v>
      </c>
      <c r="R1782" s="13" t="str">
        <f aca="false">IF(P1782&lt;1,"0-1 yrs",IF(P1782&lt;3,"1-3 yrs",IF(P1782&lt;5,"3-5 yrs",IF(P1782&lt;10,"5-10 yrs","10+ yrs"))))</f>
        <v>1-3 yrs</v>
      </c>
      <c r="S1782" s="13" t="str">
        <f aca="false">IF(I1782&gt;=4,"High",IF(I1782=3,"Medium","Low"))</f>
        <v>Medium</v>
      </c>
      <c r="T1782" s="13" t="str">
        <f aca="false">IF(M1782=1,YEAR(C1782),"")</f>
        <v/>
      </c>
      <c r="U1782" s="13" t="str">
        <f aca="false">IF(M1782=1,YEAR(C1782)&amp;"-Q"&amp;ROUNDUP(MONTH(C1782)/3,0),"")</f>
        <v/>
      </c>
      <c r="V1782" s="13" t="str">
        <f aca="false">IF(M1782=1,MONTH(C1782),"")</f>
        <v/>
      </c>
    </row>
    <row r="1783" customFormat="false" ht="15" hidden="false" customHeight="false" outlineLevel="0" collapsed="false">
      <c r="A1783" s="13" t="str">
        <f aca="false">TRIM(Raw_Data!A1783)</f>
        <v>EMP1782</v>
      </c>
      <c r="B1783" s="14" t="n">
        <f aca="false">Raw_Data!B1783</f>
        <v>45540</v>
      </c>
      <c r="C1783" s="14" t="n">
        <f aca="false">IF(Raw_Data!C1783="","",Raw_Data!C1783)</f>
        <v>45897</v>
      </c>
      <c r="D1783" s="13" t="n">
        <f aca="false">IF(Raw_Data!D1783="","",Raw_Data!D1783)</f>
        <v>32</v>
      </c>
      <c r="E1783" s="13" t="str">
        <f aca="false">IF(UPPER(LEFT(TRIM(Raw_Data!E1783),1))="M","Male",IF(UPPER(LEFT(TRIM(Raw_Data!E1783),1))="F","Female","Unknown"))</f>
        <v>Male</v>
      </c>
      <c r="F1783" s="13" t="str">
        <f aca="false">PROPER(TRIM(SUBSTITUTE(Raw_Data!F1783,"'","")))</f>
        <v>Bachelors</v>
      </c>
      <c r="G1783" s="13" t="str">
        <f aca="false">PROPER(TRIM(Raw_Data!G1783))</f>
        <v>Engineering</v>
      </c>
      <c r="H1783" s="13" t="str">
        <f aca="false">PROPER(TRIM(Raw_Data!H1783))</f>
        <v>Analyst</v>
      </c>
      <c r="I1783" s="13" t="n">
        <f aca="false">IF(Raw_Data!I1783="",DefaultPerf,Raw_Data!I1783)</f>
        <v>3</v>
      </c>
      <c r="J1783" s="13" t="n">
        <f aca="false">IF(Raw_Data!J1783="",DefaultSat,Raw_Data!J1783)</f>
        <v>3</v>
      </c>
      <c r="K1783" s="15" t="n">
        <f aca="false">Raw_Data!K1783</f>
        <v>51500</v>
      </c>
      <c r="L1783" s="13" t="str">
        <f aca="false">PROPER(TRIM(Raw_Data!N1783))</f>
        <v>Yes</v>
      </c>
      <c r="M1783" s="13" t="n">
        <f aca="false">IF(C1783="",0,1)</f>
        <v>1</v>
      </c>
      <c r="N1783" s="13" t="str">
        <f aca="false">IF(M1783=0,"Active",IF(TRIM(Raw_Data!L1783)="","Unknown",PROPER(TRIM(Raw_Data!L1783))))</f>
        <v>Voluntary</v>
      </c>
      <c r="O1783" s="13" t="str">
        <f aca="false">IF(M1783=0,"",IF(TRIM(Raw_Data!M1783)="","Not Recorded",TRIM(Raw_Data!M1783)))</f>
        <v>Better Compensation</v>
      </c>
      <c r="P1783" s="16" t="n">
        <f aca="false">ROUND((IF(C1783="",AsOfDate,C1783)-B1783)/365.25,2)</f>
        <v>0.98</v>
      </c>
      <c r="Q1783" s="13" t="str">
        <f aca="false">IF(D1783="","Unknown",IF(D1783&lt;25,"Under 25",IF(D1783&lt;35,"25-34",IF(D1783&lt;45,"35-44",IF(D1783&lt;55,"45-54","55+")))))</f>
        <v>25-34</v>
      </c>
      <c r="R1783" s="13" t="str">
        <f aca="false">IF(P1783&lt;1,"0-1 yrs",IF(P1783&lt;3,"1-3 yrs",IF(P1783&lt;5,"3-5 yrs",IF(P1783&lt;10,"5-10 yrs","10+ yrs"))))</f>
        <v>0-1 yrs</v>
      </c>
      <c r="S1783" s="13" t="str">
        <f aca="false">IF(I1783&gt;=4,"High",IF(I1783=3,"Medium","Low"))</f>
        <v>Medium</v>
      </c>
      <c r="T1783" s="13" t="n">
        <f aca="false">IF(M1783=1,YEAR(C1783),"")</f>
        <v>2025</v>
      </c>
      <c r="U1783" s="13" t="str">
        <f aca="false">IF(M1783=1,YEAR(C1783)&amp;"-Q"&amp;ROUNDUP(MONTH(C1783)/3,0),"")</f>
        <v>2025-Q3</v>
      </c>
      <c r="V1783" s="13" t="n">
        <f aca="false">IF(M1783=1,MONTH(C1783),"")</f>
        <v>8</v>
      </c>
    </row>
    <row r="1784" customFormat="false" ht="15" hidden="false" customHeight="false" outlineLevel="0" collapsed="false">
      <c r="A1784" s="13" t="str">
        <f aca="false">TRIM(Raw_Data!A1784)</f>
        <v>EMP1783</v>
      </c>
      <c r="B1784" s="14" t="n">
        <f aca="false">Raw_Data!B1784</f>
        <v>45541</v>
      </c>
      <c r="C1784" s="14" t="str">
        <f aca="false">IF(Raw_Data!C1784="","",Raw_Data!C1784)</f>
        <v/>
      </c>
      <c r="D1784" s="13" t="n">
        <f aca="false">IF(Raw_Data!D1784="","",Raw_Data!D1784)</f>
        <v>32</v>
      </c>
      <c r="E1784" s="13" t="str">
        <f aca="false">IF(UPPER(LEFT(TRIM(Raw_Data!E1784),1))="M","Male",IF(UPPER(LEFT(TRIM(Raw_Data!E1784),1))="F","Female","Unknown"))</f>
        <v>Female</v>
      </c>
      <c r="F1784" s="13" t="str">
        <f aca="false">PROPER(TRIM(SUBSTITUTE(Raw_Data!F1784,"'","")))</f>
        <v>Doctorate</v>
      </c>
      <c r="G1784" s="13" t="str">
        <f aca="false">PROPER(TRIM(Raw_Data!G1784))</f>
        <v>Operations</v>
      </c>
      <c r="H1784" s="13" t="str">
        <f aca="false">PROPER(TRIM(Raw_Data!H1784))</f>
        <v>Manager</v>
      </c>
      <c r="I1784" s="13" t="n">
        <f aca="false">IF(Raw_Data!I1784="",DefaultPerf,Raw_Data!I1784)</f>
        <v>3</v>
      </c>
      <c r="J1784" s="13" t="n">
        <f aca="false">IF(Raw_Data!J1784="",DefaultSat,Raw_Data!J1784)</f>
        <v>4</v>
      </c>
      <c r="K1784" s="15" t="n">
        <f aca="false">Raw_Data!K1784</f>
        <v>173000</v>
      </c>
      <c r="L1784" s="13" t="str">
        <f aca="false">PROPER(TRIM(Raw_Data!N1784))</f>
        <v>Yes</v>
      </c>
      <c r="M1784" s="13" t="n">
        <f aca="false">IF(C1784="",0,1)</f>
        <v>0</v>
      </c>
      <c r="N1784" s="13" t="str">
        <f aca="false">IF(M1784=0,"Active",IF(TRIM(Raw_Data!L1784)="","Unknown",PROPER(TRIM(Raw_Data!L1784))))</f>
        <v>Active</v>
      </c>
      <c r="O1784" s="13" t="str">
        <f aca="false">IF(M1784=0,"",IF(TRIM(Raw_Data!M1784)="","Not Recorded",TRIM(Raw_Data!M1784)))</f>
        <v/>
      </c>
      <c r="P1784" s="16" t="n">
        <f aca="false">ROUND((IF(C1784="",AsOfDate,C1784)-B1784)/365.25,2)</f>
        <v>1.32</v>
      </c>
      <c r="Q1784" s="13" t="str">
        <f aca="false">IF(D1784="","Unknown",IF(D1784&lt;25,"Under 25",IF(D1784&lt;35,"25-34",IF(D1784&lt;45,"35-44",IF(D1784&lt;55,"45-54","55+")))))</f>
        <v>25-34</v>
      </c>
      <c r="R1784" s="13" t="str">
        <f aca="false">IF(P1784&lt;1,"0-1 yrs",IF(P1784&lt;3,"1-3 yrs",IF(P1784&lt;5,"3-5 yrs",IF(P1784&lt;10,"5-10 yrs","10+ yrs"))))</f>
        <v>1-3 yrs</v>
      </c>
      <c r="S1784" s="13" t="str">
        <f aca="false">IF(I1784&gt;=4,"High",IF(I1784=3,"Medium","Low"))</f>
        <v>Medium</v>
      </c>
      <c r="T1784" s="13" t="str">
        <f aca="false">IF(M1784=1,YEAR(C1784),"")</f>
        <v/>
      </c>
      <c r="U1784" s="13" t="str">
        <f aca="false">IF(M1784=1,YEAR(C1784)&amp;"-Q"&amp;ROUNDUP(MONTH(C1784)/3,0),"")</f>
        <v/>
      </c>
      <c r="V1784" s="13" t="str">
        <f aca="false">IF(M1784=1,MONTH(C1784),"")</f>
        <v/>
      </c>
    </row>
    <row r="1785" customFormat="false" ht="15" hidden="false" customHeight="false" outlineLevel="0" collapsed="false">
      <c r="A1785" s="13" t="str">
        <f aca="false">TRIM(Raw_Data!A1785)</f>
        <v>EMP1784</v>
      </c>
      <c r="B1785" s="14" t="n">
        <f aca="false">Raw_Data!B1785</f>
        <v>45542</v>
      </c>
      <c r="C1785" s="14" t="str">
        <f aca="false">IF(Raw_Data!C1785="","",Raw_Data!C1785)</f>
        <v/>
      </c>
      <c r="D1785" s="13" t="n">
        <f aca="false">IF(Raw_Data!D1785="","",Raw_Data!D1785)</f>
        <v>30</v>
      </c>
      <c r="E1785" s="13" t="str">
        <f aca="false">IF(UPPER(LEFT(TRIM(Raw_Data!E1785),1))="M","Male",IF(UPPER(LEFT(TRIM(Raw_Data!E1785),1))="F","Female","Unknown"))</f>
        <v>Female</v>
      </c>
      <c r="F1785" s="13" t="str">
        <f aca="false">PROPER(TRIM(SUBSTITUTE(Raw_Data!F1785,"'","")))</f>
        <v>Doctorate</v>
      </c>
      <c r="G1785" s="13" t="str">
        <f aca="false">PROPER(TRIM(Raw_Data!G1785))</f>
        <v>Customer Support</v>
      </c>
      <c r="H1785" s="13" t="str">
        <f aca="false">PROPER(TRIM(Raw_Data!H1785))</f>
        <v>Associate</v>
      </c>
      <c r="I1785" s="13" t="n">
        <f aca="false">IF(Raw_Data!I1785="",DefaultPerf,Raw_Data!I1785)</f>
        <v>3</v>
      </c>
      <c r="J1785" s="13" t="n">
        <f aca="false">IF(Raw_Data!J1785="",DefaultSat,Raw_Data!J1785)</f>
        <v>3</v>
      </c>
      <c r="K1785" s="15" t="n">
        <f aca="false">Raw_Data!K1785</f>
        <v>33000</v>
      </c>
      <c r="L1785" s="13" t="str">
        <f aca="false">PROPER(TRIM(Raw_Data!N1785))</f>
        <v>No</v>
      </c>
      <c r="M1785" s="13" t="n">
        <f aca="false">IF(C1785="",0,1)</f>
        <v>0</v>
      </c>
      <c r="N1785" s="13" t="str">
        <f aca="false">IF(M1785=0,"Active",IF(TRIM(Raw_Data!L1785)="","Unknown",PROPER(TRIM(Raw_Data!L1785))))</f>
        <v>Active</v>
      </c>
      <c r="O1785" s="13" t="str">
        <f aca="false">IF(M1785=0,"",IF(TRIM(Raw_Data!M1785)="","Not Recorded",TRIM(Raw_Data!M1785)))</f>
        <v/>
      </c>
      <c r="P1785" s="16" t="n">
        <f aca="false">ROUND((IF(C1785="",AsOfDate,C1785)-B1785)/365.25,2)</f>
        <v>1.31</v>
      </c>
      <c r="Q1785" s="13" t="str">
        <f aca="false">IF(D1785="","Unknown",IF(D1785&lt;25,"Under 25",IF(D1785&lt;35,"25-34",IF(D1785&lt;45,"35-44",IF(D1785&lt;55,"45-54","55+")))))</f>
        <v>25-34</v>
      </c>
      <c r="R1785" s="13" t="str">
        <f aca="false">IF(P1785&lt;1,"0-1 yrs",IF(P1785&lt;3,"1-3 yrs",IF(P1785&lt;5,"3-5 yrs",IF(P1785&lt;10,"5-10 yrs","10+ yrs"))))</f>
        <v>1-3 yrs</v>
      </c>
      <c r="S1785" s="13" t="str">
        <f aca="false">IF(I1785&gt;=4,"High",IF(I1785=3,"Medium","Low"))</f>
        <v>Medium</v>
      </c>
      <c r="T1785" s="13" t="str">
        <f aca="false">IF(M1785=1,YEAR(C1785),"")</f>
        <v/>
      </c>
      <c r="U1785" s="13" t="str">
        <f aca="false">IF(M1785=1,YEAR(C1785)&amp;"-Q"&amp;ROUNDUP(MONTH(C1785)/3,0),"")</f>
        <v/>
      </c>
      <c r="V1785" s="13" t="str">
        <f aca="false">IF(M1785=1,MONTH(C1785),"")</f>
        <v/>
      </c>
    </row>
    <row r="1786" customFormat="false" ht="15" hidden="false" customHeight="false" outlineLevel="0" collapsed="false">
      <c r="A1786" s="13" t="str">
        <f aca="false">TRIM(Raw_Data!A1786)</f>
        <v>EMP1785</v>
      </c>
      <c r="B1786" s="14" t="n">
        <f aca="false">Raw_Data!B1786</f>
        <v>45542</v>
      </c>
      <c r="C1786" s="14" t="str">
        <f aca="false">IF(Raw_Data!C1786="","",Raw_Data!C1786)</f>
        <v/>
      </c>
      <c r="D1786" s="13" t="n">
        <f aca="false">IF(Raw_Data!D1786="","",Raw_Data!D1786)</f>
        <v>27</v>
      </c>
      <c r="E1786" s="13" t="str">
        <f aca="false">IF(UPPER(LEFT(TRIM(Raw_Data!E1786),1))="M","Male",IF(UPPER(LEFT(TRIM(Raw_Data!E1786),1))="F","Female","Unknown"))</f>
        <v>Female</v>
      </c>
      <c r="F1786" s="13" t="str">
        <f aca="false">PROPER(TRIM(SUBSTITUTE(Raw_Data!F1786,"'","")))</f>
        <v>Bachelors</v>
      </c>
      <c r="G1786" s="13" t="str">
        <f aca="false">PROPER(TRIM(Raw_Data!G1786))</f>
        <v>Engineering</v>
      </c>
      <c r="H1786" s="13" t="str">
        <f aca="false">PROPER(TRIM(Raw_Data!H1786))</f>
        <v>Senior Analyst</v>
      </c>
      <c r="I1786" s="13" t="n">
        <f aca="false">IF(Raw_Data!I1786="",DefaultPerf,Raw_Data!I1786)</f>
        <v>3</v>
      </c>
      <c r="J1786" s="13" t="n">
        <f aca="false">IF(Raw_Data!J1786="",DefaultSat,Raw_Data!J1786)</f>
        <v>3</v>
      </c>
      <c r="K1786" s="15" t="n">
        <f aca="false">Raw_Data!K1786</f>
        <v>79500</v>
      </c>
      <c r="L1786" s="13" t="str">
        <f aca="false">PROPER(TRIM(Raw_Data!N1786))</f>
        <v>No</v>
      </c>
      <c r="M1786" s="13" t="n">
        <f aca="false">IF(C1786="",0,1)</f>
        <v>0</v>
      </c>
      <c r="N1786" s="13" t="str">
        <f aca="false">IF(M1786=0,"Active",IF(TRIM(Raw_Data!L1786)="","Unknown",PROPER(TRIM(Raw_Data!L1786))))</f>
        <v>Active</v>
      </c>
      <c r="O1786" s="13" t="str">
        <f aca="false">IF(M1786=0,"",IF(TRIM(Raw_Data!M1786)="","Not Recorded",TRIM(Raw_Data!M1786)))</f>
        <v/>
      </c>
      <c r="P1786" s="16" t="n">
        <f aca="false">ROUND((IF(C1786="",AsOfDate,C1786)-B1786)/365.25,2)</f>
        <v>1.31</v>
      </c>
      <c r="Q1786" s="13" t="str">
        <f aca="false">IF(D1786="","Unknown",IF(D1786&lt;25,"Under 25",IF(D1786&lt;35,"25-34",IF(D1786&lt;45,"35-44",IF(D1786&lt;55,"45-54","55+")))))</f>
        <v>25-34</v>
      </c>
      <c r="R1786" s="13" t="str">
        <f aca="false">IF(P1786&lt;1,"0-1 yrs",IF(P1786&lt;3,"1-3 yrs",IF(P1786&lt;5,"3-5 yrs",IF(P1786&lt;10,"5-10 yrs","10+ yrs"))))</f>
        <v>1-3 yrs</v>
      </c>
      <c r="S1786" s="13" t="str">
        <f aca="false">IF(I1786&gt;=4,"High",IF(I1786=3,"Medium","Low"))</f>
        <v>Medium</v>
      </c>
      <c r="T1786" s="13" t="str">
        <f aca="false">IF(M1786=1,YEAR(C1786),"")</f>
        <v/>
      </c>
      <c r="U1786" s="13" t="str">
        <f aca="false">IF(M1786=1,YEAR(C1786)&amp;"-Q"&amp;ROUNDUP(MONTH(C1786)/3,0),"")</f>
        <v/>
      </c>
      <c r="V1786" s="13" t="str">
        <f aca="false">IF(M1786=1,MONTH(C1786),"")</f>
        <v/>
      </c>
    </row>
    <row r="1787" customFormat="false" ht="15" hidden="false" customHeight="false" outlineLevel="0" collapsed="false">
      <c r="A1787" s="13" t="str">
        <f aca="false">TRIM(Raw_Data!A1787)</f>
        <v>EMP1786</v>
      </c>
      <c r="B1787" s="14" t="n">
        <f aca="false">Raw_Data!B1787</f>
        <v>45542</v>
      </c>
      <c r="C1787" s="14" t="str">
        <f aca="false">IF(Raw_Data!C1787="","",Raw_Data!C1787)</f>
        <v/>
      </c>
      <c r="D1787" s="13" t="n">
        <f aca="false">IF(Raw_Data!D1787="","",Raw_Data!D1787)</f>
        <v>42</v>
      </c>
      <c r="E1787" s="13" t="str">
        <f aca="false">IF(UPPER(LEFT(TRIM(Raw_Data!E1787),1))="M","Male",IF(UPPER(LEFT(TRIM(Raw_Data!E1787),1))="F","Female","Unknown"))</f>
        <v>Male</v>
      </c>
      <c r="F1787" s="13" t="str">
        <f aca="false">PROPER(TRIM(SUBSTITUTE(Raw_Data!F1787,"'","")))</f>
        <v>Masters</v>
      </c>
      <c r="G1787" s="13" t="str">
        <f aca="false">PROPER(TRIM(Raw_Data!G1787))</f>
        <v>Engineering</v>
      </c>
      <c r="H1787" s="13" t="str">
        <f aca="false">PROPER(TRIM(Raw_Data!H1787))</f>
        <v>Analyst</v>
      </c>
      <c r="I1787" s="13" t="n">
        <f aca="false">IF(Raw_Data!I1787="",DefaultPerf,Raw_Data!I1787)</f>
        <v>5</v>
      </c>
      <c r="J1787" s="13" t="n">
        <f aca="false">IF(Raw_Data!J1787="",DefaultSat,Raw_Data!J1787)</f>
        <v>3</v>
      </c>
      <c r="K1787" s="15" t="n">
        <f aca="false">Raw_Data!K1787</f>
        <v>65000</v>
      </c>
      <c r="L1787" s="13" t="str">
        <f aca="false">PROPER(TRIM(Raw_Data!N1787))</f>
        <v>No</v>
      </c>
      <c r="M1787" s="13" t="n">
        <f aca="false">IF(C1787="",0,1)</f>
        <v>0</v>
      </c>
      <c r="N1787" s="13" t="str">
        <f aca="false">IF(M1787=0,"Active",IF(TRIM(Raw_Data!L1787)="","Unknown",PROPER(TRIM(Raw_Data!L1787))))</f>
        <v>Active</v>
      </c>
      <c r="O1787" s="13" t="str">
        <f aca="false">IF(M1787=0,"",IF(TRIM(Raw_Data!M1787)="","Not Recorded",TRIM(Raw_Data!M1787)))</f>
        <v/>
      </c>
      <c r="P1787" s="16" t="n">
        <f aca="false">ROUND((IF(C1787="",AsOfDate,C1787)-B1787)/365.25,2)</f>
        <v>1.31</v>
      </c>
      <c r="Q1787" s="13" t="str">
        <f aca="false">IF(D1787="","Unknown",IF(D1787&lt;25,"Under 25",IF(D1787&lt;35,"25-34",IF(D1787&lt;45,"35-44",IF(D1787&lt;55,"45-54","55+")))))</f>
        <v>35-44</v>
      </c>
      <c r="R1787" s="13" t="str">
        <f aca="false">IF(P1787&lt;1,"0-1 yrs",IF(P1787&lt;3,"1-3 yrs",IF(P1787&lt;5,"3-5 yrs",IF(P1787&lt;10,"5-10 yrs","10+ yrs"))))</f>
        <v>1-3 yrs</v>
      </c>
      <c r="S1787" s="13" t="str">
        <f aca="false">IF(I1787&gt;=4,"High",IF(I1787=3,"Medium","Low"))</f>
        <v>High</v>
      </c>
      <c r="T1787" s="13" t="str">
        <f aca="false">IF(M1787=1,YEAR(C1787),"")</f>
        <v/>
      </c>
      <c r="U1787" s="13" t="str">
        <f aca="false">IF(M1787=1,YEAR(C1787)&amp;"-Q"&amp;ROUNDUP(MONTH(C1787)/3,0),"")</f>
        <v/>
      </c>
      <c r="V1787" s="13" t="str">
        <f aca="false">IF(M1787=1,MONTH(C1787),"")</f>
        <v/>
      </c>
    </row>
    <row r="1788" customFormat="false" ht="15" hidden="false" customHeight="false" outlineLevel="0" collapsed="false">
      <c r="A1788" s="13" t="str">
        <f aca="false">TRIM(Raw_Data!A1788)</f>
        <v>EMP1787</v>
      </c>
      <c r="B1788" s="14" t="n">
        <f aca="false">Raw_Data!B1788</f>
        <v>45543</v>
      </c>
      <c r="C1788" s="14" t="str">
        <f aca="false">IF(Raw_Data!C1788="","",Raw_Data!C1788)</f>
        <v/>
      </c>
      <c r="D1788" s="13" t="n">
        <f aca="false">IF(Raw_Data!D1788="","",Raw_Data!D1788)</f>
        <v>33</v>
      </c>
      <c r="E1788" s="13" t="str">
        <f aca="false">IF(UPPER(LEFT(TRIM(Raw_Data!E1788),1))="M","Male",IF(UPPER(LEFT(TRIM(Raw_Data!E1788),1))="F","Female","Unknown"))</f>
        <v>Female</v>
      </c>
      <c r="F1788" s="13" t="str">
        <f aca="false">PROPER(TRIM(SUBSTITUTE(Raw_Data!F1788,"'","")))</f>
        <v>Masters</v>
      </c>
      <c r="G1788" s="13" t="str">
        <f aca="false">PROPER(TRIM(Raw_Data!G1788))</f>
        <v>Operations</v>
      </c>
      <c r="H1788" s="13" t="str">
        <f aca="false">PROPER(TRIM(Raw_Data!H1788))</f>
        <v>Analyst</v>
      </c>
      <c r="I1788" s="13" t="n">
        <f aca="false">IF(Raw_Data!I1788="",DefaultPerf,Raw_Data!I1788)</f>
        <v>2</v>
      </c>
      <c r="J1788" s="13" t="n">
        <f aca="false">IF(Raw_Data!J1788="",DefaultSat,Raw_Data!J1788)</f>
        <v>3</v>
      </c>
      <c r="K1788" s="15" t="n">
        <f aca="false">Raw_Data!K1788</f>
        <v>51500</v>
      </c>
      <c r="L1788" s="13" t="str">
        <f aca="false">PROPER(TRIM(Raw_Data!N1788))</f>
        <v>No</v>
      </c>
      <c r="M1788" s="13" t="n">
        <f aca="false">IF(C1788="",0,1)</f>
        <v>0</v>
      </c>
      <c r="N1788" s="13" t="str">
        <f aca="false">IF(M1788=0,"Active",IF(TRIM(Raw_Data!L1788)="","Unknown",PROPER(TRIM(Raw_Data!L1788))))</f>
        <v>Active</v>
      </c>
      <c r="O1788" s="13" t="str">
        <f aca="false">IF(M1788=0,"",IF(TRIM(Raw_Data!M1788)="","Not Recorded",TRIM(Raw_Data!M1788)))</f>
        <v/>
      </c>
      <c r="P1788" s="16" t="n">
        <f aca="false">ROUND((IF(C1788="",AsOfDate,C1788)-B1788)/365.25,2)</f>
        <v>1.31</v>
      </c>
      <c r="Q1788" s="13" t="str">
        <f aca="false">IF(D1788="","Unknown",IF(D1788&lt;25,"Under 25",IF(D1788&lt;35,"25-34",IF(D1788&lt;45,"35-44",IF(D1788&lt;55,"45-54","55+")))))</f>
        <v>25-34</v>
      </c>
      <c r="R1788" s="13" t="str">
        <f aca="false">IF(P1788&lt;1,"0-1 yrs",IF(P1788&lt;3,"1-3 yrs",IF(P1788&lt;5,"3-5 yrs",IF(P1788&lt;10,"5-10 yrs","10+ yrs"))))</f>
        <v>1-3 yrs</v>
      </c>
      <c r="S1788" s="13" t="str">
        <f aca="false">IF(I1788&gt;=4,"High",IF(I1788=3,"Medium","Low"))</f>
        <v>Low</v>
      </c>
      <c r="T1788" s="13" t="str">
        <f aca="false">IF(M1788=1,YEAR(C1788),"")</f>
        <v/>
      </c>
      <c r="U1788" s="13" t="str">
        <f aca="false">IF(M1788=1,YEAR(C1788)&amp;"-Q"&amp;ROUNDUP(MONTH(C1788)/3,0),"")</f>
        <v/>
      </c>
      <c r="V1788" s="13" t="str">
        <f aca="false">IF(M1788=1,MONTH(C1788),"")</f>
        <v/>
      </c>
    </row>
    <row r="1789" customFormat="false" ht="15" hidden="false" customHeight="false" outlineLevel="0" collapsed="false">
      <c r="A1789" s="13" t="str">
        <f aca="false">TRIM(Raw_Data!A1789)</f>
        <v>EMP1788</v>
      </c>
      <c r="B1789" s="14" t="n">
        <f aca="false">Raw_Data!B1789</f>
        <v>45546</v>
      </c>
      <c r="C1789" s="14" t="str">
        <f aca="false">IF(Raw_Data!C1789="","",Raw_Data!C1789)</f>
        <v/>
      </c>
      <c r="D1789" s="13" t="n">
        <f aca="false">IF(Raw_Data!D1789="","",Raw_Data!D1789)</f>
        <v>32</v>
      </c>
      <c r="E1789" s="13" t="str">
        <f aca="false">IF(UPPER(LEFT(TRIM(Raw_Data!E1789),1))="M","Male",IF(UPPER(LEFT(TRIM(Raw_Data!E1789),1))="F","Female","Unknown"))</f>
        <v>Male</v>
      </c>
      <c r="F1789" s="13" t="str">
        <f aca="false">PROPER(TRIM(SUBSTITUTE(Raw_Data!F1789,"'","")))</f>
        <v>Diploma</v>
      </c>
      <c r="G1789" s="13" t="str">
        <f aca="false">PROPER(TRIM(Raw_Data!G1789))</f>
        <v>Engineering</v>
      </c>
      <c r="H1789" s="13" t="str">
        <f aca="false">PROPER(TRIM(Raw_Data!H1789))</f>
        <v>Team Lead</v>
      </c>
      <c r="I1789" s="13" t="n">
        <f aca="false">IF(Raw_Data!I1789="",DefaultPerf,Raw_Data!I1789)</f>
        <v>5</v>
      </c>
      <c r="J1789" s="13" t="n">
        <f aca="false">IF(Raw_Data!J1789="",DefaultSat,Raw_Data!J1789)</f>
        <v>3</v>
      </c>
      <c r="K1789" s="15" t="n">
        <f aca="false">Raw_Data!K1789</f>
        <v>124500</v>
      </c>
      <c r="L1789" s="13" t="str">
        <f aca="false">PROPER(TRIM(Raw_Data!N1789))</f>
        <v>No</v>
      </c>
      <c r="M1789" s="13" t="n">
        <f aca="false">IF(C1789="",0,1)</f>
        <v>0</v>
      </c>
      <c r="N1789" s="13" t="str">
        <f aca="false">IF(M1789=0,"Active",IF(TRIM(Raw_Data!L1789)="","Unknown",PROPER(TRIM(Raw_Data!L1789))))</f>
        <v>Active</v>
      </c>
      <c r="O1789" s="13" t="str">
        <f aca="false">IF(M1789=0,"",IF(TRIM(Raw_Data!M1789)="","Not Recorded",TRIM(Raw_Data!M1789)))</f>
        <v/>
      </c>
      <c r="P1789" s="16" t="n">
        <f aca="false">ROUND((IF(C1789="",AsOfDate,C1789)-B1789)/365.25,2)</f>
        <v>1.3</v>
      </c>
      <c r="Q1789" s="13" t="str">
        <f aca="false">IF(D1789="","Unknown",IF(D1789&lt;25,"Under 25",IF(D1789&lt;35,"25-34",IF(D1789&lt;45,"35-44",IF(D1789&lt;55,"45-54","55+")))))</f>
        <v>25-34</v>
      </c>
      <c r="R1789" s="13" t="str">
        <f aca="false">IF(P1789&lt;1,"0-1 yrs",IF(P1789&lt;3,"1-3 yrs",IF(P1789&lt;5,"3-5 yrs",IF(P1789&lt;10,"5-10 yrs","10+ yrs"))))</f>
        <v>1-3 yrs</v>
      </c>
      <c r="S1789" s="13" t="str">
        <f aca="false">IF(I1789&gt;=4,"High",IF(I1789=3,"Medium","Low"))</f>
        <v>High</v>
      </c>
      <c r="T1789" s="13" t="str">
        <f aca="false">IF(M1789=1,YEAR(C1789),"")</f>
        <v/>
      </c>
      <c r="U1789" s="13" t="str">
        <f aca="false">IF(M1789=1,YEAR(C1789)&amp;"-Q"&amp;ROUNDUP(MONTH(C1789)/3,0),"")</f>
        <v/>
      </c>
      <c r="V1789" s="13" t="str">
        <f aca="false">IF(M1789=1,MONTH(C1789),"")</f>
        <v/>
      </c>
    </row>
    <row r="1790" customFormat="false" ht="15" hidden="false" customHeight="false" outlineLevel="0" collapsed="false">
      <c r="A1790" s="13" t="str">
        <f aca="false">TRIM(Raw_Data!A1790)</f>
        <v>EMP1789</v>
      </c>
      <c r="B1790" s="14" t="n">
        <f aca="false">Raw_Data!B1790</f>
        <v>45547</v>
      </c>
      <c r="C1790" s="14" t="str">
        <f aca="false">IF(Raw_Data!C1790="","",Raw_Data!C1790)</f>
        <v/>
      </c>
      <c r="D1790" s="13" t="n">
        <f aca="false">IF(Raw_Data!D1790="","",Raw_Data!D1790)</f>
        <v>30</v>
      </c>
      <c r="E1790" s="13" t="str">
        <f aca="false">IF(UPPER(LEFT(TRIM(Raw_Data!E1790),1))="M","Male",IF(UPPER(LEFT(TRIM(Raw_Data!E1790),1))="F","Female","Unknown"))</f>
        <v>Male</v>
      </c>
      <c r="F1790" s="13" t="str">
        <f aca="false">PROPER(TRIM(SUBSTITUTE(Raw_Data!F1790,"'","")))</f>
        <v>Diploma</v>
      </c>
      <c r="G1790" s="13" t="str">
        <f aca="false">PROPER(TRIM(Raw_Data!G1790))</f>
        <v>Operations</v>
      </c>
      <c r="H1790" s="13" t="str">
        <f aca="false">PROPER(TRIM(Raw_Data!H1790))</f>
        <v>Team Lead</v>
      </c>
      <c r="I1790" s="13" t="n">
        <f aca="false">IF(Raw_Data!I1790="",DefaultPerf,Raw_Data!I1790)</f>
        <v>5</v>
      </c>
      <c r="J1790" s="13" t="n">
        <f aca="false">IF(Raw_Data!J1790="",DefaultSat,Raw_Data!J1790)</f>
        <v>4</v>
      </c>
      <c r="K1790" s="15" t="n">
        <f aca="false">Raw_Data!K1790</f>
        <v>144000</v>
      </c>
      <c r="L1790" s="13" t="str">
        <f aca="false">PROPER(TRIM(Raw_Data!N1790))</f>
        <v>Yes</v>
      </c>
      <c r="M1790" s="13" t="n">
        <f aca="false">IF(C1790="",0,1)</f>
        <v>0</v>
      </c>
      <c r="N1790" s="13" t="str">
        <f aca="false">IF(M1790=0,"Active",IF(TRIM(Raw_Data!L1790)="","Unknown",PROPER(TRIM(Raw_Data!L1790))))</f>
        <v>Active</v>
      </c>
      <c r="O1790" s="13" t="str">
        <f aca="false">IF(M1790=0,"",IF(TRIM(Raw_Data!M1790)="","Not Recorded",TRIM(Raw_Data!M1790)))</f>
        <v/>
      </c>
      <c r="P1790" s="16" t="n">
        <f aca="false">ROUND((IF(C1790="",AsOfDate,C1790)-B1790)/365.25,2)</f>
        <v>1.3</v>
      </c>
      <c r="Q1790" s="13" t="str">
        <f aca="false">IF(D1790="","Unknown",IF(D1790&lt;25,"Under 25",IF(D1790&lt;35,"25-34",IF(D1790&lt;45,"35-44",IF(D1790&lt;55,"45-54","55+")))))</f>
        <v>25-34</v>
      </c>
      <c r="R1790" s="13" t="str">
        <f aca="false">IF(P1790&lt;1,"0-1 yrs",IF(P1790&lt;3,"1-3 yrs",IF(P1790&lt;5,"3-5 yrs",IF(P1790&lt;10,"5-10 yrs","10+ yrs"))))</f>
        <v>1-3 yrs</v>
      </c>
      <c r="S1790" s="13" t="str">
        <f aca="false">IF(I1790&gt;=4,"High",IF(I1790=3,"Medium","Low"))</f>
        <v>High</v>
      </c>
      <c r="T1790" s="13" t="str">
        <f aca="false">IF(M1790=1,YEAR(C1790),"")</f>
        <v/>
      </c>
      <c r="U1790" s="13" t="str">
        <f aca="false">IF(M1790=1,YEAR(C1790)&amp;"-Q"&amp;ROUNDUP(MONTH(C1790)/3,0),"")</f>
        <v/>
      </c>
      <c r="V1790" s="13" t="str">
        <f aca="false">IF(M1790=1,MONTH(C1790),"")</f>
        <v/>
      </c>
    </row>
    <row r="1791" customFormat="false" ht="15" hidden="false" customHeight="false" outlineLevel="0" collapsed="false">
      <c r="A1791" s="13" t="str">
        <f aca="false">TRIM(Raw_Data!A1791)</f>
        <v>EMP1790</v>
      </c>
      <c r="B1791" s="14" t="n">
        <f aca="false">Raw_Data!B1791</f>
        <v>45548</v>
      </c>
      <c r="C1791" s="14" t="str">
        <f aca="false">IF(Raw_Data!C1791="","",Raw_Data!C1791)</f>
        <v/>
      </c>
      <c r="D1791" s="13" t="n">
        <f aca="false">IF(Raw_Data!D1791="","",Raw_Data!D1791)</f>
        <v>31</v>
      </c>
      <c r="E1791" s="13" t="str">
        <f aca="false">IF(UPPER(LEFT(TRIM(Raw_Data!E1791),1))="M","Male",IF(UPPER(LEFT(TRIM(Raw_Data!E1791),1))="F","Female","Unknown"))</f>
        <v>Male</v>
      </c>
      <c r="F1791" s="13" t="str">
        <f aca="false">PROPER(TRIM(SUBSTITUTE(Raw_Data!F1791,"'","")))</f>
        <v>Masters</v>
      </c>
      <c r="G1791" s="13" t="str">
        <f aca="false">PROPER(TRIM(Raw_Data!G1791))</f>
        <v>Finance</v>
      </c>
      <c r="H1791" s="13" t="str">
        <f aca="false">PROPER(TRIM(Raw_Data!H1791))</f>
        <v>Analyst</v>
      </c>
      <c r="I1791" s="13" t="n">
        <f aca="false">IF(Raw_Data!I1791="",DefaultPerf,Raw_Data!I1791)</f>
        <v>4</v>
      </c>
      <c r="J1791" s="13" t="n">
        <f aca="false">IF(Raw_Data!J1791="",DefaultSat,Raw_Data!J1791)</f>
        <v>1</v>
      </c>
      <c r="K1791" s="15" t="n">
        <f aca="false">Raw_Data!K1791</f>
        <v>60000</v>
      </c>
      <c r="L1791" s="13" t="str">
        <f aca="false">PROPER(TRIM(Raw_Data!N1791))</f>
        <v>No</v>
      </c>
      <c r="M1791" s="13" t="n">
        <f aca="false">IF(C1791="",0,1)</f>
        <v>0</v>
      </c>
      <c r="N1791" s="13" t="str">
        <f aca="false">IF(M1791=0,"Active",IF(TRIM(Raw_Data!L1791)="","Unknown",PROPER(TRIM(Raw_Data!L1791))))</f>
        <v>Active</v>
      </c>
      <c r="O1791" s="13" t="str">
        <f aca="false">IF(M1791=0,"",IF(TRIM(Raw_Data!M1791)="","Not Recorded",TRIM(Raw_Data!M1791)))</f>
        <v/>
      </c>
      <c r="P1791" s="16" t="n">
        <f aca="false">ROUND((IF(C1791="",AsOfDate,C1791)-B1791)/365.25,2)</f>
        <v>1.3</v>
      </c>
      <c r="Q1791" s="13" t="str">
        <f aca="false">IF(D1791="","Unknown",IF(D1791&lt;25,"Under 25",IF(D1791&lt;35,"25-34",IF(D1791&lt;45,"35-44",IF(D1791&lt;55,"45-54","55+")))))</f>
        <v>25-34</v>
      </c>
      <c r="R1791" s="13" t="str">
        <f aca="false">IF(P1791&lt;1,"0-1 yrs",IF(P1791&lt;3,"1-3 yrs",IF(P1791&lt;5,"3-5 yrs",IF(P1791&lt;10,"5-10 yrs","10+ yrs"))))</f>
        <v>1-3 yrs</v>
      </c>
      <c r="S1791" s="13" t="str">
        <f aca="false">IF(I1791&gt;=4,"High",IF(I1791=3,"Medium","Low"))</f>
        <v>High</v>
      </c>
      <c r="T1791" s="13" t="str">
        <f aca="false">IF(M1791=1,YEAR(C1791),"")</f>
        <v/>
      </c>
      <c r="U1791" s="13" t="str">
        <f aca="false">IF(M1791=1,YEAR(C1791)&amp;"-Q"&amp;ROUNDUP(MONTH(C1791)/3,0),"")</f>
        <v/>
      </c>
      <c r="V1791" s="13" t="str">
        <f aca="false">IF(M1791=1,MONTH(C1791),"")</f>
        <v/>
      </c>
    </row>
    <row r="1792" customFormat="false" ht="15" hidden="false" customHeight="false" outlineLevel="0" collapsed="false">
      <c r="A1792" s="13" t="str">
        <f aca="false">TRIM(Raw_Data!A1792)</f>
        <v>EMP1791</v>
      </c>
      <c r="B1792" s="14" t="n">
        <f aca="false">Raw_Data!B1792</f>
        <v>45549</v>
      </c>
      <c r="C1792" s="14" t="str">
        <f aca="false">IF(Raw_Data!C1792="","",Raw_Data!C1792)</f>
        <v/>
      </c>
      <c r="D1792" s="13" t="n">
        <f aca="false">IF(Raw_Data!D1792="","",Raw_Data!D1792)</f>
        <v>34</v>
      </c>
      <c r="E1792" s="13" t="str">
        <f aca="false">IF(UPPER(LEFT(TRIM(Raw_Data!E1792),1))="M","Male",IF(UPPER(LEFT(TRIM(Raw_Data!E1792),1))="F","Female","Unknown"))</f>
        <v>Male</v>
      </c>
      <c r="F1792" s="13" t="str">
        <f aca="false">PROPER(TRIM(SUBSTITUTE(Raw_Data!F1792,"'","")))</f>
        <v>Bachelors</v>
      </c>
      <c r="G1792" s="13" t="str">
        <f aca="false">PROPER(TRIM(Raw_Data!G1792))</f>
        <v>Customer Support</v>
      </c>
      <c r="H1792" s="13" t="str">
        <f aca="false">PROPER(TRIM(Raw_Data!H1792))</f>
        <v>Senior Analyst</v>
      </c>
      <c r="I1792" s="13" t="n">
        <f aca="false">IF(Raw_Data!I1792="",DefaultPerf,Raw_Data!I1792)</f>
        <v>3</v>
      </c>
      <c r="J1792" s="13" t="n">
        <f aca="false">IF(Raw_Data!J1792="",DefaultSat,Raw_Data!J1792)</f>
        <v>4</v>
      </c>
      <c r="K1792" s="15" t="n">
        <f aca="false">Raw_Data!K1792</f>
        <v>84500</v>
      </c>
      <c r="L1792" s="13" t="str">
        <f aca="false">PROPER(TRIM(Raw_Data!N1792))</f>
        <v>No</v>
      </c>
      <c r="M1792" s="13" t="n">
        <f aca="false">IF(C1792="",0,1)</f>
        <v>0</v>
      </c>
      <c r="N1792" s="13" t="str">
        <f aca="false">IF(M1792=0,"Active",IF(TRIM(Raw_Data!L1792)="","Unknown",PROPER(TRIM(Raw_Data!L1792))))</f>
        <v>Active</v>
      </c>
      <c r="O1792" s="13" t="str">
        <f aca="false">IF(M1792=0,"",IF(TRIM(Raw_Data!M1792)="","Not Recorded",TRIM(Raw_Data!M1792)))</f>
        <v/>
      </c>
      <c r="P1792" s="16" t="n">
        <f aca="false">ROUND((IF(C1792="",AsOfDate,C1792)-B1792)/365.25,2)</f>
        <v>1.3</v>
      </c>
      <c r="Q1792" s="13" t="str">
        <f aca="false">IF(D1792="","Unknown",IF(D1792&lt;25,"Under 25",IF(D1792&lt;35,"25-34",IF(D1792&lt;45,"35-44",IF(D1792&lt;55,"45-54","55+")))))</f>
        <v>25-34</v>
      </c>
      <c r="R1792" s="13" t="str">
        <f aca="false">IF(P1792&lt;1,"0-1 yrs",IF(P1792&lt;3,"1-3 yrs",IF(P1792&lt;5,"3-5 yrs",IF(P1792&lt;10,"5-10 yrs","10+ yrs"))))</f>
        <v>1-3 yrs</v>
      </c>
      <c r="S1792" s="13" t="str">
        <f aca="false">IF(I1792&gt;=4,"High",IF(I1792=3,"Medium","Low"))</f>
        <v>Medium</v>
      </c>
      <c r="T1792" s="13" t="str">
        <f aca="false">IF(M1792=1,YEAR(C1792),"")</f>
        <v/>
      </c>
      <c r="U1792" s="13" t="str">
        <f aca="false">IF(M1792=1,YEAR(C1792)&amp;"-Q"&amp;ROUNDUP(MONTH(C1792)/3,0),"")</f>
        <v/>
      </c>
      <c r="V1792" s="13" t="str">
        <f aca="false">IF(M1792=1,MONTH(C1792),"")</f>
        <v/>
      </c>
    </row>
    <row r="1793" customFormat="false" ht="15" hidden="false" customHeight="false" outlineLevel="0" collapsed="false">
      <c r="A1793" s="13" t="str">
        <f aca="false">TRIM(Raw_Data!A1793)</f>
        <v>EMP1792</v>
      </c>
      <c r="B1793" s="14" t="n">
        <f aca="false">Raw_Data!B1793</f>
        <v>45550</v>
      </c>
      <c r="C1793" s="14" t="str">
        <f aca="false">IF(Raw_Data!C1793="","",Raw_Data!C1793)</f>
        <v/>
      </c>
      <c r="D1793" s="13" t="n">
        <f aca="false">IF(Raw_Data!D1793="","",Raw_Data!D1793)</f>
        <v>31</v>
      </c>
      <c r="E1793" s="13" t="str">
        <f aca="false">IF(UPPER(LEFT(TRIM(Raw_Data!E1793),1))="M","Male",IF(UPPER(LEFT(TRIM(Raw_Data!E1793),1))="F","Female","Unknown"))</f>
        <v>Male</v>
      </c>
      <c r="F1793" s="13" t="str">
        <f aca="false">PROPER(TRIM(SUBSTITUTE(Raw_Data!F1793,"'","")))</f>
        <v>Bachelors</v>
      </c>
      <c r="G1793" s="13" t="str">
        <f aca="false">PROPER(TRIM(Raw_Data!G1793))</f>
        <v>Operations</v>
      </c>
      <c r="H1793" s="13" t="str">
        <f aca="false">PROPER(TRIM(Raw_Data!H1793))</f>
        <v>Associate</v>
      </c>
      <c r="I1793" s="13" t="n">
        <f aca="false">IF(Raw_Data!I1793="",DefaultPerf,Raw_Data!I1793)</f>
        <v>4</v>
      </c>
      <c r="J1793" s="13" t="n">
        <f aca="false">IF(Raw_Data!J1793="",DefaultSat,Raw_Data!J1793)</f>
        <v>3</v>
      </c>
      <c r="K1793" s="15" t="n">
        <f aca="false">Raw_Data!K1793</f>
        <v>39000</v>
      </c>
      <c r="L1793" s="13" t="str">
        <f aca="false">PROPER(TRIM(Raw_Data!N1793))</f>
        <v>No</v>
      </c>
      <c r="M1793" s="13" t="n">
        <f aca="false">IF(C1793="",0,1)</f>
        <v>0</v>
      </c>
      <c r="N1793" s="13" t="str">
        <f aca="false">IF(M1793=0,"Active",IF(TRIM(Raw_Data!L1793)="","Unknown",PROPER(TRIM(Raw_Data!L1793))))</f>
        <v>Active</v>
      </c>
      <c r="O1793" s="13" t="str">
        <f aca="false">IF(M1793=0,"",IF(TRIM(Raw_Data!M1793)="","Not Recorded",TRIM(Raw_Data!M1793)))</f>
        <v/>
      </c>
      <c r="P1793" s="16" t="n">
        <f aca="false">ROUND((IF(C1793="",AsOfDate,C1793)-B1793)/365.25,2)</f>
        <v>1.29</v>
      </c>
      <c r="Q1793" s="13" t="str">
        <f aca="false">IF(D1793="","Unknown",IF(D1793&lt;25,"Under 25",IF(D1793&lt;35,"25-34",IF(D1793&lt;45,"35-44",IF(D1793&lt;55,"45-54","55+")))))</f>
        <v>25-34</v>
      </c>
      <c r="R1793" s="13" t="str">
        <f aca="false">IF(P1793&lt;1,"0-1 yrs",IF(P1793&lt;3,"1-3 yrs",IF(P1793&lt;5,"3-5 yrs",IF(P1793&lt;10,"5-10 yrs","10+ yrs"))))</f>
        <v>1-3 yrs</v>
      </c>
      <c r="S1793" s="13" t="str">
        <f aca="false">IF(I1793&gt;=4,"High",IF(I1793=3,"Medium","Low"))</f>
        <v>High</v>
      </c>
      <c r="T1793" s="13" t="str">
        <f aca="false">IF(M1793=1,YEAR(C1793),"")</f>
        <v/>
      </c>
      <c r="U1793" s="13" t="str">
        <f aca="false">IF(M1793=1,YEAR(C1793)&amp;"-Q"&amp;ROUNDUP(MONTH(C1793)/3,0),"")</f>
        <v/>
      </c>
      <c r="V1793" s="13" t="str">
        <f aca="false">IF(M1793=1,MONTH(C1793),"")</f>
        <v/>
      </c>
    </row>
    <row r="1794" customFormat="false" ht="15" hidden="false" customHeight="false" outlineLevel="0" collapsed="false">
      <c r="A1794" s="13" t="str">
        <f aca="false">TRIM(Raw_Data!A1794)</f>
        <v>EMP1793</v>
      </c>
      <c r="B1794" s="14" t="n">
        <f aca="false">Raw_Data!B1794</f>
        <v>45551</v>
      </c>
      <c r="C1794" s="14" t="n">
        <f aca="false">IF(Raw_Data!C1794="","",Raw_Data!C1794)</f>
        <v>45921</v>
      </c>
      <c r="D1794" s="13" t="n">
        <f aca="false">IF(Raw_Data!D1794="","",Raw_Data!D1794)</f>
        <v>34</v>
      </c>
      <c r="E1794" s="13" t="str">
        <f aca="false">IF(UPPER(LEFT(TRIM(Raw_Data!E1794),1))="M","Male",IF(UPPER(LEFT(TRIM(Raw_Data!E1794),1))="F","Female","Unknown"))</f>
        <v>Female</v>
      </c>
      <c r="F1794" s="13" t="str">
        <f aca="false">PROPER(TRIM(SUBSTITUTE(Raw_Data!F1794,"'","")))</f>
        <v>Bachelors</v>
      </c>
      <c r="G1794" s="13" t="str">
        <f aca="false">PROPER(TRIM(Raw_Data!G1794))</f>
        <v>Customer Support</v>
      </c>
      <c r="H1794" s="13" t="str">
        <f aca="false">PROPER(TRIM(Raw_Data!H1794))</f>
        <v>Senior Analyst</v>
      </c>
      <c r="I1794" s="13" t="n">
        <f aca="false">IF(Raw_Data!I1794="",DefaultPerf,Raw_Data!I1794)</f>
        <v>4</v>
      </c>
      <c r="J1794" s="13" t="n">
        <f aca="false">IF(Raw_Data!J1794="",DefaultSat,Raw_Data!J1794)</f>
        <v>1</v>
      </c>
      <c r="K1794" s="15" t="n">
        <f aca="false">Raw_Data!K1794</f>
        <v>93000</v>
      </c>
      <c r="L1794" s="13" t="str">
        <f aca="false">PROPER(TRIM(Raw_Data!N1794))</f>
        <v>Yes</v>
      </c>
      <c r="M1794" s="13" t="n">
        <f aca="false">IF(C1794="",0,1)</f>
        <v>1</v>
      </c>
      <c r="N1794" s="13" t="str">
        <f aca="false">IF(M1794=0,"Active",IF(TRIM(Raw_Data!L1794)="","Unknown",PROPER(TRIM(Raw_Data!L1794))))</f>
        <v>Voluntary</v>
      </c>
      <c r="O1794" s="13" t="str">
        <f aca="false">IF(M1794=0,"",IF(TRIM(Raw_Data!M1794)="","Not Recorded",TRIM(Raw_Data!M1794)))</f>
        <v>Personal Reasons</v>
      </c>
      <c r="P1794" s="16" t="n">
        <f aca="false">ROUND((IF(C1794="",AsOfDate,C1794)-B1794)/365.25,2)</f>
        <v>1.01</v>
      </c>
      <c r="Q1794" s="13" t="str">
        <f aca="false">IF(D1794="","Unknown",IF(D1794&lt;25,"Under 25",IF(D1794&lt;35,"25-34",IF(D1794&lt;45,"35-44",IF(D1794&lt;55,"45-54","55+")))))</f>
        <v>25-34</v>
      </c>
      <c r="R1794" s="13" t="str">
        <f aca="false">IF(P1794&lt;1,"0-1 yrs",IF(P1794&lt;3,"1-3 yrs",IF(P1794&lt;5,"3-5 yrs",IF(P1794&lt;10,"5-10 yrs","10+ yrs"))))</f>
        <v>1-3 yrs</v>
      </c>
      <c r="S1794" s="13" t="str">
        <f aca="false">IF(I1794&gt;=4,"High",IF(I1794=3,"Medium","Low"))</f>
        <v>High</v>
      </c>
      <c r="T1794" s="13" t="n">
        <f aca="false">IF(M1794=1,YEAR(C1794),"")</f>
        <v>2025</v>
      </c>
      <c r="U1794" s="13" t="str">
        <f aca="false">IF(M1794=1,YEAR(C1794)&amp;"-Q"&amp;ROUNDUP(MONTH(C1794)/3,0),"")</f>
        <v>2025-Q3</v>
      </c>
      <c r="V1794" s="13" t="n">
        <f aca="false">IF(M1794=1,MONTH(C1794),"")</f>
        <v>9</v>
      </c>
    </row>
    <row r="1795" customFormat="false" ht="15" hidden="false" customHeight="false" outlineLevel="0" collapsed="false">
      <c r="A1795" s="13" t="str">
        <f aca="false">TRIM(Raw_Data!A1795)</f>
        <v>EMP1794</v>
      </c>
      <c r="B1795" s="14" t="n">
        <f aca="false">Raw_Data!B1795</f>
        <v>45554</v>
      </c>
      <c r="C1795" s="14" t="n">
        <f aca="false">IF(Raw_Data!C1795="","",Raw_Data!C1795)</f>
        <v>45974</v>
      </c>
      <c r="D1795" s="13" t="n">
        <f aca="false">IF(Raw_Data!D1795="","",Raw_Data!D1795)</f>
        <v>28</v>
      </c>
      <c r="E1795" s="13" t="str">
        <f aca="false">IF(UPPER(LEFT(TRIM(Raw_Data!E1795),1))="M","Male",IF(UPPER(LEFT(TRIM(Raw_Data!E1795),1))="F","Female","Unknown"))</f>
        <v>Female</v>
      </c>
      <c r="F1795" s="13" t="str">
        <f aca="false">PROPER(TRIM(SUBSTITUTE(Raw_Data!F1795,"'","")))</f>
        <v>Bachelors</v>
      </c>
      <c r="G1795" s="13" t="str">
        <f aca="false">PROPER(TRIM(Raw_Data!G1795))</f>
        <v>Customer Support</v>
      </c>
      <c r="H1795" s="13" t="str">
        <f aca="false">PROPER(TRIM(Raw_Data!H1795))</f>
        <v>Associate</v>
      </c>
      <c r="I1795" s="13" t="n">
        <f aca="false">IF(Raw_Data!I1795="",DefaultPerf,Raw_Data!I1795)</f>
        <v>2</v>
      </c>
      <c r="J1795" s="13" t="n">
        <f aca="false">IF(Raw_Data!J1795="",DefaultSat,Raw_Data!J1795)</f>
        <v>3</v>
      </c>
      <c r="K1795" s="15" t="n">
        <f aca="false">Raw_Data!K1795</f>
        <v>45500</v>
      </c>
      <c r="L1795" s="13" t="str">
        <f aca="false">PROPER(TRIM(Raw_Data!N1795))</f>
        <v>No</v>
      </c>
      <c r="M1795" s="13" t="n">
        <f aca="false">IF(C1795="",0,1)</f>
        <v>1</v>
      </c>
      <c r="N1795" s="13" t="str">
        <f aca="false">IF(M1795=0,"Active",IF(TRIM(Raw_Data!L1795)="","Unknown",PROPER(TRIM(Raw_Data!L1795))))</f>
        <v>Voluntary</v>
      </c>
      <c r="O1795" s="13" t="str">
        <f aca="false">IF(M1795=0,"",IF(TRIM(Raw_Data!M1795)="","Not Recorded",TRIM(Raw_Data!M1795)))</f>
        <v>Career Growth</v>
      </c>
      <c r="P1795" s="16" t="n">
        <f aca="false">ROUND((IF(C1795="",AsOfDate,C1795)-B1795)/365.25,2)</f>
        <v>1.15</v>
      </c>
      <c r="Q1795" s="13" t="str">
        <f aca="false">IF(D1795="","Unknown",IF(D1795&lt;25,"Under 25",IF(D1795&lt;35,"25-34",IF(D1795&lt;45,"35-44",IF(D1795&lt;55,"45-54","55+")))))</f>
        <v>25-34</v>
      </c>
      <c r="R1795" s="13" t="str">
        <f aca="false">IF(P1795&lt;1,"0-1 yrs",IF(P1795&lt;3,"1-3 yrs",IF(P1795&lt;5,"3-5 yrs",IF(P1795&lt;10,"5-10 yrs","10+ yrs"))))</f>
        <v>1-3 yrs</v>
      </c>
      <c r="S1795" s="13" t="str">
        <f aca="false">IF(I1795&gt;=4,"High",IF(I1795=3,"Medium","Low"))</f>
        <v>Low</v>
      </c>
      <c r="T1795" s="13" t="n">
        <f aca="false">IF(M1795=1,YEAR(C1795),"")</f>
        <v>2025</v>
      </c>
      <c r="U1795" s="13" t="str">
        <f aca="false">IF(M1795=1,YEAR(C1795)&amp;"-Q"&amp;ROUNDUP(MONTH(C1795)/3,0),"")</f>
        <v>2025-Q4</v>
      </c>
      <c r="V1795" s="13" t="n">
        <f aca="false">IF(M1795=1,MONTH(C1795),"")</f>
        <v>11</v>
      </c>
    </row>
    <row r="1796" customFormat="false" ht="15" hidden="false" customHeight="false" outlineLevel="0" collapsed="false">
      <c r="A1796" s="13" t="str">
        <f aca="false">TRIM(Raw_Data!A1796)</f>
        <v>EMP1795</v>
      </c>
      <c r="B1796" s="14" t="n">
        <f aca="false">Raw_Data!B1796</f>
        <v>45557</v>
      </c>
      <c r="C1796" s="14" t="str">
        <f aca="false">IF(Raw_Data!C1796="","",Raw_Data!C1796)</f>
        <v/>
      </c>
      <c r="D1796" s="13" t="n">
        <f aca="false">IF(Raw_Data!D1796="","",Raw_Data!D1796)</f>
        <v>33</v>
      </c>
      <c r="E1796" s="13" t="str">
        <f aca="false">IF(UPPER(LEFT(TRIM(Raw_Data!E1796),1))="M","Male",IF(UPPER(LEFT(TRIM(Raw_Data!E1796),1))="F","Female","Unknown"))</f>
        <v>Female</v>
      </c>
      <c r="F1796" s="13" t="str">
        <f aca="false">PROPER(TRIM(SUBSTITUTE(Raw_Data!F1796,"'","")))</f>
        <v>Bachelors</v>
      </c>
      <c r="G1796" s="13" t="str">
        <f aca="false">PROPER(TRIM(Raw_Data!G1796))</f>
        <v>Finance</v>
      </c>
      <c r="H1796" s="13" t="str">
        <f aca="false">PROPER(TRIM(Raw_Data!H1796))</f>
        <v>Specialist</v>
      </c>
      <c r="I1796" s="13" t="n">
        <f aca="false">IF(Raw_Data!I1796="",DefaultPerf,Raw_Data!I1796)</f>
        <v>5</v>
      </c>
      <c r="J1796" s="13" t="n">
        <f aca="false">IF(Raw_Data!J1796="",DefaultSat,Raw_Data!J1796)</f>
        <v>1</v>
      </c>
      <c r="K1796" s="15" t="n">
        <f aca="false">Raw_Data!K1796</f>
        <v>89000</v>
      </c>
      <c r="L1796" s="13" t="str">
        <f aca="false">PROPER(TRIM(Raw_Data!N1796))</f>
        <v>No</v>
      </c>
      <c r="M1796" s="13" t="n">
        <f aca="false">IF(C1796="",0,1)</f>
        <v>0</v>
      </c>
      <c r="N1796" s="13" t="str">
        <f aca="false">IF(M1796=0,"Active",IF(TRIM(Raw_Data!L1796)="","Unknown",PROPER(TRIM(Raw_Data!L1796))))</f>
        <v>Active</v>
      </c>
      <c r="O1796" s="13" t="str">
        <f aca="false">IF(M1796=0,"",IF(TRIM(Raw_Data!M1796)="","Not Recorded",TRIM(Raw_Data!M1796)))</f>
        <v/>
      </c>
      <c r="P1796" s="16" t="n">
        <f aca="false">ROUND((IF(C1796="",AsOfDate,C1796)-B1796)/365.25,2)</f>
        <v>1.27</v>
      </c>
      <c r="Q1796" s="13" t="str">
        <f aca="false">IF(D1796="","Unknown",IF(D1796&lt;25,"Under 25",IF(D1796&lt;35,"25-34",IF(D1796&lt;45,"35-44",IF(D1796&lt;55,"45-54","55+")))))</f>
        <v>25-34</v>
      </c>
      <c r="R1796" s="13" t="str">
        <f aca="false">IF(P1796&lt;1,"0-1 yrs",IF(P1796&lt;3,"1-3 yrs",IF(P1796&lt;5,"3-5 yrs",IF(P1796&lt;10,"5-10 yrs","10+ yrs"))))</f>
        <v>1-3 yrs</v>
      </c>
      <c r="S1796" s="13" t="str">
        <f aca="false">IF(I1796&gt;=4,"High",IF(I1796=3,"Medium","Low"))</f>
        <v>High</v>
      </c>
      <c r="T1796" s="13" t="str">
        <f aca="false">IF(M1796=1,YEAR(C1796),"")</f>
        <v/>
      </c>
      <c r="U1796" s="13" t="str">
        <f aca="false">IF(M1796=1,YEAR(C1796)&amp;"-Q"&amp;ROUNDUP(MONTH(C1796)/3,0),"")</f>
        <v/>
      </c>
      <c r="V1796" s="13" t="str">
        <f aca="false">IF(M1796=1,MONTH(C1796),"")</f>
        <v/>
      </c>
    </row>
    <row r="1797" customFormat="false" ht="15" hidden="false" customHeight="false" outlineLevel="0" collapsed="false">
      <c r="A1797" s="13" t="str">
        <f aca="false">TRIM(Raw_Data!A1797)</f>
        <v>EMP1796</v>
      </c>
      <c r="B1797" s="14" t="n">
        <f aca="false">Raw_Data!B1797</f>
        <v>45560</v>
      </c>
      <c r="C1797" s="14" t="n">
        <f aca="false">IF(Raw_Data!C1797="","",Raw_Data!C1797)</f>
        <v>45789</v>
      </c>
      <c r="D1797" s="13" t="n">
        <f aca="false">IF(Raw_Data!D1797="","",Raw_Data!D1797)</f>
        <v>30</v>
      </c>
      <c r="E1797" s="13" t="str">
        <f aca="false">IF(UPPER(LEFT(TRIM(Raw_Data!E1797),1))="M","Male",IF(UPPER(LEFT(TRIM(Raw_Data!E1797),1))="F","Female","Unknown"))</f>
        <v>Male</v>
      </c>
      <c r="F1797" s="13" t="str">
        <f aca="false">PROPER(TRIM(SUBSTITUTE(Raw_Data!F1797,"'","")))</f>
        <v>High School</v>
      </c>
      <c r="G1797" s="13" t="str">
        <f aca="false">PROPER(TRIM(Raw_Data!G1797))</f>
        <v>Sales</v>
      </c>
      <c r="H1797" s="13" t="str">
        <f aca="false">PROPER(TRIM(Raw_Data!H1797))</f>
        <v>Associate</v>
      </c>
      <c r="I1797" s="13" t="n">
        <f aca="false">IF(Raw_Data!I1797="",DefaultPerf,Raw_Data!I1797)</f>
        <v>3</v>
      </c>
      <c r="J1797" s="13" t="n">
        <f aca="false">IF(Raw_Data!J1797="",DefaultSat,Raw_Data!J1797)</f>
        <v>2</v>
      </c>
      <c r="K1797" s="15" t="n">
        <f aca="false">Raw_Data!K1797</f>
        <v>37000</v>
      </c>
      <c r="L1797" s="13" t="str">
        <f aca="false">PROPER(TRIM(Raw_Data!N1797))</f>
        <v>No</v>
      </c>
      <c r="M1797" s="13" t="n">
        <f aca="false">IF(C1797="",0,1)</f>
        <v>1</v>
      </c>
      <c r="N1797" s="13" t="str">
        <f aca="false">IF(M1797=0,"Active",IF(TRIM(Raw_Data!L1797)="","Unknown",PROPER(TRIM(Raw_Data!L1797))))</f>
        <v>Involuntary</v>
      </c>
      <c r="O1797" s="13" t="str">
        <f aca="false">IF(M1797=0,"",IF(TRIM(Raw_Data!M1797)="","Not Recorded",TRIM(Raw_Data!M1797)))</f>
        <v>Poor Performance</v>
      </c>
      <c r="P1797" s="16" t="n">
        <f aca="false">ROUND((IF(C1797="",AsOfDate,C1797)-B1797)/365.25,2)</f>
        <v>0.63</v>
      </c>
      <c r="Q1797" s="13" t="str">
        <f aca="false">IF(D1797="","Unknown",IF(D1797&lt;25,"Under 25",IF(D1797&lt;35,"25-34",IF(D1797&lt;45,"35-44",IF(D1797&lt;55,"45-54","55+")))))</f>
        <v>25-34</v>
      </c>
      <c r="R1797" s="13" t="str">
        <f aca="false">IF(P1797&lt;1,"0-1 yrs",IF(P1797&lt;3,"1-3 yrs",IF(P1797&lt;5,"3-5 yrs",IF(P1797&lt;10,"5-10 yrs","10+ yrs"))))</f>
        <v>0-1 yrs</v>
      </c>
      <c r="S1797" s="13" t="str">
        <f aca="false">IF(I1797&gt;=4,"High",IF(I1797=3,"Medium","Low"))</f>
        <v>Medium</v>
      </c>
      <c r="T1797" s="13" t="n">
        <f aca="false">IF(M1797=1,YEAR(C1797),"")</f>
        <v>2025</v>
      </c>
      <c r="U1797" s="13" t="str">
        <f aca="false">IF(M1797=1,YEAR(C1797)&amp;"-Q"&amp;ROUNDUP(MONTH(C1797)/3,0),"")</f>
        <v>2025-Q2</v>
      </c>
      <c r="V1797" s="13" t="n">
        <f aca="false">IF(M1797=1,MONTH(C1797),"")</f>
        <v>5</v>
      </c>
    </row>
    <row r="1798" customFormat="false" ht="15" hidden="false" customHeight="false" outlineLevel="0" collapsed="false">
      <c r="A1798" s="13" t="str">
        <f aca="false">TRIM(Raw_Data!A1798)</f>
        <v>EMP1797</v>
      </c>
      <c r="B1798" s="14" t="n">
        <f aca="false">Raw_Data!B1798</f>
        <v>45563</v>
      </c>
      <c r="C1798" s="14" t="str">
        <f aca="false">IF(Raw_Data!C1798="","",Raw_Data!C1798)</f>
        <v/>
      </c>
      <c r="D1798" s="13" t="n">
        <f aca="false">IF(Raw_Data!D1798="","",Raw_Data!D1798)</f>
        <v>33</v>
      </c>
      <c r="E1798" s="13" t="str">
        <f aca="false">IF(UPPER(LEFT(TRIM(Raw_Data!E1798),1))="M","Male",IF(UPPER(LEFT(TRIM(Raw_Data!E1798),1))="F","Female","Unknown"))</f>
        <v>Female</v>
      </c>
      <c r="F1798" s="13" t="str">
        <f aca="false">PROPER(TRIM(SUBSTITUTE(Raw_Data!F1798,"'","")))</f>
        <v>Bachelors</v>
      </c>
      <c r="G1798" s="13" t="str">
        <f aca="false">PROPER(TRIM(Raw_Data!G1798))</f>
        <v>Engineering</v>
      </c>
      <c r="H1798" s="13" t="str">
        <f aca="false">PROPER(TRIM(Raw_Data!H1798))</f>
        <v>Associate</v>
      </c>
      <c r="I1798" s="13" t="n">
        <f aca="false">IF(Raw_Data!I1798="",DefaultPerf,Raw_Data!I1798)</f>
        <v>3</v>
      </c>
      <c r="J1798" s="13" t="n">
        <f aca="false">IF(Raw_Data!J1798="",DefaultSat,Raw_Data!J1798)</f>
        <v>3</v>
      </c>
      <c r="K1798" s="15" t="n">
        <f aca="false">Raw_Data!K1798</f>
        <v>39000</v>
      </c>
      <c r="L1798" s="13" t="str">
        <f aca="false">PROPER(TRIM(Raw_Data!N1798))</f>
        <v>No</v>
      </c>
      <c r="M1798" s="13" t="n">
        <f aca="false">IF(C1798="",0,1)</f>
        <v>0</v>
      </c>
      <c r="N1798" s="13" t="str">
        <f aca="false">IF(M1798=0,"Active",IF(TRIM(Raw_Data!L1798)="","Unknown",PROPER(TRIM(Raw_Data!L1798))))</f>
        <v>Active</v>
      </c>
      <c r="O1798" s="13" t="str">
        <f aca="false">IF(M1798=0,"",IF(TRIM(Raw_Data!M1798)="","Not Recorded",TRIM(Raw_Data!M1798)))</f>
        <v/>
      </c>
      <c r="P1798" s="16" t="n">
        <f aca="false">ROUND((IF(C1798="",AsOfDate,C1798)-B1798)/365.25,2)</f>
        <v>1.26</v>
      </c>
      <c r="Q1798" s="13" t="str">
        <f aca="false">IF(D1798="","Unknown",IF(D1798&lt;25,"Under 25",IF(D1798&lt;35,"25-34",IF(D1798&lt;45,"35-44",IF(D1798&lt;55,"45-54","55+")))))</f>
        <v>25-34</v>
      </c>
      <c r="R1798" s="13" t="str">
        <f aca="false">IF(P1798&lt;1,"0-1 yrs",IF(P1798&lt;3,"1-3 yrs",IF(P1798&lt;5,"3-5 yrs",IF(P1798&lt;10,"5-10 yrs","10+ yrs"))))</f>
        <v>1-3 yrs</v>
      </c>
      <c r="S1798" s="13" t="str">
        <f aca="false">IF(I1798&gt;=4,"High",IF(I1798=3,"Medium","Low"))</f>
        <v>Medium</v>
      </c>
      <c r="T1798" s="13" t="str">
        <f aca="false">IF(M1798=1,YEAR(C1798),"")</f>
        <v/>
      </c>
      <c r="U1798" s="13" t="str">
        <f aca="false">IF(M1798=1,YEAR(C1798)&amp;"-Q"&amp;ROUNDUP(MONTH(C1798)/3,0),"")</f>
        <v/>
      </c>
      <c r="V1798" s="13" t="str">
        <f aca="false">IF(M1798=1,MONTH(C1798),"")</f>
        <v/>
      </c>
    </row>
    <row r="1799" customFormat="false" ht="15" hidden="false" customHeight="false" outlineLevel="0" collapsed="false">
      <c r="A1799" s="13" t="str">
        <f aca="false">TRIM(Raw_Data!A1799)</f>
        <v>EMP1798</v>
      </c>
      <c r="B1799" s="14" t="n">
        <f aca="false">Raw_Data!B1799</f>
        <v>45564</v>
      </c>
      <c r="C1799" s="14" t="str">
        <f aca="false">IF(Raw_Data!C1799="","",Raw_Data!C1799)</f>
        <v/>
      </c>
      <c r="D1799" s="13" t="n">
        <f aca="false">IF(Raw_Data!D1799="","",Raw_Data!D1799)</f>
        <v>30</v>
      </c>
      <c r="E1799" s="13" t="str">
        <f aca="false">IF(UPPER(LEFT(TRIM(Raw_Data!E1799),1))="M","Male",IF(UPPER(LEFT(TRIM(Raw_Data!E1799),1))="F","Female","Unknown"))</f>
        <v>Male</v>
      </c>
      <c r="F1799" s="13" t="str">
        <f aca="false">PROPER(TRIM(SUBSTITUTE(Raw_Data!F1799,"'","")))</f>
        <v>Bachelors</v>
      </c>
      <c r="G1799" s="13" t="str">
        <f aca="false">PROPER(TRIM(Raw_Data!G1799))</f>
        <v>Sales</v>
      </c>
      <c r="H1799" s="13" t="str">
        <f aca="false">PROPER(TRIM(Raw_Data!H1799))</f>
        <v>Associate</v>
      </c>
      <c r="I1799" s="13" t="n">
        <f aca="false">IF(Raw_Data!I1799="",DefaultPerf,Raw_Data!I1799)</f>
        <v>4</v>
      </c>
      <c r="J1799" s="13" t="n">
        <f aca="false">IF(Raw_Data!J1799="",DefaultSat,Raw_Data!J1799)</f>
        <v>2</v>
      </c>
      <c r="K1799" s="15" t="n">
        <f aca="false">Raw_Data!K1799</f>
        <v>38000</v>
      </c>
      <c r="L1799" s="13" t="str">
        <f aca="false">PROPER(TRIM(Raw_Data!N1799))</f>
        <v>No</v>
      </c>
      <c r="M1799" s="13" t="n">
        <f aca="false">IF(C1799="",0,1)</f>
        <v>0</v>
      </c>
      <c r="N1799" s="13" t="str">
        <f aca="false">IF(M1799=0,"Active",IF(TRIM(Raw_Data!L1799)="","Unknown",PROPER(TRIM(Raw_Data!L1799))))</f>
        <v>Active</v>
      </c>
      <c r="O1799" s="13" t="str">
        <f aca="false">IF(M1799=0,"",IF(TRIM(Raw_Data!M1799)="","Not Recorded",TRIM(Raw_Data!M1799)))</f>
        <v/>
      </c>
      <c r="P1799" s="16" t="n">
        <f aca="false">ROUND((IF(C1799="",AsOfDate,C1799)-B1799)/365.25,2)</f>
        <v>1.25</v>
      </c>
      <c r="Q1799" s="13" t="str">
        <f aca="false">IF(D1799="","Unknown",IF(D1799&lt;25,"Under 25",IF(D1799&lt;35,"25-34",IF(D1799&lt;45,"35-44",IF(D1799&lt;55,"45-54","55+")))))</f>
        <v>25-34</v>
      </c>
      <c r="R1799" s="13" t="str">
        <f aca="false">IF(P1799&lt;1,"0-1 yrs",IF(P1799&lt;3,"1-3 yrs",IF(P1799&lt;5,"3-5 yrs",IF(P1799&lt;10,"5-10 yrs","10+ yrs"))))</f>
        <v>1-3 yrs</v>
      </c>
      <c r="S1799" s="13" t="str">
        <f aca="false">IF(I1799&gt;=4,"High",IF(I1799=3,"Medium","Low"))</f>
        <v>High</v>
      </c>
      <c r="T1799" s="13" t="str">
        <f aca="false">IF(M1799=1,YEAR(C1799),"")</f>
        <v/>
      </c>
      <c r="U1799" s="13" t="str">
        <f aca="false">IF(M1799=1,YEAR(C1799)&amp;"-Q"&amp;ROUNDUP(MONTH(C1799)/3,0),"")</f>
        <v/>
      </c>
      <c r="V1799" s="13" t="str">
        <f aca="false">IF(M1799=1,MONTH(C1799),"")</f>
        <v/>
      </c>
    </row>
    <row r="1800" customFormat="false" ht="15" hidden="false" customHeight="false" outlineLevel="0" collapsed="false">
      <c r="A1800" s="13" t="str">
        <f aca="false">TRIM(Raw_Data!A1800)</f>
        <v>EMP1799</v>
      </c>
      <c r="B1800" s="14" t="n">
        <f aca="false">Raw_Data!B1800</f>
        <v>45564</v>
      </c>
      <c r="C1800" s="14" t="n">
        <f aca="false">IF(Raw_Data!C1800="","",Raw_Data!C1800)</f>
        <v>45844</v>
      </c>
      <c r="D1800" s="13" t="n">
        <f aca="false">IF(Raw_Data!D1800="","",Raw_Data!D1800)</f>
        <v>28</v>
      </c>
      <c r="E1800" s="13" t="str">
        <f aca="false">IF(UPPER(LEFT(TRIM(Raw_Data!E1800),1))="M","Male",IF(UPPER(LEFT(TRIM(Raw_Data!E1800),1))="F","Female","Unknown"))</f>
        <v>Male</v>
      </c>
      <c r="F1800" s="13" t="str">
        <f aca="false">PROPER(TRIM(SUBSTITUTE(Raw_Data!F1800,"'","")))</f>
        <v>Bachelors</v>
      </c>
      <c r="G1800" s="13" t="str">
        <f aca="false">PROPER(TRIM(Raw_Data!G1800))</f>
        <v>Sales</v>
      </c>
      <c r="H1800" s="13" t="str">
        <f aca="false">PROPER(TRIM(Raw_Data!H1800))</f>
        <v>Team Lead</v>
      </c>
      <c r="I1800" s="13" t="n">
        <f aca="false">IF(Raw_Data!I1800="",DefaultPerf,Raw_Data!I1800)</f>
        <v>3</v>
      </c>
      <c r="J1800" s="13" t="n">
        <f aca="false">IF(Raw_Data!J1800="",DefaultSat,Raw_Data!J1800)</f>
        <v>1</v>
      </c>
      <c r="K1800" s="15" t="n">
        <f aca="false">Raw_Data!K1800</f>
        <v>123000</v>
      </c>
      <c r="L1800" s="13" t="str">
        <f aca="false">PROPER(TRIM(Raw_Data!N1800))</f>
        <v>Yes</v>
      </c>
      <c r="M1800" s="13" t="n">
        <f aca="false">IF(C1800="",0,1)</f>
        <v>1</v>
      </c>
      <c r="N1800" s="13" t="str">
        <f aca="false">IF(M1800=0,"Active",IF(TRIM(Raw_Data!L1800)="","Unknown",PROPER(TRIM(Raw_Data!L1800))))</f>
        <v>Voluntary</v>
      </c>
      <c r="O1800" s="13" t="str">
        <f aca="false">IF(M1800=0,"",IF(TRIM(Raw_Data!M1800)="","Not Recorded",TRIM(Raw_Data!M1800)))</f>
        <v>Work-Life Balance</v>
      </c>
      <c r="P1800" s="16" t="n">
        <f aca="false">ROUND((IF(C1800="",AsOfDate,C1800)-B1800)/365.25,2)</f>
        <v>0.77</v>
      </c>
      <c r="Q1800" s="13" t="str">
        <f aca="false">IF(D1800="","Unknown",IF(D1800&lt;25,"Under 25",IF(D1800&lt;35,"25-34",IF(D1800&lt;45,"35-44",IF(D1800&lt;55,"45-54","55+")))))</f>
        <v>25-34</v>
      </c>
      <c r="R1800" s="13" t="str">
        <f aca="false">IF(P1800&lt;1,"0-1 yrs",IF(P1800&lt;3,"1-3 yrs",IF(P1800&lt;5,"3-5 yrs",IF(P1800&lt;10,"5-10 yrs","10+ yrs"))))</f>
        <v>0-1 yrs</v>
      </c>
      <c r="S1800" s="13" t="str">
        <f aca="false">IF(I1800&gt;=4,"High",IF(I1800=3,"Medium","Low"))</f>
        <v>Medium</v>
      </c>
      <c r="T1800" s="13" t="n">
        <f aca="false">IF(M1800=1,YEAR(C1800),"")</f>
        <v>2025</v>
      </c>
      <c r="U1800" s="13" t="str">
        <f aca="false">IF(M1800=1,YEAR(C1800)&amp;"-Q"&amp;ROUNDUP(MONTH(C1800)/3,0),"")</f>
        <v>2025-Q3</v>
      </c>
      <c r="V1800" s="13" t="n">
        <f aca="false">IF(M1800=1,MONTH(C1800),"")</f>
        <v>7</v>
      </c>
    </row>
    <row r="1801" customFormat="false" ht="15" hidden="false" customHeight="false" outlineLevel="0" collapsed="false">
      <c r="A1801" s="13" t="str">
        <f aca="false">TRIM(Raw_Data!A1801)</f>
        <v>EMP1800</v>
      </c>
      <c r="B1801" s="14" t="n">
        <f aca="false">Raw_Data!B1801</f>
        <v>45565</v>
      </c>
      <c r="C1801" s="14" t="str">
        <f aca="false">IF(Raw_Data!C1801="","",Raw_Data!C1801)</f>
        <v/>
      </c>
      <c r="D1801" s="13" t="n">
        <f aca="false">IF(Raw_Data!D1801="","",Raw_Data!D1801)</f>
        <v>30</v>
      </c>
      <c r="E1801" s="13" t="str">
        <f aca="false">IF(UPPER(LEFT(TRIM(Raw_Data!E1801),1))="M","Male",IF(UPPER(LEFT(TRIM(Raw_Data!E1801),1))="F","Female","Unknown"))</f>
        <v>Female</v>
      </c>
      <c r="F1801" s="13" t="str">
        <f aca="false">PROPER(TRIM(SUBSTITUTE(Raw_Data!F1801,"'","")))</f>
        <v>Bachelors</v>
      </c>
      <c r="G1801" s="13" t="str">
        <f aca="false">PROPER(TRIM(Raw_Data!G1801))</f>
        <v>Sales</v>
      </c>
      <c r="H1801" s="13" t="str">
        <f aca="false">PROPER(TRIM(Raw_Data!H1801))</f>
        <v>Specialist</v>
      </c>
      <c r="I1801" s="13" t="n">
        <f aca="false">IF(Raw_Data!I1801="",DefaultPerf,Raw_Data!I1801)</f>
        <v>4</v>
      </c>
      <c r="J1801" s="13" t="n">
        <f aca="false">IF(Raw_Data!J1801="",DefaultSat,Raw_Data!J1801)</f>
        <v>3</v>
      </c>
      <c r="K1801" s="15" t="n">
        <f aca="false">Raw_Data!K1801</f>
        <v>108500</v>
      </c>
      <c r="L1801" s="13" t="str">
        <f aca="false">PROPER(TRIM(Raw_Data!N1801))</f>
        <v>Yes</v>
      </c>
      <c r="M1801" s="13" t="n">
        <f aca="false">IF(C1801="",0,1)</f>
        <v>0</v>
      </c>
      <c r="N1801" s="13" t="str">
        <f aca="false">IF(M1801=0,"Active",IF(TRIM(Raw_Data!L1801)="","Unknown",PROPER(TRIM(Raw_Data!L1801))))</f>
        <v>Active</v>
      </c>
      <c r="O1801" s="13" t="str">
        <f aca="false">IF(M1801=0,"",IF(TRIM(Raw_Data!M1801)="","Not Recorded",TRIM(Raw_Data!M1801)))</f>
        <v/>
      </c>
      <c r="P1801" s="16" t="n">
        <f aca="false">ROUND((IF(C1801="",AsOfDate,C1801)-B1801)/365.25,2)</f>
        <v>1.25</v>
      </c>
      <c r="Q1801" s="13" t="str">
        <f aca="false">IF(D1801="","Unknown",IF(D1801&lt;25,"Under 25",IF(D1801&lt;35,"25-34",IF(D1801&lt;45,"35-44",IF(D1801&lt;55,"45-54","55+")))))</f>
        <v>25-34</v>
      </c>
      <c r="R1801" s="13" t="str">
        <f aca="false">IF(P1801&lt;1,"0-1 yrs",IF(P1801&lt;3,"1-3 yrs",IF(P1801&lt;5,"3-5 yrs",IF(P1801&lt;10,"5-10 yrs","10+ yrs"))))</f>
        <v>1-3 yrs</v>
      </c>
      <c r="S1801" s="13" t="str">
        <f aca="false">IF(I1801&gt;=4,"High",IF(I1801=3,"Medium","Low"))</f>
        <v>High</v>
      </c>
      <c r="T1801" s="13" t="str">
        <f aca="false">IF(M1801=1,YEAR(C1801),"")</f>
        <v/>
      </c>
      <c r="U1801" s="13" t="str">
        <f aca="false">IF(M1801=1,YEAR(C1801)&amp;"-Q"&amp;ROUNDUP(MONTH(C1801)/3,0),"")</f>
        <v/>
      </c>
      <c r="V1801" s="13" t="str">
        <f aca="false">IF(M1801=1,MONTH(C1801),"")</f>
        <v/>
      </c>
    </row>
    <row r="1802" customFormat="false" ht="15" hidden="false" customHeight="false" outlineLevel="0" collapsed="false">
      <c r="A1802" s="13" t="str">
        <f aca="false">TRIM(Raw_Data!A1802)</f>
        <v>EMP1801</v>
      </c>
      <c r="B1802" s="14" t="n">
        <f aca="false">Raw_Data!B1802</f>
        <v>45569</v>
      </c>
      <c r="C1802" s="14" t="str">
        <f aca="false">IF(Raw_Data!C1802="","",Raw_Data!C1802)</f>
        <v/>
      </c>
      <c r="D1802" s="13" t="n">
        <f aca="false">IF(Raw_Data!D1802="","",Raw_Data!D1802)</f>
        <v>31</v>
      </c>
      <c r="E1802" s="13" t="str">
        <f aca="false">IF(UPPER(LEFT(TRIM(Raw_Data!E1802),1))="M","Male",IF(UPPER(LEFT(TRIM(Raw_Data!E1802),1))="F","Female","Unknown"))</f>
        <v>Female</v>
      </c>
      <c r="F1802" s="13" t="str">
        <f aca="false">PROPER(TRIM(SUBSTITUTE(Raw_Data!F1802,"'","")))</f>
        <v>Bachelors</v>
      </c>
      <c r="G1802" s="13" t="str">
        <f aca="false">PROPER(TRIM(Raw_Data!G1802))</f>
        <v>Customer Support</v>
      </c>
      <c r="H1802" s="13" t="str">
        <f aca="false">PROPER(TRIM(Raw_Data!H1802))</f>
        <v>Senior Analyst</v>
      </c>
      <c r="I1802" s="13" t="n">
        <f aca="false">IF(Raw_Data!I1802="",DefaultPerf,Raw_Data!I1802)</f>
        <v>3</v>
      </c>
      <c r="J1802" s="13" t="n">
        <f aca="false">IF(Raw_Data!J1802="",DefaultSat,Raw_Data!J1802)</f>
        <v>3</v>
      </c>
      <c r="K1802" s="15" t="n">
        <f aca="false">Raw_Data!K1802</f>
        <v>88500</v>
      </c>
      <c r="L1802" s="13" t="str">
        <f aca="false">PROPER(TRIM(Raw_Data!N1802))</f>
        <v>Yes</v>
      </c>
      <c r="M1802" s="13" t="n">
        <f aca="false">IF(C1802="",0,1)</f>
        <v>0</v>
      </c>
      <c r="N1802" s="13" t="str">
        <f aca="false">IF(M1802=0,"Active",IF(TRIM(Raw_Data!L1802)="","Unknown",PROPER(TRIM(Raw_Data!L1802))))</f>
        <v>Active</v>
      </c>
      <c r="O1802" s="13" t="str">
        <f aca="false">IF(M1802=0,"",IF(TRIM(Raw_Data!M1802)="","Not Recorded",TRIM(Raw_Data!M1802)))</f>
        <v/>
      </c>
      <c r="P1802" s="16" t="n">
        <f aca="false">ROUND((IF(C1802="",AsOfDate,C1802)-B1802)/365.25,2)</f>
        <v>1.24</v>
      </c>
      <c r="Q1802" s="13" t="str">
        <f aca="false">IF(D1802="","Unknown",IF(D1802&lt;25,"Under 25",IF(D1802&lt;35,"25-34",IF(D1802&lt;45,"35-44",IF(D1802&lt;55,"45-54","55+")))))</f>
        <v>25-34</v>
      </c>
      <c r="R1802" s="13" t="str">
        <f aca="false">IF(P1802&lt;1,"0-1 yrs",IF(P1802&lt;3,"1-3 yrs",IF(P1802&lt;5,"3-5 yrs",IF(P1802&lt;10,"5-10 yrs","10+ yrs"))))</f>
        <v>1-3 yrs</v>
      </c>
      <c r="S1802" s="13" t="str">
        <f aca="false">IF(I1802&gt;=4,"High",IF(I1802=3,"Medium","Low"))</f>
        <v>Medium</v>
      </c>
      <c r="T1802" s="13" t="str">
        <f aca="false">IF(M1802=1,YEAR(C1802),"")</f>
        <v/>
      </c>
      <c r="U1802" s="13" t="str">
        <f aca="false">IF(M1802=1,YEAR(C1802)&amp;"-Q"&amp;ROUNDUP(MONTH(C1802)/3,0),"")</f>
        <v/>
      </c>
      <c r="V1802" s="13" t="str">
        <f aca="false">IF(M1802=1,MONTH(C1802),"")</f>
        <v/>
      </c>
    </row>
    <row r="1803" customFormat="false" ht="15" hidden="false" customHeight="false" outlineLevel="0" collapsed="false">
      <c r="A1803" s="13" t="str">
        <f aca="false">TRIM(Raw_Data!A1803)</f>
        <v>EMP1802</v>
      </c>
      <c r="B1803" s="14" t="n">
        <f aca="false">Raw_Data!B1803</f>
        <v>45569</v>
      </c>
      <c r="C1803" s="14" t="str">
        <f aca="false">IF(Raw_Data!C1803="","",Raw_Data!C1803)</f>
        <v/>
      </c>
      <c r="D1803" s="13" t="n">
        <f aca="false">IF(Raw_Data!D1803="","",Raw_Data!D1803)</f>
        <v>31</v>
      </c>
      <c r="E1803" s="13" t="str">
        <f aca="false">IF(UPPER(LEFT(TRIM(Raw_Data!E1803),1))="M","Male",IF(UPPER(LEFT(TRIM(Raw_Data!E1803),1))="F","Female","Unknown"))</f>
        <v>Male</v>
      </c>
      <c r="F1803" s="13" t="str">
        <f aca="false">PROPER(TRIM(SUBSTITUTE(Raw_Data!F1803,"'","")))</f>
        <v>Masters</v>
      </c>
      <c r="G1803" s="13" t="str">
        <f aca="false">PROPER(TRIM(Raw_Data!G1803))</f>
        <v>Engineering</v>
      </c>
      <c r="H1803" s="13" t="str">
        <f aca="false">PROPER(TRIM(Raw_Data!H1803))</f>
        <v>Team Lead</v>
      </c>
      <c r="I1803" s="13" t="n">
        <f aca="false">IF(Raw_Data!I1803="",DefaultPerf,Raw_Data!I1803)</f>
        <v>1</v>
      </c>
      <c r="J1803" s="13" t="n">
        <f aca="false">IF(Raw_Data!J1803="",DefaultSat,Raw_Data!J1803)</f>
        <v>4</v>
      </c>
      <c r="K1803" s="15" t="n">
        <f aca="false">Raw_Data!K1803</f>
        <v>128000</v>
      </c>
      <c r="L1803" s="13" t="str">
        <f aca="false">PROPER(TRIM(Raw_Data!N1803))</f>
        <v>No</v>
      </c>
      <c r="M1803" s="13" t="n">
        <f aca="false">IF(C1803="",0,1)</f>
        <v>0</v>
      </c>
      <c r="N1803" s="13" t="str">
        <f aca="false">IF(M1803=0,"Active",IF(TRIM(Raw_Data!L1803)="","Unknown",PROPER(TRIM(Raw_Data!L1803))))</f>
        <v>Active</v>
      </c>
      <c r="O1803" s="13" t="str">
        <f aca="false">IF(M1803=0,"",IF(TRIM(Raw_Data!M1803)="","Not Recorded",TRIM(Raw_Data!M1803)))</f>
        <v/>
      </c>
      <c r="P1803" s="16" t="n">
        <f aca="false">ROUND((IF(C1803="",AsOfDate,C1803)-B1803)/365.25,2)</f>
        <v>1.24</v>
      </c>
      <c r="Q1803" s="13" t="str">
        <f aca="false">IF(D1803="","Unknown",IF(D1803&lt;25,"Under 25",IF(D1803&lt;35,"25-34",IF(D1803&lt;45,"35-44",IF(D1803&lt;55,"45-54","55+")))))</f>
        <v>25-34</v>
      </c>
      <c r="R1803" s="13" t="str">
        <f aca="false">IF(P1803&lt;1,"0-1 yrs",IF(P1803&lt;3,"1-3 yrs",IF(P1803&lt;5,"3-5 yrs",IF(P1803&lt;10,"5-10 yrs","10+ yrs"))))</f>
        <v>1-3 yrs</v>
      </c>
      <c r="S1803" s="13" t="str">
        <f aca="false">IF(I1803&gt;=4,"High",IF(I1803=3,"Medium","Low"))</f>
        <v>Low</v>
      </c>
      <c r="T1803" s="13" t="str">
        <f aca="false">IF(M1803=1,YEAR(C1803),"")</f>
        <v/>
      </c>
      <c r="U1803" s="13" t="str">
        <f aca="false">IF(M1803=1,YEAR(C1803)&amp;"-Q"&amp;ROUNDUP(MONTH(C1803)/3,0),"")</f>
        <v/>
      </c>
      <c r="V1803" s="13" t="str">
        <f aca="false">IF(M1803=1,MONTH(C1803),"")</f>
        <v/>
      </c>
    </row>
    <row r="1804" customFormat="false" ht="15" hidden="false" customHeight="false" outlineLevel="0" collapsed="false">
      <c r="A1804" s="13" t="str">
        <f aca="false">TRIM(Raw_Data!A1804)</f>
        <v>EMP1803</v>
      </c>
      <c r="B1804" s="14" t="n">
        <f aca="false">Raw_Data!B1804</f>
        <v>45578</v>
      </c>
      <c r="C1804" s="14" t="str">
        <f aca="false">IF(Raw_Data!C1804="","",Raw_Data!C1804)</f>
        <v/>
      </c>
      <c r="D1804" s="13" t="n">
        <f aca="false">IF(Raw_Data!D1804="","",Raw_Data!D1804)</f>
        <v>24</v>
      </c>
      <c r="E1804" s="13" t="str">
        <f aca="false">IF(UPPER(LEFT(TRIM(Raw_Data!E1804),1))="M","Male",IF(UPPER(LEFT(TRIM(Raw_Data!E1804),1))="F","Female","Unknown"))</f>
        <v>Male</v>
      </c>
      <c r="F1804" s="13" t="str">
        <f aca="false">PROPER(TRIM(SUBSTITUTE(Raw_Data!F1804,"'","")))</f>
        <v>Diploma</v>
      </c>
      <c r="G1804" s="13" t="str">
        <f aca="false">PROPER(TRIM(Raw_Data!G1804))</f>
        <v>Sales</v>
      </c>
      <c r="H1804" s="13" t="str">
        <f aca="false">PROPER(TRIM(Raw_Data!H1804))</f>
        <v>Specialist</v>
      </c>
      <c r="I1804" s="13" t="n">
        <f aca="false">IF(Raw_Data!I1804="",DefaultPerf,Raw_Data!I1804)</f>
        <v>3</v>
      </c>
      <c r="J1804" s="13" t="n">
        <f aca="false">IF(Raw_Data!J1804="",DefaultSat,Raw_Data!J1804)</f>
        <v>2</v>
      </c>
      <c r="K1804" s="15" t="n">
        <f aca="false">Raw_Data!K1804</f>
        <v>119000</v>
      </c>
      <c r="L1804" s="13" t="str">
        <f aca="false">PROPER(TRIM(Raw_Data!N1804))</f>
        <v>No</v>
      </c>
      <c r="M1804" s="13" t="n">
        <f aca="false">IF(C1804="",0,1)</f>
        <v>0</v>
      </c>
      <c r="N1804" s="13" t="str">
        <f aca="false">IF(M1804=0,"Active",IF(TRIM(Raw_Data!L1804)="","Unknown",PROPER(TRIM(Raw_Data!L1804))))</f>
        <v>Active</v>
      </c>
      <c r="O1804" s="13" t="str">
        <f aca="false">IF(M1804=0,"",IF(TRIM(Raw_Data!M1804)="","Not Recorded",TRIM(Raw_Data!M1804)))</f>
        <v/>
      </c>
      <c r="P1804" s="16" t="n">
        <f aca="false">ROUND((IF(C1804="",AsOfDate,C1804)-B1804)/365.25,2)</f>
        <v>1.22</v>
      </c>
      <c r="Q1804" s="13" t="str">
        <f aca="false">IF(D1804="","Unknown",IF(D1804&lt;25,"Under 25",IF(D1804&lt;35,"25-34",IF(D1804&lt;45,"35-44",IF(D1804&lt;55,"45-54","55+")))))</f>
        <v>Under 25</v>
      </c>
      <c r="R1804" s="13" t="str">
        <f aca="false">IF(P1804&lt;1,"0-1 yrs",IF(P1804&lt;3,"1-3 yrs",IF(P1804&lt;5,"3-5 yrs",IF(P1804&lt;10,"5-10 yrs","10+ yrs"))))</f>
        <v>1-3 yrs</v>
      </c>
      <c r="S1804" s="13" t="str">
        <f aca="false">IF(I1804&gt;=4,"High",IF(I1804=3,"Medium","Low"))</f>
        <v>Medium</v>
      </c>
      <c r="T1804" s="13" t="str">
        <f aca="false">IF(M1804=1,YEAR(C1804),"")</f>
        <v/>
      </c>
      <c r="U1804" s="13" t="str">
        <f aca="false">IF(M1804=1,YEAR(C1804)&amp;"-Q"&amp;ROUNDUP(MONTH(C1804)/3,0),"")</f>
        <v/>
      </c>
      <c r="V1804" s="13" t="str">
        <f aca="false">IF(M1804=1,MONTH(C1804),"")</f>
        <v/>
      </c>
    </row>
    <row r="1805" customFormat="false" ht="15" hidden="false" customHeight="false" outlineLevel="0" collapsed="false">
      <c r="A1805" s="13" t="str">
        <f aca="false">TRIM(Raw_Data!A1805)</f>
        <v>EMP1804</v>
      </c>
      <c r="B1805" s="14" t="n">
        <f aca="false">Raw_Data!B1805</f>
        <v>45580</v>
      </c>
      <c r="C1805" s="14" t="str">
        <f aca="false">IF(Raw_Data!C1805="","",Raw_Data!C1805)</f>
        <v/>
      </c>
      <c r="D1805" s="13" t="n">
        <f aca="false">IF(Raw_Data!D1805="","",Raw_Data!D1805)</f>
        <v>33</v>
      </c>
      <c r="E1805" s="13" t="str">
        <f aca="false">IF(UPPER(LEFT(TRIM(Raw_Data!E1805),1))="M","Male",IF(UPPER(LEFT(TRIM(Raw_Data!E1805),1))="F","Female","Unknown"))</f>
        <v>Male</v>
      </c>
      <c r="F1805" s="13" t="str">
        <f aca="false">PROPER(TRIM(SUBSTITUTE(Raw_Data!F1805,"'","")))</f>
        <v>Diploma</v>
      </c>
      <c r="G1805" s="13" t="str">
        <f aca="false">PROPER(TRIM(Raw_Data!G1805))</f>
        <v>Engineering</v>
      </c>
      <c r="H1805" s="13" t="str">
        <f aca="false">PROPER(TRIM(Raw_Data!H1805))</f>
        <v>Associate</v>
      </c>
      <c r="I1805" s="13" t="n">
        <f aca="false">IF(Raw_Data!I1805="",DefaultPerf,Raw_Data!I1805)</f>
        <v>3</v>
      </c>
      <c r="J1805" s="13" t="n">
        <f aca="false">IF(Raw_Data!J1805="",DefaultSat,Raw_Data!J1805)</f>
        <v>2</v>
      </c>
      <c r="K1805" s="15" t="n">
        <f aca="false">Raw_Data!K1805</f>
        <v>45500</v>
      </c>
      <c r="L1805" s="13" t="str">
        <f aca="false">PROPER(TRIM(Raw_Data!N1805))</f>
        <v>No</v>
      </c>
      <c r="M1805" s="13" t="n">
        <f aca="false">IF(C1805="",0,1)</f>
        <v>0</v>
      </c>
      <c r="N1805" s="13" t="str">
        <f aca="false">IF(M1805=0,"Active",IF(TRIM(Raw_Data!L1805)="","Unknown",PROPER(TRIM(Raw_Data!L1805))))</f>
        <v>Active</v>
      </c>
      <c r="O1805" s="13" t="str">
        <f aca="false">IF(M1805=0,"",IF(TRIM(Raw_Data!M1805)="","Not Recorded",TRIM(Raw_Data!M1805)))</f>
        <v/>
      </c>
      <c r="P1805" s="16" t="n">
        <f aca="false">ROUND((IF(C1805="",AsOfDate,C1805)-B1805)/365.25,2)</f>
        <v>1.21</v>
      </c>
      <c r="Q1805" s="13" t="str">
        <f aca="false">IF(D1805="","Unknown",IF(D1805&lt;25,"Under 25",IF(D1805&lt;35,"25-34",IF(D1805&lt;45,"35-44",IF(D1805&lt;55,"45-54","55+")))))</f>
        <v>25-34</v>
      </c>
      <c r="R1805" s="13" t="str">
        <f aca="false">IF(P1805&lt;1,"0-1 yrs",IF(P1805&lt;3,"1-3 yrs",IF(P1805&lt;5,"3-5 yrs",IF(P1805&lt;10,"5-10 yrs","10+ yrs"))))</f>
        <v>1-3 yrs</v>
      </c>
      <c r="S1805" s="13" t="str">
        <f aca="false">IF(I1805&gt;=4,"High",IF(I1805=3,"Medium","Low"))</f>
        <v>Medium</v>
      </c>
      <c r="T1805" s="13" t="str">
        <f aca="false">IF(M1805=1,YEAR(C1805),"")</f>
        <v/>
      </c>
      <c r="U1805" s="13" t="str">
        <f aca="false">IF(M1805=1,YEAR(C1805)&amp;"-Q"&amp;ROUNDUP(MONTH(C1805)/3,0),"")</f>
        <v/>
      </c>
      <c r="V1805" s="13" t="str">
        <f aca="false">IF(M1805=1,MONTH(C1805),"")</f>
        <v/>
      </c>
    </row>
    <row r="1806" customFormat="false" ht="15" hidden="false" customHeight="false" outlineLevel="0" collapsed="false">
      <c r="A1806" s="13" t="str">
        <f aca="false">TRIM(Raw_Data!A1806)</f>
        <v>EMP1805</v>
      </c>
      <c r="B1806" s="14" t="n">
        <f aca="false">Raw_Data!B1806</f>
        <v>45582</v>
      </c>
      <c r="C1806" s="14" t="n">
        <f aca="false">IF(Raw_Data!C1806="","",Raw_Data!C1806)</f>
        <v>45824</v>
      </c>
      <c r="D1806" s="13" t="n">
        <f aca="false">IF(Raw_Data!D1806="","",Raw_Data!D1806)</f>
        <v>28</v>
      </c>
      <c r="E1806" s="13" t="str">
        <f aca="false">IF(UPPER(LEFT(TRIM(Raw_Data!E1806),1))="M","Male",IF(UPPER(LEFT(TRIM(Raw_Data!E1806),1))="F","Female","Unknown"))</f>
        <v>Male</v>
      </c>
      <c r="F1806" s="13" t="str">
        <f aca="false">PROPER(TRIM(SUBSTITUTE(Raw_Data!F1806,"'","")))</f>
        <v>Masters</v>
      </c>
      <c r="G1806" s="13" t="str">
        <f aca="false">PROPER(TRIM(Raw_Data!G1806))</f>
        <v>Operations</v>
      </c>
      <c r="H1806" s="13" t="str">
        <f aca="false">PROPER(TRIM(Raw_Data!H1806))</f>
        <v>Associate</v>
      </c>
      <c r="I1806" s="13" t="n">
        <f aca="false">IF(Raw_Data!I1806="",DefaultPerf,Raw_Data!I1806)</f>
        <v>2</v>
      </c>
      <c r="J1806" s="13" t="n">
        <f aca="false">IF(Raw_Data!J1806="",DefaultSat,Raw_Data!J1806)</f>
        <v>3</v>
      </c>
      <c r="K1806" s="15" t="n">
        <f aca="false">Raw_Data!K1806</f>
        <v>39000</v>
      </c>
      <c r="L1806" s="13" t="str">
        <f aca="false">PROPER(TRIM(Raw_Data!N1806))</f>
        <v>Yes</v>
      </c>
      <c r="M1806" s="13" t="n">
        <f aca="false">IF(C1806="",0,1)</f>
        <v>1</v>
      </c>
      <c r="N1806" s="13" t="str">
        <f aca="false">IF(M1806=0,"Active",IF(TRIM(Raw_Data!L1806)="","Unknown",PROPER(TRIM(Raw_Data!L1806))))</f>
        <v>Involuntary</v>
      </c>
      <c r="O1806" s="13" t="str">
        <f aca="false">IF(M1806=0,"",IF(TRIM(Raw_Data!M1806)="","Not Recorded",TRIM(Raw_Data!M1806)))</f>
        <v>Restructuring / Layoff</v>
      </c>
      <c r="P1806" s="16" t="n">
        <f aca="false">ROUND((IF(C1806="",AsOfDate,C1806)-B1806)/365.25,2)</f>
        <v>0.66</v>
      </c>
      <c r="Q1806" s="13" t="str">
        <f aca="false">IF(D1806="","Unknown",IF(D1806&lt;25,"Under 25",IF(D1806&lt;35,"25-34",IF(D1806&lt;45,"35-44",IF(D1806&lt;55,"45-54","55+")))))</f>
        <v>25-34</v>
      </c>
      <c r="R1806" s="13" t="str">
        <f aca="false">IF(P1806&lt;1,"0-1 yrs",IF(P1806&lt;3,"1-3 yrs",IF(P1806&lt;5,"3-5 yrs",IF(P1806&lt;10,"5-10 yrs","10+ yrs"))))</f>
        <v>0-1 yrs</v>
      </c>
      <c r="S1806" s="13" t="str">
        <f aca="false">IF(I1806&gt;=4,"High",IF(I1806=3,"Medium","Low"))</f>
        <v>Low</v>
      </c>
      <c r="T1806" s="13" t="n">
        <f aca="false">IF(M1806=1,YEAR(C1806),"")</f>
        <v>2025</v>
      </c>
      <c r="U1806" s="13" t="str">
        <f aca="false">IF(M1806=1,YEAR(C1806)&amp;"-Q"&amp;ROUNDUP(MONTH(C1806)/3,0),"")</f>
        <v>2025-Q2</v>
      </c>
      <c r="V1806" s="13" t="n">
        <f aca="false">IF(M1806=1,MONTH(C1806),"")</f>
        <v>6</v>
      </c>
    </row>
    <row r="1807" customFormat="false" ht="15" hidden="false" customHeight="false" outlineLevel="0" collapsed="false">
      <c r="A1807" s="13" t="str">
        <f aca="false">TRIM(Raw_Data!A1807)</f>
        <v>EMP1806</v>
      </c>
      <c r="B1807" s="14" t="n">
        <f aca="false">Raw_Data!B1807</f>
        <v>45583</v>
      </c>
      <c r="C1807" s="14" t="n">
        <f aca="false">IF(Raw_Data!C1807="","",Raw_Data!C1807)</f>
        <v>46014</v>
      </c>
      <c r="D1807" s="13" t="n">
        <f aca="false">IF(Raw_Data!D1807="","",Raw_Data!D1807)</f>
        <v>34</v>
      </c>
      <c r="E1807" s="13" t="str">
        <f aca="false">IF(UPPER(LEFT(TRIM(Raw_Data!E1807),1))="M","Male",IF(UPPER(LEFT(TRIM(Raw_Data!E1807),1))="F","Female","Unknown"))</f>
        <v>Female</v>
      </c>
      <c r="F1807" s="13" t="str">
        <f aca="false">PROPER(TRIM(SUBSTITUTE(Raw_Data!F1807,"'","")))</f>
        <v>Bachelors</v>
      </c>
      <c r="G1807" s="13" t="str">
        <f aca="false">PROPER(TRIM(Raw_Data!G1807))</f>
        <v>Sales</v>
      </c>
      <c r="H1807" s="13" t="str">
        <f aca="false">PROPER(TRIM(Raw_Data!H1807))</f>
        <v>Associate</v>
      </c>
      <c r="I1807" s="13" t="n">
        <f aca="false">IF(Raw_Data!I1807="",DefaultPerf,Raw_Data!I1807)</f>
        <v>4</v>
      </c>
      <c r="J1807" s="13" t="n">
        <f aca="false">IF(Raw_Data!J1807="",DefaultSat,Raw_Data!J1807)</f>
        <v>4</v>
      </c>
      <c r="K1807" s="15" t="n">
        <f aca="false">Raw_Data!K1807</f>
        <v>38500</v>
      </c>
      <c r="L1807" s="13" t="str">
        <f aca="false">PROPER(TRIM(Raw_Data!N1807))</f>
        <v>No</v>
      </c>
      <c r="M1807" s="13" t="n">
        <f aca="false">IF(C1807="",0,1)</f>
        <v>1</v>
      </c>
      <c r="N1807" s="13" t="str">
        <f aca="false">IF(M1807=0,"Active",IF(TRIM(Raw_Data!L1807)="","Unknown",PROPER(TRIM(Raw_Data!L1807))))</f>
        <v>Voluntary</v>
      </c>
      <c r="O1807" s="13" t="str">
        <f aca="false">IF(M1807=0,"",IF(TRIM(Raw_Data!M1807)="","Not Recorded",TRIM(Raw_Data!M1807)))</f>
        <v>Not Recorded</v>
      </c>
      <c r="P1807" s="16" t="n">
        <f aca="false">ROUND((IF(C1807="",AsOfDate,C1807)-B1807)/365.25,2)</f>
        <v>1.18</v>
      </c>
      <c r="Q1807" s="13" t="str">
        <f aca="false">IF(D1807="","Unknown",IF(D1807&lt;25,"Under 25",IF(D1807&lt;35,"25-34",IF(D1807&lt;45,"35-44",IF(D1807&lt;55,"45-54","55+")))))</f>
        <v>25-34</v>
      </c>
      <c r="R1807" s="13" t="str">
        <f aca="false">IF(P1807&lt;1,"0-1 yrs",IF(P1807&lt;3,"1-3 yrs",IF(P1807&lt;5,"3-5 yrs",IF(P1807&lt;10,"5-10 yrs","10+ yrs"))))</f>
        <v>1-3 yrs</v>
      </c>
      <c r="S1807" s="13" t="str">
        <f aca="false">IF(I1807&gt;=4,"High",IF(I1807=3,"Medium","Low"))</f>
        <v>High</v>
      </c>
      <c r="T1807" s="13" t="n">
        <f aca="false">IF(M1807=1,YEAR(C1807),"")</f>
        <v>2025</v>
      </c>
      <c r="U1807" s="13" t="str">
        <f aca="false">IF(M1807=1,YEAR(C1807)&amp;"-Q"&amp;ROUNDUP(MONTH(C1807)/3,0),"")</f>
        <v>2025-Q4</v>
      </c>
      <c r="V1807" s="13" t="n">
        <f aca="false">IF(M1807=1,MONTH(C1807),"")</f>
        <v>12</v>
      </c>
    </row>
    <row r="1808" customFormat="false" ht="15" hidden="false" customHeight="false" outlineLevel="0" collapsed="false">
      <c r="A1808" s="13" t="str">
        <f aca="false">TRIM(Raw_Data!A1808)</f>
        <v>EMP1807</v>
      </c>
      <c r="B1808" s="14" t="n">
        <f aca="false">Raw_Data!B1808</f>
        <v>45584</v>
      </c>
      <c r="C1808" s="14" t="str">
        <f aca="false">IF(Raw_Data!C1808="","",Raw_Data!C1808)</f>
        <v/>
      </c>
      <c r="D1808" s="13" t="n">
        <f aca="false">IF(Raw_Data!D1808="","",Raw_Data!D1808)</f>
        <v>32</v>
      </c>
      <c r="E1808" s="13" t="str">
        <f aca="false">IF(UPPER(LEFT(TRIM(Raw_Data!E1808),1))="M","Male",IF(UPPER(LEFT(TRIM(Raw_Data!E1808),1))="F","Female","Unknown"))</f>
        <v>Male</v>
      </c>
      <c r="F1808" s="13" t="str">
        <f aca="false">PROPER(TRIM(SUBSTITUTE(Raw_Data!F1808,"'","")))</f>
        <v>Bachelors</v>
      </c>
      <c r="G1808" s="13" t="str">
        <f aca="false">PROPER(TRIM(Raw_Data!G1808))</f>
        <v>Sales</v>
      </c>
      <c r="H1808" s="13" t="str">
        <f aca="false">PROPER(TRIM(Raw_Data!H1808))</f>
        <v>Associate</v>
      </c>
      <c r="I1808" s="13" t="n">
        <f aca="false">IF(Raw_Data!I1808="",DefaultPerf,Raw_Data!I1808)</f>
        <v>3</v>
      </c>
      <c r="J1808" s="13" t="n">
        <f aca="false">IF(Raw_Data!J1808="",DefaultSat,Raw_Data!J1808)</f>
        <v>2</v>
      </c>
      <c r="K1808" s="15" t="n">
        <f aca="false">Raw_Data!K1808</f>
        <v>36000</v>
      </c>
      <c r="L1808" s="13" t="str">
        <f aca="false">PROPER(TRIM(Raw_Data!N1808))</f>
        <v>No</v>
      </c>
      <c r="M1808" s="13" t="n">
        <f aca="false">IF(C1808="",0,1)</f>
        <v>0</v>
      </c>
      <c r="N1808" s="13" t="str">
        <f aca="false">IF(M1808=0,"Active",IF(TRIM(Raw_Data!L1808)="","Unknown",PROPER(TRIM(Raw_Data!L1808))))</f>
        <v>Active</v>
      </c>
      <c r="O1808" s="13" t="str">
        <f aca="false">IF(M1808=0,"",IF(TRIM(Raw_Data!M1808)="","Not Recorded",TRIM(Raw_Data!M1808)))</f>
        <v/>
      </c>
      <c r="P1808" s="16" t="n">
        <f aca="false">ROUND((IF(C1808="",AsOfDate,C1808)-B1808)/365.25,2)</f>
        <v>1.2</v>
      </c>
      <c r="Q1808" s="13" t="str">
        <f aca="false">IF(D1808="","Unknown",IF(D1808&lt;25,"Under 25",IF(D1808&lt;35,"25-34",IF(D1808&lt;45,"35-44",IF(D1808&lt;55,"45-54","55+")))))</f>
        <v>25-34</v>
      </c>
      <c r="R1808" s="13" t="str">
        <f aca="false">IF(P1808&lt;1,"0-1 yrs",IF(P1808&lt;3,"1-3 yrs",IF(P1808&lt;5,"3-5 yrs",IF(P1808&lt;10,"5-10 yrs","10+ yrs"))))</f>
        <v>1-3 yrs</v>
      </c>
      <c r="S1808" s="13" t="str">
        <f aca="false">IF(I1808&gt;=4,"High",IF(I1808=3,"Medium","Low"))</f>
        <v>Medium</v>
      </c>
      <c r="T1808" s="13" t="str">
        <f aca="false">IF(M1808=1,YEAR(C1808),"")</f>
        <v/>
      </c>
      <c r="U1808" s="13" t="str">
        <f aca="false">IF(M1808=1,YEAR(C1808)&amp;"-Q"&amp;ROUNDUP(MONTH(C1808)/3,0),"")</f>
        <v/>
      </c>
      <c r="V1808" s="13" t="str">
        <f aca="false">IF(M1808=1,MONTH(C1808),"")</f>
        <v/>
      </c>
    </row>
    <row r="1809" customFormat="false" ht="15" hidden="false" customHeight="false" outlineLevel="0" collapsed="false">
      <c r="A1809" s="13" t="str">
        <f aca="false">TRIM(Raw_Data!A1809)</f>
        <v>EMP1808</v>
      </c>
      <c r="B1809" s="14" t="n">
        <f aca="false">Raw_Data!B1809</f>
        <v>45584</v>
      </c>
      <c r="C1809" s="14" t="n">
        <f aca="false">IF(Raw_Data!C1809="","",Raw_Data!C1809)</f>
        <v>45929</v>
      </c>
      <c r="D1809" s="13" t="n">
        <f aca="false">IF(Raw_Data!D1809="","",Raw_Data!D1809)</f>
        <v>26</v>
      </c>
      <c r="E1809" s="13" t="str">
        <f aca="false">IF(UPPER(LEFT(TRIM(Raw_Data!E1809),1))="M","Male",IF(UPPER(LEFT(TRIM(Raw_Data!E1809),1))="F","Female","Unknown"))</f>
        <v>Male</v>
      </c>
      <c r="F1809" s="13" t="str">
        <f aca="false">PROPER(TRIM(SUBSTITUTE(Raw_Data!F1809,"'","")))</f>
        <v>Bachelors</v>
      </c>
      <c r="G1809" s="13" t="str">
        <f aca="false">PROPER(TRIM(Raw_Data!G1809))</f>
        <v>Operations</v>
      </c>
      <c r="H1809" s="13" t="str">
        <f aca="false">PROPER(TRIM(Raw_Data!H1809))</f>
        <v>Associate</v>
      </c>
      <c r="I1809" s="13" t="n">
        <f aca="false">IF(Raw_Data!I1809="",DefaultPerf,Raw_Data!I1809)</f>
        <v>3</v>
      </c>
      <c r="J1809" s="13" t="n">
        <f aca="false">IF(Raw_Data!J1809="",DefaultSat,Raw_Data!J1809)</f>
        <v>1</v>
      </c>
      <c r="K1809" s="15" t="n">
        <f aca="false">Raw_Data!K1809</f>
        <v>31500</v>
      </c>
      <c r="L1809" s="13" t="str">
        <f aca="false">PROPER(TRIM(Raw_Data!N1809))</f>
        <v>No</v>
      </c>
      <c r="M1809" s="13" t="n">
        <f aca="false">IF(C1809="",0,1)</f>
        <v>1</v>
      </c>
      <c r="N1809" s="13" t="str">
        <f aca="false">IF(M1809=0,"Active",IF(TRIM(Raw_Data!L1809)="","Unknown",PROPER(TRIM(Raw_Data!L1809))))</f>
        <v>Voluntary</v>
      </c>
      <c r="O1809" s="13" t="str">
        <f aca="false">IF(M1809=0,"",IF(TRIM(Raw_Data!M1809)="","Not Recorded",TRIM(Raw_Data!M1809)))</f>
        <v>Job Dissatisfaction</v>
      </c>
      <c r="P1809" s="16" t="n">
        <f aca="false">ROUND((IF(C1809="",AsOfDate,C1809)-B1809)/365.25,2)</f>
        <v>0.94</v>
      </c>
      <c r="Q1809" s="13" t="str">
        <f aca="false">IF(D1809="","Unknown",IF(D1809&lt;25,"Under 25",IF(D1809&lt;35,"25-34",IF(D1809&lt;45,"35-44",IF(D1809&lt;55,"45-54","55+")))))</f>
        <v>25-34</v>
      </c>
      <c r="R1809" s="13" t="str">
        <f aca="false">IF(P1809&lt;1,"0-1 yrs",IF(P1809&lt;3,"1-3 yrs",IF(P1809&lt;5,"3-5 yrs",IF(P1809&lt;10,"5-10 yrs","10+ yrs"))))</f>
        <v>0-1 yrs</v>
      </c>
      <c r="S1809" s="13" t="str">
        <f aca="false">IF(I1809&gt;=4,"High",IF(I1809=3,"Medium","Low"))</f>
        <v>Medium</v>
      </c>
      <c r="T1809" s="13" t="n">
        <f aca="false">IF(M1809=1,YEAR(C1809),"")</f>
        <v>2025</v>
      </c>
      <c r="U1809" s="13" t="str">
        <f aca="false">IF(M1809=1,YEAR(C1809)&amp;"-Q"&amp;ROUNDUP(MONTH(C1809)/3,0),"")</f>
        <v>2025-Q3</v>
      </c>
      <c r="V1809" s="13" t="n">
        <f aca="false">IF(M1809=1,MONTH(C1809),"")</f>
        <v>9</v>
      </c>
    </row>
    <row r="1810" customFormat="false" ht="15" hidden="false" customHeight="false" outlineLevel="0" collapsed="false">
      <c r="A1810" s="13" t="str">
        <f aca="false">TRIM(Raw_Data!A1810)</f>
        <v>EMP1809</v>
      </c>
      <c r="B1810" s="14" t="n">
        <f aca="false">Raw_Data!B1810</f>
        <v>45585</v>
      </c>
      <c r="C1810" s="14" t="str">
        <f aca="false">IF(Raw_Data!C1810="","",Raw_Data!C1810)</f>
        <v/>
      </c>
      <c r="D1810" s="13" t="n">
        <f aca="false">IF(Raw_Data!D1810="","",Raw_Data!D1810)</f>
        <v>26</v>
      </c>
      <c r="E1810" s="13" t="str">
        <f aca="false">IF(UPPER(LEFT(TRIM(Raw_Data!E1810),1))="M","Male",IF(UPPER(LEFT(TRIM(Raw_Data!E1810),1))="F","Female","Unknown"))</f>
        <v>Male</v>
      </c>
      <c r="F1810" s="13" t="str">
        <f aca="false">PROPER(TRIM(SUBSTITUTE(Raw_Data!F1810,"'","")))</f>
        <v>Masters</v>
      </c>
      <c r="G1810" s="13" t="str">
        <f aca="false">PROPER(TRIM(Raw_Data!G1810))</f>
        <v>Sales</v>
      </c>
      <c r="H1810" s="13" t="str">
        <f aca="false">PROPER(TRIM(Raw_Data!H1810))</f>
        <v>Associate</v>
      </c>
      <c r="I1810" s="13" t="n">
        <f aca="false">IF(Raw_Data!I1810="",DefaultPerf,Raw_Data!I1810)</f>
        <v>4</v>
      </c>
      <c r="J1810" s="13" t="n">
        <f aca="false">IF(Raw_Data!J1810="",DefaultSat,Raw_Data!J1810)</f>
        <v>2</v>
      </c>
      <c r="K1810" s="15" t="n">
        <f aca="false">Raw_Data!K1810</f>
        <v>28500</v>
      </c>
      <c r="L1810" s="13" t="str">
        <f aca="false">PROPER(TRIM(Raw_Data!N1810))</f>
        <v>No</v>
      </c>
      <c r="M1810" s="13" t="n">
        <f aca="false">IF(C1810="",0,1)</f>
        <v>0</v>
      </c>
      <c r="N1810" s="13" t="str">
        <f aca="false">IF(M1810=0,"Active",IF(TRIM(Raw_Data!L1810)="","Unknown",PROPER(TRIM(Raw_Data!L1810))))</f>
        <v>Active</v>
      </c>
      <c r="O1810" s="13" t="str">
        <f aca="false">IF(M1810=0,"",IF(TRIM(Raw_Data!M1810)="","Not Recorded",TRIM(Raw_Data!M1810)))</f>
        <v/>
      </c>
      <c r="P1810" s="16" t="n">
        <f aca="false">ROUND((IF(C1810="",AsOfDate,C1810)-B1810)/365.25,2)</f>
        <v>1.2</v>
      </c>
      <c r="Q1810" s="13" t="str">
        <f aca="false">IF(D1810="","Unknown",IF(D1810&lt;25,"Under 25",IF(D1810&lt;35,"25-34",IF(D1810&lt;45,"35-44",IF(D1810&lt;55,"45-54","55+")))))</f>
        <v>25-34</v>
      </c>
      <c r="R1810" s="13" t="str">
        <f aca="false">IF(P1810&lt;1,"0-1 yrs",IF(P1810&lt;3,"1-3 yrs",IF(P1810&lt;5,"3-5 yrs",IF(P1810&lt;10,"5-10 yrs","10+ yrs"))))</f>
        <v>1-3 yrs</v>
      </c>
      <c r="S1810" s="13" t="str">
        <f aca="false">IF(I1810&gt;=4,"High",IF(I1810=3,"Medium","Low"))</f>
        <v>High</v>
      </c>
      <c r="T1810" s="13" t="str">
        <f aca="false">IF(M1810=1,YEAR(C1810),"")</f>
        <v/>
      </c>
      <c r="U1810" s="13" t="str">
        <f aca="false">IF(M1810=1,YEAR(C1810)&amp;"-Q"&amp;ROUNDUP(MONTH(C1810)/3,0),"")</f>
        <v/>
      </c>
      <c r="V1810" s="13" t="str">
        <f aca="false">IF(M1810=1,MONTH(C1810),"")</f>
        <v/>
      </c>
    </row>
    <row r="1811" customFormat="false" ht="15" hidden="false" customHeight="false" outlineLevel="0" collapsed="false">
      <c r="A1811" s="13" t="str">
        <f aca="false">TRIM(Raw_Data!A1811)</f>
        <v>EMP1810</v>
      </c>
      <c r="B1811" s="14" t="n">
        <f aca="false">Raw_Data!B1811</f>
        <v>45586</v>
      </c>
      <c r="C1811" s="14" t="str">
        <f aca="false">IF(Raw_Data!C1811="","",Raw_Data!C1811)</f>
        <v/>
      </c>
      <c r="D1811" s="13" t="n">
        <f aca="false">IF(Raw_Data!D1811="","",Raw_Data!D1811)</f>
        <v>33</v>
      </c>
      <c r="E1811" s="13" t="str">
        <f aca="false">IF(UPPER(LEFT(TRIM(Raw_Data!E1811),1))="M","Male",IF(UPPER(LEFT(TRIM(Raw_Data!E1811),1))="F","Female","Unknown"))</f>
        <v>Female</v>
      </c>
      <c r="F1811" s="13" t="str">
        <f aca="false">PROPER(TRIM(SUBSTITUTE(Raw_Data!F1811,"'","")))</f>
        <v>Masters</v>
      </c>
      <c r="G1811" s="13" t="str">
        <f aca="false">PROPER(TRIM(Raw_Data!G1811))</f>
        <v>Customer Support</v>
      </c>
      <c r="H1811" s="13" t="str">
        <f aca="false">PROPER(TRIM(Raw_Data!H1811))</f>
        <v>Analyst</v>
      </c>
      <c r="I1811" s="13" t="n">
        <f aca="false">IF(Raw_Data!I1811="",DefaultPerf,Raw_Data!I1811)</f>
        <v>3</v>
      </c>
      <c r="J1811" s="13" t="n">
        <f aca="false">IF(Raw_Data!J1811="",DefaultSat,Raw_Data!J1811)</f>
        <v>3</v>
      </c>
      <c r="K1811" s="15" t="n">
        <f aca="false">Raw_Data!K1811</f>
        <v>64500</v>
      </c>
      <c r="L1811" s="13" t="str">
        <f aca="false">PROPER(TRIM(Raw_Data!N1811))</f>
        <v>No</v>
      </c>
      <c r="M1811" s="13" t="n">
        <f aca="false">IF(C1811="",0,1)</f>
        <v>0</v>
      </c>
      <c r="N1811" s="13" t="str">
        <f aca="false">IF(M1811=0,"Active",IF(TRIM(Raw_Data!L1811)="","Unknown",PROPER(TRIM(Raw_Data!L1811))))</f>
        <v>Active</v>
      </c>
      <c r="O1811" s="13" t="str">
        <f aca="false">IF(M1811=0,"",IF(TRIM(Raw_Data!M1811)="","Not Recorded",TRIM(Raw_Data!M1811)))</f>
        <v/>
      </c>
      <c r="P1811" s="16" t="n">
        <f aca="false">ROUND((IF(C1811="",AsOfDate,C1811)-B1811)/365.25,2)</f>
        <v>1.19</v>
      </c>
      <c r="Q1811" s="13" t="str">
        <f aca="false">IF(D1811="","Unknown",IF(D1811&lt;25,"Under 25",IF(D1811&lt;35,"25-34",IF(D1811&lt;45,"35-44",IF(D1811&lt;55,"45-54","55+")))))</f>
        <v>25-34</v>
      </c>
      <c r="R1811" s="13" t="str">
        <f aca="false">IF(P1811&lt;1,"0-1 yrs",IF(P1811&lt;3,"1-3 yrs",IF(P1811&lt;5,"3-5 yrs",IF(P1811&lt;10,"5-10 yrs","10+ yrs"))))</f>
        <v>1-3 yrs</v>
      </c>
      <c r="S1811" s="13" t="str">
        <f aca="false">IF(I1811&gt;=4,"High",IF(I1811=3,"Medium","Low"))</f>
        <v>Medium</v>
      </c>
      <c r="T1811" s="13" t="str">
        <f aca="false">IF(M1811=1,YEAR(C1811),"")</f>
        <v/>
      </c>
      <c r="U1811" s="13" t="str">
        <f aca="false">IF(M1811=1,YEAR(C1811)&amp;"-Q"&amp;ROUNDUP(MONTH(C1811)/3,0),"")</f>
        <v/>
      </c>
      <c r="V1811" s="13" t="str">
        <f aca="false">IF(M1811=1,MONTH(C1811),"")</f>
        <v/>
      </c>
    </row>
    <row r="1812" customFormat="false" ht="15" hidden="false" customHeight="false" outlineLevel="0" collapsed="false">
      <c r="A1812" s="13" t="str">
        <f aca="false">TRIM(Raw_Data!A1812)</f>
        <v>EMP1811</v>
      </c>
      <c r="B1812" s="14" t="n">
        <f aca="false">Raw_Data!B1812</f>
        <v>45586</v>
      </c>
      <c r="C1812" s="14" t="str">
        <f aca="false">IF(Raw_Data!C1812="","",Raw_Data!C1812)</f>
        <v/>
      </c>
      <c r="D1812" s="13" t="n">
        <f aca="false">IF(Raw_Data!D1812="","",Raw_Data!D1812)</f>
        <v>29</v>
      </c>
      <c r="E1812" s="13" t="str">
        <f aca="false">IF(UPPER(LEFT(TRIM(Raw_Data!E1812),1))="M","Male",IF(UPPER(LEFT(TRIM(Raw_Data!E1812),1))="F","Female","Unknown"))</f>
        <v>Female</v>
      </c>
      <c r="F1812" s="13" t="str">
        <f aca="false">PROPER(TRIM(SUBSTITUTE(Raw_Data!F1812,"'","")))</f>
        <v>Masters</v>
      </c>
      <c r="G1812" s="13" t="str">
        <f aca="false">PROPER(TRIM(Raw_Data!G1812))</f>
        <v>Sales</v>
      </c>
      <c r="H1812" s="13" t="str">
        <f aca="false">PROPER(TRIM(Raw_Data!H1812))</f>
        <v>Senior Analyst</v>
      </c>
      <c r="I1812" s="17" t="n">
        <f aca="false">IF(Raw_Data!I1812="",DefaultPerf,Raw_Data!I1812)</f>
        <v>3</v>
      </c>
      <c r="J1812" s="13" t="n">
        <f aca="false">IF(Raw_Data!J1812="",DefaultSat,Raw_Data!J1812)</f>
        <v>1</v>
      </c>
      <c r="K1812" s="15" t="n">
        <f aca="false">Raw_Data!K1812</f>
        <v>98000</v>
      </c>
      <c r="L1812" s="13" t="str">
        <f aca="false">PROPER(TRIM(Raw_Data!N1812))</f>
        <v>Yes</v>
      </c>
      <c r="M1812" s="13" t="n">
        <f aca="false">IF(C1812="",0,1)</f>
        <v>0</v>
      </c>
      <c r="N1812" s="13" t="str">
        <f aca="false">IF(M1812=0,"Active",IF(TRIM(Raw_Data!L1812)="","Unknown",PROPER(TRIM(Raw_Data!L1812))))</f>
        <v>Active</v>
      </c>
      <c r="O1812" s="13" t="str">
        <f aca="false">IF(M1812=0,"",IF(TRIM(Raw_Data!M1812)="","Not Recorded",TRIM(Raw_Data!M1812)))</f>
        <v/>
      </c>
      <c r="P1812" s="16" t="n">
        <f aca="false">ROUND((IF(C1812="",AsOfDate,C1812)-B1812)/365.25,2)</f>
        <v>1.19</v>
      </c>
      <c r="Q1812" s="13" t="str">
        <f aca="false">IF(D1812="","Unknown",IF(D1812&lt;25,"Under 25",IF(D1812&lt;35,"25-34",IF(D1812&lt;45,"35-44",IF(D1812&lt;55,"45-54","55+")))))</f>
        <v>25-34</v>
      </c>
      <c r="R1812" s="13" t="str">
        <f aca="false">IF(P1812&lt;1,"0-1 yrs",IF(P1812&lt;3,"1-3 yrs",IF(P1812&lt;5,"3-5 yrs",IF(P1812&lt;10,"5-10 yrs","10+ yrs"))))</f>
        <v>1-3 yrs</v>
      </c>
      <c r="S1812" s="13" t="str">
        <f aca="false">IF(I1812&gt;=4,"High",IF(I1812=3,"Medium","Low"))</f>
        <v>Medium</v>
      </c>
      <c r="T1812" s="13" t="str">
        <f aca="false">IF(M1812=1,YEAR(C1812),"")</f>
        <v/>
      </c>
      <c r="U1812" s="13" t="str">
        <f aca="false">IF(M1812=1,YEAR(C1812)&amp;"-Q"&amp;ROUNDUP(MONTH(C1812)/3,0),"")</f>
        <v/>
      </c>
      <c r="V1812" s="13" t="str">
        <f aca="false">IF(M1812=1,MONTH(C1812),"")</f>
        <v/>
      </c>
    </row>
    <row r="1813" customFormat="false" ht="15" hidden="false" customHeight="false" outlineLevel="0" collapsed="false">
      <c r="A1813" s="13" t="str">
        <f aca="false">TRIM(Raw_Data!A1813)</f>
        <v>EMP1812</v>
      </c>
      <c r="B1813" s="14" t="n">
        <f aca="false">Raw_Data!B1813</f>
        <v>45588</v>
      </c>
      <c r="C1813" s="14" t="str">
        <f aca="false">IF(Raw_Data!C1813="","",Raw_Data!C1813)</f>
        <v/>
      </c>
      <c r="D1813" s="13" t="n">
        <f aca="false">IF(Raw_Data!D1813="","",Raw_Data!D1813)</f>
        <v>30</v>
      </c>
      <c r="E1813" s="13" t="str">
        <f aca="false">IF(UPPER(LEFT(TRIM(Raw_Data!E1813),1))="M","Male",IF(UPPER(LEFT(TRIM(Raw_Data!E1813),1))="F","Female","Unknown"))</f>
        <v>Male</v>
      </c>
      <c r="F1813" s="13" t="str">
        <f aca="false">PROPER(TRIM(SUBSTITUTE(Raw_Data!F1813,"'","")))</f>
        <v>Diploma</v>
      </c>
      <c r="G1813" s="13" t="str">
        <f aca="false">PROPER(TRIM(Raw_Data!G1813))</f>
        <v>Sales</v>
      </c>
      <c r="H1813" s="13" t="str">
        <f aca="false">PROPER(TRIM(Raw_Data!H1813))</f>
        <v>Analyst</v>
      </c>
      <c r="I1813" s="13" t="n">
        <f aca="false">IF(Raw_Data!I1813="",DefaultPerf,Raw_Data!I1813)</f>
        <v>4</v>
      </c>
      <c r="J1813" s="13" t="n">
        <f aca="false">IF(Raw_Data!J1813="",DefaultSat,Raw_Data!J1813)</f>
        <v>3</v>
      </c>
      <c r="K1813" s="15" t="n">
        <f aca="false">Raw_Data!K1813</f>
        <v>60000</v>
      </c>
      <c r="L1813" s="13" t="str">
        <f aca="false">PROPER(TRIM(Raw_Data!N1813))</f>
        <v>Yes</v>
      </c>
      <c r="M1813" s="13" t="n">
        <f aca="false">IF(C1813="",0,1)</f>
        <v>0</v>
      </c>
      <c r="N1813" s="13" t="str">
        <f aca="false">IF(M1813=0,"Active",IF(TRIM(Raw_Data!L1813)="","Unknown",PROPER(TRIM(Raw_Data!L1813))))</f>
        <v>Active</v>
      </c>
      <c r="O1813" s="13" t="str">
        <f aca="false">IF(M1813=0,"",IF(TRIM(Raw_Data!M1813)="","Not Recorded",TRIM(Raw_Data!M1813)))</f>
        <v/>
      </c>
      <c r="P1813" s="16" t="n">
        <f aca="false">ROUND((IF(C1813="",AsOfDate,C1813)-B1813)/365.25,2)</f>
        <v>1.19</v>
      </c>
      <c r="Q1813" s="13" t="str">
        <f aca="false">IF(D1813="","Unknown",IF(D1813&lt;25,"Under 25",IF(D1813&lt;35,"25-34",IF(D1813&lt;45,"35-44",IF(D1813&lt;55,"45-54","55+")))))</f>
        <v>25-34</v>
      </c>
      <c r="R1813" s="13" t="str">
        <f aca="false">IF(P1813&lt;1,"0-1 yrs",IF(P1813&lt;3,"1-3 yrs",IF(P1813&lt;5,"3-5 yrs",IF(P1813&lt;10,"5-10 yrs","10+ yrs"))))</f>
        <v>1-3 yrs</v>
      </c>
      <c r="S1813" s="13" t="str">
        <f aca="false">IF(I1813&gt;=4,"High",IF(I1813=3,"Medium","Low"))</f>
        <v>High</v>
      </c>
      <c r="T1813" s="13" t="str">
        <f aca="false">IF(M1813=1,YEAR(C1813),"")</f>
        <v/>
      </c>
      <c r="U1813" s="13" t="str">
        <f aca="false">IF(M1813=1,YEAR(C1813)&amp;"-Q"&amp;ROUNDUP(MONTH(C1813)/3,0),"")</f>
        <v/>
      </c>
      <c r="V1813" s="13" t="str">
        <f aca="false">IF(M1813=1,MONTH(C1813),"")</f>
        <v/>
      </c>
    </row>
    <row r="1814" customFormat="false" ht="15" hidden="false" customHeight="false" outlineLevel="0" collapsed="false">
      <c r="A1814" s="13" t="str">
        <f aca="false">TRIM(Raw_Data!A1814)</f>
        <v>EMP1813</v>
      </c>
      <c r="B1814" s="14" t="n">
        <f aca="false">Raw_Data!B1814</f>
        <v>45591</v>
      </c>
      <c r="C1814" s="14" t="n">
        <f aca="false">IF(Raw_Data!C1814="","",Raw_Data!C1814)</f>
        <v>46019</v>
      </c>
      <c r="D1814" s="13" t="n">
        <f aca="false">IF(Raw_Data!D1814="","",Raw_Data!D1814)</f>
        <v>29</v>
      </c>
      <c r="E1814" s="13" t="str">
        <f aca="false">IF(UPPER(LEFT(TRIM(Raw_Data!E1814),1))="M","Male",IF(UPPER(LEFT(TRIM(Raw_Data!E1814),1))="F","Female","Unknown"))</f>
        <v>Male</v>
      </c>
      <c r="F1814" s="13" t="str">
        <f aca="false">PROPER(TRIM(SUBSTITUTE(Raw_Data!F1814,"'","")))</f>
        <v>Masters</v>
      </c>
      <c r="G1814" s="13" t="str">
        <f aca="false">PROPER(TRIM(Raw_Data!G1814))</f>
        <v>Customer Support</v>
      </c>
      <c r="H1814" s="13" t="str">
        <f aca="false">PROPER(TRIM(Raw_Data!H1814))</f>
        <v>Specialist</v>
      </c>
      <c r="I1814" s="13" t="n">
        <f aca="false">IF(Raw_Data!I1814="",DefaultPerf,Raw_Data!I1814)</f>
        <v>4</v>
      </c>
      <c r="J1814" s="13" t="n">
        <f aca="false">IF(Raw_Data!J1814="",DefaultSat,Raw_Data!J1814)</f>
        <v>4</v>
      </c>
      <c r="K1814" s="15" t="n">
        <f aca="false">Raw_Data!K1814</f>
        <v>93000</v>
      </c>
      <c r="L1814" s="13" t="str">
        <f aca="false">PROPER(TRIM(Raw_Data!N1814))</f>
        <v>Yes</v>
      </c>
      <c r="M1814" s="13" t="n">
        <f aca="false">IF(C1814="",0,1)</f>
        <v>1</v>
      </c>
      <c r="N1814" s="13" t="str">
        <f aca="false">IF(M1814=0,"Active",IF(TRIM(Raw_Data!L1814)="","Unknown",PROPER(TRIM(Raw_Data!L1814))))</f>
        <v>Voluntary</v>
      </c>
      <c r="O1814" s="13" t="str">
        <f aca="false">IF(M1814=0,"",IF(TRIM(Raw_Data!M1814)="","Not Recorded",TRIM(Raw_Data!M1814)))</f>
        <v>Job Dissatisfaction</v>
      </c>
      <c r="P1814" s="16" t="n">
        <f aca="false">ROUND((IF(C1814="",AsOfDate,C1814)-B1814)/365.25,2)</f>
        <v>1.17</v>
      </c>
      <c r="Q1814" s="13" t="str">
        <f aca="false">IF(D1814="","Unknown",IF(D1814&lt;25,"Under 25",IF(D1814&lt;35,"25-34",IF(D1814&lt;45,"35-44",IF(D1814&lt;55,"45-54","55+")))))</f>
        <v>25-34</v>
      </c>
      <c r="R1814" s="13" t="str">
        <f aca="false">IF(P1814&lt;1,"0-1 yrs",IF(P1814&lt;3,"1-3 yrs",IF(P1814&lt;5,"3-5 yrs",IF(P1814&lt;10,"5-10 yrs","10+ yrs"))))</f>
        <v>1-3 yrs</v>
      </c>
      <c r="S1814" s="13" t="str">
        <f aca="false">IF(I1814&gt;=4,"High",IF(I1814=3,"Medium","Low"))</f>
        <v>High</v>
      </c>
      <c r="T1814" s="13" t="n">
        <f aca="false">IF(M1814=1,YEAR(C1814),"")</f>
        <v>2025</v>
      </c>
      <c r="U1814" s="13" t="str">
        <f aca="false">IF(M1814=1,YEAR(C1814)&amp;"-Q"&amp;ROUNDUP(MONTH(C1814)/3,0),"")</f>
        <v>2025-Q4</v>
      </c>
      <c r="V1814" s="13" t="n">
        <f aca="false">IF(M1814=1,MONTH(C1814),"")</f>
        <v>12</v>
      </c>
    </row>
    <row r="1815" customFormat="false" ht="15" hidden="false" customHeight="false" outlineLevel="0" collapsed="false">
      <c r="A1815" s="13" t="str">
        <f aca="false">TRIM(Raw_Data!A1815)</f>
        <v>EMP1814</v>
      </c>
      <c r="B1815" s="14" t="n">
        <f aca="false">Raw_Data!B1815</f>
        <v>45598</v>
      </c>
      <c r="C1815" s="14" t="str">
        <f aca="false">IF(Raw_Data!C1815="","",Raw_Data!C1815)</f>
        <v/>
      </c>
      <c r="D1815" s="13" t="n">
        <f aca="false">IF(Raw_Data!D1815="","",Raw_Data!D1815)</f>
        <v>35</v>
      </c>
      <c r="E1815" s="13" t="str">
        <f aca="false">IF(UPPER(LEFT(TRIM(Raw_Data!E1815),1))="M","Male",IF(UPPER(LEFT(TRIM(Raw_Data!E1815),1))="F","Female","Unknown"))</f>
        <v>Male</v>
      </c>
      <c r="F1815" s="13" t="str">
        <f aca="false">PROPER(TRIM(SUBSTITUTE(Raw_Data!F1815,"'","")))</f>
        <v>High School</v>
      </c>
      <c r="G1815" s="13" t="str">
        <f aca="false">PROPER(TRIM(Raw_Data!G1815))</f>
        <v>Finance</v>
      </c>
      <c r="H1815" s="13" t="str">
        <f aca="false">PROPER(TRIM(Raw_Data!H1815))</f>
        <v>Analyst</v>
      </c>
      <c r="I1815" s="13" t="n">
        <f aca="false">IF(Raw_Data!I1815="",DefaultPerf,Raw_Data!I1815)</f>
        <v>3</v>
      </c>
      <c r="J1815" s="13" t="n">
        <f aca="false">IF(Raw_Data!J1815="",DefaultSat,Raw_Data!J1815)</f>
        <v>3</v>
      </c>
      <c r="K1815" s="15" t="n">
        <f aca="false">Raw_Data!K1815</f>
        <v>63000</v>
      </c>
      <c r="L1815" s="13" t="str">
        <f aca="false">PROPER(TRIM(Raw_Data!N1815))</f>
        <v>Yes</v>
      </c>
      <c r="M1815" s="13" t="n">
        <f aca="false">IF(C1815="",0,1)</f>
        <v>0</v>
      </c>
      <c r="N1815" s="13" t="str">
        <f aca="false">IF(M1815=0,"Active",IF(TRIM(Raw_Data!L1815)="","Unknown",PROPER(TRIM(Raw_Data!L1815))))</f>
        <v>Active</v>
      </c>
      <c r="O1815" s="13" t="str">
        <f aca="false">IF(M1815=0,"",IF(TRIM(Raw_Data!M1815)="","Not Recorded",TRIM(Raw_Data!M1815)))</f>
        <v/>
      </c>
      <c r="P1815" s="16" t="n">
        <f aca="false">ROUND((IF(C1815="",AsOfDate,C1815)-B1815)/365.25,2)</f>
        <v>1.16</v>
      </c>
      <c r="Q1815" s="13" t="str">
        <f aca="false">IF(D1815="","Unknown",IF(D1815&lt;25,"Under 25",IF(D1815&lt;35,"25-34",IF(D1815&lt;45,"35-44",IF(D1815&lt;55,"45-54","55+")))))</f>
        <v>35-44</v>
      </c>
      <c r="R1815" s="13" t="str">
        <f aca="false">IF(P1815&lt;1,"0-1 yrs",IF(P1815&lt;3,"1-3 yrs",IF(P1815&lt;5,"3-5 yrs",IF(P1815&lt;10,"5-10 yrs","10+ yrs"))))</f>
        <v>1-3 yrs</v>
      </c>
      <c r="S1815" s="13" t="str">
        <f aca="false">IF(I1815&gt;=4,"High",IF(I1815=3,"Medium","Low"))</f>
        <v>Medium</v>
      </c>
      <c r="T1815" s="13" t="str">
        <f aca="false">IF(M1815=1,YEAR(C1815),"")</f>
        <v/>
      </c>
      <c r="U1815" s="13" t="str">
        <f aca="false">IF(M1815=1,YEAR(C1815)&amp;"-Q"&amp;ROUNDUP(MONTH(C1815)/3,0),"")</f>
        <v/>
      </c>
      <c r="V1815" s="13" t="str">
        <f aca="false">IF(M1815=1,MONTH(C1815),"")</f>
        <v/>
      </c>
    </row>
    <row r="1816" customFormat="false" ht="15" hidden="false" customHeight="false" outlineLevel="0" collapsed="false">
      <c r="A1816" s="13" t="str">
        <f aca="false">TRIM(Raw_Data!A1816)</f>
        <v>EMP1815</v>
      </c>
      <c r="B1816" s="14" t="n">
        <f aca="false">Raw_Data!B1816</f>
        <v>45600</v>
      </c>
      <c r="C1816" s="14" t="str">
        <f aca="false">IF(Raw_Data!C1816="","",Raw_Data!C1816)</f>
        <v/>
      </c>
      <c r="D1816" s="13" t="n">
        <f aca="false">IF(Raw_Data!D1816="","",Raw_Data!D1816)</f>
        <v>31</v>
      </c>
      <c r="E1816" s="13" t="str">
        <f aca="false">IF(UPPER(LEFT(TRIM(Raw_Data!E1816),1))="M","Male",IF(UPPER(LEFT(TRIM(Raw_Data!E1816),1))="F","Female","Unknown"))</f>
        <v>Male</v>
      </c>
      <c r="F1816" s="13" t="str">
        <f aca="false">PROPER(TRIM(SUBSTITUTE(Raw_Data!F1816,"'","")))</f>
        <v>Doctorate</v>
      </c>
      <c r="G1816" s="13" t="str">
        <f aca="false">PROPER(TRIM(Raw_Data!G1816))</f>
        <v>Sales</v>
      </c>
      <c r="H1816" s="13" t="str">
        <f aca="false">PROPER(TRIM(Raw_Data!H1816))</f>
        <v>Manager</v>
      </c>
      <c r="I1816" s="13" t="n">
        <f aca="false">IF(Raw_Data!I1816="",DefaultPerf,Raw_Data!I1816)</f>
        <v>3</v>
      </c>
      <c r="J1816" s="13" t="n">
        <f aca="false">IF(Raw_Data!J1816="",DefaultSat,Raw_Data!J1816)</f>
        <v>4</v>
      </c>
      <c r="K1816" s="15" t="n">
        <f aca="false">Raw_Data!K1816</f>
        <v>215500</v>
      </c>
      <c r="L1816" s="13" t="str">
        <f aca="false">PROPER(TRIM(Raw_Data!N1816))</f>
        <v>No</v>
      </c>
      <c r="M1816" s="13" t="n">
        <f aca="false">IF(C1816="",0,1)</f>
        <v>0</v>
      </c>
      <c r="N1816" s="13" t="str">
        <f aca="false">IF(M1816=0,"Active",IF(TRIM(Raw_Data!L1816)="","Unknown",PROPER(TRIM(Raw_Data!L1816))))</f>
        <v>Active</v>
      </c>
      <c r="O1816" s="13" t="str">
        <f aca="false">IF(M1816=0,"",IF(TRIM(Raw_Data!M1816)="","Not Recorded",TRIM(Raw_Data!M1816)))</f>
        <v/>
      </c>
      <c r="P1816" s="16" t="n">
        <f aca="false">ROUND((IF(C1816="",AsOfDate,C1816)-B1816)/365.25,2)</f>
        <v>1.16</v>
      </c>
      <c r="Q1816" s="13" t="str">
        <f aca="false">IF(D1816="","Unknown",IF(D1816&lt;25,"Under 25",IF(D1816&lt;35,"25-34",IF(D1816&lt;45,"35-44",IF(D1816&lt;55,"45-54","55+")))))</f>
        <v>25-34</v>
      </c>
      <c r="R1816" s="13" t="str">
        <f aca="false">IF(P1816&lt;1,"0-1 yrs",IF(P1816&lt;3,"1-3 yrs",IF(P1816&lt;5,"3-5 yrs",IF(P1816&lt;10,"5-10 yrs","10+ yrs"))))</f>
        <v>1-3 yrs</v>
      </c>
      <c r="S1816" s="13" t="str">
        <f aca="false">IF(I1816&gt;=4,"High",IF(I1816=3,"Medium","Low"))</f>
        <v>Medium</v>
      </c>
      <c r="T1816" s="13" t="str">
        <f aca="false">IF(M1816=1,YEAR(C1816),"")</f>
        <v/>
      </c>
      <c r="U1816" s="13" t="str">
        <f aca="false">IF(M1816=1,YEAR(C1816)&amp;"-Q"&amp;ROUNDUP(MONTH(C1816)/3,0),"")</f>
        <v/>
      </c>
      <c r="V1816" s="13" t="str">
        <f aca="false">IF(M1816=1,MONTH(C1816),"")</f>
        <v/>
      </c>
    </row>
    <row r="1817" customFormat="false" ht="15" hidden="false" customHeight="false" outlineLevel="0" collapsed="false">
      <c r="A1817" s="13" t="str">
        <f aca="false">TRIM(Raw_Data!A1817)</f>
        <v>EMP1816</v>
      </c>
      <c r="B1817" s="14" t="n">
        <f aca="false">Raw_Data!B1817</f>
        <v>45606</v>
      </c>
      <c r="C1817" s="14" t="n">
        <f aca="false">IF(Raw_Data!C1817="","",Raw_Data!C1817)</f>
        <v>45951</v>
      </c>
      <c r="D1817" s="13" t="n">
        <f aca="false">IF(Raw_Data!D1817="","",Raw_Data!D1817)</f>
        <v>27</v>
      </c>
      <c r="E1817" s="13" t="str">
        <f aca="false">IF(UPPER(LEFT(TRIM(Raw_Data!E1817),1))="M","Male",IF(UPPER(LEFT(TRIM(Raw_Data!E1817),1))="F","Female","Unknown"))</f>
        <v>Male</v>
      </c>
      <c r="F1817" s="13" t="str">
        <f aca="false">PROPER(TRIM(SUBSTITUTE(Raw_Data!F1817,"'","")))</f>
        <v>Masters</v>
      </c>
      <c r="G1817" s="13" t="str">
        <f aca="false">PROPER(TRIM(Raw_Data!G1817))</f>
        <v>Engineering</v>
      </c>
      <c r="H1817" s="13" t="str">
        <f aca="false">PROPER(TRIM(Raw_Data!H1817))</f>
        <v>Specialist</v>
      </c>
      <c r="I1817" s="13" t="n">
        <f aca="false">IF(Raw_Data!I1817="",DefaultPerf,Raw_Data!I1817)</f>
        <v>3</v>
      </c>
      <c r="J1817" s="13" t="n">
        <f aca="false">IF(Raw_Data!J1817="",DefaultSat,Raw_Data!J1817)</f>
        <v>3</v>
      </c>
      <c r="K1817" s="15" t="n">
        <f aca="false">Raw_Data!K1817</f>
        <v>104500</v>
      </c>
      <c r="L1817" s="13" t="str">
        <f aca="false">PROPER(TRIM(Raw_Data!N1817))</f>
        <v>Yes</v>
      </c>
      <c r="M1817" s="13" t="n">
        <f aca="false">IF(C1817="",0,1)</f>
        <v>1</v>
      </c>
      <c r="N1817" s="13" t="str">
        <f aca="false">IF(M1817=0,"Active",IF(TRIM(Raw_Data!L1817)="","Unknown",PROPER(TRIM(Raw_Data!L1817))))</f>
        <v>Voluntary</v>
      </c>
      <c r="O1817" s="13" t="str">
        <f aca="false">IF(M1817=0,"",IF(TRIM(Raw_Data!M1817)="","Not Recorded",TRIM(Raw_Data!M1817)))</f>
        <v>Personal Reasons</v>
      </c>
      <c r="P1817" s="16" t="n">
        <f aca="false">ROUND((IF(C1817="",AsOfDate,C1817)-B1817)/365.25,2)</f>
        <v>0.94</v>
      </c>
      <c r="Q1817" s="13" t="str">
        <f aca="false">IF(D1817="","Unknown",IF(D1817&lt;25,"Under 25",IF(D1817&lt;35,"25-34",IF(D1817&lt;45,"35-44",IF(D1817&lt;55,"45-54","55+")))))</f>
        <v>25-34</v>
      </c>
      <c r="R1817" s="13" t="str">
        <f aca="false">IF(P1817&lt;1,"0-1 yrs",IF(P1817&lt;3,"1-3 yrs",IF(P1817&lt;5,"3-5 yrs",IF(P1817&lt;10,"5-10 yrs","10+ yrs"))))</f>
        <v>0-1 yrs</v>
      </c>
      <c r="S1817" s="13" t="str">
        <f aca="false">IF(I1817&gt;=4,"High",IF(I1817=3,"Medium","Low"))</f>
        <v>Medium</v>
      </c>
      <c r="T1817" s="13" t="n">
        <f aca="false">IF(M1817=1,YEAR(C1817),"")</f>
        <v>2025</v>
      </c>
      <c r="U1817" s="13" t="str">
        <f aca="false">IF(M1817=1,YEAR(C1817)&amp;"-Q"&amp;ROUNDUP(MONTH(C1817)/3,0),"")</f>
        <v>2025-Q4</v>
      </c>
      <c r="V1817" s="13" t="n">
        <f aca="false">IF(M1817=1,MONTH(C1817),"")</f>
        <v>10</v>
      </c>
    </row>
    <row r="1818" customFormat="false" ht="15" hidden="false" customHeight="false" outlineLevel="0" collapsed="false">
      <c r="A1818" s="13" t="str">
        <f aca="false">TRIM(Raw_Data!A1818)</f>
        <v>EMP1817</v>
      </c>
      <c r="B1818" s="14" t="n">
        <f aca="false">Raw_Data!B1818</f>
        <v>45608</v>
      </c>
      <c r="C1818" s="14" t="n">
        <f aca="false">IF(Raw_Data!C1818="","",Raw_Data!C1818)</f>
        <v>45685</v>
      </c>
      <c r="D1818" s="13" t="n">
        <f aca="false">IF(Raw_Data!D1818="","",Raw_Data!D1818)</f>
        <v>26</v>
      </c>
      <c r="E1818" s="13" t="str">
        <f aca="false">IF(UPPER(LEFT(TRIM(Raw_Data!E1818),1))="M","Male",IF(UPPER(LEFT(TRIM(Raw_Data!E1818),1))="F","Female","Unknown"))</f>
        <v>Female</v>
      </c>
      <c r="F1818" s="13" t="str">
        <f aca="false">PROPER(TRIM(SUBSTITUTE(Raw_Data!F1818,"'","")))</f>
        <v>Masters</v>
      </c>
      <c r="G1818" s="13" t="str">
        <f aca="false">PROPER(TRIM(Raw_Data!G1818))</f>
        <v>Sales</v>
      </c>
      <c r="H1818" s="13" t="str">
        <f aca="false">PROPER(TRIM(Raw_Data!H1818))</f>
        <v>Associate</v>
      </c>
      <c r="I1818" s="13" t="n">
        <f aca="false">IF(Raw_Data!I1818="",DefaultPerf,Raw_Data!I1818)</f>
        <v>3</v>
      </c>
      <c r="J1818" s="13" t="n">
        <f aca="false">IF(Raw_Data!J1818="",DefaultSat,Raw_Data!J1818)</f>
        <v>2</v>
      </c>
      <c r="K1818" s="15" t="n">
        <f aca="false">Raw_Data!K1818</f>
        <v>32000</v>
      </c>
      <c r="L1818" s="13" t="str">
        <f aca="false">PROPER(TRIM(Raw_Data!N1818))</f>
        <v>No</v>
      </c>
      <c r="M1818" s="13" t="n">
        <f aca="false">IF(C1818="",0,1)</f>
        <v>1</v>
      </c>
      <c r="N1818" s="13" t="str">
        <f aca="false">IF(M1818=0,"Active",IF(TRIM(Raw_Data!L1818)="","Unknown",PROPER(TRIM(Raw_Data!L1818))))</f>
        <v>Voluntary</v>
      </c>
      <c r="O1818" s="13" t="str">
        <f aca="false">IF(M1818=0,"",IF(TRIM(Raw_Data!M1818)="","Not Recorded",TRIM(Raw_Data!M1818)))</f>
        <v>Better Compensation</v>
      </c>
      <c r="P1818" s="16" t="n">
        <f aca="false">ROUND((IF(C1818="",AsOfDate,C1818)-B1818)/365.25,2)</f>
        <v>0.21</v>
      </c>
      <c r="Q1818" s="13" t="str">
        <f aca="false">IF(D1818="","Unknown",IF(D1818&lt;25,"Under 25",IF(D1818&lt;35,"25-34",IF(D1818&lt;45,"35-44",IF(D1818&lt;55,"45-54","55+")))))</f>
        <v>25-34</v>
      </c>
      <c r="R1818" s="13" t="str">
        <f aca="false">IF(P1818&lt;1,"0-1 yrs",IF(P1818&lt;3,"1-3 yrs",IF(P1818&lt;5,"3-5 yrs",IF(P1818&lt;10,"5-10 yrs","10+ yrs"))))</f>
        <v>0-1 yrs</v>
      </c>
      <c r="S1818" s="13" t="str">
        <f aca="false">IF(I1818&gt;=4,"High",IF(I1818=3,"Medium","Low"))</f>
        <v>Medium</v>
      </c>
      <c r="T1818" s="13" t="n">
        <f aca="false">IF(M1818=1,YEAR(C1818),"")</f>
        <v>2025</v>
      </c>
      <c r="U1818" s="13" t="str">
        <f aca="false">IF(M1818=1,YEAR(C1818)&amp;"-Q"&amp;ROUNDUP(MONTH(C1818)/3,0),"")</f>
        <v>2025-Q1</v>
      </c>
      <c r="V1818" s="13" t="n">
        <f aca="false">IF(M1818=1,MONTH(C1818),"")</f>
        <v>1</v>
      </c>
    </row>
    <row r="1819" customFormat="false" ht="15" hidden="false" customHeight="false" outlineLevel="0" collapsed="false">
      <c r="A1819" s="13" t="str">
        <f aca="false">TRIM(Raw_Data!A1819)</f>
        <v>EMP1818</v>
      </c>
      <c r="B1819" s="14" t="n">
        <f aca="false">Raw_Data!B1819</f>
        <v>45609</v>
      </c>
      <c r="C1819" s="14" t="n">
        <f aca="false">IF(Raw_Data!C1819="","",Raw_Data!C1819)</f>
        <v>45806</v>
      </c>
      <c r="D1819" s="13" t="n">
        <f aca="false">IF(Raw_Data!D1819="","",Raw_Data!D1819)</f>
        <v>27</v>
      </c>
      <c r="E1819" s="13" t="str">
        <f aca="false">IF(UPPER(LEFT(TRIM(Raw_Data!E1819),1))="M","Male",IF(UPPER(LEFT(TRIM(Raw_Data!E1819),1))="F","Female","Unknown"))</f>
        <v>Female</v>
      </c>
      <c r="F1819" s="13" t="str">
        <f aca="false">PROPER(TRIM(SUBSTITUTE(Raw_Data!F1819,"'","")))</f>
        <v>Bachelors</v>
      </c>
      <c r="G1819" s="13" t="str">
        <f aca="false">PROPER(TRIM(Raw_Data!G1819))</f>
        <v>Operations</v>
      </c>
      <c r="H1819" s="13" t="str">
        <f aca="false">PROPER(TRIM(Raw_Data!H1819))</f>
        <v>Analyst</v>
      </c>
      <c r="I1819" s="13" t="n">
        <f aca="false">IF(Raw_Data!I1819="",DefaultPerf,Raw_Data!I1819)</f>
        <v>5</v>
      </c>
      <c r="J1819" s="13" t="n">
        <f aca="false">IF(Raw_Data!J1819="",DefaultSat,Raw_Data!J1819)</f>
        <v>4</v>
      </c>
      <c r="K1819" s="15" t="n">
        <f aca="false">Raw_Data!K1819</f>
        <v>48500</v>
      </c>
      <c r="L1819" s="13" t="str">
        <f aca="false">PROPER(TRIM(Raw_Data!N1819))</f>
        <v>No</v>
      </c>
      <c r="M1819" s="13" t="n">
        <f aca="false">IF(C1819="",0,1)</f>
        <v>1</v>
      </c>
      <c r="N1819" s="13" t="str">
        <f aca="false">IF(M1819=0,"Active",IF(TRIM(Raw_Data!L1819)="","Unknown",PROPER(TRIM(Raw_Data!L1819))))</f>
        <v>Voluntary</v>
      </c>
      <c r="O1819" s="13" t="str">
        <f aca="false">IF(M1819=0,"",IF(TRIM(Raw_Data!M1819)="","Not Recorded",TRIM(Raw_Data!M1819)))</f>
        <v>Better Compensation</v>
      </c>
      <c r="P1819" s="16" t="n">
        <f aca="false">ROUND((IF(C1819="",AsOfDate,C1819)-B1819)/365.25,2)</f>
        <v>0.54</v>
      </c>
      <c r="Q1819" s="13" t="str">
        <f aca="false">IF(D1819="","Unknown",IF(D1819&lt;25,"Under 25",IF(D1819&lt;35,"25-34",IF(D1819&lt;45,"35-44",IF(D1819&lt;55,"45-54","55+")))))</f>
        <v>25-34</v>
      </c>
      <c r="R1819" s="13" t="str">
        <f aca="false">IF(P1819&lt;1,"0-1 yrs",IF(P1819&lt;3,"1-3 yrs",IF(P1819&lt;5,"3-5 yrs",IF(P1819&lt;10,"5-10 yrs","10+ yrs"))))</f>
        <v>0-1 yrs</v>
      </c>
      <c r="S1819" s="13" t="str">
        <f aca="false">IF(I1819&gt;=4,"High",IF(I1819=3,"Medium","Low"))</f>
        <v>High</v>
      </c>
      <c r="T1819" s="13" t="n">
        <f aca="false">IF(M1819=1,YEAR(C1819),"")</f>
        <v>2025</v>
      </c>
      <c r="U1819" s="13" t="str">
        <f aca="false">IF(M1819=1,YEAR(C1819)&amp;"-Q"&amp;ROUNDUP(MONTH(C1819)/3,0),"")</f>
        <v>2025-Q2</v>
      </c>
      <c r="V1819" s="13" t="n">
        <f aca="false">IF(M1819=1,MONTH(C1819),"")</f>
        <v>5</v>
      </c>
    </row>
    <row r="1820" customFormat="false" ht="15" hidden="false" customHeight="false" outlineLevel="0" collapsed="false">
      <c r="A1820" s="13" t="str">
        <f aca="false">TRIM(Raw_Data!A1820)</f>
        <v>EMP1819</v>
      </c>
      <c r="B1820" s="14" t="n">
        <f aca="false">Raw_Data!B1820</f>
        <v>45609</v>
      </c>
      <c r="C1820" s="14" t="str">
        <f aca="false">IF(Raw_Data!C1820="","",Raw_Data!C1820)</f>
        <v/>
      </c>
      <c r="D1820" s="13" t="n">
        <f aca="false">IF(Raw_Data!D1820="","",Raw_Data!D1820)</f>
        <v>32</v>
      </c>
      <c r="E1820" s="13" t="str">
        <f aca="false">IF(UPPER(LEFT(TRIM(Raw_Data!E1820),1))="M","Male",IF(UPPER(LEFT(TRIM(Raw_Data!E1820),1))="F","Female","Unknown"))</f>
        <v>Female</v>
      </c>
      <c r="F1820" s="13" t="str">
        <f aca="false">PROPER(TRIM(SUBSTITUTE(Raw_Data!F1820,"'","")))</f>
        <v>Bachelors</v>
      </c>
      <c r="G1820" s="13" t="str">
        <f aca="false">PROPER(TRIM(Raw_Data!G1820))</f>
        <v>Sales</v>
      </c>
      <c r="H1820" s="13" t="str">
        <f aca="false">PROPER(TRIM(Raw_Data!H1820))</f>
        <v>Analyst</v>
      </c>
      <c r="I1820" s="13" t="n">
        <f aca="false">IF(Raw_Data!I1820="",DefaultPerf,Raw_Data!I1820)</f>
        <v>4</v>
      </c>
      <c r="J1820" s="13" t="n">
        <f aca="false">IF(Raw_Data!J1820="",DefaultSat,Raw_Data!J1820)</f>
        <v>2</v>
      </c>
      <c r="K1820" s="15" t="n">
        <f aca="false">Raw_Data!K1820</f>
        <v>55000</v>
      </c>
      <c r="L1820" s="13" t="str">
        <f aca="false">PROPER(TRIM(Raw_Data!N1820))</f>
        <v>No</v>
      </c>
      <c r="M1820" s="13" t="n">
        <f aca="false">IF(C1820="",0,1)</f>
        <v>0</v>
      </c>
      <c r="N1820" s="13" t="str">
        <f aca="false">IF(M1820=0,"Active",IF(TRIM(Raw_Data!L1820)="","Unknown",PROPER(TRIM(Raw_Data!L1820))))</f>
        <v>Active</v>
      </c>
      <c r="O1820" s="13" t="str">
        <f aca="false">IF(M1820=0,"",IF(TRIM(Raw_Data!M1820)="","Not Recorded",TRIM(Raw_Data!M1820)))</f>
        <v/>
      </c>
      <c r="P1820" s="16" t="n">
        <f aca="false">ROUND((IF(C1820="",AsOfDate,C1820)-B1820)/365.25,2)</f>
        <v>1.13</v>
      </c>
      <c r="Q1820" s="13" t="str">
        <f aca="false">IF(D1820="","Unknown",IF(D1820&lt;25,"Under 25",IF(D1820&lt;35,"25-34",IF(D1820&lt;45,"35-44",IF(D1820&lt;55,"45-54","55+")))))</f>
        <v>25-34</v>
      </c>
      <c r="R1820" s="13" t="str">
        <f aca="false">IF(P1820&lt;1,"0-1 yrs",IF(P1820&lt;3,"1-3 yrs",IF(P1820&lt;5,"3-5 yrs",IF(P1820&lt;10,"5-10 yrs","10+ yrs"))))</f>
        <v>1-3 yrs</v>
      </c>
      <c r="S1820" s="13" t="str">
        <f aca="false">IF(I1820&gt;=4,"High",IF(I1820=3,"Medium","Low"))</f>
        <v>High</v>
      </c>
      <c r="T1820" s="13" t="str">
        <f aca="false">IF(M1820=1,YEAR(C1820),"")</f>
        <v/>
      </c>
      <c r="U1820" s="13" t="str">
        <f aca="false">IF(M1820=1,YEAR(C1820)&amp;"-Q"&amp;ROUNDUP(MONTH(C1820)/3,0),"")</f>
        <v/>
      </c>
      <c r="V1820" s="13" t="str">
        <f aca="false">IF(M1820=1,MONTH(C1820),"")</f>
        <v/>
      </c>
    </row>
    <row r="1821" customFormat="false" ht="15" hidden="false" customHeight="false" outlineLevel="0" collapsed="false">
      <c r="A1821" s="13" t="str">
        <f aca="false">TRIM(Raw_Data!A1821)</f>
        <v>EMP1820</v>
      </c>
      <c r="B1821" s="14" t="n">
        <f aca="false">Raw_Data!B1821</f>
        <v>45610</v>
      </c>
      <c r="C1821" s="14" t="str">
        <f aca="false">IF(Raw_Data!C1821="","",Raw_Data!C1821)</f>
        <v/>
      </c>
      <c r="D1821" s="13" t="n">
        <f aca="false">IF(Raw_Data!D1821="","",Raw_Data!D1821)</f>
        <v>22</v>
      </c>
      <c r="E1821" s="13" t="str">
        <f aca="false">IF(UPPER(LEFT(TRIM(Raw_Data!E1821),1))="M","Male",IF(UPPER(LEFT(TRIM(Raw_Data!E1821),1))="F","Female","Unknown"))</f>
        <v>Male</v>
      </c>
      <c r="F1821" s="13" t="str">
        <f aca="false">PROPER(TRIM(SUBSTITUTE(Raw_Data!F1821,"'","")))</f>
        <v>Bachelors</v>
      </c>
      <c r="G1821" s="13" t="str">
        <f aca="false">PROPER(TRIM(Raw_Data!G1821))</f>
        <v>Customer Support</v>
      </c>
      <c r="H1821" s="13" t="str">
        <f aca="false">PROPER(TRIM(Raw_Data!H1821))</f>
        <v>Specialist</v>
      </c>
      <c r="I1821" s="13" t="n">
        <f aca="false">IF(Raw_Data!I1821="",DefaultPerf,Raw_Data!I1821)</f>
        <v>2</v>
      </c>
      <c r="J1821" s="13" t="n">
        <f aca="false">IF(Raw_Data!J1821="",DefaultSat,Raw_Data!J1821)</f>
        <v>2</v>
      </c>
      <c r="K1821" s="15" t="n">
        <f aca="false">Raw_Data!K1821</f>
        <v>94000</v>
      </c>
      <c r="L1821" s="13" t="str">
        <f aca="false">PROPER(TRIM(Raw_Data!N1821))</f>
        <v>No</v>
      </c>
      <c r="M1821" s="13" t="n">
        <f aca="false">IF(C1821="",0,1)</f>
        <v>0</v>
      </c>
      <c r="N1821" s="13" t="str">
        <f aca="false">IF(M1821=0,"Active",IF(TRIM(Raw_Data!L1821)="","Unknown",PROPER(TRIM(Raw_Data!L1821))))</f>
        <v>Active</v>
      </c>
      <c r="O1821" s="13" t="str">
        <f aca="false">IF(M1821=0,"",IF(TRIM(Raw_Data!M1821)="","Not Recorded",TRIM(Raw_Data!M1821)))</f>
        <v/>
      </c>
      <c r="P1821" s="16" t="n">
        <f aca="false">ROUND((IF(C1821="",AsOfDate,C1821)-B1821)/365.25,2)</f>
        <v>1.13</v>
      </c>
      <c r="Q1821" s="13" t="str">
        <f aca="false">IF(D1821="","Unknown",IF(D1821&lt;25,"Under 25",IF(D1821&lt;35,"25-34",IF(D1821&lt;45,"35-44",IF(D1821&lt;55,"45-54","55+")))))</f>
        <v>Under 25</v>
      </c>
      <c r="R1821" s="13" t="str">
        <f aca="false">IF(P1821&lt;1,"0-1 yrs",IF(P1821&lt;3,"1-3 yrs",IF(P1821&lt;5,"3-5 yrs",IF(P1821&lt;10,"5-10 yrs","10+ yrs"))))</f>
        <v>1-3 yrs</v>
      </c>
      <c r="S1821" s="13" t="str">
        <f aca="false">IF(I1821&gt;=4,"High",IF(I1821=3,"Medium","Low"))</f>
        <v>Low</v>
      </c>
      <c r="T1821" s="13" t="str">
        <f aca="false">IF(M1821=1,YEAR(C1821),"")</f>
        <v/>
      </c>
      <c r="U1821" s="13" t="str">
        <f aca="false">IF(M1821=1,YEAR(C1821)&amp;"-Q"&amp;ROUNDUP(MONTH(C1821)/3,0),"")</f>
        <v/>
      </c>
      <c r="V1821" s="13" t="str">
        <f aca="false">IF(M1821=1,MONTH(C1821),"")</f>
        <v/>
      </c>
    </row>
    <row r="1822" customFormat="false" ht="15" hidden="false" customHeight="false" outlineLevel="0" collapsed="false">
      <c r="A1822" s="13" t="str">
        <f aca="false">TRIM(Raw_Data!A1822)</f>
        <v>EMP1821</v>
      </c>
      <c r="B1822" s="14" t="n">
        <f aca="false">Raw_Data!B1822</f>
        <v>45617</v>
      </c>
      <c r="C1822" s="14" t="n">
        <f aca="false">IF(Raw_Data!C1822="","",Raw_Data!C1822)</f>
        <v>45820</v>
      </c>
      <c r="D1822" s="13" t="n">
        <f aca="false">IF(Raw_Data!D1822="","",Raw_Data!D1822)</f>
        <v>27</v>
      </c>
      <c r="E1822" s="13" t="str">
        <f aca="false">IF(UPPER(LEFT(TRIM(Raw_Data!E1822),1))="M","Male",IF(UPPER(LEFT(TRIM(Raw_Data!E1822),1))="F","Female","Unknown"))</f>
        <v>Male</v>
      </c>
      <c r="F1822" s="13" t="str">
        <f aca="false">PROPER(TRIM(SUBSTITUTE(Raw_Data!F1822,"'","")))</f>
        <v>Bachelors</v>
      </c>
      <c r="G1822" s="13" t="str">
        <f aca="false">PROPER(TRIM(Raw_Data!G1822))</f>
        <v>Operations</v>
      </c>
      <c r="H1822" s="13" t="str">
        <f aca="false">PROPER(TRIM(Raw_Data!H1822))</f>
        <v>Associate</v>
      </c>
      <c r="I1822" s="13" t="n">
        <f aca="false">IF(Raw_Data!I1822="",DefaultPerf,Raw_Data!I1822)</f>
        <v>2</v>
      </c>
      <c r="J1822" s="13" t="n">
        <f aca="false">IF(Raw_Data!J1822="",DefaultSat,Raw_Data!J1822)</f>
        <v>3</v>
      </c>
      <c r="K1822" s="15" t="n">
        <f aca="false">Raw_Data!K1822</f>
        <v>38500</v>
      </c>
      <c r="L1822" s="13" t="str">
        <f aca="false">PROPER(TRIM(Raw_Data!N1822))</f>
        <v>Yes</v>
      </c>
      <c r="M1822" s="13" t="n">
        <f aca="false">IF(C1822="",0,1)</f>
        <v>1</v>
      </c>
      <c r="N1822" s="13" t="str">
        <f aca="false">IF(M1822=0,"Active",IF(TRIM(Raw_Data!L1822)="","Unknown",PROPER(TRIM(Raw_Data!L1822))))</f>
        <v>Involuntary</v>
      </c>
      <c r="O1822" s="13" t="str">
        <f aca="false">IF(M1822=0,"",IF(TRIM(Raw_Data!M1822)="","Not Recorded",TRIM(Raw_Data!M1822)))</f>
        <v>Policy Violation</v>
      </c>
      <c r="P1822" s="16" t="n">
        <f aca="false">ROUND((IF(C1822="",AsOfDate,C1822)-B1822)/365.25,2)</f>
        <v>0.56</v>
      </c>
      <c r="Q1822" s="13" t="str">
        <f aca="false">IF(D1822="","Unknown",IF(D1822&lt;25,"Under 25",IF(D1822&lt;35,"25-34",IF(D1822&lt;45,"35-44",IF(D1822&lt;55,"45-54","55+")))))</f>
        <v>25-34</v>
      </c>
      <c r="R1822" s="13" t="str">
        <f aca="false">IF(P1822&lt;1,"0-1 yrs",IF(P1822&lt;3,"1-3 yrs",IF(P1822&lt;5,"3-5 yrs",IF(P1822&lt;10,"5-10 yrs","10+ yrs"))))</f>
        <v>0-1 yrs</v>
      </c>
      <c r="S1822" s="13" t="str">
        <f aca="false">IF(I1822&gt;=4,"High",IF(I1822=3,"Medium","Low"))</f>
        <v>Low</v>
      </c>
      <c r="T1822" s="13" t="n">
        <f aca="false">IF(M1822=1,YEAR(C1822),"")</f>
        <v>2025</v>
      </c>
      <c r="U1822" s="13" t="str">
        <f aca="false">IF(M1822=1,YEAR(C1822)&amp;"-Q"&amp;ROUNDUP(MONTH(C1822)/3,0),"")</f>
        <v>2025-Q2</v>
      </c>
      <c r="V1822" s="13" t="n">
        <f aca="false">IF(M1822=1,MONTH(C1822),"")</f>
        <v>6</v>
      </c>
    </row>
    <row r="1823" customFormat="false" ht="15" hidden="false" customHeight="false" outlineLevel="0" collapsed="false">
      <c r="A1823" s="13" t="str">
        <f aca="false">TRIM(Raw_Data!A1823)</f>
        <v>EMP1822</v>
      </c>
      <c r="B1823" s="14" t="n">
        <f aca="false">Raw_Data!B1823</f>
        <v>45624</v>
      </c>
      <c r="C1823" s="14" t="str">
        <f aca="false">IF(Raw_Data!C1823="","",Raw_Data!C1823)</f>
        <v/>
      </c>
      <c r="D1823" s="13" t="n">
        <f aca="false">IF(Raw_Data!D1823="","",Raw_Data!D1823)</f>
        <v>27</v>
      </c>
      <c r="E1823" s="13" t="str">
        <f aca="false">IF(UPPER(LEFT(TRIM(Raw_Data!E1823),1))="M","Male",IF(UPPER(LEFT(TRIM(Raw_Data!E1823),1))="F","Female","Unknown"))</f>
        <v>Female</v>
      </c>
      <c r="F1823" s="13" t="str">
        <f aca="false">PROPER(TRIM(SUBSTITUTE(Raw_Data!F1823,"'","")))</f>
        <v>Masters</v>
      </c>
      <c r="G1823" s="13" t="str">
        <f aca="false">PROPER(TRIM(Raw_Data!G1823))</f>
        <v>Sales</v>
      </c>
      <c r="H1823" s="13" t="str">
        <f aca="false">PROPER(TRIM(Raw_Data!H1823))</f>
        <v>Team Lead</v>
      </c>
      <c r="I1823" s="13" t="n">
        <f aca="false">IF(Raw_Data!I1823="",DefaultPerf,Raw_Data!I1823)</f>
        <v>3</v>
      </c>
      <c r="J1823" s="13" t="n">
        <f aca="false">IF(Raw_Data!J1823="",DefaultSat,Raw_Data!J1823)</f>
        <v>2</v>
      </c>
      <c r="K1823" s="15" t="n">
        <f aca="false">Raw_Data!K1823</f>
        <v>101500</v>
      </c>
      <c r="L1823" s="13" t="str">
        <f aca="false">PROPER(TRIM(Raw_Data!N1823))</f>
        <v>No</v>
      </c>
      <c r="M1823" s="13" t="n">
        <f aca="false">IF(C1823="",0,1)</f>
        <v>0</v>
      </c>
      <c r="N1823" s="13" t="str">
        <f aca="false">IF(M1823=0,"Active",IF(TRIM(Raw_Data!L1823)="","Unknown",PROPER(TRIM(Raw_Data!L1823))))</f>
        <v>Active</v>
      </c>
      <c r="O1823" s="13" t="str">
        <f aca="false">IF(M1823=0,"",IF(TRIM(Raw_Data!M1823)="","Not Recorded",TRIM(Raw_Data!M1823)))</f>
        <v/>
      </c>
      <c r="P1823" s="16" t="n">
        <f aca="false">ROUND((IF(C1823="",AsOfDate,C1823)-B1823)/365.25,2)</f>
        <v>1.09</v>
      </c>
      <c r="Q1823" s="13" t="str">
        <f aca="false">IF(D1823="","Unknown",IF(D1823&lt;25,"Under 25",IF(D1823&lt;35,"25-34",IF(D1823&lt;45,"35-44",IF(D1823&lt;55,"45-54","55+")))))</f>
        <v>25-34</v>
      </c>
      <c r="R1823" s="13" t="str">
        <f aca="false">IF(P1823&lt;1,"0-1 yrs",IF(P1823&lt;3,"1-3 yrs",IF(P1823&lt;5,"3-5 yrs",IF(P1823&lt;10,"5-10 yrs","10+ yrs"))))</f>
        <v>1-3 yrs</v>
      </c>
      <c r="S1823" s="13" t="str">
        <f aca="false">IF(I1823&gt;=4,"High",IF(I1823=3,"Medium","Low"))</f>
        <v>Medium</v>
      </c>
      <c r="T1823" s="13" t="str">
        <f aca="false">IF(M1823=1,YEAR(C1823),"")</f>
        <v/>
      </c>
      <c r="U1823" s="13" t="str">
        <f aca="false">IF(M1823=1,YEAR(C1823)&amp;"-Q"&amp;ROUNDUP(MONTH(C1823)/3,0),"")</f>
        <v/>
      </c>
      <c r="V1823" s="13" t="str">
        <f aca="false">IF(M1823=1,MONTH(C1823),"")</f>
        <v/>
      </c>
    </row>
    <row r="1824" customFormat="false" ht="15" hidden="false" customHeight="false" outlineLevel="0" collapsed="false">
      <c r="A1824" s="13" t="str">
        <f aca="false">TRIM(Raw_Data!A1824)</f>
        <v>EMP1823</v>
      </c>
      <c r="B1824" s="14" t="n">
        <f aca="false">Raw_Data!B1824</f>
        <v>45626</v>
      </c>
      <c r="C1824" s="14" t="str">
        <f aca="false">IF(Raw_Data!C1824="","",Raw_Data!C1824)</f>
        <v/>
      </c>
      <c r="D1824" s="13" t="n">
        <f aca="false">IF(Raw_Data!D1824="","",Raw_Data!D1824)</f>
        <v>33</v>
      </c>
      <c r="E1824" s="13" t="str">
        <f aca="false">IF(UPPER(LEFT(TRIM(Raw_Data!E1824),1))="M","Male",IF(UPPER(LEFT(TRIM(Raw_Data!E1824),1))="F","Female","Unknown"))</f>
        <v>Female</v>
      </c>
      <c r="F1824" s="13" t="str">
        <f aca="false">PROPER(TRIM(SUBSTITUTE(Raw_Data!F1824,"'","")))</f>
        <v>Bachelors</v>
      </c>
      <c r="G1824" s="13" t="str">
        <f aca="false">PROPER(TRIM(Raw_Data!G1824))</f>
        <v>Finance</v>
      </c>
      <c r="H1824" s="13" t="str">
        <f aca="false">PROPER(TRIM(Raw_Data!H1824))</f>
        <v>Senior Analyst</v>
      </c>
      <c r="I1824" s="13" t="n">
        <f aca="false">IF(Raw_Data!I1824="",DefaultPerf,Raw_Data!I1824)</f>
        <v>4</v>
      </c>
      <c r="J1824" s="13" t="n">
        <f aca="false">IF(Raw_Data!J1824="",DefaultSat,Raw_Data!J1824)</f>
        <v>2</v>
      </c>
      <c r="K1824" s="15" t="n">
        <f aca="false">Raw_Data!K1824</f>
        <v>95000</v>
      </c>
      <c r="L1824" s="13" t="str">
        <f aca="false">PROPER(TRIM(Raw_Data!N1824))</f>
        <v>No</v>
      </c>
      <c r="M1824" s="13" t="n">
        <f aca="false">IF(C1824="",0,1)</f>
        <v>0</v>
      </c>
      <c r="N1824" s="13" t="str">
        <f aca="false">IF(M1824=0,"Active",IF(TRIM(Raw_Data!L1824)="","Unknown",PROPER(TRIM(Raw_Data!L1824))))</f>
        <v>Active</v>
      </c>
      <c r="O1824" s="13" t="str">
        <f aca="false">IF(M1824=0,"",IF(TRIM(Raw_Data!M1824)="","Not Recorded",TRIM(Raw_Data!M1824)))</f>
        <v/>
      </c>
      <c r="P1824" s="16" t="n">
        <f aca="false">ROUND((IF(C1824="",AsOfDate,C1824)-B1824)/365.25,2)</f>
        <v>1.08</v>
      </c>
      <c r="Q1824" s="13" t="str">
        <f aca="false">IF(D1824="","Unknown",IF(D1824&lt;25,"Under 25",IF(D1824&lt;35,"25-34",IF(D1824&lt;45,"35-44",IF(D1824&lt;55,"45-54","55+")))))</f>
        <v>25-34</v>
      </c>
      <c r="R1824" s="13" t="str">
        <f aca="false">IF(P1824&lt;1,"0-1 yrs",IF(P1824&lt;3,"1-3 yrs",IF(P1824&lt;5,"3-5 yrs",IF(P1824&lt;10,"5-10 yrs","10+ yrs"))))</f>
        <v>1-3 yrs</v>
      </c>
      <c r="S1824" s="13" t="str">
        <f aca="false">IF(I1824&gt;=4,"High",IF(I1824=3,"Medium","Low"))</f>
        <v>High</v>
      </c>
      <c r="T1824" s="13" t="str">
        <f aca="false">IF(M1824=1,YEAR(C1824),"")</f>
        <v/>
      </c>
      <c r="U1824" s="13" t="str">
        <f aca="false">IF(M1824=1,YEAR(C1824)&amp;"-Q"&amp;ROUNDUP(MONTH(C1824)/3,0),"")</f>
        <v/>
      </c>
      <c r="V1824" s="13" t="str">
        <f aca="false">IF(M1824=1,MONTH(C1824),"")</f>
        <v/>
      </c>
    </row>
    <row r="1825" customFormat="false" ht="15" hidden="false" customHeight="false" outlineLevel="0" collapsed="false">
      <c r="A1825" s="13" t="str">
        <f aca="false">TRIM(Raw_Data!A1825)</f>
        <v>EMP1824</v>
      </c>
      <c r="B1825" s="14" t="n">
        <f aca="false">Raw_Data!B1825</f>
        <v>45627</v>
      </c>
      <c r="C1825" s="14" t="str">
        <f aca="false">IF(Raw_Data!C1825="","",Raw_Data!C1825)</f>
        <v/>
      </c>
      <c r="D1825" s="13" t="n">
        <f aca="false">IF(Raw_Data!D1825="","",Raw_Data!D1825)</f>
        <v>26</v>
      </c>
      <c r="E1825" s="13" t="str">
        <f aca="false">IF(UPPER(LEFT(TRIM(Raw_Data!E1825),1))="M","Male",IF(UPPER(LEFT(TRIM(Raw_Data!E1825),1))="F","Female","Unknown"))</f>
        <v>Female</v>
      </c>
      <c r="F1825" s="13" t="str">
        <f aca="false">PROPER(TRIM(SUBSTITUTE(Raw_Data!F1825,"'","")))</f>
        <v>Masters</v>
      </c>
      <c r="G1825" s="13" t="str">
        <f aca="false">PROPER(TRIM(Raw_Data!G1825))</f>
        <v>Engineering</v>
      </c>
      <c r="H1825" s="13" t="str">
        <f aca="false">PROPER(TRIM(Raw_Data!H1825))</f>
        <v>Team Lead</v>
      </c>
      <c r="I1825" s="13" t="n">
        <f aca="false">IF(Raw_Data!I1825="",DefaultPerf,Raw_Data!I1825)</f>
        <v>3</v>
      </c>
      <c r="J1825" s="13" t="n">
        <f aca="false">IF(Raw_Data!J1825="",DefaultSat,Raw_Data!J1825)</f>
        <v>2</v>
      </c>
      <c r="K1825" s="15" t="n">
        <f aca="false">Raw_Data!K1825</f>
        <v>120500</v>
      </c>
      <c r="L1825" s="13" t="str">
        <f aca="false">PROPER(TRIM(Raw_Data!N1825))</f>
        <v>No</v>
      </c>
      <c r="M1825" s="13" t="n">
        <f aca="false">IF(C1825="",0,1)</f>
        <v>0</v>
      </c>
      <c r="N1825" s="13" t="str">
        <f aca="false">IF(M1825=0,"Active",IF(TRIM(Raw_Data!L1825)="","Unknown",PROPER(TRIM(Raw_Data!L1825))))</f>
        <v>Active</v>
      </c>
      <c r="O1825" s="13" t="str">
        <f aca="false">IF(M1825=0,"",IF(TRIM(Raw_Data!M1825)="","Not Recorded",TRIM(Raw_Data!M1825)))</f>
        <v/>
      </c>
      <c r="P1825" s="16" t="n">
        <f aca="false">ROUND((IF(C1825="",AsOfDate,C1825)-B1825)/365.25,2)</f>
        <v>1.08</v>
      </c>
      <c r="Q1825" s="13" t="str">
        <f aca="false">IF(D1825="","Unknown",IF(D1825&lt;25,"Under 25",IF(D1825&lt;35,"25-34",IF(D1825&lt;45,"35-44",IF(D1825&lt;55,"45-54","55+")))))</f>
        <v>25-34</v>
      </c>
      <c r="R1825" s="13" t="str">
        <f aca="false">IF(P1825&lt;1,"0-1 yrs",IF(P1825&lt;3,"1-3 yrs",IF(P1825&lt;5,"3-5 yrs",IF(P1825&lt;10,"5-10 yrs","10+ yrs"))))</f>
        <v>1-3 yrs</v>
      </c>
      <c r="S1825" s="13" t="str">
        <f aca="false">IF(I1825&gt;=4,"High",IF(I1825=3,"Medium","Low"))</f>
        <v>Medium</v>
      </c>
      <c r="T1825" s="13" t="str">
        <f aca="false">IF(M1825=1,YEAR(C1825),"")</f>
        <v/>
      </c>
      <c r="U1825" s="13" t="str">
        <f aca="false">IF(M1825=1,YEAR(C1825)&amp;"-Q"&amp;ROUNDUP(MONTH(C1825)/3,0),"")</f>
        <v/>
      </c>
      <c r="V1825" s="13" t="str">
        <f aca="false">IF(M1825=1,MONTH(C1825),"")</f>
        <v/>
      </c>
    </row>
    <row r="1826" customFormat="false" ht="15" hidden="false" customHeight="false" outlineLevel="0" collapsed="false">
      <c r="A1826" s="13" t="str">
        <f aca="false">TRIM(Raw_Data!A1826)</f>
        <v>EMP1825</v>
      </c>
      <c r="B1826" s="14" t="n">
        <f aca="false">Raw_Data!B1826</f>
        <v>45628</v>
      </c>
      <c r="C1826" s="14" t="str">
        <f aca="false">IF(Raw_Data!C1826="","",Raw_Data!C1826)</f>
        <v/>
      </c>
      <c r="D1826" s="13" t="n">
        <f aca="false">IF(Raw_Data!D1826="","",Raw_Data!D1826)</f>
        <v>29</v>
      </c>
      <c r="E1826" s="13" t="str">
        <f aca="false">IF(UPPER(LEFT(TRIM(Raw_Data!E1826),1))="M","Male",IF(UPPER(LEFT(TRIM(Raw_Data!E1826),1))="F","Female","Unknown"))</f>
        <v>Female</v>
      </c>
      <c r="F1826" s="13" t="str">
        <f aca="false">PROPER(TRIM(SUBSTITUTE(Raw_Data!F1826,"'","")))</f>
        <v>Bachelors</v>
      </c>
      <c r="G1826" s="13" t="str">
        <f aca="false">PROPER(TRIM(Raw_Data!G1826))</f>
        <v>Operations</v>
      </c>
      <c r="H1826" s="13" t="str">
        <f aca="false">PROPER(TRIM(Raw_Data!H1826))</f>
        <v>Analyst</v>
      </c>
      <c r="I1826" s="13" t="n">
        <f aca="false">IF(Raw_Data!I1826="",DefaultPerf,Raw_Data!I1826)</f>
        <v>3</v>
      </c>
      <c r="J1826" s="13" t="n">
        <f aca="false">IF(Raw_Data!J1826="",DefaultSat,Raw_Data!J1826)</f>
        <v>4</v>
      </c>
      <c r="K1826" s="15" t="n">
        <f aca="false">Raw_Data!K1826</f>
        <v>66000</v>
      </c>
      <c r="L1826" s="13" t="str">
        <f aca="false">PROPER(TRIM(Raw_Data!N1826))</f>
        <v>No</v>
      </c>
      <c r="M1826" s="13" t="n">
        <f aca="false">IF(C1826="",0,1)</f>
        <v>0</v>
      </c>
      <c r="N1826" s="13" t="str">
        <f aca="false">IF(M1826=0,"Active",IF(TRIM(Raw_Data!L1826)="","Unknown",PROPER(TRIM(Raw_Data!L1826))))</f>
        <v>Active</v>
      </c>
      <c r="O1826" s="13" t="str">
        <f aca="false">IF(M1826=0,"",IF(TRIM(Raw_Data!M1826)="","Not Recorded",TRIM(Raw_Data!M1826)))</f>
        <v/>
      </c>
      <c r="P1826" s="16" t="n">
        <f aca="false">ROUND((IF(C1826="",AsOfDate,C1826)-B1826)/365.25,2)</f>
        <v>1.08</v>
      </c>
      <c r="Q1826" s="13" t="str">
        <f aca="false">IF(D1826="","Unknown",IF(D1826&lt;25,"Under 25",IF(D1826&lt;35,"25-34",IF(D1826&lt;45,"35-44",IF(D1826&lt;55,"45-54","55+")))))</f>
        <v>25-34</v>
      </c>
      <c r="R1826" s="13" t="str">
        <f aca="false">IF(P1826&lt;1,"0-1 yrs",IF(P1826&lt;3,"1-3 yrs",IF(P1826&lt;5,"3-5 yrs",IF(P1826&lt;10,"5-10 yrs","10+ yrs"))))</f>
        <v>1-3 yrs</v>
      </c>
      <c r="S1826" s="13" t="str">
        <f aca="false">IF(I1826&gt;=4,"High",IF(I1826=3,"Medium","Low"))</f>
        <v>Medium</v>
      </c>
      <c r="T1826" s="13" t="str">
        <f aca="false">IF(M1826=1,YEAR(C1826),"")</f>
        <v/>
      </c>
      <c r="U1826" s="13" t="str">
        <f aca="false">IF(M1826=1,YEAR(C1826)&amp;"-Q"&amp;ROUNDUP(MONTH(C1826)/3,0),"")</f>
        <v/>
      </c>
      <c r="V1826" s="13" t="str">
        <f aca="false">IF(M1826=1,MONTH(C1826),"")</f>
        <v/>
      </c>
    </row>
    <row r="1827" customFormat="false" ht="15" hidden="false" customHeight="false" outlineLevel="0" collapsed="false">
      <c r="A1827" s="13" t="str">
        <f aca="false">TRIM(Raw_Data!A1827)</f>
        <v>EMP1826</v>
      </c>
      <c r="B1827" s="14" t="n">
        <f aca="false">Raw_Data!B1827</f>
        <v>45639</v>
      </c>
      <c r="C1827" s="14" t="n">
        <f aca="false">IF(Raw_Data!C1827="","",Raw_Data!C1827)</f>
        <v>45762</v>
      </c>
      <c r="D1827" s="13" t="n">
        <f aca="false">IF(Raw_Data!D1827="","",Raw_Data!D1827)</f>
        <v>28</v>
      </c>
      <c r="E1827" s="13" t="str">
        <f aca="false">IF(UPPER(LEFT(TRIM(Raw_Data!E1827),1))="M","Male",IF(UPPER(LEFT(TRIM(Raw_Data!E1827),1))="F","Female","Unknown"))</f>
        <v>Female</v>
      </c>
      <c r="F1827" s="13" t="str">
        <f aca="false">PROPER(TRIM(SUBSTITUTE(Raw_Data!F1827,"'","")))</f>
        <v>High School</v>
      </c>
      <c r="G1827" s="13" t="str">
        <f aca="false">PROPER(TRIM(Raw_Data!G1827))</f>
        <v>Operations</v>
      </c>
      <c r="H1827" s="13" t="str">
        <f aca="false">PROPER(TRIM(Raw_Data!H1827))</f>
        <v>Manager</v>
      </c>
      <c r="I1827" s="13" t="n">
        <f aca="false">IF(Raw_Data!I1827="",DefaultPerf,Raw_Data!I1827)</f>
        <v>4</v>
      </c>
      <c r="J1827" s="13" t="n">
        <f aca="false">IF(Raw_Data!J1827="",DefaultSat,Raw_Data!J1827)</f>
        <v>2</v>
      </c>
      <c r="K1827" s="15" t="n">
        <f aca="false">Raw_Data!K1827</f>
        <v>173500</v>
      </c>
      <c r="L1827" s="13" t="str">
        <f aca="false">PROPER(TRIM(Raw_Data!N1827))</f>
        <v>No</v>
      </c>
      <c r="M1827" s="13" t="n">
        <f aca="false">IF(C1827="",0,1)</f>
        <v>1</v>
      </c>
      <c r="N1827" s="13" t="str">
        <f aca="false">IF(M1827=0,"Active",IF(TRIM(Raw_Data!L1827)="","Unknown",PROPER(TRIM(Raw_Data!L1827))))</f>
        <v>Voluntary</v>
      </c>
      <c r="O1827" s="13" t="str">
        <f aca="false">IF(M1827=0,"",IF(TRIM(Raw_Data!M1827)="","Not Recorded",TRIM(Raw_Data!M1827)))</f>
        <v>Career Growth</v>
      </c>
      <c r="P1827" s="16" t="n">
        <f aca="false">ROUND((IF(C1827="",AsOfDate,C1827)-B1827)/365.25,2)</f>
        <v>0.34</v>
      </c>
      <c r="Q1827" s="13" t="str">
        <f aca="false">IF(D1827="","Unknown",IF(D1827&lt;25,"Under 25",IF(D1827&lt;35,"25-34",IF(D1827&lt;45,"35-44",IF(D1827&lt;55,"45-54","55+")))))</f>
        <v>25-34</v>
      </c>
      <c r="R1827" s="13" t="str">
        <f aca="false">IF(P1827&lt;1,"0-1 yrs",IF(P1827&lt;3,"1-3 yrs",IF(P1827&lt;5,"3-5 yrs",IF(P1827&lt;10,"5-10 yrs","10+ yrs"))))</f>
        <v>0-1 yrs</v>
      </c>
      <c r="S1827" s="13" t="str">
        <f aca="false">IF(I1827&gt;=4,"High",IF(I1827=3,"Medium","Low"))</f>
        <v>High</v>
      </c>
      <c r="T1827" s="13" t="n">
        <f aca="false">IF(M1827=1,YEAR(C1827),"")</f>
        <v>2025</v>
      </c>
      <c r="U1827" s="13" t="str">
        <f aca="false">IF(M1827=1,YEAR(C1827)&amp;"-Q"&amp;ROUNDUP(MONTH(C1827)/3,0),"")</f>
        <v>2025-Q2</v>
      </c>
      <c r="V1827" s="13" t="n">
        <f aca="false">IF(M1827=1,MONTH(C1827),"")</f>
        <v>4</v>
      </c>
    </row>
    <row r="1828" customFormat="false" ht="15" hidden="false" customHeight="false" outlineLevel="0" collapsed="false">
      <c r="A1828" s="13" t="str">
        <f aca="false">TRIM(Raw_Data!A1828)</f>
        <v>EMP1827</v>
      </c>
      <c r="B1828" s="14" t="n">
        <f aca="false">Raw_Data!B1828</f>
        <v>45639</v>
      </c>
      <c r="C1828" s="14" t="str">
        <f aca="false">IF(Raw_Data!C1828="","",Raw_Data!C1828)</f>
        <v/>
      </c>
      <c r="D1828" s="13" t="n">
        <f aca="false">IF(Raw_Data!D1828="","",Raw_Data!D1828)</f>
        <v>30</v>
      </c>
      <c r="E1828" s="13" t="str">
        <f aca="false">IF(UPPER(LEFT(TRIM(Raw_Data!E1828),1))="M","Male",IF(UPPER(LEFT(TRIM(Raw_Data!E1828),1))="F","Female","Unknown"))</f>
        <v>Female</v>
      </c>
      <c r="F1828" s="13" t="str">
        <f aca="false">PROPER(TRIM(SUBSTITUTE(Raw_Data!F1828,"'","")))</f>
        <v>High School</v>
      </c>
      <c r="G1828" s="13" t="str">
        <f aca="false">PROPER(TRIM(Raw_Data!G1828))</f>
        <v>Engineering</v>
      </c>
      <c r="H1828" s="13" t="str">
        <f aca="false">PROPER(TRIM(Raw_Data!H1828))</f>
        <v>Associate</v>
      </c>
      <c r="I1828" s="13" t="n">
        <f aca="false">IF(Raw_Data!I1828="",DefaultPerf,Raw_Data!I1828)</f>
        <v>3</v>
      </c>
      <c r="J1828" s="13" t="n">
        <f aca="false">IF(Raw_Data!J1828="",DefaultSat,Raw_Data!J1828)</f>
        <v>3</v>
      </c>
      <c r="K1828" s="15" t="n">
        <f aca="false">Raw_Data!K1828</f>
        <v>38000</v>
      </c>
      <c r="L1828" s="13" t="str">
        <f aca="false">PROPER(TRIM(Raw_Data!N1828))</f>
        <v>Yes</v>
      </c>
      <c r="M1828" s="13" t="n">
        <f aca="false">IF(C1828="",0,1)</f>
        <v>0</v>
      </c>
      <c r="N1828" s="13" t="str">
        <f aca="false">IF(M1828=0,"Active",IF(TRIM(Raw_Data!L1828)="","Unknown",PROPER(TRIM(Raw_Data!L1828))))</f>
        <v>Active</v>
      </c>
      <c r="O1828" s="13" t="str">
        <f aca="false">IF(M1828=0,"",IF(TRIM(Raw_Data!M1828)="","Not Recorded",TRIM(Raw_Data!M1828)))</f>
        <v/>
      </c>
      <c r="P1828" s="16" t="n">
        <f aca="false">ROUND((IF(C1828="",AsOfDate,C1828)-B1828)/365.25,2)</f>
        <v>1.05</v>
      </c>
      <c r="Q1828" s="13" t="str">
        <f aca="false">IF(D1828="","Unknown",IF(D1828&lt;25,"Under 25",IF(D1828&lt;35,"25-34",IF(D1828&lt;45,"35-44",IF(D1828&lt;55,"45-54","55+")))))</f>
        <v>25-34</v>
      </c>
      <c r="R1828" s="13" t="str">
        <f aca="false">IF(P1828&lt;1,"0-1 yrs",IF(P1828&lt;3,"1-3 yrs",IF(P1828&lt;5,"3-5 yrs",IF(P1828&lt;10,"5-10 yrs","10+ yrs"))))</f>
        <v>1-3 yrs</v>
      </c>
      <c r="S1828" s="13" t="str">
        <f aca="false">IF(I1828&gt;=4,"High",IF(I1828=3,"Medium","Low"))</f>
        <v>Medium</v>
      </c>
      <c r="T1828" s="13" t="str">
        <f aca="false">IF(M1828=1,YEAR(C1828),"")</f>
        <v/>
      </c>
      <c r="U1828" s="13" t="str">
        <f aca="false">IF(M1828=1,YEAR(C1828)&amp;"-Q"&amp;ROUNDUP(MONTH(C1828)/3,0),"")</f>
        <v/>
      </c>
      <c r="V1828" s="13" t="str">
        <f aca="false">IF(M1828=1,MONTH(C1828),"")</f>
        <v/>
      </c>
    </row>
    <row r="1829" customFormat="false" ht="15" hidden="false" customHeight="false" outlineLevel="0" collapsed="false">
      <c r="A1829" s="13" t="str">
        <f aca="false">TRIM(Raw_Data!A1829)</f>
        <v>EMP1828</v>
      </c>
      <c r="B1829" s="14" t="n">
        <f aca="false">Raw_Data!B1829</f>
        <v>45640</v>
      </c>
      <c r="C1829" s="14" t="str">
        <f aca="false">IF(Raw_Data!C1829="","",Raw_Data!C1829)</f>
        <v/>
      </c>
      <c r="D1829" s="13" t="n">
        <f aca="false">IF(Raw_Data!D1829="","",Raw_Data!D1829)</f>
        <v>24</v>
      </c>
      <c r="E1829" s="13" t="str">
        <f aca="false">IF(UPPER(LEFT(TRIM(Raw_Data!E1829),1))="M","Male",IF(UPPER(LEFT(TRIM(Raw_Data!E1829),1))="F","Female","Unknown"))</f>
        <v>Female</v>
      </c>
      <c r="F1829" s="13" t="str">
        <f aca="false">PROPER(TRIM(SUBSTITUTE(Raw_Data!F1829,"'","")))</f>
        <v>Masters</v>
      </c>
      <c r="G1829" s="13" t="str">
        <f aca="false">PROPER(TRIM(Raw_Data!G1829))</f>
        <v>Engineering</v>
      </c>
      <c r="H1829" s="13" t="str">
        <f aca="false">PROPER(TRIM(Raw_Data!H1829))</f>
        <v>Specialist</v>
      </c>
      <c r="I1829" s="13" t="n">
        <f aca="false">IF(Raw_Data!I1829="",DefaultPerf,Raw_Data!I1829)</f>
        <v>4</v>
      </c>
      <c r="J1829" s="13" t="n">
        <f aca="false">IF(Raw_Data!J1829="",DefaultSat,Raw_Data!J1829)</f>
        <v>1</v>
      </c>
      <c r="K1829" s="15" t="n">
        <f aca="false">Raw_Data!K1829</f>
        <v>93500</v>
      </c>
      <c r="L1829" s="13" t="str">
        <f aca="false">PROPER(TRIM(Raw_Data!N1829))</f>
        <v>No</v>
      </c>
      <c r="M1829" s="13" t="n">
        <f aca="false">IF(C1829="",0,1)</f>
        <v>0</v>
      </c>
      <c r="N1829" s="13" t="str">
        <f aca="false">IF(M1829=0,"Active",IF(TRIM(Raw_Data!L1829)="","Unknown",PROPER(TRIM(Raw_Data!L1829))))</f>
        <v>Active</v>
      </c>
      <c r="O1829" s="13" t="str">
        <f aca="false">IF(M1829=0,"",IF(TRIM(Raw_Data!M1829)="","Not Recorded",TRIM(Raw_Data!M1829)))</f>
        <v/>
      </c>
      <c r="P1829" s="16" t="n">
        <f aca="false">ROUND((IF(C1829="",AsOfDate,C1829)-B1829)/365.25,2)</f>
        <v>1.05</v>
      </c>
      <c r="Q1829" s="13" t="str">
        <f aca="false">IF(D1829="","Unknown",IF(D1829&lt;25,"Under 25",IF(D1829&lt;35,"25-34",IF(D1829&lt;45,"35-44",IF(D1829&lt;55,"45-54","55+")))))</f>
        <v>Under 25</v>
      </c>
      <c r="R1829" s="13" t="str">
        <f aca="false">IF(P1829&lt;1,"0-1 yrs",IF(P1829&lt;3,"1-3 yrs",IF(P1829&lt;5,"3-5 yrs",IF(P1829&lt;10,"5-10 yrs","10+ yrs"))))</f>
        <v>1-3 yrs</v>
      </c>
      <c r="S1829" s="13" t="str">
        <f aca="false">IF(I1829&gt;=4,"High",IF(I1829=3,"Medium","Low"))</f>
        <v>High</v>
      </c>
      <c r="T1829" s="13" t="str">
        <f aca="false">IF(M1829=1,YEAR(C1829),"")</f>
        <v/>
      </c>
      <c r="U1829" s="13" t="str">
        <f aca="false">IF(M1829=1,YEAR(C1829)&amp;"-Q"&amp;ROUNDUP(MONTH(C1829)/3,0),"")</f>
        <v/>
      </c>
      <c r="V1829" s="13" t="str">
        <f aca="false">IF(M1829=1,MONTH(C1829),"")</f>
        <v/>
      </c>
    </row>
    <row r="1830" customFormat="false" ht="15" hidden="false" customHeight="false" outlineLevel="0" collapsed="false">
      <c r="A1830" s="13" t="str">
        <f aca="false">TRIM(Raw_Data!A1830)</f>
        <v>EMP1829</v>
      </c>
      <c r="B1830" s="14" t="n">
        <f aca="false">Raw_Data!B1830</f>
        <v>45640</v>
      </c>
      <c r="C1830" s="14" t="str">
        <f aca="false">IF(Raw_Data!C1830="","",Raw_Data!C1830)</f>
        <v/>
      </c>
      <c r="D1830" s="13" t="n">
        <f aca="false">IF(Raw_Data!D1830="","",Raw_Data!D1830)</f>
        <v>35</v>
      </c>
      <c r="E1830" s="13" t="str">
        <f aca="false">IF(UPPER(LEFT(TRIM(Raw_Data!E1830),1))="M","Male",IF(UPPER(LEFT(TRIM(Raw_Data!E1830),1))="F","Female","Unknown"))</f>
        <v>Female</v>
      </c>
      <c r="F1830" s="13" t="str">
        <f aca="false">PROPER(TRIM(SUBSTITUTE(Raw_Data!F1830,"'","")))</f>
        <v>Bachelors</v>
      </c>
      <c r="G1830" s="13" t="str">
        <f aca="false">PROPER(TRIM(Raw_Data!G1830))</f>
        <v>Human Resources</v>
      </c>
      <c r="H1830" s="13" t="str">
        <f aca="false">PROPER(TRIM(Raw_Data!H1830))</f>
        <v>Associate</v>
      </c>
      <c r="I1830" s="13" t="n">
        <f aca="false">IF(Raw_Data!I1830="",DefaultPerf,Raw_Data!I1830)</f>
        <v>4</v>
      </c>
      <c r="J1830" s="13" t="n">
        <f aca="false">IF(Raw_Data!J1830="",DefaultSat,Raw_Data!J1830)</f>
        <v>2</v>
      </c>
      <c r="K1830" s="15" t="n">
        <f aca="false">Raw_Data!K1830</f>
        <v>31500</v>
      </c>
      <c r="L1830" s="13" t="str">
        <f aca="false">PROPER(TRIM(Raw_Data!N1830))</f>
        <v>No</v>
      </c>
      <c r="M1830" s="13" t="n">
        <f aca="false">IF(C1830="",0,1)</f>
        <v>0</v>
      </c>
      <c r="N1830" s="13" t="str">
        <f aca="false">IF(M1830=0,"Active",IF(TRIM(Raw_Data!L1830)="","Unknown",PROPER(TRIM(Raw_Data!L1830))))</f>
        <v>Active</v>
      </c>
      <c r="O1830" s="13" t="str">
        <f aca="false">IF(M1830=0,"",IF(TRIM(Raw_Data!M1830)="","Not Recorded",TRIM(Raw_Data!M1830)))</f>
        <v/>
      </c>
      <c r="P1830" s="16" t="n">
        <f aca="false">ROUND((IF(C1830="",AsOfDate,C1830)-B1830)/365.25,2)</f>
        <v>1.05</v>
      </c>
      <c r="Q1830" s="13" t="str">
        <f aca="false">IF(D1830="","Unknown",IF(D1830&lt;25,"Under 25",IF(D1830&lt;35,"25-34",IF(D1830&lt;45,"35-44",IF(D1830&lt;55,"45-54","55+")))))</f>
        <v>35-44</v>
      </c>
      <c r="R1830" s="13" t="str">
        <f aca="false">IF(P1830&lt;1,"0-1 yrs",IF(P1830&lt;3,"1-3 yrs",IF(P1830&lt;5,"3-5 yrs",IF(P1830&lt;10,"5-10 yrs","10+ yrs"))))</f>
        <v>1-3 yrs</v>
      </c>
      <c r="S1830" s="13" t="str">
        <f aca="false">IF(I1830&gt;=4,"High",IF(I1830=3,"Medium","Low"))</f>
        <v>High</v>
      </c>
      <c r="T1830" s="13" t="str">
        <f aca="false">IF(M1830=1,YEAR(C1830),"")</f>
        <v/>
      </c>
      <c r="U1830" s="13" t="str">
        <f aca="false">IF(M1830=1,YEAR(C1830)&amp;"-Q"&amp;ROUNDUP(MONTH(C1830)/3,0),"")</f>
        <v/>
      </c>
      <c r="V1830" s="13" t="str">
        <f aca="false">IF(M1830=1,MONTH(C1830),"")</f>
        <v/>
      </c>
    </row>
    <row r="1831" customFormat="false" ht="15" hidden="false" customHeight="false" outlineLevel="0" collapsed="false">
      <c r="A1831" s="13" t="str">
        <f aca="false">TRIM(Raw_Data!A1831)</f>
        <v>EMP1830</v>
      </c>
      <c r="B1831" s="14" t="n">
        <f aca="false">Raw_Data!B1831</f>
        <v>45642</v>
      </c>
      <c r="C1831" s="14" t="str">
        <f aca="false">IF(Raw_Data!C1831="","",Raw_Data!C1831)</f>
        <v/>
      </c>
      <c r="D1831" s="13" t="n">
        <f aca="false">IF(Raw_Data!D1831="","",Raw_Data!D1831)</f>
        <v>43</v>
      </c>
      <c r="E1831" s="13" t="str">
        <f aca="false">IF(UPPER(LEFT(TRIM(Raw_Data!E1831),1))="M","Male",IF(UPPER(LEFT(TRIM(Raw_Data!E1831),1))="F","Female","Unknown"))</f>
        <v>Male</v>
      </c>
      <c r="F1831" s="13" t="str">
        <f aca="false">PROPER(TRIM(SUBSTITUTE(Raw_Data!F1831,"'","")))</f>
        <v>Masters</v>
      </c>
      <c r="G1831" s="13" t="str">
        <f aca="false">PROPER(TRIM(Raw_Data!G1831))</f>
        <v>Finance</v>
      </c>
      <c r="H1831" s="13" t="str">
        <f aca="false">PROPER(TRIM(Raw_Data!H1831))</f>
        <v>Team Lead</v>
      </c>
      <c r="I1831" s="13" t="n">
        <f aca="false">IF(Raw_Data!I1831="",DefaultPerf,Raw_Data!I1831)</f>
        <v>3</v>
      </c>
      <c r="J1831" s="17" t="n">
        <f aca="false">IF(Raw_Data!J1831="",DefaultSat,Raw_Data!J1831)</f>
        <v>3</v>
      </c>
      <c r="K1831" s="15" t="n">
        <f aca="false">Raw_Data!K1831</f>
        <v>147500</v>
      </c>
      <c r="L1831" s="13" t="str">
        <f aca="false">PROPER(TRIM(Raw_Data!N1831))</f>
        <v>No</v>
      </c>
      <c r="M1831" s="13" t="n">
        <f aca="false">IF(C1831="",0,1)</f>
        <v>0</v>
      </c>
      <c r="N1831" s="13" t="str">
        <f aca="false">IF(M1831=0,"Active",IF(TRIM(Raw_Data!L1831)="","Unknown",PROPER(TRIM(Raw_Data!L1831))))</f>
        <v>Active</v>
      </c>
      <c r="O1831" s="13" t="str">
        <f aca="false">IF(M1831=0,"",IF(TRIM(Raw_Data!M1831)="","Not Recorded",TRIM(Raw_Data!M1831)))</f>
        <v/>
      </c>
      <c r="P1831" s="16" t="n">
        <f aca="false">ROUND((IF(C1831="",AsOfDate,C1831)-B1831)/365.25,2)</f>
        <v>1.04</v>
      </c>
      <c r="Q1831" s="13" t="str">
        <f aca="false">IF(D1831="","Unknown",IF(D1831&lt;25,"Under 25",IF(D1831&lt;35,"25-34",IF(D1831&lt;45,"35-44",IF(D1831&lt;55,"45-54","55+")))))</f>
        <v>35-44</v>
      </c>
      <c r="R1831" s="13" t="str">
        <f aca="false">IF(P1831&lt;1,"0-1 yrs",IF(P1831&lt;3,"1-3 yrs",IF(P1831&lt;5,"3-5 yrs",IF(P1831&lt;10,"5-10 yrs","10+ yrs"))))</f>
        <v>1-3 yrs</v>
      </c>
      <c r="S1831" s="13" t="str">
        <f aca="false">IF(I1831&gt;=4,"High",IF(I1831=3,"Medium","Low"))</f>
        <v>Medium</v>
      </c>
      <c r="T1831" s="13" t="str">
        <f aca="false">IF(M1831=1,YEAR(C1831),"")</f>
        <v/>
      </c>
      <c r="U1831" s="13" t="str">
        <f aca="false">IF(M1831=1,YEAR(C1831)&amp;"-Q"&amp;ROUNDUP(MONTH(C1831)/3,0),"")</f>
        <v/>
      </c>
      <c r="V1831" s="13" t="str">
        <f aca="false">IF(M1831=1,MONTH(C1831),"")</f>
        <v/>
      </c>
    </row>
    <row r="1832" customFormat="false" ht="15" hidden="false" customHeight="false" outlineLevel="0" collapsed="false">
      <c r="A1832" s="13" t="str">
        <f aca="false">TRIM(Raw_Data!A1832)</f>
        <v>EMP1831</v>
      </c>
      <c r="B1832" s="14" t="n">
        <f aca="false">Raw_Data!B1832</f>
        <v>45643</v>
      </c>
      <c r="C1832" s="14" t="str">
        <f aca="false">IF(Raw_Data!C1832="","",Raw_Data!C1832)</f>
        <v/>
      </c>
      <c r="D1832" s="13" t="n">
        <f aca="false">IF(Raw_Data!D1832="","",Raw_Data!D1832)</f>
        <v>26</v>
      </c>
      <c r="E1832" s="13" t="str">
        <f aca="false">IF(UPPER(LEFT(TRIM(Raw_Data!E1832),1))="M","Male",IF(UPPER(LEFT(TRIM(Raw_Data!E1832),1))="F","Female","Unknown"))</f>
        <v>Female</v>
      </c>
      <c r="F1832" s="13" t="str">
        <f aca="false">PROPER(TRIM(SUBSTITUTE(Raw_Data!F1832,"'","")))</f>
        <v>Diploma</v>
      </c>
      <c r="G1832" s="13" t="str">
        <f aca="false">PROPER(TRIM(Raw_Data!G1832))</f>
        <v>Engineering</v>
      </c>
      <c r="H1832" s="13" t="str">
        <f aca="false">PROPER(TRIM(Raw_Data!H1832))</f>
        <v>Analyst</v>
      </c>
      <c r="I1832" s="13" t="n">
        <f aca="false">IF(Raw_Data!I1832="",DefaultPerf,Raw_Data!I1832)</f>
        <v>3</v>
      </c>
      <c r="J1832" s="13" t="n">
        <f aca="false">IF(Raw_Data!J1832="",DefaultSat,Raw_Data!J1832)</f>
        <v>3</v>
      </c>
      <c r="K1832" s="15" t="n">
        <f aca="false">Raw_Data!K1832</f>
        <v>53000</v>
      </c>
      <c r="L1832" s="13" t="str">
        <f aca="false">PROPER(TRIM(Raw_Data!N1832))</f>
        <v>No</v>
      </c>
      <c r="M1832" s="13" t="n">
        <f aca="false">IF(C1832="",0,1)</f>
        <v>0</v>
      </c>
      <c r="N1832" s="13" t="str">
        <f aca="false">IF(M1832=0,"Active",IF(TRIM(Raw_Data!L1832)="","Unknown",PROPER(TRIM(Raw_Data!L1832))))</f>
        <v>Active</v>
      </c>
      <c r="O1832" s="13" t="str">
        <f aca="false">IF(M1832=0,"",IF(TRIM(Raw_Data!M1832)="","Not Recorded",TRIM(Raw_Data!M1832)))</f>
        <v/>
      </c>
      <c r="P1832" s="16" t="n">
        <f aca="false">ROUND((IF(C1832="",AsOfDate,C1832)-B1832)/365.25,2)</f>
        <v>1.04</v>
      </c>
      <c r="Q1832" s="13" t="str">
        <f aca="false">IF(D1832="","Unknown",IF(D1832&lt;25,"Under 25",IF(D1832&lt;35,"25-34",IF(D1832&lt;45,"35-44",IF(D1832&lt;55,"45-54","55+")))))</f>
        <v>25-34</v>
      </c>
      <c r="R1832" s="13" t="str">
        <f aca="false">IF(P1832&lt;1,"0-1 yrs",IF(P1832&lt;3,"1-3 yrs",IF(P1832&lt;5,"3-5 yrs",IF(P1832&lt;10,"5-10 yrs","10+ yrs"))))</f>
        <v>1-3 yrs</v>
      </c>
      <c r="S1832" s="13" t="str">
        <f aca="false">IF(I1832&gt;=4,"High",IF(I1832=3,"Medium","Low"))</f>
        <v>Medium</v>
      </c>
      <c r="T1832" s="13" t="str">
        <f aca="false">IF(M1832=1,YEAR(C1832),"")</f>
        <v/>
      </c>
      <c r="U1832" s="13" t="str">
        <f aca="false">IF(M1832=1,YEAR(C1832)&amp;"-Q"&amp;ROUNDUP(MONTH(C1832)/3,0),"")</f>
        <v/>
      </c>
      <c r="V1832" s="13" t="str">
        <f aca="false">IF(M1832=1,MONTH(C1832),"")</f>
        <v/>
      </c>
    </row>
    <row r="1833" customFormat="false" ht="15" hidden="false" customHeight="false" outlineLevel="0" collapsed="false">
      <c r="A1833" s="13" t="str">
        <f aca="false">TRIM(Raw_Data!A1833)</f>
        <v>EMP1832</v>
      </c>
      <c r="B1833" s="14" t="n">
        <f aca="false">Raw_Data!B1833</f>
        <v>45644</v>
      </c>
      <c r="C1833" s="14" t="str">
        <f aca="false">IF(Raw_Data!C1833="","",Raw_Data!C1833)</f>
        <v/>
      </c>
      <c r="D1833" s="13" t="n">
        <f aca="false">IF(Raw_Data!D1833="","",Raw_Data!D1833)</f>
        <v>35</v>
      </c>
      <c r="E1833" s="13" t="str">
        <f aca="false">IF(UPPER(LEFT(TRIM(Raw_Data!E1833),1))="M","Male",IF(UPPER(LEFT(TRIM(Raw_Data!E1833),1))="F","Female","Unknown"))</f>
        <v>Male</v>
      </c>
      <c r="F1833" s="13" t="str">
        <f aca="false">PROPER(TRIM(SUBSTITUTE(Raw_Data!F1833,"'","")))</f>
        <v>Bachelors</v>
      </c>
      <c r="G1833" s="13" t="str">
        <f aca="false">PROPER(TRIM(Raw_Data!G1833))</f>
        <v>Operations</v>
      </c>
      <c r="H1833" s="13" t="str">
        <f aca="false">PROPER(TRIM(Raw_Data!H1833))</f>
        <v>Senior Analyst</v>
      </c>
      <c r="I1833" s="13" t="n">
        <f aca="false">IF(Raw_Data!I1833="",DefaultPerf,Raw_Data!I1833)</f>
        <v>4</v>
      </c>
      <c r="J1833" s="13" t="n">
        <f aca="false">IF(Raw_Data!J1833="",DefaultSat,Raw_Data!J1833)</f>
        <v>1</v>
      </c>
      <c r="K1833" s="15" t="n">
        <f aca="false">Raw_Data!K1833</f>
        <v>76000</v>
      </c>
      <c r="L1833" s="13" t="str">
        <f aca="false">PROPER(TRIM(Raw_Data!N1833))</f>
        <v>No</v>
      </c>
      <c r="M1833" s="13" t="n">
        <f aca="false">IF(C1833="",0,1)</f>
        <v>0</v>
      </c>
      <c r="N1833" s="13" t="str">
        <f aca="false">IF(M1833=0,"Active",IF(TRIM(Raw_Data!L1833)="","Unknown",PROPER(TRIM(Raw_Data!L1833))))</f>
        <v>Active</v>
      </c>
      <c r="O1833" s="13" t="str">
        <f aca="false">IF(M1833=0,"",IF(TRIM(Raw_Data!M1833)="","Not Recorded",TRIM(Raw_Data!M1833)))</f>
        <v/>
      </c>
      <c r="P1833" s="16" t="n">
        <f aca="false">ROUND((IF(C1833="",AsOfDate,C1833)-B1833)/365.25,2)</f>
        <v>1.03</v>
      </c>
      <c r="Q1833" s="13" t="str">
        <f aca="false">IF(D1833="","Unknown",IF(D1833&lt;25,"Under 25",IF(D1833&lt;35,"25-34",IF(D1833&lt;45,"35-44",IF(D1833&lt;55,"45-54","55+")))))</f>
        <v>35-44</v>
      </c>
      <c r="R1833" s="13" t="str">
        <f aca="false">IF(P1833&lt;1,"0-1 yrs",IF(P1833&lt;3,"1-3 yrs",IF(P1833&lt;5,"3-5 yrs",IF(P1833&lt;10,"5-10 yrs","10+ yrs"))))</f>
        <v>1-3 yrs</v>
      </c>
      <c r="S1833" s="13" t="str">
        <f aca="false">IF(I1833&gt;=4,"High",IF(I1833=3,"Medium","Low"))</f>
        <v>High</v>
      </c>
      <c r="T1833" s="13" t="str">
        <f aca="false">IF(M1833=1,YEAR(C1833),"")</f>
        <v/>
      </c>
      <c r="U1833" s="13" t="str">
        <f aca="false">IF(M1833=1,YEAR(C1833)&amp;"-Q"&amp;ROUNDUP(MONTH(C1833)/3,0),"")</f>
        <v/>
      </c>
      <c r="V1833" s="13" t="str">
        <f aca="false">IF(M1833=1,MONTH(C1833),"")</f>
        <v/>
      </c>
    </row>
    <row r="1834" customFormat="false" ht="15" hidden="false" customHeight="false" outlineLevel="0" collapsed="false">
      <c r="A1834" s="13" t="str">
        <f aca="false">TRIM(Raw_Data!A1834)</f>
        <v>EMP1833</v>
      </c>
      <c r="B1834" s="14" t="n">
        <f aca="false">Raw_Data!B1834</f>
        <v>45644</v>
      </c>
      <c r="C1834" s="14" t="str">
        <f aca="false">IF(Raw_Data!C1834="","",Raw_Data!C1834)</f>
        <v/>
      </c>
      <c r="D1834" s="13" t="n">
        <f aca="false">IF(Raw_Data!D1834="","",Raw_Data!D1834)</f>
        <v>31</v>
      </c>
      <c r="E1834" s="13" t="str">
        <f aca="false">IF(UPPER(LEFT(TRIM(Raw_Data!E1834),1))="M","Male",IF(UPPER(LEFT(TRIM(Raw_Data!E1834),1))="F","Female","Unknown"))</f>
        <v>Male</v>
      </c>
      <c r="F1834" s="13" t="str">
        <f aca="false">PROPER(TRIM(SUBSTITUTE(Raw_Data!F1834,"'","")))</f>
        <v>Masters</v>
      </c>
      <c r="G1834" s="13" t="str">
        <f aca="false">PROPER(TRIM(Raw_Data!G1834))</f>
        <v>Customer Support</v>
      </c>
      <c r="H1834" s="13" t="str">
        <f aca="false">PROPER(TRIM(Raw_Data!H1834))</f>
        <v>Analyst</v>
      </c>
      <c r="I1834" s="13" t="n">
        <f aca="false">IF(Raw_Data!I1834="",DefaultPerf,Raw_Data!I1834)</f>
        <v>5</v>
      </c>
      <c r="J1834" s="13" t="n">
        <f aca="false">IF(Raw_Data!J1834="",DefaultSat,Raw_Data!J1834)</f>
        <v>3</v>
      </c>
      <c r="K1834" s="15" t="n">
        <f aca="false">Raw_Data!K1834</f>
        <v>56000</v>
      </c>
      <c r="L1834" s="13" t="str">
        <f aca="false">PROPER(TRIM(Raw_Data!N1834))</f>
        <v>No</v>
      </c>
      <c r="M1834" s="13" t="n">
        <f aca="false">IF(C1834="",0,1)</f>
        <v>0</v>
      </c>
      <c r="N1834" s="13" t="str">
        <f aca="false">IF(M1834=0,"Active",IF(TRIM(Raw_Data!L1834)="","Unknown",PROPER(TRIM(Raw_Data!L1834))))</f>
        <v>Active</v>
      </c>
      <c r="O1834" s="13" t="str">
        <f aca="false">IF(M1834=0,"",IF(TRIM(Raw_Data!M1834)="","Not Recorded",TRIM(Raw_Data!M1834)))</f>
        <v/>
      </c>
      <c r="P1834" s="16" t="n">
        <f aca="false">ROUND((IF(C1834="",AsOfDate,C1834)-B1834)/365.25,2)</f>
        <v>1.03</v>
      </c>
      <c r="Q1834" s="13" t="str">
        <f aca="false">IF(D1834="","Unknown",IF(D1834&lt;25,"Under 25",IF(D1834&lt;35,"25-34",IF(D1834&lt;45,"35-44",IF(D1834&lt;55,"45-54","55+")))))</f>
        <v>25-34</v>
      </c>
      <c r="R1834" s="13" t="str">
        <f aca="false">IF(P1834&lt;1,"0-1 yrs",IF(P1834&lt;3,"1-3 yrs",IF(P1834&lt;5,"3-5 yrs",IF(P1834&lt;10,"5-10 yrs","10+ yrs"))))</f>
        <v>1-3 yrs</v>
      </c>
      <c r="S1834" s="13" t="str">
        <f aca="false">IF(I1834&gt;=4,"High",IF(I1834=3,"Medium","Low"))</f>
        <v>High</v>
      </c>
      <c r="T1834" s="13" t="str">
        <f aca="false">IF(M1834=1,YEAR(C1834),"")</f>
        <v/>
      </c>
      <c r="U1834" s="13" t="str">
        <f aca="false">IF(M1834=1,YEAR(C1834)&amp;"-Q"&amp;ROUNDUP(MONTH(C1834)/3,0),"")</f>
        <v/>
      </c>
      <c r="V1834" s="13" t="str">
        <f aca="false">IF(M1834=1,MONTH(C1834),"")</f>
        <v/>
      </c>
    </row>
    <row r="1835" customFormat="false" ht="15" hidden="false" customHeight="false" outlineLevel="0" collapsed="false">
      <c r="A1835" s="13" t="str">
        <f aca="false">TRIM(Raw_Data!A1835)</f>
        <v>EMP1834</v>
      </c>
      <c r="B1835" s="14" t="n">
        <f aca="false">Raw_Data!B1835</f>
        <v>45645</v>
      </c>
      <c r="C1835" s="14" t="str">
        <f aca="false">IF(Raw_Data!C1835="","",Raw_Data!C1835)</f>
        <v/>
      </c>
      <c r="D1835" s="13" t="n">
        <f aca="false">IF(Raw_Data!D1835="","",Raw_Data!D1835)</f>
        <v>34</v>
      </c>
      <c r="E1835" s="13" t="str">
        <f aca="false">IF(UPPER(LEFT(TRIM(Raw_Data!E1835),1))="M","Male",IF(UPPER(LEFT(TRIM(Raw_Data!E1835),1))="F","Female","Unknown"))</f>
        <v>Female</v>
      </c>
      <c r="F1835" s="13" t="str">
        <f aca="false">PROPER(TRIM(SUBSTITUTE(Raw_Data!F1835,"'","")))</f>
        <v>Bachelors</v>
      </c>
      <c r="G1835" s="13" t="str">
        <f aca="false">PROPER(TRIM(Raw_Data!G1835))</f>
        <v>Engineering</v>
      </c>
      <c r="H1835" s="13" t="str">
        <f aca="false">PROPER(TRIM(Raw_Data!H1835))</f>
        <v>Senior Analyst</v>
      </c>
      <c r="I1835" s="13" t="n">
        <f aca="false">IF(Raw_Data!I1835="",DefaultPerf,Raw_Data!I1835)</f>
        <v>3</v>
      </c>
      <c r="J1835" s="13" t="n">
        <f aca="false">IF(Raw_Data!J1835="",DefaultSat,Raw_Data!J1835)</f>
        <v>2</v>
      </c>
      <c r="K1835" s="15" t="n">
        <f aca="false">Raw_Data!K1835</f>
        <v>88500</v>
      </c>
      <c r="L1835" s="13" t="str">
        <f aca="false">PROPER(TRIM(Raw_Data!N1835))</f>
        <v>Yes</v>
      </c>
      <c r="M1835" s="13" t="n">
        <f aca="false">IF(C1835="",0,1)</f>
        <v>0</v>
      </c>
      <c r="N1835" s="13" t="str">
        <f aca="false">IF(M1835=0,"Active",IF(TRIM(Raw_Data!L1835)="","Unknown",PROPER(TRIM(Raw_Data!L1835))))</f>
        <v>Active</v>
      </c>
      <c r="O1835" s="13" t="str">
        <f aca="false">IF(M1835=0,"",IF(TRIM(Raw_Data!M1835)="","Not Recorded",TRIM(Raw_Data!M1835)))</f>
        <v/>
      </c>
      <c r="P1835" s="16" t="n">
        <f aca="false">ROUND((IF(C1835="",AsOfDate,C1835)-B1835)/365.25,2)</f>
        <v>1.03</v>
      </c>
      <c r="Q1835" s="13" t="str">
        <f aca="false">IF(D1835="","Unknown",IF(D1835&lt;25,"Under 25",IF(D1835&lt;35,"25-34",IF(D1835&lt;45,"35-44",IF(D1835&lt;55,"45-54","55+")))))</f>
        <v>25-34</v>
      </c>
      <c r="R1835" s="13" t="str">
        <f aca="false">IF(P1835&lt;1,"0-1 yrs",IF(P1835&lt;3,"1-3 yrs",IF(P1835&lt;5,"3-5 yrs",IF(P1835&lt;10,"5-10 yrs","10+ yrs"))))</f>
        <v>1-3 yrs</v>
      </c>
      <c r="S1835" s="13" t="str">
        <f aca="false">IF(I1835&gt;=4,"High",IF(I1835=3,"Medium","Low"))</f>
        <v>Medium</v>
      </c>
      <c r="T1835" s="13" t="str">
        <f aca="false">IF(M1835=1,YEAR(C1835),"")</f>
        <v/>
      </c>
      <c r="U1835" s="13" t="str">
        <f aca="false">IF(M1835=1,YEAR(C1835)&amp;"-Q"&amp;ROUNDUP(MONTH(C1835)/3,0),"")</f>
        <v/>
      </c>
      <c r="V1835" s="13" t="str">
        <f aca="false">IF(M1835=1,MONTH(C1835),"")</f>
        <v/>
      </c>
    </row>
    <row r="1836" customFormat="false" ht="15" hidden="false" customHeight="false" outlineLevel="0" collapsed="false">
      <c r="A1836" s="13" t="str">
        <f aca="false">TRIM(Raw_Data!A1836)</f>
        <v>EMP1835</v>
      </c>
      <c r="B1836" s="14" t="n">
        <f aca="false">Raw_Data!B1836</f>
        <v>45646</v>
      </c>
      <c r="C1836" s="14" t="n">
        <f aca="false">IF(Raw_Data!C1836="","",Raw_Data!C1836)</f>
        <v>45943</v>
      </c>
      <c r="D1836" s="13" t="n">
        <f aca="false">IF(Raw_Data!D1836="","",Raw_Data!D1836)</f>
        <v>29</v>
      </c>
      <c r="E1836" s="13" t="str">
        <f aca="false">IF(UPPER(LEFT(TRIM(Raw_Data!E1836),1))="M","Male",IF(UPPER(LEFT(TRIM(Raw_Data!E1836),1))="F","Female","Unknown"))</f>
        <v>Female</v>
      </c>
      <c r="F1836" s="13" t="str">
        <f aca="false">PROPER(TRIM(SUBSTITUTE(Raw_Data!F1836,"'","")))</f>
        <v>Masters</v>
      </c>
      <c r="G1836" s="13" t="str">
        <f aca="false">PROPER(TRIM(Raw_Data!G1836))</f>
        <v>Engineering</v>
      </c>
      <c r="H1836" s="13" t="str">
        <f aca="false">PROPER(TRIM(Raw_Data!H1836))</f>
        <v>Analyst</v>
      </c>
      <c r="I1836" s="13" t="n">
        <f aca="false">IF(Raw_Data!I1836="",DefaultPerf,Raw_Data!I1836)</f>
        <v>3</v>
      </c>
      <c r="J1836" s="13" t="n">
        <f aca="false">IF(Raw_Data!J1836="",DefaultSat,Raw_Data!J1836)</f>
        <v>3</v>
      </c>
      <c r="K1836" s="15" t="n">
        <f aca="false">Raw_Data!K1836</f>
        <v>54000</v>
      </c>
      <c r="L1836" s="13" t="str">
        <f aca="false">PROPER(TRIM(Raw_Data!N1836))</f>
        <v>No</v>
      </c>
      <c r="M1836" s="13" t="n">
        <f aca="false">IF(C1836="",0,1)</f>
        <v>1</v>
      </c>
      <c r="N1836" s="13" t="str">
        <f aca="false">IF(M1836=0,"Active",IF(TRIM(Raw_Data!L1836)="","Unknown",PROPER(TRIM(Raw_Data!L1836))))</f>
        <v>Voluntary</v>
      </c>
      <c r="O1836" s="13" t="str">
        <f aca="false">IF(M1836=0,"",IF(TRIM(Raw_Data!M1836)="","Not Recorded",TRIM(Raw_Data!M1836)))</f>
        <v>Further Studies</v>
      </c>
      <c r="P1836" s="16" t="n">
        <f aca="false">ROUND((IF(C1836="",AsOfDate,C1836)-B1836)/365.25,2)</f>
        <v>0.81</v>
      </c>
      <c r="Q1836" s="13" t="str">
        <f aca="false">IF(D1836="","Unknown",IF(D1836&lt;25,"Under 25",IF(D1836&lt;35,"25-34",IF(D1836&lt;45,"35-44",IF(D1836&lt;55,"45-54","55+")))))</f>
        <v>25-34</v>
      </c>
      <c r="R1836" s="13" t="str">
        <f aca="false">IF(P1836&lt;1,"0-1 yrs",IF(P1836&lt;3,"1-3 yrs",IF(P1836&lt;5,"3-5 yrs",IF(P1836&lt;10,"5-10 yrs","10+ yrs"))))</f>
        <v>0-1 yrs</v>
      </c>
      <c r="S1836" s="13" t="str">
        <f aca="false">IF(I1836&gt;=4,"High",IF(I1836=3,"Medium","Low"))</f>
        <v>Medium</v>
      </c>
      <c r="T1836" s="13" t="n">
        <f aca="false">IF(M1836=1,YEAR(C1836),"")</f>
        <v>2025</v>
      </c>
      <c r="U1836" s="13" t="str">
        <f aca="false">IF(M1836=1,YEAR(C1836)&amp;"-Q"&amp;ROUNDUP(MONTH(C1836)/3,0),"")</f>
        <v>2025-Q4</v>
      </c>
      <c r="V1836" s="13" t="n">
        <f aca="false">IF(M1836=1,MONTH(C1836),"")</f>
        <v>10</v>
      </c>
    </row>
    <row r="1837" customFormat="false" ht="15" hidden="false" customHeight="false" outlineLevel="0" collapsed="false">
      <c r="A1837" s="13" t="str">
        <f aca="false">TRIM(Raw_Data!A1837)</f>
        <v>EMP1836</v>
      </c>
      <c r="B1837" s="14" t="n">
        <f aca="false">Raw_Data!B1837</f>
        <v>45648</v>
      </c>
      <c r="C1837" s="14" t="n">
        <f aca="false">IF(Raw_Data!C1837="","",Raw_Data!C1837)</f>
        <v>45702</v>
      </c>
      <c r="D1837" s="13" t="n">
        <f aca="false">IF(Raw_Data!D1837="","",Raw_Data!D1837)</f>
        <v>33</v>
      </c>
      <c r="E1837" s="13" t="str">
        <f aca="false">IF(UPPER(LEFT(TRIM(Raw_Data!E1837),1))="M","Male",IF(UPPER(LEFT(TRIM(Raw_Data!E1837),1))="F","Female","Unknown"))</f>
        <v>Male</v>
      </c>
      <c r="F1837" s="13" t="str">
        <f aca="false">PROPER(TRIM(SUBSTITUTE(Raw_Data!F1837,"'","")))</f>
        <v>Masters</v>
      </c>
      <c r="G1837" s="13" t="str">
        <f aca="false">PROPER(TRIM(Raw_Data!G1837))</f>
        <v>Engineering</v>
      </c>
      <c r="H1837" s="13" t="str">
        <f aca="false">PROPER(TRIM(Raw_Data!H1837))</f>
        <v>Associate</v>
      </c>
      <c r="I1837" s="13" t="n">
        <f aca="false">IF(Raw_Data!I1837="",DefaultPerf,Raw_Data!I1837)</f>
        <v>3</v>
      </c>
      <c r="J1837" s="13" t="n">
        <f aca="false">IF(Raw_Data!J1837="",DefaultSat,Raw_Data!J1837)</f>
        <v>1</v>
      </c>
      <c r="K1837" s="15" t="n">
        <f aca="false">Raw_Data!K1837</f>
        <v>34000</v>
      </c>
      <c r="L1837" s="13" t="str">
        <f aca="false">PROPER(TRIM(Raw_Data!N1837))</f>
        <v>No</v>
      </c>
      <c r="M1837" s="13" t="n">
        <f aca="false">IF(C1837="",0,1)</f>
        <v>1</v>
      </c>
      <c r="N1837" s="13" t="str">
        <f aca="false">IF(M1837=0,"Active",IF(TRIM(Raw_Data!L1837)="","Unknown",PROPER(TRIM(Raw_Data!L1837))))</f>
        <v>Voluntary</v>
      </c>
      <c r="O1837" s="13" t="str">
        <f aca="false">IF(M1837=0,"",IF(TRIM(Raw_Data!M1837)="","Not Recorded",TRIM(Raw_Data!M1837)))</f>
        <v>Further Studies</v>
      </c>
      <c r="P1837" s="16" t="n">
        <f aca="false">ROUND((IF(C1837="",AsOfDate,C1837)-B1837)/365.25,2)</f>
        <v>0.15</v>
      </c>
      <c r="Q1837" s="13" t="str">
        <f aca="false">IF(D1837="","Unknown",IF(D1837&lt;25,"Under 25",IF(D1837&lt;35,"25-34",IF(D1837&lt;45,"35-44",IF(D1837&lt;55,"45-54","55+")))))</f>
        <v>25-34</v>
      </c>
      <c r="R1837" s="13" t="str">
        <f aca="false">IF(P1837&lt;1,"0-1 yrs",IF(P1837&lt;3,"1-3 yrs",IF(P1837&lt;5,"3-5 yrs",IF(P1837&lt;10,"5-10 yrs","10+ yrs"))))</f>
        <v>0-1 yrs</v>
      </c>
      <c r="S1837" s="13" t="str">
        <f aca="false">IF(I1837&gt;=4,"High",IF(I1837=3,"Medium","Low"))</f>
        <v>Medium</v>
      </c>
      <c r="T1837" s="13" t="n">
        <f aca="false">IF(M1837=1,YEAR(C1837),"")</f>
        <v>2025</v>
      </c>
      <c r="U1837" s="13" t="str">
        <f aca="false">IF(M1837=1,YEAR(C1837)&amp;"-Q"&amp;ROUNDUP(MONTH(C1837)/3,0),"")</f>
        <v>2025-Q1</v>
      </c>
      <c r="V1837" s="13" t="n">
        <f aca="false">IF(M1837=1,MONTH(C1837),"")</f>
        <v>2</v>
      </c>
    </row>
    <row r="1838" customFormat="false" ht="15" hidden="false" customHeight="false" outlineLevel="0" collapsed="false">
      <c r="A1838" s="13" t="str">
        <f aca="false">TRIM(Raw_Data!A1838)</f>
        <v>EMP1837</v>
      </c>
      <c r="B1838" s="14" t="n">
        <f aca="false">Raw_Data!B1838</f>
        <v>45648</v>
      </c>
      <c r="C1838" s="14" t="str">
        <f aca="false">IF(Raw_Data!C1838="","",Raw_Data!C1838)</f>
        <v/>
      </c>
      <c r="D1838" s="13" t="n">
        <f aca="false">IF(Raw_Data!D1838="","",Raw_Data!D1838)</f>
        <v>36</v>
      </c>
      <c r="E1838" s="13" t="str">
        <f aca="false">IF(UPPER(LEFT(TRIM(Raw_Data!E1838),1))="M","Male",IF(UPPER(LEFT(TRIM(Raw_Data!E1838),1))="F","Female","Unknown"))</f>
        <v>Female</v>
      </c>
      <c r="F1838" s="13" t="str">
        <f aca="false">PROPER(TRIM(SUBSTITUTE(Raw_Data!F1838,"'","")))</f>
        <v>Diploma</v>
      </c>
      <c r="G1838" s="13" t="str">
        <f aca="false">PROPER(TRIM(Raw_Data!G1838))</f>
        <v>Engineering</v>
      </c>
      <c r="H1838" s="13" t="str">
        <f aca="false">PROPER(TRIM(Raw_Data!H1838))</f>
        <v>Associate</v>
      </c>
      <c r="I1838" s="13" t="n">
        <f aca="false">IF(Raw_Data!I1838="",DefaultPerf,Raw_Data!I1838)</f>
        <v>5</v>
      </c>
      <c r="J1838" s="13" t="n">
        <f aca="false">IF(Raw_Data!J1838="",DefaultSat,Raw_Data!J1838)</f>
        <v>3</v>
      </c>
      <c r="K1838" s="15" t="n">
        <f aca="false">Raw_Data!K1838</f>
        <v>34500</v>
      </c>
      <c r="L1838" s="13" t="str">
        <f aca="false">PROPER(TRIM(Raw_Data!N1838))</f>
        <v>No</v>
      </c>
      <c r="M1838" s="13" t="n">
        <f aca="false">IF(C1838="",0,1)</f>
        <v>0</v>
      </c>
      <c r="N1838" s="13" t="str">
        <f aca="false">IF(M1838=0,"Active",IF(TRIM(Raw_Data!L1838)="","Unknown",PROPER(TRIM(Raw_Data!L1838))))</f>
        <v>Active</v>
      </c>
      <c r="O1838" s="13" t="str">
        <f aca="false">IF(M1838=0,"",IF(TRIM(Raw_Data!M1838)="","Not Recorded",TRIM(Raw_Data!M1838)))</f>
        <v/>
      </c>
      <c r="P1838" s="16" t="n">
        <f aca="false">ROUND((IF(C1838="",AsOfDate,C1838)-B1838)/365.25,2)</f>
        <v>1.02</v>
      </c>
      <c r="Q1838" s="13" t="str">
        <f aca="false">IF(D1838="","Unknown",IF(D1838&lt;25,"Under 25",IF(D1838&lt;35,"25-34",IF(D1838&lt;45,"35-44",IF(D1838&lt;55,"45-54","55+")))))</f>
        <v>35-44</v>
      </c>
      <c r="R1838" s="13" t="str">
        <f aca="false">IF(P1838&lt;1,"0-1 yrs",IF(P1838&lt;3,"1-3 yrs",IF(P1838&lt;5,"3-5 yrs",IF(P1838&lt;10,"5-10 yrs","10+ yrs"))))</f>
        <v>1-3 yrs</v>
      </c>
      <c r="S1838" s="13" t="str">
        <f aca="false">IF(I1838&gt;=4,"High",IF(I1838=3,"Medium","Low"))</f>
        <v>High</v>
      </c>
      <c r="T1838" s="13" t="str">
        <f aca="false">IF(M1838=1,YEAR(C1838),"")</f>
        <v/>
      </c>
      <c r="U1838" s="13" t="str">
        <f aca="false">IF(M1838=1,YEAR(C1838)&amp;"-Q"&amp;ROUNDUP(MONTH(C1838)/3,0),"")</f>
        <v/>
      </c>
      <c r="V1838" s="13" t="str">
        <f aca="false">IF(M1838=1,MONTH(C1838),"")</f>
        <v/>
      </c>
    </row>
    <row r="1839" customFormat="false" ht="15" hidden="false" customHeight="false" outlineLevel="0" collapsed="false">
      <c r="A1839" s="13" t="str">
        <f aca="false">TRIM(Raw_Data!A1839)</f>
        <v>EMP1838</v>
      </c>
      <c r="B1839" s="14" t="n">
        <f aca="false">Raw_Data!B1839</f>
        <v>45652</v>
      </c>
      <c r="C1839" s="14" t="str">
        <f aca="false">IF(Raw_Data!C1839="","",Raw_Data!C1839)</f>
        <v/>
      </c>
      <c r="D1839" s="13" t="n">
        <f aca="false">IF(Raw_Data!D1839="","",Raw_Data!D1839)</f>
        <v>36</v>
      </c>
      <c r="E1839" s="13" t="str">
        <f aca="false">IF(UPPER(LEFT(TRIM(Raw_Data!E1839),1))="M","Male",IF(UPPER(LEFT(TRIM(Raw_Data!E1839),1))="F","Female","Unknown"))</f>
        <v>Female</v>
      </c>
      <c r="F1839" s="13" t="str">
        <f aca="false">PROPER(TRIM(SUBSTITUTE(Raw_Data!F1839,"'","")))</f>
        <v>High School</v>
      </c>
      <c r="G1839" s="13" t="str">
        <f aca="false">PROPER(TRIM(Raw_Data!G1839))</f>
        <v>Engineering</v>
      </c>
      <c r="H1839" s="13" t="str">
        <f aca="false">PROPER(TRIM(Raw_Data!H1839))</f>
        <v>Team Lead</v>
      </c>
      <c r="I1839" s="13" t="n">
        <f aca="false">IF(Raw_Data!I1839="",DefaultPerf,Raw_Data!I1839)</f>
        <v>3</v>
      </c>
      <c r="J1839" s="13" t="n">
        <f aca="false">IF(Raw_Data!J1839="",DefaultSat,Raw_Data!J1839)</f>
        <v>3</v>
      </c>
      <c r="K1839" s="15" t="n">
        <f aca="false">Raw_Data!K1839</f>
        <v>129000</v>
      </c>
      <c r="L1839" s="13" t="str">
        <f aca="false">PROPER(TRIM(Raw_Data!N1839))</f>
        <v>Yes</v>
      </c>
      <c r="M1839" s="13" t="n">
        <f aca="false">IF(C1839="",0,1)</f>
        <v>0</v>
      </c>
      <c r="N1839" s="13" t="str">
        <f aca="false">IF(M1839=0,"Active",IF(TRIM(Raw_Data!L1839)="","Unknown",PROPER(TRIM(Raw_Data!L1839))))</f>
        <v>Active</v>
      </c>
      <c r="O1839" s="13" t="str">
        <f aca="false">IF(M1839=0,"",IF(TRIM(Raw_Data!M1839)="","Not Recorded",TRIM(Raw_Data!M1839)))</f>
        <v/>
      </c>
      <c r="P1839" s="16" t="n">
        <f aca="false">ROUND((IF(C1839="",AsOfDate,C1839)-B1839)/365.25,2)</f>
        <v>1.01</v>
      </c>
      <c r="Q1839" s="13" t="str">
        <f aca="false">IF(D1839="","Unknown",IF(D1839&lt;25,"Under 25",IF(D1839&lt;35,"25-34",IF(D1839&lt;45,"35-44",IF(D1839&lt;55,"45-54","55+")))))</f>
        <v>35-44</v>
      </c>
      <c r="R1839" s="13" t="str">
        <f aca="false">IF(P1839&lt;1,"0-1 yrs",IF(P1839&lt;3,"1-3 yrs",IF(P1839&lt;5,"3-5 yrs",IF(P1839&lt;10,"5-10 yrs","10+ yrs"))))</f>
        <v>1-3 yrs</v>
      </c>
      <c r="S1839" s="13" t="str">
        <f aca="false">IF(I1839&gt;=4,"High",IF(I1839=3,"Medium","Low"))</f>
        <v>Medium</v>
      </c>
      <c r="T1839" s="13" t="str">
        <f aca="false">IF(M1839=1,YEAR(C1839),"")</f>
        <v/>
      </c>
      <c r="U1839" s="13" t="str">
        <f aca="false">IF(M1839=1,YEAR(C1839)&amp;"-Q"&amp;ROUNDUP(MONTH(C1839)/3,0),"")</f>
        <v/>
      </c>
      <c r="V1839" s="13" t="str">
        <f aca="false">IF(M1839=1,MONTH(C1839),"")</f>
        <v/>
      </c>
    </row>
    <row r="1840" customFormat="false" ht="15" hidden="false" customHeight="false" outlineLevel="0" collapsed="false">
      <c r="A1840" s="13" t="str">
        <f aca="false">TRIM(Raw_Data!A1840)</f>
        <v>EMP1839</v>
      </c>
      <c r="B1840" s="14" t="n">
        <f aca="false">Raw_Data!B1840</f>
        <v>45656</v>
      </c>
      <c r="C1840" s="14" t="n">
        <f aca="false">IF(Raw_Data!C1840="","",Raw_Data!C1840)</f>
        <v>45898</v>
      </c>
      <c r="D1840" s="13" t="n">
        <f aca="false">IF(Raw_Data!D1840="","",Raw_Data!D1840)</f>
        <v>24</v>
      </c>
      <c r="E1840" s="13" t="str">
        <f aca="false">IF(UPPER(LEFT(TRIM(Raw_Data!E1840),1))="M","Male",IF(UPPER(LEFT(TRIM(Raw_Data!E1840),1))="F","Female","Unknown"))</f>
        <v>Male</v>
      </c>
      <c r="F1840" s="13" t="str">
        <f aca="false">PROPER(TRIM(SUBSTITUTE(Raw_Data!F1840,"'","")))</f>
        <v>Masters</v>
      </c>
      <c r="G1840" s="13" t="str">
        <f aca="false">PROPER(TRIM(Raw_Data!G1840))</f>
        <v>Engineering</v>
      </c>
      <c r="H1840" s="13" t="str">
        <f aca="false">PROPER(TRIM(Raw_Data!H1840))</f>
        <v>Analyst</v>
      </c>
      <c r="I1840" s="13" t="n">
        <f aca="false">IF(Raw_Data!I1840="",DefaultPerf,Raw_Data!I1840)</f>
        <v>3</v>
      </c>
      <c r="J1840" s="13" t="n">
        <f aca="false">IF(Raw_Data!J1840="",DefaultSat,Raw_Data!J1840)</f>
        <v>1</v>
      </c>
      <c r="K1840" s="15" t="n">
        <f aca="false">Raw_Data!K1840</f>
        <v>62000</v>
      </c>
      <c r="L1840" s="13" t="str">
        <f aca="false">PROPER(TRIM(Raw_Data!N1840))</f>
        <v>No</v>
      </c>
      <c r="M1840" s="13" t="n">
        <f aca="false">IF(C1840="",0,1)</f>
        <v>1</v>
      </c>
      <c r="N1840" s="13" t="str">
        <f aca="false">IF(M1840=0,"Active",IF(TRIM(Raw_Data!L1840)="","Unknown",PROPER(TRIM(Raw_Data!L1840))))</f>
        <v>Involuntary</v>
      </c>
      <c r="O1840" s="13" t="str">
        <f aca="false">IF(M1840=0,"",IF(TRIM(Raw_Data!M1840)="","Not Recorded",TRIM(Raw_Data!M1840)))</f>
        <v>Policy Violation</v>
      </c>
      <c r="P1840" s="16" t="n">
        <f aca="false">ROUND((IF(C1840="",AsOfDate,C1840)-B1840)/365.25,2)</f>
        <v>0.66</v>
      </c>
      <c r="Q1840" s="13" t="str">
        <f aca="false">IF(D1840="","Unknown",IF(D1840&lt;25,"Under 25",IF(D1840&lt;35,"25-34",IF(D1840&lt;45,"35-44",IF(D1840&lt;55,"45-54","55+")))))</f>
        <v>Under 25</v>
      </c>
      <c r="R1840" s="13" t="str">
        <f aca="false">IF(P1840&lt;1,"0-1 yrs",IF(P1840&lt;3,"1-3 yrs",IF(P1840&lt;5,"3-5 yrs",IF(P1840&lt;10,"5-10 yrs","10+ yrs"))))</f>
        <v>0-1 yrs</v>
      </c>
      <c r="S1840" s="13" t="str">
        <f aca="false">IF(I1840&gt;=4,"High",IF(I1840=3,"Medium","Low"))</f>
        <v>Medium</v>
      </c>
      <c r="T1840" s="13" t="n">
        <f aca="false">IF(M1840=1,YEAR(C1840),"")</f>
        <v>2025</v>
      </c>
      <c r="U1840" s="13" t="str">
        <f aca="false">IF(M1840=1,YEAR(C1840)&amp;"-Q"&amp;ROUNDUP(MONTH(C1840)/3,0),"")</f>
        <v>2025-Q3</v>
      </c>
      <c r="V1840" s="13" t="n">
        <f aca="false">IF(M1840=1,MONTH(C1840),"")</f>
        <v>8</v>
      </c>
    </row>
    <row r="1841" customFormat="false" ht="15" hidden="false" customHeight="false" outlineLevel="0" collapsed="false">
      <c r="A1841" s="13" t="str">
        <f aca="false">TRIM(Raw_Data!A1841)</f>
        <v>EMP1840</v>
      </c>
      <c r="B1841" s="14" t="n">
        <f aca="false">Raw_Data!B1841</f>
        <v>45663</v>
      </c>
      <c r="C1841" s="14" t="str">
        <f aca="false">IF(Raw_Data!C1841="","",Raw_Data!C1841)</f>
        <v/>
      </c>
      <c r="D1841" s="13" t="n">
        <f aca="false">IF(Raw_Data!D1841="","",Raw_Data!D1841)</f>
        <v>31</v>
      </c>
      <c r="E1841" s="13" t="str">
        <f aca="false">IF(UPPER(LEFT(TRIM(Raw_Data!E1841),1))="M","Male",IF(UPPER(LEFT(TRIM(Raw_Data!E1841),1))="F","Female","Unknown"))</f>
        <v>Female</v>
      </c>
      <c r="F1841" s="13" t="str">
        <f aca="false">PROPER(TRIM(SUBSTITUTE(Raw_Data!F1841,"'","")))</f>
        <v>Bachelors</v>
      </c>
      <c r="G1841" s="13" t="str">
        <f aca="false">PROPER(TRIM(Raw_Data!G1841))</f>
        <v>Operations</v>
      </c>
      <c r="H1841" s="13" t="str">
        <f aca="false">PROPER(TRIM(Raw_Data!H1841))</f>
        <v>Analyst</v>
      </c>
      <c r="I1841" s="13" t="n">
        <f aca="false">IF(Raw_Data!I1841="",DefaultPerf,Raw_Data!I1841)</f>
        <v>4</v>
      </c>
      <c r="J1841" s="13" t="n">
        <f aca="false">IF(Raw_Data!J1841="",DefaultSat,Raw_Data!J1841)</f>
        <v>2</v>
      </c>
      <c r="K1841" s="15" t="n">
        <f aca="false">Raw_Data!K1841</f>
        <v>58000</v>
      </c>
      <c r="L1841" s="13" t="str">
        <f aca="false">PROPER(TRIM(Raw_Data!N1841))</f>
        <v>No</v>
      </c>
      <c r="M1841" s="13" t="n">
        <f aca="false">IF(C1841="",0,1)</f>
        <v>0</v>
      </c>
      <c r="N1841" s="13" t="str">
        <f aca="false">IF(M1841=0,"Active",IF(TRIM(Raw_Data!L1841)="","Unknown",PROPER(TRIM(Raw_Data!L1841))))</f>
        <v>Active</v>
      </c>
      <c r="O1841" s="13" t="str">
        <f aca="false">IF(M1841=0,"",IF(TRIM(Raw_Data!M1841)="","Not Recorded",TRIM(Raw_Data!M1841)))</f>
        <v/>
      </c>
      <c r="P1841" s="16" t="n">
        <f aca="false">ROUND((IF(C1841="",AsOfDate,C1841)-B1841)/365.25,2)</f>
        <v>0.98</v>
      </c>
      <c r="Q1841" s="13" t="str">
        <f aca="false">IF(D1841="","Unknown",IF(D1841&lt;25,"Under 25",IF(D1841&lt;35,"25-34",IF(D1841&lt;45,"35-44",IF(D1841&lt;55,"45-54","55+")))))</f>
        <v>25-34</v>
      </c>
      <c r="R1841" s="13" t="str">
        <f aca="false">IF(P1841&lt;1,"0-1 yrs",IF(P1841&lt;3,"1-3 yrs",IF(P1841&lt;5,"3-5 yrs",IF(P1841&lt;10,"5-10 yrs","10+ yrs"))))</f>
        <v>0-1 yrs</v>
      </c>
      <c r="S1841" s="13" t="str">
        <f aca="false">IF(I1841&gt;=4,"High",IF(I1841=3,"Medium","Low"))</f>
        <v>High</v>
      </c>
      <c r="T1841" s="13" t="str">
        <f aca="false">IF(M1841=1,YEAR(C1841),"")</f>
        <v/>
      </c>
      <c r="U1841" s="13" t="str">
        <f aca="false">IF(M1841=1,YEAR(C1841)&amp;"-Q"&amp;ROUNDUP(MONTH(C1841)/3,0),"")</f>
        <v/>
      </c>
      <c r="V1841" s="13" t="str">
        <f aca="false">IF(M1841=1,MONTH(C1841),"")</f>
        <v/>
      </c>
    </row>
    <row r="1842" customFormat="false" ht="15" hidden="false" customHeight="false" outlineLevel="0" collapsed="false">
      <c r="A1842" s="13" t="str">
        <f aca="false">TRIM(Raw_Data!A1842)</f>
        <v>EMP1841</v>
      </c>
      <c r="B1842" s="14" t="n">
        <f aca="false">Raw_Data!B1842</f>
        <v>45667</v>
      </c>
      <c r="C1842" s="14" t="str">
        <f aca="false">IF(Raw_Data!C1842="","",Raw_Data!C1842)</f>
        <v/>
      </c>
      <c r="D1842" s="13" t="n">
        <f aca="false">IF(Raw_Data!D1842="","",Raw_Data!D1842)</f>
        <v>37</v>
      </c>
      <c r="E1842" s="13" t="str">
        <f aca="false">IF(UPPER(LEFT(TRIM(Raw_Data!E1842),1))="M","Male",IF(UPPER(LEFT(TRIM(Raw_Data!E1842),1))="F","Female","Unknown"))</f>
        <v>Female</v>
      </c>
      <c r="F1842" s="13" t="str">
        <f aca="false">PROPER(TRIM(SUBSTITUTE(Raw_Data!F1842,"'","")))</f>
        <v>Masters</v>
      </c>
      <c r="G1842" s="13" t="str">
        <f aca="false">PROPER(TRIM(Raw_Data!G1842))</f>
        <v>Operations</v>
      </c>
      <c r="H1842" s="13" t="str">
        <f aca="false">PROPER(TRIM(Raw_Data!H1842))</f>
        <v>Specialist</v>
      </c>
      <c r="I1842" s="13" t="n">
        <f aca="false">IF(Raw_Data!I1842="",DefaultPerf,Raw_Data!I1842)</f>
        <v>3</v>
      </c>
      <c r="J1842" s="17" t="n">
        <f aca="false">IF(Raw_Data!J1842="",DefaultSat,Raw_Data!J1842)</f>
        <v>3</v>
      </c>
      <c r="K1842" s="15" t="n">
        <f aca="false">Raw_Data!K1842</f>
        <v>99500</v>
      </c>
      <c r="L1842" s="13" t="str">
        <f aca="false">PROPER(TRIM(Raw_Data!N1842))</f>
        <v>No</v>
      </c>
      <c r="M1842" s="13" t="n">
        <f aca="false">IF(C1842="",0,1)</f>
        <v>0</v>
      </c>
      <c r="N1842" s="13" t="str">
        <f aca="false">IF(M1842=0,"Active",IF(TRIM(Raw_Data!L1842)="","Unknown",PROPER(TRIM(Raw_Data!L1842))))</f>
        <v>Active</v>
      </c>
      <c r="O1842" s="13" t="str">
        <f aca="false">IF(M1842=0,"",IF(TRIM(Raw_Data!M1842)="","Not Recorded",TRIM(Raw_Data!M1842)))</f>
        <v/>
      </c>
      <c r="P1842" s="16" t="n">
        <f aca="false">ROUND((IF(C1842="",AsOfDate,C1842)-B1842)/365.25,2)</f>
        <v>0.97</v>
      </c>
      <c r="Q1842" s="13" t="str">
        <f aca="false">IF(D1842="","Unknown",IF(D1842&lt;25,"Under 25",IF(D1842&lt;35,"25-34",IF(D1842&lt;45,"35-44",IF(D1842&lt;55,"45-54","55+")))))</f>
        <v>35-44</v>
      </c>
      <c r="R1842" s="13" t="str">
        <f aca="false">IF(P1842&lt;1,"0-1 yrs",IF(P1842&lt;3,"1-3 yrs",IF(P1842&lt;5,"3-5 yrs",IF(P1842&lt;10,"5-10 yrs","10+ yrs"))))</f>
        <v>0-1 yrs</v>
      </c>
      <c r="S1842" s="13" t="str">
        <f aca="false">IF(I1842&gt;=4,"High",IF(I1842=3,"Medium","Low"))</f>
        <v>Medium</v>
      </c>
      <c r="T1842" s="13" t="str">
        <f aca="false">IF(M1842=1,YEAR(C1842),"")</f>
        <v/>
      </c>
      <c r="U1842" s="13" t="str">
        <f aca="false">IF(M1842=1,YEAR(C1842)&amp;"-Q"&amp;ROUNDUP(MONTH(C1842)/3,0),"")</f>
        <v/>
      </c>
      <c r="V1842" s="13" t="str">
        <f aca="false">IF(M1842=1,MONTH(C1842),"")</f>
        <v/>
      </c>
    </row>
    <row r="1843" customFormat="false" ht="15" hidden="false" customHeight="false" outlineLevel="0" collapsed="false">
      <c r="A1843" s="13" t="str">
        <f aca="false">TRIM(Raw_Data!A1843)</f>
        <v>EMP1842</v>
      </c>
      <c r="B1843" s="14" t="n">
        <f aca="false">Raw_Data!B1843</f>
        <v>45669</v>
      </c>
      <c r="C1843" s="14" t="str">
        <f aca="false">IF(Raw_Data!C1843="","",Raw_Data!C1843)</f>
        <v/>
      </c>
      <c r="D1843" s="13" t="n">
        <f aca="false">IF(Raw_Data!D1843="","",Raw_Data!D1843)</f>
        <v>37</v>
      </c>
      <c r="E1843" s="13" t="str">
        <f aca="false">IF(UPPER(LEFT(TRIM(Raw_Data!E1843),1))="M","Male",IF(UPPER(LEFT(TRIM(Raw_Data!E1843),1))="F","Female","Unknown"))</f>
        <v>Female</v>
      </c>
      <c r="F1843" s="13" t="str">
        <f aca="false">PROPER(TRIM(SUBSTITUTE(Raw_Data!F1843,"'","")))</f>
        <v>Doctorate</v>
      </c>
      <c r="G1843" s="13" t="str">
        <f aca="false">PROPER(TRIM(Raw_Data!G1843))</f>
        <v>Engineering</v>
      </c>
      <c r="H1843" s="13" t="str">
        <f aca="false">PROPER(TRIM(Raw_Data!H1843))</f>
        <v>Specialist</v>
      </c>
      <c r="I1843" s="13" t="n">
        <f aca="false">IF(Raw_Data!I1843="",DefaultPerf,Raw_Data!I1843)</f>
        <v>5</v>
      </c>
      <c r="J1843" s="13" t="n">
        <f aca="false">IF(Raw_Data!J1843="",DefaultSat,Raw_Data!J1843)</f>
        <v>3</v>
      </c>
      <c r="K1843" s="15" t="n">
        <f aca="false">Raw_Data!K1843</f>
        <v>105500</v>
      </c>
      <c r="L1843" s="13" t="str">
        <f aca="false">PROPER(TRIM(Raw_Data!N1843))</f>
        <v>Yes</v>
      </c>
      <c r="M1843" s="13" t="n">
        <f aca="false">IF(C1843="",0,1)</f>
        <v>0</v>
      </c>
      <c r="N1843" s="13" t="str">
        <f aca="false">IF(M1843=0,"Active",IF(TRIM(Raw_Data!L1843)="","Unknown",PROPER(TRIM(Raw_Data!L1843))))</f>
        <v>Active</v>
      </c>
      <c r="O1843" s="13" t="str">
        <f aca="false">IF(M1843=0,"",IF(TRIM(Raw_Data!M1843)="","Not Recorded",TRIM(Raw_Data!M1843)))</f>
        <v/>
      </c>
      <c r="P1843" s="16" t="n">
        <f aca="false">ROUND((IF(C1843="",AsOfDate,C1843)-B1843)/365.25,2)</f>
        <v>0.97</v>
      </c>
      <c r="Q1843" s="13" t="str">
        <f aca="false">IF(D1843="","Unknown",IF(D1843&lt;25,"Under 25",IF(D1843&lt;35,"25-34",IF(D1843&lt;45,"35-44",IF(D1843&lt;55,"45-54","55+")))))</f>
        <v>35-44</v>
      </c>
      <c r="R1843" s="13" t="str">
        <f aca="false">IF(P1843&lt;1,"0-1 yrs",IF(P1843&lt;3,"1-3 yrs",IF(P1843&lt;5,"3-5 yrs",IF(P1843&lt;10,"5-10 yrs","10+ yrs"))))</f>
        <v>0-1 yrs</v>
      </c>
      <c r="S1843" s="13" t="str">
        <f aca="false">IF(I1843&gt;=4,"High",IF(I1843=3,"Medium","Low"))</f>
        <v>High</v>
      </c>
      <c r="T1843" s="13" t="str">
        <f aca="false">IF(M1843=1,YEAR(C1843),"")</f>
        <v/>
      </c>
      <c r="U1843" s="13" t="str">
        <f aca="false">IF(M1843=1,YEAR(C1843)&amp;"-Q"&amp;ROUNDUP(MONTH(C1843)/3,0),"")</f>
        <v/>
      </c>
      <c r="V1843" s="13" t="str">
        <f aca="false">IF(M1843=1,MONTH(C1843),"")</f>
        <v/>
      </c>
    </row>
    <row r="1844" customFormat="false" ht="15" hidden="false" customHeight="false" outlineLevel="0" collapsed="false">
      <c r="A1844" s="13" t="str">
        <f aca="false">TRIM(Raw_Data!A1844)</f>
        <v>EMP1843</v>
      </c>
      <c r="B1844" s="14" t="n">
        <f aca="false">Raw_Data!B1844</f>
        <v>45670</v>
      </c>
      <c r="C1844" s="14" t="n">
        <f aca="false">IF(Raw_Data!C1844="","",Raw_Data!C1844)</f>
        <v>45699</v>
      </c>
      <c r="D1844" s="13" t="n">
        <f aca="false">IF(Raw_Data!D1844="","",Raw_Data!D1844)</f>
        <v>28</v>
      </c>
      <c r="E1844" s="13" t="str">
        <f aca="false">IF(UPPER(LEFT(TRIM(Raw_Data!E1844),1))="M","Male",IF(UPPER(LEFT(TRIM(Raw_Data!E1844),1))="F","Female","Unknown"))</f>
        <v>Male</v>
      </c>
      <c r="F1844" s="13" t="str">
        <f aca="false">PROPER(TRIM(SUBSTITUTE(Raw_Data!F1844,"'","")))</f>
        <v>Diploma</v>
      </c>
      <c r="G1844" s="13" t="str">
        <f aca="false">PROPER(TRIM(Raw_Data!G1844))</f>
        <v>Engineering</v>
      </c>
      <c r="H1844" s="13" t="str">
        <f aca="false">PROPER(TRIM(Raw_Data!H1844))</f>
        <v>Team Lead</v>
      </c>
      <c r="I1844" s="13" t="n">
        <f aca="false">IF(Raw_Data!I1844="",DefaultPerf,Raw_Data!I1844)</f>
        <v>4</v>
      </c>
      <c r="J1844" s="13" t="n">
        <f aca="false">IF(Raw_Data!J1844="",DefaultSat,Raw_Data!J1844)</f>
        <v>2</v>
      </c>
      <c r="K1844" s="15" t="n">
        <f aca="false">Raw_Data!K1844</f>
        <v>110000</v>
      </c>
      <c r="L1844" s="13" t="str">
        <f aca="false">PROPER(TRIM(Raw_Data!N1844))</f>
        <v>Yes</v>
      </c>
      <c r="M1844" s="13" t="n">
        <f aca="false">IF(C1844="",0,1)</f>
        <v>1</v>
      </c>
      <c r="N1844" s="13" t="str">
        <f aca="false">IF(M1844=0,"Active",IF(TRIM(Raw_Data!L1844)="","Unknown",PROPER(TRIM(Raw_Data!L1844))))</f>
        <v>Voluntary</v>
      </c>
      <c r="O1844" s="13" t="str">
        <f aca="false">IF(M1844=0,"",IF(TRIM(Raw_Data!M1844)="","Not Recorded",TRIM(Raw_Data!M1844)))</f>
        <v>Work-Life Balance</v>
      </c>
      <c r="P1844" s="16" t="n">
        <f aca="false">ROUND((IF(C1844="",AsOfDate,C1844)-B1844)/365.25,2)</f>
        <v>0.08</v>
      </c>
      <c r="Q1844" s="13" t="str">
        <f aca="false">IF(D1844="","Unknown",IF(D1844&lt;25,"Under 25",IF(D1844&lt;35,"25-34",IF(D1844&lt;45,"35-44",IF(D1844&lt;55,"45-54","55+")))))</f>
        <v>25-34</v>
      </c>
      <c r="R1844" s="13" t="str">
        <f aca="false">IF(P1844&lt;1,"0-1 yrs",IF(P1844&lt;3,"1-3 yrs",IF(P1844&lt;5,"3-5 yrs",IF(P1844&lt;10,"5-10 yrs","10+ yrs"))))</f>
        <v>0-1 yrs</v>
      </c>
      <c r="S1844" s="13" t="str">
        <f aca="false">IF(I1844&gt;=4,"High",IF(I1844=3,"Medium","Low"))</f>
        <v>High</v>
      </c>
      <c r="T1844" s="13" t="n">
        <f aca="false">IF(M1844=1,YEAR(C1844),"")</f>
        <v>2025</v>
      </c>
      <c r="U1844" s="13" t="str">
        <f aca="false">IF(M1844=1,YEAR(C1844)&amp;"-Q"&amp;ROUNDUP(MONTH(C1844)/3,0),"")</f>
        <v>2025-Q1</v>
      </c>
      <c r="V1844" s="13" t="n">
        <f aca="false">IF(M1844=1,MONTH(C1844),"")</f>
        <v>2</v>
      </c>
    </row>
    <row r="1845" customFormat="false" ht="15" hidden="false" customHeight="false" outlineLevel="0" collapsed="false">
      <c r="A1845" s="13" t="str">
        <f aca="false">TRIM(Raw_Data!A1845)</f>
        <v>EMP1844</v>
      </c>
      <c r="B1845" s="14" t="n">
        <f aca="false">Raw_Data!B1845</f>
        <v>45674</v>
      </c>
      <c r="C1845" s="14" t="str">
        <f aca="false">IF(Raw_Data!C1845="","",Raw_Data!C1845)</f>
        <v/>
      </c>
      <c r="D1845" s="13" t="n">
        <f aca="false">IF(Raw_Data!D1845="","",Raw_Data!D1845)</f>
        <v>27</v>
      </c>
      <c r="E1845" s="13" t="str">
        <f aca="false">IF(UPPER(LEFT(TRIM(Raw_Data!E1845),1))="M","Male",IF(UPPER(LEFT(TRIM(Raw_Data!E1845),1))="F","Female","Unknown"))</f>
        <v>Female</v>
      </c>
      <c r="F1845" s="13" t="str">
        <f aca="false">PROPER(TRIM(SUBSTITUTE(Raw_Data!F1845,"'","")))</f>
        <v>Bachelors</v>
      </c>
      <c r="G1845" s="13" t="str">
        <f aca="false">PROPER(TRIM(Raw_Data!G1845))</f>
        <v>Engineering</v>
      </c>
      <c r="H1845" s="13" t="str">
        <f aca="false">PROPER(TRIM(Raw_Data!H1845))</f>
        <v>Specialist</v>
      </c>
      <c r="I1845" s="13" t="n">
        <f aca="false">IF(Raw_Data!I1845="",DefaultPerf,Raw_Data!I1845)</f>
        <v>4</v>
      </c>
      <c r="J1845" s="13" t="n">
        <f aca="false">IF(Raw_Data!J1845="",DefaultSat,Raw_Data!J1845)</f>
        <v>4</v>
      </c>
      <c r="K1845" s="15" t="n">
        <f aca="false">Raw_Data!K1845</f>
        <v>99500</v>
      </c>
      <c r="L1845" s="13" t="str">
        <f aca="false">PROPER(TRIM(Raw_Data!N1845))</f>
        <v>Yes</v>
      </c>
      <c r="M1845" s="13" t="n">
        <f aca="false">IF(C1845="",0,1)</f>
        <v>0</v>
      </c>
      <c r="N1845" s="13" t="str">
        <f aca="false">IF(M1845=0,"Active",IF(TRIM(Raw_Data!L1845)="","Unknown",PROPER(TRIM(Raw_Data!L1845))))</f>
        <v>Active</v>
      </c>
      <c r="O1845" s="13" t="str">
        <f aca="false">IF(M1845=0,"",IF(TRIM(Raw_Data!M1845)="","Not Recorded",TRIM(Raw_Data!M1845)))</f>
        <v/>
      </c>
      <c r="P1845" s="16" t="n">
        <f aca="false">ROUND((IF(C1845="",AsOfDate,C1845)-B1845)/365.25,2)</f>
        <v>0.95</v>
      </c>
      <c r="Q1845" s="13" t="str">
        <f aca="false">IF(D1845="","Unknown",IF(D1845&lt;25,"Under 25",IF(D1845&lt;35,"25-34",IF(D1845&lt;45,"35-44",IF(D1845&lt;55,"45-54","55+")))))</f>
        <v>25-34</v>
      </c>
      <c r="R1845" s="13" t="str">
        <f aca="false">IF(P1845&lt;1,"0-1 yrs",IF(P1845&lt;3,"1-3 yrs",IF(P1845&lt;5,"3-5 yrs",IF(P1845&lt;10,"5-10 yrs","10+ yrs"))))</f>
        <v>0-1 yrs</v>
      </c>
      <c r="S1845" s="13" t="str">
        <f aca="false">IF(I1845&gt;=4,"High",IF(I1845=3,"Medium","Low"))</f>
        <v>High</v>
      </c>
      <c r="T1845" s="13" t="str">
        <f aca="false">IF(M1845=1,YEAR(C1845),"")</f>
        <v/>
      </c>
      <c r="U1845" s="13" t="str">
        <f aca="false">IF(M1845=1,YEAR(C1845)&amp;"-Q"&amp;ROUNDUP(MONTH(C1845)/3,0),"")</f>
        <v/>
      </c>
      <c r="V1845" s="13" t="str">
        <f aca="false">IF(M1845=1,MONTH(C1845),"")</f>
        <v/>
      </c>
    </row>
    <row r="1846" customFormat="false" ht="15" hidden="false" customHeight="false" outlineLevel="0" collapsed="false">
      <c r="A1846" s="13" t="str">
        <f aca="false">TRIM(Raw_Data!A1846)</f>
        <v>EMP1845</v>
      </c>
      <c r="B1846" s="14" t="n">
        <f aca="false">Raw_Data!B1846</f>
        <v>45676</v>
      </c>
      <c r="C1846" s="14" t="str">
        <f aca="false">IF(Raw_Data!C1846="","",Raw_Data!C1846)</f>
        <v/>
      </c>
      <c r="D1846" s="13" t="n">
        <f aca="false">IF(Raw_Data!D1846="","",Raw_Data!D1846)</f>
        <v>40</v>
      </c>
      <c r="E1846" s="13" t="str">
        <f aca="false">IF(UPPER(LEFT(TRIM(Raw_Data!E1846),1))="M","Male",IF(UPPER(LEFT(TRIM(Raw_Data!E1846),1))="F","Female","Unknown"))</f>
        <v>Male</v>
      </c>
      <c r="F1846" s="13" t="str">
        <f aca="false">PROPER(TRIM(SUBSTITUTE(Raw_Data!F1846,"'","")))</f>
        <v>Doctorate</v>
      </c>
      <c r="G1846" s="13" t="str">
        <f aca="false">PROPER(TRIM(Raw_Data!G1846))</f>
        <v>Sales</v>
      </c>
      <c r="H1846" s="13" t="str">
        <f aca="false">PROPER(TRIM(Raw_Data!H1846))</f>
        <v>Team Lead</v>
      </c>
      <c r="I1846" s="13" t="n">
        <f aca="false">IF(Raw_Data!I1846="",DefaultPerf,Raw_Data!I1846)</f>
        <v>2</v>
      </c>
      <c r="J1846" s="13" t="n">
        <f aca="false">IF(Raw_Data!J1846="",DefaultSat,Raw_Data!J1846)</f>
        <v>2</v>
      </c>
      <c r="K1846" s="15" t="n">
        <f aca="false">Raw_Data!K1846</f>
        <v>141500</v>
      </c>
      <c r="L1846" s="13" t="str">
        <f aca="false">PROPER(TRIM(Raw_Data!N1846))</f>
        <v>Yes</v>
      </c>
      <c r="M1846" s="13" t="n">
        <f aca="false">IF(C1846="",0,1)</f>
        <v>0</v>
      </c>
      <c r="N1846" s="13" t="str">
        <f aca="false">IF(M1846=0,"Active",IF(TRIM(Raw_Data!L1846)="","Unknown",PROPER(TRIM(Raw_Data!L1846))))</f>
        <v>Active</v>
      </c>
      <c r="O1846" s="13" t="str">
        <f aca="false">IF(M1846=0,"",IF(TRIM(Raw_Data!M1846)="","Not Recorded",TRIM(Raw_Data!M1846)))</f>
        <v/>
      </c>
      <c r="P1846" s="16" t="n">
        <f aca="false">ROUND((IF(C1846="",AsOfDate,C1846)-B1846)/365.25,2)</f>
        <v>0.95</v>
      </c>
      <c r="Q1846" s="13" t="str">
        <f aca="false">IF(D1846="","Unknown",IF(D1846&lt;25,"Under 25",IF(D1846&lt;35,"25-34",IF(D1846&lt;45,"35-44",IF(D1846&lt;55,"45-54","55+")))))</f>
        <v>35-44</v>
      </c>
      <c r="R1846" s="13" t="str">
        <f aca="false">IF(P1846&lt;1,"0-1 yrs",IF(P1846&lt;3,"1-3 yrs",IF(P1846&lt;5,"3-5 yrs",IF(P1846&lt;10,"5-10 yrs","10+ yrs"))))</f>
        <v>0-1 yrs</v>
      </c>
      <c r="S1846" s="13" t="str">
        <f aca="false">IF(I1846&gt;=4,"High",IF(I1846=3,"Medium","Low"))</f>
        <v>Low</v>
      </c>
      <c r="T1846" s="13" t="str">
        <f aca="false">IF(M1846=1,YEAR(C1846),"")</f>
        <v/>
      </c>
      <c r="U1846" s="13" t="str">
        <f aca="false">IF(M1846=1,YEAR(C1846)&amp;"-Q"&amp;ROUNDUP(MONTH(C1846)/3,0),"")</f>
        <v/>
      </c>
      <c r="V1846" s="13" t="str">
        <f aca="false">IF(M1846=1,MONTH(C1846),"")</f>
        <v/>
      </c>
    </row>
    <row r="1847" customFormat="false" ht="15" hidden="false" customHeight="false" outlineLevel="0" collapsed="false">
      <c r="A1847" s="13" t="str">
        <f aca="false">TRIM(Raw_Data!A1847)</f>
        <v>EMP1846</v>
      </c>
      <c r="B1847" s="14" t="n">
        <f aca="false">Raw_Data!B1847</f>
        <v>45676</v>
      </c>
      <c r="C1847" s="14" t="n">
        <f aca="false">IF(Raw_Data!C1847="","",Raw_Data!C1847)</f>
        <v>45756</v>
      </c>
      <c r="D1847" s="13" t="n">
        <f aca="false">IF(Raw_Data!D1847="","",Raw_Data!D1847)</f>
        <v>28</v>
      </c>
      <c r="E1847" s="13" t="str">
        <f aca="false">IF(UPPER(LEFT(TRIM(Raw_Data!E1847),1))="M","Male",IF(UPPER(LEFT(TRIM(Raw_Data!E1847),1))="F","Female","Unknown"))</f>
        <v>Female</v>
      </c>
      <c r="F1847" s="13" t="str">
        <f aca="false">PROPER(TRIM(SUBSTITUTE(Raw_Data!F1847,"'","")))</f>
        <v>Bachelors</v>
      </c>
      <c r="G1847" s="13" t="str">
        <f aca="false">PROPER(TRIM(Raw_Data!G1847))</f>
        <v>Sales</v>
      </c>
      <c r="H1847" s="13" t="str">
        <f aca="false">PROPER(TRIM(Raw_Data!H1847))</f>
        <v>Specialist</v>
      </c>
      <c r="I1847" s="13" t="n">
        <f aca="false">IF(Raw_Data!I1847="",DefaultPerf,Raw_Data!I1847)</f>
        <v>3</v>
      </c>
      <c r="J1847" s="13" t="n">
        <f aca="false">IF(Raw_Data!J1847="",DefaultSat,Raw_Data!J1847)</f>
        <v>3</v>
      </c>
      <c r="K1847" s="15" t="n">
        <f aca="false">Raw_Data!K1847</f>
        <v>91500</v>
      </c>
      <c r="L1847" s="13" t="str">
        <f aca="false">PROPER(TRIM(Raw_Data!N1847))</f>
        <v>No</v>
      </c>
      <c r="M1847" s="13" t="n">
        <f aca="false">IF(C1847="",0,1)</f>
        <v>1</v>
      </c>
      <c r="N1847" s="13" t="str">
        <f aca="false">IF(M1847=0,"Active",IF(TRIM(Raw_Data!L1847)="","Unknown",PROPER(TRIM(Raw_Data!L1847))))</f>
        <v>Voluntary</v>
      </c>
      <c r="O1847" s="13" t="str">
        <f aca="false">IF(M1847=0,"",IF(TRIM(Raw_Data!M1847)="","Not Recorded",TRIM(Raw_Data!M1847)))</f>
        <v>Career Growth</v>
      </c>
      <c r="P1847" s="16" t="n">
        <f aca="false">ROUND((IF(C1847="",AsOfDate,C1847)-B1847)/365.25,2)</f>
        <v>0.22</v>
      </c>
      <c r="Q1847" s="13" t="str">
        <f aca="false">IF(D1847="","Unknown",IF(D1847&lt;25,"Under 25",IF(D1847&lt;35,"25-34",IF(D1847&lt;45,"35-44",IF(D1847&lt;55,"45-54","55+")))))</f>
        <v>25-34</v>
      </c>
      <c r="R1847" s="13" t="str">
        <f aca="false">IF(P1847&lt;1,"0-1 yrs",IF(P1847&lt;3,"1-3 yrs",IF(P1847&lt;5,"3-5 yrs",IF(P1847&lt;10,"5-10 yrs","10+ yrs"))))</f>
        <v>0-1 yrs</v>
      </c>
      <c r="S1847" s="13" t="str">
        <f aca="false">IF(I1847&gt;=4,"High",IF(I1847=3,"Medium","Low"))</f>
        <v>Medium</v>
      </c>
      <c r="T1847" s="13" t="n">
        <f aca="false">IF(M1847=1,YEAR(C1847),"")</f>
        <v>2025</v>
      </c>
      <c r="U1847" s="13" t="str">
        <f aca="false">IF(M1847=1,YEAR(C1847)&amp;"-Q"&amp;ROUNDUP(MONTH(C1847)/3,0),"")</f>
        <v>2025-Q2</v>
      </c>
      <c r="V1847" s="13" t="n">
        <f aca="false">IF(M1847=1,MONTH(C1847),"")</f>
        <v>4</v>
      </c>
    </row>
    <row r="1848" customFormat="false" ht="15" hidden="false" customHeight="false" outlineLevel="0" collapsed="false">
      <c r="A1848" s="13" t="str">
        <f aca="false">TRIM(Raw_Data!A1848)</f>
        <v>EMP1847</v>
      </c>
      <c r="B1848" s="14" t="n">
        <f aca="false">Raw_Data!B1848</f>
        <v>45681</v>
      </c>
      <c r="C1848" s="14" t="str">
        <f aca="false">IF(Raw_Data!C1848="","",Raw_Data!C1848)</f>
        <v/>
      </c>
      <c r="D1848" s="13" t="n">
        <f aca="false">IF(Raw_Data!D1848="","",Raw_Data!D1848)</f>
        <v>31</v>
      </c>
      <c r="E1848" s="13" t="str">
        <f aca="false">IF(UPPER(LEFT(TRIM(Raw_Data!E1848),1))="M","Male",IF(UPPER(LEFT(TRIM(Raw_Data!E1848),1))="F","Female","Unknown"))</f>
        <v>Male</v>
      </c>
      <c r="F1848" s="13" t="str">
        <f aca="false">PROPER(TRIM(SUBSTITUTE(Raw_Data!F1848,"'","")))</f>
        <v>Masters</v>
      </c>
      <c r="G1848" s="13" t="str">
        <f aca="false">PROPER(TRIM(Raw_Data!G1848))</f>
        <v>Engineering</v>
      </c>
      <c r="H1848" s="13" t="str">
        <f aca="false">PROPER(TRIM(Raw_Data!H1848))</f>
        <v>Senior Analyst</v>
      </c>
      <c r="I1848" s="13" t="n">
        <f aca="false">IF(Raw_Data!I1848="",DefaultPerf,Raw_Data!I1848)</f>
        <v>5</v>
      </c>
      <c r="J1848" s="13" t="n">
        <f aca="false">IF(Raw_Data!J1848="",DefaultSat,Raw_Data!J1848)</f>
        <v>2</v>
      </c>
      <c r="K1848" s="15" t="n">
        <f aca="false">Raw_Data!K1848</f>
        <v>98500</v>
      </c>
      <c r="L1848" s="13" t="str">
        <f aca="false">PROPER(TRIM(Raw_Data!N1848))</f>
        <v>No</v>
      </c>
      <c r="M1848" s="13" t="n">
        <f aca="false">IF(C1848="",0,1)</f>
        <v>0</v>
      </c>
      <c r="N1848" s="13" t="str">
        <f aca="false">IF(M1848=0,"Active",IF(TRIM(Raw_Data!L1848)="","Unknown",PROPER(TRIM(Raw_Data!L1848))))</f>
        <v>Active</v>
      </c>
      <c r="O1848" s="13" t="str">
        <f aca="false">IF(M1848=0,"",IF(TRIM(Raw_Data!M1848)="","Not Recorded",TRIM(Raw_Data!M1848)))</f>
        <v/>
      </c>
      <c r="P1848" s="16" t="n">
        <f aca="false">ROUND((IF(C1848="",AsOfDate,C1848)-B1848)/365.25,2)</f>
        <v>0.93</v>
      </c>
      <c r="Q1848" s="13" t="str">
        <f aca="false">IF(D1848="","Unknown",IF(D1848&lt;25,"Under 25",IF(D1848&lt;35,"25-34",IF(D1848&lt;45,"35-44",IF(D1848&lt;55,"45-54","55+")))))</f>
        <v>25-34</v>
      </c>
      <c r="R1848" s="13" t="str">
        <f aca="false">IF(P1848&lt;1,"0-1 yrs",IF(P1848&lt;3,"1-3 yrs",IF(P1848&lt;5,"3-5 yrs",IF(P1848&lt;10,"5-10 yrs","10+ yrs"))))</f>
        <v>0-1 yrs</v>
      </c>
      <c r="S1848" s="13" t="str">
        <f aca="false">IF(I1848&gt;=4,"High",IF(I1848=3,"Medium","Low"))</f>
        <v>High</v>
      </c>
      <c r="T1848" s="13" t="str">
        <f aca="false">IF(M1848=1,YEAR(C1848),"")</f>
        <v/>
      </c>
      <c r="U1848" s="13" t="str">
        <f aca="false">IF(M1848=1,YEAR(C1848)&amp;"-Q"&amp;ROUNDUP(MONTH(C1848)/3,0),"")</f>
        <v/>
      </c>
      <c r="V1848" s="13" t="str">
        <f aca="false">IF(M1848=1,MONTH(C1848),"")</f>
        <v/>
      </c>
    </row>
    <row r="1849" customFormat="false" ht="15" hidden="false" customHeight="false" outlineLevel="0" collapsed="false">
      <c r="A1849" s="13" t="str">
        <f aca="false">TRIM(Raw_Data!A1849)</f>
        <v>EMP1848</v>
      </c>
      <c r="B1849" s="14" t="n">
        <f aca="false">Raw_Data!B1849</f>
        <v>45684</v>
      </c>
      <c r="C1849" s="14" t="str">
        <f aca="false">IF(Raw_Data!C1849="","",Raw_Data!C1849)</f>
        <v/>
      </c>
      <c r="D1849" s="13" t="n">
        <f aca="false">IF(Raw_Data!D1849="","",Raw_Data!D1849)</f>
        <v>34</v>
      </c>
      <c r="E1849" s="13" t="str">
        <f aca="false">IF(UPPER(LEFT(TRIM(Raw_Data!E1849),1))="M","Male",IF(UPPER(LEFT(TRIM(Raw_Data!E1849),1))="F","Female","Unknown"))</f>
        <v>Female</v>
      </c>
      <c r="F1849" s="13" t="str">
        <f aca="false">PROPER(TRIM(SUBSTITUTE(Raw_Data!F1849,"'","")))</f>
        <v>Bachelors</v>
      </c>
      <c r="G1849" s="13" t="str">
        <f aca="false">PROPER(TRIM(Raw_Data!G1849))</f>
        <v>Engineering</v>
      </c>
      <c r="H1849" s="13" t="str">
        <f aca="false">PROPER(TRIM(Raw_Data!H1849))</f>
        <v>Specialist</v>
      </c>
      <c r="I1849" s="13" t="n">
        <f aca="false">IF(Raw_Data!I1849="",DefaultPerf,Raw_Data!I1849)</f>
        <v>3</v>
      </c>
      <c r="J1849" s="13" t="n">
        <f aca="false">IF(Raw_Data!J1849="",DefaultSat,Raw_Data!J1849)</f>
        <v>3</v>
      </c>
      <c r="K1849" s="15" t="n">
        <f aca="false">Raw_Data!K1849</f>
        <v>98500</v>
      </c>
      <c r="L1849" s="13" t="str">
        <f aca="false">PROPER(TRIM(Raw_Data!N1849))</f>
        <v>Yes</v>
      </c>
      <c r="M1849" s="13" t="n">
        <f aca="false">IF(C1849="",0,1)</f>
        <v>0</v>
      </c>
      <c r="N1849" s="13" t="str">
        <f aca="false">IF(M1849=0,"Active",IF(TRIM(Raw_Data!L1849)="","Unknown",PROPER(TRIM(Raw_Data!L1849))))</f>
        <v>Active</v>
      </c>
      <c r="O1849" s="13" t="str">
        <f aca="false">IF(M1849=0,"",IF(TRIM(Raw_Data!M1849)="","Not Recorded",TRIM(Raw_Data!M1849)))</f>
        <v/>
      </c>
      <c r="P1849" s="16" t="n">
        <f aca="false">ROUND((IF(C1849="",AsOfDate,C1849)-B1849)/365.25,2)</f>
        <v>0.93</v>
      </c>
      <c r="Q1849" s="13" t="str">
        <f aca="false">IF(D1849="","Unknown",IF(D1849&lt;25,"Under 25",IF(D1849&lt;35,"25-34",IF(D1849&lt;45,"35-44",IF(D1849&lt;55,"45-54","55+")))))</f>
        <v>25-34</v>
      </c>
      <c r="R1849" s="13" t="str">
        <f aca="false">IF(P1849&lt;1,"0-1 yrs",IF(P1849&lt;3,"1-3 yrs",IF(P1849&lt;5,"3-5 yrs",IF(P1849&lt;10,"5-10 yrs","10+ yrs"))))</f>
        <v>0-1 yrs</v>
      </c>
      <c r="S1849" s="13" t="str">
        <f aca="false">IF(I1849&gt;=4,"High",IF(I1849=3,"Medium","Low"))</f>
        <v>Medium</v>
      </c>
      <c r="T1849" s="13" t="str">
        <f aca="false">IF(M1849=1,YEAR(C1849),"")</f>
        <v/>
      </c>
      <c r="U1849" s="13" t="str">
        <f aca="false">IF(M1849=1,YEAR(C1849)&amp;"-Q"&amp;ROUNDUP(MONTH(C1849)/3,0),"")</f>
        <v/>
      </c>
      <c r="V1849" s="13" t="str">
        <f aca="false">IF(M1849=1,MONTH(C1849),"")</f>
        <v/>
      </c>
    </row>
    <row r="1850" customFormat="false" ht="15" hidden="false" customHeight="false" outlineLevel="0" collapsed="false">
      <c r="A1850" s="13" t="str">
        <f aca="false">TRIM(Raw_Data!A1850)</f>
        <v>EMP1849</v>
      </c>
      <c r="B1850" s="14" t="n">
        <f aca="false">Raw_Data!B1850</f>
        <v>45687</v>
      </c>
      <c r="C1850" s="14" t="str">
        <f aca="false">IF(Raw_Data!C1850="","",Raw_Data!C1850)</f>
        <v/>
      </c>
      <c r="D1850" s="13" t="n">
        <f aca="false">IF(Raw_Data!D1850="","",Raw_Data!D1850)</f>
        <v>30</v>
      </c>
      <c r="E1850" s="13" t="str">
        <f aca="false">IF(UPPER(LEFT(TRIM(Raw_Data!E1850),1))="M","Male",IF(UPPER(LEFT(TRIM(Raw_Data!E1850),1))="F","Female","Unknown"))</f>
        <v>Female</v>
      </c>
      <c r="F1850" s="13" t="str">
        <f aca="false">PROPER(TRIM(SUBSTITUTE(Raw_Data!F1850,"'","")))</f>
        <v>Bachelors</v>
      </c>
      <c r="G1850" s="13" t="str">
        <f aca="false">PROPER(TRIM(Raw_Data!G1850))</f>
        <v>Sales</v>
      </c>
      <c r="H1850" s="13" t="str">
        <f aca="false">PROPER(TRIM(Raw_Data!H1850))</f>
        <v>Team Lead</v>
      </c>
      <c r="I1850" s="13" t="n">
        <f aca="false">IF(Raw_Data!I1850="",DefaultPerf,Raw_Data!I1850)</f>
        <v>4</v>
      </c>
      <c r="J1850" s="13" t="n">
        <f aca="false">IF(Raw_Data!J1850="",DefaultSat,Raw_Data!J1850)</f>
        <v>2</v>
      </c>
      <c r="K1850" s="15" t="n">
        <f aca="false">Raw_Data!K1850</f>
        <v>137000</v>
      </c>
      <c r="L1850" s="13" t="str">
        <f aca="false">PROPER(TRIM(Raw_Data!N1850))</f>
        <v>No</v>
      </c>
      <c r="M1850" s="13" t="n">
        <f aca="false">IF(C1850="",0,1)</f>
        <v>0</v>
      </c>
      <c r="N1850" s="13" t="str">
        <f aca="false">IF(M1850=0,"Active",IF(TRIM(Raw_Data!L1850)="","Unknown",PROPER(TRIM(Raw_Data!L1850))))</f>
        <v>Active</v>
      </c>
      <c r="O1850" s="13" t="str">
        <f aca="false">IF(M1850=0,"",IF(TRIM(Raw_Data!M1850)="","Not Recorded",TRIM(Raw_Data!M1850)))</f>
        <v/>
      </c>
      <c r="P1850" s="16" t="n">
        <f aca="false">ROUND((IF(C1850="",AsOfDate,C1850)-B1850)/365.25,2)</f>
        <v>0.92</v>
      </c>
      <c r="Q1850" s="13" t="str">
        <f aca="false">IF(D1850="","Unknown",IF(D1850&lt;25,"Under 25",IF(D1850&lt;35,"25-34",IF(D1850&lt;45,"35-44",IF(D1850&lt;55,"45-54","55+")))))</f>
        <v>25-34</v>
      </c>
      <c r="R1850" s="13" t="str">
        <f aca="false">IF(P1850&lt;1,"0-1 yrs",IF(P1850&lt;3,"1-3 yrs",IF(P1850&lt;5,"3-5 yrs",IF(P1850&lt;10,"5-10 yrs","10+ yrs"))))</f>
        <v>0-1 yrs</v>
      </c>
      <c r="S1850" s="13" t="str">
        <f aca="false">IF(I1850&gt;=4,"High",IF(I1850=3,"Medium","Low"))</f>
        <v>High</v>
      </c>
      <c r="T1850" s="13" t="str">
        <f aca="false">IF(M1850=1,YEAR(C1850),"")</f>
        <v/>
      </c>
      <c r="U1850" s="13" t="str">
        <f aca="false">IF(M1850=1,YEAR(C1850)&amp;"-Q"&amp;ROUNDUP(MONTH(C1850)/3,0),"")</f>
        <v/>
      </c>
      <c r="V1850" s="13" t="str">
        <f aca="false">IF(M1850=1,MONTH(C1850),"")</f>
        <v/>
      </c>
    </row>
    <row r="1851" customFormat="false" ht="15" hidden="false" customHeight="false" outlineLevel="0" collapsed="false">
      <c r="A1851" s="13" t="str">
        <f aca="false">TRIM(Raw_Data!A1851)</f>
        <v>EMP1850</v>
      </c>
      <c r="B1851" s="14" t="n">
        <f aca="false">Raw_Data!B1851</f>
        <v>45689</v>
      </c>
      <c r="C1851" s="14" t="n">
        <f aca="false">IF(Raw_Data!C1851="","",Raw_Data!C1851)</f>
        <v>46021</v>
      </c>
      <c r="D1851" s="13" t="n">
        <f aca="false">IF(Raw_Data!D1851="","",Raw_Data!D1851)</f>
        <v>26</v>
      </c>
      <c r="E1851" s="13" t="str">
        <f aca="false">IF(UPPER(LEFT(TRIM(Raw_Data!E1851),1))="M","Male",IF(UPPER(LEFT(TRIM(Raw_Data!E1851),1))="F","Female","Unknown"))</f>
        <v>Female</v>
      </c>
      <c r="F1851" s="13" t="str">
        <f aca="false">PROPER(TRIM(SUBSTITUTE(Raw_Data!F1851,"'","")))</f>
        <v>High School</v>
      </c>
      <c r="G1851" s="13" t="str">
        <f aca="false">PROPER(TRIM(Raw_Data!G1851))</f>
        <v>Customer Support</v>
      </c>
      <c r="H1851" s="13" t="str">
        <f aca="false">PROPER(TRIM(Raw_Data!H1851))</f>
        <v>Associate</v>
      </c>
      <c r="I1851" s="13" t="n">
        <f aca="false">IF(Raw_Data!I1851="",DefaultPerf,Raw_Data!I1851)</f>
        <v>3</v>
      </c>
      <c r="J1851" s="13" t="n">
        <f aca="false">IF(Raw_Data!J1851="",DefaultSat,Raw_Data!J1851)</f>
        <v>2</v>
      </c>
      <c r="K1851" s="15" t="n">
        <f aca="false">Raw_Data!K1851</f>
        <v>32000</v>
      </c>
      <c r="L1851" s="13" t="str">
        <f aca="false">PROPER(TRIM(Raw_Data!N1851))</f>
        <v>No</v>
      </c>
      <c r="M1851" s="13" t="n">
        <f aca="false">IF(C1851="",0,1)</f>
        <v>1</v>
      </c>
      <c r="N1851" s="13" t="str">
        <f aca="false">IF(M1851=0,"Active",IF(TRIM(Raw_Data!L1851)="","Unknown",PROPER(TRIM(Raw_Data!L1851))))</f>
        <v>Voluntary</v>
      </c>
      <c r="O1851" s="13" t="str">
        <f aca="false">IF(M1851=0,"",IF(TRIM(Raw_Data!M1851)="","Not Recorded",TRIM(Raw_Data!M1851)))</f>
        <v>Manager Issues</v>
      </c>
      <c r="P1851" s="16" t="n">
        <f aca="false">ROUND((IF(C1851="",AsOfDate,C1851)-B1851)/365.25,2)</f>
        <v>0.91</v>
      </c>
      <c r="Q1851" s="13" t="str">
        <f aca="false">IF(D1851="","Unknown",IF(D1851&lt;25,"Under 25",IF(D1851&lt;35,"25-34",IF(D1851&lt;45,"35-44",IF(D1851&lt;55,"45-54","55+")))))</f>
        <v>25-34</v>
      </c>
      <c r="R1851" s="13" t="str">
        <f aca="false">IF(P1851&lt;1,"0-1 yrs",IF(P1851&lt;3,"1-3 yrs",IF(P1851&lt;5,"3-5 yrs",IF(P1851&lt;10,"5-10 yrs","10+ yrs"))))</f>
        <v>0-1 yrs</v>
      </c>
      <c r="S1851" s="13" t="str">
        <f aca="false">IF(I1851&gt;=4,"High",IF(I1851=3,"Medium","Low"))</f>
        <v>Medium</v>
      </c>
      <c r="T1851" s="13" t="n">
        <f aca="false">IF(M1851=1,YEAR(C1851),"")</f>
        <v>2025</v>
      </c>
      <c r="U1851" s="13" t="str">
        <f aca="false">IF(M1851=1,YEAR(C1851)&amp;"-Q"&amp;ROUNDUP(MONTH(C1851)/3,0),"")</f>
        <v>2025-Q4</v>
      </c>
      <c r="V1851" s="13" t="n">
        <f aca="false">IF(M1851=1,MONTH(C1851),"")</f>
        <v>12</v>
      </c>
    </row>
    <row r="1852" customFormat="false" ht="15" hidden="false" customHeight="false" outlineLevel="0" collapsed="false">
      <c r="A1852" s="13" t="str">
        <f aca="false">TRIM(Raw_Data!A1852)</f>
        <v>EMP1851</v>
      </c>
      <c r="B1852" s="14" t="n">
        <f aca="false">Raw_Data!B1852</f>
        <v>45690</v>
      </c>
      <c r="C1852" s="14" t="str">
        <f aca="false">IF(Raw_Data!C1852="","",Raw_Data!C1852)</f>
        <v/>
      </c>
      <c r="D1852" s="13" t="n">
        <f aca="false">IF(Raw_Data!D1852="","",Raw_Data!D1852)</f>
        <v>33</v>
      </c>
      <c r="E1852" s="13" t="str">
        <f aca="false">IF(UPPER(LEFT(TRIM(Raw_Data!E1852),1))="M","Male",IF(UPPER(LEFT(TRIM(Raw_Data!E1852),1))="F","Female","Unknown"))</f>
        <v>Male</v>
      </c>
      <c r="F1852" s="13" t="str">
        <f aca="false">PROPER(TRIM(SUBSTITUTE(Raw_Data!F1852,"'","")))</f>
        <v>High School</v>
      </c>
      <c r="G1852" s="13" t="str">
        <f aca="false">PROPER(TRIM(Raw_Data!G1852))</f>
        <v>Engineering</v>
      </c>
      <c r="H1852" s="13" t="str">
        <f aca="false">PROPER(TRIM(Raw_Data!H1852))</f>
        <v>Analyst</v>
      </c>
      <c r="I1852" s="13" t="n">
        <f aca="false">IF(Raw_Data!I1852="",DefaultPerf,Raw_Data!I1852)</f>
        <v>4</v>
      </c>
      <c r="J1852" s="13" t="n">
        <f aca="false">IF(Raw_Data!J1852="",DefaultSat,Raw_Data!J1852)</f>
        <v>2</v>
      </c>
      <c r="K1852" s="15" t="n">
        <f aca="false">Raw_Data!K1852</f>
        <v>51000</v>
      </c>
      <c r="L1852" s="13" t="str">
        <f aca="false">PROPER(TRIM(Raw_Data!N1852))</f>
        <v>No</v>
      </c>
      <c r="M1852" s="13" t="n">
        <f aca="false">IF(C1852="",0,1)</f>
        <v>0</v>
      </c>
      <c r="N1852" s="13" t="str">
        <f aca="false">IF(M1852=0,"Active",IF(TRIM(Raw_Data!L1852)="","Unknown",PROPER(TRIM(Raw_Data!L1852))))</f>
        <v>Active</v>
      </c>
      <c r="O1852" s="13" t="str">
        <f aca="false">IF(M1852=0,"",IF(TRIM(Raw_Data!M1852)="","Not Recorded",TRIM(Raw_Data!M1852)))</f>
        <v/>
      </c>
      <c r="P1852" s="16" t="n">
        <f aca="false">ROUND((IF(C1852="",AsOfDate,C1852)-B1852)/365.25,2)</f>
        <v>0.91</v>
      </c>
      <c r="Q1852" s="13" t="str">
        <f aca="false">IF(D1852="","Unknown",IF(D1852&lt;25,"Under 25",IF(D1852&lt;35,"25-34",IF(D1852&lt;45,"35-44",IF(D1852&lt;55,"45-54","55+")))))</f>
        <v>25-34</v>
      </c>
      <c r="R1852" s="13" t="str">
        <f aca="false">IF(P1852&lt;1,"0-1 yrs",IF(P1852&lt;3,"1-3 yrs",IF(P1852&lt;5,"3-5 yrs",IF(P1852&lt;10,"5-10 yrs","10+ yrs"))))</f>
        <v>0-1 yrs</v>
      </c>
      <c r="S1852" s="13" t="str">
        <f aca="false">IF(I1852&gt;=4,"High",IF(I1852=3,"Medium","Low"))</f>
        <v>High</v>
      </c>
      <c r="T1852" s="13" t="str">
        <f aca="false">IF(M1852=1,YEAR(C1852),"")</f>
        <v/>
      </c>
      <c r="U1852" s="13" t="str">
        <f aca="false">IF(M1852=1,YEAR(C1852)&amp;"-Q"&amp;ROUNDUP(MONTH(C1852)/3,0),"")</f>
        <v/>
      </c>
      <c r="V1852" s="13" t="str">
        <f aca="false">IF(M1852=1,MONTH(C1852),"")</f>
        <v/>
      </c>
    </row>
    <row r="1853" customFormat="false" ht="15" hidden="false" customHeight="false" outlineLevel="0" collapsed="false">
      <c r="A1853" s="13" t="str">
        <f aca="false">TRIM(Raw_Data!A1853)</f>
        <v>EMP1852</v>
      </c>
      <c r="B1853" s="14" t="n">
        <f aca="false">Raw_Data!B1853</f>
        <v>45690</v>
      </c>
      <c r="C1853" s="14" t="str">
        <f aca="false">IF(Raw_Data!C1853="","",Raw_Data!C1853)</f>
        <v/>
      </c>
      <c r="D1853" s="13" t="n">
        <f aca="false">IF(Raw_Data!D1853="","",Raw_Data!D1853)</f>
        <v>30</v>
      </c>
      <c r="E1853" s="13" t="str">
        <f aca="false">IF(UPPER(LEFT(TRIM(Raw_Data!E1853),1))="M","Male",IF(UPPER(LEFT(TRIM(Raw_Data!E1853),1))="F","Female","Unknown"))</f>
        <v>Female</v>
      </c>
      <c r="F1853" s="13" t="str">
        <f aca="false">PROPER(TRIM(SUBSTITUTE(Raw_Data!F1853,"'","")))</f>
        <v>Masters</v>
      </c>
      <c r="G1853" s="13" t="str">
        <f aca="false">PROPER(TRIM(Raw_Data!G1853))</f>
        <v>Operations</v>
      </c>
      <c r="H1853" s="13" t="str">
        <f aca="false">PROPER(TRIM(Raw_Data!H1853))</f>
        <v>Analyst</v>
      </c>
      <c r="I1853" s="13" t="n">
        <f aca="false">IF(Raw_Data!I1853="",DefaultPerf,Raw_Data!I1853)</f>
        <v>1</v>
      </c>
      <c r="J1853" s="13" t="n">
        <f aca="false">IF(Raw_Data!J1853="",DefaultSat,Raw_Data!J1853)</f>
        <v>4</v>
      </c>
      <c r="K1853" s="15" t="n">
        <f aca="false">Raw_Data!K1853</f>
        <v>63000</v>
      </c>
      <c r="L1853" s="13" t="str">
        <f aca="false">PROPER(TRIM(Raw_Data!N1853))</f>
        <v>No</v>
      </c>
      <c r="M1853" s="13" t="n">
        <f aca="false">IF(C1853="",0,1)</f>
        <v>0</v>
      </c>
      <c r="N1853" s="13" t="str">
        <f aca="false">IF(M1853=0,"Active",IF(TRIM(Raw_Data!L1853)="","Unknown",PROPER(TRIM(Raw_Data!L1853))))</f>
        <v>Active</v>
      </c>
      <c r="O1853" s="13" t="str">
        <f aca="false">IF(M1853=0,"",IF(TRIM(Raw_Data!M1853)="","Not Recorded",TRIM(Raw_Data!M1853)))</f>
        <v/>
      </c>
      <c r="P1853" s="16" t="n">
        <f aca="false">ROUND((IF(C1853="",AsOfDate,C1853)-B1853)/365.25,2)</f>
        <v>0.91</v>
      </c>
      <c r="Q1853" s="13" t="str">
        <f aca="false">IF(D1853="","Unknown",IF(D1853&lt;25,"Under 25",IF(D1853&lt;35,"25-34",IF(D1853&lt;45,"35-44",IF(D1853&lt;55,"45-54","55+")))))</f>
        <v>25-34</v>
      </c>
      <c r="R1853" s="13" t="str">
        <f aca="false">IF(P1853&lt;1,"0-1 yrs",IF(P1853&lt;3,"1-3 yrs",IF(P1853&lt;5,"3-5 yrs",IF(P1853&lt;10,"5-10 yrs","10+ yrs"))))</f>
        <v>0-1 yrs</v>
      </c>
      <c r="S1853" s="13" t="str">
        <f aca="false">IF(I1853&gt;=4,"High",IF(I1853=3,"Medium","Low"))</f>
        <v>Low</v>
      </c>
      <c r="T1853" s="13" t="str">
        <f aca="false">IF(M1853=1,YEAR(C1853),"")</f>
        <v/>
      </c>
      <c r="U1853" s="13" t="str">
        <f aca="false">IF(M1853=1,YEAR(C1853)&amp;"-Q"&amp;ROUNDUP(MONTH(C1853)/3,0),"")</f>
        <v/>
      </c>
      <c r="V1853" s="13" t="str">
        <f aca="false">IF(M1853=1,MONTH(C1853),"")</f>
        <v/>
      </c>
    </row>
    <row r="1854" customFormat="false" ht="15" hidden="false" customHeight="false" outlineLevel="0" collapsed="false">
      <c r="A1854" s="13" t="str">
        <f aca="false">TRIM(Raw_Data!A1854)</f>
        <v>EMP1853</v>
      </c>
      <c r="B1854" s="14" t="n">
        <f aca="false">Raw_Data!B1854</f>
        <v>45691</v>
      </c>
      <c r="C1854" s="14" t="str">
        <f aca="false">IF(Raw_Data!C1854="","",Raw_Data!C1854)</f>
        <v/>
      </c>
      <c r="D1854" s="13" t="n">
        <f aca="false">IF(Raw_Data!D1854="","",Raw_Data!D1854)</f>
        <v>29</v>
      </c>
      <c r="E1854" s="13" t="str">
        <f aca="false">IF(UPPER(LEFT(TRIM(Raw_Data!E1854),1))="M","Male",IF(UPPER(LEFT(TRIM(Raw_Data!E1854),1))="F","Female","Unknown"))</f>
        <v>Female</v>
      </c>
      <c r="F1854" s="13" t="str">
        <f aca="false">PROPER(TRIM(SUBSTITUTE(Raw_Data!F1854,"'","")))</f>
        <v>Masters</v>
      </c>
      <c r="G1854" s="13" t="str">
        <f aca="false">PROPER(TRIM(Raw_Data!G1854))</f>
        <v>Operations</v>
      </c>
      <c r="H1854" s="13" t="str">
        <f aca="false">PROPER(TRIM(Raw_Data!H1854))</f>
        <v>Specialist</v>
      </c>
      <c r="I1854" s="13" t="n">
        <f aca="false">IF(Raw_Data!I1854="",DefaultPerf,Raw_Data!I1854)</f>
        <v>5</v>
      </c>
      <c r="J1854" s="13" t="n">
        <f aca="false">IF(Raw_Data!J1854="",DefaultSat,Raw_Data!J1854)</f>
        <v>1</v>
      </c>
      <c r="K1854" s="15" t="n">
        <f aca="false">Raw_Data!K1854</f>
        <v>92500</v>
      </c>
      <c r="L1854" s="13" t="str">
        <f aca="false">PROPER(TRIM(Raw_Data!N1854))</f>
        <v>No</v>
      </c>
      <c r="M1854" s="13" t="n">
        <f aca="false">IF(C1854="",0,1)</f>
        <v>0</v>
      </c>
      <c r="N1854" s="13" t="str">
        <f aca="false">IF(M1854=0,"Active",IF(TRIM(Raw_Data!L1854)="","Unknown",PROPER(TRIM(Raw_Data!L1854))))</f>
        <v>Active</v>
      </c>
      <c r="O1854" s="13" t="str">
        <f aca="false">IF(M1854=0,"",IF(TRIM(Raw_Data!M1854)="","Not Recorded",TRIM(Raw_Data!M1854)))</f>
        <v/>
      </c>
      <c r="P1854" s="16" t="n">
        <f aca="false">ROUND((IF(C1854="",AsOfDate,C1854)-B1854)/365.25,2)</f>
        <v>0.91</v>
      </c>
      <c r="Q1854" s="13" t="str">
        <f aca="false">IF(D1854="","Unknown",IF(D1854&lt;25,"Under 25",IF(D1854&lt;35,"25-34",IF(D1854&lt;45,"35-44",IF(D1854&lt;55,"45-54","55+")))))</f>
        <v>25-34</v>
      </c>
      <c r="R1854" s="13" t="str">
        <f aca="false">IF(P1854&lt;1,"0-1 yrs",IF(P1854&lt;3,"1-3 yrs",IF(P1854&lt;5,"3-5 yrs",IF(P1854&lt;10,"5-10 yrs","10+ yrs"))))</f>
        <v>0-1 yrs</v>
      </c>
      <c r="S1854" s="13" t="str">
        <f aca="false">IF(I1854&gt;=4,"High",IF(I1854=3,"Medium","Low"))</f>
        <v>High</v>
      </c>
      <c r="T1854" s="13" t="str">
        <f aca="false">IF(M1854=1,YEAR(C1854),"")</f>
        <v/>
      </c>
      <c r="U1854" s="13" t="str">
        <f aca="false">IF(M1854=1,YEAR(C1854)&amp;"-Q"&amp;ROUNDUP(MONTH(C1854)/3,0),"")</f>
        <v/>
      </c>
      <c r="V1854" s="13" t="str">
        <f aca="false">IF(M1854=1,MONTH(C1854),"")</f>
        <v/>
      </c>
    </row>
    <row r="1855" customFormat="false" ht="15" hidden="false" customHeight="false" outlineLevel="0" collapsed="false">
      <c r="A1855" s="13" t="str">
        <f aca="false">TRIM(Raw_Data!A1855)</f>
        <v>EMP1854</v>
      </c>
      <c r="B1855" s="14" t="n">
        <f aca="false">Raw_Data!B1855</f>
        <v>45691</v>
      </c>
      <c r="C1855" s="14" t="n">
        <f aca="false">IF(Raw_Data!C1855="","",Raw_Data!C1855)</f>
        <v>45731</v>
      </c>
      <c r="D1855" s="13" t="n">
        <f aca="false">IF(Raw_Data!D1855="","",Raw_Data!D1855)</f>
        <v>32</v>
      </c>
      <c r="E1855" s="13" t="str">
        <f aca="false">IF(UPPER(LEFT(TRIM(Raw_Data!E1855),1))="M","Male",IF(UPPER(LEFT(TRIM(Raw_Data!E1855),1))="F","Female","Unknown"))</f>
        <v>Female</v>
      </c>
      <c r="F1855" s="13" t="str">
        <f aca="false">PROPER(TRIM(SUBSTITUTE(Raw_Data!F1855,"'","")))</f>
        <v>Bachelors</v>
      </c>
      <c r="G1855" s="13" t="str">
        <f aca="false">PROPER(TRIM(Raw_Data!G1855))</f>
        <v>Customer Support</v>
      </c>
      <c r="H1855" s="13" t="str">
        <f aca="false">PROPER(TRIM(Raw_Data!H1855))</f>
        <v>Associate</v>
      </c>
      <c r="I1855" s="13" t="n">
        <f aca="false">IF(Raw_Data!I1855="",DefaultPerf,Raw_Data!I1855)</f>
        <v>3</v>
      </c>
      <c r="J1855" s="13" t="n">
        <f aca="false">IF(Raw_Data!J1855="",DefaultSat,Raw_Data!J1855)</f>
        <v>2</v>
      </c>
      <c r="K1855" s="15" t="n">
        <f aca="false">Raw_Data!K1855</f>
        <v>33000</v>
      </c>
      <c r="L1855" s="13" t="str">
        <f aca="false">PROPER(TRIM(Raw_Data!N1855))</f>
        <v>No</v>
      </c>
      <c r="M1855" s="13" t="n">
        <f aca="false">IF(C1855="",0,1)</f>
        <v>1</v>
      </c>
      <c r="N1855" s="13" t="str">
        <f aca="false">IF(M1855=0,"Active",IF(TRIM(Raw_Data!L1855)="","Unknown",PROPER(TRIM(Raw_Data!L1855))))</f>
        <v>Voluntary</v>
      </c>
      <c r="O1855" s="13" t="str">
        <f aca="false">IF(M1855=0,"",IF(TRIM(Raw_Data!M1855)="","Not Recorded",TRIM(Raw_Data!M1855)))</f>
        <v>Better Compensation</v>
      </c>
      <c r="P1855" s="16" t="n">
        <f aca="false">ROUND((IF(C1855="",AsOfDate,C1855)-B1855)/365.25,2)</f>
        <v>0.11</v>
      </c>
      <c r="Q1855" s="13" t="str">
        <f aca="false">IF(D1855="","Unknown",IF(D1855&lt;25,"Under 25",IF(D1855&lt;35,"25-34",IF(D1855&lt;45,"35-44",IF(D1855&lt;55,"45-54","55+")))))</f>
        <v>25-34</v>
      </c>
      <c r="R1855" s="13" t="str">
        <f aca="false">IF(P1855&lt;1,"0-1 yrs",IF(P1855&lt;3,"1-3 yrs",IF(P1855&lt;5,"3-5 yrs",IF(P1855&lt;10,"5-10 yrs","10+ yrs"))))</f>
        <v>0-1 yrs</v>
      </c>
      <c r="S1855" s="13" t="str">
        <f aca="false">IF(I1855&gt;=4,"High",IF(I1855=3,"Medium","Low"))</f>
        <v>Medium</v>
      </c>
      <c r="T1855" s="13" t="n">
        <f aca="false">IF(M1855=1,YEAR(C1855),"")</f>
        <v>2025</v>
      </c>
      <c r="U1855" s="13" t="str">
        <f aca="false">IF(M1855=1,YEAR(C1855)&amp;"-Q"&amp;ROUNDUP(MONTH(C1855)/3,0),"")</f>
        <v>2025-Q1</v>
      </c>
      <c r="V1855" s="13" t="n">
        <f aca="false">IF(M1855=1,MONTH(C1855),"")</f>
        <v>3</v>
      </c>
    </row>
    <row r="1856" customFormat="false" ht="15" hidden="false" customHeight="false" outlineLevel="0" collapsed="false">
      <c r="A1856" s="13" t="str">
        <f aca="false">TRIM(Raw_Data!A1856)</f>
        <v>EMP1855</v>
      </c>
      <c r="B1856" s="14" t="n">
        <f aca="false">Raw_Data!B1856</f>
        <v>45691</v>
      </c>
      <c r="C1856" s="14" t="n">
        <f aca="false">IF(Raw_Data!C1856="","",Raw_Data!C1856)</f>
        <v>45760</v>
      </c>
      <c r="D1856" s="13" t="n">
        <f aca="false">IF(Raw_Data!D1856="","",Raw_Data!D1856)</f>
        <v>32</v>
      </c>
      <c r="E1856" s="13" t="str">
        <f aca="false">IF(UPPER(LEFT(TRIM(Raw_Data!E1856),1))="M","Male",IF(UPPER(LEFT(TRIM(Raw_Data!E1856),1))="F","Female","Unknown"))</f>
        <v>Female</v>
      </c>
      <c r="F1856" s="13" t="str">
        <f aca="false">PROPER(TRIM(SUBSTITUTE(Raw_Data!F1856,"'","")))</f>
        <v>Masters</v>
      </c>
      <c r="G1856" s="13" t="str">
        <f aca="false">PROPER(TRIM(Raw_Data!G1856))</f>
        <v>Customer Support</v>
      </c>
      <c r="H1856" s="13" t="str">
        <f aca="false">PROPER(TRIM(Raw_Data!H1856))</f>
        <v>Senior Analyst</v>
      </c>
      <c r="I1856" s="13" t="n">
        <f aca="false">IF(Raw_Data!I1856="",DefaultPerf,Raw_Data!I1856)</f>
        <v>3</v>
      </c>
      <c r="J1856" s="13" t="n">
        <f aca="false">IF(Raw_Data!J1856="",DefaultSat,Raw_Data!J1856)</f>
        <v>1</v>
      </c>
      <c r="K1856" s="15" t="n">
        <f aca="false">Raw_Data!K1856</f>
        <v>87000</v>
      </c>
      <c r="L1856" s="13" t="str">
        <f aca="false">PROPER(TRIM(Raw_Data!N1856))</f>
        <v>No</v>
      </c>
      <c r="M1856" s="13" t="n">
        <f aca="false">IF(C1856="",0,1)</f>
        <v>1</v>
      </c>
      <c r="N1856" s="13" t="str">
        <f aca="false">IF(M1856=0,"Active",IF(TRIM(Raw_Data!L1856)="","Unknown",PROPER(TRIM(Raw_Data!L1856))))</f>
        <v>Involuntary</v>
      </c>
      <c r="O1856" s="13" t="str">
        <f aca="false">IF(M1856=0,"",IF(TRIM(Raw_Data!M1856)="","Not Recorded",TRIM(Raw_Data!M1856)))</f>
        <v>Restructuring / Layoff</v>
      </c>
      <c r="P1856" s="16" t="n">
        <f aca="false">ROUND((IF(C1856="",AsOfDate,C1856)-B1856)/365.25,2)</f>
        <v>0.19</v>
      </c>
      <c r="Q1856" s="13" t="str">
        <f aca="false">IF(D1856="","Unknown",IF(D1856&lt;25,"Under 25",IF(D1856&lt;35,"25-34",IF(D1856&lt;45,"35-44",IF(D1856&lt;55,"45-54","55+")))))</f>
        <v>25-34</v>
      </c>
      <c r="R1856" s="13" t="str">
        <f aca="false">IF(P1856&lt;1,"0-1 yrs",IF(P1856&lt;3,"1-3 yrs",IF(P1856&lt;5,"3-5 yrs",IF(P1856&lt;10,"5-10 yrs","10+ yrs"))))</f>
        <v>0-1 yrs</v>
      </c>
      <c r="S1856" s="13" t="str">
        <f aca="false">IF(I1856&gt;=4,"High",IF(I1856=3,"Medium","Low"))</f>
        <v>Medium</v>
      </c>
      <c r="T1856" s="13" t="n">
        <f aca="false">IF(M1856=1,YEAR(C1856),"")</f>
        <v>2025</v>
      </c>
      <c r="U1856" s="13" t="str">
        <f aca="false">IF(M1856=1,YEAR(C1856)&amp;"-Q"&amp;ROUNDUP(MONTH(C1856)/3,0),"")</f>
        <v>2025-Q2</v>
      </c>
      <c r="V1856" s="13" t="n">
        <f aca="false">IF(M1856=1,MONTH(C1856),"")</f>
        <v>4</v>
      </c>
    </row>
    <row r="1857" customFormat="false" ht="15" hidden="false" customHeight="false" outlineLevel="0" collapsed="false">
      <c r="A1857" s="13" t="str">
        <f aca="false">TRIM(Raw_Data!A1857)</f>
        <v>EMP1856</v>
      </c>
      <c r="B1857" s="14" t="n">
        <f aca="false">Raw_Data!B1857</f>
        <v>45693</v>
      </c>
      <c r="C1857" s="14" t="str">
        <f aca="false">IF(Raw_Data!C1857="","",Raw_Data!C1857)</f>
        <v/>
      </c>
      <c r="D1857" s="13" t="n">
        <f aca="false">IF(Raw_Data!D1857="","",Raw_Data!D1857)</f>
        <v>37</v>
      </c>
      <c r="E1857" s="13" t="str">
        <f aca="false">IF(UPPER(LEFT(TRIM(Raw_Data!E1857),1))="M","Male",IF(UPPER(LEFT(TRIM(Raw_Data!E1857),1))="F","Female","Unknown"))</f>
        <v>Female</v>
      </c>
      <c r="F1857" s="13" t="str">
        <f aca="false">PROPER(TRIM(SUBSTITUTE(Raw_Data!F1857,"'","")))</f>
        <v>Masters</v>
      </c>
      <c r="G1857" s="13" t="str">
        <f aca="false">PROPER(TRIM(Raw_Data!G1857))</f>
        <v>Sales</v>
      </c>
      <c r="H1857" s="13" t="str">
        <f aca="false">PROPER(TRIM(Raw_Data!H1857))</f>
        <v>Analyst</v>
      </c>
      <c r="I1857" s="13" t="n">
        <f aca="false">IF(Raw_Data!I1857="",DefaultPerf,Raw_Data!I1857)</f>
        <v>3</v>
      </c>
      <c r="J1857" s="13" t="n">
        <f aca="false">IF(Raw_Data!J1857="",DefaultSat,Raw_Data!J1857)</f>
        <v>2</v>
      </c>
      <c r="K1857" s="15" t="n">
        <f aca="false">Raw_Data!K1857</f>
        <v>40000</v>
      </c>
      <c r="L1857" s="13" t="str">
        <f aca="false">PROPER(TRIM(Raw_Data!N1857))</f>
        <v>No</v>
      </c>
      <c r="M1857" s="13" t="n">
        <f aca="false">IF(C1857="",0,1)</f>
        <v>0</v>
      </c>
      <c r="N1857" s="13" t="str">
        <f aca="false">IF(M1857=0,"Active",IF(TRIM(Raw_Data!L1857)="","Unknown",PROPER(TRIM(Raw_Data!L1857))))</f>
        <v>Active</v>
      </c>
      <c r="O1857" s="13" t="str">
        <f aca="false">IF(M1857=0,"",IF(TRIM(Raw_Data!M1857)="","Not Recorded",TRIM(Raw_Data!M1857)))</f>
        <v/>
      </c>
      <c r="P1857" s="16" t="n">
        <f aca="false">ROUND((IF(C1857="",AsOfDate,C1857)-B1857)/365.25,2)</f>
        <v>0.9</v>
      </c>
      <c r="Q1857" s="13" t="str">
        <f aca="false">IF(D1857="","Unknown",IF(D1857&lt;25,"Under 25",IF(D1857&lt;35,"25-34",IF(D1857&lt;45,"35-44",IF(D1857&lt;55,"45-54","55+")))))</f>
        <v>35-44</v>
      </c>
      <c r="R1857" s="13" t="str">
        <f aca="false">IF(P1857&lt;1,"0-1 yrs",IF(P1857&lt;3,"1-3 yrs",IF(P1857&lt;5,"3-5 yrs",IF(P1857&lt;10,"5-10 yrs","10+ yrs"))))</f>
        <v>0-1 yrs</v>
      </c>
      <c r="S1857" s="13" t="str">
        <f aca="false">IF(I1857&gt;=4,"High",IF(I1857=3,"Medium","Low"))</f>
        <v>Medium</v>
      </c>
      <c r="T1857" s="13" t="str">
        <f aca="false">IF(M1857=1,YEAR(C1857),"")</f>
        <v/>
      </c>
      <c r="U1857" s="13" t="str">
        <f aca="false">IF(M1857=1,YEAR(C1857)&amp;"-Q"&amp;ROUNDUP(MONTH(C1857)/3,0),"")</f>
        <v/>
      </c>
      <c r="V1857" s="13" t="str">
        <f aca="false">IF(M1857=1,MONTH(C1857),"")</f>
        <v/>
      </c>
    </row>
    <row r="1858" customFormat="false" ht="15" hidden="false" customHeight="false" outlineLevel="0" collapsed="false">
      <c r="A1858" s="13" t="str">
        <f aca="false">TRIM(Raw_Data!A1858)</f>
        <v>EMP1857</v>
      </c>
      <c r="B1858" s="14" t="n">
        <f aca="false">Raw_Data!B1858</f>
        <v>45694</v>
      </c>
      <c r="C1858" s="14" t="str">
        <f aca="false">IF(Raw_Data!C1858="","",Raw_Data!C1858)</f>
        <v/>
      </c>
      <c r="D1858" s="13" t="n">
        <f aca="false">IF(Raw_Data!D1858="","",Raw_Data!D1858)</f>
        <v>35</v>
      </c>
      <c r="E1858" s="13" t="str">
        <f aca="false">IF(UPPER(LEFT(TRIM(Raw_Data!E1858),1))="M","Male",IF(UPPER(LEFT(TRIM(Raw_Data!E1858),1))="F","Female","Unknown"))</f>
        <v>Female</v>
      </c>
      <c r="F1858" s="13" t="str">
        <f aca="false">PROPER(TRIM(SUBSTITUTE(Raw_Data!F1858,"'","")))</f>
        <v>Diploma</v>
      </c>
      <c r="G1858" s="13" t="str">
        <f aca="false">PROPER(TRIM(Raw_Data!G1858))</f>
        <v>Customer Support</v>
      </c>
      <c r="H1858" s="13" t="str">
        <f aca="false">PROPER(TRIM(Raw_Data!H1858))</f>
        <v>Associate</v>
      </c>
      <c r="I1858" s="13" t="n">
        <f aca="false">IF(Raw_Data!I1858="",DefaultPerf,Raw_Data!I1858)</f>
        <v>3</v>
      </c>
      <c r="J1858" s="13" t="n">
        <f aca="false">IF(Raw_Data!J1858="",DefaultSat,Raw_Data!J1858)</f>
        <v>4</v>
      </c>
      <c r="K1858" s="15" t="n">
        <f aca="false">Raw_Data!K1858</f>
        <v>38000</v>
      </c>
      <c r="L1858" s="13" t="str">
        <f aca="false">PROPER(TRIM(Raw_Data!N1858))</f>
        <v>No</v>
      </c>
      <c r="M1858" s="13" t="n">
        <f aca="false">IF(C1858="",0,1)</f>
        <v>0</v>
      </c>
      <c r="N1858" s="13" t="str">
        <f aca="false">IF(M1858=0,"Active",IF(TRIM(Raw_Data!L1858)="","Unknown",PROPER(TRIM(Raw_Data!L1858))))</f>
        <v>Active</v>
      </c>
      <c r="O1858" s="13" t="str">
        <f aca="false">IF(M1858=0,"",IF(TRIM(Raw_Data!M1858)="","Not Recorded",TRIM(Raw_Data!M1858)))</f>
        <v/>
      </c>
      <c r="P1858" s="16" t="n">
        <f aca="false">ROUND((IF(C1858="",AsOfDate,C1858)-B1858)/365.25,2)</f>
        <v>0.9</v>
      </c>
      <c r="Q1858" s="13" t="str">
        <f aca="false">IF(D1858="","Unknown",IF(D1858&lt;25,"Under 25",IF(D1858&lt;35,"25-34",IF(D1858&lt;45,"35-44",IF(D1858&lt;55,"45-54","55+")))))</f>
        <v>35-44</v>
      </c>
      <c r="R1858" s="13" t="str">
        <f aca="false">IF(P1858&lt;1,"0-1 yrs",IF(P1858&lt;3,"1-3 yrs",IF(P1858&lt;5,"3-5 yrs",IF(P1858&lt;10,"5-10 yrs","10+ yrs"))))</f>
        <v>0-1 yrs</v>
      </c>
      <c r="S1858" s="13" t="str">
        <f aca="false">IF(I1858&gt;=4,"High",IF(I1858=3,"Medium","Low"))</f>
        <v>Medium</v>
      </c>
      <c r="T1858" s="13" t="str">
        <f aca="false">IF(M1858=1,YEAR(C1858),"")</f>
        <v/>
      </c>
      <c r="U1858" s="13" t="str">
        <f aca="false">IF(M1858=1,YEAR(C1858)&amp;"-Q"&amp;ROUNDUP(MONTH(C1858)/3,0),"")</f>
        <v/>
      </c>
      <c r="V1858" s="13" t="str">
        <f aca="false">IF(M1858=1,MONTH(C1858),"")</f>
        <v/>
      </c>
    </row>
    <row r="1859" customFormat="false" ht="15" hidden="false" customHeight="false" outlineLevel="0" collapsed="false">
      <c r="A1859" s="13" t="str">
        <f aca="false">TRIM(Raw_Data!A1859)</f>
        <v>EMP1858</v>
      </c>
      <c r="B1859" s="14" t="n">
        <f aca="false">Raw_Data!B1859</f>
        <v>45694</v>
      </c>
      <c r="C1859" s="14" t="str">
        <f aca="false">IF(Raw_Data!C1859="","",Raw_Data!C1859)</f>
        <v/>
      </c>
      <c r="D1859" s="13" t="n">
        <f aca="false">IF(Raw_Data!D1859="","",Raw_Data!D1859)</f>
        <v>26</v>
      </c>
      <c r="E1859" s="13" t="str">
        <f aca="false">IF(UPPER(LEFT(TRIM(Raw_Data!E1859),1))="M","Male",IF(UPPER(LEFT(TRIM(Raw_Data!E1859),1))="F","Female","Unknown"))</f>
        <v>Female</v>
      </c>
      <c r="F1859" s="13" t="str">
        <f aca="false">PROPER(TRIM(SUBSTITUTE(Raw_Data!F1859,"'","")))</f>
        <v>Bachelors</v>
      </c>
      <c r="G1859" s="13" t="str">
        <f aca="false">PROPER(TRIM(Raw_Data!G1859))</f>
        <v>Operations</v>
      </c>
      <c r="H1859" s="13" t="str">
        <f aca="false">PROPER(TRIM(Raw_Data!H1859))</f>
        <v>Associate</v>
      </c>
      <c r="I1859" s="13" t="n">
        <f aca="false">IF(Raw_Data!I1859="",DefaultPerf,Raw_Data!I1859)</f>
        <v>1</v>
      </c>
      <c r="J1859" s="13" t="n">
        <f aca="false">IF(Raw_Data!J1859="",DefaultSat,Raw_Data!J1859)</f>
        <v>4</v>
      </c>
      <c r="K1859" s="15" t="n">
        <f aca="false">Raw_Data!K1859</f>
        <v>41500</v>
      </c>
      <c r="L1859" s="13" t="str">
        <f aca="false">PROPER(TRIM(Raw_Data!N1859))</f>
        <v>No</v>
      </c>
      <c r="M1859" s="13" t="n">
        <f aca="false">IF(C1859="",0,1)</f>
        <v>0</v>
      </c>
      <c r="N1859" s="13" t="str">
        <f aca="false">IF(M1859=0,"Active",IF(TRIM(Raw_Data!L1859)="","Unknown",PROPER(TRIM(Raw_Data!L1859))))</f>
        <v>Active</v>
      </c>
      <c r="O1859" s="13" t="str">
        <f aca="false">IF(M1859=0,"",IF(TRIM(Raw_Data!M1859)="","Not Recorded",TRIM(Raw_Data!M1859)))</f>
        <v/>
      </c>
      <c r="P1859" s="16" t="n">
        <f aca="false">ROUND((IF(C1859="",AsOfDate,C1859)-B1859)/365.25,2)</f>
        <v>0.9</v>
      </c>
      <c r="Q1859" s="13" t="str">
        <f aca="false">IF(D1859="","Unknown",IF(D1859&lt;25,"Under 25",IF(D1859&lt;35,"25-34",IF(D1859&lt;45,"35-44",IF(D1859&lt;55,"45-54","55+")))))</f>
        <v>25-34</v>
      </c>
      <c r="R1859" s="13" t="str">
        <f aca="false">IF(P1859&lt;1,"0-1 yrs",IF(P1859&lt;3,"1-3 yrs",IF(P1859&lt;5,"3-5 yrs",IF(P1859&lt;10,"5-10 yrs","10+ yrs"))))</f>
        <v>0-1 yrs</v>
      </c>
      <c r="S1859" s="13" t="str">
        <f aca="false">IF(I1859&gt;=4,"High",IF(I1859=3,"Medium","Low"))</f>
        <v>Low</v>
      </c>
      <c r="T1859" s="13" t="str">
        <f aca="false">IF(M1859=1,YEAR(C1859),"")</f>
        <v/>
      </c>
      <c r="U1859" s="13" t="str">
        <f aca="false">IF(M1859=1,YEAR(C1859)&amp;"-Q"&amp;ROUNDUP(MONTH(C1859)/3,0),"")</f>
        <v/>
      </c>
      <c r="V1859" s="13" t="str">
        <f aca="false">IF(M1859=1,MONTH(C1859),"")</f>
        <v/>
      </c>
    </row>
    <row r="1860" customFormat="false" ht="15" hidden="false" customHeight="false" outlineLevel="0" collapsed="false">
      <c r="A1860" s="13" t="str">
        <f aca="false">TRIM(Raw_Data!A1860)</f>
        <v>EMP1859</v>
      </c>
      <c r="B1860" s="14" t="n">
        <f aca="false">Raw_Data!B1860</f>
        <v>45697</v>
      </c>
      <c r="C1860" s="14" t="str">
        <f aca="false">IF(Raw_Data!C1860="","",Raw_Data!C1860)</f>
        <v/>
      </c>
      <c r="D1860" s="13" t="n">
        <f aca="false">IF(Raw_Data!D1860="","",Raw_Data!D1860)</f>
        <v>35</v>
      </c>
      <c r="E1860" s="13" t="str">
        <f aca="false">IF(UPPER(LEFT(TRIM(Raw_Data!E1860),1))="M","Male",IF(UPPER(LEFT(TRIM(Raw_Data!E1860),1))="F","Female","Unknown"))</f>
        <v>Female</v>
      </c>
      <c r="F1860" s="13" t="str">
        <f aca="false">PROPER(TRIM(SUBSTITUTE(Raw_Data!F1860,"'","")))</f>
        <v>Masters</v>
      </c>
      <c r="G1860" s="13" t="str">
        <f aca="false">PROPER(TRIM(Raw_Data!G1860))</f>
        <v>Operations</v>
      </c>
      <c r="H1860" s="13" t="str">
        <f aca="false">PROPER(TRIM(Raw_Data!H1860))</f>
        <v>Manager</v>
      </c>
      <c r="I1860" s="13" t="n">
        <f aca="false">IF(Raw_Data!I1860="",DefaultPerf,Raw_Data!I1860)</f>
        <v>3</v>
      </c>
      <c r="J1860" s="13" t="n">
        <f aca="false">IF(Raw_Data!J1860="",DefaultSat,Raw_Data!J1860)</f>
        <v>4</v>
      </c>
      <c r="K1860" s="15" t="n">
        <f aca="false">Raw_Data!K1860</f>
        <v>171000</v>
      </c>
      <c r="L1860" s="13" t="str">
        <f aca="false">PROPER(TRIM(Raw_Data!N1860))</f>
        <v>No</v>
      </c>
      <c r="M1860" s="13" t="n">
        <f aca="false">IF(C1860="",0,1)</f>
        <v>0</v>
      </c>
      <c r="N1860" s="13" t="str">
        <f aca="false">IF(M1860=0,"Active",IF(TRIM(Raw_Data!L1860)="","Unknown",PROPER(TRIM(Raw_Data!L1860))))</f>
        <v>Active</v>
      </c>
      <c r="O1860" s="13" t="str">
        <f aca="false">IF(M1860=0,"",IF(TRIM(Raw_Data!M1860)="","Not Recorded",TRIM(Raw_Data!M1860)))</f>
        <v/>
      </c>
      <c r="P1860" s="16" t="n">
        <f aca="false">ROUND((IF(C1860="",AsOfDate,C1860)-B1860)/365.25,2)</f>
        <v>0.89</v>
      </c>
      <c r="Q1860" s="13" t="str">
        <f aca="false">IF(D1860="","Unknown",IF(D1860&lt;25,"Under 25",IF(D1860&lt;35,"25-34",IF(D1860&lt;45,"35-44",IF(D1860&lt;55,"45-54","55+")))))</f>
        <v>35-44</v>
      </c>
      <c r="R1860" s="13" t="str">
        <f aca="false">IF(P1860&lt;1,"0-1 yrs",IF(P1860&lt;3,"1-3 yrs",IF(P1860&lt;5,"3-5 yrs",IF(P1860&lt;10,"5-10 yrs","10+ yrs"))))</f>
        <v>0-1 yrs</v>
      </c>
      <c r="S1860" s="13" t="str">
        <f aca="false">IF(I1860&gt;=4,"High",IF(I1860=3,"Medium","Low"))</f>
        <v>Medium</v>
      </c>
      <c r="T1860" s="13" t="str">
        <f aca="false">IF(M1860=1,YEAR(C1860),"")</f>
        <v/>
      </c>
      <c r="U1860" s="13" t="str">
        <f aca="false">IF(M1860=1,YEAR(C1860)&amp;"-Q"&amp;ROUNDUP(MONTH(C1860)/3,0),"")</f>
        <v/>
      </c>
      <c r="V1860" s="13" t="str">
        <f aca="false">IF(M1860=1,MONTH(C1860),"")</f>
        <v/>
      </c>
    </row>
    <row r="1861" customFormat="false" ht="15" hidden="false" customHeight="false" outlineLevel="0" collapsed="false">
      <c r="A1861" s="13" t="str">
        <f aca="false">TRIM(Raw_Data!A1861)</f>
        <v>EMP1860</v>
      </c>
      <c r="B1861" s="14" t="n">
        <f aca="false">Raw_Data!B1861</f>
        <v>45698</v>
      </c>
      <c r="C1861" s="14" t="str">
        <f aca="false">IF(Raw_Data!C1861="","",Raw_Data!C1861)</f>
        <v/>
      </c>
      <c r="D1861" s="13" t="n">
        <f aca="false">IF(Raw_Data!D1861="","",Raw_Data!D1861)</f>
        <v>28</v>
      </c>
      <c r="E1861" s="13" t="str">
        <f aca="false">IF(UPPER(LEFT(TRIM(Raw_Data!E1861),1))="M","Male",IF(UPPER(LEFT(TRIM(Raw_Data!E1861),1))="F","Female","Unknown"))</f>
        <v>Male</v>
      </c>
      <c r="F1861" s="13" t="str">
        <f aca="false">PROPER(TRIM(SUBSTITUTE(Raw_Data!F1861,"'","")))</f>
        <v>Diploma</v>
      </c>
      <c r="G1861" s="13" t="str">
        <f aca="false">PROPER(TRIM(Raw_Data!G1861))</f>
        <v>Operations</v>
      </c>
      <c r="H1861" s="13" t="str">
        <f aca="false">PROPER(TRIM(Raw_Data!H1861))</f>
        <v>Associate</v>
      </c>
      <c r="I1861" s="13" t="n">
        <f aca="false">IF(Raw_Data!I1861="",DefaultPerf,Raw_Data!I1861)</f>
        <v>4</v>
      </c>
      <c r="J1861" s="13" t="n">
        <f aca="false">IF(Raw_Data!J1861="",DefaultSat,Raw_Data!J1861)</f>
        <v>3</v>
      </c>
      <c r="K1861" s="15" t="n">
        <f aca="false">Raw_Data!K1861</f>
        <v>28500</v>
      </c>
      <c r="L1861" s="13" t="str">
        <f aca="false">PROPER(TRIM(Raw_Data!N1861))</f>
        <v>No</v>
      </c>
      <c r="M1861" s="13" t="n">
        <f aca="false">IF(C1861="",0,1)</f>
        <v>0</v>
      </c>
      <c r="N1861" s="13" t="str">
        <f aca="false">IF(M1861=0,"Active",IF(TRIM(Raw_Data!L1861)="","Unknown",PROPER(TRIM(Raw_Data!L1861))))</f>
        <v>Active</v>
      </c>
      <c r="O1861" s="13" t="str">
        <f aca="false">IF(M1861=0,"",IF(TRIM(Raw_Data!M1861)="","Not Recorded",TRIM(Raw_Data!M1861)))</f>
        <v/>
      </c>
      <c r="P1861" s="16" t="n">
        <f aca="false">ROUND((IF(C1861="",AsOfDate,C1861)-B1861)/365.25,2)</f>
        <v>0.89</v>
      </c>
      <c r="Q1861" s="13" t="str">
        <f aca="false">IF(D1861="","Unknown",IF(D1861&lt;25,"Under 25",IF(D1861&lt;35,"25-34",IF(D1861&lt;45,"35-44",IF(D1861&lt;55,"45-54","55+")))))</f>
        <v>25-34</v>
      </c>
      <c r="R1861" s="13" t="str">
        <f aca="false">IF(P1861&lt;1,"0-1 yrs",IF(P1861&lt;3,"1-3 yrs",IF(P1861&lt;5,"3-5 yrs",IF(P1861&lt;10,"5-10 yrs","10+ yrs"))))</f>
        <v>0-1 yrs</v>
      </c>
      <c r="S1861" s="13" t="str">
        <f aca="false">IF(I1861&gt;=4,"High",IF(I1861=3,"Medium","Low"))</f>
        <v>High</v>
      </c>
      <c r="T1861" s="13" t="str">
        <f aca="false">IF(M1861=1,YEAR(C1861),"")</f>
        <v/>
      </c>
      <c r="U1861" s="13" t="str">
        <f aca="false">IF(M1861=1,YEAR(C1861)&amp;"-Q"&amp;ROUNDUP(MONTH(C1861)/3,0),"")</f>
        <v/>
      </c>
      <c r="V1861" s="13" t="str">
        <f aca="false">IF(M1861=1,MONTH(C1861),"")</f>
        <v/>
      </c>
    </row>
    <row r="1862" customFormat="false" ht="15" hidden="false" customHeight="false" outlineLevel="0" collapsed="false">
      <c r="A1862" s="13" t="str">
        <f aca="false">TRIM(Raw_Data!A1862)</f>
        <v>EMP1861</v>
      </c>
      <c r="B1862" s="14" t="n">
        <f aca="false">Raw_Data!B1862</f>
        <v>45700</v>
      </c>
      <c r="C1862" s="14" t="str">
        <f aca="false">IF(Raw_Data!C1862="","",Raw_Data!C1862)</f>
        <v/>
      </c>
      <c r="D1862" s="13" t="n">
        <f aca="false">IF(Raw_Data!D1862="","",Raw_Data!D1862)</f>
        <v>39</v>
      </c>
      <c r="E1862" s="13" t="str">
        <f aca="false">IF(UPPER(LEFT(TRIM(Raw_Data!E1862),1))="M","Male",IF(UPPER(LEFT(TRIM(Raw_Data!E1862),1))="F","Female","Unknown"))</f>
        <v>Female</v>
      </c>
      <c r="F1862" s="13" t="str">
        <f aca="false">PROPER(TRIM(SUBSTITUTE(Raw_Data!F1862,"'","")))</f>
        <v>Bachelors</v>
      </c>
      <c r="G1862" s="13" t="str">
        <f aca="false">PROPER(TRIM(Raw_Data!G1862))</f>
        <v>Finance</v>
      </c>
      <c r="H1862" s="13" t="str">
        <f aca="false">PROPER(TRIM(Raw_Data!H1862))</f>
        <v>Associate</v>
      </c>
      <c r="I1862" s="13" t="n">
        <f aca="false">IF(Raw_Data!I1862="",DefaultPerf,Raw_Data!I1862)</f>
        <v>4</v>
      </c>
      <c r="J1862" s="13" t="n">
        <f aca="false">IF(Raw_Data!J1862="",DefaultSat,Raw_Data!J1862)</f>
        <v>3</v>
      </c>
      <c r="K1862" s="15" t="n">
        <f aca="false">Raw_Data!K1862</f>
        <v>27500</v>
      </c>
      <c r="L1862" s="13" t="str">
        <f aca="false">PROPER(TRIM(Raw_Data!N1862))</f>
        <v>No</v>
      </c>
      <c r="M1862" s="13" t="n">
        <f aca="false">IF(C1862="",0,1)</f>
        <v>0</v>
      </c>
      <c r="N1862" s="13" t="str">
        <f aca="false">IF(M1862=0,"Active",IF(TRIM(Raw_Data!L1862)="","Unknown",PROPER(TRIM(Raw_Data!L1862))))</f>
        <v>Active</v>
      </c>
      <c r="O1862" s="13" t="str">
        <f aca="false">IF(M1862=0,"",IF(TRIM(Raw_Data!M1862)="","Not Recorded",TRIM(Raw_Data!M1862)))</f>
        <v/>
      </c>
      <c r="P1862" s="16" t="n">
        <f aca="false">ROUND((IF(C1862="",AsOfDate,C1862)-B1862)/365.25,2)</f>
        <v>0.88</v>
      </c>
      <c r="Q1862" s="13" t="str">
        <f aca="false">IF(D1862="","Unknown",IF(D1862&lt;25,"Under 25",IF(D1862&lt;35,"25-34",IF(D1862&lt;45,"35-44",IF(D1862&lt;55,"45-54","55+")))))</f>
        <v>35-44</v>
      </c>
      <c r="R1862" s="13" t="str">
        <f aca="false">IF(P1862&lt;1,"0-1 yrs",IF(P1862&lt;3,"1-3 yrs",IF(P1862&lt;5,"3-5 yrs",IF(P1862&lt;10,"5-10 yrs","10+ yrs"))))</f>
        <v>0-1 yrs</v>
      </c>
      <c r="S1862" s="13" t="str">
        <f aca="false">IF(I1862&gt;=4,"High",IF(I1862=3,"Medium","Low"))</f>
        <v>High</v>
      </c>
      <c r="T1862" s="13" t="str">
        <f aca="false">IF(M1862=1,YEAR(C1862),"")</f>
        <v/>
      </c>
      <c r="U1862" s="13" t="str">
        <f aca="false">IF(M1862=1,YEAR(C1862)&amp;"-Q"&amp;ROUNDUP(MONTH(C1862)/3,0),"")</f>
        <v/>
      </c>
      <c r="V1862" s="13" t="str">
        <f aca="false">IF(M1862=1,MONTH(C1862),"")</f>
        <v/>
      </c>
    </row>
    <row r="1863" customFormat="false" ht="15" hidden="false" customHeight="false" outlineLevel="0" collapsed="false">
      <c r="A1863" s="13" t="str">
        <f aca="false">TRIM(Raw_Data!A1863)</f>
        <v>EMP1862</v>
      </c>
      <c r="B1863" s="14" t="n">
        <f aca="false">Raw_Data!B1863</f>
        <v>45701</v>
      </c>
      <c r="C1863" s="14" t="n">
        <f aca="false">IF(Raw_Data!C1863="","",Raw_Data!C1863)</f>
        <v>45833</v>
      </c>
      <c r="D1863" s="13" t="n">
        <f aca="false">IF(Raw_Data!D1863="","",Raw_Data!D1863)</f>
        <v>23</v>
      </c>
      <c r="E1863" s="13" t="str">
        <f aca="false">IF(UPPER(LEFT(TRIM(Raw_Data!E1863),1))="M","Male",IF(UPPER(LEFT(TRIM(Raw_Data!E1863),1))="F","Female","Unknown"))</f>
        <v>Female</v>
      </c>
      <c r="F1863" s="13" t="str">
        <f aca="false">PROPER(TRIM(SUBSTITUTE(Raw_Data!F1863,"'","")))</f>
        <v>Masters</v>
      </c>
      <c r="G1863" s="13" t="str">
        <f aca="false">PROPER(TRIM(Raw_Data!G1863))</f>
        <v>Engineering</v>
      </c>
      <c r="H1863" s="13" t="str">
        <f aca="false">PROPER(TRIM(Raw_Data!H1863))</f>
        <v>Analyst</v>
      </c>
      <c r="I1863" s="13" t="n">
        <f aca="false">IF(Raw_Data!I1863="",DefaultPerf,Raw_Data!I1863)</f>
        <v>3</v>
      </c>
      <c r="J1863" s="13" t="n">
        <f aca="false">IF(Raw_Data!J1863="",DefaultSat,Raw_Data!J1863)</f>
        <v>4</v>
      </c>
      <c r="K1863" s="15" t="n">
        <f aca="false">Raw_Data!K1863</f>
        <v>56000</v>
      </c>
      <c r="L1863" s="13" t="str">
        <f aca="false">PROPER(TRIM(Raw_Data!N1863))</f>
        <v>Yes</v>
      </c>
      <c r="M1863" s="13" t="n">
        <f aca="false">IF(C1863="",0,1)</f>
        <v>1</v>
      </c>
      <c r="N1863" s="13" t="str">
        <f aca="false">IF(M1863=0,"Active",IF(TRIM(Raw_Data!L1863)="","Unknown",PROPER(TRIM(Raw_Data!L1863))))</f>
        <v>Involuntary</v>
      </c>
      <c r="O1863" s="13" t="str">
        <f aca="false">IF(M1863=0,"",IF(TRIM(Raw_Data!M1863)="","Not Recorded",TRIM(Raw_Data!M1863)))</f>
        <v>Poor Performance</v>
      </c>
      <c r="P1863" s="16" t="n">
        <f aca="false">ROUND((IF(C1863="",AsOfDate,C1863)-B1863)/365.25,2)</f>
        <v>0.36</v>
      </c>
      <c r="Q1863" s="13" t="str">
        <f aca="false">IF(D1863="","Unknown",IF(D1863&lt;25,"Under 25",IF(D1863&lt;35,"25-34",IF(D1863&lt;45,"35-44",IF(D1863&lt;55,"45-54","55+")))))</f>
        <v>Under 25</v>
      </c>
      <c r="R1863" s="13" t="str">
        <f aca="false">IF(P1863&lt;1,"0-1 yrs",IF(P1863&lt;3,"1-3 yrs",IF(P1863&lt;5,"3-5 yrs",IF(P1863&lt;10,"5-10 yrs","10+ yrs"))))</f>
        <v>0-1 yrs</v>
      </c>
      <c r="S1863" s="13" t="str">
        <f aca="false">IF(I1863&gt;=4,"High",IF(I1863=3,"Medium","Low"))</f>
        <v>Medium</v>
      </c>
      <c r="T1863" s="13" t="n">
        <f aca="false">IF(M1863=1,YEAR(C1863),"")</f>
        <v>2025</v>
      </c>
      <c r="U1863" s="13" t="str">
        <f aca="false">IF(M1863=1,YEAR(C1863)&amp;"-Q"&amp;ROUNDUP(MONTH(C1863)/3,0),"")</f>
        <v>2025-Q2</v>
      </c>
      <c r="V1863" s="13" t="n">
        <f aca="false">IF(M1863=1,MONTH(C1863),"")</f>
        <v>6</v>
      </c>
    </row>
    <row r="1864" customFormat="false" ht="15" hidden="false" customHeight="false" outlineLevel="0" collapsed="false">
      <c r="A1864" s="13" t="str">
        <f aca="false">TRIM(Raw_Data!A1864)</f>
        <v>EMP1863</v>
      </c>
      <c r="B1864" s="14" t="n">
        <f aca="false">Raw_Data!B1864</f>
        <v>45703</v>
      </c>
      <c r="C1864" s="14" t="str">
        <f aca="false">IF(Raw_Data!C1864="","",Raw_Data!C1864)</f>
        <v/>
      </c>
      <c r="D1864" s="13" t="n">
        <f aca="false">IF(Raw_Data!D1864="","",Raw_Data!D1864)</f>
        <v>30</v>
      </c>
      <c r="E1864" s="13" t="str">
        <f aca="false">IF(UPPER(LEFT(TRIM(Raw_Data!E1864),1))="M","Male",IF(UPPER(LEFT(TRIM(Raw_Data!E1864),1))="F","Female","Unknown"))</f>
        <v>Male</v>
      </c>
      <c r="F1864" s="13" t="str">
        <f aca="false">PROPER(TRIM(SUBSTITUTE(Raw_Data!F1864,"'","")))</f>
        <v>Masters</v>
      </c>
      <c r="G1864" s="13" t="str">
        <f aca="false">PROPER(TRIM(Raw_Data!G1864))</f>
        <v>Sales</v>
      </c>
      <c r="H1864" s="13" t="str">
        <f aca="false">PROPER(TRIM(Raw_Data!H1864))</f>
        <v>Associate</v>
      </c>
      <c r="I1864" s="13" t="n">
        <f aca="false">IF(Raw_Data!I1864="",DefaultPerf,Raw_Data!I1864)</f>
        <v>4</v>
      </c>
      <c r="J1864" s="17" t="n">
        <f aca="false">IF(Raw_Data!J1864="",DefaultSat,Raw_Data!J1864)</f>
        <v>3</v>
      </c>
      <c r="K1864" s="15" t="n">
        <f aca="false">Raw_Data!K1864</f>
        <v>43500</v>
      </c>
      <c r="L1864" s="13" t="str">
        <f aca="false">PROPER(TRIM(Raw_Data!N1864))</f>
        <v>Yes</v>
      </c>
      <c r="M1864" s="13" t="n">
        <f aca="false">IF(C1864="",0,1)</f>
        <v>0</v>
      </c>
      <c r="N1864" s="13" t="str">
        <f aca="false">IF(M1864=0,"Active",IF(TRIM(Raw_Data!L1864)="","Unknown",PROPER(TRIM(Raw_Data!L1864))))</f>
        <v>Active</v>
      </c>
      <c r="O1864" s="13" t="str">
        <f aca="false">IF(M1864=0,"",IF(TRIM(Raw_Data!M1864)="","Not Recorded",TRIM(Raw_Data!M1864)))</f>
        <v/>
      </c>
      <c r="P1864" s="16" t="n">
        <f aca="false">ROUND((IF(C1864="",AsOfDate,C1864)-B1864)/365.25,2)</f>
        <v>0.87</v>
      </c>
      <c r="Q1864" s="13" t="str">
        <f aca="false">IF(D1864="","Unknown",IF(D1864&lt;25,"Under 25",IF(D1864&lt;35,"25-34",IF(D1864&lt;45,"35-44",IF(D1864&lt;55,"45-54","55+")))))</f>
        <v>25-34</v>
      </c>
      <c r="R1864" s="13" t="str">
        <f aca="false">IF(P1864&lt;1,"0-1 yrs",IF(P1864&lt;3,"1-3 yrs",IF(P1864&lt;5,"3-5 yrs",IF(P1864&lt;10,"5-10 yrs","10+ yrs"))))</f>
        <v>0-1 yrs</v>
      </c>
      <c r="S1864" s="13" t="str">
        <f aca="false">IF(I1864&gt;=4,"High",IF(I1864=3,"Medium","Low"))</f>
        <v>High</v>
      </c>
      <c r="T1864" s="13" t="str">
        <f aca="false">IF(M1864=1,YEAR(C1864),"")</f>
        <v/>
      </c>
      <c r="U1864" s="13" t="str">
        <f aca="false">IF(M1864=1,YEAR(C1864)&amp;"-Q"&amp;ROUNDUP(MONTH(C1864)/3,0),"")</f>
        <v/>
      </c>
      <c r="V1864" s="13" t="str">
        <f aca="false">IF(M1864=1,MONTH(C1864),"")</f>
        <v/>
      </c>
    </row>
    <row r="1865" customFormat="false" ht="15" hidden="false" customHeight="false" outlineLevel="0" collapsed="false">
      <c r="A1865" s="13" t="str">
        <f aca="false">TRIM(Raw_Data!A1865)</f>
        <v>EMP1864</v>
      </c>
      <c r="B1865" s="14" t="n">
        <f aca="false">Raw_Data!B1865</f>
        <v>45704</v>
      </c>
      <c r="C1865" s="14" t="n">
        <f aca="false">IF(Raw_Data!C1865="","",Raw_Data!C1865)</f>
        <v>45850</v>
      </c>
      <c r="D1865" s="13" t="n">
        <f aca="false">IF(Raw_Data!D1865="","",Raw_Data!D1865)</f>
        <v>22</v>
      </c>
      <c r="E1865" s="13" t="str">
        <f aca="false">IF(UPPER(LEFT(TRIM(Raw_Data!E1865),1))="M","Male",IF(UPPER(LEFT(TRIM(Raw_Data!E1865),1))="F","Female","Unknown"))</f>
        <v>Female</v>
      </c>
      <c r="F1865" s="13" t="str">
        <f aca="false">PROPER(TRIM(SUBSTITUTE(Raw_Data!F1865,"'","")))</f>
        <v>Masters</v>
      </c>
      <c r="G1865" s="13" t="str">
        <f aca="false">PROPER(TRIM(Raw_Data!G1865))</f>
        <v>Sales</v>
      </c>
      <c r="H1865" s="13" t="str">
        <f aca="false">PROPER(TRIM(Raw_Data!H1865))</f>
        <v>Analyst</v>
      </c>
      <c r="I1865" s="13" t="n">
        <f aca="false">IF(Raw_Data!I1865="",DefaultPerf,Raw_Data!I1865)</f>
        <v>3</v>
      </c>
      <c r="J1865" s="13" t="n">
        <f aca="false">IF(Raw_Data!J1865="",DefaultSat,Raw_Data!J1865)</f>
        <v>3</v>
      </c>
      <c r="K1865" s="15" t="n">
        <f aca="false">Raw_Data!K1865</f>
        <v>56000</v>
      </c>
      <c r="L1865" s="13" t="str">
        <f aca="false">PROPER(TRIM(Raw_Data!N1865))</f>
        <v>No</v>
      </c>
      <c r="M1865" s="13" t="n">
        <f aca="false">IF(C1865="",0,1)</f>
        <v>1</v>
      </c>
      <c r="N1865" s="13" t="str">
        <f aca="false">IF(M1865=0,"Active",IF(TRIM(Raw_Data!L1865)="","Unknown",PROPER(TRIM(Raw_Data!L1865))))</f>
        <v>Voluntary</v>
      </c>
      <c r="O1865" s="13" t="str">
        <f aca="false">IF(M1865=0,"",IF(TRIM(Raw_Data!M1865)="","Not Recorded",TRIM(Raw_Data!M1865)))</f>
        <v>Job Dissatisfaction</v>
      </c>
      <c r="P1865" s="16" t="n">
        <f aca="false">ROUND((IF(C1865="",AsOfDate,C1865)-B1865)/365.25,2)</f>
        <v>0.4</v>
      </c>
      <c r="Q1865" s="13" t="str">
        <f aca="false">IF(D1865="","Unknown",IF(D1865&lt;25,"Under 25",IF(D1865&lt;35,"25-34",IF(D1865&lt;45,"35-44",IF(D1865&lt;55,"45-54","55+")))))</f>
        <v>Under 25</v>
      </c>
      <c r="R1865" s="13" t="str">
        <f aca="false">IF(P1865&lt;1,"0-1 yrs",IF(P1865&lt;3,"1-3 yrs",IF(P1865&lt;5,"3-5 yrs",IF(P1865&lt;10,"5-10 yrs","10+ yrs"))))</f>
        <v>0-1 yrs</v>
      </c>
      <c r="S1865" s="13" t="str">
        <f aca="false">IF(I1865&gt;=4,"High",IF(I1865=3,"Medium","Low"))</f>
        <v>Medium</v>
      </c>
      <c r="T1865" s="13" t="n">
        <f aca="false">IF(M1865=1,YEAR(C1865),"")</f>
        <v>2025</v>
      </c>
      <c r="U1865" s="13" t="str">
        <f aca="false">IF(M1865=1,YEAR(C1865)&amp;"-Q"&amp;ROUNDUP(MONTH(C1865)/3,0),"")</f>
        <v>2025-Q3</v>
      </c>
      <c r="V1865" s="13" t="n">
        <f aca="false">IF(M1865=1,MONTH(C1865),"")</f>
        <v>7</v>
      </c>
    </row>
    <row r="1866" customFormat="false" ht="15" hidden="false" customHeight="false" outlineLevel="0" collapsed="false">
      <c r="A1866" s="13" t="str">
        <f aca="false">TRIM(Raw_Data!A1866)</f>
        <v>EMP1865</v>
      </c>
      <c r="B1866" s="14" t="n">
        <f aca="false">Raw_Data!B1866</f>
        <v>45704</v>
      </c>
      <c r="C1866" s="14" t="str">
        <f aca="false">IF(Raw_Data!C1866="","",Raw_Data!C1866)</f>
        <v/>
      </c>
      <c r="D1866" s="13" t="n">
        <f aca="false">IF(Raw_Data!D1866="","",Raw_Data!D1866)</f>
        <v>36</v>
      </c>
      <c r="E1866" s="13" t="str">
        <f aca="false">IF(UPPER(LEFT(TRIM(Raw_Data!E1866),1))="M","Male",IF(UPPER(LEFT(TRIM(Raw_Data!E1866),1))="F","Female","Unknown"))</f>
        <v>Male</v>
      </c>
      <c r="F1866" s="13" t="str">
        <f aca="false">PROPER(TRIM(SUBSTITUTE(Raw_Data!F1866,"'","")))</f>
        <v>High School</v>
      </c>
      <c r="G1866" s="13" t="str">
        <f aca="false">PROPER(TRIM(Raw_Data!G1866))</f>
        <v>Engineering</v>
      </c>
      <c r="H1866" s="13" t="str">
        <f aca="false">PROPER(TRIM(Raw_Data!H1866))</f>
        <v>Team Lead</v>
      </c>
      <c r="I1866" s="13" t="n">
        <f aca="false">IF(Raw_Data!I1866="",DefaultPerf,Raw_Data!I1866)</f>
        <v>3</v>
      </c>
      <c r="J1866" s="13" t="n">
        <f aca="false">IF(Raw_Data!J1866="",DefaultSat,Raw_Data!J1866)</f>
        <v>1</v>
      </c>
      <c r="K1866" s="15" t="n">
        <f aca="false">Raw_Data!K1866</f>
        <v>124000</v>
      </c>
      <c r="L1866" s="13" t="str">
        <f aca="false">PROPER(TRIM(Raw_Data!N1866))</f>
        <v>No</v>
      </c>
      <c r="M1866" s="13" t="n">
        <f aca="false">IF(C1866="",0,1)</f>
        <v>0</v>
      </c>
      <c r="N1866" s="13" t="str">
        <f aca="false">IF(M1866=0,"Active",IF(TRIM(Raw_Data!L1866)="","Unknown",PROPER(TRIM(Raw_Data!L1866))))</f>
        <v>Active</v>
      </c>
      <c r="O1866" s="13" t="str">
        <f aca="false">IF(M1866=0,"",IF(TRIM(Raw_Data!M1866)="","Not Recorded",TRIM(Raw_Data!M1866)))</f>
        <v/>
      </c>
      <c r="P1866" s="16" t="n">
        <f aca="false">ROUND((IF(C1866="",AsOfDate,C1866)-B1866)/365.25,2)</f>
        <v>0.87</v>
      </c>
      <c r="Q1866" s="13" t="str">
        <f aca="false">IF(D1866="","Unknown",IF(D1866&lt;25,"Under 25",IF(D1866&lt;35,"25-34",IF(D1866&lt;45,"35-44",IF(D1866&lt;55,"45-54","55+")))))</f>
        <v>35-44</v>
      </c>
      <c r="R1866" s="13" t="str">
        <f aca="false">IF(P1866&lt;1,"0-1 yrs",IF(P1866&lt;3,"1-3 yrs",IF(P1866&lt;5,"3-5 yrs",IF(P1866&lt;10,"5-10 yrs","10+ yrs"))))</f>
        <v>0-1 yrs</v>
      </c>
      <c r="S1866" s="13" t="str">
        <f aca="false">IF(I1866&gt;=4,"High",IF(I1866=3,"Medium","Low"))</f>
        <v>Medium</v>
      </c>
      <c r="T1866" s="13" t="str">
        <f aca="false">IF(M1866=1,YEAR(C1866),"")</f>
        <v/>
      </c>
      <c r="U1866" s="13" t="str">
        <f aca="false">IF(M1866=1,YEAR(C1866)&amp;"-Q"&amp;ROUNDUP(MONTH(C1866)/3,0),"")</f>
        <v/>
      </c>
      <c r="V1866" s="13" t="str">
        <f aca="false">IF(M1866=1,MONTH(C1866),"")</f>
        <v/>
      </c>
    </row>
    <row r="1867" customFormat="false" ht="15" hidden="false" customHeight="false" outlineLevel="0" collapsed="false">
      <c r="A1867" s="13" t="str">
        <f aca="false">TRIM(Raw_Data!A1867)</f>
        <v>EMP1866</v>
      </c>
      <c r="B1867" s="14" t="n">
        <f aca="false">Raw_Data!B1867</f>
        <v>45707</v>
      </c>
      <c r="C1867" s="14" t="str">
        <f aca="false">IF(Raw_Data!C1867="","",Raw_Data!C1867)</f>
        <v/>
      </c>
      <c r="D1867" s="13" t="n">
        <f aca="false">IF(Raw_Data!D1867="","",Raw_Data!D1867)</f>
        <v>31</v>
      </c>
      <c r="E1867" s="13" t="str">
        <f aca="false">IF(UPPER(LEFT(TRIM(Raw_Data!E1867),1))="M","Male",IF(UPPER(LEFT(TRIM(Raw_Data!E1867),1))="F","Female","Unknown"))</f>
        <v>Male</v>
      </c>
      <c r="F1867" s="13" t="str">
        <f aca="false">PROPER(TRIM(SUBSTITUTE(Raw_Data!F1867,"'","")))</f>
        <v>Bachelors</v>
      </c>
      <c r="G1867" s="13" t="str">
        <f aca="false">PROPER(TRIM(Raw_Data!G1867))</f>
        <v>Sales</v>
      </c>
      <c r="H1867" s="13" t="str">
        <f aca="false">PROPER(TRIM(Raw_Data!H1867))</f>
        <v>Analyst</v>
      </c>
      <c r="I1867" s="13" t="n">
        <f aca="false">IF(Raw_Data!I1867="",DefaultPerf,Raw_Data!I1867)</f>
        <v>3</v>
      </c>
      <c r="J1867" s="13" t="n">
        <f aca="false">IF(Raw_Data!J1867="",DefaultSat,Raw_Data!J1867)</f>
        <v>3</v>
      </c>
      <c r="K1867" s="15" t="n">
        <f aca="false">Raw_Data!K1867</f>
        <v>61000</v>
      </c>
      <c r="L1867" s="13" t="str">
        <f aca="false">PROPER(TRIM(Raw_Data!N1867))</f>
        <v>No</v>
      </c>
      <c r="M1867" s="13" t="n">
        <f aca="false">IF(C1867="",0,1)</f>
        <v>0</v>
      </c>
      <c r="N1867" s="13" t="str">
        <f aca="false">IF(M1867=0,"Active",IF(TRIM(Raw_Data!L1867)="","Unknown",PROPER(TRIM(Raw_Data!L1867))))</f>
        <v>Active</v>
      </c>
      <c r="O1867" s="13" t="str">
        <f aca="false">IF(M1867=0,"",IF(TRIM(Raw_Data!M1867)="","Not Recorded",TRIM(Raw_Data!M1867)))</f>
        <v/>
      </c>
      <c r="P1867" s="16" t="n">
        <f aca="false">ROUND((IF(C1867="",AsOfDate,C1867)-B1867)/365.25,2)</f>
        <v>0.86</v>
      </c>
      <c r="Q1867" s="13" t="str">
        <f aca="false">IF(D1867="","Unknown",IF(D1867&lt;25,"Under 25",IF(D1867&lt;35,"25-34",IF(D1867&lt;45,"35-44",IF(D1867&lt;55,"45-54","55+")))))</f>
        <v>25-34</v>
      </c>
      <c r="R1867" s="13" t="str">
        <f aca="false">IF(P1867&lt;1,"0-1 yrs",IF(P1867&lt;3,"1-3 yrs",IF(P1867&lt;5,"3-5 yrs",IF(P1867&lt;10,"5-10 yrs","10+ yrs"))))</f>
        <v>0-1 yrs</v>
      </c>
      <c r="S1867" s="13" t="str">
        <f aca="false">IF(I1867&gt;=4,"High",IF(I1867=3,"Medium","Low"))</f>
        <v>Medium</v>
      </c>
      <c r="T1867" s="13" t="str">
        <f aca="false">IF(M1867=1,YEAR(C1867),"")</f>
        <v/>
      </c>
      <c r="U1867" s="13" t="str">
        <f aca="false">IF(M1867=1,YEAR(C1867)&amp;"-Q"&amp;ROUNDUP(MONTH(C1867)/3,0),"")</f>
        <v/>
      </c>
      <c r="V1867" s="13" t="str">
        <f aca="false">IF(M1867=1,MONTH(C1867),"")</f>
        <v/>
      </c>
    </row>
    <row r="1868" customFormat="false" ht="15" hidden="false" customHeight="false" outlineLevel="0" collapsed="false">
      <c r="A1868" s="13" t="str">
        <f aca="false">TRIM(Raw_Data!A1868)</f>
        <v>EMP1867</v>
      </c>
      <c r="B1868" s="14" t="n">
        <f aca="false">Raw_Data!B1868</f>
        <v>45710</v>
      </c>
      <c r="C1868" s="14" t="str">
        <f aca="false">IF(Raw_Data!C1868="","",Raw_Data!C1868)</f>
        <v/>
      </c>
      <c r="D1868" s="13" t="n">
        <f aca="false">IF(Raw_Data!D1868="","",Raw_Data!D1868)</f>
        <v>29</v>
      </c>
      <c r="E1868" s="13" t="str">
        <f aca="false">IF(UPPER(LEFT(TRIM(Raw_Data!E1868),1))="M","Male",IF(UPPER(LEFT(TRIM(Raw_Data!E1868),1))="F","Female","Unknown"))</f>
        <v>Female</v>
      </c>
      <c r="F1868" s="13" t="str">
        <f aca="false">PROPER(TRIM(SUBSTITUTE(Raw_Data!F1868,"'","")))</f>
        <v>Diploma</v>
      </c>
      <c r="G1868" s="13" t="str">
        <f aca="false">PROPER(TRIM(Raw_Data!G1868))</f>
        <v>Engineering</v>
      </c>
      <c r="H1868" s="13" t="str">
        <f aca="false">PROPER(TRIM(Raw_Data!H1868))</f>
        <v>Senior Analyst</v>
      </c>
      <c r="I1868" s="13" t="n">
        <f aca="false">IF(Raw_Data!I1868="",DefaultPerf,Raw_Data!I1868)</f>
        <v>3</v>
      </c>
      <c r="J1868" s="13" t="n">
        <f aca="false">IF(Raw_Data!J1868="",DefaultSat,Raw_Data!J1868)</f>
        <v>2</v>
      </c>
      <c r="K1868" s="15" t="n">
        <f aca="false">Raw_Data!K1868</f>
        <v>81000</v>
      </c>
      <c r="L1868" s="13" t="str">
        <f aca="false">PROPER(TRIM(Raw_Data!N1868))</f>
        <v>Yes</v>
      </c>
      <c r="M1868" s="13" t="n">
        <f aca="false">IF(C1868="",0,1)</f>
        <v>0</v>
      </c>
      <c r="N1868" s="13" t="str">
        <f aca="false">IF(M1868=0,"Active",IF(TRIM(Raw_Data!L1868)="","Unknown",PROPER(TRIM(Raw_Data!L1868))))</f>
        <v>Active</v>
      </c>
      <c r="O1868" s="13" t="str">
        <f aca="false">IF(M1868=0,"",IF(TRIM(Raw_Data!M1868)="","Not Recorded",TRIM(Raw_Data!M1868)))</f>
        <v/>
      </c>
      <c r="P1868" s="16" t="n">
        <f aca="false">ROUND((IF(C1868="",AsOfDate,C1868)-B1868)/365.25,2)</f>
        <v>0.85</v>
      </c>
      <c r="Q1868" s="13" t="str">
        <f aca="false">IF(D1868="","Unknown",IF(D1868&lt;25,"Under 25",IF(D1868&lt;35,"25-34",IF(D1868&lt;45,"35-44",IF(D1868&lt;55,"45-54","55+")))))</f>
        <v>25-34</v>
      </c>
      <c r="R1868" s="13" t="str">
        <f aca="false">IF(P1868&lt;1,"0-1 yrs",IF(P1868&lt;3,"1-3 yrs",IF(P1868&lt;5,"3-5 yrs",IF(P1868&lt;10,"5-10 yrs","10+ yrs"))))</f>
        <v>0-1 yrs</v>
      </c>
      <c r="S1868" s="13" t="str">
        <f aca="false">IF(I1868&gt;=4,"High",IF(I1868=3,"Medium","Low"))</f>
        <v>Medium</v>
      </c>
      <c r="T1868" s="13" t="str">
        <f aca="false">IF(M1868=1,YEAR(C1868),"")</f>
        <v/>
      </c>
      <c r="U1868" s="13" t="str">
        <f aca="false">IF(M1868=1,YEAR(C1868)&amp;"-Q"&amp;ROUNDUP(MONTH(C1868)/3,0),"")</f>
        <v/>
      </c>
      <c r="V1868" s="13" t="str">
        <f aca="false">IF(M1868=1,MONTH(C1868),"")</f>
        <v/>
      </c>
    </row>
    <row r="1869" customFormat="false" ht="15" hidden="false" customHeight="false" outlineLevel="0" collapsed="false">
      <c r="A1869" s="13" t="str">
        <f aca="false">TRIM(Raw_Data!A1869)</f>
        <v>EMP1868</v>
      </c>
      <c r="B1869" s="14" t="n">
        <f aca="false">Raw_Data!B1869</f>
        <v>45712</v>
      </c>
      <c r="C1869" s="14" t="str">
        <f aca="false">IF(Raw_Data!C1869="","",Raw_Data!C1869)</f>
        <v/>
      </c>
      <c r="D1869" s="13" t="n">
        <f aca="false">IF(Raw_Data!D1869="","",Raw_Data!D1869)</f>
        <v>25</v>
      </c>
      <c r="E1869" s="13" t="str">
        <f aca="false">IF(UPPER(LEFT(TRIM(Raw_Data!E1869),1))="M","Male",IF(UPPER(LEFT(TRIM(Raw_Data!E1869),1))="F","Female","Unknown"))</f>
        <v>Female</v>
      </c>
      <c r="F1869" s="13" t="str">
        <f aca="false">PROPER(TRIM(SUBSTITUTE(Raw_Data!F1869,"'","")))</f>
        <v>High School</v>
      </c>
      <c r="G1869" s="13" t="str">
        <f aca="false">PROPER(TRIM(Raw_Data!G1869))</f>
        <v>Operations</v>
      </c>
      <c r="H1869" s="13" t="str">
        <f aca="false">PROPER(TRIM(Raw_Data!H1869))</f>
        <v>Analyst</v>
      </c>
      <c r="I1869" s="13" t="n">
        <f aca="false">IF(Raw_Data!I1869="",DefaultPerf,Raw_Data!I1869)</f>
        <v>5</v>
      </c>
      <c r="J1869" s="13" t="n">
        <f aca="false">IF(Raw_Data!J1869="",DefaultSat,Raw_Data!J1869)</f>
        <v>2</v>
      </c>
      <c r="K1869" s="15" t="n">
        <f aca="false">Raw_Data!K1869</f>
        <v>61500</v>
      </c>
      <c r="L1869" s="13" t="str">
        <f aca="false">PROPER(TRIM(Raw_Data!N1869))</f>
        <v>No</v>
      </c>
      <c r="M1869" s="13" t="n">
        <f aca="false">IF(C1869="",0,1)</f>
        <v>0</v>
      </c>
      <c r="N1869" s="13" t="str">
        <f aca="false">IF(M1869=0,"Active",IF(TRIM(Raw_Data!L1869)="","Unknown",PROPER(TRIM(Raw_Data!L1869))))</f>
        <v>Active</v>
      </c>
      <c r="O1869" s="13" t="str">
        <f aca="false">IF(M1869=0,"",IF(TRIM(Raw_Data!M1869)="","Not Recorded",TRIM(Raw_Data!M1869)))</f>
        <v/>
      </c>
      <c r="P1869" s="16" t="n">
        <f aca="false">ROUND((IF(C1869="",AsOfDate,C1869)-B1869)/365.25,2)</f>
        <v>0.85</v>
      </c>
      <c r="Q1869" s="13" t="str">
        <f aca="false">IF(D1869="","Unknown",IF(D1869&lt;25,"Under 25",IF(D1869&lt;35,"25-34",IF(D1869&lt;45,"35-44",IF(D1869&lt;55,"45-54","55+")))))</f>
        <v>25-34</v>
      </c>
      <c r="R1869" s="13" t="str">
        <f aca="false">IF(P1869&lt;1,"0-1 yrs",IF(P1869&lt;3,"1-3 yrs",IF(P1869&lt;5,"3-5 yrs",IF(P1869&lt;10,"5-10 yrs","10+ yrs"))))</f>
        <v>0-1 yrs</v>
      </c>
      <c r="S1869" s="13" t="str">
        <f aca="false">IF(I1869&gt;=4,"High",IF(I1869=3,"Medium","Low"))</f>
        <v>High</v>
      </c>
      <c r="T1869" s="13" t="str">
        <f aca="false">IF(M1869=1,YEAR(C1869),"")</f>
        <v/>
      </c>
      <c r="U1869" s="13" t="str">
        <f aca="false">IF(M1869=1,YEAR(C1869)&amp;"-Q"&amp;ROUNDUP(MONTH(C1869)/3,0),"")</f>
        <v/>
      </c>
      <c r="V1869" s="13" t="str">
        <f aca="false">IF(M1869=1,MONTH(C1869),"")</f>
        <v/>
      </c>
    </row>
    <row r="1870" customFormat="false" ht="15" hidden="false" customHeight="false" outlineLevel="0" collapsed="false">
      <c r="A1870" s="13" t="str">
        <f aca="false">TRIM(Raw_Data!A1870)</f>
        <v>EMP1869</v>
      </c>
      <c r="B1870" s="14" t="n">
        <f aca="false">Raw_Data!B1870</f>
        <v>45718</v>
      </c>
      <c r="C1870" s="14" t="str">
        <f aca="false">IF(Raw_Data!C1870="","",Raw_Data!C1870)</f>
        <v/>
      </c>
      <c r="D1870" s="13" t="n">
        <f aca="false">IF(Raw_Data!D1870="","",Raw_Data!D1870)</f>
        <v>25</v>
      </c>
      <c r="E1870" s="13" t="str">
        <f aca="false">IF(UPPER(LEFT(TRIM(Raw_Data!E1870),1))="M","Male",IF(UPPER(LEFT(TRIM(Raw_Data!E1870),1))="F","Female","Unknown"))</f>
        <v>Female</v>
      </c>
      <c r="F1870" s="13" t="str">
        <f aca="false">PROPER(TRIM(SUBSTITUTE(Raw_Data!F1870,"'","")))</f>
        <v>Bachelors</v>
      </c>
      <c r="G1870" s="13" t="str">
        <f aca="false">PROPER(TRIM(Raw_Data!G1870))</f>
        <v>Finance</v>
      </c>
      <c r="H1870" s="13" t="str">
        <f aca="false">PROPER(TRIM(Raw_Data!H1870))</f>
        <v>Team Lead</v>
      </c>
      <c r="I1870" s="13" t="n">
        <f aca="false">IF(Raw_Data!I1870="",DefaultPerf,Raw_Data!I1870)</f>
        <v>3</v>
      </c>
      <c r="J1870" s="13" t="n">
        <f aca="false">IF(Raw_Data!J1870="",DefaultSat,Raw_Data!J1870)</f>
        <v>3</v>
      </c>
      <c r="K1870" s="15" t="n">
        <f aca="false">Raw_Data!K1870</f>
        <v>102000</v>
      </c>
      <c r="L1870" s="13" t="str">
        <f aca="false">PROPER(TRIM(Raw_Data!N1870))</f>
        <v>Yes</v>
      </c>
      <c r="M1870" s="13" t="n">
        <f aca="false">IF(C1870="",0,1)</f>
        <v>0</v>
      </c>
      <c r="N1870" s="13" t="str">
        <f aca="false">IF(M1870=0,"Active",IF(TRIM(Raw_Data!L1870)="","Unknown",PROPER(TRIM(Raw_Data!L1870))))</f>
        <v>Active</v>
      </c>
      <c r="O1870" s="13" t="str">
        <f aca="false">IF(M1870=0,"",IF(TRIM(Raw_Data!M1870)="","Not Recorded",TRIM(Raw_Data!M1870)))</f>
        <v/>
      </c>
      <c r="P1870" s="16" t="n">
        <f aca="false">ROUND((IF(C1870="",AsOfDate,C1870)-B1870)/365.25,2)</f>
        <v>0.83</v>
      </c>
      <c r="Q1870" s="13" t="str">
        <f aca="false">IF(D1870="","Unknown",IF(D1870&lt;25,"Under 25",IF(D1870&lt;35,"25-34",IF(D1870&lt;45,"35-44",IF(D1870&lt;55,"45-54","55+")))))</f>
        <v>25-34</v>
      </c>
      <c r="R1870" s="13" t="str">
        <f aca="false">IF(P1870&lt;1,"0-1 yrs",IF(P1870&lt;3,"1-3 yrs",IF(P1870&lt;5,"3-5 yrs",IF(P1870&lt;10,"5-10 yrs","10+ yrs"))))</f>
        <v>0-1 yrs</v>
      </c>
      <c r="S1870" s="13" t="str">
        <f aca="false">IF(I1870&gt;=4,"High",IF(I1870=3,"Medium","Low"))</f>
        <v>Medium</v>
      </c>
      <c r="T1870" s="13" t="str">
        <f aca="false">IF(M1870=1,YEAR(C1870),"")</f>
        <v/>
      </c>
      <c r="U1870" s="13" t="str">
        <f aca="false">IF(M1870=1,YEAR(C1870)&amp;"-Q"&amp;ROUNDUP(MONTH(C1870)/3,0),"")</f>
        <v/>
      </c>
      <c r="V1870" s="13" t="str">
        <f aca="false">IF(M1870=1,MONTH(C1870),"")</f>
        <v/>
      </c>
    </row>
    <row r="1871" customFormat="false" ht="15" hidden="false" customHeight="false" outlineLevel="0" collapsed="false">
      <c r="A1871" s="13" t="str">
        <f aca="false">TRIM(Raw_Data!A1871)</f>
        <v>EMP1870</v>
      </c>
      <c r="B1871" s="14" t="n">
        <f aca="false">Raw_Data!B1871</f>
        <v>45725</v>
      </c>
      <c r="C1871" s="14" t="str">
        <f aca="false">IF(Raw_Data!C1871="","",Raw_Data!C1871)</f>
        <v/>
      </c>
      <c r="D1871" s="13" t="n">
        <f aca="false">IF(Raw_Data!D1871="","",Raw_Data!D1871)</f>
        <v>24</v>
      </c>
      <c r="E1871" s="13" t="str">
        <f aca="false">IF(UPPER(LEFT(TRIM(Raw_Data!E1871),1))="M","Male",IF(UPPER(LEFT(TRIM(Raw_Data!E1871),1))="F","Female","Unknown"))</f>
        <v>Male</v>
      </c>
      <c r="F1871" s="13" t="str">
        <f aca="false">PROPER(TRIM(SUBSTITUTE(Raw_Data!F1871,"'","")))</f>
        <v>Bachelors</v>
      </c>
      <c r="G1871" s="13" t="str">
        <f aca="false">PROPER(TRIM(Raw_Data!G1871))</f>
        <v>Finance</v>
      </c>
      <c r="H1871" s="13" t="str">
        <f aca="false">PROPER(TRIM(Raw_Data!H1871))</f>
        <v>Specialist</v>
      </c>
      <c r="I1871" s="13" t="n">
        <f aca="false">IF(Raw_Data!I1871="",DefaultPerf,Raw_Data!I1871)</f>
        <v>4</v>
      </c>
      <c r="J1871" s="13" t="n">
        <f aca="false">IF(Raw_Data!J1871="",DefaultSat,Raw_Data!J1871)</f>
        <v>4</v>
      </c>
      <c r="K1871" s="15" t="n">
        <f aca="false">Raw_Data!K1871</f>
        <v>94000</v>
      </c>
      <c r="L1871" s="13" t="str">
        <f aca="false">PROPER(TRIM(Raw_Data!N1871))</f>
        <v>No</v>
      </c>
      <c r="M1871" s="13" t="n">
        <f aca="false">IF(C1871="",0,1)</f>
        <v>0</v>
      </c>
      <c r="N1871" s="13" t="str">
        <f aca="false">IF(M1871=0,"Active",IF(TRIM(Raw_Data!L1871)="","Unknown",PROPER(TRIM(Raw_Data!L1871))))</f>
        <v>Active</v>
      </c>
      <c r="O1871" s="13" t="str">
        <f aca="false">IF(M1871=0,"",IF(TRIM(Raw_Data!M1871)="","Not Recorded",TRIM(Raw_Data!M1871)))</f>
        <v/>
      </c>
      <c r="P1871" s="16" t="n">
        <f aca="false">ROUND((IF(C1871="",AsOfDate,C1871)-B1871)/365.25,2)</f>
        <v>0.81</v>
      </c>
      <c r="Q1871" s="13" t="str">
        <f aca="false">IF(D1871="","Unknown",IF(D1871&lt;25,"Under 25",IF(D1871&lt;35,"25-34",IF(D1871&lt;45,"35-44",IF(D1871&lt;55,"45-54","55+")))))</f>
        <v>Under 25</v>
      </c>
      <c r="R1871" s="13" t="str">
        <f aca="false">IF(P1871&lt;1,"0-1 yrs",IF(P1871&lt;3,"1-3 yrs",IF(P1871&lt;5,"3-5 yrs",IF(P1871&lt;10,"5-10 yrs","10+ yrs"))))</f>
        <v>0-1 yrs</v>
      </c>
      <c r="S1871" s="13" t="str">
        <f aca="false">IF(I1871&gt;=4,"High",IF(I1871=3,"Medium","Low"))</f>
        <v>High</v>
      </c>
      <c r="T1871" s="13" t="str">
        <f aca="false">IF(M1871=1,YEAR(C1871),"")</f>
        <v/>
      </c>
      <c r="U1871" s="13" t="str">
        <f aca="false">IF(M1871=1,YEAR(C1871)&amp;"-Q"&amp;ROUNDUP(MONTH(C1871)/3,0),"")</f>
        <v/>
      </c>
      <c r="V1871" s="13" t="str">
        <f aca="false">IF(M1871=1,MONTH(C1871),"")</f>
        <v/>
      </c>
    </row>
    <row r="1872" customFormat="false" ht="15" hidden="false" customHeight="false" outlineLevel="0" collapsed="false">
      <c r="A1872" s="13" t="str">
        <f aca="false">TRIM(Raw_Data!A1872)</f>
        <v>EMP1871</v>
      </c>
      <c r="B1872" s="14" t="n">
        <f aca="false">Raw_Data!B1872</f>
        <v>45729</v>
      </c>
      <c r="C1872" s="14" t="str">
        <f aca="false">IF(Raw_Data!C1872="","",Raw_Data!C1872)</f>
        <v/>
      </c>
      <c r="D1872" s="13" t="n">
        <f aca="false">IF(Raw_Data!D1872="","",Raw_Data!D1872)</f>
        <v>24</v>
      </c>
      <c r="E1872" s="13" t="str">
        <f aca="false">IF(UPPER(LEFT(TRIM(Raw_Data!E1872),1))="M","Male",IF(UPPER(LEFT(TRIM(Raw_Data!E1872),1))="F","Female","Unknown"))</f>
        <v>Female</v>
      </c>
      <c r="F1872" s="13" t="str">
        <f aca="false">PROPER(TRIM(SUBSTITUTE(Raw_Data!F1872,"'","")))</f>
        <v>Masters</v>
      </c>
      <c r="G1872" s="13" t="str">
        <f aca="false">PROPER(TRIM(Raw_Data!G1872))</f>
        <v>Sales</v>
      </c>
      <c r="H1872" s="13" t="str">
        <f aca="false">PROPER(TRIM(Raw_Data!H1872))</f>
        <v>Specialist</v>
      </c>
      <c r="I1872" s="13" t="n">
        <f aca="false">IF(Raw_Data!I1872="",DefaultPerf,Raw_Data!I1872)</f>
        <v>4</v>
      </c>
      <c r="J1872" s="13" t="n">
        <f aca="false">IF(Raw_Data!J1872="",DefaultSat,Raw_Data!J1872)</f>
        <v>3</v>
      </c>
      <c r="K1872" s="15" t="n">
        <f aca="false">Raw_Data!K1872</f>
        <v>92500</v>
      </c>
      <c r="L1872" s="13" t="str">
        <f aca="false">PROPER(TRIM(Raw_Data!N1872))</f>
        <v>Yes</v>
      </c>
      <c r="M1872" s="13" t="n">
        <f aca="false">IF(C1872="",0,1)</f>
        <v>0</v>
      </c>
      <c r="N1872" s="13" t="str">
        <f aca="false">IF(M1872=0,"Active",IF(TRIM(Raw_Data!L1872)="","Unknown",PROPER(TRIM(Raw_Data!L1872))))</f>
        <v>Active</v>
      </c>
      <c r="O1872" s="13" t="str">
        <f aca="false">IF(M1872=0,"",IF(TRIM(Raw_Data!M1872)="","Not Recorded",TRIM(Raw_Data!M1872)))</f>
        <v/>
      </c>
      <c r="P1872" s="16" t="n">
        <f aca="false">ROUND((IF(C1872="",AsOfDate,C1872)-B1872)/365.25,2)</f>
        <v>0.8</v>
      </c>
      <c r="Q1872" s="13" t="str">
        <f aca="false">IF(D1872="","Unknown",IF(D1872&lt;25,"Under 25",IF(D1872&lt;35,"25-34",IF(D1872&lt;45,"35-44",IF(D1872&lt;55,"45-54","55+")))))</f>
        <v>Under 25</v>
      </c>
      <c r="R1872" s="13" t="str">
        <f aca="false">IF(P1872&lt;1,"0-1 yrs",IF(P1872&lt;3,"1-3 yrs",IF(P1872&lt;5,"3-5 yrs",IF(P1872&lt;10,"5-10 yrs","10+ yrs"))))</f>
        <v>0-1 yrs</v>
      </c>
      <c r="S1872" s="13" t="str">
        <f aca="false">IF(I1872&gt;=4,"High",IF(I1872=3,"Medium","Low"))</f>
        <v>High</v>
      </c>
      <c r="T1872" s="13" t="str">
        <f aca="false">IF(M1872=1,YEAR(C1872),"")</f>
        <v/>
      </c>
      <c r="U1872" s="13" t="str">
        <f aca="false">IF(M1872=1,YEAR(C1872)&amp;"-Q"&amp;ROUNDUP(MONTH(C1872)/3,0),"")</f>
        <v/>
      </c>
      <c r="V1872" s="13" t="str">
        <f aca="false">IF(M1872=1,MONTH(C1872),"")</f>
        <v/>
      </c>
    </row>
    <row r="1873" customFormat="false" ht="15" hidden="false" customHeight="false" outlineLevel="0" collapsed="false">
      <c r="A1873" s="13" t="str">
        <f aca="false">TRIM(Raw_Data!A1873)</f>
        <v>EMP1872</v>
      </c>
      <c r="B1873" s="14" t="n">
        <f aca="false">Raw_Data!B1873</f>
        <v>45729</v>
      </c>
      <c r="C1873" s="14" t="str">
        <f aca="false">IF(Raw_Data!C1873="","",Raw_Data!C1873)</f>
        <v/>
      </c>
      <c r="D1873" s="13" t="n">
        <f aca="false">IF(Raw_Data!D1873="","",Raw_Data!D1873)</f>
        <v>30</v>
      </c>
      <c r="E1873" s="13" t="str">
        <f aca="false">IF(UPPER(LEFT(TRIM(Raw_Data!E1873),1))="M","Male",IF(UPPER(LEFT(TRIM(Raw_Data!E1873),1))="F","Female","Unknown"))</f>
        <v>Female</v>
      </c>
      <c r="F1873" s="13" t="str">
        <f aca="false">PROPER(TRIM(SUBSTITUTE(Raw_Data!F1873,"'","")))</f>
        <v>Bachelors</v>
      </c>
      <c r="G1873" s="13" t="str">
        <f aca="false">PROPER(TRIM(Raw_Data!G1873))</f>
        <v>Customer Support</v>
      </c>
      <c r="H1873" s="13" t="str">
        <f aca="false">PROPER(TRIM(Raw_Data!H1873))</f>
        <v>Analyst</v>
      </c>
      <c r="I1873" s="13" t="n">
        <f aca="false">IF(Raw_Data!I1873="",DefaultPerf,Raw_Data!I1873)</f>
        <v>3</v>
      </c>
      <c r="J1873" s="13" t="n">
        <f aca="false">IF(Raw_Data!J1873="",DefaultSat,Raw_Data!J1873)</f>
        <v>2</v>
      </c>
      <c r="K1873" s="15" t="n">
        <f aca="false">Raw_Data!K1873</f>
        <v>54000</v>
      </c>
      <c r="L1873" s="13" t="str">
        <f aca="false">PROPER(TRIM(Raw_Data!N1873))</f>
        <v>No</v>
      </c>
      <c r="M1873" s="13" t="n">
        <f aca="false">IF(C1873="",0,1)</f>
        <v>0</v>
      </c>
      <c r="N1873" s="13" t="str">
        <f aca="false">IF(M1873=0,"Active",IF(TRIM(Raw_Data!L1873)="","Unknown",PROPER(TRIM(Raw_Data!L1873))))</f>
        <v>Active</v>
      </c>
      <c r="O1873" s="13" t="str">
        <f aca="false">IF(M1873=0,"",IF(TRIM(Raw_Data!M1873)="","Not Recorded",TRIM(Raw_Data!M1873)))</f>
        <v/>
      </c>
      <c r="P1873" s="16" t="n">
        <f aca="false">ROUND((IF(C1873="",AsOfDate,C1873)-B1873)/365.25,2)</f>
        <v>0.8</v>
      </c>
      <c r="Q1873" s="13" t="str">
        <f aca="false">IF(D1873="","Unknown",IF(D1873&lt;25,"Under 25",IF(D1873&lt;35,"25-34",IF(D1873&lt;45,"35-44",IF(D1873&lt;55,"45-54","55+")))))</f>
        <v>25-34</v>
      </c>
      <c r="R1873" s="13" t="str">
        <f aca="false">IF(P1873&lt;1,"0-1 yrs",IF(P1873&lt;3,"1-3 yrs",IF(P1873&lt;5,"3-5 yrs",IF(P1873&lt;10,"5-10 yrs","10+ yrs"))))</f>
        <v>0-1 yrs</v>
      </c>
      <c r="S1873" s="13" t="str">
        <f aca="false">IF(I1873&gt;=4,"High",IF(I1873=3,"Medium","Low"))</f>
        <v>Medium</v>
      </c>
      <c r="T1873" s="13" t="str">
        <f aca="false">IF(M1873=1,YEAR(C1873),"")</f>
        <v/>
      </c>
      <c r="U1873" s="13" t="str">
        <f aca="false">IF(M1873=1,YEAR(C1873)&amp;"-Q"&amp;ROUNDUP(MONTH(C1873)/3,0),"")</f>
        <v/>
      </c>
      <c r="V1873" s="13" t="str">
        <f aca="false">IF(M1873=1,MONTH(C1873),"")</f>
        <v/>
      </c>
    </row>
    <row r="1874" customFormat="false" ht="15" hidden="false" customHeight="false" outlineLevel="0" collapsed="false">
      <c r="A1874" s="13" t="str">
        <f aca="false">TRIM(Raw_Data!A1874)</f>
        <v>EMP1873</v>
      </c>
      <c r="B1874" s="14" t="n">
        <f aca="false">Raw_Data!B1874</f>
        <v>45731</v>
      </c>
      <c r="C1874" s="14" t="str">
        <f aca="false">IF(Raw_Data!C1874="","",Raw_Data!C1874)</f>
        <v/>
      </c>
      <c r="D1874" s="13" t="n">
        <f aca="false">IF(Raw_Data!D1874="","",Raw_Data!D1874)</f>
        <v>28</v>
      </c>
      <c r="E1874" s="13" t="str">
        <f aca="false">IF(UPPER(LEFT(TRIM(Raw_Data!E1874),1))="M","Male",IF(UPPER(LEFT(TRIM(Raw_Data!E1874),1))="F","Female","Unknown"))</f>
        <v>Male</v>
      </c>
      <c r="F1874" s="13" t="str">
        <f aca="false">PROPER(TRIM(SUBSTITUTE(Raw_Data!F1874,"'","")))</f>
        <v>Bachelors</v>
      </c>
      <c r="G1874" s="13" t="str">
        <f aca="false">PROPER(TRIM(Raw_Data!G1874))</f>
        <v>Engineering</v>
      </c>
      <c r="H1874" s="13" t="str">
        <f aca="false">PROPER(TRIM(Raw_Data!H1874))</f>
        <v>Analyst</v>
      </c>
      <c r="I1874" s="13" t="n">
        <f aca="false">IF(Raw_Data!I1874="",DefaultPerf,Raw_Data!I1874)</f>
        <v>5</v>
      </c>
      <c r="J1874" s="13" t="n">
        <f aca="false">IF(Raw_Data!J1874="",DefaultSat,Raw_Data!J1874)</f>
        <v>3</v>
      </c>
      <c r="K1874" s="15" t="n">
        <f aca="false">Raw_Data!K1874</f>
        <v>43500</v>
      </c>
      <c r="L1874" s="13" t="str">
        <f aca="false">PROPER(TRIM(Raw_Data!N1874))</f>
        <v>No</v>
      </c>
      <c r="M1874" s="13" t="n">
        <f aca="false">IF(C1874="",0,1)</f>
        <v>0</v>
      </c>
      <c r="N1874" s="13" t="str">
        <f aca="false">IF(M1874=0,"Active",IF(TRIM(Raw_Data!L1874)="","Unknown",PROPER(TRIM(Raw_Data!L1874))))</f>
        <v>Active</v>
      </c>
      <c r="O1874" s="13" t="str">
        <f aca="false">IF(M1874=0,"",IF(TRIM(Raw_Data!M1874)="","Not Recorded",TRIM(Raw_Data!M1874)))</f>
        <v/>
      </c>
      <c r="P1874" s="16" t="n">
        <f aca="false">ROUND((IF(C1874="",AsOfDate,C1874)-B1874)/365.25,2)</f>
        <v>0.8</v>
      </c>
      <c r="Q1874" s="13" t="str">
        <f aca="false">IF(D1874="","Unknown",IF(D1874&lt;25,"Under 25",IF(D1874&lt;35,"25-34",IF(D1874&lt;45,"35-44",IF(D1874&lt;55,"45-54","55+")))))</f>
        <v>25-34</v>
      </c>
      <c r="R1874" s="13" t="str">
        <f aca="false">IF(P1874&lt;1,"0-1 yrs",IF(P1874&lt;3,"1-3 yrs",IF(P1874&lt;5,"3-5 yrs",IF(P1874&lt;10,"5-10 yrs","10+ yrs"))))</f>
        <v>0-1 yrs</v>
      </c>
      <c r="S1874" s="13" t="str">
        <f aca="false">IF(I1874&gt;=4,"High",IF(I1874=3,"Medium","Low"))</f>
        <v>High</v>
      </c>
      <c r="T1874" s="13" t="str">
        <f aca="false">IF(M1874=1,YEAR(C1874),"")</f>
        <v/>
      </c>
      <c r="U1874" s="13" t="str">
        <f aca="false">IF(M1874=1,YEAR(C1874)&amp;"-Q"&amp;ROUNDUP(MONTH(C1874)/3,0),"")</f>
        <v/>
      </c>
      <c r="V1874" s="13" t="str">
        <f aca="false">IF(M1874=1,MONTH(C1874),"")</f>
        <v/>
      </c>
    </row>
    <row r="1875" customFormat="false" ht="15" hidden="false" customHeight="false" outlineLevel="0" collapsed="false">
      <c r="A1875" s="13" t="str">
        <f aca="false">TRIM(Raw_Data!A1875)</f>
        <v>EMP1874</v>
      </c>
      <c r="B1875" s="14" t="n">
        <f aca="false">Raw_Data!B1875</f>
        <v>45732</v>
      </c>
      <c r="C1875" s="14" t="str">
        <f aca="false">IF(Raw_Data!C1875="","",Raw_Data!C1875)</f>
        <v/>
      </c>
      <c r="D1875" s="13" t="n">
        <f aca="false">IF(Raw_Data!D1875="","",Raw_Data!D1875)</f>
        <v>37</v>
      </c>
      <c r="E1875" s="13" t="str">
        <f aca="false">IF(UPPER(LEFT(TRIM(Raw_Data!E1875),1))="M","Male",IF(UPPER(LEFT(TRIM(Raw_Data!E1875),1))="F","Female","Unknown"))</f>
        <v>Female</v>
      </c>
      <c r="F1875" s="13" t="str">
        <f aca="false">PROPER(TRIM(SUBSTITUTE(Raw_Data!F1875,"'","")))</f>
        <v>Bachelors</v>
      </c>
      <c r="G1875" s="13" t="str">
        <f aca="false">PROPER(TRIM(Raw_Data!G1875))</f>
        <v>Operations</v>
      </c>
      <c r="H1875" s="13" t="str">
        <f aca="false">PROPER(TRIM(Raw_Data!H1875))</f>
        <v>Associate</v>
      </c>
      <c r="I1875" s="13" t="n">
        <f aca="false">IF(Raw_Data!I1875="",DefaultPerf,Raw_Data!I1875)</f>
        <v>5</v>
      </c>
      <c r="J1875" s="13" t="n">
        <f aca="false">IF(Raw_Data!J1875="",DefaultSat,Raw_Data!J1875)</f>
        <v>1</v>
      </c>
      <c r="K1875" s="15" t="n">
        <f aca="false">Raw_Data!K1875</f>
        <v>34500</v>
      </c>
      <c r="L1875" s="13" t="str">
        <f aca="false">PROPER(TRIM(Raw_Data!N1875))</f>
        <v>No</v>
      </c>
      <c r="M1875" s="13" t="n">
        <f aca="false">IF(C1875="",0,1)</f>
        <v>0</v>
      </c>
      <c r="N1875" s="13" t="str">
        <f aca="false">IF(M1875=0,"Active",IF(TRIM(Raw_Data!L1875)="","Unknown",PROPER(TRIM(Raw_Data!L1875))))</f>
        <v>Active</v>
      </c>
      <c r="O1875" s="13" t="str">
        <f aca="false">IF(M1875=0,"",IF(TRIM(Raw_Data!M1875)="","Not Recorded",TRIM(Raw_Data!M1875)))</f>
        <v/>
      </c>
      <c r="P1875" s="16" t="n">
        <f aca="false">ROUND((IF(C1875="",AsOfDate,C1875)-B1875)/365.25,2)</f>
        <v>0.79</v>
      </c>
      <c r="Q1875" s="13" t="str">
        <f aca="false">IF(D1875="","Unknown",IF(D1875&lt;25,"Under 25",IF(D1875&lt;35,"25-34",IF(D1875&lt;45,"35-44",IF(D1875&lt;55,"45-54","55+")))))</f>
        <v>35-44</v>
      </c>
      <c r="R1875" s="13" t="str">
        <f aca="false">IF(P1875&lt;1,"0-1 yrs",IF(P1875&lt;3,"1-3 yrs",IF(P1875&lt;5,"3-5 yrs",IF(P1875&lt;10,"5-10 yrs","10+ yrs"))))</f>
        <v>0-1 yrs</v>
      </c>
      <c r="S1875" s="13" t="str">
        <f aca="false">IF(I1875&gt;=4,"High",IF(I1875=3,"Medium","Low"))</f>
        <v>High</v>
      </c>
      <c r="T1875" s="13" t="str">
        <f aca="false">IF(M1875=1,YEAR(C1875),"")</f>
        <v/>
      </c>
      <c r="U1875" s="13" t="str">
        <f aca="false">IF(M1875=1,YEAR(C1875)&amp;"-Q"&amp;ROUNDUP(MONTH(C1875)/3,0),"")</f>
        <v/>
      </c>
      <c r="V1875" s="13" t="str">
        <f aca="false">IF(M1875=1,MONTH(C1875),"")</f>
        <v/>
      </c>
    </row>
    <row r="1876" customFormat="false" ht="15" hidden="false" customHeight="false" outlineLevel="0" collapsed="false">
      <c r="A1876" s="13" t="str">
        <f aca="false">TRIM(Raw_Data!A1876)</f>
        <v>EMP1875</v>
      </c>
      <c r="B1876" s="14" t="n">
        <f aca="false">Raw_Data!B1876</f>
        <v>45732</v>
      </c>
      <c r="C1876" s="14" t="str">
        <f aca="false">IF(Raw_Data!C1876="","",Raw_Data!C1876)</f>
        <v/>
      </c>
      <c r="D1876" s="13" t="n">
        <f aca="false">IF(Raw_Data!D1876="","",Raw_Data!D1876)</f>
        <v>24</v>
      </c>
      <c r="E1876" s="13" t="str">
        <f aca="false">IF(UPPER(LEFT(TRIM(Raw_Data!E1876),1))="M","Male",IF(UPPER(LEFT(TRIM(Raw_Data!E1876),1))="F","Female","Unknown"))</f>
        <v>Male</v>
      </c>
      <c r="F1876" s="13" t="str">
        <f aca="false">PROPER(TRIM(SUBSTITUTE(Raw_Data!F1876,"'","")))</f>
        <v>Bachelors</v>
      </c>
      <c r="G1876" s="13" t="str">
        <f aca="false">PROPER(TRIM(Raw_Data!G1876))</f>
        <v>Customer Support</v>
      </c>
      <c r="H1876" s="13" t="str">
        <f aca="false">PROPER(TRIM(Raw_Data!H1876))</f>
        <v>Associate</v>
      </c>
      <c r="I1876" s="13" t="n">
        <f aca="false">IF(Raw_Data!I1876="",DefaultPerf,Raw_Data!I1876)</f>
        <v>4</v>
      </c>
      <c r="J1876" s="13" t="n">
        <f aca="false">IF(Raw_Data!J1876="",DefaultSat,Raw_Data!J1876)</f>
        <v>1</v>
      </c>
      <c r="K1876" s="15" t="n">
        <f aca="false">Raw_Data!K1876</f>
        <v>38500</v>
      </c>
      <c r="L1876" s="13" t="str">
        <f aca="false">PROPER(TRIM(Raw_Data!N1876))</f>
        <v>No</v>
      </c>
      <c r="M1876" s="13" t="n">
        <f aca="false">IF(C1876="",0,1)</f>
        <v>0</v>
      </c>
      <c r="N1876" s="13" t="str">
        <f aca="false">IF(M1876=0,"Active",IF(TRIM(Raw_Data!L1876)="","Unknown",PROPER(TRIM(Raw_Data!L1876))))</f>
        <v>Active</v>
      </c>
      <c r="O1876" s="13" t="str">
        <f aca="false">IF(M1876=0,"",IF(TRIM(Raw_Data!M1876)="","Not Recorded",TRIM(Raw_Data!M1876)))</f>
        <v/>
      </c>
      <c r="P1876" s="16" t="n">
        <f aca="false">ROUND((IF(C1876="",AsOfDate,C1876)-B1876)/365.25,2)</f>
        <v>0.79</v>
      </c>
      <c r="Q1876" s="13" t="str">
        <f aca="false">IF(D1876="","Unknown",IF(D1876&lt;25,"Under 25",IF(D1876&lt;35,"25-34",IF(D1876&lt;45,"35-44",IF(D1876&lt;55,"45-54","55+")))))</f>
        <v>Under 25</v>
      </c>
      <c r="R1876" s="13" t="str">
        <f aca="false">IF(P1876&lt;1,"0-1 yrs",IF(P1876&lt;3,"1-3 yrs",IF(P1876&lt;5,"3-5 yrs",IF(P1876&lt;10,"5-10 yrs","10+ yrs"))))</f>
        <v>0-1 yrs</v>
      </c>
      <c r="S1876" s="13" t="str">
        <f aca="false">IF(I1876&gt;=4,"High",IF(I1876=3,"Medium","Low"))</f>
        <v>High</v>
      </c>
      <c r="T1876" s="13" t="str">
        <f aca="false">IF(M1876=1,YEAR(C1876),"")</f>
        <v/>
      </c>
      <c r="U1876" s="13" t="str">
        <f aca="false">IF(M1876=1,YEAR(C1876)&amp;"-Q"&amp;ROUNDUP(MONTH(C1876)/3,0),"")</f>
        <v/>
      </c>
      <c r="V1876" s="13" t="str">
        <f aca="false">IF(M1876=1,MONTH(C1876),"")</f>
        <v/>
      </c>
    </row>
    <row r="1877" customFormat="false" ht="15" hidden="false" customHeight="false" outlineLevel="0" collapsed="false">
      <c r="A1877" s="13" t="str">
        <f aca="false">TRIM(Raw_Data!A1877)</f>
        <v>EMP1876</v>
      </c>
      <c r="B1877" s="14" t="n">
        <f aca="false">Raw_Data!B1877</f>
        <v>45736</v>
      </c>
      <c r="C1877" s="14" t="str">
        <f aca="false">IF(Raw_Data!C1877="","",Raw_Data!C1877)</f>
        <v/>
      </c>
      <c r="D1877" s="13" t="n">
        <f aca="false">IF(Raw_Data!D1877="","",Raw_Data!D1877)</f>
        <v>27</v>
      </c>
      <c r="E1877" s="13" t="str">
        <f aca="false">IF(UPPER(LEFT(TRIM(Raw_Data!E1877),1))="M","Male",IF(UPPER(LEFT(TRIM(Raw_Data!E1877),1))="F","Female","Unknown"))</f>
        <v>Male</v>
      </c>
      <c r="F1877" s="13" t="str">
        <f aca="false">PROPER(TRIM(SUBSTITUTE(Raw_Data!F1877,"'","")))</f>
        <v>Bachelors</v>
      </c>
      <c r="G1877" s="13" t="str">
        <f aca="false">PROPER(TRIM(Raw_Data!G1877))</f>
        <v>Engineering</v>
      </c>
      <c r="H1877" s="13" t="str">
        <f aca="false">PROPER(TRIM(Raw_Data!H1877))</f>
        <v>Senior Analyst</v>
      </c>
      <c r="I1877" s="13" t="n">
        <f aca="false">IF(Raw_Data!I1877="",DefaultPerf,Raw_Data!I1877)</f>
        <v>4</v>
      </c>
      <c r="J1877" s="13" t="n">
        <f aca="false">IF(Raw_Data!J1877="",DefaultSat,Raw_Data!J1877)</f>
        <v>3</v>
      </c>
      <c r="K1877" s="15" t="n">
        <f aca="false">Raw_Data!K1877</f>
        <v>81000</v>
      </c>
      <c r="L1877" s="13" t="str">
        <f aca="false">PROPER(TRIM(Raw_Data!N1877))</f>
        <v>No</v>
      </c>
      <c r="M1877" s="13" t="n">
        <f aca="false">IF(C1877="",0,1)</f>
        <v>0</v>
      </c>
      <c r="N1877" s="13" t="str">
        <f aca="false">IF(M1877=0,"Active",IF(TRIM(Raw_Data!L1877)="","Unknown",PROPER(TRIM(Raw_Data!L1877))))</f>
        <v>Active</v>
      </c>
      <c r="O1877" s="13" t="str">
        <f aca="false">IF(M1877=0,"",IF(TRIM(Raw_Data!M1877)="","Not Recorded",TRIM(Raw_Data!M1877)))</f>
        <v/>
      </c>
      <c r="P1877" s="16" t="n">
        <f aca="false">ROUND((IF(C1877="",AsOfDate,C1877)-B1877)/365.25,2)</f>
        <v>0.78</v>
      </c>
      <c r="Q1877" s="13" t="str">
        <f aca="false">IF(D1877="","Unknown",IF(D1877&lt;25,"Under 25",IF(D1877&lt;35,"25-34",IF(D1877&lt;45,"35-44",IF(D1877&lt;55,"45-54","55+")))))</f>
        <v>25-34</v>
      </c>
      <c r="R1877" s="13" t="str">
        <f aca="false">IF(P1877&lt;1,"0-1 yrs",IF(P1877&lt;3,"1-3 yrs",IF(P1877&lt;5,"3-5 yrs",IF(P1877&lt;10,"5-10 yrs","10+ yrs"))))</f>
        <v>0-1 yrs</v>
      </c>
      <c r="S1877" s="13" t="str">
        <f aca="false">IF(I1877&gt;=4,"High",IF(I1877=3,"Medium","Low"))</f>
        <v>High</v>
      </c>
      <c r="T1877" s="13" t="str">
        <f aca="false">IF(M1877=1,YEAR(C1877),"")</f>
        <v/>
      </c>
      <c r="U1877" s="13" t="str">
        <f aca="false">IF(M1877=1,YEAR(C1877)&amp;"-Q"&amp;ROUNDUP(MONTH(C1877)/3,0),"")</f>
        <v/>
      </c>
      <c r="V1877" s="13" t="str">
        <f aca="false">IF(M1877=1,MONTH(C1877),"")</f>
        <v/>
      </c>
    </row>
    <row r="1878" customFormat="false" ht="15" hidden="false" customHeight="false" outlineLevel="0" collapsed="false">
      <c r="A1878" s="13" t="str">
        <f aca="false">TRIM(Raw_Data!A1878)</f>
        <v>EMP1877</v>
      </c>
      <c r="B1878" s="14" t="n">
        <f aca="false">Raw_Data!B1878</f>
        <v>45736</v>
      </c>
      <c r="C1878" s="14" t="str">
        <f aca="false">IF(Raw_Data!C1878="","",Raw_Data!C1878)</f>
        <v/>
      </c>
      <c r="D1878" s="13" t="n">
        <f aca="false">IF(Raw_Data!D1878="","",Raw_Data!D1878)</f>
        <v>27</v>
      </c>
      <c r="E1878" s="13" t="str">
        <f aca="false">IF(UPPER(LEFT(TRIM(Raw_Data!E1878),1))="M","Male",IF(UPPER(LEFT(TRIM(Raw_Data!E1878),1))="F","Female","Unknown"))</f>
        <v>Female</v>
      </c>
      <c r="F1878" s="13" t="str">
        <f aca="false">PROPER(TRIM(SUBSTITUTE(Raw_Data!F1878,"'","")))</f>
        <v>Masters</v>
      </c>
      <c r="G1878" s="13" t="str">
        <f aca="false">PROPER(TRIM(Raw_Data!G1878))</f>
        <v>Engineering</v>
      </c>
      <c r="H1878" s="13" t="str">
        <f aca="false">PROPER(TRIM(Raw_Data!H1878))</f>
        <v>Team Lead</v>
      </c>
      <c r="I1878" s="13" t="n">
        <f aca="false">IF(Raw_Data!I1878="",DefaultPerf,Raw_Data!I1878)</f>
        <v>3</v>
      </c>
      <c r="J1878" s="13" t="n">
        <f aca="false">IF(Raw_Data!J1878="",DefaultSat,Raw_Data!J1878)</f>
        <v>2</v>
      </c>
      <c r="K1878" s="15" t="n">
        <f aca="false">Raw_Data!K1878</f>
        <v>144000</v>
      </c>
      <c r="L1878" s="13" t="str">
        <f aca="false">PROPER(TRIM(Raw_Data!N1878))</f>
        <v>Yes</v>
      </c>
      <c r="M1878" s="13" t="n">
        <f aca="false">IF(C1878="",0,1)</f>
        <v>0</v>
      </c>
      <c r="N1878" s="13" t="str">
        <f aca="false">IF(M1878=0,"Active",IF(TRIM(Raw_Data!L1878)="","Unknown",PROPER(TRIM(Raw_Data!L1878))))</f>
        <v>Active</v>
      </c>
      <c r="O1878" s="13" t="str">
        <f aca="false">IF(M1878=0,"",IF(TRIM(Raw_Data!M1878)="","Not Recorded",TRIM(Raw_Data!M1878)))</f>
        <v/>
      </c>
      <c r="P1878" s="16" t="n">
        <f aca="false">ROUND((IF(C1878="",AsOfDate,C1878)-B1878)/365.25,2)</f>
        <v>0.78</v>
      </c>
      <c r="Q1878" s="13" t="str">
        <f aca="false">IF(D1878="","Unknown",IF(D1878&lt;25,"Under 25",IF(D1878&lt;35,"25-34",IF(D1878&lt;45,"35-44",IF(D1878&lt;55,"45-54","55+")))))</f>
        <v>25-34</v>
      </c>
      <c r="R1878" s="13" t="str">
        <f aca="false">IF(P1878&lt;1,"0-1 yrs",IF(P1878&lt;3,"1-3 yrs",IF(P1878&lt;5,"3-5 yrs",IF(P1878&lt;10,"5-10 yrs","10+ yrs"))))</f>
        <v>0-1 yrs</v>
      </c>
      <c r="S1878" s="13" t="str">
        <f aca="false">IF(I1878&gt;=4,"High",IF(I1878=3,"Medium","Low"))</f>
        <v>Medium</v>
      </c>
      <c r="T1878" s="13" t="str">
        <f aca="false">IF(M1878=1,YEAR(C1878),"")</f>
        <v/>
      </c>
      <c r="U1878" s="13" t="str">
        <f aca="false">IF(M1878=1,YEAR(C1878)&amp;"-Q"&amp;ROUNDUP(MONTH(C1878)/3,0),"")</f>
        <v/>
      </c>
      <c r="V1878" s="13" t="str">
        <f aca="false">IF(M1878=1,MONTH(C1878),"")</f>
        <v/>
      </c>
    </row>
    <row r="1879" customFormat="false" ht="15" hidden="false" customHeight="false" outlineLevel="0" collapsed="false">
      <c r="A1879" s="13" t="str">
        <f aca="false">TRIM(Raw_Data!A1879)</f>
        <v>EMP1878</v>
      </c>
      <c r="B1879" s="14" t="n">
        <f aca="false">Raw_Data!B1879</f>
        <v>45738</v>
      </c>
      <c r="C1879" s="14" t="str">
        <f aca="false">IF(Raw_Data!C1879="","",Raw_Data!C1879)</f>
        <v/>
      </c>
      <c r="D1879" s="13" t="n">
        <f aca="false">IF(Raw_Data!D1879="","",Raw_Data!D1879)</f>
        <v>33</v>
      </c>
      <c r="E1879" s="13" t="str">
        <f aca="false">IF(UPPER(LEFT(TRIM(Raw_Data!E1879),1))="M","Male",IF(UPPER(LEFT(TRIM(Raw_Data!E1879),1))="F","Female","Unknown"))</f>
        <v>Male</v>
      </c>
      <c r="F1879" s="13" t="str">
        <f aca="false">PROPER(TRIM(SUBSTITUTE(Raw_Data!F1879,"'","")))</f>
        <v>Diploma</v>
      </c>
      <c r="G1879" s="13" t="str">
        <f aca="false">PROPER(TRIM(Raw_Data!G1879))</f>
        <v>Sales</v>
      </c>
      <c r="H1879" s="13" t="str">
        <f aca="false">PROPER(TRIM(Raw_Data!H1879))</f>
        <v>Analyst</v>
      </c>
      <c r="I1879" s="13" t="n">
        <f aca="false">IF(Raw_Data!I1879="",DefaultPerf,Raw_Data!I1879)</f>
        <v>5</v>
      </c>
      <c r="J1879" s="13" t="n">
        <f aca="false">IF(Raw_Data!J1879="",DefaultSat,Raw_Data!J1879)</f>
        <v>1</v>
      </c>
      <c r="K1879" s="15" t="n">
        <f aca="false">Raw_Data!K1879</f>
        <v>55000</v>
      </c>
      <c r="L1879" s="13" t="str">
        <f aca="false">PROPER(TRIM(Raw_Data!N1879))</f>
        <v>No</v>
      </c>
      <c r="M1879" s="13" t="n">
        <f aca="false">IF(C1879="",0,1)</f>
        <v>0</v>
      </c>
      <c r="N1879" s="13" t="str">
        <f aca="false">IF(M1879=0,"Active",IF(TRIM(Raw_Data!L1879)="","Unknown",PROPER(TRIM(Raw_Data!L1879))))</f>
        <v>Active</v>
      </c>
      <c r="O1879" s="13" t="str">
        <f aca="false">IF(M1879=0,"",IF(TRIM(Raw_Data!M1879)="","Not Recorded",TRIM(Raw_Data!M1879)))</f>
        <v/>
      </c>
      <c r="P1879" s="16" t="n">
        <f aca="false">ROUND((IF(C1879="",AsOfDate,C1879)-B1879)/365.25,2)</f>
        <v>0.78</v>
      </c>
      <c r="Q1879" s="13" t="str">
        <f aca="false">IF(D1879="","Unknown",IF(D1879&lt;25,"Under 25",IF(D1879&lt;35,"25-34",IF(D1879&lt;45,"35-44",IF(D1879&lt;55,"45-54","55+")))))</f>
        <v>25-34</v>
      </c>
      <c r="R1879" s="13" t="str">
        <f aca="false">IF(P1879&lt;1,"0-1 yrs",IF(P1879&lt;3,"1-3 yrs",IF(P1879&lt;5,"3-5 yrs",IF(P1879&lt;10,"5-10 yrs","10+ yrs"))))</f>
        <v>0-1 yrs</v>
      </c>
      <c r="S1879" s="13" t="str">
        <f aca="false">IF(I1879&gt;=4,"High",IF(I1879=3,"Medium","Low"))</f>
        <v>High</v>
      </c>
      <c r="T1879" s="13" t="str">
        <f aca="false">IF(M1879=1,YEAR(C1879),"")</f>
        <v/>
      </c>
      <c r="U1879" s="13" t="str">
        <f aca="false">IF(M1879=1,YEAR(C1879)&amp;"-Q"&amp;ROUNDUP(MONTH(C1879)/3,0),"")</f>
        <v/>
      </c>
      <c r="V1879" s="13" t="str">
        <f aca="false">IF(M1879=1,MONTH(C1879),"")</f>
        <v/>
      </c>
    </row>
    <row r="1880" customFormat="false" ht="15" hidden="false" customHeight="false" outlineLevel="0" collapsed="false">
      <c r="A1880" s="13" t="str">
        <f aca="false">TRIM(Raw_Data!A1880)</f>
        <v>EMP1879</v>
      </c>
      <c r="B1880" s="14" t="n">
        <f aca="false">Raw_Data!B1880</f>
        <v>45740</v>
      </c>
      <c r="C1880" s="14" t="str">
        <f aca="false">IF(Raw_Data!C1880="","",Raw_Data!C1880)</f>
        <v/>
      </c>
      <c r="D1880" s="13" t="n">
        <f aca="false">IF(Raw_Data!D1880="","",Raw_Data!D1880)</f>
        <v>29</v>
      </c>
      <c r="E1880" s="13" t="str">
        <f aca="false">IF(UPPER(LEFT(TRIM(Raw_Data!E1880),1))="M","Male",IF(UPPER(LEFT(TRIM(Raw_Data!E1880),1))="F","Female","Unknown"))</f>
        <v>Female</v>
      </c>
      <c r="F1880" s="13" t="str">
        <f aca="false">PROPER(TRIM(SUBSTITUTE(Raw_Data!F1880,"'","")))</f>
        <v>High School</v>
      </c>
      <c r="G1880" s="13" t="str">
        <f aca="false">PROPER(TRIM(Raw_Data!G1880))</f>
        <v>Engineering</v>
      </c>
      <c r="H1880" s="13" t="str">
        <f aca="false">PROPER(TRIM(Raw_Data!H1880))</f>
        <v>Associate</v>
      </c>
      <c r="I1880" s="13" t="n">
        <f aca="false">IF(Raw_Data!I1880="",DefaultPerf,Raw_Data!I1880)</f>
        <v>3</v>
      </c>
      <c r="J1880" s="13" t="n">
        <f aca="false">IF(Raw_Data!J1880="",DefaultSat,Raw_Data!J1880)</f>
        <v>2</v>
      </c>
      <c r="K1880" s="15" t="n">
        <f aca="false">Raw_Data!K1880</f>
        <v>36000</v>
      </c>
      <c r="L1880" s="13" t="str">
        <f aca="false">PROPER(TRIM(Raw_Data!N1880))</f>
        <v>No</v>
      </c>
      <c r="M1880" s="13" t="n">
        <f aca="false">IF(C1880="",0,1)</f>
        <v>0</v>
      </c>
      <c r="N1880" s="13" t="str">
        <f aca="false">IF(M1880=0,"Active",IF(TRIM(Raw_Data!L1880)="","Unknown",PROPER(TRIM(Raw_Data!L1880))))</f>
        <v>Active</v>
      </c>
      <c r="O1880" s="13" t="str">
        <f aca="false">IF(M1880=0,"",IF(TRIM(Raw_Data!M1880)="","Not Recorded",TRIM(Raw_Data!M1880)))</f>
        <v/>
      </c>
      <c r="P1880" s="16" t="n">
        <f aca="false">ROUND((IF(C1880="",AsOfDate,C1880)-B1880)/365.25,2)</f>
        <v>0.77</v>
      </c>
      <c r="Q1880" s="13" t="str">
        <f aca="false">IF(D1880="","Unknown",IF(D1880&lt;25,"Under 25",IF(D1880&lt;35,"25-34",IF(D1880&lt;45,"35-44",IF(D1880&lt;55,"45-54","55+")))))</f>
        <v>25-34</v>
      </c>
      <c r="R1880" s="13" t="str">
        <f aca="false">IF(P1880&lt;1,"0-1 yrs",IF(P1880&lt;3,"1-3 yrs",IF(P1880&lt;5,"3-5 yrs",IF(P1880&lt;10,"5-10 yrs","10+ yrs"))))</f>
        <v>0-1 yrs</v>
      </c>
      <c r="S1880" s="13" t="str">
        <f aca="false">IF(I1880&gt;=4,"High",IF(I1880=3,"Medium","Low"))</f>
        <v>Medium</v>
      </c>
      <c r="T1880" s="13" t="str">
        <f aca="false">IF(M1880=1,YEAR(C1880),"")</f>
        <v/>
      </c>
      <c r="U1880" s="13" t="str">
        <f aca="false">IF(M1880=1,YEAR(C1880)&amp;"-Q"&amp;ROUNDUP(MONTH(C1880)/3,0),"")</f>
        <v/>
      </c>
      <c r="V1880" s="13" t="str">
        <f aca="false">IF(M1880=1,MONTH(C1880),"")</f>
        <v/>
      </c>
    </row>
    <row r="1881" customFormat="false" ht="15" hidden="false" customHeight="false" outlineLevel="0" collapsed="false">
      <c r="A1881" s="13" t="str">
        <f aca="false">TRIM(Raw_Data!A1881)</f>
        <v>EMP1880</v>
      </c>
      <c r="B1881" s="14" t="n">
        <f aca="false">Raw_Data!B1881</f>
        <v>45740</v>
      </c>
      <c r="C1881" s="14" t="str">
        <f aca="false">IF(Raw_Data!C1881="","",Raw_Data!C1881)</f>
        <v/>
      </c>
      <c r="D1881" s="13" t="n">
        <f aca="false">IF(Raw_Data!D1881="","",Raw_Data!D1881)</f>
        <v>26</v>
      </c>
      <c r="E1881" s="13" t="str">
        <f aca="false">IF(UPPER(LEFT(TRIM(Raw_Data!E1881),1))="M","Male",IF(UPPER(LEFT(TRIM(Raw_Data!E1881),1))="F","Female","Unknown"))</f>
        <v>Male</v>
      </c>
      <c r="F1881" s="13" t="str">
        <f aca="false">PROPER(TRIM(SUBSTITUTE(Raw_Data!F1881,"'","")))</f>
        <v>High School</v>
      </c>
      <c r="G1881" s="13" t="str">
        <f aca="false">PROPER(TRIM(Raw_Data!G1881))</f>
        <v>Customer Support</v>
      </c>
      <c r="H1881" s="13" t="str">
        <f aca="false">PROPER(TRIM(Raw_Data!H1881))</f>
        <v>Specialist</v>
      </c>
      <c r="I1881" s="13" t="n">
        <f aca="false">IF(Raw_Data!I1881="",DefaultPerf,Raw_Data!I1881)</f>
        <v>3</v>
      </c>
      <c r="J1881" s="13" t="n">
        <f aca="false">IF(Raw_Data!J1881="",DefaultSat,Raw_Data!J1881)</f>
        <v>4</v>
      </c>
      <c r="K1881" s="15" t="n">
        <f aca="false">Raw_Data!K1881</f>
        <v>79500</v>
      </c>
      <c r="L1881" s="13" t="str">
        <f aca="false">PROPER(TRIM(Raw_Data!N1881))</f>
        <v>No</v>
      </c>
      <c r="M1881" s="13" t="n">
        <f aca="false">IF(C1881="",0,1)</f>
        <v>0</v>
      </c>
      <c r="N1881" s="13" t="str">
        <f aca="false">IF(M1881=0,"Active",IF(TRIM(Raw_Data!L1881)="","Unknown",PROPER(TRIM(Raw_Data!L1881))))</f>
        <v>Active</v>
      </c>
      <c r="O1881" s="13" t="str">
        <f aca="false">IF(M1881=0,"",IF(TRIM(Raw_Data!M1881)="","Not Recorded",TRIM(Raw_Data!M1881)))</f>
        <v/>
      </c>
      <c r="P1881" s="16" t="n">
        <f aca="false">ROUND((IF(C1881="",AsOfDate,C1881)-B1881)/365.25,2)</f>
        <v>0.77</v>
      </c>
      <c r="Q1881" s="13" t="str">
        <f aca="false">IF(D1881="","Unknown",IF(D1881&lt;25,"Under 25",IF(D1881&lt;35,"25-34",IF(D1881&lt;45,"35-44",IF(D1881&lt;55,"45-54","55+")))))</f>
        <v>25-34</v>
      </c>
      <c r="R1881" s="13" t="str">
        <f aca="false">IF(P1881&lt;1,"0-1 yrs",IF(P1881&lt;3,"1-3 yrs",IF(P1881&lt;5,"3-5 yrs",IF(P1881&lt;10,"5-10 yrs","10+ yrs"))))</f>
        <v>0-1 yrs</v>
      </c>
      <c r="S1881" s="13" t="str">
        <f aca="false">IF(I1881&gt;=4,"High",IF(I1881=3,"Medium","Low"))</f>
        <v>Medium</v>
      </c>
      <c r="T1881" s="13" t="str">
        <f aca="false">IF(M1881=1,YEAR(C1881),"")</f>
        <v/>
      </c>
      <c r="U1881" s="13" t="str">
        <f aca="false">IF(M1881=1,YEAR(C1881)&amp;"-Q"&amp;ROUNDUP(MONTH(C1881)/3,0),"")</f>
        <v/>
      </c>
      <c r="V1881" s="13" t="str">
        <f aca="false">IF(M1881=1,MONTH(C1881),"")</f>
        <v/>
      </c>
    </row>
    <row r="1882" customFormat="false" ht="15" hidden="false" customHeight="false" outlineLevel="0" collapsed="false">
      <c r="A1882" s="13" t="str">
        <f aca="false">TRIM(Raw_Data!A1882)</f>
        <v>EMP1881</v>
      </c>
      <c r="B1882" s="14" t="n">
        <f aca="false">Raw_Data!B1882</f>
        <v>45743</v>
      </c>
      <c r="C1882" s="14" t="str">
        <f aca="false">IF(Raw_Data!C1882="","",Raw_Data!C1882)</f>
        <v/>
      </c>
      <c r="D1882" s="13" t="n">
        <f aca="false">IF(Raw_Data!D1882="","",Raw_Data!D1882)</f>
        <v>33</v>
      </c>
      <c r="E1882" s="13" t="str">
        <f aca="false">IF(UPPER(LEFT(TRIM(Raw_Data!E1882),1))="M","Male",IF(UPPER(LEFT(TRIM(Raw_Data!E1882),1))="F","Female","Unknown"))</f>
        <v>Female</v>
      </c>
      <c r="F1882" s="13" t="str">
        <f aca="false">PROPER(TRIM(SUBSTITUTE(Raw_Data!F1882,"'","")))</f>
        <v>Bachelors</v>
      </c>
      <c r="G1882" s="13" t="str">
        <f aca="false">PROPER(TRIM(Raw_Data!G1882))</f>
        <v>Engineering</v>
      </c>
      <c r="H1882" s="13" t="str">
        <f aca="false">PROPER(TRIM(Raw_Data!H1882))</f>
        <v>Analyst</v>
      </c>
      <c r="I1882" s="13" t="n">
        <f aca="false">IF(Raw_Data!I1882="",DefaultPerf,Raw_Data!I1882)</f>
        <v>3</v>
      </c>
      <c r="J1882" s="13" t="n">
        <f aca="false">IF(Raw_Data!J1882="",DefaultSat,Raw_Data!J1882)</f>
        <v>1</v>
      </c>
      <c r="K1882" s="15" t="n">
        <f aca="false">Raw_Data!K1882</f>
        <v>60500</v>
      </c>
      <c r="L1882" s="13" t="str">
        <f aca="false">PROPER(TRIM(Raw_Data!N1882))</f>
        <v>Yes</v>
      </c>
      <c r="M1882" s="13" t="n">
        <f aca="false">IF(C1882="",0,1)</f>
        <v>0</v>
      </c>
      <c r="N1882" s="13" t="str">
        <f aca="false">IF(M1882=0,"Active",IF(TRIM(Raw_Data!L1882)="","Unknown",PROPER(TRIM(Raw_Data!L1882))))</f>
        <v>Active</v>
      </c>
      <c r="O1882" s="13" t="str">
        <f aca="false">IF(M1882=0,"",IF(TRIM(Raw_Data!M1882)="","Not Recorded",TRIM(Raw_Data!M1882)))</f>
        <v/>
      </c>
      <c r="P1882" s="16" t="n">
        <f aca="false">ROUND((IF(C1882="",AsOfDate,C1882)-B1882)/365.25,2)</f>
        <v>0.76</v>
      </c>
      <c r="Q1882" s="13" t="str">
        <f aca="false">IF(D1882="","Unknown",IF(D1882&lt;25,"Under 25",IF(D1882&lt;35,"25-34",IF(D1882&lt;45,"35-44",IF(D1882&lt;55,"45-54","55+")))))</f>
        <v>25-34</v>
      </c>
      <c r="R1882" s="13" t="str">
        <f aca="false">IF(P1882&lt;1,"0-1 yrs",IF(P1882&lt;3,"1-3 yrs",IF(P1882&lt;5,"3-5 yrs",IF(P1882&lt;10,"5-10 yrs","10+ yrs"))))</f>
        <v>0-1 yrs</v>
      </c>
      <c r="S1882" s="13" t="str">
        <f aca="false">IF(I1882&gt;=4,"High",IF(I1882=3,"Medium","Low"))</f>
        <v>Medium</v>
      </c>
      <c r="T1882" s="13" t="str">
        <f aca="false">IF(M1882=1,YEAR(C1882),"")</f>
        <v/>
      </c>
      <c r="U1882" s="13" t="str">
        <f aca="false">IF(M1882=1,YEAR(C1882)&amp;"-Q"&amp;ROUNDUP(MONTH(C1882)/3,0),"")</f>
        <v/>
      </c>
      <c r="V1882" s="13" t="str">
        <f aca="false">IF(M1882=1,MONTH(C1882),"")</f>
        <v/>
      </c>
    </row>
    <row r="1883" customFormat="false" ht="15" hidden="false" customHeight="false" outlineLevel="0" collapsed="false">
      <c r="A1883" s="13" t="str">
        <f aca="false">TRIM(Raw_Data!A1883)</f>
        <v>EMP1882</v>
      </c>
      <c r="B1883" s="14" t="n">
        <f aca="false">Raw_Data!B1883</f>
        <v>45744</v>
      </c>
      <c r="C1883" s="14" t="str">
        <f aca="false">IF(Raw_Data!C1883="","",Raw_Data!C1883)</f>
        <v/>
      </c>
      <c r="D1883" s="13" t="n">
        <f aca="false">IF(Raw_Data!D1883="","",Raw_Data!D1883)</f>
        <v>33</v>
      </c>
      <c r="E1883" s="13" t="str">
        <f aca="false">IF(UPPER(LEFT(TRIM(Raw_Data!E1883),1))="M","Male",IF(UPPER(LEFT(TRIM(Raw_Data!E1883),1))="F","Female","Unknown"))</f>
        <v>Female</v>
      </c>
      <c r="F1883" s="13" t="str">
        <f aca="false">PROPER(TRIM(SUBSTITUTE(Raw_Data!F1883,"'","")))</f>
        <v>Bachelors</v>
      </c>
      <c r="G1883" s="13" t="str">
        <f aca="false">PROPER(TRIM(Raw_Data!G1883))</f>
        <v>Operations</v>
      </c>
      <c r="H1883" s="13" t="str">
        <f aca="false">PROPER(TRIM(Raw_Data!H1883))</f>
        <v>Analyst</v>
      </c>
      <c r="I1883" s="13" t="n">
        <f aca="false">IF(Raw_Data!I1883="",DefaultPerf,Raw_Data!I1883)</f>
        <v>3</v>
      </c>
      <c r="J1883" s="13" t="n">
        <f aca="false">IF(Raw_Data!J1883="",DefaultSat,Raw_Data!J1883)</f>
        <v>1</v>
      </c>
      <c r="K1883" s="15" t="n">
        <f aca="false">Raw_Data!K1883</f>
        <v>58000</v>
      </c>
      <c r="L1883" s="13" t="str">
        <f aca="false">PROPER(TRIM(Raw_Data!N1883))</f>
        <v>No</v>
      </c>
      <c r="M1883" s="13" t="n">
        <f aca="false">IF(C1883="",0,1)</f>
        <v>0</v>
      </c>
      <c r="N1883" s="13" t="str">
        <f aca="false">IF(M1883=0,"Active",IF(TRIM(Raw_Data!L1883)="","Unknown",PROPER(TRIM(Raw_Data!L1883))))</f>
        <v>Active</v>
      </c>
      <c r="O1883" s="13" t="str">
        <f aca="false">IF(M1883=0,"",IF(TRIM(Raw_Data!M1883)="","Not Recorded",TRIM(Raw_Data!M1883)))</f>
        <v/>
      </c>
      <c r="P1883" s="16" t="n">
        <f aca="false">ROUND((IF(C1883="",AsOfDate,C1883)-B1883)/365.25,2)</f>
        <v>0.76</v>
      </c>
      <c r="Q1883" s="13" t="str">
        <f aca="false">IF(D1883="","Unknown",IF(D1883&lt;25,"Under 25",IF(D1883&lt;35,"25-34",IF(D1883&lt;45,"35-44",IF(D1883&lt;55,"45-54","55+")))))</f>
        <v>25-34</v>
      </c>
      <c r="R1883" s="13" t="str">
        <f aca="false">IF(P1883&lt;1,"0-1 yrs",IF(P1883&lt;3,"1-3 yrs",IF(P1883&lt;5,"3-5 yrs",IF(P1883&lt;10,"5-10 yrs","10+ yrs"))))</f>
        <v>0-1 yrs</v>
      </c>
      <c r="S1883" s="13" t="str">
        <f aca="false">IF(I1883&gt;=4,"High",IF(I1883=3,"Medium","Low"))</f>
        <v>Medium</v>
      </c>
      <c r="T1883" s="13" t="str">
        <f aca="false">IF(M1883=1,YEAR(C1883),"")</f>
        <v/>
      </c>
      <c r="U1883" s="13" t="str">
        <f aca="false">IF(M1883=1,YEAR(C1883)&amp;"-Q"&amp;ROUNDUP(MONTH(C1883)/3,0),"")</f>
        <v/>
      </c>
      <c r="V1883" s="13" t="str">
        <f aca="false">IF(M1883=1,MONTH(C1883),"")</f>
        <v/>
      </c>
    </row>
    <row r="1884" customFormat="false" ht="15" hidden="false" customHeight="false" outlineLevel="0" collapsed="false">
      <c r="A1884" s="13" t="str">
        <f aca="false">TRIM(Raw_Data!A1884)</f>
        <v>EMP1883</v>
      </c>
      <c r="B1884" s="14" t="n">
        <f aca="false">Raw_Data!B1884</f>
        <v>45744</v>
      </c>
      <c r="C1884" s="14" t="str">
        <f aca="false">IF(Raw_Data!C1884="","",Raw_Data!C1884)</f>
        <v/>
      </c>
      <c r="D1884" s="13" t="n">
        <f aca="false">IF(Raw_Data!D1884="","",Raw_Data!D1884)</f>
        <v>22</v>
      </c>
      <c r="E1884" s="13" t="str">
        <f aca="false">IF(UPPER(LEFT(TRIM(Raw_Data!E1884),1))="M","Male",IF(UPPER(LEFT(TRIM(Raw_Data!E1884),1))="F","Female","Unknown"))</f>
        <v>Male</v>
      </c>
      <c r="F1884" s="13" t="str">
        <f aca="false">PROPER(TRIM(SUBSTITUTE(Raw_Data!F1884,"'","")))</f>
        <v>Doctorate</v>
      </c>
      <c r="G1884" s="13" t="str">
        <f aca="false">PROPER(TRIM(Raw_Data!G1884))</f>
        <v>Finance</v>
      </c>
      <c r="H1884" s="13" t="str">
        <f aca="false">PROPER(TRIM(Raw_Data!H1884))</f>
        <v>Team Lead</v>
      </c>
      <c r="I1884" s="13" t="n">
        <f aca="false">IF(Raw_Data!I1884="",DefaultPerf,Raw_Data!I1884)</f>
        <v>3</v>
      </c>
      <c r="J1884" s="13" t="n">
        <f aca="false">IF(Raw_Data!J1884="",DefaultSat,Raw_Data!J1884)</f>
        <v>4</v>
      </c>
      <c r="K1884" s="15" t="n">
        <f aca="false">Raw_Data!K1884</f>
        <v>138500</v>
      </c>
      <c r="L1884" s="13" t="str">
        <f aca="false">PROPER(TRIM(Raw_Data!N1884))</f>
        <v>No</v>
      </c>
      <c r="M1884" s="13" t="n">
        <f aca="false">IF(C1884="",0,1)</f>
        <v>0</v>
      </c>
      <c r="N1884" s="13" t="str">
        <f aca="false">IF(M1884=0,"Active",IF(TRIM(Raw_Data!L1884)="","Unknown",PROPER(TRIM(Raw_Data!L1884))))</f>
        <v>Active</v>
      </c>
      <c r="O1884" s="13" t="str">
        <f aca="false">IF(M1884=0,"",IF(TRIM(Raw_Data!M1884)="","Not Recorded",TRIM(Raw_Data!M1884)))</f>
        <v/>
      </c>
      <c r="P1884" s="16" t="n">
        <f aca="false">ROUND((IF(C1884="",AsOfDate,C1884)-B1884)/365.25,2)</f>
        <v>0.76</v>
      </c>
      <c r="Q1884" s="13" t="str">
        <f aca="false">IF(D1884="","Unknown",IF(D1884&lt;25,"Under 25",IF(D1884&lt;35,"25-34",IF(D1884&lt;45,"35-44",IF(D1884&lt;55,"45-54","55+")))))</f>
        <v>Under 25</v>
      </c>
      <c r="R1884" s="13" t="str">
        <f aca="false">IF(P1884&lt;1,"0-1 yrs",IF(P1884&lt;3,"1-3 yrs",IF(P1884&lt;5,"3-5 yrs",IF(P1884&lt;10,"5-10 yrs","10+ yrs"))))</f>
        <v>0-1 yrs</v>
      </c>
      <c r="S1884" s="13" t="str">
        <f aca="false">IF(I1884&gt;=4,"High",IF(I1884=3,"Medium","Low"))</f>
        <v>Medium</v>
      </c>
      <c r="T1884" s="13" t="str">
        <f aca="false">IF(M1884=1,YEAR(C1884),"")</f>
        <v/>
      </c>
      <c r="U1884" s="13" t="str">
        <f aca="false">IF(M1884=1,YEAR(C1884)&amp;"-Q"&amp;ROUNDUP(MONTH(C1884)/3,0),"")</f>
        <v/>
      </c>
      <c r="V1884" s="13" t="str">
        <f aca="false">IF(M1884=1,MONTH(C1884),"")</f>
        <v/>
      </c>
    </row>
    <row r="1885" customFormat="false" ht="15" hidden="false" customHeight="false" outlineLevel="0" collapsed="false">
      <c r="A1885" s="13" t="str">
        <f aca="false">TRIM(Raw_Data!A1885)</f>
        <v>EMP1884</v>
      </c>
      <c r="B1885" s="14" t="n">
        <f aca="false">Raw_Data!B1885</f>
        <v>45745</v>
      </c>
      <c r="C1885" s="14" t="str">
        <f aca="false">IF(Raw_Data!C1885="","",Raw_Data!C1885)</f>
        <v/>
      </c>
      <c r="D1885" s="13" t="n">
        <f aca="false">IF(Raw_Data!D1885="","",Raw_Data!D1885)</f>
        <v>35</v>
      </c>
      <c r="E1885" s="13" t="str">
        <f aca="false">IF(UPPER(LEFT(TRIM(Raw_Data!E1885),1))="M","Male",IF(UPPER(LEFT(TRIM(Raw_Data!E1885),1))="F","Female","Unknown"))</f>
        <v>Female</v>
      </c>
      <c r="F1885" s="13" t="str">
        <f aca="false">PROPER(TRIM(SUBSTITUTE(Raw_Data!F1885,"'","")))</f>
        <v>Doctorate</v>
      </c>
      <c r="G1885" s="13" t="str">
        <f aca="false">PROPER(TRIM(Raw_Data!G1885))</f>
        <v>Customer Support</v>
      </c>
      <c r="H1885" s="13" t="str">
        <f aca="false">PROPER(TRIM(Raw_Data!H1885))</f>
        <v>Senior Analyst</v>
      </c>
      <c r="I1885" s="13" t="n">
        <f aca="false">IF(Raw_Data!I1885="",DefaultPerf,Raw_Data!I1885)</f>
        <v>3</v>
      </c>
      <c r="J1885" s="13" t="n">
        <f aca="false">IF(Raw_Data!J1885="",DefaultSat,Raw_Data!J1885)</f>
        <v>4</v>
      </c>
      <c r="K1885" s="15" t="n">
        <f aca="false">Raw_Data!K1885</f>
        <v>78500</v>
      </c>
      <c r="L1885" s="13" t="str">
        <f aca="false">PROPER(TRIM(Raw_Data!N1885))</f>
        <v>No</v>
      </c>
      <c r="M1885" s="13" t="n">
        <f aca="false">IF(C1885="",0,1)</f>
        <v>0</v>
      </c>
      <c r="N1885" s="13" t="str">
        <f aca="false">IF(M1885=0,"Active",IF(TRIM(Raw_Data!L1885)="","Unknown",PROPER(TRIM(Raw_Data!L1885))))</f>
        <v>Active</v>
      </c>
      <c r="O1885" s="13" t="str">
        <f aca="false">IF(M1885=0,"",IF(TRIM(Raw_Data!M1885)="","Not Recorded",TRIM(Raw_Data!M1885)))</f>
        <v/>
      </c>
      <c r="P1885" s="16" t="n">
        <f aca="false">ROUND((IF(C1885="",AsOfDate,C1885)-B1885)/365.25,2)</f>
        <v>0.76</v>
      </c>
      <c r="Q1885" s="13" t="str">
        <f aca="false">IF(D1885="","Unknown",IF(D1885&lt;25,"Under 25",IF(D1885&lt;35,"25-34",IF(D1885&lt;45,"35-44",IF(D1885&lt;55,"45-54","55+")))))</f>
        <v>35-44</v>
      </c>
      <c r="R1885" s="13" t="str">
        <f aca="false">IF(P1885&lt;1,"0-1 yrs",IF(P1885&lt;3,"1-3 yrs",IF(P1885&lt;5,"3-5 yrs",IF(P1885&lt;10,"5-10 yrs","10+ yrs"))))</f>
        <v>0-1 yrs</v>
      </c>
      <c r="S1885" s="13" t="str">
        <f aca="false">IF(I1885&gt;=4,"High",IF(I1885=3,"Medium","Low"))</f>
        <v>Medium</v>
      </c>
      <c r="T1885" s="13" t="str">
        <f aca="false">IF(M1885=1,YEAR(C1885),"")</f>
        <v/>
      </c>
      <c r="U1885" s="13" t="str">
        <f aca="false">IF(M1885=1,YEAR(C1885)&amp;"-Q"&amp;ROUNDUP(MONTH(C1885)/3,0),"")</f>
        <v/>
      </c>
      <c r="V1885" s="13" t="str">
        <f aca="false">IF(M1885=1,MONTH(C1885),"")</f>
        <v/>
      </c>
    </row>
    <row r="1886" customFormat="false" ht="15" hidden="false" customHeight="false" outlineLevel="0" collapsed="false">
      <c r="A1886" s="13" t="str">
        <f aca="false">TRIM(Raw_Data!A1886)</f>
        <v>EMP1885</v>
      </c>
      <c r="B1886" s="14" t="n">
        <f aca="false">Raw_Data!B1886</f>
        <v>45747</v>
      </c>
      <c r="C1886" s="14" t="str">
        <f aca="false">IF(Raw_Data!C1886="","",Raw_Data!C1886)</f>
        <v/>
      </c>
      <c r="D1886" s="13" t="n">
        <f aca="false">IF(Raw_Data!D1886="","",Raw_Data!D1886)</f>
        <v>32</v>
      </c>
      <c r="E1886" s="13" t="str">
        <f aca="false">IF(UPPER(LEFT(TRIM(Raw_Data!E1886),1))="M","Male",IF(UPPER(LEFT(TRIM(Raw_Data!E1886),1))="F","Female","Unknown"))</f>
        <v>Female</v>
      </c>
      <c r="F1886" s="13" t="str">
        <f aca="false">PROPER(TRIM(SUBSTITUTE(Raw_Data!F1886,"'","")))</f>
        <v>Diploma</v>
      </c>
      <c r="G1886" s="13" t="str">
        <f aca="false">PROPER(TRIM(Raw_Data!G1886))</f>
        <v>Engineering</v>
      </c>
      <c r="H1886" s="13" t="str">
        <f aca="false">PROPER(TRIM(Raw_Data!H1886))</f>
        <v>Manager</v>
      </c>
      <c r="I1886" s="13" t="n">
        <f aca="false">IF(Raw_Data!I1886="",DefaultPerf,Raw_Data!I1886)</f>
        <v>4</v>
      </c>
      <c r="J1886" s="17" t="n">
        <f aca="false">IF(Raw_Data!J1886="",DefaultSat,Raw_Data!J1886)</f>
        <v>3</v>
      </c>
      <c r="K1886" s="15" t="n">
        <f aca="false">Raw_Data!K1886</f>
        <v>174500</v>
      </c>
      <c r="L1886" s="13" t="str">
        <f aca="false">PROPER(TRIM(Raw_Data!N1886))</f>
        <v>No</v>
      </c>
      <c r="M1886" s="13" t="n">
        <f aca="false">IF(C1886="",0,1)</f>
        <v>0</v>
      </c>
      <c r="N1886" s="13" t="str">
        <f aca="false">IF(M1886=0,"Active",IF(TRIM(Raw_Data!L1886)="","Unknown",PROPER(TRIM(Raw_Data!L1886))))</f>
        <v>Active</v>
      </c>
      <c r="O1886" s="13" t="str">
        <f aca="false">IF(M1886=0,"",IF(TRIM(Raw_Data!M1886)="","Not Recorded",TRIM(Raw_Data!M1886)))</f>
        <v/>
      </c>
      <c r="P1886" s="16" t="n">
        <f aca="false">ROUND((IF(C1886="",AsOfDate,C1886)-B1886)/365.25,2)</f>
        <v>0.75</v>
      </c>
      <c r="Q1886" s="13" t="str">
        <f aca="false">IF(D1886="","Unknown",IF(D1886&lt;25,"Under 25",IF(D1886&lt;35,"25-34",IF(D1886&lt;45,"35-44",IF(D1886&lt;55,"45-54","55+")))))</f>
        <v>25-34</v>
      </c>
      <c r="R1886" s="13" t="str">
        <f aca="false">IF(P1886&lt;1,"0-1 yrs",IF(P1886&lt;3,"1-3 yrs",IF(P1886&lt;5,"3-5 yrs",IF(P1886&lt;10,"5-10 yrs","10+ yrs"))))</f>
        <v>0-1 yrs</v>
      </c>
      <c r="S1886" s="13" t="str">
        <f aca="false">IF(I1886&gt;=4,"High",IF(I1886=3,"Medium","Low"))</f>
        <v>High</v>
      </c>
      <c r="T1886" s="13" t="str">
        <f aca="false">IF(M1886=1,YEAR(C1886),"")</f>
        <v/>
      </c>
      <c r="U1886" s="13" t="str">
        <f aca="false">IF(M1886=1,YEAR(C1886)&amp;"-Q"&amp;ROUNDUP(MONTH(C1886)/3,0),"")</f>
        <v/>
      </c>
      <c r="V1886" s="13" t="str">
        <f aca="false">IF(M1886=1,MONTH(C1886),"")</f>
        <v/>
      </c>
    </row>
    <row r="1887" customFormat="false" ht="15" hidden="false" customHeight="false" outlineLevel="0" collapsed="false">
      <c r="A1887" s="13" t="str">
        <f aca="false">TRIM(Raw_Data!A1887)</f>
        <v>EMP1886</v>
      </c>
      <c r="B1887" s="14" t="n">
        <f aca="false">Raw_Data!B1887</f>
        <v>45748</v>
      </c>
      <c r="C1887" s="14" t="str">
        <f aca="false">IF(Raw_Data!C1887="","",Raw_Data!C1887)</f>
        <v/>
      </c>
      <c r="D1887" s="13" t="n">
        <f aca="false">IF(Raw_Data!D1887="","",Raw_Data!D1887)</f>
        <v>30</v>
      </c>
      <c r="E1887" s="13" t="str">
        <f aca="false">IF(UPPER(LEFT(TRIM(Raw_Data!E1887),1))="M","Male",IF(UPPER(LEFT(TRIM(Raw_Data!E1887),1))="F","Female","Unknown"))</f>
        <v>Male</v>
      </c>
      <c r="F1887" s="13" t="str">
        <f aca="false">PROPER(TRIM(SUBSTITUTE(Raw_Data!F1887,"'","")))</f>
        <v>Masters</v>
      </c>
      <c r="G1887" s="13" t="str">
        <f aca="false">PROPER(TRIM(Raw_Data!G1887))</f>
        <v>Customer Support</v>
      </c>
      <c r="H1887" s="13" t="str">
        <f aca="false">PROPER(TRIM(Raw_Data!H1887))</f>
        <v>Manager</v>
      </c>
      <c r="I1887" s="13" t="n">
        <f aca="false">IF(Raw_Data!I1887="",DefaultPerf,Raw_Data!I1887)</f>
        <v>3</v>
      </c>
      <c r="J1887" s="13" t="n">
        <f aca="false">IF(Raw_Data!J1887="",DefaultSat,Raw_Data!J1887)</f>
        <v>1</v>
      </c>
      <c r="K1887" s="15" t="n">
        <f aca="false">Raw_Data!K1887</f>
        <v>197000</v>
      </c>
      <c r="L1887" s="13" t="str">
        <f aca="false">PROPER(TRIM(Raw_Data!N1887))</f>
        <v>No</v>
      </c>
      <c r="M1887" s="13" t="n">
        <f aca="false">IF(C1887="",0,1)</f>
        <v>0</v>
      </c>
      <c r="N1887" s="13" t="str">
        <f aca="false">IF(M1887=0,"Active",IF(TRIM(Raw_Data!L1887)="","Unknown",PROPER(TRIM(Raw_Data!L1887))))</f>
        <v>Active</v>
      </c>
      <c r="O1887" s="13" t="str">
        <f aca="false">IF(M1887=0,"",IF(TRIM(Raw_Data!M1887)="","Not Recorded",TRIM(Raw_Data!M1887)))</f>
        <v/>
      </c>
      <c r="P1887" s="16" t="n">
        <f aca="false">ROUND((IF(C1887="",AsOfDate,C1887)-B1887)/365.25,2)</f>
        <v>0.75</v>
      </c>
      <c r="Q1887" s="13" t="str">
        <f aca="false">IF(D1887="","Unknown",IF(D1887&lt;25,"Under 25",IF(D1887&lt;35,"25-34",IF(D1887&lt;45,"35-44",IF(D1887&lt;55,"45-54","55+")))))</f>
        <v>25-34</v>
      </c>
      <c r="R1887" s="13" t="str">
        <f aca="false">IF(P1887&lt;1,"0-1 yrs",IF(P1887&lt;3,"1-3 yrs",IF(P1887&lt;5,"3-5 yrs",IF(P1887&lt;10,"5-10 yrs","10+ yrs"))))</f>
        <v>0-1 yrs</v>
      </c>
      <c r="S1887" s="13" t="str">
        <f aca="false">IF(I1887&gt;=4,"High",IF(I1887=3,"Medium","Low"))</f>
        <v>Medium</v>
      </c>
      <c r="T1887" s="13" t="str">
        <f aca="false">IF(M1887=1,YEAR(C1887),"")</f>
        <v/>
      </c>
      <c r="U1887" s="13" t="str">
        <f aca="false">IF(M1887=1,YEAR(C1887)&amp;"-Q"&amp;ROUNDUP(MONTH(C1887)/3,0),"")</f>
        <v/>
      </c>
      <c r="V1887" s="13" t="str">
        <f aca="false">IF(M1887=1,MONTH(C1887),"")</f>
        <v/>
      </c>
    </row>
    <row r="1888" customFormat="false" ht="15" hidden="false" customHeight="false" outlineLevel="0" collapsed="false">
      <c r="A1888" s="13" t="str">
        <f aca="false">TRIM(Raw_Data!A1888)</f>
        <v>EMP1887</v>
      </c>
      <c r="B1888" s="14" t="n">
        <f aca="false">Raw_Data!B1888</f>
        <v>45748</v>
      </c>
      <c r="C1888" s="14" t="n">
        <f aca="false">IF(Raw_Data!C1888="","",Raw_Data!C1888)</f>
        <v>45882</v>
      </c>
      <c r="D1888" s="13" t="n">
        <f aca="false">IF(Raw_Data!D1888="","",Raw_Data!D1888)</f>
        <v>31</v>
      </c>
      <c r="E1888" s="13" t="str">
        <f aca="false">IF(UPPER(LEFT(TRIM(Raw_Data!E1888),1))="M","Male",IF(UPPER(LEFT(TRIM(Raw_Data!E1888),1))="F","Female","Unknown"))</f>
        <v>Male</v>
      </c>
      <c r="F1888" s="13" t="str">
        <f aca="false">PROPER(TRIM(SUBSTITUTE(Raw_Data!F1888,"'","")))</f>
        <v>High School</v>
      </c>
      <c r="G1888" s="13" t="str">
        <f aca="false">PROPER(TRIM(Raw_Data!G1888))</f>
        <v>Finance</v>
      </c>
      <c r="H1888" s="13" t="str">
        <f aca="false">PROPER(TRIM(Raw_Data!H1888))</f>
        <v>Associate</v>
      </c>
      <c r="I1888" s="13" t="n">
        <f aca="false">IF(Raw_Data!I1888="",DefaultPerf,Raw_Data!I1888)</f>
        <v>3</v>
      </c>
      <c r="J1888" s="13" t="n">
        <f aca="false">IF(Raw_Data!J1888="",DefaultSat,Raw_Data!J1888)</f>
        <v>2</v>
      </c>
      <c r="K1888" s="15" t="n">
        <f aca="false">Raw_Data!K1888</f>
        <v>35500</v>
      </c>
      <c r="L1888" s="13" t="str">
        <f aca="false">PROPER(TRIM(Raw_Data!N1888))</f>
        <v>No</v>
      </c>
      <c r="M1888" s="13" t="n">
        <f aca="false">IF(C1888="",0,1)</f>
        <v>1</v>
      </c>
      <c r="N1888" s="13" t="str">
        <f aca="false">IF(M1888=0,"Active",IF(TRIM(Raw_Data!L1888)="","Unknown",PROPER(TRIM(Raw_Data!L1888))))</f>
        <v>Voluntary</v>
      </c>
      <c r="O1888" s="13" t="str">
        <f aca="false">IF(M1888=0,"",IF(TRIM(Raw_Data!M1888)="","Not Recorded",TRIM(Raw_Data!M1888)))</f>
        <v>Better Compensation</v>
      </c>
      <c r="P1888" s="16" t="n">
        <f aca="false">ROUND((IF(C1888="",AsOfDate,C1888)-B1888)/365.25,2)</f>
        <v>0.37</v>
      </c>
      <c r="Q1888" s="13" t="str">
        <f aca="false">IF(D1888="","Unknown",IF(D1888&lt;25,"Under 25",IF(D1888&lt;35,"25-34",IF(D1888&lt;45,"35-44",IF(D1888&lt;55,"45-54","55+")))))</f>
        <v>25-34</v>
      </c>
      <c r="R1888" s="13" t="str">
        <f aca="false">IF(P1888&lt;1,"0-1 yrs",IF(P1888&lt;3,"1-3 yrs",IF(P1888&lt;5,"3-5 yrs",IF(P1888&lt;10,"5-10 yrs","10+ yrs"))))</f>
        <v>0-1 yrs</v>
      </c>
      <c r="S1888" s="13" t="str">
        <f aca="false">IF(I1888&gt;=4,"High",IF(I1888=3,"Medium","Low"))</f>
        <v>Medium</v>
      </c>
      <c r="T1888" s="13" t="n">
        <f aca="false">IF(M1888=1,YEAR(C1888),"")</f>
        <v>2025</v>
      </c>
      <c r="U1888" s="13" t="str">
        <f aca="false">IF(M1888=1,YEAR(C1888)&amp;"-Q"&amp;ROUNDUP(MONTH(C1888)/3,0),"")</f>
        <v>2025-Q3</v>
      </c>
      <c r="V1888" s="13" t="n">
        <f aca="false">IF(M1888=1,MONTH(C1888),"")</f>
        <v>8</v>
      </c>
    </row>
    <row r="1889" customFormat="false" ht="15" hidden="false" customHeight="false" outlineLevel="0" collapsed="false">
      <c r="A1889" s="13" t="str">
        <f aca="false">TRIM(Raw_Data!A1889)</f>
        <v>EMP1888</v>
      </c>
      <c r="B1889" s="14" t="n">
        <f aca="false">Raw_Data!B1889</f>
        <v>45755</v>
      </c>
      <c r="C1889" s="14" t="str">
        <f aca="false">IF(Raw_Data!C1889="","",Raw_Data!C1889)</f>
        <v/>
      </c>
      <c r="D1889" s="13" t="n">
        <f aca="false">IF(Raw_Data!D1889="","",Raw_Data!D1889)</f>
        <v>44</v>
      </c>
      <c r="E1889" s="13" t="str">
        <f aca="false">IF(UPPER(LEFT(TRIM(Raw_Data!E1889),1))="M","Male",IF(UPPER(LEFT(TRIM(Raw_Data!E1889),1))="F","Female","Unknown"))</f>
        <v>Male</v>
      </c>
      <c r="F1889" s="13" t="str">
        <f aca="false">PROPER(TRIM(SUBSTITUTE(Raw_Data!F1889,"'","")))</f>
        <v>Masters</v>
      </c>
      <c r="G1889" s="13" t="str">
        <f aca="false">PROPER(TRIM(Raw_Data!G1889))</f>
        <v>Finance</v>
      </c>
      <c r="H1889" s="13" t="str">
        <f aca="false">PROPER(TRIM(Raw_Data!H1889))</f>
        <v>Specialist</v>
      </c>
      <c r="I1889" s="13" t="n">
        <f aca="false">IF(Raw_Data!I1889="",DefaultPerf,Raw_Data!I1889)</f>
        <v>3</v>
      </c>
      <c r="J1889" s="13" t="n">
        <f aca="false">IF(Raw_Data!J1889="",DefaultSat,Raw_Data!J1889)</f>
        <v>3</v>
      </c>
      <c r="K1889" s="15" t="n">
        <f aca="false">Raw_Data!K1889</f>
        <v>95000</v>
      </c>
      <c r="L1889" s="13" t="str">
        <f aca="false">PROPER(TRIM(Raw_Data!N1889))</f>
        <v>No</v>
      </c>
      <c r="M1889" s="13" t="n">
        <f aca="false">IF(C1889="",0,1)</f>
        <v>0</v>
      </c>
      <c r="N1889" s="13" t="str">
        <f aca="false">IF(M1889=0,"Active",IF(TRIM(Raw_Data!L1889)="","Unknown",PROPER(TRIM(Raw_Data!L1889))))</f>
        <v>Active</v>
      </c>
      <c r="O1889" s="13" t="str">
        <f aca="false">IF(M1889=0,"",IF(TRIM(Raw_Data!M1889)="","Not Recorded",TRIM(Raw_Data!M1889)))</f>
        <v/>
      </c>
      <c r="P1889" s="16" t="n">
        <f aca="false">ROUND((IF(C1889="",AsOfDate,C1889)-B1889)/365.25,2)</f>
        <v>0.73</v>
      </c>
      <c r="Q1889" s="13" t="str">
        <f aca="false">IF(D1889="","Unknown",IF(D1889&lt;25,"Under 25",IF(D1889&lt;35,"25-34",IF(D1889&lt;45,"35-44",IF(D1889&lt;55,"45-54","55+")))))</f>
        <v>35-44</v>
      </c>
      <c r="R1889" s="13" t="str">
        <f aca="false">IF(P1889&lt;1,"0-1 yrs",IF(P1889&lt;3,"1-3 yrs",IF(P1889&lt;5,"3-5 yrs",IF(P1889&lt;10,"5-10 yrs","10+ yrs"))))</f>
        <v>0-1 yrs</v>
      </c>
      <c r="S1889" s="13" t="str">
        <f aca="false">IF(I1889&gt;=4,"High",IF(I1889=3,"Medium","Low"))</f>
        <v>Medium</v>
      </c>
      <c r="T1889" s="13" t="str">
        <f aca="false">IF(M1889=1,YEAR(C1889),"")</f>
        <v/>
      </c>
      <c r="U1889" s="13" t="str">
        <f aca="false">IF(M1889=1,YEAR(C1889)&amp;"-Q"&amp;ROUNDUP(MONTH(C1889)/3,0),"")</f>
        <v/>
      </c>
      <c r="V1889" s="13" t="str">
        <f aca="false">IF(M1889=1,MONTH(C1889),"")</f>
        <v/>
      </c>
    </row>
    <row r="1890" customFormat="false" ht="15" hidden="false" customHeight="false" outlineLevel="0" collapsed="false">
      <c r="A1890" s="13" t="str">
        <f aca="false">TRIM(Raw_Data!A1890)</f>
        <v>EMP1889</v>
      </c>
      <c r="B1890" s="14" t="n">
        <f aca="false">Raw_Data!B1890</f>
        <v>45759</v>
      </c>
      <c r="C1890" s="14" t="str">
        <f aca="false">IF(Raw_Data!C1890="","",Raw_Data!C1890)</f>
        <v/>
      </c>
      <c r="D1890" s="13" t="n">
        <f aca="false">IF(Raw_Data!D1890="","",Raw_Data!D1890)</f>
        <v>32</v>
      </c>
      <c r="E1890" s="13" t="str">
        <f aca="false">IF(UPPER(LEFT(TRIM(Raw_Data!E1890),1))="M","Male",IF(UPPER(LEFT(TRIM(Raw_Data!E1890),1))="F","Female","Unknown"))</f>
        <v>Female</v>
      </c>
      <c r="F1890" s="13" t="str">
        <f aca="false">PROPER(TRIM(SUBSTITUTE(Raw_Data!F1890,"'","")))</f>
        <v>Doctorate</v>
      </c>
      <c r="G1890" s="13" t="str">
        <f aca="false">PROPER(TRIM(Raw_Data!G1890))</f>
        <v>Engineering</v>
      </c>
      <c r="H1890" s="13" t="str">
        <f aca="false">PROPER(TRIM(Raw_Data!H1890))</f>
        <v>Senior Analyst</v>
      </c>
      <c r="I1890" s="13" t="n">
        <f aca="false">IF(Raw_Data!I1890="",DefaultPerf,Raw_Data!I1890)</f>
        <v>5</v>
      </c>
      <c r="J1890" s="13" t="n">
        <f aca="false">IF(Raw_Data!J1890="",DefaultSat,Raw_Data!J1890)</f>
        <v>1</v>
      </c>
      <c r="K1890" s="15" t="n">
        <f aca="false">Raw_Data!K1890</f>
        <v>74500</v>
      </c>
      <c r="L1890" s="13" t="str">
        <f aca="false">PROPER(TRIM(Raw_Data!N1890))</f>
        <v>No</v>
      </c>
      <c r="M1890" s="13" t="n">
        <f aca="false">IF(C1890="",0,1)</f>
        <v>0</v>
      </c>
      <c r="N1890" s="13" t="str">
        <f aca="false">IF(M1890=0,"Active",IF(TRIM(Raw_Data!L1890)="","Unknown",PROPER(TRIM(Raw_Data!L1890))))</f>
        <v>Active</v>
      </c>
      <c r="O1890" s="13" t="str">
        <f aca="false">IF(M1890=0,"",IF(TRIM(Raw_Data!M1890)="","Not Recorded",TRIM(Raw_Data!M1890)))</f>
        <v/>
      </c>
      <c r="P1890" s="16" t="n">
        <f aca="false">ROUND((IF(C1890="",AsOfDate,C1890)-B1890)/365.25,2)</f>
        <v>0.72</v>
      </c>
      <c r="Q1890" s="13" t="str">
        <f aca="false">IF(D1890="","Unknown",IF(D1890&lt;25,"Under 25",IF(D1890&lt;35,"25-34",IF(D1890&lt;45,"35-44",IF(D1890&lt;55,"45-54","55+")))))</f>
        <v>25-34</v>
      </c>
      <c r="R1890" s="13" t="str">
        <f aca="false">IF(P1890&lt;1,"0-1 yrs",IF(P1890&lt;3,"1-3 yrs",IF(P1890&lt;5,"3-5 yrs",IF(P1890&lt;10,"5-10 yrs","10+ yrs"))))</f>
        <v>0-1 yrs</v>
      </c>
      <c r="S1890" s="13" t="str">
        <f aca="false">IF(I1890&gt;=4,"High",IF(I1890=3,"Medium","Low"))</f>
        <v>High</v>
      </c>
      <c r="T1890" s="13" t="str">
        <f aca="false">IF(M1890=1,YEAR(C1890),"")</f>
        <v/>
      </c>
      <c r="U1890" s="13" t="str">
        <f aca="false">IF(M1890=1,YEAR(C1890)&amp;"-Q"&amp;ROUNDUP(MONTH(C1890)/3,0),"")</f>
        <v/>
      </c>
      <c r="V1890" s="13" t="str">
        <f aca="false">IF(M1890=1,MONTH(C1890),"")</f>
        <v/>
      </c>
    </row>
    <row r="1891" customFormat="false" ht="15" hidden="false" customHeight="false" outlineLevel="0" collapsed="false">
      <c r="A1891" s="13" t="str">
        <f aca="false">TRIM(Raw_Data!A1891)</f>
        <v>EMP1890</v>
      </c>
      <c r="B1891" s="14" t="n">
        <f aca="false">Raw_Data!B1891</f>
        <v>45761</v>
      </c>
      <c r="C1891" s="14" t="str">
        <f aca="false">IF(Raw_Data!C1891="","",Raw_Data!C1891)</f>
        <v/>
      </c>
      <c r="D1891" s="13" t="n">
        <f aca="false">IF(Raw_Data!D1891="","",Raw_Data!D1891)</f>
        <v>28</v>
      </c>
      <c r="E1891" s="13" t="str">
        <f aca="false">IF(UPPER(LEFT(TRIM(Raw_Data!E1891),1))="M","Male",IF(UPPER(LEFT(TRIM(Raw_Data!E1891),1))="F","Female","Unknown"))</f>
        <v>Male</v>
      </c>
      <c r="F1891" s="13" t="str">
        <f aca="false">PROPER(TRIM(SUBSTITUTE(Raw_Data!F1891,"'","")))</f>
        <v>Bachelors</v>
      </c>
      <c r="G1891" s="13" t="str">
        <f aca="false">PROPER(TRIM(Raw_Data!G1891))</f>
        <v>Engineering</v>
      </c>
      <c r="H1891" s="13" t="str">
        <f aca="false">PROPER(TRIM(Raw_Data!H1891))</f>
        <v>Associate</v>
      </c>
      <c r="I1891" s="13" t="n">
        <f aca="false">IF(Raw_Data!I1891="",DefaultPerf,Raw_Data!I1891)</f>
        <v>4</v>
      </c>
      <c r="J1891" s="13" t="n">
        <f aca="false">IF(Raw_Data!J1891="",DefaultSat,Raw_Data!J1891)</f>
        <v>1</v>
      </c>
      <c r="K1891" s="15" t="n">
        <f aca="false">Raw_Data!K1891</f>
        <v>41500</v>
      </c>
      <c r="L1891" s="13" t="str">
        <f aca="false">PROPER(TRIM(Raw_Data!N1891))</f>
        <v>No</v>
      </c>
      <c r="M1891" s="13" t="n">
        <f aca="false">IF(C1891="",0,1)</f>
        <v>0</v>
      </c>
      <c r="N1891" s="13" t="str">
        <f aca="false">IF(M1891=0,"Active",IF(TRIM(Raw_Data!L1891)="","Unknown",PROPER(TRIM(Raw_Data!L1891))))</f>
        <v>Active</v>
      </c>
      <c r="O1891" s="13" t="str">
        <f aca="false">IF(M1891=0,"",IF(TRIM(Raw_Data!M1891)="","Not Recorded",TRIM(Raw_Data!M1891)))</f>
        <v/>
      </c>
      <c r="P1891" s="16" t="n">
        <f aca="false">ROUND((IF(C1891="",AsOfDate,C1891)-B1891)/365.25,2)</f>
        <v>0.71</v>
      </c>
      <c r="Q1891" s="13" t="str">
        <f aca="false">IF(D1891="","Unknown",IF(D1891&lt;25,"Under 25",IF(D1891&lt;35,"25-34",IF(D1891&lt;45,"35-44",IF(D1891&lt;55,"45-54","55+")))))</f>
        <v>25-34</v>
      </c>
      <c r="R1891" s="13" t="str">
        <f aca="false">IF(P1891&lt;1,"0-1 yrs",IF(P1891&lt;3,"1-3 yrs",IF(P1891&lt;5,"3-5 yrs",IF(P1891&lt;10,"5-10 yrs","10+ yrs"))))</f>
        <v>0-1 yrs</v>
      </c>
      <c r="S1891" s="13" t="str">
        <f aca="false">IF(I1891&gt;=4,"High",IF(I1891=3,"Medium","Low"))</f>
        <v>High</v>
      </c>
      <c r="T1891" s="13" t="str">
        <f aca="false">IF(M1891=1,YEAR(C1891),"")</f>
        <v/>
      </c>
      <c r="U1891" s="13" t="str">
        <f aca="false">IF(M1891=1,YEAR(C1891)&amp;"-Q"&amp;ROUNDUP(MONTH(C1891)/3,0),"")</f>
        <v/>
      </c>
      <c r="V1891" s="13" t="str">
        <f aca="false">IF(M1891=1,MONTH(C1891),"")</f>
        <v/>
      </c>
    </row>
    <row r="1892" customFormat="false" ht="15" hidden="false" customHeight="false" outlineLevel="0" collapsed="false">
      <c r="A1892" s="13" t="str">
        <f aca="false">TRIM(Raw_Data!A1892)</f>
        <v>EMP1891</v>
      </c>
      <c r="B1892" s="14" t="n">
        <f aca="false">Raw_Data!B1892</f>
        <v>45761</v>
      </c>
      <c r="C1892" s="14" t="str">
        <f aca="false">IF(Raw_Data!C1892="","",Raw_Data!C1892)</f>
        <v/>
      </c>
      <c r="D1892" s="13" t="n">
        <f aca="false">IF(Raw_Data!D1892="","",Raw_Data!D1892)</f>
        <v>28</v>
      </c>
      <c r="E1892" s="13" t="str">
        <f aca="false">IF(UPPER(LEFT(TRIM(Raw_Data!E1892),1))="M","Male",IF(UPPER(LEFT(TRIM(Raw_Data!E1892),1))="F","Female","Unknown"))</f>
        <v>Male</v>
      </c>
      <c r="F1892" s="13" t="str">
        <f aca="false">PROPER(TRIM(SUBSTITUTE(Raw_Data!F1892,"'","")))</f>
        <v>Masters</v>
      </c>
      <c r="G1892" s="13" t="str">
        <f aca="false">PROPER(TRIM(Raw_Data!G1892))</f>
        <v>Sales</v>
      </c>
      <c r="H1892" s="13" t="str">
        <f aca="false">PROPER(TRIM(Raw_Data!H1892))</f>
        <v>Senior Analyst</v>
      </c>
      <c r="I1892" s="13" t="n">
        <f aca="false">IF(Raw_Data!I1892="",DefaultPerf,Raw_Data!I1892)</f>
        <v>3</v>
      </c>
      <c r="J1892" s="13" t="n">
        <f aca="false">IF(Raw_Data!J1892="",DefaultSat,Raw_Data!J1892)</f>
        <v>1</v>
      </c>
      <c r="K1892" s="15" t="n">
        <f aca="false">Raw_Data!K1892</f>
        <v>96500</v>
      </c>
      <c r="L1892" s="13" t="str">
        <f aca="false">PROPER(TRIM(Raw_Data!N1892))</f>
        <v>Yes</v>
      </c>
      <c r="M1892" s="13" t="n">
        <f aca="false">IF(C1892="",0,1)</f>
        <v>0</v>
      </c>
      <c r="N1892" s="13" t="str">
        <f aca="false">IF(M1892=0,"Active",IF(TRIM(Raw_Data!L1892)="","Unknown",PROPER(TRIM(Raw_Data!L1892))))</f>
        <v>Active</v>
      </c>
      <c r="O1892" s="13" t="str">
        <f aca="false">IF(M1892=0,"",IF(TRIM(Raw_Data!M1892)="","Not Recorded",TRIM(Raw_Data!M1892)))</f>
        <v/>
      </c>
      <c r="P1892" s="16" t="n">
        <f aca="false">ROUND((IF(C1892="",AsOfDate,C1892)-B1892)/365.25,2)</f>
        <v>0.71</v>
      </c>
      <c r="Q1892" s="13" t="str">
        <f aca="false">IF(D1892="","Unknown",IF(D1892&lt;25,"Under 25",IF(D1892&lt;35,"25-34",IF(D1892&lt;45,"35-44",IF(D1892&lt;55,"45-54","55+")))))</f>
        <v>25-34</v>
      </c>
      <c r="R1892" s="13" t="str">
        <f aca="false">IF(P1892&lt;1,"0-1 yrs",IF(P1892&lt;3,"1-3 yrs",IF(P1892&lt;5,"3-5 yrs",IF(P1892&lt;10,"5-10 yrs","10+ yrs"))))</f>
        <v>0-1 yrs</v>
      </c>
      <c r="S1892" s="13" t="str">
        <f aca="false">IF(I1892&gt;=4,"High",IF(I1892=3,"Medium","Low"))</f>
        <v>Medium</v>
      </c>
      <c r="T1892" s="13" t="str">
        <f aca="false">IF(M1892=1,YEAR(C1892),"")</f>
        <v/>
      </c>
      <c r="U1892" s="13" t="str">
        <f aca="false">IF(M1892=1,YEAR(C1892)&amp;"-Q"&amp;ROUNDUP(MONTH(C1892)/3,0),"")</f>
        <v/>
      </c>
      <c r="V1892" s="13" t="str">
        <f aca="false">IF(M1892=1,MONTH(C1892),"")</f>
        <v/>
      </c>
    </row>
    <row r="1893" customFormat="false" ht="15" hidden="false" customHeight="false" outlineLevel="0" collapsed="false">
      <c r="A1893" s="13" t="str">
        <f aca="false">TRIM(Raw_Data!A1893)</f>
        <v>EMP1892</v>
      </c>
      <c r="B1893" s="14" t="n">
        <f aca="false">Raw_Data!B1893</f>
        <v>45761</v>
      </c>
      <c r="C1893" s="14" t="str">
        <f aca="false">IF(Raw_Data!C1893="","",Raw_Data!C1893)</f>
        <v/>
      </c>
      <c r="D1893" s="13" t="n">
        <f aca="false">IF(Raw_Data!D1893="","",Raw_Data!D1893)</f>
        <v>26</v>
      </c>
      <c r="E1893" s="13" t="str">
        <f aca="false">IF(UPPER(LEFT(TRIM(Raw_Data!E1893),1))="M","Male",IF(UPPER(LEFT(TRIM(Raw_Data!E1893),1))="F","Female","Unknown"))</f>
        <v>Male</v>
      </c>
      <c r="F1893" s="13" t="str">
        <f aca="false">PROPER(TRIM(SUBSTITUTE(Raw_Data!F1893,"'","")))</f>
        <v>Bachelors</v>
      </c>
      <c r="G1893" s="13" t="str">
        <f aca="false">PROPER(TRIM(Raw_Data!G1893))</f>
        <v>Sales</v>
      </c>
      <c r="H1893" s="13" t="str">
        <f aca="false">PROPER(TRIM(Raw_Data!H1893))</f>
        <v>Analyst</v>
      </c>
      <c r="I1893" s="13" t="n">
        <f aca="false">IF(Raw_Data!I1893="",DefaultPerf,Raw_Data!I1893)</f>
        <v>3</v>
      </c>
      <c r="J1893" s="13" t="n">
        <f aca="false">IF(Raw_Data!J1893="",DefaultSat,Raw_Data!J1893)</f>
        <v>3</v>
      </c>
      <c r="K1893" s="15" t="n">
        <f aca="false">Raw_Data!K1893</f>
        <v>50000</v>
      </c>
      <c r="L1893" s="13" t="str">
        <f aca="false">PROPER(TRIM(Raw_Data!N1893))</f>
        <v>Yes</v>
      </c>
      <c r="M1893" s="13" t="n">
        <f aca="false">IF(C1893="",0,1)</f>
        <v>0</v>
      </c>
      <c r="N1893" s="13" t="str">
        <f aca="false">IF(M1893=0,"Active",IF(TRIM(Raw_Data!L1893)="","Unknown",PROPER(TRIM(Raw_Data!L1893))))</f>
        <v>Active</v>
      </c>
      <c r="O1893" s="13" t="str">
        <f aca="false">IF(M1893=0,"",IF(TRIM(Raw_Data!M1893)="","Not Recorded",TRIM(Raw_Data!M1893)))</f>
        <v/>
      </c>
      <c r="P1893" s="16" t="n">
        <f aca="false">ROUND((IF(C1893="",AsOfDate,C1893)-B1893)/365.25,2)</f>
        <v>0.71</v>
      </c>
      <c r="Q1893" s="13" t="str">
        <f aca="false">IF(D1893="","Unknown",IF(D1893&lt;25,"Under 25",IF(D1893&lt;35,"25-34",IF(D1893&lt;45,"35-44",IF(D1893&lt;55,"45-54","55+")))))</f>
        <v>25-34</v>
      </c>
      <c r="R1893" s="13" t="str">
        <f aca="false">IF(P1893&lt;1,"0-1 yrs",IF(P1893&lt;3,"1-3 yrs",IF(P1893&lt;5,"3-5 yrs",IF(P1893&lt;10,"5-10 yrs","10+ yrs"))))</f>
        <v>0-1 yrs</v>
      </c>
      <c r="S1893" s="13" t="str">
        <f aca="false">IF(I1893&gt;=4,"High",IF(I1893=3,"Medium","Low"))</f>
        <v>Medium</v>
      </c>
      <c r="T1893" s="13" t="str">
        <f aca="false">IF(M1893=1,YEAR(C1893),"")</f>
        <v/>
      </c>
      <c r="U1893" s="13" t="str">
        <f aca="false">IF(M1893=1,YEAR(C1893)&amp;"-Q"&amp;ROUNDUP(MONTH(C1893)/3,0),"")</f>
        <v/>
      </c>
      <c r="V1893" s="13" t="str">
        <f aca="false">IF(M1893=1,MONTH(C1893),"")</f>
        <v/>
      </c>
    </row>
    <row r="1894" customFormat="false" ht="15" hidden="false" customHeight="false" outlineLevel="0" collapsed="false">
      <c r="A1894" s="13" t="str">
        <f aca="false">TRIM(Raw_Data!A1894)</f>
        <v>EMP1893</v>
      </c>
      <c r="B1894" s="14" t="n">
        <f aca="false">Raw_Data!B1894</f>
        <v>45761</v>
      </c>
      <c r="C1894" s="14" t="str">
        <f aca="false">IF(Raw_Data!C1894="","",Raw_Data!C1894)</f>
        <v/>
      </c>
      <c r="D1894" s="13" t="n">
        <f aca="false">IF(Raw_Data!D1894="","",Raw_Data!D1894)</f>
        <v>38</v>
      </c>
      <c r="E1894" s="13" t="str">
        <f aca="false">IF(UPPER(LEFT(TRIM(Raw_Data!E1894),1))="M","Male",IF(UPPER(LEFT(TRIM(Raw_Data!E1894),1))="F","Female","Unknown"))</f>
        <v>Female</v>
      </c>
      <c r="F1894" s="13" t="str">
        <f aca="false">PROPER(TRIM(SUBSTITUTE(Raw_Data!F1894,"'","")))</f>
        <v>High School</v>
      </c>
      <c r="G1894" s="13" t="str">
        <f aca="false">PROPER(TRIM(Raw_Data!G1894))</f>
        <v>Engineering</v>
      </c>
      <c r="H1894" s="13" t="str">
        <f aca="false">PROPER(TRIM(Raw_Data!H1894))</f>
        <v>Senior Analyst</v>
      </c>
      <c r="I1894" s="13" t="n">
        <f aca="false">IF(Raw_Data!I1894="",DefaultPerf,Raw_Data!I1894)</f>
        <v>4</v>
      </c>
      <c r="J1894" s="13" t="n">
        <f aca="false">IF(Raw_Data!J1894="",DefaultSat,Raw_Data!J1894)</f>
        <v>2</v>
      </c>
      <c r="K1894" s="15" t="n">
        <f aca="false">Raw_Data!K1894</f>
        <v>97000</v>
      </c>
      <c r="L1894" s="13" t="str">
        <f aca="false">PROPER(TRIM(Raw_Data!N1894))</f>
        <v>Yes</v>
      </c>
      <c r="M1894" s="13" t="n">
        <f aca="false">IF(C1894="",0,1)</f>
        <v>0</v>
      </c>
      <c r="N1894" s="13" t="str">
        <f aca="false">IF(M1894=0,"Active",IF(TRIM(Raw_Data!L1894)="","Unknown",PROPER(TRIM(Raw_Data!L1894))))</f>
        <v>Active</v>
      </c>
      <c r="O1894" s="13" t="str">
        <f aca="false">IF(M1894=0,"",IF(TRIM(Raw_Data!M1894)="","Not Recorded",TRIM(Raw_Data!M1894)))</f>
        <v/>
      </c>
      <c r="P1894" s="16" t="n">
        <f aca="false">ROUND((IF(C1894="",AsOfDate,C1894)-B1894)/365.25,2)</f>
        <v>0.71</v>
      </c>
      <c r="Q1894" s="13" t="str">
        <f aca="false">IF(D1894="","Unknown",IF(D1894&lt;25,"Under 25",IF(D1894&lt;35,"25-34",IF(D1894&lt;45,"35-44",IF(D1894&lt;55,"45-54","55+")))))</f>
        <v>35-44</v>
      </c>
      <c r="R1894" s="13" t="str">
        <f aca="false">IF(P1894&lt;1,"0-1 yrs",IF(P1894&lt;3,"1-3 yrs",IF(P1894&lt;5,"3-5 yrs",IF(P1894&lt;10,"5-10 yrs","10+ yrs"))))</f>
        <v>0-1 yrs</v>
      </c>
      <c r="S1894" s="13" t="str">
        <f aca="false">IF(I1894&gt;=4,"High",IF(I1894=3,"Medium","Low"))</f>
        <v>High</v>
      </c>
      <c r="T1894" s="13" t="str">
        <f aca="false">IF(M1894=1,YEAR(C1894),"")</f>
        <v/>
      </c>
      <c r="U1894" s="13" t="str">
        <f aca="false">IF(M1894=1,YEAR(C1894)&amp;"-Q"&amp;ROUNDUP(MONTH(C1894)/3,0),"")</f>
        <v/>
      </c>
      <c r="V1894" s="13" t="str">
        <f aca="false">IF(M1894=1,MONTH(C1894),"")</f>
        <v/>
      </c>
    </row>
    <row r="1895" customFormat="false" ht="15" hidden="false" customHeight="false" outlineLevel="0" collapsed="false">
      <c r="A1895" s="13" t="str">
        <f aca="false">TRIM(Raw_Data!A1895)</f>
        <v>EMP1894</v>
      </c>
      <c r="B1895" s="14" t="n">
        <f aca="false">Raw_Data!B1895</f>
        <v>45762</v>
      </c>
      <c r="C1895" s="14" t="n">
        <f aca="false">IF(Raw_Data!C1895="","",Raw_Data!C1895)</f>
        <v>46001</v>
      </c>
      <c r="D1895" s="13" t="n">
        <f aca="false">IF(Raw_Data!D1895="","",Raw_Data!D1895)</f>
        <v>42</v>
      </c>
      <c r="E1895" s="13" t="str">
        <f aca="false">IF(UPPER(LEFT(TRIM(Raw_Data!E1895),1))="M","Male",IF(UPPER(LEFT(TRIM(Raw_Data!E1895),1))="F","Female","Unknown"))</f>
        <v>Male</v>
      </c>
      <c r="F1895" s="13" t="str">
        <f aca="false">PROPER(TRIM(SUBSTITUTE(Raw_Data!F1895,"'","")))</f>
        <v>Bachelors</v>
      </c>
      <c r="G1895" s="13" t="str">
        <f aca="false">PROPER(TRIM(Raw_Data!G1895))</f>
        <v>Engineering</v>
      </c>
      <c r="H1895" s="13" t="str">
        <f aca="false">PROPER(TRIM(Raw_Data!H1895))</f>
        <v>Associate</v>
      </c>
      <c r="I1895" s="13" t="n">
        <f aca="false">IF(Raw_Data!I1895="",DefaultPerf,Raw_Data!I1895)</f>
        <v>3</v>
      </c>
      <c r="J1895" s="13" t="n">
        <f aca="false">IF(Raw_Data!J1895="",DefaultSat,Raw_Data!J1895)</f>
        <v>1</v>
      </c>
      <c r="K1895" s="15" t="n">
        <f aca="false">Raw_Data!K1895</f>
        <v>41500</v>
      </c>
      <c r="L1895" s="13" t="str">
        <f aca="false">PROPER(TRIM(Raw_Data!N1895))</f>
        <v>No</v>
      </c>
      <c r="M1895" s="13" t="n">
        <f aca="false">IF(C1895="",0,1)</f>
        <v>1</v>
      </c>
      <c r="N1895" s="13" t="str">
        <f aca="false">IF(M1895=0,"Active",IF(TRIM(Raw_Data!L1895)="","Unknown",PROPER(TRIM(Raw_Data!L1895))))</f>
        <v>Voluntary</v>
      </c>
      <c r="O1895" s="13" t="str">
        <f aca="false">IF(M1895=0,"",IF(TRIM(Raw_Data!M1895)="","Not Recorded",TRIM(Raw_Data!M1895)))</f>
        <v>Career Growth</v>
      </c>
      <c r="P1895" s="16" t="n">
        <f aca="false">ROUND((IF(C1895="",AsOfDate,C1895)-B1895)/365.25,2)</f>
        <v>0.65</v>
      </c>
      <c r="Q1895" s="13" t="str">
        <f aca="false">IF(D1895="","Unknown",IF(D1895&lt;25,"Under 25",IF(D1895&lt;35,"25-34",IF(D1895&lt;45,"35-44",IF(D1895&lt;55,"45-54","55+")))))</f>
        <v>35-44</v>
      </c>
      <c r="R1895" s="13" t="str">
        <f aca="false">IF(P1895&lt;1,"0-1 yrs",IF(P1895&lt;3,"1-3 yrs",IF(P1895&lt;5,"3-5 yrs",IF(P1895&lt;10,"5-10 yrs","10+ yrs"))))</f>
        <v>0-1 yrs</v>
      </c>
      <c r="S1895" s="13" t="str">
        <f aca="false">IF(I1895&gt;=4,"High",IF(I1895=3,"Medium","Low"))</f>
        <v>Medium</v>
      </c>
      <c r="T1895" s="13" t="n">
        <f aca="false">IF(M1895=1,YEAR(C1895),"")</f>
        <v>2025</v>
      </c>
      <c r="U1895" s="13" t="str">
        <f aca="false">IF(M1895=1,YEAR(C1895)&amp;"-Q"&amp;ROUNDUP(MONTH(C1895)/3,0),"")</f>
        <v>2025-Q4</v>
      </c>
      <c r="V1895" s="13" t="n">
        <f aca="false">IF(M1895=1,MONTH(C1895),"")</f>
        <v>12</v>
      </c>
    </row>
    <row r="1896" customFormat="false" ht="15" hidden="false" customHeight="false" outlineLevel="0" collapsed="false">
      <c r="A1896" s="13" t="str">
        <f aca="false">TRIM(Raw_Data!A1896)</f>
        <v>EMP1895</v>
      </c>
      <c r="B1896" s="14" t="n">
        <f aca="false">Raw_Data!B1896</f>
        <v>45763</v>
      </c>
      <c r="C1896" s="14" t="str">
        <f aca="false">IF(Raw_Data!C1896="","",Raw_Data!C1896)</f>
        <v/>
      </c>
      <c r="D1896" s="13" t="n">
        <f aca="false">IF(Raw_Data!D1896="","",Raw_Data!D1896)</f>
        <v>35</v>
      </c>
      <c r="E1896" s="13" t="str">
        <f aca="false">IF(UPPER(LEFT(TRIM(Raw_Data!E1896),1))="M","Male",IF(UPPER(LEFT(TRIM(Raw_Data!E1896),1))="F","Female","Unknown"))</f>
        <v>Female</v>
      </c>
      <c r="F1896" s="13" t="str">
        <f aca="false">PROPER(TRIM(SUBSTITUTE(Raw_Data!F1896,"'","")))</f>
        <v>Bachelors</v>
      </c>
      <c r="G1896" s="13" t="str">
        <f aca="false">PROPER(TRIM(Raw_Data!G1896))</f>
        <v>Engineering</v>
      </c>
      <c r="H1896" s="13" t="str">
        <f aca="false">PROPER(TRIM(Raw_Data!H1896))</f>
        <v>Associate</v>
      </c>
      <c r="I1896" s="13" t="n">
        <f aca="false">IF(Raw_Data!I1896="",DefaultPerf,Raw_Data!I1896)</f>
        <v>1</v>
      </c>
      <c r="J1896" s="13" t="n">
        <f aca="false">IF(Raw_Data!J1896="",DefaultSat,Raw_Data!J1896)</f>
        <v>2</v>
      </c>
      <c r="K1896" s="15" t="n">
        <f aca="false">Raw_Data!K1896</f>
        <v>39500</v>
      </c>
      <c r="L1896" s="13" t="str">
        <f aca="false">PROPER(TRIM(Raw_Data!N1896))</f>
        <v>No</v>
      </c>
      <c r="M1896" s="13" t="n">
        <f aca="false">IF(C1896="",0,1)</f>
        <v>0</v>
      </c>
      <c r="N1896" s="13" t="str">
        <f aca="false">IF(M1896=0,"Active",IF(TRIM(Raw_Data!L1896)="","Unknown",PROPER(TRIM(Raw_Data!L1896))))</f>
        <v>Active</v>
      </c>
      <c r="O1896" s="13" t="str">
        <f aca="false">IF(M1896=0,"",IF(TRIM(Raw_Data!M1896)="","Not Recorded",TRIM(Raw_Data!M1896)))</f>
        <v/>
      </c>
      <c r="P1896" s="16" t="n">
        <f aca="false">ROUND((IF(C1896="",AsOfDate,C1896)-B1896)/365.25,2)</f>
        <v>0.71</v>
      </c>
      <c r="Q1896" s="13" t="str">
        <f aca="false">IF(D1896="","Unknown",IF(D1896&lt;25,"Under 25",IF(D1896&lt;35,"25-34",IF(D1896&lt;45,"35-44",IF(D1896&lt;55,"45-54","55+")))))</f>
        <v>35-44</v>
      </c>
      <c r="R1896" s="13" t="str">
        <f aca="false">IF(P1896&lt;1,"0-1 yrs",IF(P1896&lt;3,"1-3 yrs",IF(P1896&lt;5,"3-5 yrs",IF(P1896&lt;10,"5-10 yrs","10+ yrs"))))</f>
        <v>0-1 yrs</v>
      </c>
      <c r="S1896" s="13" t="str">
        <f aca="false">IF(I1896&gt;=4,"High",IF(I1896=3,"Medium","Low"))</f>
        <v>Low</v>
      </c>
      <c r="T1896" s="13" t="str">
        <f aca="false">IF(M1896=1,YEAR(C1896),"")</f>
        <v/>
      </c>
      <c r="U1896" s="13" t="str">
        <f aca="false">IF(M1896=1,YEAR(C1896)&amp;"-Q"&amp;ROUNDUP(MONTH(C1896)/3,0),"")</f>
        <v/>
      </c>
      <c r="V1896" s="13" t="str">
        <f aca="false">IF(M1896=1,MONTH(C1896),"")</f>
        <v/>
      </c>
    </row>
    <row r="1897" customFormat="false" ht="15" hidden="false" customHeight="false" outlineLevel="0" collapsed="false">
      <c r="A1897" s="13" t="str">
        <f aca="false">TRIM(Raw_Data!A1897)</f>
        <v>EMP1896</v>
      </c>
      <c r="B1897" s="14" t="n">
        <f aca="false">Raw_Data!B1897</f>
        <v>45767</v>
      </c>
      <c r="C1897" s="14" t="str">
        <f aca="false">IF(Raw_Data!C1897="","",Raw_Data!C1897)</f>
        <v/>
      </c>
      <c r="D1897" s="13" t="n">
        <f aca="false">IF(Raw_Data!D1897="","",Raw_Data!D1897)</f>
        <v>33</v>
      </c>
      <c r="E1897" s="13" t="str">
        <f aca="false">IF(UPPER(LEFT(TRIM(Raw_Data!E1897),1))="M","Male",IF(UPPER(LEFT(TRIM(Raw_Data!E1897),1))="F","Female","Unknown"))</f>
        <v>Male</v>
      </c>
      <c r="F1897" s="13" t="str">
        <f aca="false">PROPER(TRIM(SUBSTITUTE(Raw_Data!F1897,"'","")))</f>
        <v>Bachelors</v>
      </c>
      <c r="G1897" s="13" t="str">
        <f aca="false">PROPER(TRIM(Raw_Data!G1897))</f>
        <v>Engineering</v>
      </c>
      <c r="H1897" s="13" t="str">
        <f aca="false">PROPER(TRIM(Raw_Data!H1897))</f>
        <v>Specialist</v>
      </c>
      <c r="I1897" s="13" t="n">
        <f aca="false">IF(Raw_Data!I1897="",DefaultPerf,Raw_Data!I1897)</f>
        <v>2</v>
      </c>
      <c r="J1897" s="13" t="n">
        <f aca="false">IF(Raw_Data!J1897="",DefaultSat,Raw_Data!J1897)</f>
        <v>3</v>
      </c>
      <c r="K1897" s="15" t="n">
        <f aca="false">Raw_Data!K1897</f>
        <v>97000</v>
      </c>
      <c r="L1897" s="13" t="str">
        <f aca="false">PROPER(TRIM(Raw_Data!N1897))</f>
        <v>No</v>
      </c>
      <c r="M1897" s="13" t="n">
        <f aca="false">IF(C1897="",0,1)</f>
        <v>0</v>
      </c>
      <c r="N1897" s="13" t="str">
        <f aca="false">IF(M1897=0,"Active",IF(TRIM(Raw_Data!L1897)="","Unknown",PROPER(TRIM(Raw_Data!L1897))))</f>
        <v>Active</v>
      </c>
      <c r="O1897" s="13" t="str">
        <f aca="false">IF(M1897=0,"",IF(TRIM(Raw_Data!M1897)="","Not Recorded",TRIM(Raw_Data!M1897)))</f>
        <v/>
      </c>
      <c r="P1897" s="16" t="n">
        <f aca="false">ROUND((IF(C1897="",AsOfDate,C1897)-B1897)/365.25,2)</f>
        <v>0.7</v>
      </c>
      <c r="Q1897" s="13" t="str">
        <f aca="false">IF(D1897="","Unknown",IF(D1897&lt;25,"Under 25",IF(D1897&lt;35,"25-34",IF(D1897&lt;45,"35-44",IF(D1897&lt;55,"45-54","55+")))))</f>
        <v>25-34</v>
      </c>
      <c r="R1897" s="13" t="str">
        <f aca="false">IF(P1897&lt;1,"0-1 yrs",IF(P1897&lt;3,"1-3 yrs",IF(P1897&lt;5,"3-5 yrs",IF(P1897&lt;10,"5-10 yrs","10+ yrs"))))</f>
        <v>0-1 yrs</v>
      </c>
      <c r="S1897" s="13" t="str">
        <f aca="false">IF(I1897&gt;=4,"High",IF(I1897=3,"Medium","Low"))</f>
        <v>Low</v>
      </c>
      <c r="T1897" s="13" t="str">
        <f aca="false">IF(M1897=1,YEAR(C1897),"")</f>
        <v/>
      </c>
      <c r="U1897" s="13" t="str">
        <f aca="false">IF(M1897=1,YEAR(C1897)&amp;"-Q"&amp;ROUNDUP(MONTH(C1897)/3,0),"")</f>
        <v/>
      </c>
      <c r="V1897" s="13" t="str">
        <f aca="false">IF(M1897=1,MONTH(C1897),"")</f>
        <v/>
      </c>
    </row>
    <row r="1898" customFormat="false" ht="15" hidden="false" customHeight="false" outlineLevel="0" collapsed="false">
      <c r="A1898" s="13" t="str">
        <f aca="false">TRIM(Raw_Data!A1898)</f>
        <v>EMP1897</v>
      </c>
      <c r="B1898" s="14" t="n">
        <f aca="false">Raw_Data!B1898</f>
        <v>45769</v>
      </c>
      <c r="C1898" s="14" t="str">
        <f aca="false">IF(Raw_Data!C1898="","",Raw_Data!C1898)</f>
        <v/>
      </c>
      <c r="D1898" s="13" t="n">
        <f aca="false">IF(Raw_Data!D1898="","",Raw_Data!D1898)</f>
        <v>38</v>
      </c>
      <c r="E1898" s="13" t="str">
        <f aca="false">IF(UPPER(LEFT(TRIM(Raw_Data!E1898),1))="M","Male",IF(UPPER(LEFT(TRIM(Raw_Data!E1898),1))="F","Female","Unknown"))</f>
        <v>Female</v>
      </c>
      <c r="F1898" s="13" t="str">
        <f aca="false">PROPER(TRIM(SUBSTITUTE(Raw_Data!F1898,"'","")))</f>
        <v>Bachelors</v>
      </c>
      <c r="G1898" s="13" t="str">
        <f aca="false">PROPER(TRIM(Raw_Data!G1898))</f>
        <v>Engineering</v>
      </c>
      <c r="H1898" s="13" t="str">
        <f aca="false">PROPER(TRIM(Raw_Data!H1898))</f>
        <v>Senior Analyst</v>
      </c>
      <c r="I1898" s="13" t="n">
        <f aca="false">IF(Raw_Data!I1898="",DefaultPerf,Raw_Data!I1898)</f>
        <v>3</v>
      </c>
      <c r="J1898" s="13" t="n">
        <f aca="false">IF(Raw_Data!J1898="",DefaultSat,Raw_Data!J1898)</f>
        <v>3</v>
      </c>
      <c r="K1898" s="15" t="n">
        <f aca="false">Raw_Data!K1898</f>
        <v>87500</v>
      </c>
      <c r="L1898" s="13" t="str">
        <f aca="false">PROPER(TRIM(Raw_Data!N1898))</f>
        <v>No</v>
      </c>
      <c r="M1898" s="13" t="n">
        <f aca="false">IF(C1898="",0,1)</f>
        <v>0</v>
      </c>
      <c r="N1898" s="13" t="str">
        <f aca="false">IF(M1898=0,"Active",IF(TRIM(Raw_Data!L1898)="","Unknown",PROPER(TRIM(Raw_Data!L1898))))</f>
        <v>Active</v>
      </c>
      <c r="O1898" s="13" t="str">
        <f aca="false">IF(M1898=0,"",IF(TRIM(Raw_Data!M1898)="","Not Recorded",TRIM(Raw_Data!M1898)))</f>
        <v/>
      </c>
      <c r="P1898" s="16" t="n">
        <f aca="false">ROUND((IF(C1898="",AsOfDate,C1898)-B1898)/365.25,2)</f>
        <v>0.69</v>
      </c>
      <c r="Q1898" s="13" t="str">
        <f aca="false">IF(D1898="","Unknown",IF(D1898&lt;25,"Under 25",IF(D1898&lt;35,"25-34",IF(D1898&lt;45,"35-44",IF(D1898&lt;55,"45-54","55+")))))</f>
        <v>35-44</v>
      </c>
      <c r="R1898" s="13" t="str">
        <f aca="false">IF(P1898&lt;1,"0-1 yrs",IF(P1898&lt;3,"1-3 yrs",IF(P1898&lt;5,"3-5 yrs",IF(P1898&lt;10,"5-10 yrs","10+ yrs"))))</f>
        <v>0-1 yrs</v>
      </c>
      <c r="S1898" s="13" t="str">
        <f aca="false">IF(I1898&gt;=4,"High",IF(I1898=3,"Medium","Low"))</f>
        <v>Medium</v>
      </c>
      <c r="T1898" s="13" t="str">
        <f aca="false">IF(M1898=1,YEAR(C1898),"")</f>
        <v/>
      </c>
      <c r="U1898" s="13" t="str">
        <f aca="false">IF(M1898=1,YEAR(C1898)&amp;"-Q"&amp;ROUNDUP(MONTH(C1898)/3,0),"")</f>
        <v/>
      </c>
      <c r="V1898" s="13" t="str">
        <f aca="false">IF(M1898=1,MONTH(C1898),"")</f>
        <v/>
      </c>
    </row>
    <row r="1899" customFormat="false" ht="15" hidden="false" customHeight="false" outlineLevel="0" collapsed="false">
      <c r="A1899" s="13" t="str">
        <f aca="false">TRIM(Raw_Data!A1899)</f>
        <v>EMP1898</v>
      </c>
      <c r="B1899" s="14" t="n">
        <f aca="false">Raw_Data!B1899</f>
        <v>45769</v>
      </c>
      <c r="C1899" s="14" t="str">
        <f aca="false">IF(Raw_Data!C1899="","",Raw_Data!C1899)</f>
        <v/>
      </c>
      <c r="D1899" s="13" t="n">
        <f aca="false">IF(Raw_Data!D1899="","",Raw_Data!D1899)</f>
        <v>26</v>
      </c>
      <c r="E1899" s="13" t="str">
        <f aca="false">IF(UPPER(LEFT(TRIM(Raw_Data!E1899),1))="M","Male",IF(UPPER(LEFT(TRIM(Raw_Data!E1899),1))="F","Female","Unknown"))</f>
        <v>Male</v>
      </c>
      <c r="F1899" s="13" t="str">
        <f aca="false">PROPER(TRIM(SUBSTITUTE(Raw_Data!F1899,"'","")))</f>
        <v>Masters</v>
      </c>
      <c r="G1899" s="13" t="str">
        <f aca="false">PROPER(TRIM(Raw_Data!G1899))</f>
        <v>Finance</v>
      </c>
      <c r="H1899" s="13" t="str">
        <f aca="false">PROPER(TRIM(Raw_Data!H1899))</f>
        <v>Associate</v>
      </c>
      <c r="I1899" s="13" t="n">
        <f aca="false">IF(Raw_Data!I1899="",DefaultPerf,Raw_Data!I1899)</f>
        <v>3</v>
      </c>
      <c r="J1899" s="13" t="n">
        <f aca="false">IF(Raw_Data!J1899="",DefaultSat,Raw_Data!J1899)</f>
        <v>3</v>
      </c>
      <c r="K1899" s="15" t="n">
        <f aca="false">Raw_Data!K1899</f>
        <v>29500</v>
      </c>
      <c r="L1899" s="13" t="str">
        <f aca="false">PROPER(TRIM(Raw_Data!N1899))</f>
        <v>No</v>
      </c>
      <c r="M1899" s="13" t="n">
        <f aca="false">IF(C1899="",0,1)</f>
        <v>0</v>
      </c>
      <c r="N1899" s="13" t="str">
        <f aca="false">IF(M1899=0,"Active",IF(TRIM(Raw_Data!L1899)="","Unknown",PROPER(TRIM(Raw_Data!L1899))))</f>
        <v>Active</v>
      </c>
      <c r="O1899" s="13" t="str">
        <f aca="false">IF(M1899=0,"",IF(TRIM(Raw_Data!M1899)="","Not Recorded",TRIM(Raw_Data!M1899)))</f>
        <v/>
      </c>
      <c r="P1899" s="16" t="n">
        <f aca="false">ROUND((IF(C1899="",AsOfDate,C1899)-B1899)/365.25,2)</f>
        <v>0.69</v>
      </c>
      <c r="Q1899" s="13" t="str">
        <f aca="false">IF(D1899="","Unknown",IF(D1899&lt;25,"Under 25",IF(D1899&lt;35,"25-34",IF(D1899&lt;45,"35-44",IF(D1899&lt;55,"45-54","55+")))))</f>
        <v>25-34</v>
      </c>
      <c r="R1899" s="13" t="str">
        <f aca="false">IF(P1899&lt;1,"0-1 yrs",IF(P1899&lt;3,"1-3 yrs",IF(P1899&lt;5,"3-5 yrs",IF(P1899&lt;10,"5-10 yrs","10+ yrs"))))</f>
        <v>0-1 yrs</v>
      </c>
      <c r="S1899" s="13" t="str">
        <f aca="false">IF(I1899&gt;=4,"High",IF(I1899=3,"Medium","Low"))</f>
        <v>Medium</v>
      </c>
      <c r="T1899" s="13" t="str">
        <f aca="false">IF(M1899=1,YEAR(C1899),"")</f>
        <v/>
      </c>
      <c r="U1899" s="13" t="str">
        <f aca="false">IF(M1899=1,YEAR(C1899)&amp;"-Q"&amp;ROUNDUP(MONTH(C1899)/3,0),"")</f>
        <v/>
      </c>
      <c r="V1899" s="13" t="str">
        <f aca="false">IF(M1899=1,MONTH(C1899),"")</f>
        <v/>
      </c>
    </row>
    <row r="1900" customFormat="false" ht="15" hidden="false" customHeight="false" outlineLevel="0" collapsed="false">
      <c r="A1900" s="13" t="str">
        <f aca="false">TRIM(Raw_Data!A1900)</f>
        <v>EMP1899</v>
      </c>
      <c r="B1900" s="14" t="n">
        <f aca="false">Raw_Data!B1900</f>
        <v>45769</v>
      </c>
      <c r="C1900" s="14" t="str">
        <f aca="false">IF(Raw_Data!C1900="","",Raw_Data!C1900)</f>
        <v/>
      </c>
      <c r="D1900" s="13" t="n">
        <f aca="false">IF(Raw_Data!D1900="","",Raw_Data!D1900)</f>
        <v>31</v>
      </c>
      <c r="E1900" s="13" t="str">
        <f aca="false">IF(UPPER(LEFT(TRIM(Raw_Data!E1900),1))="M","Male",IF(UPPER(LEFT(TRIM(Raw_Data!E1900),1))="F","Female","Unknown"))</f>
        <v>Male</v>
      </c>
      <c r="F1900" s="13" t="str">
        <f aca="false">PROPER(TRIM(SUBSTITUTE(Raw_Data!F1900,"'","")))</f>
        <v>Bachelors</v>
      </c>
      <c r="G1900" s="13" t="str">
        <f aca="false">PROPER(TRIM(Raw_Data!G1900))</f>
        <v>Engineering</v>
      </c>
      <c r="H1900" s="13" t="str">
        <f aca="false">PROPER(TRIM(Raw_Data!H1900))</f>
        <v>Senior Analyst</v>
      </c>
      <c r="I1900" s="13" t="n">
        <f aca="false">IF(Raw_Data!I1900="",DefaultPerf,Raw_Data!I1900)</f>
        <v>3</v>
      </c>
      <c r="J1900" s="13" t="n">
        <f aca="false">IF(Raw_Data!J1900="",DefaultSat,Raw_Data!J1900)</f>
        <v>1</v>
      </c>
      <c r="K1900" s="15" t="n">
        <f aca="false">Raw_Data!K1900</f>
        <v>84000</v>
      </c>
      <c r="L1900" s="13" t="str">
        <f aca="false">PROPER(TRIM(Raw_Data!N1900))</f>
        <v>No</v>
      </c>
      <c r="M1900" s="13" t="n">
        <f aca="false">IF(C1900="",0,1)</f>
        <v>0</v>
      </c>
      <c r="N1900" s="13" t="str">
        <f aca="false">IF(M1900=0,"Active",IF(TRIM(Raw_Data!L1900)="","Unknown",PROPER(TRIM(Raw_Data!L1900))))</f>
        <v>Active</v>
      </c>
      <c r="O1900" s="13" t="str">
        <f aca="false">IF(M1900=0,"",IF(TRIM(Raw_Data!M1900)="","Not Recorded",TRIM(Raw_Data!M1900)))</f>
        <v/>
      </c>
      <c r="P1900" s="16" t="n">
        <f aca="false">ROUND((IF(C1900="",AsOfDate,C1900)-B1900)/365.25,2)</f>
        <v>0.69</v>
      </c>
      <c r="Q1900" s="13" t="str">
        <f aca="false">IF(D1900="","Unknown",IF(D1900&lt;25,"Under 25",IF(D1900&lt;35,"25-34",IF(D1900&lt;45,"35-44",IF(D1900&lt;55,"45-54","55+")))))</f>
        <v>25-34</v>
      </c>
      <c r="R1900" s="13" t="str">
        <f aca="false">IF(P1900&lt;1,"0-1 yrs",IF(P1900&lt;3,"1-3 yrs",IF(P1900&lt;5,"3-5 yrs",IF(P1900&lt;10,"5-10 yrs","10+ yrs"))))</f>
        <v>0-1 yrs</v>
      </c>
      <c r="S1900" s="13" t="str">
        <f aca="false">IF(I1900&gt;=4,"High",IF(I1900=3,"Medium","Low"))</f>
        <v>Medium</v>
      </c>
      <c r="T1900" s="13" t="str">
        <f aca="false">IF(M1900=1,YEAR(C1900),"")</f>
        <v/>
      </c>
      <c r="U1900" s="13" t="str">
        <f aca="false">IF(M1900=1,YEAR(C1900)&amp;"-Q"&amp;ROUNDUP(MONTH(C1900)/3,0),"")</f>
        <v/>
      </c>
      <c r="V1900" s="13" t="str">
        <f aca="false">IF(M1900=1,MONTH(C1900),"")</f>
        <v/>
      </c>
    </row>
    <row r="1901" customFormat="false" ht="15" hidden="false" customHeight="false" outlineLevel="0" collapsed="false">
      <c r="A1901" s="13" t="str">
        <f aca="false">TRIM(Raw_Data!A1901)</f>
        <v>EMP1900</v>
      </c>
      <c r="B1901" s="14" t="n">
        <f aca="false">Raw_Data!B1901</f>
        <v>45774</v>
      </c>
      <c r="C1901" s="14" t="str">
        <f aca="false">IF(Raw_Data!C1901="","",Raw_Data!C1901)</f>
        <v/>
      </c>
      <c r="D1901" s="13" t="n">
        <f aca="false">IF(Raw_Data!D1901="","",Raw_Data!D1901)</f>
        <v>33</v>
      </c>
      <c r="E1901" s="13" t="str">
        <f aca="false">IF(UPPER(LEFT(TRIM(Raw_Data!E1901),1))="M","Male",IF(UPPER(LEFT(TRIM(Raw_Data!E1901),1))="F","Female","Unknown"))</f>
        <v>Female</v>
      </c>
      <c r="F1901" s="13" t="str">
        <f aca="false">PROPER(TRIM(SUBSTITUTE(Raw_Data!F1901,"'","")))</f>
        <v>Bachelors</v>
      </c>
      <c r="G1901" s="13" t="str">
        <f aca="false">PROPER(TRIM(Raw_Data!G1901))</f>
        <v>Finance</v>
      </c>
      <c r="H1901" s="13" t="str">
        <f aca="false">PROPER(TRIM(Raw_Data!H1901))</f>
        <v>Senior Analyst</v>
      </c>
      <c r="I1901" s="13" t="n">
        <f aca="false">IF(Raw_Data!I1901="",DefaultPerf,Raw_Data!I1901)</f>
        <v>3</v>
      </c>
      <c r="J1901" s="13" t="n">
        <f aca="false">IF(Raw_Data!J1901="",DefaultSat,Raw_Data!J1901)</f>
        <v>3</v>
      </c>
      <c r="K1901" s="15" t="n">
        <f aca="false">Raw_Data!K1901</f>
        <v>83500</v>
      </c>
      <c r="L1901" s="13" t="str">
        <f aca="false">PROPER(TRIM(Raw_Data!N1901))</f>
        <v>No</v>
      </c>
      <c r="M1901" s="13" t="n">
        <f aca="false">IF(C1901="",0,1)</f>
        <v>0</v>
      </c>
      <c r="N1901" s="13" t="str">
        <f aca="false">IF(M1901=0,"Active",IF(TRIM(Raw_Data!L1901)="","Unknown",PROPER(TRIM(Raw_Data!L1901))))</f>
        <v>Active</v>
      </c>
      <c r="O1901" s="13" t="str">
        <f aca="false">IF(M1901=0,"",IF(TRIM(Raw_Data!M1901)="","Not Recorded",TRIM(Raw_Data!M1901)))</f>
        <v/>
      </c>
      <c r="P1901" s="16" t="n">
        <f aca="false">ROUND((IF(C1901="",AsOfDate,C1901)-B1901)/365.25,2)</f>
        <v>0.68</v>
      </c>
      <c r="Q1901" s="13" t="str">
        <f aca="false">IF(D1901="","Unknown",IF(D1901&lt;25,"Under 25",IF(D1901&lt;35,"25-34",IF(D1901&lt;45,"35-44",IF(D1901&lt;55,"45-54","55+")))))</f>
        <v>25-34</v>
      </c>
      <c r="R1901" s="13" t="str">
        <f aca="false">IF(P1901&lt;1,"0-1 yrs",IF(P1901&lt;3,"1-3 yrs",IF(P1901&lt;5,"3-5 yrs",IF(P1901&lt;10,"5-10 yrs","10+ yrs"))))</f>
        <v>0-1 yrs</v>
      </c>
      <c r="S1901" s="13" t="str">
        <f aca="false">IF(I1901&gt;=4,"High",IF(I1901=3,"Medium","Low"))</f>
        <v>Medium</v>
      </c>
      <c r="T1901" s="13" t="str">
        <f aca="false">IF(M1901=1,YEAR(C1901),"")</f>
        <v/>
      </c>
      <c r="U1901" s="13" t="str">
        <f aca="false">IF(M1901=1,YEAR(C1901)&amp;"-Q"&amp;ROUNDUP(MONTH(C1901)/3,0),"")</f>
        <v/>
      </c>
      <c r="V1901" s="13" t="str">
        <f aca="false">IF(M1901=1,MONTH(C1901),"")</f>
        <v/>
      </c>
    </row>
    <row r="1902" customFormat="false" ht="15" hidden="false" customHeight="false" outlineLevel="0" collapsed="false">
      <c r="A1902" s="13" t="str">
        <f aca="false">TRIM(Raw_Data!A1902)</f>
        <v>EMP1901</v>
      </c>
      <c r="B1902" s="14" t="n">
        <f aca="false">Raw_Data!B1902</f>
        <v>45775</v>
      </c>
      <c r="C1902" s="14" t="n">
        <f aca="false">IF(Raw_Data!C1902="","",Raw_Data!C1902)</f>
        <v>45785</v>
      </c>
      <c r="D1902" s="13" t="n">
        <f aca="false">IF(Raw_Data!D1902="","",Raw_Data!D1902)</f>
        <v>30</v>
      </c>
      <c r="E1902" s="13" t="str">
        <f aca="false">IF(UPPER(LEFT(TRIM(Raw_Data!E1902),1))="M","Male",IF(UPPER(LEFT(TRIM(Raw_Data!E1902),1))="F","Female","Unknown"))</f>
        <v>Male</v>
      </c>
      <c r="F1902" s="13" t="str">
        <f aca="false">PROPER(TRIM(SUBSTITUTE(Raw_Data!F1902,"'","")))</f>
        <v>Masters</v>
      </c>
      <c r="G1902" s="13" t="str">
        <f aca="false">PROPER(TRIM(Raw_Data!G1902))</f>
        <v>Operations</v>
      </c>
      <c r="H1902" s="13" t="str">
        <f aca="false">PROPER(TRIM(Raw_Data!H1902))</f>
        <v>Senior Analyst</v>
      </c>
      <c r="I1902" s="13" t="n">
        <f aca="false">IF(Raw_Data!I1902="",DefaultPerf,Raw_Data!I1902)</f>
        <v>3</v>
      </c>
      <c r="J1902" s="13" t="n">
        <f aca="false">IF(Raw_Data!J1902="",DefaultSat,Raw_Data!J1902)</f>
        <v>1</v>
      </c>
      <c r="K1902" s="15" t="n">
        <f aca="false">Raw_Data!K1902</f>
        <v>75000</v>
      </c>
      <c r="L1902" s="13" t="str">
        <f aca="false">PROPER(TRIM(Raw_Data!N1902))</f>
        <v>No</v>
      </c>
      <c r="M1902" s="13" t="n">
        <f aca="false">IF(C1902="",0,1)</f>
        <v>1</v>
      </c>
      <c r="N1902" s="13" t="str">
        <f aca="false">IF(M1902=0,"Active",IF(TRIM(Raw_Data!L1902)="","Unknown",PROPER(TRIM(Raw_Data!L1902))))</f>
        <v>Voluntary</v>
      </c>
      <c r="O1902" s="13" t="str">
        <f aca="false">IF(M1902=0,"",IF(TRIM(Raw_Data!M1902)="","Not Recorded",TRIM(Raw_Data!M1902)))</f>
        <v>Better Compensation</v>
      </c>
      <c r="P1902" s="16" t="n">
        <f aca="false">ROUND((IF(C1902="",AsOfDate,C1902)-B1902)/365.25,2)</f>
        <v>0.03</v>
      </c>
      <c r="Q1902" s="13" t="str">
        <f aca="false">IF(D1902="","Unknown",IF(D1902&lt;25,"Under 25",IF(D1902&lt;35,"25-34",IF(D1902&lt;45,"35-44",IF(D1902&lt;55,"45-54","55+")))))</f>
        <v>25-34</v>
      </c>
      <c r="R1902" s="13" t="str">
        <f aca="false">IF(P1902&lt;1,"0-1 yrs",IF(P1902&lt;3,"1-3 yrs",IF(P1902&lt;5,"3-5 yrs",IF(P1902&lt;10,"5-10 yrs","10+ yrs"))))</f>
        <v>0-1 yrs</v>
      </c>
      <c r="S1902" s="13" t="str">
        <f aca="false">IF(I1902&gt;=4,"High",IF(I1902=3,"Medium","Low"))</f>
        <v>Medium</v>
      </c>
      <c r="T1902" s="13" t="n">
        <f aca="false">IF(M1902=1,YEAR(C1902),"")</f>
        <v>2025</v>
      </c>
      <c r="U1902" s="13" t="str">
        <f aca="false">IF(M1902=1,YEAR(C1902)&amp;"-Q"&amp;ROUNDUP(MONTH(C1902)/3,0),"")</f>
        <v>2025-Q2</v>
      </c>
      <c r="V1902" s="13" t="n">
        <f aca="false">IF(M1902=1,MONTH(C1902),"")</f>
        <v>5</v>
      </c>
    </row>
    <row r="1903" customFormat="false" ht="15" hidden="false" customHeight="false" outlineLevel="0" collapsed="false">
      <c r="A1903" s="13" t="str">
        <f aca="false">TRIM(Raw_Data!A1903)</f>
        <v>EMP1902</v>
      </c>
      <c r="B1903" s="14" t="n">
        <f aca="false">Raw_Data!B1903</f>
        <v>45779</v>
      </c>
      <c r="C1903" s="14" t="str">
        <f aca="false">IF(Raw_Data!C1903="","",Raw_Data!C1903)</f>
        <v/>
      </c>
      <c r="D1903" s="13" t="n">
        <f aca="false">IF(Raw_Data!D1903="","",Raw_Data!D1903)</f>
        <v>33</v>
      </c>
      <c r="E1903" s="13" t="str">
        <f aca="false">IF(UPPER(LEFT(TRIM(Raw_Data!E1903),1))="M","Male",IF(UPPER(LEFT(TRIM(Raw_Data!E1903),1))="F","Female","Unknown"))</f>
        <v>Male</v>
      </c>
      <c r="F1903" s="13" t="str">
        <f aca="false">PROPER(TRIM(SUBSTITUTE(Raw_Data!F1903,"'","")))</f>
        <v>High School</v>
      </c>
      <c r="G1903" s="13" t="str">
        <f aca="false">PROPER(TRIM(Raw_Data!G1903))</f>
        <v>Engineering</v>
      </c>
      <c r="H1903" s="13" t="str">
        <f aca="false">PROPER(TRIM(Raw_Data!H1903))</f>
        <v>Specialist</v>
      </c>
      <c r="I1903" s="13" t="n">
        <f aca="false">IF(Raw_Data!I1903="",DefaultPerf,Raw_Data!I1903)</f>
        <v>3</v>
      </c>
      <c r="J1903" s="13" t="n">
        <f aca="false">IF(Raw_Data!J1903="",DefaultSat,Raw_Data!J1903)</f>
        <v>4</v>
      </c>
      <c r="K1903" s="15" t="n">
        <f aca="false">Raw_Data!K1903</f>
        <v>105000</v>
      </c>
      <c r="L1903" s="13" t="str">
        <f aca="false">PROPER(TRIM(Raw_Data!N1903))</f>
        <v>No</v>
      </c>
      <c r="M1903" s="13" t="n">
        <f aca="false">IF(C1903="",0,1)</f>
        <v>0</v>
      </c>
      <c r="N1903" s="13" t="str">
        <f aca="false">IF(M1903=0,"Active",IF(TRIM(Raw_Data!L1903)="","Unknown",PROPER(TRIM(Raw_Data!L1903))))</f>
        <v>Active</v>
      </c>
      <c r="O1903" s="13" t="str">
        <f aca="false">IF(M1903=0,"",IF(TRIM(Raw_Data!M1903)="","Not Recorded",TRIM(Raw_Data!M1903)))</f>
        <v/>
      </c>
      <c r="P1903" s="16" t="n">
        <f aca="false">ROUND((IF(C1903="",AsOfDate,C1903)-B1903)/365.25,2)</f>
        <v>0.67</v>
      </c>
      <c r="Q1903" s="13" t="str">
        <f aca="false">IF(D1903="","Unknown",IF(D1903&lt;25,"Under 25",IF(D1903&lt;35,"25-34",IF(D1903&lt;45,"35-44",IF(D1903&lt;55,"45-54","55+")))))</f>
        <v>25-34</v>
      </c>
      <c r="R1903" s="13" t="str">
        <f aca="false">IF(P1903&lt;1,"0-1 yrs",IF(P1903&lt;3,"1-3 yrs",IF(P1903&lt;5,"3-5 yrs",IF(P1903&lt;10,"5-10 yrs","10+ yrs"))))</f>
        <v>0-1 yrs</v>
      </c>
      <c r="S1903" s="13" t="str">
        <f aca="false">IF(I1903&gt;=4,"High",IF(I1903=3,"Medium","Low"))</f>
        <v>Medium</v>
      </c>
      <c r="T1903" s="13" t="str">
        <f aca="false">IF(M1903=1,YEAR(C1903),"")</f>
        <v/>
      </c>
      <c r="U1903" s="13" t="str">
        <f aca="false">IF(M1903=1,YEAR(C1903)&amp;"-Q"&amp;ROUNDUP(MONTH(C1903)/3,0),"")</f>
        <v/>
      </c>
      <c r="V1903" s="13" t="str">
        <f aca="false">IF(M1903=1,MONTH(C1903),"")</f>
        <v/>
      </c>
    </row>
    <row r="1904" customFormat="false" ht="15" hidden="false" customHeight="false" outlineLevel="0" collapsed="false">
      <c r="A1904" s="13" t="str">
        <f aca="false">TRIM(Raw_Data!A1904)</f>
        <v>EMP1903</v>
      </c>
      <c r="B1904" s="14" t="n">
        <f aca="false">Raw_Data!B1904</f>
        <v>45783</v>
      </c>
      <c r="C1904" s="14" t="n">
        <f aca="false">IF(Raw_Data!C1904="","",Raw_Data!C1904)</f>
        <v>45976</v>
      </c>
      <c r="D1904" s="13" t="n">
        <f aca="false">IF(Raw_Data!D1904="","",Raw_Data!D1904)</f>
        <v>24</v>
      </c>
      <c r="E1904" s="13" t="str">
        <f aca="false">IF(UPPER(LEFT(TRIM(Raw_Data!E1904),1))="M","Male",IF(UPPER(LEFT(TRIM(Raw_Data!E1904),1))="F","Female","Unknown"))</f>
        <v>Male</v>
      </c>
      <c r="F1904" s="13" t="str">
        <f aca="false">PROPER(TRIM(SUBSTITUTE(Raw_Data!F1904,"'","")))</f>
        <v>High School</v>
      </c>
      <c r="G1904" s="13" t="str">
        <f aca="false">PROPER(TRIM(Raw_Data!G1904))</f>
        <v>Human Resources</v>
      </c>
      <c r="H1904" s="13" t="str">
        <f aca="false">PROPER(TRIM(Raw_Data!H1904))</f>
        <v>Associate</v>
      </c>
      <c r="I1904" s="13" t="n">
        <f aca="false">IF(Raw_Data!I1904="",DefaultPerf,Raw_Data!I1904)</f>
        <v>3</v>
      </c>
      <c r="J1904" s="13" t="n">
        <f aca="false">IF(Raw_Data!J1904="",DefaultSat,Raw_Data!J1904)</f>
        <v>4</v>
      </c>
      <c r="K1904" s="15" t="n">
        <f aca="false">Raw_Data!K1904</f>
        <v>34500</v>
      </c>
      <c r="L1904" s="13" t="str">
        <f aca="false">PROPER(TRIM(Raw_Data!N1904))</f>
        <v>No</v>
      </c>
      <c r="M1904" s="13" t="n">
        <f aca="false">IF(C1904="",0,1)</f>
        <v>1</v>
      </c>
      <c r="N1904" s="13" t="str">
        <f aca="false">IF(M1904=0,"Active",IF(TRIM(Raw_Data!L1904)="","Unknown",PROPER(TRIM(Raw_Data!L1904))))</f>
        <v>Voluntary</v>
      </c>
      <c r="O1904" s="13" t="str">
        <f aca="false">IF(M1904=0,"",IF(TRIM(Raw_Data!M1904)="","Not Recorded",TRIM(Raw_Data!M1904)))</f>
        <v>Further Studies</v>
      </c>
      <c r="P1904" s="16" t="n">
        <f aca="false">ROUND((IF(C1904="",AsOfDate,C1904)-B1904)/365.25,2)</f>
        <v>0.53</v>
      </c>
      <c r="Q1904" s="13" t="str">
        <f aca="false">IF(D1904="","Unknown",IF(D1904&lt;25,"Under 25",IF(D1904&lt;35,"25-34",IF(D1904&lt;45,"35-44",IF(D1904&lt;55,"45-54","55+")))))</f>
        <v>Under 25</v>
      </c>
      <c r="R1904" s="13" t="str">
        <f aca="false">IF(P1904&lt;1,"0-1 yrs",IF(P1904&lt;3,"1-3 yrs",IF(P1904&lt;5,"3-5 yrs",IF(P1904&lt;10,"5-10 yrs","10+ yrs"))))</f>
        <v>0-1 yrs</v>
      </c>
      <c r="S1904" s="13" t="str">
        <f aca="false">IF(I1904&gt;=4,"High",IF(I1904=3,"Medium","Low"))</f>
        <v>Medium</v>
      </c>
      <c r="T1904" s="13" t="n">
        <f aca="false">IF(M1904=1,YEAR(C1904),"")</f>
        <v>2025</v>
      </c>
      <c r="U1904" s="13" t="str">
        <f aca="false">IF(M1904=1,YEAR(C1904)&amp;"-Q"&amp;ROUNDUP(MONTH(C1904)/3,0),"")</f>
        <v>2025-Q4</v>
      </c>
      <c r="V1904" s="13" t="n">
        <f aca="false">IF(M1904=1,MONTH(C1904),"")</f>
        <v>11</v>
      </c>
    </row>
    <row r="1905" customFormat="false" ht="15" hidden="false" customHeight="false" outlineLevel="0" collapsed="false">
      <c r="A1905" s="13" t="str">
        <f aca="false">TRIM(Raw_Data!A1905)</f>
        <v>EMP1904</v>
      </c>
      <c r="B1905" s="14" t="n">
        <f aca="false">Raw_Data!B1905</f>
        <v>45787</v>
      </c>
      <c r="C1905" s="14" t="str">
        <f aca="false">IF(Raw_Data!C1905="","",Raw_Data!C1905)</f>
        <v/>
      </c>
      <c r="D1905" s="13" t="n">
        <f aca="false">IF(Raw_Data!D1905="","",Raw_Data!D1905)</f>
        <v>22</v>
      </c>
      <c r="E1905" s="13" t="str">
        <f aca="false">IF(UPPER(LEFT(TRIM(Raw_Data!E1905),1))="M","Male",IF(UPPER(LEFT(TRIM(Raw_Data!E1905),1))="F","Female","Unknown"))</f>
        <v>Male</v>
      </c>
      <c r="F1905" s="13" t="str">
        <f aca="false">PROPER(TRIM(SUBSTITUTE(Raw_Data!F1905,"'","")))</f>
        <v>Bachelors</v>
      </c>
      <c r="G1905" s="13" t="str">
        <f aca="false">PROPER(TRIM(Raw_Data!G1905))</f>
        <v>Sales</v>
      </c>
      <c r="H1905" s="13" t="str">
        <f aca="false">PROPER(TRIM(Raw_Data!H1905))</f>
        <v>Manager</v>
      </c>
      <c r="I1905" s="13" t="n">
        <f aca="false">IF(Raw_Data!I1905="",DefaultPerf,Raw_Data!I1905)</f>
        <v>3</v>
      </c>
      <c r="J1905" s="13" t="n">
        <f aca="false">IF(Raw_Data!J1905="",DefaultSat,Raw_Data!J1905)</f>
        <v>1</v>
      </c>
      <c r="K1905" s="15" t="n">
        <f aca="false">Raw_Data!K1905</f>
        <v>185500</v>
      </c>
      <c r="L1905" s="13" t="str">
        <f aca="false">PROPER(TRIM(Raw_Data!N1905))</f>
        <v>No</v>
      </c>
      <c r="M1905" s="13" t="n">
        <f aca="false">IF(C1905="",0,1)</f>
        <v>0</v>
      </c>
      <c r="N1905" s="13" t="str">
        <f aca="false">IF(M1905=0,"Active",IF(TRIM(Raw_Data!L1905)="","Unknown",PROPER(TRIM(Raw_Data!L1905))))</f>
        <v>Active</v>
      </c>
      <c r="O1905" s="13" t="str">
        <f aca="false">IF(M1905=0,"",IF(TRIM(Raw_Data!M1905)="","Not Recorded",TRIM(Raw_Data!M1905)))</f>
        <v/>
      </c>
      <c r="P1905" s="16" t="n">
        <f aca="false">ROUND((IF(C1905="",AsOfDate,C1905)-B1905)/365.25,2)</f>
        <v>0.64</v>
      </c>
      <c r="Q1905" s="13" t="str">
        <f aca="false">IF(D1905="","Unknown",IF(D1905&lt;25,"Under 25",IF(D1905&lt;35,"25-34",IF(D1905&lt;45,"35-44",IF(D1905&lt;55,"45-54","55+")))))</f>
        <v>Under 25</v>
      </c>
      <c r="R1905" s="13" t="str">
        <f aca="false">IF(P1905&lt;1,"0-1 yrs",IF(P1905&lt;3,"1-3 yrs",IF(P1905&lt;5,"3-5 yrs",IF(P1905&lt;10,"5-10 yrs","10+ yrs"))))</f>
        <v>0-1 yrs</v>
      </c>
      <c r="S1905" s="13" t="str">
        <f aca="false">IF(I1905&gt;=4,"High",IF(I1905=3,"Medium","Low"))</f>
        <v>Medium</v>
      </c>
      <c r="T1905" s="13" t="str">
        <f aca="false">IF(M1905=1,YEAR(C1905),"")</f>
        <v/>
      </c>
      <c r="U1905" s="13" t="str">
        <f aca="false">IF(M1905=1,YEAR(C1905)&amp;"-Q"&amp;ROUNDUP(MONTH(C1905)/3,0),"")</f>
        <v/>
      </c>
      <c r="V1905" s="13" t="str">
        <f aca="false">IF(M1905=1,MONTH(C1905),"")</f>
        <v/>
      </c>
    </row>
    <row r="1906" customFormat="false" ht="15" hidden="false" customHeight="false" outlineLevel="0" collapsed="false">
      <c r="A1906" s="13" t="str">
        <f aca="false">TRIM(Raw_Data!A1906)</f>
        <v>EMP1905</v>
      </c>
      <c r="B1906" s="14" t="n">
        <f aca="false">Raw_Data!B1906</f>
        <v>45799</v>
      </c>
      <c r="C1906" s="14" t="str">
        <f aca="false">IF(Raw_Data!C1906="","",Raw_Data!C1906)</f>
        <v/>
      </c>
      <c r="D1906" s="13" t="n">
        <f aca="false">IF(Raw_Data!D1906="","",Raw_Data!D1906)</f>
        <v>30</v>
      </c>
      <c r="E1906" s="13" t="str">
        <f aca="false">IF(UPPER(LEFT(TRIM(Raw_Data!E1906),1))="M","Male",IF(UPPER(LEFT(TRIM(Raw_Data!E1906),1))="F","Female","Unknown"))</f>
        <v>Male</v>
      </c>
      <c r="F1906" s="13" t="str">
        <f aca="false">PROPER(TRIM(SUBSTITUTE(Raw_Data!F1906,"'","")))</f>
        <v>Bachelors</v>
      </c>
      <c r="G1906" s="13" t="str">
        <f aca="false">PROPER(TRIM(Raw_Data!G1906))</f>
        <v>Engineering</v>
      </c>
      <c r="H1906" s="13" t="str">
        <f aca="false">PROPER(TRIM(Raw_Data!H1906))</f>
        <v>Associate</v>
      </c>
      <c r="I1906" s="13" t="n">
        <f aca="false">IF(Raw_Data!I1906="",DefaultPerf,Raw_Data!I1906)</f>
        <v>3</v>
      </c>
      <c r="J1906" s="13" t="n">
        <f aca="false">IF(Raw_Data!J1906="",DefaultSat,Raw_Data!J1906)</f>
        <v>4</v>
      </c>
      <c r="K1906" s="15" t="n">
        <f aca="false">Raw_Data!K1906</f>
        <v>33500</v>
      </c>
      <c r="L1906" s="13" t="str">
        <f aca="false">PROPER(TRIM(Raw_Data!N1906))</f>
        <v>Yes</v>
      </c>
      <c r="M1906" s="13" t="n">
        <f aca="false">IF(C1906="",0,1)</f>
        <v>0</v>
      </c>
      <c r="N1906" s="13" t="str">
        <f aca="false">IF(M1906=0,"Active",IF(TRIM(Raw_Data!L1906)="","Unknown",PROPER(TRIM(Raw_Data!L1906))))</f>
        <v>Active</v>
      </c>
      <c r="O1906" s="13" t="str">
        <f aca="false">IF(M1906=0,"",IF(TRIM(Raw_Data!M1906)="","Not Recorded",TRIM(Raw_Data!M1906)))</f>
        <v/>
      </c>
      <c r="P1906" s="16" t="n">
        <f aca="false">ROUND((IF(C1906="",AsOfDate,C1906)-B1906)/365.25,2)</f>
        <v>0.61</v>
      </c>
      <c r="Q1906" s="13" t="str">
        <f aca="false">IF(D1906="","Unknown",IF(D1906&lt;25,"Under 25",IF(D1906&lt;35,"25-34",IF(D1906&lt;45,"35-44",IF(D1906&lt;55,"45-54","55+")))))</f>
        <v>25-34</v>
      </c>
      <c r="R1906" s="13" t="str">
        <f aca="false">IF(P1906&lt;1,"0-1 yrs",IF(P1906&lt;3,"1-3 yrs",IF(P1906&lt;5,"3-5 yrs",IF(P1906&lt;10,"5-10 yrs","10+ yrs"))))</f>
        <v>0-1 yrs</v>
      </c>
      <c r="S1906" s="13" t="str">
        <f aca="false">IF(I1906&gt;=4,"High",IF(I1906=3,"Medium","Low"))</f>
        <v>Medium</v>
      </c>
      <c r="T1906" s="13" t="str">
        <f aca="false">IF(M1906=1,YEAR(C1906),"")</f>
        <v/>
      </c>
      <c r="U1906" s="13" t="str">
        <f aca="false">IF(M1906=1,YEAR(C1906)&amp;"-Q"&amp;ROUNDUP(MONTH(C1906)/3,0),"")</f>
        <v/>
      </c>
      <c r="V1906" s="13" t="str">
        <f aca="false">IF(M1906=1,MONTH(C1906),"")</f>
        <v/>
      </c>
    </row>
    <row r="1907" customFormat="false" ht="15" hidden="false" customHeight="false" outlineLevel="0" collapsed="false">
      <c r="A1907" s="13" t="str">
        <f aca="false">TRIM(Raw_Data!A1907)</f>
        <v>EMP1906</v>
      </c>
      <c r="B1907" s="14" t="n">
        <f aca="false">Raw_Data!B1907</f>
        <v>45800</v>
      </c>
      <c r="C1907" s="14" t="str">
        <f aca="false">IF(Raw_Data!C1907="","",Raw_Data!C1907)</f>
        <v/>
      </c>
      <c r="D1907" s="13" t="n">
        <f aca="false">IF(Raw_Data!D1907="","",Raw_Data!D1907)</f>
        <v>27</v>
      </c>
      <c r="E1907" s="13" t="str">
        <f aca="false">IF(UPPER(LEFT(TRIM(Raw_Data!E1907),1))="M","Male",IF(UPPER(LEFT(TRIM(Raw_Data!E1907),1))="F","Female","Unknown"))</f>
        <v>Male</v>
      </c>
      <c r="F1907" s="13" t="str">
        <f aca="false">PROPER(TRIM(SUBSTITUTE(Raw_Data!F1907,"'","")))</f>
        <v>Bachelors</v>
      </c>
      <c r="G1907" s="13" t="str">
        <f aca="false">PROPER(TRIM(Raw_Data!G1907))</f>
        <v>Sales</v>
      </c>
      <c r="H1907" s="13" t="str">
        <f aca="false">PROPER(TRIM(Raw_Data!H1907))</f>
        <v>Associate</v>
      </c>
      <c r="I1907" s="13" t="n">
        <f aca="false">IF(Raw_Data!I1907="",DefaultPerf,Raw_Data!I1907)</f>
        <v>4</v>
      </c>
      <c r="J1907" s="13" t="n">
        <f aca="false">IF(Raw_Data!J1907="",DefaultSat,Raw_Data!J1907)</f>
        <v>2</v>
      </c>
      <c r="K1907" s="15" t="n">
        <f aca="false">Raw_Data!K1907</f>
        <v>30000</v>
      </c>
      <c r="L1907" s="13" t="str">
        <f aca="false">PROPER(TRIM(Raw_Data!N1907))</f>
        <v>No</v>
      </c>
      <c r="M1907" s="13" t="n">
        <f aca="false">IF(C1907="",0,1)</f>
        <v>0</v>
      </c>
      <c r="N1907" s="13" t="str">
        <f aca="false">IF(M1907=0,"Active",IF(TRIM(Raw_Data!L1907)="","Unknown",PROPER(TRIM(Raw_Data!L1907))))</f>
        <v>Active</v>
      </c>
      <c r="O1907" s="13" t="str">
        <f aca="false">IF(M1907=0,"",IF(TRIM(Raw_Data!M1907)="","Not Recorded",TRIM(Raw_Data!M1907)))</f>
        <v/>
      </c>
      <c r="P1907" s="16" t="n">
        <f aca="false">ROUND((IF(C1907="",AsOfDate,C1907)-B1907)/365.25,2)</f>
        <v>0.61</v>
      </c>
      <c r="Q1907" s="13" t="str">
        <f aca="false">IF(D1907="","Unknown",IF(D1907&lt;25,"Under 25",IF(D1907&lt;35,"25-34",IF(D1907&lt;45,"35-44",IF(D1907&lt;55,"45-54","55+")))))</f>
        <v>25-34</v>
      </c>
      <c r="R1907" s="13" t="str">
        <f aca="false">IF(P1907&lt;1,"0-1 yrs",IF(P1907&lt;3,"1-3 yrs",IF(P1907&lt;5,"3-5 yrs",IF(P1907&lt;10,"5-10 yrs","10+ yrs"))))</f>
        <v>0-1 yrs</v>
      </c>
      <c r="S1907" s="13" t="str">
        <f aca="false">IF(I1907&gt;=4,"High",IF(I1907=3,"Medium","Low"))</f>
        <v>High</v>
      </c>
      <c r="T1907" s="13" t="str">
        <f aca="false">IF(M1907=1,YEAR(C1907),"")</f>
        <v/>
      </c>
      <c r="U1907" s="13" t="str">
        <f aca="false">IF(M1907=1,YEAR(C1907)&amp;"-Q"&amp;ROUNDUP(MONTH(C1907)/3,0),"")</f>
        <v/>
      </c>
      <c r="V1907" s="13" t="str">
        <f aca="false">IF(M1907=1,MONTH(C1907),"")</f>
        <v/>
      </c>
    </row>
    <row r="1908" customFormat="false" ht="15" hidden="false" customHeight="false" outlineLevel="0" collapsed="false">
      <c r="A1908" s="13" t="str">
        <f aca="false">TRIM(Raw_Data!A1908)</f>
        <v>EMP1907</v>
      </c>
      <c r="B1908" s="14" t="n">
        <f aca="false">Raw_Data!B1908</f>
        <v>45802</v>
      </c>
      <c r="C1908" s="14" t="n">
        <f aca="false">IF(Raw_Data!C1908="","",Raw_Data!C1908)</f>
        <v>45920</v>
      </c>
      <c r="D1908" s="13" t="n">
        <f aca="false">IF(Raw_Data!D1908="","",Raw_Data!D1908)</f>
        <v>36</v>
      </c>
      <c r="E1908" s="13" t="str">
        <f aca="false">IF(UPPER(LEFT(TRIM(Raw_Data!E1908),1))="M","Male",IF(UPPER(LEFT(TRIM(Raw_Data!E1908),1))="F","Female","Unknown"))</f>
        <v>Male</v>
      </c>
      <c r="F1908" s="13" t="str">
        <f aca="false">PROPER(TRIM(SUBSTITUTE(Raw_Data!F1908,"'","")))</f>
        <v>Bachelors</v>
      </c>
      <c r="G1908" s="13" t="str">
        <f aca="false">PROPER(TRIM(Raw_Data!G1908))</f>
        <v>Engineering</v>
      </c>
      <c r="H1908" s="13" t="str">
        <f aca="false">PROPER(TRIM(Raw_Data!H1908))</f>
        <v>Senior Analyst</v>
      </c>
      <c r="I1908" s="13" t="n">
        <f aca="false">IF(Raw_Data!I1908="",DefaultPerf,Raw_Data!I1908)</f>
        <v>2</v>
      </c>
      <c r="J1908" s="13" t="n">
        <f aca="false">IF(Raw_Data!J1908="",DefaultSat,Raw_Data!J1908)</f>
        <v>4</v>
      </c>
      <c r="K1908" s="15" t="n">
        <f aca="false">Raw_Data!K1908</f>
        <v>87000</v>
      </c>
      <c r="L1908" s="13" t="str">
        <f aca="false">PROPER(TRIM(Raw_Data!N1908))</f>
        <v>Yes</v>
      </c>
      <c r="M1908" s="13" t="n">
        <f aca="false">IF(C1908="",0,1)</f>
        <v>1</v>
      </c>
      <c r="N1908" s="13" t="str">
        <f aca="false">IF(M1908=0,"Active",IF(TRIM(Raw_Data!L1908)="","Unknown",PROPER(TRIM(Raw_Data!L1908))))</f>
        <v>Voluntary</v>
      </c>
      <c r="O1908" s="13" t="str">
        <f aca="false">IF(M1908=0,"",IF(TRIM(Raw_Data!M1908)="","Not Recorded",TRIM(Raw_Data!M1908)))</f>
        <v>Work-Life Balance</v>
      </c>
      <c r="P1908" s="16" t="n">
        <f aca="false">ROUND((IF(C1908="",AsOfDate,C1908)-B1908)/365.25,2)</f>
        <v>0.32</v>
      </c>
      <c r="Q1908" s="13" t="str">
        <f aca="false">IF(D1908="","Unknown",IF(D1908&lt;25,"Under 25",IF(D1908&lt;35,"25-34",IF(D1908&lt;45,"35-44",IF(D1908&lt;55,"45-54","55+")))))</f>
        <v>35-44</v>
      </c>
      <c r="R1908" s="13" t="str">
        <f aca="false">IF(P1908&lt;1,"0-1 yrs",IF(P1908&lt;3,"1-3 yrs",IF(P1908&lt;5,"3-5 yrs",IF(P1908&lt;10,"5-10 yrs","10+ yrs"))))</f>
        <v>0-1 yrs</v>
      </c>
      <c r="S1908" s="13" t="str">
        <f aca="false">IF(I1908&gt;=4,"High",IF(I1908=3,"Medium","Low"))</f>
        <v>Low</v>
      </c>
      <c r="T1908" s="13" t="n">
        <f aca="false">IF(M1908=1,YEAR(C1908),"")</f>
        <v>2025</v>
      </c>
      <c r="U1908" s="13" t="str">
        <f aca="false">IF(M1908=1,YEAR(C1908)&amp;"-Q"&amp;ROUNDUP(MONTH(C1908)/3,0),"")</f>
        <v>2025-Q3</v>
      </c>
      <c r="V1908" s="13" t="n">
        <f aca="false">IF(M1908=1,MONTH(C1908),"")</f>
        <v>9</v>
      </c>
    </row>
    <row r="1909" customFormat="false" ht="15" hidden="false" customHeight="false" outlineLevel="0" collapsed="false">
      <c r="A1909" s="13" t="str">
        <f aca="false">TRIM(Raw_Data!A1909)</f>
        <v>EMP1908</v>
      </c>
      <c r="B1909" s="14" t="n">
        <f aca="false">Raw_Data!B1909</f>
        <v>45802</v>
      </c>
      <c r="C1909" s="14" t="str">
        <f aca="false">IF(Raw_Data!C1909="","",Raw_Data!C1909)</f>
        <v/>
      </c>
      <c r="D1909" s="13" t="n">
        <f aca="false">IF(Raw_Data!D1909="","",Raw_Data!D1909)</f>
        <v>33</v>
      </c>
      <c r="E1909" s="13" t="str">
        <f aca="false">IF(UPPER(LEFT(TRIM(Raw_Data!E1909),1))="M","Male",IF(UPPER(LEFT(TRIM(Raw_Data!E1909),1))="F","Female","Unknown"))</f>
        <v>Female</v>
      </c>
      <c r="F1909" s="13" t="str">
        <f aca="false">PROPER(TRIM(SUBSTITUTE(Raw_Data!F1909,"'","")))</f>
        <v>Masters</v>
      </c>
      <c r="G1909" s="13" t="str">
        <f aca="false">PROPER(TRIM(Raw_Data!G1909))</f>
        <v>Engineering</v>
      </c>
      <c r="H1909" s="13" t="str">
        <f aca="false">PROPER(TRIM(Raw_Data!H1909))</f>
        <v>Team Lead</v>
      </c>
      <c r="I1909" s="13" t="n">
        <f aca="false">IF(Raw_Data!I1909="",DefaultPerf,Raw_Data!I1909)</f>
        <v>3</v>
      </c>
      <c r="J1909" s="13" t="n">
        <f aca="false">IF(Raw_Data!J1909="",DefaultSat,Raw_Data!J1909)</f>
        <v>4</v>
      </c>
      <c r="K1909" s="15" t="n">
        <f aca="false">Raw_Data!K1909</f>
        <v>118000</v>
      </c>
      <c r="L1909" s="13" t="str">
        <f aca="false">PROPER(TRIM(Raw_Data!N1909))</f>
        <v>No</v>
      </c>
      <c r="M1909" s="13" t="n">
        <f aca="false">IF(C1909="",0,1)</f>
        <v>0</v>
      </c>
      <c r="N1909" s="13" t="str">
        <f aca="false">IF(M1909=0,"Active",IF(TRIM(Raw_Data!L1909)="","Unknown",PROPER(TRIM(Raw_Data!L1909))))</f>
        <v>Active</v>
      </c>
      <c r="O1909" s="13" t="str">
        <f aca="false">IF(M1909=0,"",IF(TRIM(Raw_Data!M1909)="","Not Recorded",TRIM(Raw_Data!M1909)))</f>
        <v/>
      </c>
      <c r="P1909" s="16" t="n">
        <f aca="false">ROUND((IF(C1909="",AsOfDate,C1909)-B1909)/365.25,2)</f>
        <v>0.6</v>
      </c>
      <c r="Q1909" s="13" t="str">
        <f aca="false">IF(D1909="","Unknown",IF(D1909&lt;25,"Under 25",IF(D1909&lt;35,"25-34",IF(D1909&lt;45,"35-44",IF(D1909&lt;55,"45-54","55+")))))</f>
        <v>25-34</v>
      </c>
      <c r="R1909" s="13" t="str">
        <f aca="false">IF(P1909&lt;1,"0-1 yrs",IF(P1909&lt;3,"1-3 yrs",IF(P1909&lt;5,"3-5 yrs",IF(P1909&lt;10,"5-10 yrs","10+ yrs"))))</f>
        <v>0-1 yrs</v>
      </c>
      <c r="S1909" s="13" t="str">
        <f aca="false">IF(I1909&gt;=4,"High",IF(I1909=3,"Medium","Low"))</f>
        <v>Medium</v>
      </c>
      <c r="T1909" s="13" t="str">
        <f aca="false">IF(M1909=1,YEAR(C1909),"")</f>
        <v/>
      </c>
      <c r="U1909" s="13" t="str">
        <f aca="false">IF(M1909=1,YEAR(C1909)&amp;"-Q"&amp;ROUNDUP(MONTH(C1909)/3,0),"")</f>
        <v/>
      </c>
      <c r="V1909" s="13" t="str">
        <f aca="false">IF(M1909=1,MONTH(C1909),"")</f>
        <v/>
      </c>
    </row>
    <row r="1910" customFormat="false" ht="15" hidden="false" customHeight="false" outlineLevel="0" collapsed="false">
      <c r="A1910" s="13" t="str">
        <f aca="false">TRIM(Raw_Data!A1910)</f>
        <v>EMP1909</v>
      </c>
      <c r="B1910" s="14" t="n">
        <f aca="false">Raw_Data!B1910</f>
        <v>45805</v>
      </c>
      <c r="C1910" s="14" t="str">
        <f aca="false">IF(Raw_Data!C1910="","",Raw_Data!C1910)</f>
        <v/>
      </c>
      <c r="D1910" s="13" t="n">
        <f aca="false">IF(Raw_Data!D1910="","",Raw_Data!D1910)</f>
        <v>22</v>
      </c>
      <c r="E1910" s="13" t="str">
        <f aca="false">IF(UPPER(LEFT(TRIM(Raw_Data!E1910),1))="M","Male",IF(UPPER(LEFT(TRIM(Raw_Data!E1910),1))="F","Female","Unknown"))</f>
        <v>Male</v>
      </c>
      <c r="F1910" s="13" t="str">
        <f aca="false">PROPER(TRIM(SUBSTITUTE(Raw_Data!F1910,"'","")))</f>
        <v>Bachelors</v>
      </c>
      <c r="G1910" s="13" t="str">
        <f aca="false">PROPER(TRIM(Raw_Data!G1910))</f>
        <v>Engineering</v>
      </c>
      <c r="H1910" s="13" t="str">
        <f aca="false">PROPER(TRIM(Raw_Data!H1910))</f>
        <v>Team Lead</v>
      </c>
      <c r="I1910" s="13" t="n">
        <f aca="false">IF(Raw_Data!I1910="",DefaultPerf,Raw_Data!I1910)</f>
        <v>3</v>
      </c>
      <c r="J1910" s="13" t="n">
        <f aca="false">IF(Raw_Data!J1910="",DefaultSat,Raw_Data!J1910)</f>
        <v>3</v>
      </c>
      <c r="K1910" s="15" t="n">
        <f aca="false">Raw_Data!K1910</f>
        <v>130500</v>
      </c>
      <c r="L1910" s="13" t="str">
        <f aca="false">PROPER(TRIM(Raw_Data!N1910))</f>
        <v>Yes</v>
      </c>
      <c r="M1910" s="13" t="n">
        <f aca="false">IF(C1910="",0,1)</f>
        <v>0</v>
      </c>
      <c r="N1910" s="13" t="str">
        <f aca="false">IF(M1910=0,"Active",IF(TRIM(Raw_Data!L1910)="","Unknown",PROPER(TRIM(Raw_Data!L1910))))</f>
        <v>Active</v>
      </c>
      <c r="O1910" s="13" t="str">
        <f aca="false">IF(M1910=0,"",IF(TRIM(Raw_Data!M1910)="","Not Recorded",TRIM(Raw_Data!M1910)))</f>
        <v/>
      </c>
      <c r="P1910" s="16" t="n">
        <f aca="false">ROUND((IF(C1910="",AsOfDate,C1910)-B1910)/365.25,2)</f>
        <v>0.59</v>
      </c>
      <c r="Q1910" s="13" t="str">
        <f aca="false">IF(D1910="","Unknown",IF(D1910&lt;25,"Under 25",IF(D1910&lt;35,"25-34",IF(D1910&lt;45,"35-44",IF(D1910&lt;55,"45-54","55+")))))</f>
        <v>Under 25</v>
      </c>
      <c r="R1910" s="13" t="str">
        <f aca="false">IF(P1910&lt;1,"0-1 yrs",IF(P1910&lt;3,"1-3 yrs",IF(P1910&lt;5,"3-5 yrs",IF(P1910&lt;10,"5-10 yrs","10+ yrs"))))</f>
        <v>0-1 yrs</v>
      </c>
      <c r="S1910" s="13" t="str">
        <f aca="false">IF(I1910&gt;=4,"High",IF(I1910=3,"Medium","Low"))</f>
        <v>Medium</v>
      </c>
      <c r="T1910" s="13" t="str">
        <f aca="false">IF(M1910=1,YEAR(C1910),"")</f>
        <v/>
      </c>
      <c r="U1910" s="13" t="str">
        <f aca="false">IF(M1910=1,YEAR(C1910)&amp;"-Q"&amp;ROUNDUP(MONTH(C1910)/3,0),"")</f>
        <v/>
      </c>
      <c r="V1910" s="13" t="str">
        <f aca="false">IF(M1910=1,MONTH(C1910),"")</f>
        <v/>
      </c>
    </row>
    <row r="1911" customFormat="false" ht="15" hidden="false" customHeight="false" outlineLevel="0" collapsed="false">
      <c r="A1911" s="13" t="str">
        <f aca="false">TRIM(Raw_Data!A1911)</f>
        <v>EMP1910</v>
      </c>
      <c r="B1911" s="14" t="n">
        <f aca="false">Raw_Data!B1911</f>
        <v>45806</v>
      </c>
      <c r="C1911" s="14" t="str">
        <f aca="false">IF(Raw_Data!C1911="","",Raw_Data!C1911)</f>
        <v/>
      </c>
      <c r="D1911" s="13" t="n">
        <f aca="false">IF(Raw_Data!D1911="","",Raw_Data!D1911)</f>
        <v>32</v>
      </c>
      <c r="E1911" s="13" t="str">
        <f aca="false">IF(UPPER(LEFT(TRIM(Raw_Data!E1911),1))="M","Male",IF(UPPER(LEFT(TRIM(Raw_Data!E1911),1))="F","Female","Unknown"))</f>
        <v>Male</v>
      </c>
      <c r="F1911" s="13" t="str">
        <f aca="false">PROPER(TRIM(SUBSTITUTE(Raw_Data!F1911,"'","")))</f>
        <v>High School</v>
      </c>
      <c r="G1911" s="13" t="str">
        <f aca="false">PROPER(TRIM(Raw_Data!G1911))</f>
        <v>Sales</v>
      </c>
      <c r="H1911" s="13" t="str">
        <f aca="false">PROPER(TRIM(Raw_Data!H1911))</f>
        <v>Analyst</v>
      </c>
      <c r="I1911" s="13" t="n">
        <f aca="false">IF(Raw_Data!I1911="",DefaultPerf,Raw_Data!I1911)</f>
        <v>3</v>
      </c>
      <c r="J1911" s="13" t="n">
        <f aca="false">IF(Raw_Data!J1911="",DefaultSat,Raw_Data!J1911)</f>
        <v>3</v>
      </c>
      <c r="K1911" s="15" t="n">
        <f aca="false">Raw_Data!K1911</f>
        <v>55500</v>
      </c>
      <c r="L1911" s="13" t="str">
        <f aca="false">PROPER(TRIM(Raw_Data!N1911))</f>
        <v>No</v>
      </c>
      <c r="M1911" s="13" t="n">
        <f aca="false">IF(C1911="",0,1)</f>
        <v>0</v>
      </c>
      <c r="N1911" s="13" t="str">
        <f aca="false">IF(M1911=0,"Active",IF(TRIM(Raw_Data!L1911)="","Unknown",PROPER(TRIM(Raw_Data!L1911))))</f>
        <v>Active</v>
      </c>
      <c r="O1911" s="13" t="str">
        <f aca="false">IF(M1911=0,"",IF(TRIM(Raw_Data!M1911)="","Not Recorded",TRIM(Raw_Data!M1911)))</f>
        <v/>
      </c>
      <c r="P1911" s="16" t="n">
        <f aca="false">ROUND((IF(C1911="",AsOfDate,C1911)-B1911)/365.25,2)</f>
        <v>0.59</v>
      </c>
      <c r="Q1911" s="13" t="str">
        <f aca="false">IF(D1911="","Unknown",IF(D1911&lt;25,"Under 25",IF(D1911&lt;35,"25-34",IF(D1911&lt;45,"35-44",IF(D1911&lt;55,"45-54","55+")))))</f>
        <v>25-34</v>
      </c>
      <c r="R1911" s="13" t="str">
        <f aca="false">IF(P1911&lt;1,"0-1 yrs",IF(P1911&lt;3,"1-3 yrs",IF(P1911&lt;5,"3-5 yrs",IF(P1911&lt;10,"5-10 yrs","10+ yrs"))))</f>
        <v>0-1 yrs</v>
      </c>
      <c r="S1911" s="13" t="str">
        <f aca="false">IF(I1911&gt;=4,"High",IF(I1911=3,"Medium","Low"))</f>
        <v>Medium</v>
      </c>
      <c r="T1911" s="13" t="str">
        <f aca="false">IF(M1911=1,YEAR(C1911),"")</f>
        <v/>
      </c>
      <c r="U1911" s="13" t="str">
        <f aca="false">IF(M1911=1,YEAR(C1911)&amp;"-Q"&amp;ROUNDUP(MONTH(C1911)/3,0),"")</f>
        <v/>
      </c>
      <c r="V1911" s="13" t="str">
        <f aca="false">IF(M1911=1,MONTH(C1911),"")</f>
        <v/>
      </c>
    </row>
    <row r="1912" customFormat="false" ht="15" hidden="false" customHeight="false" outlineLevel="0" collapsed="false">
      <c r="A1912" s="13" t="str">
        <f aca="false">TRIM(Raw_Data!A1912)</f>
        <v>EMP1911</v>
      </c>
      <c r="B1912" s="14" t="n">
        <f aca="false">Raw_Data!B1912</f>
        <v>45806</v>
      </c>
      <c r="C1912" s="14" t="str">
        <f aca="false">IF(Raw_Data!C1912="","",Raw_Data!C1912)</f>
        <v/>
      </c>
      <c r="D1912" s="13" t="n">
        <f aca="false">IF(Raw_Data!D1912="","",Raw_Data!D1912)</f>
        <v>26</v>
      </c>
      <c r="E1912" s="13" t="str">
        <f aca="false">IF(UPPER(LEFT(TRIM(Raw_Data!E1912),1))="M","Male",IF(UPPER(LEFT(TRIM(Raw_Data!E1912),1))="F","Female","Unknown"))</f>
        <v>Female</v>
      </c>
      <c r="F1912" s="13" t="str">
        <f aca="false">PROPER(TRIM(SUBSTITUTE(Raw_Data!F1912,"'","")))</f>
        <v>Bachelors</v>
      </c>
      <c r="G1912" s="13" t="str">
        <f aca="false">PROPER(TRIM(Raw_Data!G1912))</f>
        <v>Sales</v>
      </c>
      <c r="H1912" s="13" t="str">
        <f aca="false">PROPER(TRIM(Raw_Data!H1912))</f>
        <v>Analyst</v>
      </c>
      <c r="I1912" s="13" t="n">
        <f aca="false">IF(Raw_Data!I1912="",DefaultPerf,Raw_Data!I1912)</f>
        <v>4</v>
      </c>
      <c r="J1912" s="13" t="n">
        <f aca="false">IF(Raw_Data!J1912="",DefaultSat,Raw_Data!J1912)</f>
        <v>3</v>
      </c>
      <c r="K1912" s="15" t="n">
        <f aca="false">Raw_Data!K1912</f>
        <v>64500</v>
      </c>
      <c r="L1912" s="13" t="str">
        <f aca="false">PROPER(TRIM(Raw_Data!N1912))</f>
        <v>No</v>
      </c>
      <c r="M1912" s="13" t="n">
        <f aca="false">IF(C1912="",0,1)</f>
        <v>0</v>
      </c>
      <c r="N1912" s="13" t="str">
        <f aca="false">IF(M1912=0,"Active",IF(TRIM(Raw_Data!L1912)="","Unknown",PROPER(TRIM(Raw_Data!L1912))))</f>
        <v>Active</v>
      </c>
      <c r="O1912" s="13" t="str">
        <f aca="false">IF(M1912=0,"",IF(TRIM(Raw_Data!M1912)="","Not Recorded",TRIM(Raw_Data!M1912)))</f>
        <v/>
      </c>
      <c r="P1912" s="16" t="n">
        <f aca="false">ROUND((IF(C1912="",AsOfDate,C1912)-B1912)/365.25,2)</f>
        <v>0.59</v>
      </c>
      <c r="Q1912" s="13" t="str">
        <f aca="false">IF(D1912="","Unknown",IF(D1912&lt;25,"Under 25",IF(D1912&lt;35,"25-34",IF(D1912&lt;45,"35-44",IF(D1912&lt;55,"45-54","55+")))))</f>
        <v>25-34</v>
      </c>
      <c r="R1912" s="13" t="str">
        <f aca="false">IF(P1912&lt;1,"0-1 yrs",IF(P1912&lt;3,"1-3 yrs",IF(P1912&lt;5,"3-5 yrs",IF(P1912&lt;10,"5-10 yrs","10+ yrs"))))</f>
        <v>0-1 yrs</v>
      </c>
      <c r="S1912" s="13" t="str">
        <f aca="false">IF(I1912&gt;=4,"High",IF(I1912=3,"Medium","Low"))</f>
        <v>High</v>
      </c>
      <c r="T1912" s="13" t="str">
        <f aca="false">IF(M1912=1,YEAR(C1912),"")</f>
        <v/>
      </c>
      <c r="U1912" s="13" t="str">
        <f aca="false">IF(M1912=1,YEAR(C1912)&amp;"-Q"&amp;ROUNDUP(MONTH(C1912)/3,0),"")</f>
        <v/>
      </c>
      <c r="V1912" s="13" t="str">
        <f aca="false">IF(M1912=1,MONTH(C1912),"")</f>
        <v/>
      </c>
    </row>
    <row r="1913" customFormat="false" ht="15" hidden="false" customHeight="false" outlineLevel="0" collapsed="false">
      <c r="A1913" s="13" t="str">
        <f aca="false">TRIM(Raw_Data!A1913)</f>
        <v>EMP1912</v>
      </c>
      <c r="B1913" s="14" t="n">
        <f aca="false">Raw_Data!B1913</f>
        <v>45807</v>
      </c>
      <c r="C1913" s="14" t="str">
        <f aca="false">IF(Raw_Data!C1913="","",Raw_Data!C1913)</f>
        <v/>
      </c>
      <c r="D1913" s="13" t="n">
        <f aca="false">IF(Raw_Data!D1913="","",Raw_Data!D1913)</f>
        <v>22</v>
      </c>
      <c r="E1913" s="13" t="str">
        <f aca="false">IF(UPPER(LEFT(TRIM(Raw_Data!E1913),1))="M","Male",IF(UPPER(LEFT(TRIM(Raw_Data!E1913),1))="F","Female","Unknown"))</f>
        <v>Female</v>
      </c>
      <c r="F1913" s="13" t="str">
        <f aca="false">PROPER(TRIM(SUBSTITUTE(Raw_Data!F1913,"'","")))</f>
        <v>Bachelors</v>
      </c>
      <c r="G1913" s="13" t="str">
        <f aca="false">PROPER(TRIM(Raw_Data!G1913))</f>
        <v>Finance</v>
      </c>
      <c r="H1913" s="13" t="str">
        <f aca="false">PROPER(TRIM(Raw_Data!H1913))</f>
        <v>Specialist</v>
      </c>
      <c r="I1913" s="13" t="n">
        <f aca="false">IF(Raw_Data!I1913="",DefaultPerf,Raw_Data!I1913)</f>
        <v>3</v>
      </c>
      <c r="J1913" s="13" t="n">
        <f aca="false">IF(Raw_Data!J1913="",DefaultSat,Raw_Data!J1913)</f>
        <v>1</v>
      </c>
      <c r="K1913" s="15" t="n">
        <f aca="false">Raw_Data!K1913</f>
        <v>91000</v>
      </c>
      <c r="L1913" s="13" t="str">
        <f aca="false">PROPER(TRIM(Raw_Data!N1913))</f>
        <v>No</v>
      </c>
      <c r="M1913" s="13" t="n">
        <f aca="false">IF(C1913="",0,1)</f>
        <v>0</v>
      </c>
      <c r="N1913" s="13" t="str">
        <f aca="false">IF(M1913=0,"Active",IF(TRIM(Raw_Data!L1913)="","Unknown",PROPER(TRIM(Raw_Data!L1913))))</f>
        <v>Active</v>
      </c>
      <c r="O1913" s="13" t="str">
        <f aca="false">IF(M1913=0,"",IF(TRIM(Raw_Data!M1913)="","Not Recorded",TRIM(Raw_Data!M1913)))</f>
        <v/>
      </c>
      <c r="P1913" s="16" t="n">
        <f aca="false">ROUND((IF(C1913="",AsOfDate,C1913)-B1913)/365.25,2)</f>
        <v>0.59</v>
      </c>
      <c r="Q1913" s="13" t="str">
        <f aca="false">IF(D1913="","Unknown",IF(D1913&lt;25,"Under 25",IF(D1913&lt;35,"25-34",IF(D1913&lt;45,"35-44",IF(D1913&lt;55,"45-54","55+")))))</f>
        <v>Under 25</v>
      </c>
      <c r="R1913" s="13" t="str">
        <f aca="false">IF(P1913&lt;1,"0-1 yrs",IF(P1913&lt;3,"1-3 yrs",IF(P1913&lt;5,"3-5 yrs",IF(P1913&lt;10,"5-10 yrs","10+ yrs"))))</f>
        <v>0-1 yrs</v>
      </c>
      <c r="S1913" s="13" t="str">
        <f aca="false">IF(I1913&gt;=4,"High",IF(I1913=3,"Medium","Low"))</f>
        <v>Medium</v>
      </c>
      <c r="T1913" s="13" t="str">
        <f aca="false">IF(M1913=1,YEAR(C1913),"")</f>
        <v/>
      </c>
      <c r="U1913" s="13" t="str">
        <f aca="false">IF(M1913=1,YEAR(C1913)&amp;"-Q"&amp;ROUNDUP(MONTH(C1913)/3,0),"")</f>
        <v/>
      </c>
      <c r="V1913" s="13" t="str">
        <f aca="false">IF(M1913=1,MONTH(C1913),"")</f>
        <v/>
      </c>
    </row>
    <row r="1914" customFormat="false" ht="15" hidden="false" customHeight="false" outlineLevel="0" collapsed="false">
      <c r="A1914" s="13" t="str">
        <f aca="false">TRIM(Raw_Data!A1914)</f>
        <v>EMP1913</v>
      </c>
      <c r="B1914" s="14" t="n">
        <f aca="false">Raw_Data!B1914</f>
        <v>45809</v>
      </c>
      <c r="C1914" s="14" t="str">
        <f aca="false">IF(Raw_Data!C1914="","",Raw_Data!C1914)</f>
        <v/>
      </c>
      <c r="D1914" s="13" t="n">
        <f aca="false">IF(Raw_Data!D1914="","",Raw_Data!D1914)</f>
        <v>40</v>
      </c>
      <c r="E1914" s="13" t="str">
        <f aca="false">IF(UPPER(LEFT(TRIM(Raw_Data!E1914),1))="M","Male",IF(UPPER(LEFT(TRIM(Raw_Data!E1914),1))="F","Female","Unknown"))</f>
        <v>Male</v>
      </c>
      <c r="F1914" s="13" t="str">
        <f aca="false">PROPER(TRIM(SUBSTITUTE(Raw_Data!F1914,"'","")))</f>
        <v>Bachelors</v>
      </c>
      <c r="G1914" s="13" t="str">
        <f aca="false">PROPER(TRIM(Raw_Data!G1914))</f>
        <v>Operations</v>
      </c>
      <c r="H1914" s="13" t="str">
        <f aca="false">PROPER(TRIM(Raw_Data!H1914))</f>
        <v>Associate</v>
      </c>
      <c r="I1914" s="13" t="n">
        <f aca="false">IF(Raw_Data!I1914="",DefaultPerf,Raw_Data!I1914)</f>
        <v>3</v>
      </c>
      <c r="J1914" s="13" t="n">
        <f aca="false">IF(Raw_Data!J1914="",DefaultSat,Raw_Data!J1914)</f>
        <v>2</v>
      </c>
      <c r="K1914" s="15" t="n">
        <f aca="false">Raw_Data!K1914</f>
        <v>43000</v>
      </c>
      <c r="L1914" s="13" t="str">
        <f aca="false">PROPER(TRIM(Raw_Data!N1914))</f>
        <v>No</v>
      </c>
      <c r="M1914" s="13" t="n">
        <f aca="false">IF(C1914="",0,1)</f>
        <v>0</v>
      </c>
      <c r="N1914" s="13" t="str">
        <f aca="false">IF(M1914=0,"Active",IF(TRIM(Raw_Data!L1914)="","Unknown",PROPER(TRIM(Raw_Data!L1914))))</f>
        <v>Active</v>
      </c>
      <c r="O1914" s="13" t="str">
        <f aca="false">IF(M1914=0,"",IF(TRIM(Raw_Data!M1914)="","Not Recorded",TRIM(Raw_Data!M1914)))</f>
        <v/>
      </c>
      <c r="P1914" s="16" t="n">
        <f aca="false">ROUND((IF(C1914="",AsOfDate,C1914)-B1914)/365.25,2)</f>
        <v>0.58</v>
      </c>
      <c r="Q1914" s="13" t="str">
        <f aca="false">IF(D1914="","Unknown",IF(D1914&lt;25,"Under 25",IF(D1914&lt;35,"25-34",IF(D1914&lt;45,"35-44",IF(D1914&lt;55,"45-54","55+")))))</f>
        <v>35-44</v>
      </c>
      <c r="R1914" s="13" t="str">
        <f aca="false">IF(P1914&lt;1,"0-1 yrs",IF(P1914&lt;3,"1-3 yrs",IF(P1914&lt;5,"3-5 yrs",IF(P1914&lt;10,"5-10 yrs","10+ yrs"))))</f>
        <v>0-1 yrs</v>
      </c>
      <c r="S1914" s="13" t="str">
        <f aca="false">IF(I1914&gt;=4,"High",IF(I1914=3,"Medium","Low"))</f>
        <v>Medium</v>
      </c>
      <c r="T1914" s="13" t="str">
        <f aca="false">IF(M1914=1,YEAR(C1914),"")</f>
        <v/>
      </c>
      <c r="U1914" s="13" t="str">
        <f aca="false">IF(M1914=1,YEAR(C1914)&amp;"-Q"&amp;ROUNDUP(MONTH(C1914)/3,0),"")</f>
        <v/>
      </c>
      <c r="V1914" s="13" t="str">
        <f aca="false">IF(M1914=1,MONTH(C1914),"")</f>
        <v/>
      </c>
    </row>
    <row r="1915" customFormat="false" ht="15" hidden="false" customHeight="false" outlineLevel="0" collapsed="false">
      <c r="A1915" s="13" t="str">
        <f aca="false">TRIM(Raw_Data!A1915)</f>
        <v>EMP1914</v>
      </c>
      <c r="B1915" s="14" t="n">
        <f aca="false">Raw_Data!B1915</f>
        <v>45811</v>
      </c>
      <c r="C1915" s="14" t="n">
        <f aca="false">IF(Raw_Data!C1915="","",Raw_Data!C1915)</f>
        <v>45861</v>
      </c>
      <c r="D1915" s="13" t="n">
        <f aca="false">IF(Raw_Data!D1915="","",Raw_Data!D1915)</f>
        <v>34</v>
      </c>
      <c r="E1915" s="13" t="str">
        <f aca="false">IF(UPPER(LEFT(TRIM(Raw_Data!E1915),1))="M","Male",IF(UPPER(LEFT(TRIM(Raw_Data!E1915),1))="F","Female","Unknown"))</f>
        <v>Male</v>
      </c>
      <c r="F1915" s="13" t="str">
        <f aca="false">PROPER(TRIM(SUBSTITUTE(Raw_Data!F1915,"'","")))</f>
        <v>Bachelors</v>
      </c>
      <c r="G1915" s="13" t="str">
        <f aca="false">PROPER(TRIM(Raw_Data!G1915))</f>
        <v>Sales</v>
      </c>
      <c r="H1915" s="13" t="str">
        <f aca="false">PROPER(TRIM(Raw_Data!H1915))</f>
        <v>Senior Analyst</v>
      </c>
      <c r="I1915" s="13" t="n">
        <f aca="false">IF(Raw_Data!I1915="",DefaultPerf,Raw_Data!I1915)</f>
        <v>3</v>
      </c>
      <c r="J1915" s="17" t="n">
        <f aca="false">IF(Raw_Data!J1915="",DefaultSat,Raw_Data!J1915)</f>
        <v>3</v>
      </c>
      <c r="K1915" s="15" t="n">
        <f aca="false">Raw_Data!K1915</f>
        <v>90000</v>
      </c>
      <c r="L1915" s="13" t="str">
        <f aca="false">PROPER(TRIM(Raw_Data!N1915))</f>
        <v>No</v>
      </c>
      <c r="M1915" s="13" t="n">
        <f aca="false">IF(C1915="",0,1)</f>
        <v>1</v>
      </c>
      <c r="N1915" s="13" t="str">
        <f aca="false">IF(M1915=0,"Active",IF(TRIM(Raw_Data!L1915)="","Unknown",PROPER(TRIM(Raw_Data!L1915))))</f>
        <v>Voluntary</v>
      </c>
      <c r="O1915" s="13" t="str">
        <f aca="false">IF(M1915=0,"",IF(TRIM(Raw_Data!M1915)="","Not Recorded",TRIM(Raw_Data!M1915)))</f>
        <v>Career Growth</v>
      </c>
      <c r="P1915" s="16" t="n">
        <f aca="false">ROUND((IF(C1915="",AsOfDate,C1915)-B1915)/365.25,2)</f>
        <v>0.14</v>
      </c>
      <c r="Q1915" s="13" t="str">
        <f aca="false">IF(D1915="","Unknown",IF(D1915&lt;25,"Under 25",IF(D1915&lt;35,"25-34",IF(D1915&lt;45,"35-44",IF(D1915&lt;55,"45-54","55+")))))</f>
        <v>25-34</v>
      </c>
      <c r="R1915" s="13" t="str">
        <f aca="false">IF(P1915&lt;1,"0-1 yrs",IF(P1915&lt;3,"1-3 yrs",IF(P1915&lt;5,"3-5 yrs",IF(P1915&lt;10,"5-10 yrs","10+ yrs"))))</f>
        <v>0-1 yrs</v>
      </c>
      <c r="S1915" s="13" t="str">
        <f aca="false">IF(I1915&gt;=4,"High",IF(I1915=3,"Medium","Low"))</f>
        <v>Medium</v>
      </c>
      <c r="T1915" s="13" t="n">
        <f aca="false">IF(M1915=1,YEAR(C1915),"")</f>
        <v>2025</v>
      </c>
      <c r="U1915" s="13" t="str">
        <f aca="false">IF(M1915=1,YEAR(C1915)&amp;"-Q"&amp;ROUNDUP(MONTH(C1915)/3,0),"")</f>
        <v>2025-Q3</v>
      </c>
      <c r="V1915" s="13" t="n">
        <f aca="false">IF(M1915=1,MONTH(C1915),"")</f>
        <v>7</v>
      </c>
    </row>
    <row r="1916" customFormat="false" ht="15" hidden="false" customHeight="false" outlineLevel="0" collapsed="false">
      <c r="A1916" s="13" t="str">
        <f aca="false">TRIM(Raw_Data!A1916)</f>
        <v>EMP1915</v>
      </c>
      <c r="B1916" s="14" t="n">
        <f aca="false">Raw_Data!B1916</f>
        <v>45812</v>
      </c>
      <c r="C1916" s="14" t="str">
        <f aca="false">IF(Raw_Data!C1916="","",Raw_Data!C1916)</f>
        <v/>
      </c>
      <c r="D1916" s="13" t="n">
        <f aca="false">IF(Raw_Data!D1916="","",Raw_Data!D1916)</f>
        <v>27</v>
      </c>
      <c r="E1916" s="13" t="str">
        <f aca="false">IF(UPPER(LEFT(TRIM(Raw_Data!E1916),1))="M","Male",IF(UPPER(LEFT(TRIM(Raw_Data!E1916),1))="F","Female","Unknown"))</f>
        <v>Female</v>
      </c>
      <c r="F1916" s="13" t="str">
        <f aca="false">PROPER(TRIM(SUBSTITUTE(Raw_Data!F1916,"'","")))</f>
        <v>Bachelors</v>
      </c>
      <c r="G1916" s="13" t="str">
        <f aca="false">PROPER(TRIM(Raw_Data!G1916))</f>
        <v>Finance</v>
      </c>
      <c r="H1916" s="13" t="str">
        <f aca="false">PROPER(TRIM(Raw_Data!H1916))</f>
        <v>Associate</v>
      </c>
      <c r="I1916" s="13" t="n">
        <f aca="false">IF(Raw_Data!I1916="",DefaultPerf,Raw_Data!I1916)</f>
        <v>3</v>
      </c>
      <c r="J1916" s="17" t="n">
        <f aca="false">IF(Raw_Data!J1916="",DefaultSat,Raw_Data!J1916)</f>
        <v>3</v>
      </c>
      <c r="K1916" s="15" t="n">
        <f aca="false">Raw_Data!K1916</f>
        <v>39500</v>
      </c>
      <c r="L1916" s="13" t="str">
        <f aca="false">PROPER(TRIM(Raw_Data!N1916))</f>
        <v>Yes</v>
      </c>
      <c r="M1916" s="13" t="n">
        <f aca="false">IF(C1916="",0,1)</f>
        <v>0</v>
      </c>
      <c r="N1916" s="13" t="str">
        <f aca="false">IF(M1916=0,"Active",IF(TRIM(Raw_Data!L1916)="","Unknown",PROPER(TRIM(Raw_Data!L1916))))</f>
        <v>Active</v>
      </c>
      <c r="O1916" s="13" t="str">
        <f aca="false">IF(M1916=0,"",IF(TRIM(Raw_Data!M1916)="","Not Recorded",TRIM(Raw_Data!M1916)))</f>
        <v/>
      </c>
      <c r="P1916" s="16" t="n">
        <f aca="false">ROUND((IF(C1916="",AsOfDate,C1916)-B1916)/365.25,2)</f>
        <v>0.57</v>
      </c>
      <c r="Q1916" s="13" t="str">
        <f aca="false">IF(D1916="","Unknown",IF(D1916&lt;25,"Under 25",IF(D1916&lt;35,"25-34",IF(D1916&lt;45,"35-44",IF(D1916&lt;55,"45-54","55+")))))</f>
        <v>25-34</v>
      </c>
      <c r="R1916" s="13" t="str">
        <f aca="false">IF(P1916&lt;1,"0-1 yrs",IF(P1916&lt;3,"1-3 yrs",IF(P1916&lt;5,"3-5 yrs",IF(P1916&lt;10,"5-10 yrs","10+ yrs"))))</f>
        <v>0-1 yrs</v>
      </c>
      <c r="S1916" s="13" t="str">
        <f aca="false">IF(I1916&gt;=4,"High",IF(I1916=3,"Medium","Low"))</f>
        <v>Medium</v>
      </c>
      <c r="T1916" s="13" t="str">
        <f aca="false">IF(M1916=1,YEAR(C1916),"")</f>
        <v/>
      </c>
      <c r="U1916" s="13" t="str">
        <f aca="false">IF(M1916=1,YEAR(C1916)&amp;"-Q"&amp;ROUNDUP(MONTH(C1916)/3,0),"")</f>
        <v/>
      </c>
      <c r="V1916" s="13" t="str">
        <f aca="false">IF(M1916=1,MONTH(C1916),"")</f>
        <v/>
      </c>
    </row>
    <row r="1917" customFormat="false" ht="15" hidden="false" customHeight="false" outlineLevel="0" collapsed="false">
      <c r="A1917" s="13" t="str">
        <f aca="false">TRIM(Raw_Data!A1917)</f>
        <v>EMP1916</v>
      </c>
      <c r="B1917" s="14" t="n">
        <f aca="false">Raw_Data!B1917</f>
        <v>45814</v>
      </c>
      <c r="C1917" s="14" t="str">
        <f aca="false">IF(Raw_Data!C1917="","",Raw_Data!C1917)</f>
        <v/>
      </c>
      <c r="D1917" s="13" t="n">
        <f aca="false">IF(Raw_Data!D1917="","",Raw_Data!D1917)</f>
        <v>28</v>
      </c>
      <c r="E1917" s="13" t="str">
        <f aca="false">IF(UPPER(LEFT(TRIM(Raw_Data!E1917),1))="M","Male",IF(UPPER(LEFT(TRIM(Raw_Data!E1917),1))="F","Female","Unknown"))</f>
        <v>Female</v>
      </c>
      <c r="F1917" s="13" t="str">
        <f aca="false">PROPER(TRIM(SUBSTITUTE(Raw_Data!F1917,"'","")))</f>
        <v>Diploma</v>
      </c>
      <c r="G1917" s="13" t="str">
        <f aca="false">PROPER(TRIM(Raw_Data!G1917))</f>
        <v>Engineering</v>
      </c>
      <c r="H1917" s="13" t="str">
        <f aca="false">PROPER(TRIM(Raw_Data!H1917))</f>
        <v>Associate</v>
      </c>
      <c r="I1917" s="13" t="n">
        <f aca="false">IF(Raw_Data!I1917="",DefaultPerf,Raw_Data!I1917)</f>
        <v>3</v>
      </c>
      <c r="J1917" s="13" t="n">
        <f aca="false">IF(Raw_Data!J1917="",DefaultSat,Raw_Data!J1917)</f>
        <v>4</v>
      </c>
      <c r="K1917" s="15" t="n">
        <f aca="false">Raw_Data!K1917</f>
        <v>31000</v>
      </c>
      <c r="L1917" s="13" t="str">
        <f aca="false">PROPER(TRIM(Raw_Data!N1917))</f>
        <v>Yes</v>
      </c>
      <c r="M1917" s="13" t="n">
        <f aca="false">IF(C1917="",0,1)</f>
        <v>0</v>
      </c>
      <c r="N1917" s="13" t="str">
        <f aca="false">IF(M1917=0,"Active",IF(TRIM(Raw_Data!L1917)="","Unknown",PROPER(TRIM(Raw_Data!L1917))))</f>
        <v>Active</v>
      </c>
      <c r="O1917" s="13" t="str">
        <f aca="false">IF(M1917=0,"",IF(TRIM(Raw_Data!M1917)="","Not Recorded",TRIM(Raw_Data!M1917)))</f>
        <v/>
      </c>
      <c r="P1917" s="16" t="n">
        <f aca="false">ROUND((IF(C1917="",AsOfDate,C1917)-B1917)/365.25,2)</f>
        <v>0.57</v>
      </c>
      <c r="Q1917" s="13" t="str">
        <f aca="false">IF(D1917="","Unknown",IF(D1917&lt;25,"Under 25",IF(D1917&lt;35,"25-34",IF(D1917&lt;45,"35-44",IF(D1917&lt;55,"45-54","55+")))))</f>
        <v>25-34</v>
      </c>
      <c r="R1917" s="13" t="str">
        <f aca="false">IF(P1917&lt;1,"0-1 yrs",IF(P1917&lt;3,"1-3 yrs",IF(P1917&lt;5,"3-5 yrs",IF(P1917&lt;10,"5-10 yrs","10+ yrs"))))</f>
        <v>0-1 yrs</v>
      </c>
      <c r="S1917" s="13" t="str">
        <f aca="false">IF(I1917&gt;=4,"High",IF(I1917=3,"Medium","Low"))</f>
        <v>Medium</v>
      </c>
      <c r="T1917" s="13" t="str">
        <f aca="false">IF(M1917=1,YEAR(C1917),"")</f>
        <v/>
      </c>
      <c r="U1917" s="13" t="str">
        <f aca="false">IF(M1917=1,YEAR(C1917)&amp;"-Q"&amp;ROUNDUP(MONTH(C1917)/3,0),"")</f>
        <v/>
      </c>
      <c r="V1917" s="13" t="str">
        <f aca="false">IF(M1917=1,MONTH(C1917),"")</f>
        <v/>
      </c>
    </row>
    <row r="1918" customFormat="false" ht="15" hidden="false" customHeight="false" outlineLevel="0" collapsed="false">
      <c r="A1918" s="13" t="str">
        <f aca="false">TRIM(Raw_Data!A1918)</f>
        <v>EMP1917</v>
      </c>
      <c r="B1918" s="14" t="n">
        <f aca="false">Raw_Data!B1918</f>
        <v>45816</v>
      </c>
      <c r="C1918" s="14" t="str">
        <f aca="false">IF(Raw_Data!C1918="","",Raw_Data!C1918)</f>
        <v/>
      </c>
      <c r="D1918" s="13" t="n">
        <f aca="false">IF(Raw_Data!D1918="","",Raw_Data!D1918)</f>
        <v>38</v>
      </c>
      <c r="E1918" s="13" t="str">
        <f aca="false">IF(UPPER(LEFT(TRIM(Raw_Data!E1918),1))="M","Male",IF(UPPER(LEFT(TRIM(Raw_Data!E1918),1))="F","Female","Unknown"))</f>
        <v>Female</v>
      </c>
      <c r="F1918" s="13" t="str">
        <f aca="false">PROPER(TRIM(SUBSTITUTE(Raw_Data!F1918,"'","")))</f>
        <v>Bachelors</v>
      </c>
      <c r="G1918" s="13" t="str">
        <f aca="false">PROPER(TRIM(Raw_Data!G1918))</f>
        <v>Finance</v>
      </c>
      <c r="H1918" s="13" t="str">
        <f aca="false">PROPER(TRIM(Raw_Data!H1918))</f>
        <v>Senior Analyst</v>
      </c>
      <c r="I1918" s="13" t="n">
        <f aca="false">IF(Raw_Data!I1918="",DefaultPerf,Raw_Data!I1918)</f>
        <v>4</v>
      </c>
      <c r="J1918" s="13" t="n">
        <f aca="false">IF(Raw_Data!J1918="",DefaultSat,Raw_Data!J1918)</f>
        <v>1</v>
      </c>
      <c r="K1918" s="15" t="n">
        <f aca="false">Raw_Data!K1918</f>
        <v>93000</v>
      </c>
      <c r="L1918" s="13" t="str">
        <f aca="false">PROPER(TRIM(Raw_Data!N1918))</f>
        <v>Yes</v>
      </c>
      <c r="M1918" s="13" t="n">
        <f aca="false">IF(C1918="",0,1)</f>
        <v>0</v>
      </c>
      <c r="N1918" s="13" t="str">
        <f aca="false">IF(M1918=0,"Active",IF(TRIM(Raw_Data!L1918)="","Unknown",PROPER(TRIM(Raw_Data!L1918))))</f>
        <v>Active</v>
      </c>
      <c r="O1918" s="13" t="str">
        <f aca="false">IF(M1918=0,"",IF(TRIM(Raw_Data!M1918)="","Not Recorded",TRIM(Raw_Data!M1918)))</f>
        <v/>
      </c>
      <c r="P1918" s="16" t="n">
        <f aca="false">ROUND((IF(C1918="",AsOfDate,C1918)-B1918)/365.25,2)</f>
        <v>0.56</v>
      </c>
      <c r="Q1918" s="13" t="str">
        <f aca="false">IF(D1918="","Unknown",IF(D1918&lt;25,"Under 25",IF(D1918&lt;35,"25-34",IF(D1918&lt;45,"35-44",IF(D1918&lt;55,"45-54","55+")))))</f>
        <v>35-44</v>
      </c>
      <c r="R1918" s="13" t="str">
        <f aca="false">IF(P1918&lt;1,"0-1 yrs",IF(P1918&lt;3,"1-3 yrs",IF(P1918&lt;5,"3-5 yrs",IF(P1918&lt;10,"5-10 yrs","10+ yrs"))))</f>
        <v>0-1 yrs</v>
      </c>
      <c r="S1918" s="13" t="str">
        <f aca="false">IF(I1918&gt;=4,"High",IF(I1918=3,"Medium","Low"))</f>
        <v>High</v>
      </c>
      <c r="T1918" s="13" t="str">
        <f aca="false">IF(M1918=1,YEAR(C1918),"")</f>
        <v/>
      </c>
      <c r="U1918" s="13" t="str">
        <f aca="false">IF(M1918=1,YEAR(C1918)&amp;"-Q"&amp;ROUNDUP(MONTH(C1918)/3,0),"")</f>
        <v/>
      </c>
      <c r="V1918" s="13" t="str">
        <f aca="false">IF(M1918=1,MONTH(C1918),"")</f>
        <v/>
      </c>
    </row>
    <row r="1919" customFormat="false" ht="15" hidden="false" customHeight="false" outlineLevel="0" collapsed="false">
      <c r="A1919" s="13" t="str">
        <f aca="false">TRIM(Raw_Data!A1919)</f>
        <v>EMP1918</v>
      </c>
      <c r="B1919" s="14" t="n">
        <f aca="false">Raw_Data!B1919</f>
        <v>45817</v>
      </c>
      <c r="C1919" s="14" t="str">
        <f aca="false">IF(Raw_Data!C1919="","",Raw_Data!C1919)</f>
        <v/>
      </c>
      <c r="D1919" s="13" t="n">
        <f aca="false">IF(Raw_Data!D1919="","",Raw_Data!D1919)</f>
        <v>32</v>
      </c>
      <c r="E1919" s="13" t="str">
        <f aca="false">IF(UPPER(LEFT(TRIM(Raw_Data!E1919),1))="M","Male",IF(UPPER(LEFT(TRIM(Raw_Data!E1919),1))="F","Female","Unknown"))</f>
        <v>Male</v>
      </c>
      <c r="F1919" s="13" t="str">
        <f aca="false">PROPER(TRIM(SUBSTITUTE(Raw_Data!F1919,"'","")))</f>
        <v>Bachelors</v>
      </c>
      <c r="G1919" s="13" t="str">
        <f aca="false">PROPER(TRIM(Raw_Data!G1919))</f>
        <v>Customer Support</v>
      </c>
      <c r="H1919" s="13" t="str">
        <f aca="false">PROPER(TRIM(Raw_Data!H1919))</f>
        <v>Senior Analyst</v>
      </c>
      <c r="I1919" s="13" t="n">
        <f aca="false">IF(Raw_Data!I1919="",DefaultPerf,Raw_Data!I1919)</f>
        <v>3</v>
      </c>
      <c r="J1919" s="13" t="n">
        <f aca="false">IF(Raw_Data!J1919="",DefaultSat,Raw_Data!J1919)</f>
        <v>4</v>
      </c>
      <c r="K1919" s="15" t="n">
        <f aca="false">Raw_Data!K1919</f>
        <v>87500</v>
      </c>
      <c r="L1919" s="13" t="str">
        <f aca="false">PROPER(TRIM(Raw_Data!N1919))</f>
        <v>Yes</v>
      </c>
      <c r="M1919" s="13" t="n">
        <f aca="false">IF(C1919="",0,1)</f>
        <v>0</v>
      </c>
      <c r="N1919" s="13" t="str">
        <f aca="false">IF(M1919=0,"Active",IF(TRIM(Raw_Data!L1919)="","Unknown",PROPER(TRIM(Raw_Data!L1919))))</f>
        <v>Active</v>
      </c>
      <c r="O1919" s="13" t="str">
        <f aca="false">IF(M1919=0,"",IF(TRIM(Raw_Data!M1919)="","Not Recorded",TRIM(Raw_Data!M1919)))</f>
        <v/>
      </c>
      <c r="P1919" s="16" t="n">
        <f aca="false">ROUND((IF(C1919="",AsOfDate,C1919)-B1919)/365.25,2)</f>
        <v>0.56</v>
      </c>
      <c r="Q1919" s="13" t="str">
        <f aca="false">IF(D1919="","Unknown",IF(D1919&lt;25,"Under 25",IF(D1919&lt;35,"25-34",IF(D1919&lt;45,"35-44",IF(D1919&lt;55,"45-54","55+")))))</f>
        <v>25-34</v>
      </c>
      <c r="R1919" s="13" t="str">
        <f aca="false">IF(P1919&lt;1,"0-1 yrs",IF(P1919&lt;3,"1-3 yrs",IF(P1919&lt;5,"3-5 yrs",IF(P1919&lt;10,"5-10 yrs","10+ yrs"))))</f>
        <v>0-1 yrs</v>
      </c>
      <c r="S1919" s="13" t="str">
        <f aca="false">IF(I1919&gt;=4,"High",IF(I1919=3,"Medium","Low"))</f>
        <v>Medium</v>
      </c>
      <c r="T1919" s="13" t="str">
        <f aca="false">IF(M1919=1,YEAR(C1919),"")</f>
        <v/>
      </c>
      <c r="U1919" s="13" t="str">
        <f aca="false">IF(M1919=1,YEAR(C1919)&amp;"-Q"&amp;ROUNDUP(MONTH(C1919)/3,0),"")</f>
        <v/>
      </c>
      <c r="V1919" s="13" t="str">
        <f aca="false">IF(M1919=1,MONTH(C1919),"")</f>
        <v/>
      </c>
    </row>
    <row r="1920" customFormat="false" ht="15" hidden="false" customHeight="false" outlineLevel="0" collapsed="false">
      <c r="A1920" s="13" t="str">
        <f aca="false">TRIM(Raw_Data!A1920)</f>
        <v>EMP1919</v>
      </c>
      <c r="B1920" s="14" t="n">
        <f aca="false">Raw_Data!B1920</f>
        <v>45818</v>
      </c>
      <c r="C1920" s="14" t="str">
        <f aca="false">IF(Raw_Data!C1920="","",Raw_Data!C1920)</f>
        <v/>
      </c>
      <c r="D1920" s="13" t="n">
        <f aca="false">IF(Raw_Data!D1920="","",Raw_Data!D1920)</f>
        <v>43</v>
      </c>
      <c r="E1920" s="13" t="str">
        <f aca="false">IF(UPPER(LEFT(TRIM(Raw_Data!E1920),1))="M","Male",IF(UPPER(LEFT(TRIM(Raw_Data!E1920),1))="F","Female","Unknown"))</f>
        <v>Male</v>
      </c>
      <c r="F1920" s="13" t="str">
        <f aca="false">PROPER(TRIM(SUBSTITUTE(Raw_Data!F1920,"'","")))</f>
        <v>Bachelors</v>
      </c>
      <c r="G1920" s="13" t="str">
        <f aca="false">PROPER(TRIM(Raw_Data!G1920))</f>
        <v>Finance</v>
      </c>
      <c r="H1920" s="13" t="str">
        <f aca="false">PROPER(TRIM(Raw_Data!H1920))</f>
        <v>Analyst</v>
      </c>
      <c r="I1920" s="13" t="n">
        <f aca="false">IF(Raw_Data!I1920="",DefaultPerf,Raw_Data!I1920)</f>
        <v>4</v>
      </c>
      <c r="J1920" s="13" t="n">
        <f aca="false">IF(Raw_Data!J1920="",DefaultSat,Raw_Data!J1920)</f>
        <v>4</v>
      </c>
      <c r="K1920" s="15" t="n">
        <f aca="false">Raw_Data!K1920</f>
        <v>63500</v>
      </c>
      <c r="L1920" s="13" t="str">
        <f aca="false">PROPER(TRIM(Raw_Data!N1920))</f>
        <v>Yes</v>
      </c>
      <c r="M1920" s="13" t="n">
        <f aca="false">IF(C1920="",0,1)</f>
        <v>0</v>
      </c>
      <c r="N1920" s="13" t="str">
        <f aca="false">IF(M1920=0,"Active",IF(TRIM(Raw_Data!L1920)="","Unknown",PROPER(TRIM(Raw_Data!L1920))))</f>
        <v>Active</v>
      </c>
      <c r="O1920" s="13" t="str">
        <f aca="false">IF(M1920=0,"",IF(TRIM(Raw_Data!M1920)="","Not Recorded",TRIM(Raw_Data!M1920)))</f>
        <v/>
      </c>
      <c r="P1920" s="16" t="n">
        <f aca="false">ROUND((IF(C1920="",AsOfDate,C1920)-B1920)/365.25,2)</f>
        <v>0.56</v>
      </c>
      <c r="Q1920" s="13" t="str">
        <f aca="false">IF(D1920="","Unknown",IF(D1920&lt;25,"Under 25",IF(D1920&lt;35,"25-34",IF(D1920&lt;45,"35-44",IF(D1920&lt;55,"45-54","55+")))))</f>
        <v>35-44</v>
      </c>
      <c r="R1920" s="13" t="str">
        <f aca="false">IF(P1920&lt;1,"0-1 yrs",IF(P1920&lt;3,"1-3 yrs",IF(P1920&lt;5,"3-5 yrs",IF(P1920&lt;10,"5-10 yrs","10+ yrs"))))</f>
        <v>0-1 yrs</v>
      </c>
      <c r="S1920" s="13" t="str">
        <f aca="false">IF(I1920&gt;=4,"High",IF(I1920=3,"Medium","Low"))</f>
        <v>High</v>
      </c>
      <c r="T1920" s="13" t="str">
        <f aca="false">IF(M1920=1,YEAR(C1920),"")</f>
        <v/>
      </c>
      <c r="U1920" s="13" t="str">
        <f aca="false">IF(M1920=1,YEAR(C1920)&amp;"-Q"&amp;ROUNDUP(MONTH(C1920)/3,0),"")</f>
        <v/>
      </c>
      <c r="V1920" s="13" t="str">
        <f aca="false">IF(M1920=1,MONTH(C1920),"")</f>
        <v/>
      </c>
    </row>
    <row r="1921" customFormat="false" ht="15" hidden="false" customHeight="false" outlineLevel="0" collapsed="false">
      <c r="A1921" s="13" t="str">
        <f aca="false">TRIM(Raw_Data!A1921)</f>
        <v>EMP1920</v>
      </c>
      <c r="B1921" s="14" t="n">
        <f aca="false">Raw_Data!B1921</f>
        <v>45818</v>
      </c>
      <c r="C1921" s="14" t="str">
        <f aca="false">IF(Raw_Data!C1921="","",Raw_Data!C1921)</f>
        <v/>
      </c>
      <c r="D1921" s="13" t="n">
        <f aca="false">IF(Raw_Data!D1921="","",Raw_Data!D1921)</f>
        <v>30</v>
      </c>
      <c r="E1921" s="13" t="str">
        <f aca="false">IF(UPPER(LEFT(TRIM(Raw_Data!E1921),1))="M","Male",IF(UPPER(LEFT(TRIM(Raw_Data!E1921),1))="F","Female","Unknown"))</f>
        <v>Female</v>
      </c>
      <c r="F1921" s="13" t="str">
        <f aca="false">PROPER(TRIM(SUBSTITUTE(Raw_Data!F1921,"'","")))</f>
        <v>Bachelors</v>
      </c>
      <c r="G1921" s="13" t="str">
        <f aca="false">PROPER(TRIM(Raw_Data!G1921))</f>
        <v>Operations</v>
      </c>
      <c r="H1921" s="13" t="str">
        <f aca="false">PROPER(TRIM(Raw_Data!H1921))</f>
        <v>Associate</v>
      </c>
      <c r="I1921" s="13" t="n">
        <f aca="false">IF(Raw_Data!I1921="",DefaultPerf,Raw_Data!I1921)</f>
        <v>4</v>
      </c>
      <c r="J1921" s="13" t="n">
        <f aca="false">IF(Raw_Data!J1921="",DefaultSat,Raw_Data!J1921)</f>
        <v>4</v>
      </c>
      <c r="K1921" s="15" t="n">
        <f aca="false">Raw_Data!K1921</f>
        <v>33500</v>
      </c>
      <c r="L1921" s="13" t="str">
        <f aca="false">PROPER(TRIM(Raw_Data!N1921))</f>
        <v>Yes</v>
      </c>
      <c r="M1921" s="13" t="n">
        <f aca="false">IF(C1921="",0,1)</f>
        <v>0</v>
      </c>
      <c r="N1921" s="13" t="str">
        <f aca="false">IF(M1921=0,"Active",IF(TRIM(Raw_Data!L1921)="","Unknown",PROPER(TRIM(Raw_Data!L1921))))</f>
        <v>Active</v>
      </c>
      <c r="O1921" s="13" t="str">
        <f aca="false">IF(M1921=0,"",IF(TRIM(Raw_Data!M1921)="","Not Recorded",TRIM(Raw_Data!M1921)))</f>
        <v/>
      </c>
      <c r="P1921" s="16" t="n">
        <f aca="false">ROUND((IF(C1921="",AsOfDate,C1921)-B1921)/365.25,2)</f>
        <v>0.56</v>
      </c>
      <c r="Q1921" s="13" t="str">
        <f aca="false">IF(D1921="","Unknown",IF(D1921&lt;25,"Under 25",IF(D1921&lt;35,"25-34",IF(D1921&lt;45,"35-44",IF(D1921&lt;55,"45-54","55+")))))</f>
        <v>25-34</v>
      </c>
      <c r="R1921" s="13" t="str">
        <f aca="false">IF(P1921&lt;1,"0-1 yrs",IF(P1921&lt;3,"1-3 yrs",IF(P1921&lt;5,"3-5 yrs",IF(P1921&lt;10,"5-10 yrs","10+ yrs"))))</f>
        <v>0-1 yrs</v>
      </c>
      <c r="S1921" s="13" t="str">
        <f aca="false">IF(I1921&gt;=4,"High",IF(I1921=3,"Medium","Low"))</f>
        <v>High</v>
      </c>
      <c r="T1921" s="13" t="str">
        <f aca="false">IF(M1921=1,YEAR(C1921),"")</f>
        <v/>
      </c>
      <c r="U1921" s="13" t="str">
        <f aca="false">IF(M1921=1,YEAR(C1921)&amp;"-Q"&amp;ROUNDUP(MONTH(C1921)/3,0),"")</f>
        <v/>
      </c>
      <c r="V1921" s="13" t="str">
        <f aca="false">IF(M1921=1,MONTH(C1921),"")</f>
        <v/>
      </c>
    </row>
    <row r="1922" customFormat="false" ht="15" hidden="false" customHeight="false" outlineLevel="0" collapsed="false">
      <c r="A1922" s="13" t="str">
        <f aca="false">TRIM(Raw_Data!A1922)</f>
        <v>EMP1921</v>
      </c>
      <c r="B1922" s="14" t="n">
        <f aca="false">Raw_Data!B1922</f>
        <v>45819</v>
      </c>
      <c r="C1922" s="14" t="str">
        <f aca="false">IF(Raw_Data!C1922="","",Raw_Data!C1922)</f>
        <v/>
      </c>
      <c r="D1922" s="13" t="n">
        <f aca="false">IF(Raw_Data!D1922="","",Raw_Data!D1922)</f>
        <v>24</v>
      </c>
      <c r="E1922" s="13" t="str">
        <f aca="false">IF(UPPER(LEFT(TRIM(Raw_Data!E1922),1))="M","Male",IF(UPPER(LEFT(TRIM(Raw_Data!E1922),1))="F","Female","Unknown"))</f>
        <v>Female</v>
      </c>
      <c r="F1922" s="13" t="str">
        <f aca="false">PROPER(TRIM(SUBSTITUTE(Raw_Data!F1922,"'","")))</f>
        <v>Bachelors</v>
      </c>
      <c r="G1922" s="13" t="str">
        <f aca="false">PROPER(TRIM(Raw_Data!G1922))</f>
        <v>Engineering</v>
      </c>
      <c r="H1922" s="13" t="str">
        <f aca="false">PROPER(TRIM(Raw_Data!H1922))</f>
        <v>Team Lead</v>
      </c>
      <c r="I1922" s="13" t="n">
        <f aca="false">IF(Raw_Data!I1922="",DefaultPerf,Raw_Data!I1922)</f>
        <v>4</v>
      </c>
      <c r="J1922" s="13" t="n">
        <f aca="false">IF(Raw_Data!J1922="",DefaultSat,Raw_Data!J1922)</f>
        <v>3</v>
      </c>
      <c r="K1922" s="15" t="n">
        <f aca="false">Raw_Data!K1922</f>
        <v>123000</v>
      </c>
      <c r="L1922" s="13" t="str">
        <f aca="false">PROPER(TRIM(Raw_Data!N1922))</f>
        <v>No</v>
      </c>
      <c r="M1922" s="13" t="n">
        <f aca="false">IF(C1922="",0,1)</f>
        <v>0</v>
      </c>
      <c r="N1922" s="13" t="str">
        <f aca="false">IF(M1922=0,"Active",IF(TRIM(Raw_Data!L1922)="","Unknown",PROPER(TRIM(Raw_Data!L1922))))</f>
        <v>Active</v>
      </c>
      <c r="O1922" s="13" t="str">
        <f aca="false">IF(M1922=0,"",IF(TRIM(Raw_Data!M1922)="","Not Recorded",TRIM(Raw_Data!M1922)))</f>
        <v/>
      </c>
      <c r="P1922" s="16" t="n">
        <f aca="false">ROUND((IF(C1922="",AsOfDate,C1922)-B1922)/365.25,2)</f>
        <v>0.56</v>
      </c>
      <c r="Q1922" s="13" t="str">
        <f aca="false">IF(D1922="","Unknown",IF(D1922&lt;25,"Under 25",IF(D1922&lt;35,"25-34",IF(D1922&lt;45,"35-44",IF(D1922&lt;55,"45-54","55+")))))</f>
        <v>Under 25</v>
      </c>
      <c r="R1922" s="13" t="str">
        <f aca="false">IF(P1922&lt;1,"0-1 yrs",IF(P1922&lt;3,"1-3 yrs",IF(P1922&lt;5,"3-5 yrs",IF(P1922&lt;10,"5-10 yrs","10+ yrs"))))</f>
        <v>0-1 yrs</v>
      </c>
      <c r="S1922" s="13" t="str">
        <f aca="false">IF(I1922&gt;=4,"High",IF(I1922=3,"Medium","Low"))</f>
        <v>High</v>
      </c>
      <c r="T1922" s="13" t="str">
        <f aca="false">IF(M1922=1,YEAR(C1922),"")</f>
        <v/>
      </c>
      <c r="U1922" s="13" t="str">
        <f aca="false">IF(M1922=1,YEAR(C1922)&amp;"-Q"&amp;ROUNDUP(MONTH(C1922)/3,0),"")</f>
        <v/>
      </c>
      <c r="V1922" s="13" t="str">
        <f aca="false">IF(M1922=1,MONTH(C1922),"")</f>
        <v/>
      </c>
    </row>
    <row r="1923" customFormat="false" ht="15" hidden="false" customHeight="false" outlineLevel="0" collapsed="false">
      <c r="A1923" s="13" t="str">
        <f aca="false">TRIM(Raw_Data!A1923)</f>
        <v>EMP1922</v>
      </c>
      <c r="B1923" s="14" t="n">
        <f aca="false">Raw_Data!B1923</f>
        <v>45821</v>
      </c>
      <c r="C1923" s="14" t="str">
        <f aca="false">IF(Raw_Data!C1923="","",Raw_Data!C1923)</f>
        <v/>
      </c>
      <c r="D1923" s="13" t="n">
        <f aca="false">IF(Raw_Data!D1923="","",Raw_Data!D1923)</f>
        <v>29</v>
      </c>
      <c r="E1923" s="13" t="str">
        <f aca="false">IF(UPPER(LEFT(TRIM(Raw_Data!E1923),1))="M","Male",IF(UPPER(LEFT(TRIM(Raw_Data!E1923),1))="F","Female","Unknown"))</f>
        <v>Male</v>
      </c>
      <c r="F1923" s="13" t="str">
        <f aca="false">PROPER(TRIM(SUBSTITUTE(Raw_Data!F1923,"'","")))</f>
        <v>Bachelors</v>
      </c>
      <c r="G1923" s="13" t="str">
        <f aca="false">PROPER(TRIM(Raw_Data!G1923))</f>
        <v>Operations</v>
      </c>
      <c r="H1923" s="13" t="str">
        <f aca="false">PROPER(TRIM(Raw_Data!H1923))</f>
        <v>Senior Analyst</v>
      </c>
      <c r="I1923" s="13" t="n">
        <f aca="false">IF(Raw_Data!I1923="",DefaultPerf,Raw_Data!I1923)</f>
        <v>4</v>
      </c>
      <c r="J1923" s="13" t="n">
        <f aca="false">IF(Raw_Data!J1923="",DefaultSat,Raw_Data!J1923)</f>
        <v>3</v>
      </c>
      <c r="K1923" s="15" t="n">
        <f aca="false">Raw_Data!K1923</f>
        <v>73000</v>
      </c>
      <c r="L1923" s="13" t="str">
        <f aca="false">PROPER(TRIM(Raw_Data!N1923))</f>
        <v>No</v>
      </c>
      <c r="M1923" s="13" t="n">
        <f aca="false">IF(C1923="",0,1)</f>
        <v>0</v>
      </c>
      <c r="N1923" s="13" t="str">
        <f aca="false">IF(M1923=0,"Active",IF(TRIM(Raw_Data!L1923)="","Unknown",PROPER(TRIM(Raw_Data!L1923))))</f>
        <v>Active</v>
      </c>
      <c r="O1923" s="13" t="str">
        <f aca="false">IF(M1923=0,"",IF(TRIM(Raw_Data!M1923)="","Not Recorded",TRIM(Raw_Data!M1923)))</f>
        <v/>
      </c>
      <c r="P1923" s="16" t="n">
        <f aca="false">ROUND((IF(C1923="",AsOfDate,C1923)-B1923)/365.25,2)</f>
        <v>0.55</v>
      </c>
      <c r="Q1923" s="13" t="str">
        <f aca="false">IF(D1923="","Unknown",IF(D1923&lt;25,"Under 25",IF(D1923&lt;35,"25-34",IF(D1923&lt;45,"35-44",IF(D1923&lt;55,"45-54","55+")))))</f>
        <v>25-34</v>
      </c>
      <c r="R1923" s="13" t="str">
        <f aca="false">IF(P1923&lt;1,"0-1 yrs",IF(P1923&lt;3,"1-3 yrs",IF(P1923&lt;5,"3-5 yrs",IF(P1923&lt;10,"5-10 yrs","10+ yrs"))))</f>
        <v>0-1 yrs</v>
      </c>
      <c r="S1923" s="13" t="str">
        <f aca="false">IF(I1923&gt;=4,"High",IF(I1923=3,"Medium","Low"))</f>
        <v>High</v>
      </c>
      <c r="T1923" s="13" t="str">
        <f aca="false">IF(M1923=1,YEAR(C1923),"")</f>
        <v/>
      </c>
      <c r="U1923" s="13" t="str">
        <f aca="false">IF(M1923=1,YEAR(C1923)&amp;"-Q"&amp;ROUNDUP(MONTH(C1923)/3,0),"")</f>
        <v/>
      </c>
      <c r="V1923" s="13" t="str">
        <f aca="false">IF(M1923=1,MONTH(C1923),"")</f>
        <v/>
      </c>
    </row>
    <row r="1924" customFormat="false" ht="15" hidden="false" customHeight="false" outlineLevel="0" collapsed="false">
      <c r="A1924" s="13" t="str">
        <f aca="false">TRIM(Raw_Data!A1924)</f>
        <v>EMP1923</v>
      </c>
      <c r="B1924" s="14" t="n">
        <f aca="false">Raw_Data!B1924</f>
        <v>45824</v>
      </c>
      <c r="C1924" s="14" t="str">
        <f aca="false">IF(Raw_Data!C1924="","",Raw_Data!C1924)</f>
        <v/>
      </c>
      <c r="D1924" s="13" t="n">
        <f aca="false">IF(Raw_Data!D1924="","",Raw_Data!D1924)</f>
        <v>36</v>
      </c>
      <c r="E1924" s="13" t="str">
        <f aca="false">IF(UPPER(LEFT(TRIM(Raw_Data!E1924),1))="M","Male",IF(UPPER(LEFT(TRIM(Raw_Data!E1924),1))="F","Female","Unknown"))</f>
        <v>Male</v>
      </c>
      <c r="F1924" s="13" t="str">
        <f aca="false">PROPER(TRIM(SUBSTITUTE(Raw_Data!F1924,"'","")))</f>
        <v>Bachelors</v>
      </c>
      <c r="G1924" s="13" t="str">
        <f aca="false">PROPER(TRIM(Raw_Data!G1924))</f>
        <v>Sales</v>
      </c>
      <c r="H1924" s="13" t="str">
        <f aca="false">PROPER(TRIM(Raw_Data!H1924))</f>
        <v>Associate</v>
      </c>
      <c r="I1924" s="13" t="n">
        <f aca="false">IF(Raw_Data!I1924="",DefaultPerf,Raw_Data!I1924)</f>
        <v>1</v>
      </c>
      <c r="J1924" s="13" t="n">
        <f aca="false">IF(Raw_Data!J1924="",DefaultSat,Raw_Data!J1924)</f>
        <v>1</v>
      </c>
      <c r="K1924" s="15" t="n">
        <f aca="false">Raw_Data!K1924</f>
        <v>38000</v>
      </c>
      <c r="L1924" s="13" t="str">
        <f aca="false">PROPER(TRIM(Raw_Data!N1924))</f>
        <v>No</v>
      </c>
      <c r="M1924" s="13" t="n">
        <f aca="false">IF(C1924="",0,1)</f>
        <v>0</v>
      </c>
      <c r="N1924" s="13" t="str">
        <f aca="false">IF(M1924=0,"Active",IF(TRIM(Raw_Data!L1924)="","Unknown",PROPER(TRIM(Raw_Data!L1924))))</f>
        <v>Active</v>
      </c>
      <c r="O1924" s="13" t="str">
        <f aca="false">IF(M1924=0,"",IF(TRIM(Raw_Data!M1924)="","Not Recorded",TRIM(Raw_Data!M1924)))</f>
        <v/>
      </c>
      <c r="P1924" s="16" t="n">
        <f aca="false">ROUND((IF(C1924="",AsOfDate,C1924)-B1924)/365.25,2)</f>
        <v>0.54</v>
      </c>
      <c r="Q1924" s="13" t="str">
        <f aca="false">IF(D1924="","Unknown",IF(D1924&lt;25,"Under 25",IF(D1924&lt;35,"25-34",IF(D1924&lt;45,"35-44",IF(D1924&lt;55,"45-54","55+")))))</f>
        <v>35-44</v>
      </c>
      <c r="R1924" s="13" t="str">
        <f aca="false">IF(P1924&lt;1,"0-1 yrs",IF(P1924&lt;3,"1-3 yrs",IF(P1924&lt;5,"3-5 yrs",IF(P1924&lt;10,"5-10 yrs","10+ yrs"))))</f>
        <v>0-1 yrs</v>
      </c>
      <c r="S1924" s="13" t="str">
        <f aca="false">IF(I1924&gt;=4,"High",IF(I1924=3,"Medium","Low"))</f>
        <v>Low</v>
      </c>
      <c r="T1924" s="13" t="str">
        <f aca="false">IF(M1924=1,YEAR(C1924),"")</f>
        <v/>
      </c>
      <c r="U1924" s="13" t="str">
        <f aca="false">IF(M1924=1,YEAR(C1924)&amp;"-Q"&amp;ROUNDUP(MONTH(C1924)/3,0),"")</f>
        <v/>
      </c>
      <c r="V1924" s="13" t="str">
        <f aca="false">IF(M1924=1,MONTH(C1924),"")</f>
        <v/>
      </c>
    </row>
    <row r="1925" customFormat="false" ht="15" hidden="false" customHeight="false" outlineLevel="0" collapsed="false">
      <c r="A1925" s="13" t="str">
        <f aca="false">TRIM(Raw_Data!A1925)</f>
        <v>EMP1924</v>
      </c>
      <c r="B1925" s="14" t="n">
        <f aca="false">Raw_Data!B1925</f>
        <v>45825</v>
      </c>
      <c r="C1925" s="14" t="str">
        <f aca="false">IF(Raw_Data!C1925="","",Raw_Data!C1925)</f>
        <v/>
      </c>
      <c r="D1925" s="13" t="n">
        <f aca="false">IF(Raw_Data!D1925="","",Raw_Data!D1925)</f>
        <v>33</v>
      </c>
      <c r="E1925" s="13" t="str">
        <f aca="false">IF(UPPER(LEFT(TRIM(Raw_Data!E1925),1))="M","Male",IF(UPPER(LEFT(TRIM(Raw_Data!E1925),1))="F","Female","Unknown"))</f>
        <v>Male</v>
      </c>
      <c r="F1925" s="13" t="str">
        <f aca="false">PROPER(TRIM(SUBSTITUTE(Raw_Data!F1925,"'","")))</f>
        <v>Masters</v>
      </c>
      <c r="G1925" s="13" t="str">
        <f aca="false">PROPER(TRIM(Raw_Data!G1925))</f>
        <v>Human Resources</v>
      </c>
      <c r="H1925" s="13" t="str">
        <f aca="false">PROPER(TRIM(Raw_Data!H1925))</f>
        <v>Associate</v>
      </c>
      <c r="I1925" s="13" t="n">
        <f aca="false">IF(Raw_Data!I1925="",DefaultPerf,Raw_Data!I1925)</f>
        <v>3</v>
      </c>
      <c r="J1925" s="13" t="n">
        <f aca="false">IF(Raw_Data!J1925="",DefaultSat,Raw_Data!J1925)</f>
        <v>1</v>
      </c>
      <c r="K1925" s="15" t="n">
        <f aca="false">Raw_Data!K1925</f>
        <v>39500</v>
      </c>
      <c r="L1925" s="13" t="str">
        <f aca="false">PROPER(TRIM(Raw_Data!N1925))</f>
        <v>No</v>
      </c>
      <c r="M1925" s="13" t="n">
        <f aca="false">IF(C1925="",0,1)</f>
        <v>0</v>
      </c>
      <c r="N1925" s="13" t="str">
        <f aca="false">IF(M1925=0,"Active",IF(TRIM(Raw_Data!L1925)="","Unknown",PROPER(TRIM(Raw_Data!L1925))))</f>
        <v>Active</v>
      </c>
      <c r="O1925" s="13" t="str">
        <f aca="false">IF(M1925=0,"",IF(TRIM(Raw_Data!M1925)="","Not Recorded",TRIM(Raw_Data!M1925)))</f>
        <v/>
      </c>
      <c r="P1925" s="16" t="n">
        <f aca="false">ROUND((IF(C1925="",AsOfDate,C1925)-B1925)/365.25,2)</f>
        <v>0.54</v>
      </c>
      <c r="Q1925" s="13" t="str">
        <f aca="false">IF(D1925="","Unknown",IF(D1925&lt;25,"Under 25",IF(D1925&lt;35,"25-34",IF(D1925&lt;45,"35-44",IF(D1925&lt;55,"45-54","55+")))))</f>
        <v>25-34</v>
      </c>
      <c r="R1925" s="13" t="str">
        <f aca="false">IF(P1925&lt;1,"0-1 yrs",IF(P1925&lt;3,"1-3 yrs",IF(P1925&lt;5,"3-5 yrs",IF(P1925&lt;10,"5-10 yrs","10+ yrs"))))</f>
        <v>0-1 yrs</v>
      </c>
      <c r="S1925" s="13" t="str">
        <f aca="false">IF(I1925&gt;=4,"High",IF(I1925=3,"Medium","Low"))</f>
        <v>Medium</v>
      </c>
      <c r="T1925" s="13" t="str">
        <f aca="false">IF(M1925=1,YEAR(C1925),"")</f>
        <v/>
      </c>
      <c r="U1925" s="13" t="str">
        <f aca="false">IF(M1925=1,YEAR(C1925)&amp;"-Q"&amp;ROUNDUP(MONTH(C1925)/3,0),"")</f>
        <v/>
      </c>
      <c r="V1925" s="13" t="str">
        <f aca="false">IF(M1925=1,MONTH(C1925),"")</f>
        <v/>
      </c>
    </row>
    <row r="1926" customFormat="false" ht="15" hidden="false" customHeight="false" outlineLevel="0" collapsed="false">
      <c r="A1926" s="13" t="str">
        <f aca="false">TRIM(Raw_Data!A1926)</f>
        <v>EMP1925</v>
      </c>
      <c r="B1926" s="14" t="n">
        <f aca="false">Raw_Data!B1926</f>
        <v>45826</v>
      </c>
      <c r="C1926" s="14" t="str">
        <f aca="false">IF(Raw_Data!C1926="","",Raw_Data!C1926)</f>
        <v/>
      </c>
      <c r="D1926" s="13" t="n">
        <f aca="false">IF(Raw_Data!D1926="","",Raw_Data!D1926)</f>
        <v>27</v>
      </c>
      <c r="E1926" s="13" t="str">
        <f aca="false">IF(UPPER(LEFT(TRIM(Raw_Data!E1926),1))="M","Male",IF(UPPER(LEFT(TRIM(Raw_Data!E1926),1))="F","Female","Unknown"))</f>
        <v>Female</v>
      </c>
      <c r="F1926" s="13" t="str">
        <f aca="false">PROPER(TRIM(SUBSTITUTE(Raw_Data!F1926,"'","")))</f>
        <v>Masters</v>
      </c>
      <c r="G1926" s="13" t="str">
        <f aca="false">PROPER(TRIM(Raw_Data!G1926))</f>
        <v>Sales</v>
      </c>
      <c r="H1926" s="13" t="str">
        <f aca="false">PROPER(TRIM(Raw_Data!H1926))</f>
        <v>Specialist</v>
      </c>
      <c r="I1926" s="13" t="n">
        <f aca="false">IF(Raw_Data!I1926="",DefaultPerf,Raw_Data!I1926)</f>
        <v>4</v>
      </c>
      <c r="J1926" s="13" t="n">
        <f aca="false">IF(Raw_Data!J1926="",DefaultSat,Raw_Data!J1926)</f>
        <v>1</v>
      </c>
      <c r="K1926" s="15" t="n">
        <f aca="false">Raw_Data!K1926</f>
        <v>106000</v>
      </c>
      <c r="L1926" s="13" t="str">
        <f aca="false">PROPER(TRIM(Raw_Data!N1926))</f>
        <v>Yes</v>
      </c>
      <c r="M1926" s="13" t="n">
        <f aca="false">IF(C1926="",0,1)</f>
        <v>0</v>
      </c>
      <c r="N1926" s="13" t="str">
        <f aca="false">IF(M1926=0,"Active",IF(TRIM(Raw_Data!L1926)="","Unknown",PROPER(TRIM(Raw_Data!L1926))))</f>
        <v>Active</v>
      </c>
      <c r="O1926" s="13" t="str">
        <f aca="false">IF(M1926=0,"",IF(TRIM(Raw_Data!M1926)="","Not Recorded",TRIM(Raw_Data!M1926)))</f>
        <v/>
      </c>
      <c r="P1926" s="16" t="n">
        <f aca="false">ROUND((IF(C1926="",AsOfDate,C1926)-B1926)/365.25,2)</f>
        <v>0.54</v>
      </c>
      <c r="Q1926" s="13" t="str">
        <f aca="false">IF(D1926="","Unknown",IF(D1926&lt;25,"Under 25",IF(D1926&lt;35,"25-34",IF(D1926&lt;45,"35-44",IF(D1926&lt;55,"45-54","55+")))))</f>
        <v>25-34</v>
      </c>
      <c r="R1926" s="13" t="str">
        <f aca="false">IF(P1926&lt;1,"0-1 yrs",IF(P1926&lt;3,"1-3 yrs",IF(P1926&lt;5,"3-5 yrs",IF(P1926&lt;10,"5-10 yrs","10+ yrs"))))</f>
        <v>0-1 yrs</v>
      </c>
      <c r="S1926" s="13" t="str">
        <f aca="false">IF(I1926&gt;=4,"High",IF(I1926=3,"Medium","Low"))</f>
        <v>High</v>
      </c>
      <c r="T1926" s="13" t="str">
        <f aca="false">IF(M1926=1,YEAR(C1926),"")</f>
        <v/>
      </c>
      <c r="U1926" s="13" t="str">
        <f aca="false">IF(M1926=1,YEAR(C1926)&amp;"-Q"&amp;ROUNDUP(MONTH(C1926)/3,0),"")</f>
        <v/>
      </c>
      <c r="V1926" s="13" t="str">
        <f aca="false">IF(M1926=1,MONTH(C1926),"")</f>
        <v/>
      </c>
    </row>
    <row r="1927" customFormat="false" ht="15" hidden="false" customHeight="false" outlineLevel="0" collapsed="false">
      <c r="A1927" s="13" t="str">
        <f aca="false">TRIM(Raw_Data!A1927)</f>
        <v>EMP1926</v>
      </c>
      <c r="B1927" s="14" t="n">
        <f aca="false">Raw_Data!B1927</f>
        <v>45828</v>
      </c>
      <c r="C1927" s="14" t="str">
        <f aca="false">IF(Raw_Data!C1927="","",Raw_Data!C1927)</f>
        <v/>
      </c>
      <c r="D1927" s="13" t="n">
        <f aca="false">IF(Raw_Data!D1927="","",Raw_Data!D1927)</f>
        <v>25</v>
      </c>
      <c r="E1927" s="13" t="str">
        <f aca="false">IF(UPPER(LEFT(TRIM(Raw_Data!E1927),1))="M","Male",IF(UPPER(LEFT(TRIM(Raw_Data!E1927),1))="F","Female","Unknown"))</f>
        <v>Male</v>
      </c>
      <c r="F1927" s="13" t="str">
        <f aca="false">PROPER(TRIM(SUBSTITUTE(Raw_Data!F1927,"'","")))</f>
        <v>Bachelors</v>
      </c>
      <c r="G1927" s="13" t="str">
        <f aca="false">PROPER(TRIM(Raw_Data!G1927))</f>
        <v>Sales</v>
      </c>
      <c r="H1927" s="13" t="str">
        <f aca="false">PROPER(TRIM(Raw_Data!H1927))</f>
        <v>Manager</v>
      </c>
      <c r="I1927" s="13" t="n">
        <f aca="false">IF(Raw_Data!I1927="",DefaultPerf,Raw_Data!I1927)</f>
        <v>1</v>
      </c>
      <c r="J1927" s="13" t="n">
        <f aca="false">IF(Raw_Data!J1927="",DefaultSat,Raw_Data!J1927)</f>
        <v>2</v>
      </c>
      <c r="K1927" s="15" t="n">
        <f aca="false">Raw_Data!K1927</f>
        <v>171000</v>
      </c>
      <c r="L1927" s="13" t="str">
        <f aca="false">PROPER(TRIM(Raw_Data!N1927))</f>
        <v>No</v>
      </c>
      <c r="M1927" s="13" t="n">
        <f aca="false">IF(C1927="",0,1)</f>
        <v>0</v>
      </c>
      <c r="N1927" s="13" t="str">
        <f aca="false">IF(M1927=0,"Active",IF(TRIM(Raw_Data!L1927)="","Unknown",PROPER(TRIM(Raw_Data!L1927))))</f>
        <v>Active</v>
      </c>
      <c r="O1927" s="13" t="str">
        <f aca="false">IF(M1927=0,"",IF(TRIM(Raw_Data!M1927)="","Not Recorded",TRIM(Raw_Data!M1927)))</f>
        <v/>
      </c>
      <c r="P1927" s="16" t="n">
        <f aca="false">ROUND((IF(C1927="",AsOfDate,C1927)-B1927)/365.25,2)</f>
        <v>0.53</v>
      </c>
      <c r="Q1927" s="13" t="str">
        <f aca="false">IF(D1927="","Unknown",IF(D1927&lt;25,"Under 25",IF(D1927&lt;35,"25-34",IF(D1927&lt;45,"35-44",IF(D1927&lt;55,"45-54","55+")))))</f>
        <v>25-34</v>
      </c>
      <c r="R1927" s="13" t="str">
        <f aca="false">IF(P1927&lt;1,"0-1 yrs",IF(P1927&lt;3,"1-3 yrs",IF(P1927&lt;5,"3-5 yrs",IF(P1927&lt;10,"5-10 yrs","10+ yrs"))))</f>
        <v>0-1 yrs</v>
      </c>
      <c r="S1927" s="13" t="str">
        <f aca="false">IF(I1927&gt;=4,"High",IF(I1927=3,"Medium","Low"))</f>
        <v>Low</v>
      </c>
      <c r="T1927" s="13" t="str">
        <f aca="false">IF(M1927=1,YEAR(C1927),"")</f>
        <v/>
      </c>
      <c r="U1927" s="13" t="str">
        <f aca="false">IF(M1927=1,YEAR(C1927)&amp;"-Q"&amp;ROUNDUP(MONTH(C1927)/3,0),"")</f>
        <v/>
      </c>
      <c r="V1927" s="13" t="str">
        <f aca="false">IF(M1927=1,MONTH(C1927),"")</f>
        <v/>
      </c>
    </row>
    <row r="1928" customFormat="false" ht="15" hidden="false" customHeight="false" outlineLevel="0" collapsed="false">
      <c r="A1928" s="13" t="str">
        <f aca="false">TRIM(Raw_Data!A1928)</f>
        <v>EMP1927</v>
      </c>
      <c r="B1928" s="14" t="n">
        <f aca="false">Raw_Data!B1928</f>
        <v>45831</v>
      </c>
      <c r="C1928" s="14" t="str">
        <f aca="false">IF(Raw_Data!C1928="","",Raw_Data!C1928)</f>
        <v/>
      </c>
      <c r="D1928" s="13" t="n">
        <f aca="false">IF(Raw_Data!D1928="","",Raw_Data!D1928)</f>
        <v>31</v>
      </c>
      <c r="E1928" s="13" t="str">
        <f aca="false">IF(UPPER(LEFT(TRIM(Raw_Data!E1928),1))="M","Male",IF(UPPER(LEFT(TRIM(Raw_Data!E1928),1))="F","Female","Unknown"))</f>
        <v>Male</v>
      </c>
      <c r="F1928" s="13" t="str">
        <f aca="false">PROPER(TRIM(SUBSTITUTE(Raw_Data!F1928,"'","")))</f>
        <v>Masters</v>
      </c>
      <c r="G1928" s="13" t="str">
        <f aca="false">PROPER(TRIM(Raw_Data!G1928))</f>
        <v>Engineering</v>
      </c>
      <c r="H1928" s="13" t="str">
        <f aca="false">PROPER(TRIM(Raw_Data!H1928))</f>
        <v>Specialist</v>
      </c>
      <c r="I1928" s="13" t="n">
        <f aca="false">IF(Raw_Data!I1928="",DefaultPerf,Raw_Data!I1928)</f>
        <v>2</v>
      </c>
      <c r="J1928" s="13" t="n">
        <f aca="false">IF(Raw_Data!J1928="",DefaultSat,Raw_Data!J1928)</f>
        <v>4</v>
      </c>
      <c r="K1928" s="15" t="n">
        <f aca="false">Raw_Data!K1928</f>
        <v>105500</v>
      </c>
      <c r="L1928" s="13" t="str">
        <f aca="false">PROPER(TRIM(Raw_Data!N1928))</f>
        <v>No</v>
      </c>
      <c r="M1928" s="13" t="n">
        <f aca="false">IF(C1928="",0,1)</f>
        <v>0</v>
      </c>
      <c r="N1928" s="13" t="str">
        <f aca="false">IF(M1928=0,"Active",IF(TRIM(Raw_Data!L1928)="","Unknown",PROPER(TRIM(Raw_Data!L1928))))</f>
        <v>Active</v>
      </c>
      <c r="O1928" s="13" t="str">
        <f aca="false">IF(M1928=0,"",IF(TRIM(Raw_Data!M1928)="","Not Recorded",TRIM(Raw_Data!M1928)))</f>
        <v/>
      </c>
      <c r="P1928" s="16" t="n">
        <f aca="false">ROUND((IF(C1928="",AsOfDate,C1928)-B1928)/365.25,2)</f>
        <v>0.52</v>
      </c>
      <c r="Q1928" s="13" t="str">
        <f aca="false">IF(D1928="","Unknown",IF(D1928&lt;25,"Under 25",IF(D1928&lt;35,"25-34",IF(D1928&lt;45,"35-44",IF(D1928&lt;55,"45-54","55+")))))</f>
        <v>25-34</v>
      </c>
      <c r="R1928" s="13" t="str">
        <f aca="false">IF(P1928&lt;1,"0-1 yrs",IF(P1928&lt;3,"1-3 yrs",IF(P1928&lt;5,"3-5 yrs",IF(P1928&lt;10,"5-10 yrs","10+ yrs"))))</f>
        <v>0-1 yrs</v>
      </c>
      <c r="S1928" s="13" t="str">
        <f aca="false">IF(I1928&gt;=4,"High",IF(I1928=3,"Medium","Low"))</f>
        <v>Low</v>
      </c>
      <c r="T1928" s="13" t="str">
        <f aca="false">IF(M1928=1,YEAR(C1928),"")</f>
        <v/>
      </c>
      <c r="U1928" s="13" t="str">
        <f aca="false">IF(M1928=1,YEAR(C1928)&amp;"-Q"&amp;ROUNDUP(MONTH(C1928)/3,0),"")</f>
        <v/>
      </c>
      <c r="V1928" s="13" t="str">
        <f aca="false">IF(M1928=1,MONTH(C1928),"")</f>
        <v/>
      </c>
    </row>
    <row r="1929" customFormat="false" ht="15" hidden="false" customHeight="false" outlineLevel="0" collapsed="false">
      <c r="A1929" s="13" t="str">
        <f aca="false">TRIM(Raw_Data!A1929)</f>
        <v>EMP1928</v>
      </c>
      <c r="B1929" s="14" t="n">
        <f aca="false">Raw_Data!B1929</f>
        <v>45831</v>
      </c>
      <c r="C1929" s="14" t="str">
        <f aca="false">IF(Raw_Data!C1929="","",Raw_Data!C1929)</f>
        <v/>
      </c>
      <c r="D1929" s="13" t="n">
        <f aca="false">IF(Raw_Data!D1929="","",Raw_Data!D1929)</f>
        <v>35</v>
      </c>
      <c r="E1929" s="13" t="str">
        <f aca="false">IF(UPPER(LEFT(TRIM(Raw_Data!E1929),1))="M","Male",IF(UPPER(LEFT(TRIM(Raw_Data!E1929),1))="F","Female","Unknown"))</f>
        <v>Male</v>
      </c>
      <c r="F1929" s="13" t="str">
        <f aca="false">PROPER(TRIM(SUBSTITUTE(Raw_Data!F1929,"'","")))</f>
        <v>Bachelors</v>
      </c>
      <c r="G1929" s="13" t="str">
        <f aca="false">PROPER(TRIM(Raw_Data!G1929))</f>
        <v>Sales</v>
      </c>
      <c r="H1929" s="13" t="str">
        <f aca="false">PROPER(TRIM(Raw_Data!H1929))</f>
        <v>Associate</v>
      </c>
      <c r="I1929" s="13" t="n">
        <f aca="false">IF(Raw_Data!I1929="",DefaultPerf,Raw_Data!I1929)</f>
        <v>3</v>
      </c>
      <c r="J1929" s="17" t="n">
        <f aca="false">IF(Raw_Data!J1929="",DefaultSat,Raw_Data!J1929)</f>
        <v>3</v>
      </c>
      <c r="K1929" s="15" t="n">
        <f aca="false">Raw_Data!K1929</f>
        <v>37000</v>
      </c>
      <c r="L1929" s="13" t="str">
        <f aca="false">PROPER(TRIM(Raw_Data!N1929))</f>
        <v>Yes</v>
      </c>
      <c r="M1929" s="13" t="n">
        <f aca="false">IF(C1929="",0,1)</f>
        <v>0</v>
      </c>
      <c r="N1929" s="13" t="str">
        <f aca="false">IF(M1929=0,"Active",IF(TRIM(Raw_Data!L1929)="","Unknown",PROPER(TRIM(Raw_Data!L1929))))</f>
        <v>Active</v>
      </c>
      <c r="O1929" s="13" t="str">
        <f aca="false">IF(M1929=0,"",IF(TRIM(Raw_Data!M1929)="","Not Recorded",TRIM(Raw_Data!M1929)))</f>
        <v/>
      </c>
      <c r="P1929" s="16" t="n">
        <f aca="false">ROUND((IF(C1929="",AsOfDate,C1929)-B1929)/365.25,2)</f>
        <v>0.52</v>
      </c>
      <c r="Q1929" s="13" t="str">
        <f aca="false">IF(D1929="","Unknown",IF(D1929&lt;25,"Under 25",IF(D1929&lt;35,"25-34",IF(D1929&lt;45,"35-44",IF(D1929&lt;55,"45-54","55+")))))</f>
        <v>35-44</v>
      </c>
      <c r="R1929" s="13" t="str">
        <f aca="false">IF(P1929&lt;1,"0-1 yrs",IF(P1929&lt;3,"1-3 yrs",IF(P1929&lt;5,"3-5 yrs",IF(P1929&lt;10,"5-10 yrs","10+ yrs"))))</f>
        <v>0-1 yrs</v>
      </c>
      <c r="S1929" s="13" t="str">
        <f aca="false">IF(I1929&gt;=4,"High",IF(I1929=3,"Medium","Low"))</f>
        <v>Medium</v>
      </c>
      <c r="T1929" s="13" t="str">
        <f aca="false">IF(M1929=1,YEAR(C1929),"")</f>
        <v/>
      </c>
      <c r="U1929" s="13" t="str">
        <f aca="false">IF(M1929=1,YEAR(C1929)&amp;"-Q"&amp;ROUNDUP(MONTH(C1929)/3,0),"")</f>
        <v/>
      </c>
      <c r="V1929" s="13" t="str">
        <f aca="false">IF(M1929=1,MONTH(C1929),"")</f>
        <v/>
      </c>
    </row>
    <row r="1930" customFormat="false" ht="15" hidden="false" customHeight="false" outlineLevel="0" collapsed="false">
      <c r="A1930" s="13" t="str">
        <f aca="false">TRIM(Raw_Data!A1930)</f>
        <v>EMP1929</v>
      </c>
      <c r="B1930" s="14" t="n">
        <f aca="false">Raw_Data!B1930</f>
        <v>45832</v>
      </c>
      <c r="C1930" s="14" t="str">
        <f aca="false">IF(Raw_Data!C1930="","",Raw_Data!C1930)</f>
        <v/>
      </c>
      <c r="D1930" s="13" t="n">
        <f aca="false">IF(Raw_Data!D1930="","",Raw_Data!D1930)</f>
        <v>39</v>
      </c>
      <c r="E1930" s="13" t="str">
        <f aca="false">IF(UPPER(LEFT(TRIM(Raw_Data!E1930),1))="M","Male",IF(UPPER(LEFT(TRIM(Raw_Data!E1930),1))="F","Female","Unknown"))</f>
        <v>Male</v>
      </c>
      <c r="F1930" s="13" t="str">
        <f aca="false">PROPER(TRIM(SUBSTITUTE(Raw_Data!F1930,"'","")))</f>
        <v>Masters</v>
      </c>
      <c r="G1930" s="13" t="str">
        <f aca="false">PROPER(TRIM(Raw_Data!G1930))</f>
        <v>Human Resources</v>
      </c>
      <c r="H1930" s="13" t="str">
        <f aca="false">PROPER(TRIM(Raw_Data!H1930))</f>
        <v>Associate</v>
      </c>
      <c r="I1930" s="13" t="n">
        <f aca="false">IF(Raw_Data!I1930="",DefaultPerf,Raw_Data!I1930)</f>
        <v>4</v>
      </c>
      <c r="J1930" s="13" t="n">
        <f aca="false">IF(Raw_Data!J1930="",DefaultSat,Raw_Data!J1930)</f>
        <v>3</v>
      </c>
      <c r="K1930" s="15" t="n">
        <f aca="false">Raw_Data!K1930</f>
        <v>32500</v>
      </c>
      <c r="L1930" s="13" t="str">
        <f aca="false">PROPER(TRIM(Raw_Data!N1930))</f>
        <v>No</v>
      </c>
      <c r="M1930" s="13" t="n">
        <f aca="false">IF(C1930="",0,1)</f>
        <v>0</v>
      </c>
      <c r="N1930" s="13" t="str">
        <f aca="false">IF(M1930=0,"Active",IF(TRIM(Raw_Data!L1930)="","Unknown",PROPER(TRIM(Raw_Data!L1930))))</f>
        <v>Active</v>
      </c>
      <c r="O1930" s="13" t="str">
        <f aca="false">IF(M1930=0,"",IF(TRIM(Raw_Data!M1930)="","Not Recorded",TRIM(Raw_Data!M1930)))</f>
        <v/>
      </c>
      <c r="P1930" s="16" t="n">
        <f aca="false">ROUND((IF(C1930="",AsOfDate,C1930)-B1930)/365.25,2)</f>
        <v>0.52</v>
      </c>
      <c r="Q1930" s="13" t="str">
        <f aca="false">IF(D1930="","Unknown",IF(D1930&lt;25,"Under 25",IF(D1930&lt;35,"25-34",IF(D1930&lt;45,"35-44",IF(D1930&lt;55,"45-54","55+")))))</f>
        <v>35-44</v>
      </c>
      <c r="R1930" s="13" t="str">
        <f aca="false">IF(P1930&lt;1,"0-1 yrs",IF(P1930&lt;3,"1-3 yrs",IF(P1930&lt;5,"3-5 yrs",IF(P1930&lt;10,"5-10 yrs","10+ yrs"))))</f>
        <v>0-1 yrs</v>
      </c>
      <c r="S1930" s="13" t="str">
        <f aca="false">IF(I1930&gt;=4,"High",IF(I1930=3,"Medium","Low"))</f>
        <v>High</v>
      </c>
      <c r="T1930" s="13" t="str">
        <f aca="false">IF(M1930=1,YEAR(C1930),"")</f>
        <v/>
      </c>
      <c r="U1930" s="13" t="str">
        <f aca="false">IF(M1930=1,YEAR(C1930)&amp;"-Q"&amp;ROUNDUP(MONTH(C1930)/3,0),"")</f>
        <v/>
      </c>
      <c r="V1930" s="13" t="str">
        <f aca="false">IF(M1930=1,MONTH(C1930),"")</f>
        <v/>
      </c>
    </row>
    <row r="1931" customFormat="false" ht="15" hidden="false" customHeight="false" outlineLevel="0" collapsed="false">
      <c r="A1931" s="13" t="str">
        <f aca="false">TRIM(Raw_Data!A1931)</f>
        <v>EMP1930</v>
      </c>
      <c r="B1931" s="14" t="n">
        <f aca="false">Raw_Data!B1931</f>
        <v>45834</v>
      </c>
      <c r="C1931" s="14" t="str">
        <f aca="false">IF(Raw_Data!C1931="","",Raw_Data!C1931)</f>
        <v/>
      </c>
      <c r="D1931" s="13" t="n">
        <f aca="false">IF(Raw_Data!D1931="","",Raw_Data!D1931)</f>
        <v>22</v>
      </c>
      <c r="E1931" s="13" t="str">
        <f aca="false">IF(UPPER(LEFT(TRIM(Raw_Data!E1931),1))="M","Male",IF(UPPER(LEFT(TRIM(Raw_Data!E1931),1))="F","Female","Unknown"))</f>
        <v>Female</v>
      </c>
      <c r="F1931" s="13" t="str">
        <f aca="false">PROPER(TRIM(SUBSTITUTE(Raw_Data!F1931,"'","")))</f>
        <v>Bachelors</v>
      </c>
      <c r="G1931" s="13" t="str">
        <f aca="false">PROPER(TRIM(Raw_Data!G1931))</f>
        <v>Sales</v>
      </c>
      <c r="H1931" s="13" t="str">
        <f aca="false">PROPER(TRIM(Raw_Data!H1931))</f>
        <v>Senior Analyst</v>
      </c>
      <c r="I1931" s="13" t="n">
        <f aca="false">IF(Raw_Data!I1931="",DefaultPerf,Raw_Data!I1931)</f>
        <v>3</v>
      </c>
      <c r="J1931" s="13" t="n">
        <f aca="false">IF(Raw_Data!J1931="",DefaultSat,Raw_Data!J1931)</f>
        <v>2</v>
      </c>
      <c r="K1931" s="15" t="n">
        <f aca="false">Raw_Data!K1931</f>
        <v>87500</v>
      </c>
      <c r="L1931" s="13" t="str">
        <f aca="false">PROPER(TRIM(Raw_Data!N1931))</f>
        <v>No</v>
      </c>
      <c r="M1931" s="13" t="n">
        <f aca="false">IF(C1931="",0,1)</f>
        <v>0</v>
      </c>
      <c r="N1931" s="13" t="str">
        <f aca="false">IF(M1931=0,"Active",IF(TRIM(Raw_Data!L1931)="","Unknown",PROPER(TRIM(Raw_Data!L1931))))</f>
        <v>Active</v>
      </c>
      <c r="O1931" s="13" t="str">
        <f aca="false">IF(M1931=0,"",IF(TRIM(Raw_Data!M1931)="","Not Recorded",TRIM(Raw_Data!M1931)))</f>
        <v/>
      </c>
      <c r="P1931" s="16" t="n">
        <f aca="false">ROUND((IF(C1931="",AsOfDate,C1931)-B1931)/365.25,2)</f>
        <v>0.51</v>
      </c>
      <c r="Q1931" s="13" t="str">
        <f aca="false">IF(D1931="","Unknown",IF(D1931&lt;25,"Under 25",IF(D1931&lt;35,"25-34",IF(D1931&lt;45,"35-44",IF(D1931&lt;55,"45-54","55+")))))</f>
        <v>Under 25</v>
      </c>
      <c r="R1931" s="13" t="str">
        <f aca="false">IF(P1931&lt;1,"0-1 yrs",IF(P1931&lt;3,"1-3 yrs",IF(P1931&lt;5,"3-5 yrs",IF(P1931&lt;10,"5-10 yrs","10+ yrs"))))</f>
        <v>0-1 yrs</v>
      </c>
      <c r="S1931" s="13" t="str">
        <f aca="false">IF(I1931&gt;=4,"High",IF(I1931=3,"Medium","Low"))</f>
        <v>Medium</v>
      </c>
      <c r="T1931" s="13" t="str">
        <f aca="false">IF(M1931=1,YEAR(C1931),"")</f>
        <v/>
      </c>
      <c r="U1931" s="13" t="str">
        <f aca="false">IF(M1931=1,YEAR(C1931)&amp;"-Q"&amp;ROUNDUP(MONTH(C1931)/3,0),"")</f>
        <v/>
      </c>
      <c r="V1931" s="13" t="str">
        <f aca="false">IF(M1931=1,MONTH(C1931),"")</f>
        <v/>
      </c>
    </row>
    <row r="1932" customFormat="false" ht="15" hidden="false" customHeight="false" outlineLevel="0" collapsed="false">
      <c r="A1932" s="13" t="str">
        <f aca="false">TRIM(Raw_Data!A1932)</f>
        <v>EMP1931</v>
      </c>
      <c r="B1932" s="14" t="n">
        <f aca="false">Raw_Data!B1932</f>
        <v>45837</v>
      </c>
      <c r="C1932" s="14" t="str">
        <f aca="false">IF(Raw_Data!C1932="","",Raw_Data!C1932)</f>
        <v/>
      </c>
      <c r="D1932" s="13" t="n">
        <f aca="false">IF(Raw_Data!D1932="","",Raw_Data!D1932)</f>
        <v>25</v>
      </c>
      <c r="E1932" s="13" t="str">
        <f aca="false">IF(UPPER(LEFT(TRIM(Raw_Data!E1932),1))="M","Male",IF(UPPER(LEFT(TRIM(Raw_Data!E1932),1))="F","Female","Unknown"))</f>
        <v>Female</v>
      </c>
      <c r="F1932" s="13" t="str">
        <f aca="false">PROPER(TRIM(SUBSTITUTE(Raw_Data!F1932,"'","")))</f>
        <v>Bachelors</v>
      </c>
      <c r="G1932" s="13" t="str">
        <f aca="false">PROPER(TRIM(Raw_Data!G1932))</f>
        <v>Engineering</v>
      </c>
      <c r="H1932" s="13" t="str">
        <f aca="false">PROPER(TRIM(Raw_Data!H1932))</f>
        <v>Associate</v>
      </c>
      <c r="I1932" s="13" t="n">
        <f aca="false">IF(Raw_Data!I1932="",DefaultPerf,Raw_Data!I1932)</f>
        <v>4</v>
      </c>
      <c r="J1932" s="13" t="n">
        <f aca="false">IF(Raw_Data!J1932="",DefaultSat,Raw_Data!J1932)</f>
        <v>4</v>
      </c>
      <c r="K1932" s="15" t="n">
        <f aca="false">Raw_Data!K1932</f>
        <v>35500</v>
      </c>
      <c r="L1932" s="13" t="str">
        <f aca="false">PROPER(TRIM(Raw_Data!N1932))</f>
        <v>No</v>
      </c>
      <c r="M1932" s="13" t="n">
        <f aca="false">IF(C1932="",0,1)</f>
        <v>0</v>
      </c>
      <c r="N1932" s="13" t="str">
        <f aca="false">IF(M1932=0,"Active",IF(TRIM(Raw_Data!L1932)="","Unknown",PROPER(TRIM(Raw_Data!L1932))))</f>
        <v>Active</v>
      </c>
      <c r="O1932" s="13" t="str">
        <f aca="false">IF(M1932=0,"",IF(TRIM(Raw_Data!M1932)="","Not Recorded",TRIM(Raw_Data!M1932)))</f>
        <v/>
      </c>
      <c r="P1932" s="16" t="n">
        <f aca="false">ROUND((IF(C1932="",AsOfDate,C1932)-B1932)/365.25,2)</f>
        <v>0.51</v>
      </c>
      <c r="Q1932" s="13" t="str">
        <f aca="false">IF(D1932="","Unknown",IF(D1932&lt;25,"Under 25",IF(D1932&lt;35,"25-34",IF(D1932&lt;45,"35-44",IF(D1932&lt;55,"45-54","55+")))))</f>
        <v>25-34</v>
      </c>
      <c r="R1932" s="13" t="str">
        <f aca="false">IF(P1932&lt;1,"0-1 yrs",IF(P1932&lt;3,"1-3 yrs",IF(P1932&lt;5,"3-5 yrs",IF(P1932&lt;10,"5-10 yrs","10+ yrs"))))</f>
        <v>0-1 yrs</v>
      </c>
      <c r="S1932" s="13" t="str">
        <f aca="false">IF(I1932&gt;=4,"High",IF(I1932=3,"Medium","Low"))</f>
        <v>High</v>
      </c>
      <c r="T1932" s="13" t="str">
        <f aca="false">IF(M1932=1,YEAR(C1932),"")</f>
        <v/>
      </c>
      <c r="U1932" s="13" t="str">
        <f aca="false">IF(M1932=1,YEAR(C1932)&amp;"-Q"&amp;ROUNDUP(MONTH(C1932)/3,0),"")</f>
        <v/>
      </c>
      <c r="V1932" s="13" t="str">
        <f aca="false">IF(M1932=1,MONTH(C1932),"")</f>
        <v/>
      </c>
    </row>
    <row r="1933" customFormat="false" ht="15" hidden="false" customHeight="false" outlineLevel="0" collapsed="false">
      <c r="A1933" s="13" t="str">
        <f aca="false">TRIM(Raw_Data!A1933)</f>
        <v>EMP1932</v>
      </c>
      <c r="B1933" s="14" t="n">
        <f aca="false">Raw_Data!B1933</f>
        <v>45837</v>
      </c>
      <c r="C1933" s="14" t="n">
        <f aca="false">IF(Raw_Data!C1933="","",Raw_Data!C1933)</f>
        <v>46005</v>
      </c>
      <c r="D1933" s="13" t="n">
        <f aca="false">IF(Raw_Data!D1933="","",Raw_Data!D1933)</f>
        <v>31</v>
      </c>
      <c r="E1933" s="13" t="str">
        <f aca="false">IF(UPPER(LEFT(TRIM(Raw_Data!E1933),1))="M","Male",IF(UPPER(LEFT(TRIM(Raw_Data!E1933),1))="F","Female","Unknown"))</f>
        <v>Female</v>
      </c>
      <c r="F1933" s="13" t="str">
        <f aca="false">PROPER(TRIM(SUBSTITUTE(Raw_Data!F1933,"'","")))</f>
        <v>Masters</v>
      </c>
      <c r="G1933" s="13" t="str">
        <f aca="false">PROPER(TRIM(Raw_Data!G1933))</f>
        <v>Customer Support</v>
      </c>
      <c r="H1933" s="13" t="str">
        <f aca="false">PROPER(TRIM(Raw_Data!H1933))</f>
        <v>Specialist</v>
      </c>
      <c r="I1933" s="13" t="n">
        <f aca="false">IF(Raw_Data!I1933="",DefaultPerf,Raw_Data!I1933)</f>
        <v>3</v>
      </c>
      <c r="J1933" s="13" t="n">
        <f aca="false">IF(Raw_Data!J1933="",DefaultSat,Raw_Data!J1933)</f>
        <v>1</v>
      </c>
      <c r="K1933" s="15" t="n">
        <f aca="false">Raw_Data!K1933</f>
        <v>103500</v>
      </c>
      <c r="L1933" s="13" t="str">
        <f aca="false">PROPER(TRIM(Raw_Data!N1933))</f>
        <v>Yes</v>
      </c>
      <c r="M1933" s="13" t="n">
        <f aca="false">IF(C1933="",0,1)</f>
        <v>1</v>
      </c>
      <c r="N1933" s="13" t="str">
        <f aca="false">IF(M1933=0,"Active",IF(TRIM(Raw_Data!L1933)="","Unknown",PROPER(TRIM(Raw_Data!L1933))))</f>
        <v>Voluntary</v>
      </c>
      <c r="O1933" s="13" t="str">
        <f aca="false">IF(M1933=0,"",IF(TRIM(Raw_Data!M1933)="","Not Recorded",TRIM(Raw_Data!M1933)))</f>
        <v>Career Growth</v>
      </c>
      <c r="P1933" s="16" t="n">
        <f aca="false">ROUND((IF(C1933="",AsOfDate,C1933)-B1933)/365.25,2)</f>
        <v>0.46</v>
      </c>
      <c r="Q1933" s="13" t="str">
        <f aca="false">IF(D1933="","Unknown",IF(D1933&lt;25,"Under 25",IF(D1933&lt;35,"25-34",IF(D1933&lt;45,"35-44",IF(D1933&lt;55,"45-54","55+")))))</f>
        <v>25-34</v>
      </c>
      <c r="R1933" s="13" t="str">
        <f aca="false">IF(P1933&lt;1,"0-1 yrs",IF(P1933&lt;3,"1-3 yrs",IF(P1933&lt;5,"3-5 yrs",IF(P1933&lt;10,"5-10 yrs","10+ yrs"))))</f>
        <v>0-1 yrs</v>
      </c>
      <c r="S1933" s="13" t="str">
        <f aca="false">IF(I1933&gt;=4,"High",IF(I1933=3,"Medium","Low"))</f>
        <v>Medium</v>
      </c>
      <c r="T1933" s="13" t="n">
        <f aca="false">IF(M1933=1,YEAR(C1933),"")</f>
        <v>2025</v>
      </c>
      <c r="U1933" s="13" t="str">
        <f aca="false">IF(M1933=1,YEAR(C1933)&amp;"-Q"&amp;ROUNDUP(MONTH(C1933)/3,0),"")</f>
        <v>2025-Q4</v>
      </c>
      <c r="V1933" s="13" t="n">
        <f aca="false">IF(M1933=1,MONTH(C1933),"")</f>
        <v>12</v>
      </c>
    </row>
    <row r="1934" customFormat="false" ht="15" hidden="false" customHeight="false" outlineLevel="0" collapsed="false">
      <c r="A1934" s="13" t="str">
        <f aca="false">TRIM(Raw_Data!A1934)</f>
        <v>EMP1933</v>
      </c>
      <c r="B1934" s="14" t="n">
        <f aca="false">Raw_Data!B1934</f>
        <v>45840</v>
      </c>
      <c r="C1934" s="14" t="str">
        <f aca="false">IF(Raw_Data!C1934="","",Raw_Data!C1934)</f>
        <v/>
      </c>
      <c r="D1934" s="13" t="n">
        <f aca="false">IF(Raw_Data!D1934="","",Raw_Data!D1934)</f>
        <v>29</v>
      </c>
      <c r="E1934" s="13" t="str">
        <f aca="false">IF(UPPER(LEFT(TRIM(Raw_Data!E1934),1))="M","Male",IF(UPPER(LEFT(TRIM(Raw_Data!E1934),1))="F","Female","Unknown"))</f>
        <v>Female</v>
      </c>
      <c r="F1934" s="13" t="str">
        <f aca="false">PROPER(TRIM(SUBSTITUTE(Raw_Data!F1934,"'","")))</f>
        <v>Masters</v>
      </c>
      <c r="G1934" s="13" t="str">
        <f aca="false">PROPER(TRIM(Raw_Data!G1934))</f>
        <v>Human Resources</v>
      </c>
      <c r="H1934" s="13" t="str">
        <f aca="false">PROPER(TRIM(Raw_Data!H1934))</f>
        <v>Associate</v>
      </c>
      <c r="I1934" s="13" t="n">
        <f aca="false">IF(Raw_Data!I1934="",DefaultPerf,Raw_Data!I1934)</f>
        <v>3</v>
      </c>
      <c r="J1934" s="13" t="n">
        <f aca="false">IF(Raw_Data!J1934="",DefaultSat,Raw_Data!J1934)</f>
        <v>4</v>
      </c>
      <c r="K1934" s="15" t="n">
        <f aca="false">Raw_Data!K1934</f>
        <v>38000</v>
      </c>
      <c r="L1934" s="13" t="str">
        <f aca="false">PROPER(TRIM(Raw_Data!N1934))</f>
        <v>No</v>
      </c>
      <c r="M1934" s="13" t="n">
        <f aca="false">IF(C1934="",0,1)</f>
        <v>0</v>
      </c>
      <c r="N1934" s="13" t="str">
        <f aca="false">IF(M1934=0,"Active",IF(TRIM(Raw_Data!L1934)="","Unknown",PROPER(TRIM(Raw_Data!L1934))))</f>
        <v>Active</v>
      </c>
      <c r="O1934" s="13" t="str">
        <f aca="false">IF(M1934=0,"",IF(TRIM(Raw_Data!M1934)="","Not Recorded",TRIM(Raw_Data!M1934)))</f>
        <v/>
      </c>
      <c r="P1934" s="16" t="n">
        <f aca="false">ROUND((IF(C1934="",AsOfDate,C1934)-B1934)/365.25,2)</f>
        <v>0.5</v>
      </c>
      <c r="Q1934" s="13" t="str">
        <f aca="false">IF(D1934="","Unknown",IF(D1934&lt;25,"Under 25",IF(D1934&lt;35,"25-34",IF(D1934&lt;45,"35-44",IF(D1934&lt;55,"45-54","55+")))))</f>
        <v>25-34</v>
      </c>
      <c r="R1934" s="13" t="str">
        <f aca="false">IF(P1934&lt;1,"0-1 yrs",IF(P1934&lt;3,"1-3 yrs",IF(P1934&lt;5,"3-5 yrs",IF(P1934&lt;10,"5-10 yrs","10+ yrs"))))</f>
        <v>0-1 yrs</v>
      </c>
      <c r="S1934" s="13" t="str">
        <f aca="false">IF(I1934&gt;=4,"High",IF(I1934=3,"Medium","Low"))</f>
        <v>Medium</v>
      </c>
      <c r="T1934" s="13" t="str">
        <f aca="false">IF(M1934=1,YEAR(C1934),"")</f>
        <v/>
      </c>
      <c r="U1934" s="13" t="str">
        <f aca="false">IF(M1934=1,YEAR(C1934)&amp;"-Q"&amp;ROUNDUP(MONTH(C1934)/3,0),"")</f>
        <v/>
      </c>
      <c r="V1934" s="13" t="str">
        <f aca="false">IF(M1934=1,MONTH(C1934),"")</f>
        <v/>
      </c>
    </row>
    <row r="1935" customFormat="false" ht="15" hidden="false" customHeight="false" outlineLevel="0" collapsed="false">
      <c r="A1935" s="13" t="str">
        <f aca="false">TRIM(Raw_Data!A1935)</f>
        <v>EMP1934</v>
      </c>
      <c r="B1935" s="14" t="n">
        <f aca="false">Raw_Data!B1935</f>
        <v>45840</v>
      </c>
      <c r="C1935" s="14" t="str">
        <f aca="false">IF(Raw_Data!C1935="","",Raw_Data!C1935)</f>
        <v/>
      </c>
      <c r="D1935" s="13" t="n">
        <f aca="false">IF(Raw_Data!D1935="","",Raw_Data!D1935)</f>
        <v>27</v>
      </c>
      <c r="E1935" s="13" t="str">
        <f aca="false">IF(UPPER(LEFT(TRIM(Raw_Data!E1935),1))="M","Male",IF(UPPER(LEFT(TRIM(Raw_Data!E1935),1))="F","Female","Unknown"))</f>
        <v>Male</v>
      </c>
      <c r="F1935" s="13" t="str">
        <f aca="false">PROPER(TRIM(SUBSTITUTE(Raw_Data!F1935,"'","")))</f>
        <v>Bachelors</v>
      </c>
      <c r="G1935" s="13" t="str">
        <f aca="false">PROPER(TRIM(Raw_Data!G1935))</f>
        <v>Operations</v>
      </c>
      <c r="H1935" s="13" t="str">
        <f aca="false">PROPER(TRIM(Raw_Data!H1935))</f>
        <v>Analyst</v>
      </c>
      <c r="I1935" s="13" t="n">
        <f aca="false">IF(Raw_Data!I1935="",DefaultPerf,Raw_Data!I1935)</f>
        <v>4</v>
      </c>
      <c r="J1935" s="13" t="n">
        <f aca="false">IF(Raw_Data!J1935="",DefaultSat,Raw_Data!J1935)</f>
        <v>2</v>
      </c>
      <c r="K1935" s="15" t="n">
        <f aca="false">Raw_Data!K1935</f>
        <v>60000</v>
      </c>
      <c r="L1935" s="13" t="str">
        <f aca="false">PROPER(TRIM(Raw_Data!N1935))</f>
        <v>No</v>
      </c>
      <c r="M1935" s="13" t="n">
        <f aca="false">IF(C1935="",0,1)</f>
        <v>0</v>
      </c>
      <c r="N1935" s="13" t="str">
        <f aca="false">IF(M1935=0,"Active",IF(TRIM(Raw_Data!L1935)="","Unknown",PROPER(TRIM(Raw_Data!L1935))))</f>
        <v>Active</v>
      </c>
      <c r="O1935" s="13" t="str">
        <f aca="false">IF(M1935=0,"",IF(TRIM(Raw_Data!M1935)="","Not Recorded",TRIM(Raw_Data!M1935)))</f>
        <v/>
      </c>
      <c r="P1935" s="16" t="n">
        <f aca="false">ROUND((IF(C1935="",AsOfDate,C1935)-B1935)/365.25,2)</f>
        <v>0.5</v>
      </c>
      <c r="Q1935" s="13" t="str">
        <f aca="false">IF(D1935="","Unknown",IF(D1935&lt;25,"Under 25",IF(D1935&lt;35,"25-34",IF(D1935&lt;45,"35-44",IF(D1935&lt;55,"45-54","55+")))))</f>
        <v>25-34</v>
      </c>
      <c r="R1935" s="13" t="str">
        <f aca="false">IF(P1935&lt;1,"0-1 yrs",IF(P1935&lt;3,"1-3 yrs",IF(P1935&lt;5,"3-5 yrs",IF(P1935&lt;10,"5-10 yrs","10+ yrs"))))</f>
        <v>0-1 yrs</v>
      </c>
      <c r="S1935" s="13" t="str">
        <f aca="false">IF(I1935&gt;=4,"High",IF(I1935=3,"Medium","Low"))</f>
        <v>High</v>
      </c>
      <c r="T1935" s="13" t="str">
        <f aca="false">IF(M1935=1,YEAR(C1935),"")</f>
        <v/>
      </c>
      <c r="U1935" s="13" t="str">
        <f aca="false">IF(M1935=1,YEAR(C1935)&amp;"-Q"&amp;ROUNDUP(MONTH(C1935)/3,0),"")</f>
        <v/>
      </c>
      <c r="V1935" s="13" t="str">
        <f aca="false">IF(M1935=1,MONTH(C1935),"")</f>
        <v/>
      </c>
    </row>
    <row r="1936" customFormat="false" ht="15" hidden="false" customHeight="false" outlineLevel="0" collapsed="false">
      <c r="A1936" s="13" t="str">
        <f aca="false">TRIM(Raw_Data!A1936)</f>
        <v>EMP1935</v>
      </c>
      <c r="B1936" s="14" t="n">
        <f aca="false">Raw_Data!B1936</f>
        <v>45841</v>
      </c>
      <c r="C1936" s="14" t="n">
        <f aca="false">IF(Raw_Data!C1936="","",Raw_Data!C1936)</f>
        <v>45983</v>
      </c>
      <c r="D1936" s="13" t="n">
        <f aca="false">IF(Raw_Data!D1936="","",Raw_Data!D1936)</f>
        <v>31</v>
      </c>
      <c r="E1936" s="13" t="str">
        <f aca="false">IF(UPPER(LEFT(TRIM(Raw_Data!E1936),1))="M","Male",IF(UPPER(LEFT(TRIM(Raw_Data!E1936),1))="F","Female","Unknown"))</f>
        <v>Female</v>
      </c>
      <c r="F1936" s="13" t="str">
        <f aca="false">PROPER(TRIM(SUBSTITUTE(Raw_Data!F1936,"'","")))</f>
        <v>Doctorate</v>
      </c>
      <c r="G1936" s="13" t="str">
        <f aca="false">PROPER(TRIM(Raw_Data!G1936))</f>
        <v>Customer Support</v>
      </c>
      <c r="H1936" s="13" t="str">
        <f aca="false">PROPER(TRIM(Raw_Data!H1936))</f>
        <v>Associate</v>
      </c>
      <c r="I1936" s="13" t="n">
        <f aca="false">IF(Raw_Data!I1936="",DefaultPerf,Raw_Data!I1936)</f>
        <v>3</v>
      </c>
      <c r="J1936" s="13" t="n">
        <f aca="false">IF(Raw_Data!J1936="",DefaultSat,Raw_Data!J1936)</f>
        <v>1</v>
      </c>
      <c r="K1936" s="15" t="n">
        <f aca="false">Raw_Data!K1936</f>
        <v>40500</v>
      </c>
      <c r="L1936" s="13" t="str">
        <f aca="false">PROPER(TRIM(Raw_Data!N1936))</f>
        <v>No</v>
      </c>
      <c r="M1936" s="13" t="n">
        <f aca="false">IF(C1936="",0,1)</f>
        <v>1</v>
      </c>
      <c r="N1936" s="13" t="str">
        <f aca="false">IF(M1936=0,"Active",IF(TRIM(Raw_Data!L1936)="","Unknown",PROPER(TRIM(Raw_Data!L1936))))</f>
        <v>Involuntary</v>
      </c>
      <c r="O1936" s="13" t="str">
        <f aca="false">IF(M1936=0,"",IF(TRIM(Raw_Data!M1936)="","Not Recorded",TRIM(Raw_Data!M1936)))</f>
        <v>Restructuring / Layoff</v>
      </c>
      <c r="P1936" s="16" t="n">
        <f aca="false">ROUND((IF(C1936="",AsOfDate,C1936)-B1936)/365.25,2)</f>
        <v>0.39</v>
      </c>
      <c r="Q1936" s="13" t="str">
        <f aca="false">IF(D1936="","Unknown",IF(D1936&lt;25,"Under 25",IF(D1936&lt;35,"25-34",IF(D1936&lt;45,"35-44",IF(D1936&lt;55,"45-54","55+")))))</f>
        <v>25-34</v>
      </c>
      <c r="R1936" s="13" t="str">
        <f aca="false">IF(P1936&lt;1,"0-1 yrs",IF(P1936&lt;3,"1-3 yrs",IF(P1936&lt;5,"3-5 yrs",IF(P1936&lt;10,"5-10 yrs","10+ yrs"))))</f>
        <v>0-1 yrs</v>
      </c>
      <c r="S1936" s="13" t="str">
        <f aca="false">IF(I1936&gt;=4,"High",IF(I1936=3,"Medium","Low"))</f>
        <v>Medium</v>
      </c>
      <c r="T1936" s="13" t="n">
        <f aca="false">IF(M1936=1,YEAR(C1936),"")</f>
        <v>2025</v>
      </c>
      <c r="U1936" s="13" t="str">
        <f aca="false">IF(M1936=1,YEAR(C1936)&amp;"-Q"&amp;ROUNDUP(MONTH(C1936)/3,0),"")</f>
        <v>2025-Q4</v>
      </c>
      <c r="V1936" s="13" t="n">
        <f aca="false">IF(M1936=1,MONTH(C1936),"")</f>
        <v>11</v>
      </c>
    </row>
    <row r="1937" customFormat="false" ht="15" hidden="false" customHeight="false" outlineLevel="0" collapsed="false">
      <c r="A1937" s="13" t="str">
        <f aca="false">TRIM(Raw_Data!A1937)</f>
        <v>EMP1936</v>
      </c>
      <c r="B1937" s="14" t="n">
        <f aca="false">Raw_Data!B1937</f>
        <v>45842</v>
      </c>
      <c r="C1937" s="14" t="str">
        <f aca="false">IF(Raw_Data!C1937="","",Raw_Data!C1937)</f>
        <v/>
      </c>
      <c r="D1937" s="13" t="n">
        <f aca="false">IF(Raw_Data!D1937="","",Raw_Data!D1937)</f>
        <v>24</v>
      </c>
      <c r="E1937" s="13" t="str">
        <f aca="false">IF(UPPER(LEFT(TRIM(Raw_Data!E1937),1))="M","Male",IF(UPPER(LEFT(TRIM(Raw_Data!E1937),1))="F","Female","Unknown"))</f>
        <v>Female</v>
      </c>
      <c r="F1937" s="13" t="str">
        <f aca="false">PROPER(TRIM(SUBSTITUTE(Raw_Data!F1937,"'","")))</f>
        <v>Bachelors</v>
      </c>
      <c r="G1937" s="13" t="str">
        <f aca="false">PROPER(TRIM(Raw_Data!G1937))</f>
        <v>Sales</v>
      </c>
      <c r="H1937" s="13" t="str">
        <f aca="false">PROPER(TRIM(Raw_Data!H1937))</f>
        <v>Associate</v>
      </c>
      <c r="I1937" s="13" t="n">
        <f aca="false">IF(Raw_Data!I1937="",DefaultPerf,Raw_Data!I1937)</f>
        <v>5</v>
      </c>
      <c r="J1937" s="13" t="n">
        <f aca="false">IF(Raw_Data!J1937="",DefaultSat,Raw_Data!J1937)</f>
        <v>2</v>
      </c>
      <c r="K1937" s="15" t="n">
        <f aca="false">Raw_Data!K1937</f>
        <v>30000</v>
      </c>
      <c r="L1937" s="13" t="str">
        <f aca="false">PROPER(TRIM(Raw_Data!N1937))</f>
        <v>No</v>
      </c>
      <c r="M1937" s="13" t="n">
        <f aca="false">IF(C1937="",0,1)</f>
        <v>0</v>
      </c>
      <c r="N1937" s="13" t="str">
        <f aca="false">IF(M1937=0,"Active",IF(TRIM(Raw_Data!L1937)="","Unknown",PROPER(TRIM(Raw_Data!L1937))))</f>
        <v>Active</v>
      </c>
      <c r="O1937" s="13" t="str">
        <f aca="false">IF(M1937=0,"",IF(TRIM(Raw_Data!M1937)="","Not Recorded",TRIM(Raw_Data!M1937)))</f>
        <v/>
      </c>
      <c r="P1937" s="16" t="n">
        <f aca="false">ROUND((IF(C1937="",AsOfDate,C1937)-B1937)/365.25,2)</f>
        <v>0.49</v>
      </c>
      <c r="Q1937" s="13" t="str">
        <f aca="false">IF(D1937="","Unknown",IF(D1937&lt;25,"Under 25",IF(D1937&lt;35,"25-34",IF(D1937&lt;45,"35-44",IF(D1937&lt;55,"45-54","55+")))))</f>
        <v>Under 25</v>
      </c>
      <c r="R1937" s="13" t="str">
        <f aca="false">IF(P1937&lt;1,"0-1 yrs",IF(P1937&lt;3,"1-3 yrs",IF(P1937&lt;5,"3-5 yrs",IF(P1937&lt;10,"5-10 yrs","10+ yrs"))))</f>
        <v>0-1 yrs</v>
      </c>
      <c r="S1937" s="13" t="str">
        <f aca="false">IF(I1937&gt;=4,"High",IF(I1937=3,"Medium","Low"))</f>
        <v>High</v>
      </c>
      <c r="T1937" s="13" t="str">
        <f aca="false">IF(M1937=1,YEAR(C1937),"")</f>
        <v/>
      </c>
      <c r="U1937" s="13" t="str">
        <f aca="false">IF(M1937=1,YEAR(C1937)&amp;"-Q"&amp;ROUNDUP(MONTH(C1937)/3,0),"")</f>
        <v/>
      </c>
      <c r="V1937" s="13" t="str">
        <f aca="false">IF(M1937=1,MONTH(C1937),"")</f>
        <v/>
      </c>
    </row>
    <row r="1938" customFormat="false" ht="15" hidden="false" customHeight="false" outlineLevel="0" collapsed="false">
      <c r="A1938" s="13" t="str">
        <f aca="false">TRIM(Raw_Data!A1938)</f>
        <v>EMP1937</v>
      </c>
      <c r="B1938" s="14" t="n">
        <f aca="false">Raw_Data!B1938</f>
        <v>45844</v>
      </c>
      <c r="C1938" s="14" t="str">
        <f aca="false">IF(Raw_Data!C1938="","",Raw_Data!C1938)</f>
        <v/>
      </c>
      <c r="D1938" s="13" t="n">
        <f aca="false">IF(Raw_Data!D1938="","",Raw_Data!D1938)</f>
        <v>21</v>
      </c>
      <c r="E1938" s="13" t="str">
        <f aca="false">IF(UPPER(LEFT(TRIM(Raw_Data!E1938),1))="M","Male",IF(UPPER(LEFT(TRIM(Raw_Data!E1938),1))="F","Female","Unknown"))</f>
        <v>Male</v>
      </c>
      <c r="F1938" s="13" t="str">
        <f aca="false">PROPER(TRIM(SUBSTITUTE(Raw_Data!F1938,"'","")))</f>
        <v>High School</v>
      </c>
      <c r="G1938" s="13" t="str">
        <f aca="false">PROPER(TRIM(Raw_Data!G1938))</f>
        <v>Sales</v>
      </c>
      <c r="H1938" s="13" t="str">
        <f aca="false">PROPER(TRIM(Raw_Data!H1938))</f>
        <v>Associate</v>
      </c>
      <c r="I1938" s="13" t="n">
        <f aca="false">IF(Raw_Data!I1938="",DefaultPerf,Raw_Data!I1938)</f>
        <v>3</v>
      </c>
      <c r="J1938" s="13" t="n">
        <f aca="false">IF(Raw_Data!J1938="",DefaultSat,Raw_Data!J1938)</f>
        <v>2</v>
      </c>
      <c r="K1938" s="15" t="n">
        <f aca="false">Raw_Data!K1938</f>
        <v>42000</v>
      </c>
      <c r="L1938" s="13" t="str">
        <f aca="false">PROPER(TRIM(Raw_Data!N1938))</f>
        <v>No</v>
      </c>
      <c r="M1938" s="13" t="n">
        <f aca="false">IF(C1938="",0,1)</f>
        <v>0</v>
      </c>
      <c r="N1938" s="13" t="str">
        <f aca="false">IF(M1938=0,"Active",IF(TRIM(Raw_Data!L1938)="","Unknown",PROPER(TRIM(Raw_Data!L1938))))</f>
        <v>Active</v>
      </c>
      <c r="O1938" s="13" t="str">
        <f aca="false">IF(M1938=0,"",IF(TRIM(Raw_Data!M1938)="","Not Recorded",TRIM(Raw_Data!M1938)))</f>
        <v/>
      </c>
      <c r="P1938" s="16" t="n">
        <f aca="false">ROUND((IF(C1938="",AsOfDate,C1938)-B1938)/365.25,2)</f>
        <v>0.49</v>
      </c>
      <c r="Q1938" s="13" t="str">
        <f aca="false">IF(D1938="","Unknown",IF(D1938&lt;25,"Under 25",IF(D1938&lt;35,"25-34",IF(D1938&lt;45,"35-44",IF(D1938&lt;55,"45-54","55+")))))</f>
        <v>Under 25</v>
      </c>
      <c r="R1938" s="13" t="str">
        <f aca="false">IF(P1938&lt;1,"0-1 yrs",IF(P1938&lt;3,"1-3 yrs",IF(P1938&lt;5,"3-5 yrs",IF(P1938&lt;10,"5-10 yrs","10+ yrs"))))</f>
        <v>0-1 yrs</v>
      </c>
      <c r="S1938" s="13" t="str">
        <f aca="false">IF(I1938&gt;=4,"High",IF(I1938=3,"Medium","Low"))</f>
        <v>Medium</v>
      </c>
      <c r="T1938" s="13" t="str">
        <f aca="false">IF(M1938=1,YEAR(C1938),"")</f>
        <v/>
      </c>
      <c r="U1938" s="13" t="str">
        <f aca="false">IF(M1938=1,YEAR(C1938)&amp;"-Q"&amp;ROUNDUP(MONTH(C1938)/3,0),"")</f>
        <v/>
      </c>
      <c r="V1938" s="13" t="str">
        <f aca="false">IF(M1938=1,MONTH(C1938),"")</f>
        <v/>
      </c>
    </row>
    <row r="1939" customFormat="false" ht="15" hidden="false" customHeight="false" outlineLevel="0" collapsed="false">
      <c r="A1939" s="13" t="str">
        <f aca="false">TRIM(Raw_Data!A1939)</f>
        <v>EMP1938</v>
      </c>
      <c r="B1939" s="14" t="n">
        <f aca="false">Raw_Data!B1939</f>
        <v>45848</v>
      </c>
      <c r="C1939" s="14" t="str">
        <f aca="false">IF(Raw_Data!C1939="","",Raw_Data!C1939)</f>
        <v/>
      </c>
      <c r="D1939" s="13" t="n">
        <f aca="false">IF(Raw_Data!D1939="","",Raw_Data!D1939)</f>
        <v>36</v>
      </c>
      <c r="E1939" s="13" t="str">
        <f aca="false">IF(UPPER(LEFT(TRIM(Raw_Data!E1939),1))="M","Male",IF(UPPER(LEFT(TRIM(Raw_Data!E1939),1))="F","Female","Unknown"))</f>
        <v>Male</v>
      </c>
      <c r="F1939" s="13" t="str">
        <f aca="false">PROPER(TRIM(SUBSTITUTE(Raw_Data!F1939,"'","")))</f>
        <v>Bachelors</v>
      </c>
      <c r="G1939" s="13" t="str">
        <f aca="false">PROPER(TRIM(Raw_Data!G1939))</f>
        <v>Customer Support</v>
      </c>
      <c r="H1939" s="13" t="str">
        <f aca="false">PROPER(TRIM(Raw_Data!H1939))</f>
        <v>Associate</v>
      </c>
      <c r="I1939" s="13" t="n">
        <f aca="false">IF(Raw_Data!I1939="",DefaultPerf,Raw_Data!I1939)</f>
        <v>2</v>
      </c>
      <c r="J1939" s="13" t="n">
        <f aca="false">IF(Raw_Data!J1939="",DefaultSat,Raw_Data!J1939)</f>
        <v>4</v>
      </c>
      <c r="K1939" s="15" t="n">
        <f aca="false">Raw_Data!K1939</f>
        <v>43000</v>
      </c>
      <c r="L1939" s="13" t="str">
        <f aca="false">PROPER(TRIM(Raw_Data!N1939))</f>
        <v>Yes</v>
      </c>
      <c r="M1939" s="13" t="n">
        <f aca="false">IF(C1939="",0,1)</f>
        <v>0</v>
      </c>
      <c r="N1939" s="13" t="str">
        <f aca="false">IF(M1939=0,"Active",IF(TRIM(Raw_Data!L1939)="","Unknown",PROPER(TRIM(Raw_Data!L1939))))</f>
        <v>Active</v>
      </c>
      <c r="O1939" s="13" t="str">
        <f aca="false">IF(M1939=0,"",IF(TRIM(Raw_Data!M1939)="","Not Recorded",TRIM(Raw_Data!M1939)))</f>
        <v/>
      </c>
      <c r="P1939" s="16" t="n">
        <f aca="false">ROUND((IF(C1939="",AsOfDate,C1939)-B1939)/365.25,2)</f>
        <v>0.48</v>
      </c>
      <c r="Q1939" s="13" t="str">
        <f aca="false">IF(D1939="","Unknown",IF(D1939&lt;25,"Under 25",IF(D1939&lt;35,"25-34",IF(D1939&lt;45,"35-44",IF(D1939&lt;55,"45-54","55+")))))</f>
        <v>35-44</v>
      </c>
      <c r="R1939" s="13" t="str">
        <f aca="false">IF(P1939&lt;1,"0-1 yrs",IF(P1939&lt;3,"1-3 yrs",IF(P1939&lt;5,"3-5 yrs",IF(P1939&lt;10,"5-10 yrs","10+ yrs"))))</f>
        <v>0-1 yrs</v>
      </c>
      <c r="S1939" s="13" t="str">
        <f aca="false">IF(I1939&gt;=4,"High",IF(I1939=3,"Medium","Low"))</f>
        <v>Low</v>
      </c>
      <c r="T1939" s="13" t="str">
        <f aca="false">IF(M1939=1,YEAR(C1939),"")</f>
        <v/>
      </c>
      <c r="U1939" s="13" t="str">
        <f aca="false">IF(M1939=1,YEAR(C1939)&amp;"-Q"&amp;ROUNDUP(MONTH(C1939)/3,0),"")</f>
        <v/>
      </c>
      <c r="V1939" s="13" t="str">
        <f aca="false">IF(M1939=1,MONTH(C1939),"")</f>
        <v/>
      </c>
    </row>
    <row r="1940" customFormat="false" ht="15" hidden="false" customHeight="false" outlineLevel="0" collapsed="false">
      <c r="A1940" s="13" t="str">
        <f aca="false">TRIM(Raw_Data!A1940)</f>
        <v>EMP1939</v>
      </c>
      <c r="B1940" s="14" t="n">
        <f aca="false">Raw_Data!B1940</f>
        <v>45849</v>
      </c>
      <c r="C1940" s="14" t="str">
        <f aca="false">IF(Raw_Data!C1940="","",Raw_Data!C1940)</f>
        <v/>
      </c>
      <c r="D1940" s="13" t="n">
        <f aca="false">IF(Raw_Data!D1940="","",Raw_Data!D1940)</f>
        <v>27</v>
      </c>
      <c r="E1940" s="13" t="str">
        <f aca="false">IF(UPPER(LEFT(TRIM(Raw_Data!E1940),1))="M","Male",IF(UPPER(LEFT(TRIM(Raw_Data!E1940),1))="F","Female","Unknown"))</f>
        <v>Male</v>
      </c>
      <c r="F1940" s="13" t="str">
        <f aca="false">PROPER(TRIM(SUBSTITUTE(Raw_Data!F1940,"'","")))</f>
        <v>Doctorate</v>
      </c>
      <c r="G1940" s="13" t="str">
        <f aca="false">PROPER(TRIM(Raw_Data!G1940))</f>
        <v>Sales</v>
      </c>
      <c r="H1940" s="13" t="str">
        <f aca="false">PROPER(TRIM(Raw_Data!H1940))</f>
        <v>Specialist</v>
      </c>
      <c r="I1940" s="13" t="n">
        <f aca="false">IF(Raw_Data!I1940="",DefaultPerf,Raw_Data!I1940)</f>
        <v>3</v>
      </c>
      <c r="J1940" s="13" t="n">
        <f aca="false">IF(Raw_Data!J1940="",DefaultSat,Raw_Data!J1940)</f>
        <v>2</v>
      </c>
      <c r="K1940" s="15" t="n">
        <f aca="false">Raw_Data!K1940</f>
        <v>104500</v>
      </c>
      <c r="L1940" s="13" t="str">
        <f aca="false">PROPER(TRIM(Raw_Data!N1940))</f>
        <v>No</v>
      </c>
      <c r="M1940" s="13" t="n">
        <f aca="false">IF(C1940="",0,1)</f>
        <v>0</v>
      </c>
      <c r="N1940" s="13" t="str">
        <f aca="false">IF(M1940=0,"Active",IF(TRIM(Raw_Data!L1940)="","Unknown",PROPER(TRIM(Raw_Data!L1940))))</f>
        <v>Active</v>
      </c>
      <c r="O1940" s="13" t="str">
        <f aca="false">IF(M1940=0,"",IF(TRIM(Raw_Data!M1940)="","Not Recorded",TRIM(Raw_Data!M1940)))</f>
        <v/>
      </c>
      <c r="P1940" s="16" t="n">
        <f aca="false">ROUND((IF(C1940="",AsOfDate,C1940)-B1940)/365.25,2)</f>
        <v>0.47</v>
      </c>
      <c r="Q1940" s="13" t="str">
        <f aca="false">IF(D1940="","Unknown",IF(D1940&lt;25,"Under 25",IF(D1940&lt;35,"25-34",IF(D1940&lt;45,"35-44",IF(D1940&lt;55,"45-54","55+")))))</f>
        <v>25-34</v>
      </c>
      <c r="R1940" s="13" t="str">
        <f aca="false">IF(P1940&lt;1,"0-1 yrs",IF(P1940&lt;3,"1-3 yrs",IF(P1940&lt;5,"3-5 yrs",IF(P1940&lt;10,"5-10 yrs","10+ yrs"))))</f>
        <v>0-1 yrs</v>
      </c>
      <c r="S1940" s="13" t="str">
        <f aca="false">IF(I1940&gt;=4,"High",IF(I1940=3,"Medium","Low"))</f>
        <v>Medium</v>
      </c>
      <c r="T1940" s="13" t="str">
        <f aca="false">IF(M1940=1,YEAR(C1940),"")</f>
        <v/>
      </c>
      <c r="U1940" s="13" t="str">
        <f aca="false">IF(M1940=1,YEAR(C1940)&amp;"-Q"&amp;ROUNDUP(MONTH(C1940)/3,0),"")</f>
        <v/>
      </c>
      <c r="V1940" s="13" t="str">
        <f aca="false">IF(M1940=1,MONTH(C1940),"")</f>
        <v/>
      </c>
    </row>
    <row r="1941" customFormat="false" ht="15" hidden="false" customHeight="false" outlineLevel="0" collapsed="false">
      <c r="A1941" s="13" t="str">
        <f aca="false">TRIM(Raw_Data!A1941)</f>
        <v>EMP1940</v>
      </c>
      <c r="B1941" s="14" t="n">
        <f aca="false">Raw_Data!B1941</f>
        <v>45850</v>
      </c>
      <c r="C1941" s="14" t="str">
        <f aca="false">IF(Raw_Data!C1941="","",Raw_Data!C1941)</f>
        <v/>
      </c>
      <c r="D1941" s="13" t="n">
        <f aca="false">IF(Raw_Data!D1941="","",Raw_Data!D1941)</f>
        <v>26</v>
      </c>
      <c r="E1941" s="13" t="str">
        <f aca="false">IF(UPPER(LEFT(TRIM(Raw_Data!E1941),1))="M","Male",IF(UPPER(LEFT(TRIM(Raw_Data!E1941),1))="F","Female","Unknown"))</f>
        <v>Female</v>
      </c>
      <c r="F1941" s="13" t="str">
        <f aca="false">PROPER(TRIM(SUBSTITUTE(Raw_Data!F1941,"'","")))</f>
        <v>Bachelors</v>
      </c>
      <c r="G1941" s="13" t="str">
        <f aca="false">PROPER(TRIM(Raw_Data!G1941))</f>
        <v>Operations</v>
      </c>
      <c r="H1941" s="13" t="str">
        <f aca="false">PROPER(TRIM(Raw_Data!H1941))</f>
        <v>Analyst</v>
      </c>
      <c r="I1941" s="13" t="n">
        <f aca="false">IF(Raw_Data!I1941="",DefaultPerf,Raw_Data!I1941)</f>
        <v>4</v>
      </c>
      <c r="J1941" s="13" t="n">
        <f aca="false">IF(Raw_Data!J1941="",DefaultSat,Raw_Data!J1941)</f>
        <v>4</v>
      </c>
      <c r="K1941" s="15" t="n">
        <f aca="false">Raw_Data!K1941</f>
        <v>62000</v>
      </c>
      <c r="L1941" s="13" t="str">
        <f aca="false">PROPER(TRIM(Raw_Data!N1941))</f>
        <v>Yes</v>
      </c>
      <c r="M1941" s="13" t="n">
        <f aca="false">IF(C1941="",0,1)</f>
        <v>0</v>
      </c>
      <c r="N1941" s="13" t="str">
        <f aca="false">IF(M1941=0,"Active",IF(TRIM(Raw_Data!L1941)="","Unknown",PROPER(TRIM(Raw_Data!L1941))))</f>
        <v>Active</v>
      </c>
      <c r="O1941" s="13" t="str">
        <f aca="false">IF(M1941=0,"",IF(TRIM(Raw_Data!M1941)="","Not Recorded",TRIM(Raw_Data!M1941)))</f>
        <v/>
      </c>
      <c r="P1941" s="16" t="n">
        <f aca="false">ROUND((IF(C1941="",AsOfDate,C1941)-B1941)/365.25,2)</f>
        <v>0.47</v>
      </c>
      <c r="Q1941" s="13" t="str">
        <f aca="false">IF(D1941="","Unknown",IF(D1941&lt;25,"Under 25",IF(D1941&lt;35,"25-34",IF(D1941&lt;45,"35-44",IF(D1941&lt;55,"45-54","55+")))))</f>
        <v>25-34</v>
      </c>
      <c r="R1941" s="13" t="str">
        <f aca="false">IF(P1941&lt;1,"0-1 yrs",IF(P1941&lt;3,"1-3 yrs",IF(P1941&lt;5,"3-5 yrs",IF(P1941&lt;10,"5-10 yrs","10+ yrs"))))</f>
        <v>0-1 yrs</v>
      </c>
      <c r="S1941" s="13" t="str">
        <f aca="false">IF(I1941&gt;=4,"High",IF(I1941=3,"Medium","Low"))</f>
        <v>High</v>
      </c>
      <c r="T1941" s="13" t="str">
        <f aca="false">IF(M1941=1,YEAR(C1941),"")</f>
        <v/>
      </c>
      <c r="U1941" s="13" t="str">
        <f aca="false">IF(M1941=1,YEAR(C1941)&amp;"-Q"&amp;ROUNDUP(MONTH(C1941)/3,0),"")</f>
        <v/>
      </c>
      <c r="V1941" s="13" t="str">
        <f aca="false">IF(M1941=1,MONTH(C1941),"")</f>
        <v/>
      </c>
    </row>
    <row r="1942" customFormat="false" ht="15" hidden="false" customHeight="false" outlineLevel="0" collapsed="false">
      <c r="A1942" s="13" t="str">
        <f aca="false">TRIM(Raw_Data!A1942)</f>
        <v>EMP1941</v>
      </c>
      <c r="B1942" s="14" t="n">
        <f aca="false">Raw_Data!B1942</f>
        <v>45852</v>
      </c>
      <c r="C1942" s="14" t="str">
        <f aca="false">IF(Raw_Data!C1942="","",Raw_Data!C1942)</f>
        <v/>
      </c>
      <c r="D1942" s="13" t="n">
        <f aca="false">IF(Raw_Data!D1942="","",Raw_Data!D1942)</f>
        <v>33</v>
      </c>
      <c r="E1942" s="13" t="str">
        <f aca="false">IF(UPPER(LEFT(TRIM(Raw_Data!E1942),1))="M","Male",IF(UPPER(LEFT(TRIM(Raw_Data!E1942),1))="F","Female","Unknown"))</f>
        <v>Male</v>
      </c>
      <c r="F1942" s="13" t="str">
        <f aca="false">PROPER(TRIM(SUBSTITUTE(Raw_Data!F1942,"'","")))</f>
        <v>Masters</v>
      </c>
      <c r="G1942" s="13" t="str">
        <f aca="false">PROPER(TRIM(Raw_Data!G1942))</f>
        <v>Operations</v>
      </c>
      <c r="H1942" s="13" t="str">
        <f aca="false">PROPER(TRIM(Raw_Data!H1942))</f>
        <v>Team Lead</v>
      </c>
      <c r="I1942" s="13" t="n">
        <f aca="false">IF(Raw_Data!I1942="",DefaultPerf,Raw_Data!I1942)</f>
        <v>3</v>
      </c>
      <c r="J1942" s="13" t="n">
        <f aca="false">IF(Raw_Data!J1942="",DefaultSat,Raw_Data!J1942)</f>
        <v>4</v>
      </c>
      <c r="K1942" s="15" t="n">
        <f aca="false">Raw_Data!K1942</f>
        <v>138000</v>
      </c>
      <c r="L1942" s="13" t="str">
        <f aca="false">PROPER(TRIM(Raw_Data!N1942))</f>
        <v>No</v>
      </c>
      <c r="M1942" s="13" t="n">
        <f aca="false">IF(C1942="",0,1)</f>
        <v>0</v>
      </c>
      <c r="N1942" s="13" t="str">
        <f aca="false">IF(M1942=0,"Active",IF(TRIM(Raw_Data!L1942)="","Unknown",PROPER(TRIM(Raw_Data!L1942))))</f>
        <v>Active</v>
      </c>
      <c r="O1942" s="13" t="str">
        <f aca="false">IF(M1942=0,"",IF(TRIM(Raw_Data!M1942)="","Not Recorded",TRIM(Raw_Data!M1942)))</f>
        <v/>
      </c>
      <c r="P1942" s="16" t="n">
        <f aca="false">ROUND((IF(C1942="",AsOfDate,C1942)-B1942)/365.25,2)</f>
        <v>0.47</v>
      </c>
      <c r="Q1942" s="13" t="str">
        <f aca="false">IF(D1942="","Unknown",IF(D1942&lt;25,"Under 25",IF(D1942&lt;35,"25-34",IF(D1942&lt;45,"35-44",IF(D1942&lt;55,"45-54","55+")))))</f>
        <v>25-34</v>
      </c>
      <c r="R1942" s="13" t="str">
        <f aca="false">IF(P1942&lt;1,"0-1 yrs",IF(P1942&lt;3,"1-3 yrs",IF(P1942&lt;5,"3-5 yrs",IF(P1942&lt;10,"5-10 yrs","10+ yrs"))))</f>
        <v>0-1 yrs</v>
      </c>
      <c r="S1942" s="13" t="str">
        <f aca="false">IF(I1942&gt;=4,"High",IF(I1942=3,"Medium","Low"))</f>
        <v>Medium</v>
      </c>
      <c r="T1942" s="13" t="str">
        <f aca="false">IF(M1942=1,YEAR(C1942),"")</f>
        <v/>
      </c>
      <c r="U1942" s="13" t="str">
        <f aca="false">IF(M1942=1,YEAR(C1942)&amp;"-Q"&amp;ROUNDUP(MONTH(C1942)/3,0),"")</f>
        <v/>
      </c>
      <c r="V1942" s="13" t="str">
        <f aca="false">IF(M1942=1,MONTH(C1942),"")</f>
        <v/>
      </c>
    </row>
    <row r="1943" customFormat="false" ht="15" hidden="false" customHeight="false" outlineLevel="0" collapsed="false">
      <c r="A1943" s="13" t="str">
        <f aca="false">TRIM(Raw_Data!A1943)</f>
        <v>EMP1942</v>
      </c>
      <c r="B1943" s="14" t="n">
        <f aca="false">Raw_Data!B1943</f>
        <v>45853</v>
      </c>
      <c r="C1943" s="14" t="str">
        <f aca="false">IF(Raw_Data!C1943="","",Raw_Data!C1943)</f>
        <v/>
      </c>
      <c r="D1943" s="13" t="n">
        <f aca="false">IF(Raw_Data!D1943="","",Raw_Data!D1943)</f>
        <v>32</v>
      </c>
      <c r="E1943" s="13" t="str">
        <f aca="false">IF(UPPER(LEFT(TRIM(Raw_Data!E1943),1))="M","Male",IF(UPPER(LEFT(TRIM(Raw_Data!E1943),1))="F","Female","Unknown"))</f>
        <v>Female</v>
      </c>
      <c r="F1943" s="13" t="str">
        <f aca="false">PROPER(TRIM(SUBSTITUTE(Raw_Data!F1943,"'","")))</f>
        <v>Masters</v>
      </c>
      <c r="G1943" s="13" t="str">
        <f aca="false">PROPER(TRIM(Raw_Data!G1943))</f>
        <v>Finance</v>
      </c>
      <c r="H1943" s="13" t="str">
        <f aca="false">PROPER(TRIM(Raw_Data!H1943))</f>
        <v>Analyst</v>
      </c>
      <c r="I1943" s="13" t="n">
        <f aca="false">IF(Raw_Data!I1943="",DefaultPerf,Raw_Data!I1943)</f>
        <v>2</v>
      </c>
      <c r="J1943" s="13" t="n">
        <f aca="false">IF(Raw_Data!J1943="",DefaultSat,Raw_Data!J1943)</f>
        <v>4</v>
      </c>
      <c r="K1943" s="15" t="n">
        <f aca="false">Raw_Data!K1943</f>
        <v>55000</v>
      </c>
      <c r="L1943" s="13" t="str">
        <f aca="false">PROPER(TRIM(Raw_Data!N1943))</f>
        <v>No</v>
      </c>
      <c r="M1943" s="13" t="n">
        <f aca="false">IF(C1943="",0,1)</f>
        <v>0</v>
      </c>
      <c r="N1943" s="13" t="str">
        <f aca="false">IF(M1943=0,"Active",IF(TRIM(Raw_Data!L1943)="","Unknown",PROPER(TRIM(Raw_Data!L1943))))</f>
        <v>Active</v>
      </c>
      <c r="O1943" s="13" t="str">
        <f aca="false">IF(M1943=0,"",IF(TRIM(Raw_Data!M1943)="","Not Recorded",TRIM(Raw_Data!M1943)))</f>
        <v/>
      </c>
      <c r="P1943" s="16" t="n">
        <f aca="false">ROUND((IF(C1943="",AsOfDate,C1943)-B1943)/365.25,2)</f>
        <v>0.46</v>
      </c>
      <c r="Q1943" s="13" t="str">
        <f aca="false">IF(D1943="","Unknown",IF(D1943&lt;25,"Under 25",IF(D1943&lt;35,"25-34",IF(D1943&lt;45,"35-44",IF(D1943&lt;55,"45-54","55+")))))</f>
        <v>25-34</v>
      </c>
      <c r="R1943" s="13" t="str">
        <f aca="false">IF(P1943&lt;1,"0-1 yrs",IF(P1943&lt;3,"1-3 yrs",IF(P1943&lt;5,"3-5 yrs",IF(P1943&lt;10,"5-10 yrs","10+ yrs"))))</f>
        <v>0-1 yrs</v>
      </c>
      <c r="S1943" s="13" t="str">
        <f aca="false">IF(I1943&gt;=4,"High",IF(I1943=3,"Medium","Low"))</f>
        <v>Low</v>
      </c>
      <c r="T1943" s="13" t="str">
        <f aca="false">IF(M1943=1,YEAR(C1943),"")</f>
        <v/>
      </c>
      <c r="U1943" s="13" t="str">
        <f aca="false">IF(M1943=1,YEAR(C1943)&amp;"-Q"&amp;ROUNDUP(MONTH(C1943)/3,0),"")</f>
        <v/>
      </c>
      <c r="V1943" s="13" t="str">
        <f aca="false">IF(M1943=1,MONTH(C1943),"")</f>
        <v/>
      </c>
    </row>
    <row r="1944" customFormat="false" ht="15" hidden="false" customHeight="false" outlineLevel="0" collapsed="false">
      <c r="A1944" s="13" t="str">
        <f aca="false">TRIM(Raw_Data!A1944)</f>
        <v>EMP1943</v>
      </c>
      <c r="B1944" s="14" t="n">
        <f aca="false">Raw_Data!B1944</f>
        <v>45855</v>
      </c>
      <c r="C1944" s="14" t="str">
        <f aca="false">IF(Raw_Data!C1944="","",Raw_Data!C1944)</f>
        <v/>
      </c>
      <c r="D1944" s="13" t="n">
        <f aca="false">IF(Raw_Data!D1944="","",Raw_Data!D1944)</f>
        <v>24</v>
      </c>
      <c r="E1944" s="13" t="str">
        <f aca="false">IF(UPPER(LEFT(TRIM(Raw_Data!E1944),1))="M","Male",IF(UPPER(LEFT(TRIM(Raw_Data!E1944),1))="F","Female","Unknown"))</f>
        <v>Female</v>
      </c>
      <c r="F1944" s="13" t="str">
        <f aca="false">PROPER(TRIM(SUBSTITUTE(Raw_Data!F1944,"'","")))</f>
        <v>Bachelors</v>
      </c>
      <c r="G1944" s="13" t="str">
        <f aca="false">PROPER(TRIM(Raw_Data!G1944))</f>
        <v>Operations</v>
      </c>
      <c r="H1944" s="13" t="str">
        <f aca="false">PROPER(TRIM(Raw_Data!H1944))</f>
        <v>Analyst</v>
      </c>
      <c r="I1944" s="13" t="n">
        <f aca="false">IF(Raw_Data!I1944="",DefaultPerf,Raw_Data!I1944)</f>
        <v>3</v>
      </c>
      <c r="J1944" s="13" t="n">
        <f aca="false">IF(Raw_Data!J1944="",DefaultSat,Raw_Data!J1944)</f>
        <v>1</v>
      </c>
      <c r="K1944" s="15" t="n">
        <f aca="false">Raw_Data!K1944</f>
        <v>55500</v>
      </c>
      <c r="L1944" s="13" t="str">
        <f aca="false">PROPER(TRIM(Raw_Data!N1944))</f>
        <v>No</v>
      </c>
      <c r="M1944" s="13" t="n">
        <f aca="false">IF(C1944="",0,1)</f>
        <v>0</v>
      </c>
      <c r="N1944" s="13" t="str">
        <f aca="false">IF(M1944=0,"Active",IF(TRIM(Raw_Data!L1944)="","Unknown",PROPER(TRIM(Raw_Data!L1944))))</f>
        <v>Active</v>
      </c>
      <c r="O1944" s="13" t="str">
        <f aca="false">IF(M1944=0,"",IF(TRIM(Raw_Data!M1944)="","Not Recorded",TRIM(Raw_Data!M1944)))</f>
        <v/>
      </c>
      <c r="P1944" s="16" t="n">
        <f aca="false">ROUND((IF(C1944="",AsOfDate,C1944)-B1944)/365.25,2)</f>
        <v>0.46</v>
      </c>
      <c r="Q1944" s="13" t="str">
        <f aca="false">IF(D1944="","Unknown",IF(D1944&lt;25,"Under 25",IF(D1944&lt;35,"25-34",IF(D1944&lt;45,"35-44",IF(D1944&lt;55,"45-54","55+")))))</f>
        <v>Under 25</v>
      </c>
      <c r="R1944" s="13" t="str">
        <f aca="false">IF(P1944&lt;1,"0-1 yrs",IF(P1944&lt;3,"1-3 yrs",IF(P1944&lt;5,"3-5 yrs",IF(P1944&lt;10,"5-10 yrs","10+ yrs"))))</f>
        <v>0-1 yrs</v>
      </c>
      <c r="S1944" s="13" t="str">
        <f aca="false">IF(I1944&gt;=4,"High",IF(I1944=3,"Medium","Low"))</f>
        <v>Medium</v>
      </c>
      <c r="T1944" s="13" t="str">
        <f aca="false">IF(M1944=1,YEAR(C1944),"")</f>
        <v/>
      </c>
      <c r="U1944" s="13" t="str">
        <f aca="false">IF(M1944=1,YEAR(C1944)&amp;"-Q"&amp;ROUNDUP(MONTH(C1944)/3,0),"")</f>
        <v/>
      </c>
      <c r="V1944" s="13" t="str">
        <f aca="false">IF(M1944=1,MONTH(C1944),"")</f>
        <v/>
      </c>
    </row>
    <row r="1945" customFormat="false" ht="15" hidden="false" customHeight="false" outlineLevel="0" collapsed="false">
      <c r="A1945" s="13" t="str">
        <f aca="false">TRIM(Raw_Data!A1945)</f>
        <v>EMP1944</v>
      </c>
      <c r="B1945" s="14" t="n">
        <f aca="false">Raw_Data!B1945</f>
        <v>45859</v>
      </c>
      <c r="C1945" s="14" t="str">
        <f aca="false">IF(Raw_Data!C1945="","",Raw_Data!C1945)</f>
        <v/>
      </c>
      <c r="D1945" s="13" t="n">
        <f aca="false">IF(Raw_Data!D1945="","",Raw_Data!D1945)</f>
        <v>35</v>
      </c>
      <c r="E1945" s="13" t="str">
        <f aca="false">IF(UPPER(LEFT(TRIM(Raw_Data!E1945),1))="M","Male",IF(UPPER(LEFT(TRIM(Raw_Data!E1945),1))="F","Female","Unknown"))</f>
        <v>Male</v>
      </c>
      <c r="F1945" s="13" t="str">
        <f aca="false">PROPER(TRIM(SUBSTITUTE(Raw_Data!F1945,"'","")))</f>
        <v>Bachelors</v>
      </c>
      <c r="G1945" s="13" t="str">
        <f aca="false">PROPER(TRIM(Raw_Data!G1945))</f>
        <v>Engineering</v>
      </c>
      <c r="H1945" s="13" t="str">
        <f aca="false">PROPER(TRIM(Raw_Data!H1945))</f>
        <v>Senior Analyst</v>
      </c>
      <c r="I1945" s="13" t="n">
        <f aca="false">IF(Raw_Data!I1945="",DefaultPerf,Raw_Data!I1945)</f>
        <v>3</v>
      </c>
      <c r="J1945" s="13" t="n">
        <f aca="false">IF(Raw_Data!J1945="",DefaultSat,Raw_Data!J1945)</f>
        <v>3</v>
      </c>
      <c r="K1945" s="15" t="n">
        <f aca="false">Raw_Data!K1945</f>
        <v>92500</v>
      </c>
      <c r="L1945" s="13" t="str">
        <f aca="false">PROPER(TRIM(Raw_Data!N1945))</f>
        <v>No</v>
      </c>
      <c r="M1945" s="13" t="n">
        <f aca="false">IF(C1945="",0,1)</f>
        <v>0</v>
      </c>
      <c r="N1945" s="13" t="str">
        <f aca="false">IF(M1945=0,"Active",IF(TRIM(Raw_Data!L1945)="","Unknown",PROPER(TRIM(Raw_Data!L1945))))</f>
        <v>Active</v>
      </c>
      <c r="O1945" s="13" t="str">
        <f aca="false">IF(M1945=0,"",IF(TRIM(Raw_Data!M1945)="","Not Recorded",TRIM(Raw_Data!M1945)))</f>
        <v/>
      </c>
      <c r="P1945" s="16" t="n">
        <f aca="false">ROUND((IF(C1945="",AsOfDate,C1945)-B1945)/365.25,2)</f>
        <v>0.45</v>
      </c>
      <c r="Q1945" s="13" t="str">
        <f aca="false">IF(D1945="","Unknown",IF(D1945&lt;25,"Under 25",IF(D1945&lt;35,"25-34",IF(D1945&lt;45,"35-44",IF(D1945&lt;55,"45-54","55+")))))</f>
        <v>35-44</v>
      </c>
      <c r="R1945" s="13" t="str">
        <f aca="false">IF(P1945&lt;1,"0-1 yrs",IF(P1945&lt;3,"1-3 yrs",IF(P1945&lt;5,"3-5 yrs",IF(P1945&lt;10,"5-10 yrs","10+ yrs"))))</f>
        <v>0-1 yrs</v>
      </c>
      <c r="S1945" s="13" t="str">
        <f aca="false">IF(I1945&gt;=4,"High",IF(I1945=3,"Medium","Low"))</f>
        <v>Medium</v>
      </c>
      <c r="T1945" s="13" t="str">
        <f aca="false">IF(M1945=1,YEAR(C1945),"")</f>
        <v/>
      </c>
      <c r="U1945" s="13" t="str">
        <f aca="false">IF(M1945=1,YEAR(C1945)&amp;"-Q"&amp;ROUNDUP(MONTH(C1945)/3,0),"")</f>
        <v/>
      </c>
      <c r="V1945" s="13" t="str">
        <f aca="false">IF(M1945=1,MONTH(C1945),"")</f>
        <v/>
      </c>
    </row>
    <row r="1946" customFormat="false" ht="15" hidden="false" customHeight="false" outlineLevel="0" collapsed="false">
      <c r="A1946" s="13" t="str">
        <f aca="false">TRIM(Raw_Data!A1946)</f>
        <v>EMP1945</v>
      </c>
      <c r="B1946" s="14" t="n">
        <f aca="false">Raw_Data!B1946</f>
        <v>45859</v>
      </c>
      <c r="C1946" s="14" t="str">
        <f aca="false">IF(Raw_Data!C1946="","",Raw_Data!C1946)</f>
        <v/>
      </c>
      <c r="D1946" s="13" t="n">
        <f aca="false">IF(Raw_Data!D1946="","",Raw_Data!D1946)</f>
        <v>28</v>
      </c>
      <c r="E1946" s="13" t="str">
        <f aca="false">IF(UPPER(LEFT(TRIM(Raw_Data!E1946),1))="M","Male",IF(UPPER(LEFT(TRIM(Raw_Data!E1946),1))="F","Female","Unknown"))</f>
        <v>Female</v>
      </c>
      <c r="F1946" s="13" t="str">
        <f aca="false">PROPER(TRIM(SUBSTITUTE(Raw_Data!F1946,"'","")))</f>
        <v>Masters</v>
      </c>
      <c r="G1946" s="13" t="str">
        <f aca="false">PROPER(TRIM(Raw_Data!G1946))</f>
        <v>Operations</v>
      </c>
      <c r="H1946" s="13" t="str">
        <f aca="false">PROPER(TRIM(Raw_Data!H1946))</f>
        <v>Analyst</v>
      </c>
      <c r="I1946" s="13" t="n">
        <f aca="false">IF(Raw_Data!I1946="",DefaultPerf,Raw_Data!I1946)</f>
        <v>4</v>
      </c>
      <c r="J1946" s="13" t="n">
        <f aca="false">IF(Raw_Data!J1946="",DefaultSat,Raw_Data!J1946)</f>
        <v>3</v>
      </c>
      <c r="K1946" s="15" t="n">
        <f aca="false">Raw_Data!K1946</f>
        <v>63500</v>
      </c>
      <c r="L1946" s="13" t="str">
        <f aca="false">PROPER(TRIM(Raw_Data!N1946))</f>
        <v>No</v>
      </c>
      <c r="M1946" s="13" t="n">
        <f aca="false">IF(C1946="",0,1)</f>
        <v>0</v>
      </c>
      <c r="N1946" s="13" t="str">
        <f aca="false">IF(M1946=0,"Active",IF(TRIM(Raw_Data!L1946)="","Unknown",PROPER(TRIM(Raw_Data!L1946))))</f>
        <v>Active</v>
      </c>
      <c r="O1946" s="13" t="str">
        <f aca="false">IF(M1946=0,"",IF(TRIM(Raw_Data!M1946)="","Not Recorded",TRIM(Raw_Data!M1946)))</f>
        <v/>
      </c>
      <c r="P1946" s="16" t="n">
        <f aca="false">ROUND((IF(C1946="",AsOfDate,C1946)-B1946)/365.25,2)</f>
        <v>0.45</v>
      </c>
      <c r="Q1946" s="13" t="str">
        <f aca="false">IF(D1946="","Unknown",IF(D1946&lt;25,"Under 25",IF(D1946&lt;35,"25-34",IF(D1946&lt;45,"35-44",IF(D1946&lt;55,"45-54","55+")))))</f>
        <v>25-34</v>
      </c>
      <c r="R1946" s="13" t="str">
        <f aca="false">IF(P1946&lt;1,"0-1 yrs",IF(P1946&lt;3,"1-3 yrs",IF(P1946&lt;5,"3-5 yrs",IF(P1946&lt;10,"5-10 yrs","10+ yrs"))))</f>
        <v>0-1 yrs</v>
      </c>
      <c r="S1946" s="13" t="str">
        <f aca="false">IF(I1946&gt;=4,"High",IF(I1946=3,"Medium","Low"))</f>
        <v>High</v>
      </c>
      <c r="T1946" s="13" t="str">
        <f aca="false">IF(M1946=1,YEAR(C1946),"")</f>
        <v/>
      </c>
      <c r="U1946" s="13" t="str">
        <f aca="false">IF(M1946=1,YEAR(C1946)&amp;"-Q"&amp;ROUNDUP(MONTH(C1946)/3,0),"")</f>
        <v/>
      </c>
      <c r="V1946" s="13" t="str">
        <f aca="false">IF(M1946=1,MONTH(C1946),"")</f>
        <v/>
      </c>
    </row>
    <row r="1947" customFormat="false" ht="15" hidden="false" customHeight="false" outlineLevel="0" collapsed="false">
      <c r="A1947" s="13" t="str">
        <f aca="false">TRIM(Raw_Data!A1947)</f>
        <v>EMP1946</v>
      </c>
      <c r="B1947" s="14" t="n">
        <f aca="false">Raw_Data!B1947</f>
        <v>45860</v>
      </c>
      <c r="C1947" s="14" t="str">
        <f aca="false">IF(Raw_Data!C1947="","",Raw_Data!C1947)</f>
        <v/>
      </c>
      <c r="D1947" s="13" t="n">
        <f aca="false">IF(Raw_Data!D1947="","",Raw_Data!D1947)</f>
        <v>31</v>
      </c>
      <c r="E1947" s="13" t="str">
        <f aca="false">IF(UPPER(LEFT(TRIM(Raw_Data!E1947),1))="M","Male",IF(UPPER(LEFT(TRIM(Raw_Data!E1947),1))="F","Female","Unknown"))</f>
        <v>Female</v>
      </c>
      <c r="F1947" s="13" t="str">
        <f aca="false">PROPER(TRIM(SUBSTITUTE(Raw_Data!F1947,"'","")))</f>
        <v>High School</v>
      </c>
      <c r="G1947" s="13" t="str">
        <f aca="false">PROPER(TRIM(Raw_Data!G1947))</f>
        <v>Sales</v>
      </c>
      <c r="H1947" s="13" t="str">
        <f aca="false">PROPER(TRIM(Raw_Data!H1947))</f>
        <v>Analyst</v>
      </c>
      <c r="I1947" s="13" t="n">
        <f aca="false">IF(Raw_Data!I1947="",DefaultPerf,Raw_Data!I1947)</f>
        <v>4</v>
      </c>
      <c r="J1947" s="13" t="n">
        <f aca="false">IF(Raw_Data!J1947="",DefaultSat,Raw_Data!J1947)</f>
        <v>3</v>
      </c>
      <c r="K1947" s="15" t="n">
        <f aca="false">Raw_Data!K1947</f>
        <v>53000</v>
      </c>
      <c r="L1947" s="13" t="str">
        <f aca="false">PROPER(TRIM(Raw_Data!N1947))</f>
        <v>No</v>
      </c>
      <c r="M1947" s="13" t="n">
        <f aca="false">IF(C1947="",0,1)</f>
        <v>0</v>
      </c>
      <c r="N1947" s="13" t="str">
        <f aca="false">IF(M1947=0,"Active",IF(TRIM(Raw_Data!L1947)="","Unknown",PROPER(TRIM(Raw_Data!L1947))))</f>
        <v>Active</v>
      </c>
      <c r="O1947" s="13" t="str">
        <f aca="false">IF(M1947=0,"",IF(TRIM(Raw_Data!M1947)="","Not Recorded",TRIM(Raw_Data!M1947)))</f>
        <v/>
      </c>
      <c r="P1947" s="16" t="n">
        <f aca="false">ROUND((IF(C1947="",AsOfDate,C1947)-B1947)/365.25,2)</f>
        <v>0.44</v>
      </c>
      <c r="Q1947" s="13" t="str">
        <f aca="false">IF(D1947="","Unknown",IF(D1947&lt;25,"Under 25",IF(D1947&lt;35,"25-34",IF(D1947&lt;45,"35-44",IF(D1947&lt;55,"45-54","55+")))))</f>
        <v>25-34</v>
      </c>
      <c r="R1947" s="13" t="str">
        <f aca="false">IF(P1947&lt;1,"0-1 yrs",IF(P1947&lt;3,"1-3 yrs",IF(P1947&lt;5,"3-5 yrs",IF(P1947&lt;10,"5-10 yrs","10+ yrs"))))</f>
        <v>0-1 yrs</v>
      </c>
      <c r="S1947" s="13" t="str">
        <f aca="false">IF(I1947&gt;=4,"High",IF(I1947=3,"Medium","Low"))</f>
        <v>High</v>
      </c>
      <c r="T1947" s="13" t="str">
        <f aca="false">IF(M1947=1,YEAR(C1947),"")</f>
        <v/>
      </c>
      <c r="U1947" s="13" t="str">
        <f aca="false">IF(M1947=1,YEAR(C1947)&amp;"-Q"&amp;ROUNDUP(MONTH(C1947)/3,0),"")</f>
        <v/>
      </c>
      <c r="V1947" s="13" t="str">
        <f aca="false">IF(M1947=1,MONTH(C1947),"")</f>
        <v/>
      </c>
    </row>
    <row r="1948" customFormat="false" ht="15" hidden="false" customHeight="false" outlineLevel="0" collapsed="false">
      <c r="A1948" s="13" t="str">
        <f aca="false">TRIM(Raw_Data!A1948)</f>
        <v>EMP1947</v>
      </c>
      <c r="B1948" s="14" t="n">
        <f aca="false">Raw_Data!B1948</f>
        <v>45863</v>
      </c>
      <c r="C1948" s="14" t="str">
        <f aca="false">IF(Raw_Data!C1948="","",Raw_Data!C1948)</f>
        <v/>
      </c>
      <c r="D1948" s="13" t="n">
        <f aca="false">IF(Raw_Data!D1948="","",Raw_Data!D1948)</f>
        <v>30</v>
      </c>
      <c r="E1948" s="13" t="str">
        <f aca="false">IF(UPPER(LEFT(TRIM(Raw_Data!E1948),1))="M","Male",IF(UPPER(LEFT(TRIM(Raw_Data!E1948),1))="F","Female","Unknown"))</f>
        <v>Male</v>
      </c>
      <c r="F1948" s="13" t="str">
        <f aca="false">PROPER(TRIM(SUBSTITUTE(Raw_Data!F1948,"'","")))</f>
        <v>Bachelors</v>
      </c>
      <c r="G1948" s="13" t="str">
        <f aca="false">PROPER(TRIM(Raw_Data!G1948))</f>
        <v>Engineering</v>
      </c>
      <c r="H1948" s="13" t="str">
        <f aca="false">PROPER(TRIM(Raw_Data!H1948))</f>
        <v>Specialist</v>
      </c>
      <c r="I1948" s="13" t="n">
        <f aca="false">IF(Raw_Data!I1948="",DefaultPerf,Raw_Data!I1948)</f>
        <v>5</v>
      </c>
      <c r="J1948" s="13" t="n">
        <f aca="false">IF(Raw_Data!J1948="",DefaultSat,Raw_Data!J1948)</f>
        <v>2</v>
      </c>
      <c r="K1948" s="15" t="n">
        <f aca="false">Raw_Data!K1948</f>
        <v>92500</v>
      </c>
      <c r="L1948" s="13" t="str">
        <f aca="false">PROPER(TRIM(Raw_Data!N1948))</f>
        <v>No</v>
      </c>
      <c r="M1948" s="13" t="n">
        <f aca="false">IF(C1948="",0,1)</f>
        <v>0</v>
      </c>
      <c r="N1948" s="13" t="str">
        <f aca="false">IF(M1948=0,"Active",IF(TRIM(Raw_Data!L1948)="","Unknown",PROPER(TRIM(Raw_Data!L1948))))</f>
        <v>Active</v>
      </c>
      <c r="O1948" s="13" t="str">
        <f aca="false">IF(M1948=0,"",IF(TRIM(Raw_Data!M1948)="","Not Recorded",TRIM(Raw_Data!M1948)))</f>
        <v/>
      </c>
      <c r="P1948" s="16" t="n">
        <f aca="false">ROUND((IF(C1948="",AsOfDate,C1948)-B1948)/365.25,2)</f>
        <v>0.44</v>
      </c>
      <c r="Q1948" s="13" t="str">
        <f aca="false">IF(D1948="","Unknown",IF(D1948&lt;25,"Under 25",IF(D1948&lt;35,"25-34",IF(D1948&lt;45,"35-44",IF(D1948&lt;55,"45-54","55+")))))</f>
        <v>25-34</v>
      </c>
      <c r="R1948" s="13" t="str">
        <f aca="false">IF(P1948&lt;1,"0-1 yrs",IF(P1948&lt;3,"1-3 yrs",IF(P1948&lt;5,"3-5 yrs",IF(P1948&lt;10,"5-10 yrs","10+ yrs"))))</f>
        <v>0-1 yrs</v>
      </c>
      <c r="S1948" s="13" t="str">
        <f aca="false">IF(I1948&gt;=4,"High",IF(I1948=3,"Medium","Low"))</f>
        <v>High</v>
      </c>
      <c r="T1948" s="13" t="str">
        <f aca="false">IF(M1948=1,YEAR(C1948),"")</f>
        <v/>
      </c>
      <c r="U1948" s="13" t="str">
        <f aca="false">IF(M1948=1,YEAR(C1948)&amp;"-Q"&amp;ROUNDUP(MONTH(C1948)/3,0),"")</f>
        <v/>
      </c>
      <c r="V1948" s="13" t="str">
        <f aca="false">IF(M1948=1,MONTH(C1948),"")</f>
        <v/>
      </c>
    </row>
    <row r="1949" customFormat="false" ht="15" hidden="false" customHeight="false" outlineLevel="0" collapsed="false">
      <c r="A1949" s="13" t="str">
        <f aca="false">TRIM(Raw_Data!A1949)</f>
        <v>EMP1948</v>
      </c>
      <c r="B1949" s="14" t="n">
        <f aca="false">Raw_Data!B1949</f>
        <v>45863</v>
      </c>
      <c r="C1949" s="14" t="str">
        <f aca="false">IF(Raw_Data!C1949="","",Raw_Data!C1949)</f>
        <v/>
      </c>
      <c r="D1949" s="13" t="n">
        <f aca="false">IF(Raw_Data!D1949="","",Raw_Data!D1949)</f>
        <v>34</v>
      </c>
      <c r="E1949" s="13" t="str">
        <f aca="false">IF(UPPER(LEFT(TRIM(Raw_Data!E1949),1))="M","Male",IF(UPPER(LEFT(TRIM(Raw_Data!E1949),1))="F","Female","Unknown"))</f>
        <v>Female</v>
      </c>
      <c r="F1949" s="13" t="str">
        <f aca="false">PROPER(TRIM(SUBSTITUTE(Raw_Data!F1949,"'","")))</f>
        <v>Doctorate</v>
      </c>
      <c r="G1949" s="13" t="str">
        <f aca="false">PROPER(TRIM(Raw_Data!G1949))</f>
        <v>Customer Support</v>
      </c>
      <c r="H1949" s="13" t="str">
        <f aca="false">PROPER(TRIM(Raw_Data!H1949))</f>
        <v>Specialist</v>
      </c>
      <c r="I1949" s="13" t="n">
        <f aca="false">IF(Raw_Data!I1949="",DefaultPerf,Raw_Data!I1949)</f>
        <v>4</v>
      </c>
      <c r="J1949" s="13" t="n">
        <f aca="false">IF(Raw_Data!J1949="",DefaultSat,Raw_Data!J1949)</f>
        <v>1</v>
      </c>
      <c r="K1949" s="15" t="n">
        <f aca="false">Raw_Data!K1949</f>
        <v>94000</v>
      </c>
      <c r="L1949" s="13" t="str">
        <f aca="false">PROPER(TRIM(Raw_Data!N1949))</f>
        <v>No</v>
      </c>
      <c r="M1949" s="13" t="n">
        <f aca="false">IF(C1949="",0,1)</f>
        <v>0</v>
      </c>
      <c r="N1949" s="13" t="str">
        <f aca="false">IF(M1949=0,"Active",IF(TRIM(Raw_Data!L1949)="","Unknown",PROPER(TRIM(Raw_Data!L1949))))</f>
        <v>Active</v>
      </c>
      <c r="O1949" s="13" t="str">
        <f aca="false">IF(M1949=0,"",IF(TRIM(Raw_Data!M1949)="","Not Recorded",TRIM(Raw_Data!M1949)))</f>
        <v/>
      </c>
      <c r="P1949" s="16" t="n">
        <f aca="false">ROUND((IF(C1949="",AsOfDate,C1949)-B1949)/365.25,2)</f>
        <v>0.44</v>
      </c>
      <c r="Q1949" s="13" t="str">
        <f aca="false">IF(D1949="","Unknown",IF(D1949&lt;25,"Under 25",IF(D1949&lt;35,"25-34",IF(D1949&lt;45,"35-44",IF(D1949&lt;55,"45-54","55+")))))</f>
        <v>25-34</v>
      </c>
      <c r="R1949" s="13" t="str">
        <f aca="false">IF(P1949&lt;1,"0-1 yrs",IF(P1949&lt;3,"1-3 yrs",IF(P1949&lt;5,"3-5 yrs",IF(P1949&lt;10,"5-10 yrs","10+ yrs"))))</f>
        <v>0-1 yrs</v>
      </c>
      <c r="S1949" s="13" t="str">
        <f aca="false">IF(I1949&gt;=4,"High",IF(I1949=3,"Medium","Low"))</f>
        <v>High</v>
      </c>
      <c r="T1949" s="13" t="str">
        <f aca="false">IF(M1949=1,YEAR(C1949),"")</f>
        <v/>
      </c>
      <c r="U1949" s="13" t="str">
        <f aca="false">IF(M1949=1,YEAR(C1949)&amp;"-Q"&amp;ROUNDUP(MONTH(C1949)/3,0),"")</f>
        <v/>
      </c>
      <c r="V1949" s="13" t="str">
        <f aca="false">IF(M1949=1,MONTH(C1949),"")</f>
        <v/>
      </c>
    </row>
    <row r="1950" customFormat="false" ht="15" hidden="false" customHeight="false" outlineLevel="0" collapsed="false">
      <c r="A1950" s="13" t="str">
        <f aca="false">TRIM(Raw_Data!A1950)</f>
        <v>EMP1949</v>
      </c>
      <c r="B1950" s="14" t="n">
        <f aca="false">Raw_Data!B1950</f>
        <v>45865</v>
      </c>
      <c r="C1950" s="14" t="str">
        <f aca="false">IF(Raw_Data!C1950="","",Raw_Data!C1950)</f>
        <v/>
      </c>
      <c r="D1950" s="13" t="n">
        <f aca="false">IF(Raw_Data!D1950="","",Raw_Data!D1950)</f>
        <v>35</v>
      </c>
      <c r="E1950" s="13" t="str">
        <f aca="false">IF(UPPER(LEFT(TRIM(Raw_Data!E1950),1))="M","Male",IF(UPPER(LEFT(TRIM(Raw_Data!E1950),1))="F","Female","Unknown"))</f>
        <v>Female</v>
      </c>
      <c r="F1950" s="13" t="str">
        <f aca="false">PROPER(TRIM(SUBSTITUTE(Raw_Data!F1950,"'","")))</f>
        <v>Doctorate</v>
      </c>
      <c r="G1950" s="13" t="str">
        <f aca="false">PROPER(TRIM(Raw_Data!G1950))</f>
        <v>Operations</v>
      </c>
      <c r="H1950" s="13" t="str">
        <f aca="false">PROPER(TRIM(Raw_Data!H1950))</f>
        <v>Team Lead</v>
      </c>
      <c r="I1950" s="13" t="n">
        <f aca="false">IF(Raw_Data!I1950="",DefaultPerf,Raw_Data!I1950)</f>
        <v>3</v>
      </c>
      <c r="J1950" s="13" t="n">
        <f aca="false">IF(Raw_Data!J1950="",DefaultSat,Raw_Data!J1950)</f>
        <v>3</v>
      </c>
      <c r="K1950" s="15" t="n">
        <f aca="false">Raw_Data!K1950</f>
        <v>140500</v>
      </c>
      <c r="L1950" s="13" t="str">
        <f aca="false">PROPER(TRIM(Raw_Data!N1950))</f>
        <v>No</v>
      </c>
      <c r="M1950" s="13" t="n">
        <f aca="false">IF(C1950="",0,1)</f>
        <v>0</v>
      </c>
      <c r="N1950" s="13" t="str">
        <f aca="false">IF(M1950=0,"Active",IF(TRIM(Raw_Data!L1950)="","Unknown",PROPER(TRIM(Raw_Data!L1950))))</f>
        <v>Active</v>
      </c>
      <c r="O1950" s="13" t="str">
        <f aca="false">IF(M1950=0,"",IF(TRIM(Raw_Data!M1950)="","Not Recorded",TRIM(Raw_Data!M1950)))</f>
        <v/>
      </c>
      <c r="P1950" s="16" t="n">
        <f aca="false">ROUND((IF(C1950="",AsOfDate,C1950)-B1950)/365.25,2)</f>
        <v>0.43</v>
      </c>
      <c r="Q1950" s="13" t="str">
        <f aca="false">IF(D1950="","Unknown",IF(D1950&lt;25,"Under 25",IF(D1950&lt;35,"25-34",IF(D1950&lt;45,"35-44",IF(D1950&lt;55,"45-54","55+")))))</f>
        <v>35-44</v>
      </c>
      <c r="R1950" s="13" t="str">
        <f aca="false">IF(P1950&lt;1,"0-1 yrs",IF(P1950&lt;3,"1-3 yrs",IF(P1950&lt;5,"3-5 yrs",IF(P1950&lt;10,"5-10 yrs","10+ yrs"))))</f>
        <v>0-1 yrs</v>
      </c>
      <c r="S1950" s="13" t="str">
        <f aca="false">IF(I1950&gt;=4,"High",IF(I1950=3,"Medium","Low"))</f>
        <v>Medium</v>
      </c>
      <c r="T1950" s="13" t="str">
        <f aca="false">IF(M1950=1,YEAR(C1950),"")</f>
        <v/>
      </c>
      <c r="U1950" s="13" t="str">
        <f aca="false">IF(M1950=1,YEAR(C1950)&amp;"-Q"&amp;ROUNDUP(MONTH(C1950)/3,0),"")</f>
        <v/>
      </c>
      <c r="V1950" s="13" t="str">
        <f aca="false">IF(M1950=1,MONTH(C1950),"")</f>
        <v/>
      </c>
    </row>
    <row r="1951" customFormat="false" ht="15" hidden="false" customHeight="false" outlineLevel="0" collapsed="false">
      <c r="A1951" s="13" t="str">
        <f aca="false">TRIM(Raw_Data!A1951)</f>
        <v>EMP1950</v>
      </c>
      <c r="B1951" s="14" t="n">
        <f aca="false">Raw_Data!B1951</f>
        <v>45866</v>
      </c>
      <c r="C1951" s="14" t="str">
        <f aca="false">IF(Raw_Data!C1951="","",Raw_Data!C1951)</f>
        <v/>
      </c>
      <c r="D1951" s="13" t="n">
        <f aca="false">IF(Raw_Data!D1951="","",Raw_Data!D1951)</f>
        <v>29</v>
      </c>
      <c r="E1951" s="13" t="str">
        <f aca="false">IF(UPPER(LEFT(TRIM(Raw_Data!E1951),1))="M","Male",IF(UPPER(LEFT(TRIM(Raw_Data!E1951),1))="F","Female","Unknown"))</f>
        <v>Female</v>
      </c>
      <c r="F1951" s="13" t="str">
        <f aca="false">PROPER(TRIM(SUBSTITUTE(Raw_Data!F1951,"'","")))</f>
        <v>High School</v>
      </c>
      <c r="G1951" s="13" t="str">
        <f aca="false">PROPER(TRIM(Raw_Data!G1951))</f>
        <v>Sales</v>
      </c>
      <c r="H1951" s="13" t="str">
        <f aca="false">PROPER(TRIM(Raw_Data!H1951))</f>
        <v>Associate</v>
      </c>
      <c r="I1951" s="13" t="n">
        <f aca="false">IF(Raw_Data!I1951="",DefaultPerf,Raw_Data!I1951)</f>
        <v>4</v>
      </c>
      <c r="J1951" s="13" t="n">
        <f aca="false">IF(Raw_Data!J1951="",DefaultSat,Raw_Data!J1951)</f>
        <v>4</v>
      </c>
      <c r="K1951" s="15" t="n">
        <f aca="false">Raw_Data!K1951</f>
        <v>35000</v>
      </c>
      <c r="L1951" s="13" t="str">
        <f aca="false">PROPER(TRIM(Raw_Data!N1951))</f>
        <v>No</v>
      </c>
      <c r="M1951" s="13" t="n">
        <f aca="false">IF(C1951="",0,1)</f>
        <v>0</v>
      </c>
      <c r="N1951" s="13" t="str">
        <f aca="false">IF(M1951=0,"Active",IF(TRIM(Raw_Data!L1951)="","Unknown",PROPER(TRIM(Raw_Data!L1951))))</f>
        <v>Active</v>
      </c>
      <c r="O1951" s="13" t="str">
        <f aca="false">IF(M1951=0,"",IF(TRIM(Raw_Data!M1951)="","Not Recorded",TRIM(Raw_Data!M1951)))</f>
        <v/>
      </c>
      <c r="P1951" s="16" t="n">
        <f aca="false">ROUND((IF(C1951="",AsOfDate,C1951)-B1951)/365.25,2)</f>
        <v>0.43</v>
      </c>
      <c r="Q1951" s="13" t="str">
        <f aca="false">IF(D1951="","Unknown",IF(D1951&lt;25,"Under 25",IF(D1951&lt;35,"25-34",IF(D1951&lt;45,"35-44",IF(D1951&lt;55,"45-54","55+")))))</f>
        <v>25-34</v>
      </c>
      <c r="R1951" s="13" t="str">
        <f aca="false">IF(P1951&lt;1,"0-1 yrs",IF(P1951&lt;3,"1-3 yrs",IF(P1951&lt;5,"3-5 yrs",IF(P1951&lt;10,"5-10 yrs","10+ yrs"))))</f>
        <v>0-1 yrs</v>
      </c>
      <c r="S1951" s="13" t="str">
        <f aca="false">IF(I1951&gt;=4,"High",IF(I1951=3,"Medium","Low"))</f>
        <v>High</v>
      </c>
      <c r="T1951" s="13" t="str">
        <f aca="false">IF(M1951=1,YEAR(C1951),"")</f>
        <v/>
      </c>
      <c r="U1951" s="13" t="str">
        <f aca="false">IF(M1951=1,YEAR(C1951)&amp;"-Q"&amp;ROUNDUP(MONTH(C1951)/3,0),"")</f>
        <v/>
      </c>
      <c r="V1951" s="13" t="str">
        <f aca="false">IF(M1951=1,MONTH(C1951),"")</f>
        <v/>
      </c>
    </row>
    <row r="1952" customFormat="false" ht="15" hidden="false" customHeight="false" outlineLevel="0" collapsed="false">
      <c r="A1952" s="13" t="str">
        <f aca="false">TRIM(Raw_Data!A1952)</f>
        <v>EMP1951</v>
      </c>
      <c r="B1952" s="14" t="n">
        <f aca="false">Raw_Data!B1952</f>
        <v>45866</v>
      </c>
      <c r="C1952" s="14" t="str">
        <f aca="false">IF(Raw_Data!C1952="","",Raw_Data!C1952)</f>
        <v/>
      </c>
      <c r="D1952" s="13" t="n">
        <f aca="false">IF(Raw_Data!D1952="","",Raw_Data!D1952)</f>
        <v>29</v>
      </c>
      <c r="E1952" s="13" t="str">
        <f aca="false">IF(UPPER(LEFT(TRIM(Raw_Data!E1952),1))="M","Male",IF(UPPER(LEFT(TRIM(Raw_Data!E1952),1))="F","Female","Unknown"))</f>
        <v>Female</v>
      </c>
      <c r="F1952" s="13" t="str">
        <f aca="false">PROPER(TRIM(SUBSTITUTE(Raw_Data!F1952,"'","")))</f>
        <v>Bachelors</v>
      </c>
      <c r="G1952" s="13" t="str">
        <f aca="false">PROPER(TRIM(Raw_Data!G1952))</f>
        <v>Operations</v>
      </c>
      <c r="H1952" s="13" t="str">
        <f aca="false">PROPER(TRIM(Raw_Data!H1952))</f>
        <v>Analyst</v>
      </c>
      <c r="I1952" s="13" t="n">
        <f aca="false">IF(Raw_Data!I1952="",DefaultPerf,Raw_Data!I1952)</f>
        <v>3</v>
      </c>
      <c r="J1952" s="13" t="n">
        <f aca="false">IF(Raw_Data!J1952="",DefaultSat,Raw_Data!J1952)</f>
        <v>3</v>
      </c>
      <c r="K1952" s="15" t="n">
        <f aca="false">Raw_Data!K1952</f>
        <v>53500</v>
      </c>
      <c r="L1952" s="13" t="str">
        <f aca="false">PROPER(TRIM(Raw_Data!N1952))</f>
        <v>Yes</v>
      </c>
      <c r="M1952" s="13" t="n">
        <f aca="false">IF(C1952="",0,1)</f>
        <v>0</v>
      </c>
      <c r="N1952" s="13" t="str">
        <f aca="false">IF(M1952=0,"Active",IF(TRIM(Raw_Data!L1952)="","Unknown",PROPER(TRIM(Raw_Data!L1952))))</f>
        <v>Active</v>
      </c>
      <c r="O1952" s="13" t="str">
        <f aca="false">IF(M1952=0,"",IF(TRIM(Raw_Data!M1952)="","Not Recorded",TRIM(Raw_Data!M1952)))</f>
        <v/>
      </c>
      <c r="P1952" s="16" t="n">
        <f aca="false">ROUND((IF(C1952="",AsOfDate,C1952)-B1952)/365.25,2)</f>
        <v>0.43</v>
      </c>
      <c r="Q1952" s="13" t="str">
        <f aca="false">IF(D1952="","Unknown",IF(D1952&lt;25,"Under 25",IF(D1952&lt;35,"25-34",IF(D1952&lt;45,"35-44",IF(D1952&lt;55,"45-54","55+")))))</f>
        <v>25-34</v>
      </c>
      <c r="R1952" s="13" t="str">
        <f aca="false">IF(P1952&lt;1,"0-1 yrs",IF(P1952&lt;3,"1-3 yrs",IF(P1952&lt;5,"3-5 yrs",IF(P1952&lt;10,"5-10 yrs","10+ yrs"))))</f>
        <v>0-1 yrs</v>
      </c>
      <c r="S1952" s="13" t="str">
        <f aca="false">IF(I1952&gt;=4,"High",IF(I1952=3,"Medium","Low"))</f>
        <v>Medium</v>
      </c>
      <c r="T1952" s="13" t="str">
        <f aca="false">IF(M1952=1,YEAR(C1952),"")</f>
        <v/>
      </c>
      <c r="U1952" s="13" t="str">
        <f aca="false">IF(M1952=1,YEAR(C1952)&amp;"-Q"&amp;ROUNDUP(MONTH(C1952)/3,0),"")</f>
        <v/>
      </c>
      <c r="V1952" s="13" t="str">
        <f aca="false">IF(M1952=1,MONTH(C1952),"")</f>
        <v/>
      </c>
    </row>
    <row r="1953" customFormat="false" ht="15" hidden="false" customHeight="false" outlineLevel="0" collapsed="false">
      <c r="A1953" s="13" t="str">
        <f aca="false">TRIM(Raw_Data!A1953)</f>
        <v>EMP1952</v>
      </c>
      <c r="B1953" s="14" t="n">
        <f aca="false">Raw_Data!B1953</f>
        <v>45868</v>
      </c>
      <c r="C1953" s="14" t="str">
        <f aca="false">IF(Raw_Data!C1953="","",Raw_Data!C1953)</f>
        <v/>
      </c>
      <c r="D1953" s="13" t="n">
        <f aca="false">IF(Raw_Data!D1953="","",Raw_Data!D1953)</f>
        <v>39</v>
      </c>
      <c r="E1953" s="13" t="str">
        <f aca="false">IF(UPPER(LEFT(TRIM(Raw_Data!E1953),1))="M","Male",IF(UPPER(LEFT(TRIM(Raw_Data!E1953),1))="F","Female","Unknown"))</f>
        <v>Female</v>
      </c>
      <c r="F1953" s="13" t="str">
        <f aca="false">PROPER(TRIM(SUBSTITUTE(Raw_Data!F1953,"'","")))</f>
        <v>Bachelors</v>
      </c>
      <c r="G1953" s="13" t="str">
        <f aca="false">PROPER(TRIM(Raw_Data!G1953))</f>
        <v>Engineering</v>
      </c>
      <c r="H1953" s="13" t="str">
        <f aca="false">PROPER(TRIM(Raw_Data!H1953))</f>
        <v>Analyst</v>
      </c>
      <c r="I1953" s="13" t="n">
        <f aca="false">IF(Raw_Data!I1953="",DefaultPerf,Raw_Data!I1953)</f>
        <v>3</v>
      </c>
      <c r="J1953" s="13" t="n">
        <f aca="false">IF(Raw_Data!J1953="",DefaultSat,Raw_Data!J1953)</f>
        <v>3</v>
      </c>
      <c r="K1953" s="15" t="n">
        <f aca="false">Raw_Data!K1953</f>
        <v>56500</v>
      </c>
      <c r="L1953" s="13" t="str">
        <f aca="false">PROPER(TRIM(Raw_Data!N1953))</f>
        <v>No</v>
      </c>
      <c r="M1953" s="13" t="n">
        <f aca="false">IF(C1953="",0,1)</f>
        <v>0</v>
      </c>
      <c r="N1953" s="13" t="str">
        <f aca="false">IF(M1953=0,"Active",IF(TRIM(Raw_Data!L1953)="","Unknown",PROPER(TRIM(Raw_Data!L1953))))</f>
        <v>Active</v>
      </c>
      <c r="O1953" s="13" t="str">
        <f aca="false">IF(M1953=0,"",IF(TRIM(Raw_Data!M1953)="","Not Recorded",TRIM(Raw_Data!M1953)))</f>
        <v/>
      </c>
      <c r="P1953" s="16" t="n">
        <f aca="false">ROUND((IF(C1953="",AsOfDate,C1953)-B1953)/365.25,2)</f>
        <v>0.42</v>
      </c>
      <c r="Q1953" s="13" t="str">
        <f aca="false">IF(D1953="","Unknown",IF(D1953&lt;25,"Under 25",IF(D1953&lt;35,"25-34",IF(D1953&lt;45,"35-44",IF(D1953&lt;55,"45-54","55+")))))</f>
        <v>35-44</v>
      </c>
      <c r="R1953" s="13" t="str">
        <f aca="false">IF(P1953&lt;1,"0-1 yrs",IF(P1953&lt;3,"1-3 yrs",IF(P1953&lt;5,"3-5 yrs",IF(P1953&lt;10,"5-10 yrs","10+ yrs"))))</f>
        <v>0-1 yrs</v>
      </c>
      <c r="S1953" s="13" t="str">
        <f aca="false">IF(I1953&gt;=4,"High",IF(I1953=3,"Medium","Low"))</f>
        <v>Medium</v>
      </c>
      <c r="T1953" s="13" t="str">
        <f aca="false">IF(M1953=1,YEAR(C1953),"")</f>
        <v/>
      </c>
      <c r="U1953" s="13" t="str">
        <f aca="false">IF(M1953=1,YEAR(C1953)&amp;"-Q"&amp;ROUNDUP(MONTH(C1953)/3,0),"")</f>
        <v/>
      </c>
      <c r="V1953" s="13" t="str">
        <f aca="false">IF(M1953=1,MONTH(C1953),"")</f>
        <v/>
      </c>
    </row>
    <row r="1954" customFormat="false" ht="15" hidden="false" customHeight="false" outlineLevel="0" collapsed="false">
      <c r="A1954" s="13" t="str">
        <f aca="false">TRIM(Raw_Data!A1954)</f>
        <v>EMP1953</v>
      </c>
      <c r="B1954" s="14" t="n">
        <f aca="false">Raw_Data!B1954</f>
        <v>45870</v>
      </c>
      <c r="C1954" s="14" t="str">
        <f aca="false">IF(Raw_Data!C1954="","",Raw_Data!C1954)</f>
        <v/>
      </c>
      <c r="D1954" s="13" t="n">
        <f aca="false">IF(Raw_Data!D1954="","",Raw_Data!D1954)</f>
        <v>25</v>
      </c>
      <c r="E1954" s="13" t="str">
        <f aca="false">IF(UPPER(LEFT(TRIM(Raw_Data!E1954),1))="M","Male",IF(UPPER(LEFT(TRIM(Raw_Data!E1954),1))="F","Female","Unknown"))</f>
        <v>Male</v>
      </c>
      <c r="F1954" s="13" t="str">
        <f aca="false">PROPER(TRIM(SUBSTITUTE(Raw_Data!F1954,"'","")))</f>
        <v>Diploma</v>
      </c>
      <c r="G1954" s="13" t="str">
        <f aca="false">PROPER(TRIM(Raw_Data!G1954))</f>
        <v>Operations</v>
      </c>
      <c r="H1954" s="13" t="str">
        <f aca="false">PROPER(TRIM(Raw_Data!H1954))</f>
        <v>Specialist</v>
      </c>
      <c r="I1954" s="13" t="n">
        <f aca="false">IF(Raw_Data!I1954="",DefaultPerf,Raw_Data!I1954)</f>
        <v>3</v>
      </c>
      <c r="J1954" s="13" t="n">
        <f aca="false">IF(Raw_Data!J1954="",DefaultSat,Raw_Data!J1954)</f>
        <v>4</v>
      </c>
      <c r="K1954" s="15" t="n">
        <f aca="false">Raw_Data!K1954</f>
        <v>90500</v>
      </c>
      <c r="L1954" s="13" t="str">
        <f aca="false">PROPER(TRIM(Raw_Data!N1954))</f>
        <v>Yes</v>
      </c>
      <c r="M1954" s="13" t="n">
        <f aca="false">IF(C1954="",0,1)</f>
        <v>0</v>
      </c>
      <c r="N1954" s="13" t="str">
        <f aca="false">IF(M1954=0,"Active",IF(TRIM(Raw_Data!L1954)="","Unknown",PROPER(TRIM(Raw_Data!L1954))))</f>
        <v>Active</v>
      </c>
      <c r="O1954" s="13" t="str">
        <f aca="false">IF(M1954=0,"",IF(TRIM(Raw_Data!M1954)="","Not Recorded",TRIM(Raw_Data!M1954)))</f>
        <v/>
      </c>
      <c r="P1954" s="16" t="n">
        <f aca="false">ROUND((IF(C1954="",AsOfDate,C1954)-B1954)/365.25,2)</f>
        <v>0.42</v>
      </c>
      <c r="Q1954" s="13" t="str">
        <f aca="false">IF(D1954="","Unknown",IF(D1954&lt;25,"Under 25",IF(D1954&lt;35,"25-34",IF(D1954&lt;45,"35-44",IF(D1954&lt;55,"45-54","55+")))))</f>
        <v>25-34</v>
      </c>
      <c r="R1954" s="13" t="str">
        <f aca="false">IF(P1954&lt;1,"0-1 yrs",IF(P1954&lt;3,"1-3 yrs",IF(P1954&lt;5,"3-5 yrs",IF(P1954&lt;10,"5-10 yrs","10+ yrs"))))</f>
        <v>0-1 yrs</v>
      </c>
      <c r="S1954" s="13" t="str">
        <f aca="false">IF(I1954&gt;=4,"High",IF(I1954=3,"Medium","Low"))</f>
        <v>Medium</v>
      </c>
      <c r="T1954" s="13" t="str">
        <f aca="false">IF(M1954=1,YEAR(C1954),"")</f>
        <v/>
      </c>
      <c r="U1954" s="13" t="str">
        <f aca="false">IF(M1954=1,YEAR(C1954)&amp;"-Q"&amp;ROUNDUP(MONTH(C1954)/3,0),"")</f>
        <v/>
      </c>
      <c r="V1954" s="13" t="str">
        <f aca="false">IF(M1954=1,MONTH(C1954),"")</f>
        <v/>
      </c>
    </row>
    <row r="1955" customFormat="false" ht="15" hidden="false" customHeight="false" outlineLevel="0" collapsed="false">
      <c r="A1955" s="13" t="str">
        <f aca="false">TRIM(Raw_Data!A1955)</f>
        <v>EMP1954</v>
      </c>
      <c r="B1955" s="14" t="n">
        <f aca="false">Raw_Data!B1955</f>
        <v>45871</v>
      </c>
      <c r="C1955" s="14" t="str">
        <f aca="false">IF(Raw_Data!C1955="","",Raw_Data!C1955)</f>
        <v/>
      </c>
      <c r="D1955" s="13" t="n">
        <f aca="false">IF(Raw_Data!D1955="","",Raw_Data!D1955)</f>
        <v>23</v>
      </c>
      <c r="E1955" s="13" t="str">
        <f aca="false">IF(UPPER(LEFT(TRIM(Raw_Data!E1955),1))="M","Male",IF(UPPER(LEFT(TRIM(Raw_Data!E1955),1))="F","Female","Unknown"))</f>
        <v>Female</v>
      </c>
      <c r="F1955" s="13" t="str">
        <f aca="false">PROPER(TRIM(SUBSTITUTE(Raw_Data!F1955,"'","")))</f>
        <v>Diploma</v>
      </c>
      <c r="G1955" s="13" t="str">
        <f aca="false">PROPER(TRIM(Raw_Data!G1955))</f>
        <v>Operations</v>
      </c>
      <c r="H1955" s="13" t="str">
        <f aca="false">PROPER(TRIM(Raw_Data!H1955))</f>
        <v>Associate</v>
      </c>
      <c r="I1955" s="13" t="n">
        <f aca="false">IF(Raw_Data!I1955="",DefaultPerf,Raw_Data!I1955)</f>
        <v>4</v>
      </c>
      <c r="J1955" s="13" t="n">
        <f aca="false">IF(Raw_Data!J1955="",DefaultSat,Raw_Data!J1955)</f>
        <v>3</v>
      </c>
      <c r="K1955" s="15" t="n">
        <f aca="false">Raw_Data!K1955</f>
        <v>33000</v>
      </c>
      <c r="L1955" s="13" t="str">
        <f aca="false">PROPER(TRIM(Raw_Data!N1955))</f>
        <v>No</v>
      </c>
      <c r="M1955" s="13" t="n">
        <f aca="false">IF(C1955="",0,1)</f>
        <v>0</v>
      </c>
      <c r="N1955" s="13" t="str">
        <f aca="false">IF(M1955=0,"Active",IF(TRIM(Raw_Data!L1955)="","Unknown",PROPER(TRIM(Raw_Data!L1955))))</f>
        <v>Active</v>
      </c>
      <c r="O1955" s="13" t="str">
        <f aca="false">IF(M1955=0,"",IF(TRIM(Raw_Data!M1955)="","Not Recorded",TRIM(Raw_Data!M1955)))</f>
        <v/>
      </c>
      <c r="P1955" s="16" t="n">
        <f aca="false">ROUND((IF(C1955="",AsOfDate,C1955)-B1955)/365.25,2)</f>
        <v>0.41</v>
      </c>
      <c r="Q1955" s="13" t="str">
        <f aca="false">IF(D1955="","Unknown",IF(D1955&lt;25,"Under 25",IF(D1955&lt;35,"25-34",IF(D1955&lt;45,"35-44",IF(D1955&lt;55,"45-54","55+")))))</f>
        <v>Under 25</v>
      </c>
      <c r="R1955" s="13" t="str">
        <f aca="false">IF(P1955&lt;1,"0-1 yrs",IF(P1955&lt;3,"1-3 yrs",IF(P1955&lt;5,"3-5 yrs",IF(P1955&lt;10,"5-10 yrs","10+ yrs"))))</f>
        <v>0-1 yrs</v>
      </c>
      <c r="S1955" s="13" t="str">
        <f aca="false">IF(I1955&gt;=4,"High",IF(I1955=3,"Medium","Low"))</f>
        <v>High</v>
      </c>
      <c r="T1955" s="13" t="str">
        <f aca="false">IF(M1955=1,YEAR(C1955),"")</f>
        <v/>
      </c>
      <c r="U1955" s="13" t="str">
        <f aca="false">IF(M1955=1,YEAR(C1955)&amp;"-Q"&amp;ROUNDUP(MONTH(C1955)/3,0),"")</f>
        <v/>
      </c>
      <c r="V1955" s="13" t="str">
        <f aca="false">IF(M1955=1,MONTH(C1955),"")</f>
        <v/>
      </c>
    </row>
    <row r="1956" customFormat="false" ht="15" hidden="false" customHeight="false" outlineLevel="0" collapsed="false">
      <c r="A1956" s="13" t="str">
        <f aca="false">TRIM(Raw_Data!A1956)</f>
        <v>EMP1955</v>
      </c>
      <c r="B1956" s="14" t="n">
        <f aca="false">Raw_Data!B1956</f>
        <v>45872</v>
      </c>
      <c r="C1956" s="14" t="str">
        <f aca="false">IF(Raw_Data!C1956="","",Raw_Data!C1956)</f>
        <v/>
      </c>
      <c r="D1956" s="13" t="n">
        <f aca="false">IF(Raw_Data!D1956="","",Raw_Data!D1956)</f>
        <v>29</v>
      </c>
      <c r="E1956" s="13" t="str">
        <f aca="false">IF(UPPER(LEFT(TRIM(Raw_Data!E1956),1))="M","Male",IF(UPPER(LEFT(TRIM(Raw_Data!E1956),1))="F","Female","Unknown"))</f>
        <v>Male</v>
      </c>
      <c r="F1956" s="13" t="str">
        <f aca="false">PROPER(TRIM(SUBSTITUTE(Raw_Data!F1956,"'","")))</f>
        <v>Diploma</v>
      </c>
      <c r="G1956" s="13" t="str">
        <f aca="false">PROPER(TRIM(Raw_Data!G1956))</f>
        <v>Operations</v>
      </c>
      <c r="H1956" s="13" t="str">
        <f aca="false">PROPER(TRIM(Raw_Data!H1956))</f>
        <v>Associate</v>
      </c>
      <c r="I1956" s="13" t="n">
        <f aca="false">IF(Raw_Data!I1956="",DefaultPerf,Raw_Data!I1956)</f>
        <v>3</v>
      </c>
      <c r="J1956" s="13" t="n">
        <f aca="false">IF(Raw_Data!J1956="",DefaultSat,Raw_Data!J1956)</f>
        <v>3</v>
      </c>
      <c r="K1956" s="15" t="n">
        <f aca="false">Raw_Data!K1956</f>
        <v>38000</v>
      </c>
      <c r="L1956" s="13" t="str">
        <f aca="false">PROPER(TRIM(Raw_Data!N1956))</f>
        <v>No</v>
      </c>
      <c r="M1956" s="13" t="n">
        <f aca="false">IF(C1956="",0,1)</f>
        <v>0</v>
      </c>
      <c r="N1956" s="13" t="str">
        <f aca="false">IF(M1956=0,"Active",IF(TRIM(Raw_Data!L1956)="","Unknown",PROPER(TRIM(Raw_Data!L1956))))</f>
        <v>Active</v>
      </c>
      <c r="O1956" s="13" t="str">
        <f aca="false">IF(M1956=0,"",IF(TRIM(Raw_Data!M1956)="","Not Recorded",TRIM(Raw_Data!M1956)))</f>
        <v/>
      </c>
      <c r="P1956" s="16" t="n">
        <f aca="false">ROUND((IF(C1956="",AsOfDate,C1956)-B1956)/365.25,2)</f>
        <v>0.41</v>
      </c>
      <c r="Q1956" s="13" t="str">
        <f aca="false">IF(D1956="","Unknown",IF(D1956&lt;25,"Under 25",IF(D1956&lt;35,"25-34",IF(D1956&lt;45,"35-44",IF(D1956&lt;55,"45-54","55+")))))</f>
        <v>25-34</v>
      </c>
      <c r="R1956" s="13" t="str">
        <f aca="false">IF(P1956&lt;1,"0-1 yrs",IF(P1956&lt;3,"1-3 yrs",IF(P1956&lt;5,"3-5 yrs",IF(P1956&lt;10,"5-10 yrs","10+ yrs"))))</f>
        <v>0-1 yrs</v>
      </c>
      <c r="S1956" s="13" t="str">
        <f aca="false">IF(I1956&gt;=4,"High",IF(I1956=3,"Medium","Low"))</f>
        <v>Medium</v>
      </c>
      <c r="T1956" s="13" t="str">
        <f aca="false">IF(M1956=1,YEAR(C1956),"")</f>
        <v/>
      </c>
      <c r="U1956" s="13" t="str">
        <f aca="false">IF(M1956=1,YEAR(C1956)&amp;"-Q"&amp;ROUNDUP(MONTH(C1956)/3,0),"")</f>
        <v/>
      </c>
      <c r="V1956" s="13" t="str">
        <f aca="false">IF(M1956=1,MONTH(C1956),"")</f>
        <v/>
      </c>
    </row>
    <row r="1957" customFormat="false" ht="15" hidden="false" customHeight="false" outlineLevel="0" collapsed="false">
      <c r="A1957" s="13" t="str">
        <f aca="false">TRIM(Raw_Data!A1957)</f>
        <v>EMP1956</v>
      </c>
      <c r="B1957" s="14" t="n">
        <f aca="false">Raw_Data!B1957</f>
        <v>45872</v>
      </c>
      <c r="C1957" s="14" t="str">
        <f aca="false">IF(Raw_Data!C1957="","",Raw_Data!C1957)</f>
        <v/>
      </c>
      <c r="D1957" s="13" t="n">
        <f aca="false">IF(Raw_Data!D1957="","",Raw_Data!D1957)</f>
        <v>25</v>
      </c>
      <c r="E1957" s="13" t="str">
        <f aca="false">IF(UPPER(LEFT(TRIM(Raw_Data!E1957),1))="M","Male",IF(UPPER(LEFT(TRIM(Raw_Data!E1957),1))="F","Female","Unknown"))</f>
        <v>Male</v>
      </c>
      <c r="F1957" s="13" t="str">
        <f aca="false">PROPER(TRIM(SUBSTITUTE(Raw_Data!F1957,"'","")))</f>
        <v>High School</v>
      </c>
      <c r="G1957" s="13" t="str">
        <f aca="false">PROPER(TRIM(Raw_Data!G1957))</f>
        <v>Customer Support</v>
      </c>
      <c r="H1957" s="13" t="str">
        <f aca="false">PROPER(TRIM(Raw_Data!H1957))</f>
        <v>Specialist</v>
      </c>
      <c r="I1957" s="13" t="n">
        <f aca="false">IF(Raw_Data!I1957="",DefaultPerf,Raw_Data!I1957)</f>
        <v>3</v>
      </c>
      <c r="J1957" s="13" t="n">
        <f aca="false">IF(Raw_Data!J1957="",DefaultSat,Raw_Data!J1957)</f>
        <v>2</v>
      </c>
      <c r="K1957" s="15" t="n">
        <f aca="false">Raw_Data!K1957</f>
        <v>103500</v>
      </c>
      <c r="L1957" s="13" t="str">
        <f aca="false">PROPER(TRIM(Raw_Data!N1957))</f>
        <v>Yes</v>
      </c>
      <c r="M1957" s="13" t="n">
        <f aca="false">IF(C1957="",0,1)</f>
        <v>0</v>
      </c>
      <c r="N1957" s="13" t="str">
        <f aca="false">IF(M1957=0,"Active",IF(TRIM(Raw_Data!L1957)="","Unknown",PROPER(TRIM(Raw_Data!L1957))))</f>
        <v>Active</v>
      </c>
      <c r="O1957" s="13" t="str">
        <f aca="false">IF(M1957=0,"",IF(TRIM(Raw_Data!M1957)="","Not Recorded",TRIM(Raw_Data!M1957)))</f>
        <v/>
      </c>
      <c r="P1957" s="16" t="n">
        <f aca="false">ROUND((IF(C1957="",AsOfDate,C1957)-B1957)/365.25,2)</f>
        <v>0.41</v>
      </c>
      <c r="Q1957" s="13" t="str">
        <f aca="false">IF(D1957="","Unknown",IF(D1957&lt;25,"Under 25",IF(D1957&lt;35,"25-34",IF(D1957&lt;45,"35-44",IF(D1957&lt;55,"45-54","55+")))))</f>
        <v>25-34</v>
      </c>
      <c r="R1957" s="13" t="str">
        <f aca="false">IF(P1957&lt;1,"0-1 yrs",IF(P1957&lt;3,"1-3 yrs",IF(P1957&lt;5,"3-5 yrs",IF(P1957&lt;10,"5-10 yrs","10+ yrs"))))</f>
        <v>0-1 yrs</v>
      </c>
      <c r="S1957" s="13" t="str">
        <f aca="false">IF(I1957&gt;=4,"High",IF(I1957=3,"Medium","Low"))</f>
        <v>Medium</v>
      </c>
      <c r="T1957" s="13" t="str">
        <f aca="false">IF(M1957=1,YEAR(C1957),"")</f>
        <v/>
      </c>
      <c r="U1957" s="13" t="str">
        <f aca="false">IF(M1957=1,YEAR(C1957)&amp;"-Q"&amp;ROUNDUP(MONTH(C1957)/3,0),"")</f>
        <v/>
      </c>
      <c r="V1957" s="13" t="str">
        <f aca="false">IF(M1957=1,MONTH(C1957),"")</f>
        <v/>
      </c>
    </row>
    <row r="1958" customFormat="false" ht="15" hidden="false" customHeight="false" outlineLevel="0" collapsed="false">
      <c r="A1958" s="13" t="str">
        <f aca="false">TRIM(Raw_Data!A1958)</f>
        <v>EMP1957</v>
      </c>
      <c r="B1958" s="14" t="n">
        <f aca="false">Raw_Data!B1958</f>
        <v>45874</v>
      </c>
      <c r="C1958" s="14" t="str">
        <f aca="false">IF(Raw_Data!C1958="","",Raw_Data!C1958)</f>
        <v/>
      </c>
      <c r="D1958" s="13" t="n">
        <f aca="false">IF(Raw_Data!D1958="","",Raw_Data!D1958)</f>
        <v>28</v>
      </c>
      <c r="E1958" s="13" t="str">
        <f aca="false">IF(UPPER(LEFT(TRIM(Raw_Data!E1958),1))="M","Male",IF(UPPER(LEFT(TRIM(Raw_Data!E1958),1))="F","Female","Unknown"))</f>
        <v>Female</v>
      </c>
      <c r="F1958" s="13" t="str">
        <f aca="false">PROPER(TRIM(SUBSTITUTE(Raw_Data!F1958,"'","")))</f>
        <v>Diploma</v>
      </c>
      <c r="G1958" s="13" t="str">
        <f aca="false">PROPER(TRIM(Raw_Data!G1958))</f>
        <v>Sales</v>
      </c>
      <c r="H1958" s="13" t="str">
        <f aca="false">PROPER(TRIM(Raw_Data!H1958))</f>
        <v>Team Lead</v>
      </c>
      <c r="I1958" s="13" t="n">
        <f aca="false">IF(Raw_Data!I1958="",DefaultPerf,Raw_Data!I1958)</f>
        <v>5</v>
      </c>
      <c r="J1958" s="13" t="n">
        <f aca="false">IF(Raw_Data!J1958="",DefaultSat,Raw_Data!J1958)</f>
        <v>4</v>
      </c>
      <c r="K1958" s="15" t="n">
        <f aca="false">Raw_Data!K1958</f>
        <v>113500</v>
      </c>
      <c r="L1958" s="13" t="str">
        <f aca="false">PROPER(TRIM(Raw_Data!N1958))</f>
        <v>No</v>
      </c>
      <c r="M1958" s="13" t="n">
        <f aca="false">IF(C1958="",0,1)</f>
        <v>0</v>
      </c>
      <c r="N1958" s="13" t="str">
        <f aca="false">IF(M1958=0,"Active",IF(TRIM(Raw_Data!L1958)="","Unknown",PROPER(TRIM(Raw_Data!L1958))))</f>
        <v>Active</v>
      </c>
      <c r="O1958" s="13" t="str">
        <f aca="false">IF(M1958=0,"",IF(TRIM(Raw_Data!M1958)="","Not Recorded",TRIM(Raw_Data!M1958)))</f>
        <v/>
      </c>
      <c r="P1958" s="16" t="n">
        <f aca="false">ROUND((IF(C1958="",AsOfDate,C1958)-B1958)/365.25,2)</f>
        <v>0.41</v>
      </c>
      <c r="Q1958" s="13" t="str">
        <f aca="false">IF(D1958="","Unknown",IF(D1958&lt;25,"Under 25",IF(D1958&lt;35,"25-34",IF(D1958&lt;45,"35-44",IF(D1958&lt;55,"45-54","55+")))))</f>
        <v>25-34</v>
      </c>
      <c r="R1958" s="13" t="str">
        <f aca="false">IF(P1958&lt;1,"0-1 yrs",IF(P1958&lt;3,"1-3 yrs",IF(P1958&lt;5,"3-5 yrs",IF(P1958&lt;10,"5-10 yrs","10+ yrs"))))</f>
        <v>0-1 yrs</v>
      </c>
      <c r="S1958" s="13" t="str">
        <f aca="false">IF(I1958&gt;=4,"High",IF(I1958=3,"Medium","Low"))</f>
        <v>High</v>
      </c>
      <c r="T1958" s="13" t="str">
        <f aca="false">IF(M1958=1,YEAR(C1958),"")</f>
        <v/>
      </c>
      <c r="U1958" s="13" t="str">
        <f aca="false">IF(M1958=1,YEAR(C1958)&amp;"-Q"&amp;ROUNDUP(MONTH(C1958)/3,0),"")</f>
        <v/>
      </c>
      <c r="V1958" s="13" t="str">
        <f aca="false">IF(M1958=1,MONTH(C1958),"")</f>
        <v/>
      </c>
    </row>
    <row r="1959" customFormat="false" ht="15" hidden="false" customHeight="false" outlineLevel="0" collapsed="false">
      <c r="A1959" s="13" t="str">
        <f aca="false">TRIM(Raw_Data!A1959)</f>
        <v>EMP1958</v>
      </c>
      <c r="B1959" s="14" t="n">
        <f aca="false">Raw_Data!B1959</f>
        <v>45879</v>
      </c>
      <c r="C1959" s="14" t="str">
        <f aca="false">IF(Raw_Data!C1959="","",Raw_Data!C1959)</f>
        <v/>
      </c>
      <c r="D1959" s="13" t="n">
        <f aca="false">IF(Raw_Data!D1959="","",Raw_Data!D1959)</f>
        <v>33</v>
      </c>
      <c r="E1959" s="13" t="str">
        <f aca="false">IF(UPPER(LEFT(TRIM(Raw_Data!E1959),1))="M","Male",IF(UPPER(LEFT(TRIM(Raw_Data!E1959),1))="F","Female","Unknown"))</f>
        <v>Male</v>
      </c>
      <c r="F1959" s="13" t="str">
        <f aca="false">PROPER(TRIM(SUBSTITUTE(Raw_Data!F1959,"'","")))</f>
        <v>Bachelors</v>
      </c>
      <c r="G1959" s="13" t="str">
        <f aca="false">PROPER(TRIM(Raw_Data!G1959))</f>
        <v>Engineering</v>
      </c>
      <c r="H1959" s="13" t="str">
        <f aca="false">PROPER(TRIM(Raw_Data!H1959))</f>
        <v>Specialist</v>
      </c>
      <c r="I1959" s="13" t="n">
        <f aca="false">IF(Raw_Data!I1959="",DefaultPerf,Raw_Data!I1959)</f>
        <v>3</v>
      </c>
      <c r="J1959" s="13" t="n">
        <f aca="false">IF(Raw_Data!J1959="",DefaultSat,Raw_Data!J1959)</f>
        <v>4</v>
      </c>
      <c r="K1959" s="15" t="n">
        <f aca="false">Raw_Data!K1959</f>
        <v>98000</v>
      </c>
      <c r="L1959" s="13" t="str">
        <f aca="false">PROPER(TRIM(Raw_Data!N1959))</f>
        <v>No</v>
      </c>
      <c r="M1959" s="13" t="n">
        <f aca="false">IF(C1959="",0,1)</f>
        <v>0</v>
      </c>
      <c r="N1959" s="13" t="str">
        <f aca="false">IF(M1959=0,"Active",IF(TRIM(Raw_Data!L1959)="","Unknown",PROPER(TRIM(Raw_Data!L1959))))</f>
        <v>Active</v>
      </c>
      <c r="O1959" s="13" t="str">
        <f aca="false">IF(M1959=0,"",IF(TRIM(Raw_Data!M1959)="","Not Recorded",TRIM(Raw_Data!M1959)))</f>
        <v/>
      </c>
      <c r="P1959" s="16" t="n">
        <f aca="false">ROUND((IF(C1959="",AsOfDate,C1959)-B1959)/365.25,2)</f>
        <v>0.39</v>
      </c>
      <c r="Q1959" s="13" t="str">
        <f aca="false">IF(D1959="","Unknown",IF(D1959&lt;25,"Under 25",IF(D1959&lt;35,"25-34",IF(D1959&lt;45,"35-44",IF(D1959&lt;55,"45-54","55+")))))</f>
        <v>25-34</v>
      </c>
      <c r="R1959" s="13" t="str">
        <f aca="false">IF(P1959&lt;1,"0-1 yrs",IF(P1959&lt;3,"1-3 yrs",IF(P1959&lt;5,"3-5 yrs",IF(P1959&lt;10,"5-10 yrs","10+ yrs"))))</f>
        <v>0-1 yrs</v>
      </c>
      <c r="S1959" s="13" t="str">
        <f aca="false">IF(I1959&gt;=4,"High",IF(I1959=3,"Medium","Low"))</f>
        <v>Medium</v>
      </c>
      <c r="T1959" s="13" t="str">
        <f aca="false">IF(M1959=1,YEAR(C1959),"")</f>
        <v/>
      </c>
      <c r="U1959" s="13" t="str">
        <f aca="false">IF(M1959=1,YEAR(C1959)&amp;"-Q"&amp;ROUNDUP(MONTH(C1959)/3,0),"")</f>
        <v/>
      </c>
      <c r="V1959" s="13" t="str">
        <f aca="false">IF(M1959=1,MONTH(C1959),"")</f>
        <v/>
      </c>
    </row>
    <row r="1960" customFormat="false" ht="15" hidden="false" customHeight="false" outlineLevel="0" collapsed="false">
      <c r="A1960" s="13" t="str">
        <f aca="false">TRIM(Raw_Data!A1960)</f>
        <v>EMP1959</v>
      </c>
      <c r="B1960" s="14" t="n">
        <f aca="false">Raw_Data!B1960</f>
        <v>45884</v>
      </c>
      <c r="C1960" s="14" t="str">
        <f aca="false">IF(Raw_Data!C1960="","",Raw_Data!C1960)</f>
        <v/>
      </c>
      <c r="D1960" s="13" t="n">
        <f aca="false">IF(Raw_Data!D1960="","",Raw_Data!D1960)</f>
        <v>44</v>
      </c>
      <c r="E1960" s="13" t="str">
        <f aca="false">IF(UPPER(LEFT(TRIM(Raw_Data!E1960),1))="M","Male",IF(UPPER(LEFT(TRIM(Raw_Data!E1960),1))="F","Female","Unknown"))</f>
        <v>Male</v>
      </c>
      <c r="F1960" s="13" t="str">
        <f aca="false">PROPER(TRIM(SUBSTITUTE(Raw_Data!F1960,"'","")))</f>
        <v>Masters</v>
      </c>
      <c r="G1960" s="13" t="str">
        <f aca="false">PROPER(TRIM(Raw_Data!G1960))</f>
        <v>Engineering</v>
      </c>
      <c r="H1960" s="13" t="str">
        <f aca="false">PROPER(TRIM(Raw_Data!H1960))</f>
        <v>Associate</v>
      </c>
      <c r="I1960" s="13" t="n">
        <f aca="false">IF(Raw_Data!I1960="",DefaultPerf,Raw_Data!I1960)</f>
        <v>3</v>
      </c>
      <c r="J1960" s="13" t="n">
        <f aca="false">IF(Raw_Data!J1960="",DefaultSat,Raw_Data!J1960)</f>
        <v>3</v>
      </c>
      <c r="K1960" s="15" t="n">
        <f aca="false">Raw_Data!K1960</f>
        <v>38000</v>
      </c>
      <c r="L1960" s="13" t="str">
        <f aca="false">PROPER(TRIM(Raw_Data!N1960))</f>
        <v>No</v>
      </c>
      <c r="M1960" s="13" t="n">
        <f aca="false">IF(C1960="",0,1)</f>
        <v>0</v>
      </c>
      <c r="N1960" s="13" t="str">
        <f aca="false">IF(M1960=0,"Active",IF(TRIM(Raw_Data!L1960)="","Unknown",PROPER(TRIM(Raw_Data!L1960))))</f>
        <v>Active</v>
      </c>
      <c r="O1960" s="13" t="str">
        <f aca="false">IF(M1960=0,"",IF(TRIM(Raw_Data!M1960)="","Not Recorded",TRIM(Raw_Data!M1960)))</f>
        <v/>
      </c>
      <c r="P1960" s="16" t="n">
        <f aca="false">ROUND((IF(C1960="",AsOfDate,C1960)-B1960)/365.25,2)</f>
        <v>0.38</v>
      </c>
      <c r="Q1960" s="13" t="str">
        <f aca="false">IF(D1960="","Unknown",IF(D1960&lt;25,"Under 25",IF(D1960&lt;35,"25-34",IF(D1960&lt;45,"35-44",IF(D1960&lt;55,"45-54","55+")))))</f>
        <v>35-44</v>
      </c>
      <c r="R1960" s="13" t="str">
        <f aca="false">IF(P1960&lt;1,"0-1 yrs",IF(P1960&lt;3,"1-3 yrs",IF(P1960&lt;5,"3-5 yrs",IF(P1960&lt;10,"5-10 yrs","10+ yrs"))))</f>
        <v>0-1 yrs</v>
      </c>
      <c r="S1960" s="13" t="str">
        <f aca="false">IF(I1960&gt;=4,"High",IF(I1960=3,"Medium","Low"))</f>
        <v>Medium</v>
      </c>
      <c r="T1960" s="13" t="str">
        <f aca="false">IF(M1960=1,YEAR(C1960),"")</f>
        <v/>
      </c>
      <c r="U1960" s="13" t="str">
        <f aca="false">IF(M1960=1,YEAR(C1960)&amp;"-Q"&amp;ROUNDUP(MONTH(C1960)/3,0),"")</f>
        <v/>
      </c>
      <c r="V1960" s="13" t="str">
        <f aca="false">IF(M1960=1,MONTH(C1960),"")</f>
        <v/>
      </c>
    </row>
    <row r="1961" customFormat="false" ht="15" hidden="false" customHeight="false" outlineLevel="0" collapsed="false">
      <c r="A1961" s="13" t="str">
        <f aca="false">TRIM(Raw_Data!A1961)</f>
        <v>EMP1960</v>
      </c>
      <c r="B1961" s="14" t="n">
        <f aca="false">Raw_Data!B1961</f>
        <v>45884</v>
      </c>
      <c r="C1961" s="14" t="str">
        <f aca="false">IF(Raw_Data!C1961="","",Raw_Data!C1961)</f>
        <v/>
      </c>
      <c r="D1961" s="13" t="n">
        <f aca="false">IF(Raw_Data!D1961="","",Raw_Data!D1961)</f>
        <v>34</v>
      </c>
      <c r="E1961" s="13" t="str">
        <f aca="false">IF(UPPER(LEFT(TRIM(Raw_Data!E1961),1))="M","Male",IF(UPPER(LEFT(TRIM(Raw_Data!E1961),1))="F","Female","Unknown"))</f>
        <v>Female</v>
      </c>
      <c r="F1961" s="13" t="str">
        <f aca="false">PROPER(TRIM(SUBSTITUTE(Raw_Data!F1961,"'","")))</f>
        <v>Diploma</v>
      </c>
      <c r="G1961" s="13" t="str">
        <f aca="false">PROPER(TRIM(Raw_Data!G1961))</f>
        <v>Customer Support</v>
      </c>
      <c r="H1961" s="13" t="str">
        <f aca="false">PROPER(TRIM(Raw_Data!H1961))</f>
        <v>Analyst</v>
      </c>
      <c r="I1961" s="13" t="n">
        <f aca="false">IF(Raw_Data!I1961="",DefaultPerf,Raw_Data!I1961)</f>
        <v>4</v>
      </c>
      <c r="J1961" s="13" t="n">
        <f aca="false">IF(Raw_Data!J1961="",DefaultSat,Raw_Data!J1961)</f>
        <v>3</v>
      </c>
      <c r="K1961" s="15" t="n">
        <f aca="false">Raw_Data!K1961</f>
        <v>47500</v>
      </c>
      <c r="L1961" s="13" t="str">
        <f aca="false">PROPER(TRIM(Raw_Data!N1961))</f>
        <v>Yes</v>
      </c>
      <c r="M1961" s="13" t="n">
        <f aca="false">IF(C1961="",0,1)</f>
        <v>0</v>
      </c>
      <c r="N1961" s="13" t="str">
        <f aca="false">IF(M1961=0,"Active",IF(TRIM(Raw_Data!L1961)="","Unknown",PROPER(TRIM(Raw_Data!L1961))))</f>
        <v>Active</v>
      </c>
      <c r="O1961" s="13" t="str">
        <f aca="false">IF(M1961=0,"",IF(TRIM(Raw_Data!M1961)="","Not Recorded",TRIM(Raw_Data!M1961)))</f>
        <v/>
      </c>
      <c r="P1961" s="16" t="n">
        <f aca="false">ROUND((IF(C1961="",AsOfDate,C1961)-B1961)/365.25,2)</f>
        <v>0.38</v>
      </c>
      <c r="Q1961" s="13" t="str">
        <f aca="false">IF(D1961="","Unknown",IF(D1961&lt;25,"Under 25",IF(D1961&lt;35,"25-34",IF(D1961&lt;45,"35-44",IF(D1961&lt;55,"45-54","55+")))))</f>
        <v>25-34</v>
      </c>
      <c r="R1961" s="13" t="str">
        <f aca="false">IF(P1961&lt;1,"0-1 yrs",IF(P1961&lt;3,"1-3 yrs",IF(P1961&lt;5,"3-5 yrs",IF(P1961&lt;10,"5-10 yrs","10+ yrs"))))</f>
        <v>0-1 yrs</v>
      </c>
      <c r="S1961" s="13" t="str">
        <f aca="false">IF(I1961&gt;=4,"High",IF(I1961=3,"Medium","Low"))</f>
        <v>High</v>
      </c>
      <c r="T1961" s="13" t="str">
        <f aca="false">IF(M1961=1,YEAR(C1961),"")</f>
        <v/>
      </c>
      <c r="U1961" s="13" t="str">
        <f aca="false">IF(M1961=1,YEAR(C1961)&amp;"-Q"&amp;ROUNDUP(MONTH(C1961)/3,0),"")</f>
        <v/>
      </c>
      <c r="V1961" s="13" t="str">
        <f aca="false">IF(M1961=1,MONTH(C1961),"")</f>
        <v/>
      </c>
    </row>
    <row r="1962" customFormat="false" ht="15" hidden="false" customHeight="false" outlineLevel="0" collapsed="false">
      <c r="A1962" s="13" t="str">
        <f aca="false">TRIM(Raw_Data!A1962)</f>
        <v>EMP1961</v>
      </c>
      <c r="B1962" s="14" t="n">
        <f aca="false">Raw_Data!B1962</f>
        <v>45886</v>
      </c>
      <c r="C1962" s="14" t="str">
        <f aca="false">IF(Raw_Data!C1962="","",Raw_Data!C1962)</f>
        <v/>
      </c>
      <c r="D1962" s="13" t="n">
        <f aca="false">IF(Raw_Data!D1962="","",Raw_Data!D1962)</f>
        <v>26</v>
      </c>
      <c r="E1962" s="13" t="str">
        <f aca="false">IF(UPPER(LEFT(TRIM(Raw_Data!E1962),1))="M","Male",IF(UPPER(LEFT(TRIM(Raw_Data!E1962),1))="F","Female","Unknown"))</f>
        <v>Male</v>
      </c>
      <c r="F1962" s="13" t="str">
        <f aca="false">PROPER(TRIM(SUBSTITUTE(Raw_Data!F1962,"'","")))</f>
        <v>Masters</v>
      </c>
      <c r="G1962" s="13" t="str">
        <f aca="false">PROPER(TRIM(Raw_Data!G1962))</f>
        <v>Engineering</v>
      </c>
      <c r="H1962" s="13" t="str">
        <f aca="false">PROPER(TRIM(Raw_Data!H1962))</f>
        <v>Analyst</v>
      </c>
      <c r="I1962" s="13" t="n">
        <f aca="false">IF(Raw_Data!I1962="",DefaultPerf,Raw_Data!I1962)</f>
        <v>3</v>
      </c>
      <c r="J1962" s="13" t="n">
        <f aca="false">IF(Raw_Data!J1962="",DefaultSat,Raw_Data!J1962)</f>
        <v>3</v>
      </c>
      <c r="K1962" s="15" t="n">
        <f aca="false">Raw_Data!K1962</f>
        <v>46000</v>
      </c>
      <c r="L1962" s="13" t="str">
        <f aca="false">PROPER(TRIM(Raw_Data!N1962))</f>
        <v>Yes</v>
      </c>
      <c r="M1962" s="13" t="n">
        <f aca="false">IF(C1962="",0,1)</f>
        <v>0</v>
      </c>
      <c r="N1962" s="13" t="str">
        <f aca="false">IF(M1962=0,"Active",IF(TRIM(Raw_Data!L1962)="","Unknown",PROPER(TRIM(Raw_Data!L1962))))</f>
        <v>Active</v>
      </c>
      <c r="O1962" s="13" t="str">
        <f aca="false">IF(M1962=0,"",IF(TRIM(Raw_Data!M1962)="","Not Recorded",TRIM(Raw_Data!M1962)))</f>
        <v/>
      </c>
      <c r="P1962" s="16" t="n">
        <f aca="false">ROUND((IF(C1962="",AsOfDate,C1962)-B1962)/365.25,2)</f>
        <v>0.37</v>
      </c>
      <c r="Q1962" s="13" t="str">
        <f aca="false">IF(D1962="","Unknown",IF(D1962&lt;25,"Under 25",IF(D1962&lt;35,"25-34",IF(D1962&lt;45,"35-44",IF(D1962&lt;55,"45-54","55+")))))</f>
        <v>25-34</v>
      </c>
      <c r="R1962" s="13" t="str">
        <f aca="false">IF(P1962&lt;1,"0-1 yrs",IF(P1962&lt;3,"1-3 yrs",IF(P1962&lt;5,"3-5 yrs",IF(P1962&lt;10,"5-10 yrs","10+ yrs"))))</f>
        <v>0-1 yrs</v>
      </c>
      <c r="S1962" s="13" t="str">
        <f aca="false">IF(I1962&gt;=4,"High",IF(I1962=3,"Medium","Low"))</f>
        <v>Medium</v>
      </c>
      <c r="T1962" s="13" t="str">
        <f aca="false">IF(M1962=1,YEAR(C1962),"")</f>
        <v/>
      </c>
      <c r="U1962" s="13" t="str">
        <f aca="false">IF(M1962=1,YEAR(C1962)&amp;"-Q"&amp;ROUNDUP(MONTH(C1962)/3,0),"")</f>
        <v/>
      </c>
      <c r="V1962" s="13" t="str">
        <f aca="false">IF(M1962=1,MONTH(C1962),"")</f>
        <v/>
      </c>
    </row>
    <row r="1963" customFormat="false" ht="15" hidden="false" customHeight="false" outlineLevel="0" collapsed="false">
      <c r="A1963" s="13" t="str">
        <f aca="false">TRIM(Raw_Data!A1963)</f>
        <v>EMP1962</v>
      </c>
      <c r="B1963" s="14" t="n">
        <f aca="false">Raw_Data!B1963</f>
        <v>45889</v>
      </c>
      <c r="C1963" s="14" t="str">
        <f aca="false">IF(Raw_Data!C1963="","",Raw_Data!C1963)</f>
        <v/>
      </c>
      <c r="D1963" s="13" t="n">
        <f aca="false">IF(Raw_Data!D1963="","",Raw_Data!D1963)</f>
        <v>26</v>
      </c>
      <c r="E1963" s="13" t="str">
        <f aca="false">IF(UPPER(LEFT(TRIM(Raw_Data!E1963),1))="M","Male",IF(UPPER(LEFT(TRIM(Raw_Data!E1963),1))="F","Female","Unknown"))</f>
        <v>Male</v>
      </c>
      <c r="F1963" s="13" t="str">
        <f aca="false">PROPER(TRIM(SUBSTITUTE(Raw_Data!F1963,"'","")))</f>
        <v>Masters</v>
      </c>
      <c r="G1963" s="13" t="str">
        <f aca="false">PROPER(TRIM(Raw_Data!G1963))</f>
        <v>Engineering</v>
      </c>
      <c r="H1963" s="13" t="str">
        <f aca="false">PROPER(TRIM(Raw_Data!H1963))</f>
        <v>Specialist</v>
      </c>
      <c r="I1963" s="13" t="n">
        <f aca="false">IF(Raw_Data!I1963="",DefaultPerf,Raw_Data!I1963)</f>
        <v>4</v>
      </c>
      <c r="J1963" s="13" t="n">
        <f aca="false">IF(Raw_Data!J1963="",DefaultSat,Raw_Data!J1963)</f>
        <v>4</v>
      </c>
      <c r="K1963" s="15" t="n">
        <f aca="false">Raw_Data!K1963</f>
        <v>100000</v>
      </c>
      <c r="L1963" s="13" t="str">
        <f aca="false">PROPER(TRIM(Raw_Data!N1963))</f>
        <v>No</v>
      </c>
      <c r="M1963" s="13" t="n">
        <f aca="false">IF(C1963="",0,1)</f>
        <v>0</v>
      </c>
      <c r="N1963" s="13" t="str">
        <f aca="false">IF(M1963=0,"Active",IF(TRIM(Raw_Data!L1963)="","Unknown",PROPER(TRIM(Raw_Data!L1963))))</f>
        <v>Active</v>
      </c>
      <c r="O1963" s="13" t="str">
        <f aca="false">IF(M1963=0,"",IF(TRIM(Raw_Data!M1963)="","Not Recorded",TRIM(Raw_Data!M1963)))</f>
        <v/>
      </c>
      <c r="P1963" s="16" t="n">
        <f aca="false">ROUND((IF(C1963="",AsOfDate,C1963)-B1963)/365.25,2)</f>
        <v>0.36</v>
      </c>
      <c r="Q1963" s="13" t="str">
        <f aca="false">IF(D1963="","Unknown",IF(D1963&lt;25,"Under 25",IF(D1963&lt;35,"25-34",IF(D1963&lt;45,"35-44",IF(D1963&lt;55,"45-54","55+")))))</f>
        <v>25-34</v>
      </c>
      <c r="R1963" s="13" t="str">
        <f aca="false">IF(P1963&lt;1,"0-1 yrs",IF(P1963&lt;3,"1-3 yrs",IF(P1963&lt;5,"3-5 yrs",IF(P1963&lt;10,"5-10 yrs","10+ yrs"))))</f>
        <v>0-1 yrs</v>
      </c>
      <c r="S1963" s="13" t="str">
        <f aca="false">IF(I1963&gt;=4,"High",IF(I1963=3,"Medium","Low"))</f>
        <v>High</v>
      </c>
      <c r="T1963" s="13" t="str">
        <f aca="false">IF(M1963=1,YEAR(C1963),"")</f>
        <v/>
      </c>
      <c r="U1963" s="13" t="str">
        <f aca="false">IF(M1963=1,YEAR(C1963)&amp;"-Q"&amp;ROUNDUP(MONTH(C1963)/3,0),"")</f>
        <v/>
      </c>
      <c r="V1963" s="13" t="str">
        <f aca="false">IF(M1963=1,MONTH(C1963),"")</f>
        <v/>
      </c>
    </row>
    <row r="1964" customFormat="false" ht="15" hidden="false" customHeight="false" outlineLevel="0" collapsed="false">
      <c r="A1964" s="13" t="str">
        <f aca="false">TRIM(Raw_Data!A1964)</f>
        <v>EMP1963</v>
      </c>
      <c r="B1964" s="14" t="n">
        <f aca="false">Raw_Data!B1964</f>
        <v>45893</v>
      </c>
      <c r="C1964" s="14" t="n">
        <f aca="false">IF(Raw_Data!C1964="","",Raw_Data!C1964)</f>
        <v>45957</v>
      </c>
      <c r="D1964" s="13" t="n">
        <f aca="false">IF(Raw_Data!D1964="","",Raw_Data!D1964)</f>
        <v>23</v>
      </c>
      <c r="E1964" s="13" t="str">
        <f aca="false">IF(UPPER(LEFT(TRIM(Raw_Data!E1964),1))="M","Male",IF(UPPER(LEFT(TRIM(Raw_Data!E1964),1))="F","Female","Unknown"))</f>
        <v>Male</v>
      </c>
      <c r="F1964" s="13" t="str">
        <f aca="false">PROPER(TRIM(SUBSTITUTE(Raw_Data!F1964,"'","")))</f>
        <v>Doctorate</v>
      </c>
      <c r="G1964" s="13" t="str">
        <f aca="false">PROPER(TRIM(Raw_Data!G1964))</f>
        <v>Engineering</v>
      </c>
      <c r="H1964" s="13" t="str">
        <f aca="false">PROPER(TRIM(Raw_Data!H1964))</f>
        <v>Analyst</v>
      </c>
      <c r="I1964" s="13" t="n">
        <f aca="false">IF(Raw_Data!I1964="",DefaultPerf,Raw_Data!I1964)</f>
        <v>4</v>
      </c>
      <c r="J1964" s="13" t="n">
        <f aca="false">IF(Raw_Data!J1964="",DefaultSat,Raw_Data!J1964)</f>
        <v>2</v>
      </c>
      <c r="K1964" s="15" t="n">
        <f aca="false">Raw_Data!K1964</f>
        <v>48000</v>
      </c>
      <c r="L1964" s="13" t="str">
        <f aca="false">PROPER(TRIM(Raw_Data!N1964))</f>
        <v>No</v>
      </c>
      <c r="M1964" s="13" t="n">
        <f aca="false">IF(C1964="",0,1)</f>
        <v>1</v>
      </c>
      <c r="N1964" s="13" t="str">
        <f aca="false">IF(M1964=0,"Active",IF(TRIM(Raw_Data!L1964)="","Unknown",PROPER(TRIM(Raw_Data!L1964))))</f>
        <v>Voluntary</v>
      </c>
      <c r="O1964" s="13" t="str">
        <f aca="false">IF(M1964=0,"",IF(TRIM(Raw_Data!M1964)="","Not Recorded",TRIM(Raw_Data!M1964)))</f>
        <v>Better Compensation</v>
      </c>
      <c r="P1964" s="16" t="n">
        <f aca="false">ROUND((IF(C1964="",AsOfDate,C1964)-B1964)/365.25,2)</f>
        <v>0.18</v>
      </c>
      <c r="Q1964" s="13" t="str">
        <f aca="false">IF(D1964="","Unknown",IF(D1964&lt;25,"Under 25",IF(D1964&lt;35,"25-34",IF(D1964&lt;45,"35-44",IF(D1964&lt;55,"45-54","55+")))))</f>
        <v>Under 25</v>
      </c>
      <c r="R1964" s="13" t="str">
        <f aca="false">IF(P1964&lt;1,"0-1 yrs",IF(P1964&lt;3,"1-3 yrs",IF(P1964&lt;5,"3-5 yrs",IF(P1964&lt;10,"5-10 yrs","10+ yrs"))))</f>
        <v>0-1 yrs</v>
      </c>
      <c r="S1964" s="13" t="str">
        <f aca="false">IF(I1964&gt;=4,"High",IF(I1964=3,"Medium","Low"))</f>
        <v>High</v>
      </c>
      <c r="T1964" s="13" t="n">
        <f aca="false">IF(M1964=1,YEAR(C1964),"")</f>
        <v>2025</v>
      </c>
      <c r="U1964" s="13" t="str">
        <f aca="false">IF(M1964=1,YEAR(C1964)&amp;"-Q"&amp;ROUNDUP(MONTH(C1964)/3,0),"")</f>
        <v>2025-Q4</v>
      </c>
      <c r="V1964" s="13" t="n">
        <f aca="false">IF(M1964=1,MONTH(C1964),"")</f>
        <v>10</v>
      </c>
    </row>
    <row r="1965" customFormat="false" ht="15" hidden="false" customHeight="false" outlineLevel="0" collapsed="false">
      <c r="A1965" s="13" t="str">
        <f aca="false">TRIM(Raw_Data!A1965)</f>
        <v>EMP1964</v>
      </c>
      <c r="B1965" s="14" t="n">
        <f aca="false">Raw_Data!B1965</f>
        <v>45894</v>
      </c>
      <c r="C1965" s="14" t="str">
        <f aca="false">IF(Raw_Data!C1965="","",Raw_Data!C1965)</f>
        <v/>
      </c>
      <c r="D1965" s="13" t="n">
        <f aca="false">IF(Raw_Data!D1965="","",Raw_Data!D1965)</f>
        <v>31</v>
      </c>
      <c r="E1965" s="13" t="str">
        <f aca="false">IF(UPPER(LEFT(TRIM(Raw_Data!E1965),1))="M","Male",IF(UPPER(LEFT(TRIM(Raw_Data!E1965),1))="F","Female","Unknown"))</f>
        <v>Female</v>
      </c>
      <c r="F1965" s="13" t="str">
        <f aca="false">PROPER(TRIM(SUBSTITUTE(Raw_Data!F1965,"'","")))</f>
        <v>Diploma</v>
      </c>
      <c r="G1965" s="13" t="str">
        <f aca="false">PROPER(TRIM(Raw_Data!G1965))</f>
        <v>Customer Support</v>
      </c>
      <c r="H1965" s="13" t="str">
        <f aca="false">PROPER(TRIM(Raw_Data!H1965))</f>
        <v>Associate</v>
      </c>
      <c r="I1965" s="13" t="n">
        <f aca="false">IF(Raw_Data!I1965="",DefaultPerf,Raw_Data!I1965)</f>
        <v>4</v>
      </c>
      <c r="J1965" s="13" t="n">
        <f aca="false">IF(Raw_Data!J1965="",DefaultSat,Raw_Data!J1965)</f>
        <v>2</v>
      </c>
      <c r="K1965" s="15" t="n">
        <f aca="false">Raw_Data!K1965</f>
        <v>36500</v>
      </c>
      <c r="L1965" s="13" t="str">
        <f aca="false">PROPER(TRIM(Raw_Data!N1965))</f>
        <v>Yes</v>
      </c>
      <c r="M1965" s="13" t="n">
        <f aca="false">IF(C1965="",0,1)</f>
        <v>0</v>
      </c>
      <c r="N1965" s="13" t="str">
        <f aca="false">IF(M1965=0,"Active",IF(TRIM(Raw_Data!L1965)="","Unknown",PROPER(TRIM(Raw_Data!L1965))))</f>
        <v>Active</v>
      </c>
      <c r="O1965" s="13" t="str">
        <f aca="false">IF(M1965=0,"",IF(TRIM(Raw_Data!M1965)="","Not Recorded",TRIM(Raw_Data!M1965)))</f>
        <v/>
      </c>
      <c r="P1965" s="16" t="n">
        <f aca="false">ROUND((IF(C1965="",AsOfDate,C1965)-B1965)/365.25,2)</f>
        <v>0.35</v>
      </c>
      <c r="Q1965" s="13" t="str">
        <f aca="false">IF(D1965="","Unknown",IF(D1965&lt;25,"Under 25",IF(D1965&lt;35,"25-34",IF(D1965&lt;45,"35-44",IF(D1965&lt;55,"45-54","55+")))))</f>
        <v>25-34</v>
      </c>
      <c r="R1965" s="13" t="str">
        <f aca="false">IF(P1965&lt;1,"0-1 yrs",IF(P1965&lt;3,"1-3 yrs",IF(P1965&lt;5,"3-5 yrs",IF(P1965&lt;10,"5-10 yrs","10+ yrs"))))</f>
        <v>0-1 yrs</v>
      </c>
      <c r="S1965" s="13" t="str">
        <f aca="false">IF(I1965&gt;=4,"High",IF(I1965=3,"Medium","Low"))</f>
        <v>High</v>
      </c>
      <c r="T1965" s="13" t="str">
        <f aca="false">IF(M1965=1,YEAR(C1965),"")</f>
        <v/>
      </c>
      <c r="U1965" s="13" t="str">
        <f aca="false">IF(M1965=1,YEAR(C1965)&amp;"-Q"&amp;ROUNDUP(MONTH(C1965)/3,0),"")</f>
        <v/>
      </c>
      <c r="V1965" s="13" t="str">
        <f aca="false">IF(M1965=1,MONTH(C1965),"")</f>
        <v/>
      </c>
    </row>
    <row r="1966" customFormat="false" ht="15" hidden="false" customHeight="false" outlineLevel="0" collapsed="false">
      <c r="A1966" s="13" t="str">
        <f aca="false">TRIM(Raw_Data!A1966)</f>
        <v>EMP1965</v>
      </c>
      <c r="B1966" s="14" t="n">
        <f aca="false">Raw_Data!B1966</f>
        <v>45897</v>
      </c>
      <c r="C1966" s="14" t="str">
        <f aca="false">IF(Raw_Data!C1966="","",Raw_Data!C1966)</f>
        <v/>
      </c>
      <c r="D1966" s="13" t="n">
        <f aca="false">IF(Raw_Data!D1966="","",Raw_Data!D1966)</f>
        <v>38</v>
      </c>
      <c r="E1966" s="13" t="str">
        <f aca="false">IF(UPPER(LEFT(TRIM(Raw_Data!E1966),1))="M","Male",IF(UPPER(LEFT(TRIM(Raw_Data!E1966),1))="F","Female","Unknown"))</f>
        <v>Male</v>
      </c>
      <c r="F1966" s="13" t="str">
        <f aca="false">PROPER(TRIM(SUBSTITUTE(Raw_Data!F1966,"'","")))</f>
        <v>Bachelors</v>
      </c>
      <c r="G1966" s="13" t="str">
        <f aca="false">PROPER(TRIM(Raw_Data!G1966))</f>
        <v>Sales</v>
      </c>
      <c r="H1966" s="13" t="str">
        <f aca="false">PROPER(TRIM(Raw_Data!H1966))</f>
        <v>Associate</v>
      </c>
      <c r="I1966" s="13" t="n">
        <f aca="false">IF(Raw_Data!I1966="",DefaultPerf,Raw_Data!I1966)</f>
        <v>3</v>
      </c>
      <c r="J1966" s="13" t="n">
        <f aca="false">IF(Raw_Data!J1966="",DefaultSat,Raw_Data!J1966)</f>
        <v>4</v>
      </c>
      <c r="K1966" s="15" t="n">
        <f aca="false">Raw_Data!K1966</f>
        <v>37500</v>
      </c>
      <c r="L1966" s="13" t="str">
        <f aca="false">PROPER(TRIM(Raw_Data!N1966))</f>
        <v>No</v>
      </c>
      <c r="M1966" s="13" t="n">
        <f aca="false">IF(C1966="",0,1)</f>
        <v>0</v>
      </c>
      <c r="N1966" s="13" t="str">
        <f aca="false">IF(M1966=0,"Active",IF(TRIM(Raw_Data!L1966)="","Unknown",PROPER(TRIM(Raw_Data!L1966))))</f>
        <v>Active</v>
      </c>
      <c r="O1966" s="13" t="str">
        <f aca="false">IF(M1966=0,"",IF(TRIM(Raw_Data!M1966)="","Not Recorded",TRIM(Raw_Data!M1966)))</f>
        <v/>
      </c>
      <c r="P1966" s="16" t="n">
        <f aca="false">ROUND((IF(C1966="",AsOfDate,C1966)-B1966)/365.25,2)</f>
        <v>0.34</v>
      </c>
      <c r="Q1966" s="13" t="str">
        <f aca="false">IF(D1966="","Unknown",IF(D1966&lt;25,"Under 25",IF(D1966&lt;35,"25-34",IF(D1966&lt;45,"35-44",IF(D1966&lt;55,"45-54","55+")))))</f>
        <v>35-44</v>
      </c>
      <c r="R1966" s="13" t="str">
        <f aca="false">IF(P1966&lt;1,"0-1 yrs",IF(P1966&lt;3,"1-3 yrs",IF(P1966&lt;5,"3-5 yrs",IF(P1966&lt;10,"5-10 yrs","10+ yrs"))))</f>
        <v>0-1 yrs</v>
      </c>
      <c r="S1966" s="13" t="str">
        <f aca="false">IF(I1966&gt;=4,"High",IF(I1966=3,"Medium","Low"))</f>
        <v>Medium</v>
      </c>
      <c r="T1966" s="13" t="str">
        <f aca="false">IF(M1966=1,YEAR(C1966),"")</f>
        <v/>
      </c>
      <c r="U1966" s="13" t="str">
        <f aca="false">IF(M1966=1,YEAR(C1966)&amp;"-Q"&amp;ROUNDUP(MONTH(C1966)/3,0),"")</f>
        <v/>
      </c>
      <c r="V1966" s="13" t="str">
        <f aca="false">IF(M1966=1,MONTH(C1966),"")</f>
        <v/>
      </c>
    </row>
    <row r="1967" customFormat="false" ht="15" hidden="false" customHeight="false" outlineLevel="0" collapsed="false">
      <c r="A1967" s="13" t="str">
        <f aca="false">TRIM(Raw_Data!A1967)</f>
        <v>EMP1966</v>
      </c>
      <c r="B1967" s="14" t="n">
        <f aca="false">Raw_Data!B1967</f>
        <v>45898</v>
      </c>
      <c r="C1967" s="14" t="str">
        <f aca="false">IF(Raw_Data!C1967="","",Raw_Data!C1967)</f>
        <v/>
      </c>
      <c r="D1967" s="13" t="n">
        <f aca="false">IF(Raw_Data!D1967="","",Raw_Data!D1967)</f>
        <v>30</v>
      </c>
      <c r="E1967" s="13" t="str">
        <f aca="false">IF(UPPER(LEFT(TRIM(Raw_Data!E1967),1))="M","Male",IF(UPPER(LEFT(TRIM(Raw_Data!E1967),1))="F","Female","Unknown"))</f>
        <v>Female</v>
      </c>
      <c r="F1967" s="13" t="str">
        <f aca="false">PROPER(TRIM(SUBSTITUTE(Raw_Data!F1967,"'","")))</f>
        <v>High School</v>
      </c>
      <c r="G1967" s="13" t="str">
        <f aca="false">PROPER(TRIM(Raw_Data!G1967))</f>
        <v>Engineering</v>
      </c>
      <c r="H1967" s="13" t="str">
        <f aca="false">PROPER(TRIM(Raw_Data!H1967))</f>
        <v>Manager</v>
      </c>
      <c r="I1967" s="13" t="n">
        <f aca="false">IF(Raw_Data!I1967="",DefaultPerf,Raw_Data!I1967)</f>
        <v>4</v>
      </c>
      <c r="J1967" s="13" t="n">
        <f aca="false">IF(Raw_Data!J1967="",DefaultSat,Raw_Data!J1967)</f>
        <v>3</v>
      </c>
      <c r="K1967" s="15" t="n">
        <f aca="false">Raw_Data!K1967</f>
        <v>169500</v>
      </c>
      <c r="L1967" s="13" t="str">
        <f aca="false">PROPER(TRIM(Raw_Data!N1967))</f>
        <v>No</v>
      </c>
      <c r="M1967" s="13" t="n">
        <f aca="false">IF(C1967="",0,1)</f>
        <v>0</v>
      </c>
      <c r="N1967" s="13" t="str">
        <f aca="false">IF(M1967=0,"Active",IF(TRIM(Raw_Data!L1967)="","Unknown",PROPER(TRIM(Raw_Data!L1967))))</f>
        <v>Active</v>
      </c>
      <c r="O1967" s="13" t="str">
        <f aca="false">IF(M1967=0,"",IF(TRIM(Raw_Data!M1967)="","Not Recorded",TRIM(Raw_Data!M1967)))</f>
        <v/>
      </c>
      <c r="P1967" s="16" t="n">
        <f aca="false">ROUND((IF(C1967="",AsOfDate,C1967)-B1967)/365.25,2)</f>
        <v>0.34</v>
      </c>
      <c r="Q1967" s="13" t="str">
        <f aca="false">IF(D1967="","Unknown",IF(D1967&lt;25,"Under 25",IF(D1967&lt;35,"25-34",IF(D1967&lt;45,"35-44",IF(D1967&lt;55,"45-54","55+")))))</f>
        <v>25-34</v>
      </c>
      <c r="R1967" s="13" t="str">
        <f aca="false">IF(P1967&lt;1,"0-1 yrs",IF(P1967&lt;3,"1-3 yrs",IF(P1967&lt;5,"3-5 yrs",IF(P1967&lt;10,"5-10 yrs","10+ yrs"))))</f>
        <v>0-1 yrs</v>
      </c>
      <c r="S1967" s="13" t="str">
        <f aca="false">IF(I1967&gt;=4,"High",IF(I1967=3,"Medium","Low"))</f>
        <v>High</v>
      </c>
      <c r="T1967" s="13" t="str">
        <f aca="false">IF(M1967=1,YEAR(C1967),"")</f>
        <v/>
      </c>
      <c r="U1967" s="13" t="str">
        <f aca="false">IF(M1967=1,YEAR(C1967)&amp;"-Q"&amp;ROUNDUP(MONTH(C1967)/3,0),"")</f>
        <v/>
      </c>
      <c r="V1967" s="13" t="str">
        <f aca="false">IF(M1967=1,MONTH(C1967),"")</f>
        <v/>
      </c>
    </row>
    <row r="1968" customFormat="false" ht="15" hidden="false" customHeight="false" outlineLevel="0" collapsed="false">
      <c r="A1968" s="13" t="str">
        <f aca="false">TRIM(Raw_Data!A1968)</f>
        <v>EMP1967</v>
      </c>
      <c r="B1968" s="14" t="n">
        <f aca="false">Raw_Data!B1968</f>
        <v>45898</v>
      </c>
      <c r="C1968" s="14" t="str">
        <f aca="false">IF(Raw_Data!C1968="","",Raw_Data!C1968)</f>
        <v/>
      </c>
      <c r="D1968" s="13" t="n">
        <f aca="false">IF(Raw_Data!D1968="","",Raw_Data!D1968)</f>
        <v>23</v>
      </c>
      <c r="E1968" s="13" t="str">
        <f aca="false">IF(UPPER(LEFT(TRIM(Raw_Data!E1968),1))="M","Male",IF(UPPER(LEFT(TRIM(Raw_Data!E1968),1))="F","Female","Unknown"))</f>
        <v>Male</v>
      </c>
      <c r="F1968" s="13" t="str">
        <f aca="false">PROPER(TRIM(SUBSTITUTE(Raw_Data!F1968,"'","")))</f>
        <v>Diploma</v>
      </c>
      <c r="G1968" s="13" t="str">
        <f aca="false">PROPER(TRIM(Raw_Data!G1968))</f>
        <v>Operations</v>
      </c>
      <c r="H1968" s="13" t="str">
        <f aca="false">PROPER(TRIM(Raw_Data!H1968))</f>
        <v>Team Lead</v>
      </c>
      <c r="I1968" s="13" t="n">
        <f aca="false">IF(Raw_Data!I1968="",DefaultPerf,Raw_Data!I1968)</f>
        <v>2</v>
      </c>
      <c r="J1968" s="13" t="n">
        <f aca="false">IF(Raw_Data!J1968="",DefaultSat,Raw_Data!J1968)</f>
        <v>3</v>
      </c>
      <c r="K1968" s="15" t="n">
        <f aca="false">Raw_Data!K1968</f>
        <v>114000</v>
      </c>
      <c r="L1968" s="13" t="str">
        <f aca="false">PROPER(TRIM(Raw_Data!N1968))</f>
        <v>No</v>
      </c>
      <c r="M1968" s="13" t="n">
        <f aca="false">IF(C1968="",0,1)</f>
        <v>0</v>
      </c>
      <c r="N1968" s="13" t="str">
        <f aca="false">IF(M1968=0,"Active",IF(TRIM(Raw_Data!L1968)="","Unknown",PROPER(TRIM(Raw_Data!L1968))))</f>
        <v>Active</v>
      </c>
      <c r="O1968" s="13" t="str">
        <f aca="false">IF(M1968=0,"",IF(TRIM(Raw_Data!M1968)="","Not Recorded",TRIM(Raw_Data!M1968)))</f>
        <v/>
      </c>
      <c r="P1968" s="16" t="n">
        <f aca="false">ROUND((IF(C1968="",AsOfDate,C1968)-B1968)/365.25,2)</f>
        <v>0.34</v>
      </c>
      <c r="Q1968" s="13" t="str">
        <f aca="false">IF(D1968="","Unknown",IF(D1968&lt;25,"Under 25",IF(D1968&lt;35,"25-34",IF(D1968&lt;45,"35-44",IF(D1968&lt;55,"45-54","55+")))))</f>
        <v>Under 25</v>
      </c>
      <c r="R1968" s="13" t="str">
        <f aca="false">IF(P1968&lt;1,"0-1 yrs",IF(P1968&lt;3,"1-3 yrs",IF(P1968&lt;5,"3-5 yrs",IF(P1968&lt;10,"5-10 yrs","10+ yrs"))))</f>
        <v>0-1 yrs</v>
      </c>
      <c r="S1968" s="13" t="str">
        <f aca="false">IF(I1968&gt;=4,"High",IF(I1968=3,"Medium","Low"))</f>
        <v>Low</v>
      </c>
      <c r="T1968" s="13" t="str">
        <f aca="false">IF(M1968=1,YEAR(C1968),"")</f>
        <v/>
      </c>
      <c r="U1968" s="13" t="str">
        <f aca="false">IF(M1968=1,YEAR(C1968)&amp;"-Q"&amp;ROUNDUP(MONTH(C1968)/3,0),"")</f>
        <v/>
      </c>
      <c r="V1968" s="13" t="str">
        <f aca="false">IF(M1968=1,MONTH(C1968),"")</f>
        <v/>
      </c>
    </row>
    <row r="1969" customFormat="false" ht="15" hidden="false" customHeight="false" outlineLevel="0" collapsed="false">
      <c r="A1969" s="13" t="str">
        <f aca="false">TRIM(Raw_Data!A1969)</f>
        <v>EMP1968</v>
      </c>
      <c r="B1969" s="14" t="n">
        <f aca="false">Raw_Data!B1969</f>
        <v>45898</v>
      </c>
      <c r="C1969" s="14" t="str">
        <f aca="false">IF(Raw_Data!C1969="","",Raw_Data!C1969)</f>
        <v/>
      </c>
      <c r="D1969" s="13" t="n">
        <f aca="false">IF(Raw_Data!D1969="","",Raw_Data!D1969)</f>
        <v>39</v>
      </c>
      <c r="E1969" s="13" t="str">
        <f aca="false">IF(UPPER(LEFT(TRIM(Raw_Data!E1969),1))="M","Male",IF(UPPER(LEFT(TRIM(Raw_Data!E1969),1))="F","Female","Unknown"))</f>
        <v>Male</v>
      </c>
      <c r="F1969" s="13" t="str">
        <f aca="false">PROPER(TRIM(SUBSTITUTE(Raw_Data!F1969,"'","")))</f>
        <v>Masters</v>
      </c>
      <c r="G1969" s="13" t="str">
        <f aca="false">PROPER(TRIM(Raw_Data!G1969))</f>
        <v>Engineering</v>
      </c>
      <c r="H1969" s="13" t="str">
        <f aca="false">PROPER(TRIM(Raw_Data!H1969))</f>
        <v>Senior Analyst</v>
      </c>
      <c r="I1969" s="13" t="n">
        <f aca="false">IF(Raw_Data!I1969="",DefaultPerf,Raw_Data!I1969)</f>
        <v>3</v>
      </c>
      <c r="J1969" s="13" t="n">
        <f aca="false">IF(Raw_Data!J1969="",DefaultSat,Raw_Data!J1969)</f>
        <v>1</v>
      </c>
      <c r="K1969" s="15" t="n">
        <f aca="false">Raw_Data!K1969</f>
        <v>94500</v>
      </c>
      <c r="L1969" s="13" t="str">
        <f aca="false">PROPER(TRIM(Raw_Data!N1969))</f>
        <v>No</v>
      </c>
      <c r="M1969" s="13" t="n">
        <f aca="false">IF(C1969="",0,1)</f>
        <v>0</v>
      </c>
      <c r="N1969" s="13" t="str">
        <f aca="false">IF(M1969=0,"Active",IF(TRIM(Raw_Data!L1969)="","Unknown",PROPER(TRIM(Raw_Data!L1969))))</f>
        <v>Active</v>
      </c>
      <c r="O1969" s="13" t="str">
        <f aca="false">IF(M1969=0,"",IF(TRIM(Raw_Data!M1969)="","Not Recorded",TRIM(Raw_Data!M1969)))</f>
        <v/>
      </c>
      <c r="P1969" s="16" t="n">
        <f aca="false">ROUND((IF(C1969="",AsOfDate,C1969)-B1969)/365.25,2)</f>
        <v>0.34</v>
      </c>
      <c r="Q1969" s="13" t="str">
        <f aca="false">IF(D1969="","Unknown",IF(D1969&lt;25,"Under 25",IF(D1969&lt;35,"25-34",IF(D1969&lt;45,"35-44",IF(D1969&lt;55,"45-54","55+")))))</f>
        <v>35-44</v>
      </c>
      <c r="R1969" s="13" t="str">
        <f aca="false">IF(P1969&lt;1,"0-1 yrs",IF(P1969&lt;3,"1-3 yrs",IF(P1969&lt;5,"3-5 yrs",IF(P1969&lt;10,"5-10 yrs","10+ yrs"))))</f>
        <v>0-1 yrs</v>
      </c>
      <c r="S1969" s="13" t="str">
        <f aca="false">IF(I1969&gt;=4,"High",IF(I1969=3,"Medium","Low"))</f>
        <v>Medium</v>
      </c>
      <c r="T1969" s="13" t="str">
        <f aca="false">IF(M1969=1,YEAR(C1969),"")</f>
        <v/>
      </c>
      <c r="U1969" s="13" t="str">
        <f aca="false">IF(M1969=1,YEAR(C1969)&amp;"-Q"&amp;ROUNDUP(MONTH(C1969)/3,0),"")</f>
        <v/>
      </c>
      <c r="V1969" s="13" t="str">
        <f aca="false">IF(M1969=1,MONTH(C1969),"")</f>
        <v/>
      </c>
    </row>
    <row r="1970" customFormat="false" ht="15" hidden="false" customHeight="false" outlineLevel="0" collapsed="false">
      <c r="A1970" s="13" t="str">
        <f aca="false">TRIM(Raw_Data!A1970)</f>
        <v>EMP1969</v>
      </c>
      <c r="B1970" s="14" t="n">
        <f aca="false">Raw_Data!B1970</f>
        <v>45899</v>
      </c>
      <c r="C1970" s="14" t="str">
        <f aca="false">IF(Raw_Data!C1970="","",Raw_Data!C1970)</f>
        <v/>
      </c>
      <c r="D1970" s="13" t="n">
        <f aca="false">IF(Raw_Data!D1970="","",Raw_Data!D1970)</f>
        <v>32</v>
      </c>
      <c r="E1970" s="13" t="str">
        <f aca="false">IF(UPPER(LEFT(TRIM(Raw_Data!E1970),1))="M","Male",IF(UPPER(LEFT(TRIM(Raw_Data!E1970),1))="F","Female","Unknown"))</f>
        <v>Male</v>
      </c>
      <c r="F1970" s="13" t="str">
        <f aca="false">PROPER(TRIM(SUBSTITUTE(Raw_Data!F1970,"'","")))</f>
        <v>Masters</v>
      </c>
      <c r="G1970" s="13" t="str">
        <f aca="false">PROPER(TRIM(Raw_Data!G1970))</f>
        <v>Engineering</v>
      </c>
      <c r="H1970" s="13" t="str">
        <f aca="false">PROPER(TRIM(Raw_Data!H1970))</f>
        <v>Senior Analyst</v>
      </c>
      <c r="I1970" s="13" t="n">
        <f aca="false">IF(Raw_Data!I1970="",DefaultPerf,Raw_Data!I1970)</f>
        <v>3</v>
      </c>
      <c r="J1970" s="13" t="n">
        <f aca="false">IF(Raw_Data!J1970="",DefaultSat,Raw_Data!J1970)</f>
        <v>4</v>
      </c>
      <c r="K1970" s="15" t="n">
        <f aca="false">Raw_Data!K1970</f>
        <v>99000</v>
      </c>
      <c r="L1970" s="13" t="str">
        <f aca="false">PROPER(TRIM(Raw_Data!N1970))</f>
        <v>No</v>
      </c>
      <c r="M1970" s="13" t="n">
        <f aca="false">IF(C1970="",0,1)</f>
        <v>0</v>
      </c>
      <c r="N1970" s="13" t="str">
        <f aca="false">IF(M1970=0,"Active",IF(TRIM(Raw_Data!L1970)="","Unknown",PROPER(TRIM(Raw_Data!L1970))))</f>
        <v>Active</v>
      </c>
      <c r="O1970" s="13" t="str">
        <f aca="false">IF(M1970=0,"",IF(TRIM(Raw_Data!M1970)="","Not Recorded",TRIM(Raw_Data!M1970)))</f>
        <v/>
      </c>
      <c r="P1970" s="16" t="n">
        <f aca="false">ROUND((IF(C1970="",AsOfDate,C1970)-B1970)/365.25,2)</f>
        <v>0.34</v>
      </c>
      <c r="Q1970" s="13" t="str">
        <f aca="false">IF(D1970="","Unknown",IF(D1970&lt;25,"Under 25",IF(D1970&lt;35,"25-34",IF(D1970&lt;45,"35-44",IF(D1970&lt;55,"45-54","55+")))))</f>
        <v>25-34</v>
      </c>
      <c r="R1970" s="13" t="str">
        <f aca="false">IF(P1970&lt;1,"0-1 yrs",IF(P1970&lt;3,"1-3 yrs",IF(P1970&lt;5,"3-5 yrs",IF(P1970&lt;10,"5-10 yrs","10+ yrs"))))</f>
        <v>0-1 yrs</v>
      </c>
      <c r="S1970" s="13" t="str">
        <f aca="false">IF(I1970&gt;=4,"High",IF(I1970=3,"Medium","Low"))</f>
        <v>Medium</v>
      </c>
      <c r="T1970" s="13" t="str">
        <f aca="false">IF(M1970=1,YEAR(C1970),"")</f>
        <v/>
      </c>
      <c r="U1970" s="13" t="str">
        <f aca="false">IF(M1970=1,YEAR(C1970)&amp;"-Q"&amp;ROUNDUP(MONTH(C1970)/3,0),"")</f>
        <v/>
      </c>
      <c r="V1970" s="13" t="str">
        <f aca="false">IF(M1970=1,MONTH(C1970),"")</f>
        <v/>
      </c>
    </row>
    <row r="1971" customFormat="false" ht="15" hidden="false" customHeight="false" outlineLevel="0" collapsed="false">
      <c r="A1971" s="13" t="str">
        <f aca="false">TRIM(Raw_Data!A1971)</f>
        <v>EMP1970</v>
      </c>
      <c r="B1971" s="14" t="n">
        <f aca="false">Raw_Data!B1971</f>
        <v>45901</v>
      </c>
      <c r="C1971" s="14" t="str">
        <f aca="false">IF(Raw_Data!C1971="","",Raw_Data!C1971)</f>
        <v/>
      </c>
      <c r="D1971" s="13" t="n">
        <f aca="false">IF(Raw_Data!D1971="","",Raw_Data!D1971)</f>
        <v>28</v>
      </c>
      <c r="E1971" s="13" t="str">
        <f aca="false">IF(UPPER(LEFT(TRIM(Raw_Data!E1971),1))="M","Male",IF(UPPER(LEFT(TRIM(Raw_Data!E1971),1))="F","Female","Unknown"))</f>
        <v>Female</v>
      </c>
      <c r="F1971" s="13" t="str">
        <f aca="false">PROPER(TRIM(SUBSTITUTE(Raw_Data!F1971,"'","")))</f>
        <v>Doctorate</v>
      </c>
      <c r="G1971" s="13" t="str">
        <f aca="false">PROPER(TRIM(Raw_Data!G1971))</f>
        <v>Human Resources</v>
      </c>
      <c r="H1971" s="13" t="str">
        <f aca="false">PROPER(TRIM(Raw_Data!H1971))</f>
        <v>Senior Analyst</v>
      </c>
      <c r="I1971" s="13" t="n">
        <f aca="false">IF(Raw_Data!I1971="",DefaultPerf,Raw_Data!I1971)</f>
        <v>4</v>
      </c>
      <c r="J1971" s="13" t="n">
        <f aca="false">IF(Raw_Data!J1971="",DefaultSat,Raw_Data!J1971)</f>
        <v>1</v>
      </c>
      <c r="K1971" s="15" t="n">
        <f aca="false">Raw_Data!K1971</f>
        <v>76000</v>
      </c>
      <c r="L1971" s="13" t="str">
        <f aca="false">PROPER(TRIM(Raw_Data!N1971))</f>
        <v>Yes</v>
      </c>
      <c r="M1971" s="13" t="n">
        <f aca="false">IF(C1971="",0,1)</f>
        <v>0</v>
      </c>
      <c r="N1971" s="13" t="str">
        <f aca="false">IF(M1971=0,"Active",IF(TRIM(Raw_Data!L1971)="","Unknown",PROPER(TRIM(Raw_Data!L1971))))</f>
        <v>Active</v>
      </c>
      <c r="O1971" s="13" t="str">
        <f aca="false">IF(M1971=0,"",IF(TRIM(Raw_Data!M1971)="","Not Recorded",TRIM(Raw_Data!M1971)))</f>
        <v/>
      </c>
      <c r="P1971" s="16" t="n">
        <f aca="false">ROUND((IF(C1971="",AsOfDate,C1971)-B1971)/365.25,2)</f>
        <v>0.33</v>
      </c>
      <c r="Q1971" s="13" t="str">
        <f aca="false">IF(D1971="","Unknown",IF(D1971&lt;25,"Under 25",IF(D1971&lt;35,"25-34",IF(D1971&lt;45,"35-44",IF(D1971&lt;55,"45-54","55+")))))</f>
        <v>25-34</v>
      </c>
      <c r="R1971" s="13" t="str">
        <f aca="false">IF(P1971&lt;1,"0-1 yrs",IF(P1971&lt;3,"1-3 yrs",IF(P1971&lt;5,"3-5 yrs",IF(P1971&lt;10,"5-10 yrs","10+ yrs"))))</f>
        <v>0-1 yrs</v>
      </c>
      <c r="S1971" s="13" t="str">
        <f aca="false">IF(I1971&gt;=4,"High",IF(I1971=3,"Medium","Low"))</f>
        <v>High</v>
      </c>
      <c r="T1971" s="13" t="str">
        <f aca="false">IF(M1971=1,YEAR(C1971),"")</f>
        <v/>
      </c>
      <c r="U1971" s="13" t="str">
        <f aca="false">IF(M1971=1,YEAR(C1971)&amp;"-Q"&amp;ROUNDUP(MONTH(C1971)/3,0),"")</f>
        <v/>
      </c>
      <c r="V1971" s="13" t="str">
        <f aca="false">IF(M1971=1,MONTH(C1971),"")</f>
        <v/>
      </c>
    </row>
    <row r="1972" customFormat="false" ht="15" hidden="false" customHeight="false" outlineLevel="0" collapsed="false">
      <c r="A1972" s="13" t="str">
        <f aca="false">TRIM(Raw_Data!A1972)</f>
        <v>EMP1971</v>
      </c>
      <c r="B1972" s="14" t="n">
        <f aca="false">Raw_Data!B1972</f>
        <v>45902</v>
      </c>
      <c r="C1972" s="14" t="str">
        <f aca="false">IF(Raw_Data!C1972="","",Raw_Data!C1972)</f>
        <v/>
      </c>
      <c r="D1972" s="13" t="n">
        <f aca="false">IF(Raw_Data!D1972="","",Raw_Data!D1972)</f>
        <v>36</v>
      </c>
      <c r="E1972" s="13" t="str">
        <f aca="false">IF(UPPER(LEFT(TRIM(Raw_Data!E1972),1))="M","Male",IF(UPPER(LEFT(TRIM(Raw_Data!E1972),1))="F","Female","Unknown"))</f>
        <v>Female</v>
      </c>
      <c r="F1972" s="13" t="str">
        <f aca="false">PROPER(TRIM(SUBSTITUTE(Raw_Data!F1972,"'","")))</f>
        <v>Doctorate</v>
      </c>
      <c r="G1972" s="13" t="str">
        <f aca="false">PROPER(TRIM(Raw_Data!G1972))</f>
        <v>Finance</v>
      </c>
      <c r="H1972" s="13" t="str">
        <f aca="false">PROPER(TRIM(Raw_Data!H1972))</f>
        <v>Analyst</v>
      </c>
      <c r="I1972" s="13" t="n">
        <f aca="false">IF(Raw_Data!I1972="",DefaultPerf,Raw_Data!I1972)</f>
        <v>3</v>
      </c>
      <c r="J1972" s="13" t="n">
        <f aca="false">IF(Raw_Data!J1972="",DefaultSat,Raw_Data!J1972)</f>
        <v>2</v>
      </c>
      <c r="K1972" s="15" t="n">
        <f aca="false">Raw_Data!K1972</f>
        <v>57500</v>
      </c>
      <c r="L1972" s="13" t="str">
        <f aca="false">PROPER(TRIM(Raw_Data!N1972))</f>
        <v>No</v>
      </c>
      <c r="M1972" s="13" t="n">
        <f aca="false">IF(C1972="",0,1)</f>
        <v>0</v>
      </c>
      <c r="N1972" s="13" t="str">
        <f aca="false">IF(M1972=0,"Active",IF(TRIM(Raw_Data!L1972)="","Unknown",PROPER(TRIM(Raw_Data!L1972))))</f>
        <v>Active</v>
      </c>
      <c r="O1972" s="13" t="str">
        <f aca="false">IF(M1972=0,"",IF(TRIM(Raw_Data!M1972)="","Not Recorded",TRIM(Raw_Data!M1972)))</f>
        <v/>
      </c>
      <c r="P1972" s="16" t="n">
        <f aca="false">ROUND((IF(C1972="",AsOfDate,C1972)-B1972)/365.25,2)</f>
        <v>0.33</v>
      </c>
      <c r="Q1972" s="13" t="str">
        <f aca="false">IF(D1972="","Unknown",IF(D1972&lt;25,"Under 25",IF(D1972&lt;35,"25-34",IF(D1972&lt;45,"35-44",IF(D1972&lt;55,"45-54","55+")))))</f>
        <v>35-44</v>
      </c>
      <c r="R1972" s="13" t="str">
        <f aca="false">IF(P1972&lt;1,"0-1 yrs",IF(P1972&lt;3,"1-3 yrs",IF(P1972&lt;5,"3-5 yrs",IF(P1972&lt;10,"5-10 yrs","10+ yrs"))))</f>
        <v>0-1 yrs</v>
      </c>
      <c r="S1972" s="13" t="str">
        <f aca="false">IF(I1972&gt;=4,"High",IF(I1972=3,"Medium","Low"))</f>
        <v>Medium</v>
      </c>
      <c r="T1972" s="13" t="str">
        <f aca="false">IF(M1972=1,YEAR(C1972),"")</f>
        <v/>
      </c>
      <c r="U1972" s="13" t="str">
        <f aca="false">IF(M1972=1,YEAR(C1972)&amp;"-Q"&amp;ROUNDUP(MONTH(C1972)/3,0),"")</f>
        <v/>
      </c>
      <c r="V1972" s="13" t="str">
        <f aca="false">IF(M1972=1,MONTH(C1972),"")</f>
        <v/>
      </c>
    </row>
    <row r="1973" customFormat="false" ht="15" hidden="false" customHeight="false" outlineLevel="0" collapsed="false">
      <c r="A1973" s="13" t="str">
        <f aca="false">TRIM(Raw_Data!A1973)</f>
        <v>EMP1972</v>
      </c>
      <c r="B1973" s="14" t="n">
        <f aca="false">Raw_Data!B1973</f>
        <v>45904</v>
      </c>
      <c r="C1973" s="14" t="str">
        <f aca="false">IF(Raw_Data!C1973="","",Raw_Data!C1973)</f>
        <v/>
      </c>
      <c r="D1973" s="13" t="n">
        <f aca="false">IF(Raw_Data!D1973="","",Raw_Data!D1973)</f>
        <v>30</v>
      </c>
      <c r="E1973" s="13" t="str">
        <f aca="false">IF(UPPER(LEFT(TRIM(Raw_Data!E1973),1))="M","Male",IF(UPPER(LEFT(TRIM(Raw_Data!E1973),1))="F","Female","Unknown"))</f>
        <v>Female</v>
      </c>
      <c r="F1973" s="13" t="str">
        <f aca="false">PROPER(TRIM(SUBSTITUTE(Raw_Data!F1973,"'","")))</f>
        <v>Bachelors</v>
      </c>
      <c r="G1973" s="13" t="str">
        <f aca="false">PROPER(TRIM(Raw_Data!G1973))</f>
        <v>Engineering</v>
      </c>
      <c r="H1973" s="13" t="str">
        <f aca="false">PROPER(TRIM(Raw_Data!H1973))</f>
        <v>Analyst</v>
      </c>
      <c r="I1973" s="13" t="n">
        <f aca="false">IF(Raw_Data!I1973="",DefaultPerf,Raw_Data!I1973)</f>
        <v>5</v>
      </c>
      <c r="J1973" s="13" t="n">
        <f aca="false">IF(Raw_Data!J1973="",DefaultSat,Raw_Data!J1973)</f>
        <v>3</v>
      </c>
      <c r="K1973" s="15" t="n">
        <f aca="false">Raw_Data!K1973</f>
        <v>62000</v>
      </c>
      <c r="L1973" s="13" t="str">
        <f aca="false">PROPER(TRIM(Raw_Data!N1973))</f>
        <v>Yes</v>
      </c>
      <c r="M1973" s="13" t="n">
        <f aca="false">IF(C1973="",0,1)</f>
        <v>0</v>
      </c>
      <c r="N1973" s="13" t="str">
        <f aca="false">IF(M1973=0,"Active",IF(TRIM(Raw_Data!L1973)="","Unknown",PROPER(TRIM(Raw_Data!L1973))))</f>
        <v>Active</v>
      </c>
      <c r="O1973" s="13" t="str">
        <f aca="false">IF(M1973=0,"",IF(TRIM(Raw_Data!M1973)="","Not Recorded",TRIM(Raw_Data!M1973)))</f>
        <v/>
      </c>
      <c r="P1973" s="16" t="n">
        <f aca="false">ROUND((IF(C1973="",AsOfDate,C1973)-B1973)/365.25,2)</f>
        <v>0.32</v>
      </c>
      <c r="Q1973" s="13" t="str">
        <f aca="false">IF(D1973="","Unknown",IF(D1973&lt;25,"Under 25",IF(D1973&lt;35,"25-34",IF(D1973&lt;45,"35-44",IF(D1973&lt;55,"45-54","55+")))))</f>
        <v>25-34</v>
      </c>
      <c r="R1973" s="13" t="str">
        <f aca="false">IF(P1973&lt;1,"0-1 yrs",IF(P1973&lt;3,"1-3 yrs",IF(P1973&lt;5,"3-5 yrs",IF(P1973&lt;10,"5-10 yrs","10+ yrs"))))</f>
        <v>0-1 yrs</v>
      </c>
      <c r="S1973" s="13" t="str">
        <f aca="false">IF(I1973&gt;=4,"High",IF(I1973=3,"Medium","Low"))</f>
        <v>High</v>
      </c>
      <c r="T1973" s="13" t="str">
        <f aca="false">IF(M1973=1,YEAR(C1973),"")</f>
        <v/>
      </c>
      <c r="U1973" s="13" t="str">
        <f aca="false">IF(M1973=1,YEAR(C1973)&amp;"-Q"&amp;ROUNDUP(MONTH(C1973)/3,0),"")</f>
        <v/>
      </c>
      <c r="V1973" s="13" t="str">
        <f aca="false">IF(M1973=1,MONTH(C1973),"")</f>
        <v/>
      </c>
    </row>
    <row r="1974" customFormat="false" ht="15" hidden="false" customHeight="false" outlineLevel="0" collapsed="false">
      <c r="A1974" s="13" t="str">
        <f aca="false">TRIM(Raw_Data!A1974)</f>
        <v>EMP1973</v>
      </c>
      <c r="B1974" s="14" t="n">
        <f aca="false">Raw_Data!B1974</f>
        <v>45904</v>
      </c>
      <c r="C1974" s="14" t="str">
        <f aca="false">IF(Raw_Data!C1974="","",Raw_Data!C1974)</f>
        <v/>
      </c>
      <c r="D1974" s="13" t="n">
        <f aca="false">IF(Raw_Data!D1974="","",Raw_Data!D1974)</f>
        <v>29</v>
      </c>
      <c r="E1974" s="13" t="str">
        <f aca="false">IF(UPPER(LEFT(TRIM(Raw_Data!E1974),1))="M","Male",IF(UPPER(LEFT(TRIM(Raw_Data!E1974),1))="F","Female","Unknown"))</f>
        <v>Female</v>
      </c>
      <c r="F1974" s="13" t="str">
        <f aca="false">PROPER(TRIM(SUBSTITUTE(Raw_Data!F1974,"'","")))</f>
        <v>Bachelors</v>
      </c>
      <c r="G1974" s="13" t="str">
        <f aca="false">PROPER(TRIM(Raw_Data!G1974))</f>
        <v>Sales</v>
      </c>
      <c r="H1974" s="13" t="str">
        <f aca="false">PROPER(TRIM(Raw_Data!H1974))</f>
        <v>Analyst</v>
      </c>
      <c r="I1974" s="13" t="n">
        <f aca="false">IF(Raw_Data!I1974="",DefaultPerf,Raw_Data!I1974)</f>
        <v>3</v>
      </c>
      <c r="J1974" s="13" t="n">
        <f aca="false">IF(Raw_Data!J1974="",DefaultSat,Raw_Data!J1974)</f>
        <v>2</v>
      </c>
      <c r="K1974" s="15" t="n">
        <f aca="false">Raw_Data!K1974</f>
        <v>59000</v>
      </c>
      <c r="L1974" s="13" t="str">
        <f aca="false">PROPER(TRIM(Raw_Data!N1974))</f>
        <v>No</v>
      </c>
      <c r="M1974" s="13" t="n">
        <f aca="false">IF(C1974="",0,1)</f>
        <v>0</v>
      </c>
      <c r="N1974" s="13" t="str">
        <f aca="false">IF(M1974=0,"Active",IF(TRIM(Raw_Data!L1974)="","Unknown",PROPER(TRIM(Raw_Data!L1974))))</f>
        <v>Active</v>
      </c>
      <c r="O1974" s="13" t="str">
        <f aca="false">IF(M1974=0,"",IF(TRIM(Raw_Data!M1974)="","Not Recorded",TRIM(Raw_Data!M1974)))</f>
        <v/>
      </c>
      <c r="P1974" s="16" t="n">
        <f aca="false">ROUND((IF(C1974="",AsOfDate,C1974)-B1974)/365.25,2)</f>
        <v>0.32</v>
      </c>
      <c r="Q1974" s="13" t="str">
        <f aca="false">IF(D1974="","Unknown",IF(D1974&lt;25,"Under 25",IF(D1974&lt;35,"25-34",IF(D1974&lt;45,"35-44",IF(D1974&lt;55,"45-54","55+")))))</f>
        <v>25-34</v>
      </c>
      <c r="R1974" s="13" t="str">
        <f aca="false">IF(P1974&lt;1,"0-1 yrs",IF(P1974&lt;3,"1-3 yrs",IF(P1974&lt;5,"3-5 yrs",IF(P1974&lt;10,"5-10 yrs","10+ yrs"))))</f>
        <v>0-1 yrs</v>
      </c>
      <c r="S1974" s="13" t="str">
        <f aca="false">IF(I1974&gt;=4,"High",IF(I1974=3,"Medium","Low"))</f>
        <v>Medium</v>
      </c>
      <c r="T1974" s="13" t="str">
        <f aca="false">IF(M1974=1,YEAR(C1974),"")</f>
        <v/>
      </c>
      <c r="U1974" s="13" t="str">
        <f aca="false">IF(M1974=1,YEAR(C1974)&amp;"-Q"&amp;ROUNDUP(MONTH(C1974)/3,0),"")</f>
        <v/>
      </c>
      <c r="V1974" s="13" t="str">
        <f aca="false">IF(M1974=1,MONTH(C1974),"")</f>
        <v/>
      </c>
    </row>
    <row r="1975" customFormat="false" ht="15" hidden="false" customHeight="false" outlineLevel="0" collapsed="false">
      <c r="A1975" s="13" t="str">
        <f aca="false">TRIM(Raw_Data!A1975)</f>
        <v>EMP1974</v>
      </c>
      <c r="B1975" s="14" t="n">
        <f aca="false">Raw_Data!B1975</f>
        <v>45905</v>
      </c>
      <c r="C1975" s="14" t="str">
        <f aca="false">IF(Raw_Data!C1975="","",Raw_Data!C1975)</f>
        <v/>
      </c>
      <c r="D1975" s="13" t="n">
        <f aca="false">IF(Raw_Data!D1975="","",Raw_Data!D1975)</f>
        <v>26</v>
      </c>
      <c r="E1975" s="13" t="str">
        <f aca="false">IF(UPPER(LEFT(TRIM(Raw_Data!E1975),1))="M","Male",IF(UPPER(LEFT(TRIM(Raw_Data!E1975),1))="F","Female","Unknown"))</f>
        <v>Female</v>
      </c>
      <c r="F1975" s="13" t="str">
        <f aca="false">PROPER(TRIM(SUBSTITUTE(Raw_Data!F1975,"'","")))</f>
        <v>Doctorate</v>
      </c>
      <c r="G1975" s="13" t="str">
        <f aca="false">PROPER(TRIM(Raw_Data!G1975))</f>
        <v>Operations</v>
      </c>
      <c r="H1975" s="13" t="str">
        <f aca="false">PROPER(TRIM(Raw_Data!H1975))</f>
        <v>Analyst</v>
      </c>
      <c r="I1975" s="13" t="n">
        <f aca="false">IF(Raw_Data!I1975="",DefaultPerf,Raw_Data!I1975)</f>
        <v>1</v>
      </c>
      <c r="J1975" s="13" t="n">
        <f aca="false">IF(Raw_Data!J1975="",DefaultSat,Raw_Data!J1975)</f>
        <v>2</v>
      </c>
      <c r="K1975" s="15" t="n">
        <f aca="false">Raw_Data!K1975</f>
        <v>52000</v>
      </c>
      <c r="L1975" s="13" t="str">
        <f aca="false">PROPER(TRIM(Raw_Data!N1975))</f>
        <v>Yes</v>
      </c>
      <c r="M1975" s="13" t="n">
        <f aca="false">IF(C1975="",0,1)</f>
        <v>0</v>
      </c>
      <c r="N1975" s="13" t="str">
        <f aca="false">IF(M1975=0,"Active",IF(TRIM(Raw_Data!L1975)="","Unknown",PROPER(TRIM(Raw_Data!L1975))))</f>
        <v>Active</v>
      </c>
      <c r="O1975" s="13" t="str">
        <f aca="false">IF(M1975=0,"",IF(TRIM(Raw_Data!M1975)="","Not Recorded",TRIM(Raw_Data!M1975)))</f>
        <v/>
      </c>
      <c r="P1975" s="16" t="n">
        <f aca="false">ROUND((IF(C1975="",AsOfDate,C1975)-B1975)/365.25,2)</f>
        <v>0.32</v>
      </c>
      <c r="Q1975" s="13" t="str">
        <f aca="false">IF(D1975="","Unknown",IF(D1975&lt;25,"Under 25",IF(D1975&lt;35,"25-34",IF(D1975&lt;45,"35-44",IF(D1975&lt;55,"45-54","55+")))))</f>
        <v>25-34</v>
      </c>
      <c r="R1975" s="13" t="str">
        <f aca="false">IF(P1975&lt;1,"0-1 yrs",IF(P1975&lt;3,"1-3 yrs",IF(P1975&lt;5,"3-5 yrs",IF(P1975&lt;10,"5-10 yrs","10+ yrs"))))</f>
        <v>0-1 yrs</v>
      </c>
      <c r="S1975" s="13" t="str">
        <f aca="false">IF(I1975&gt;=4,"High",IF(I1975=3,"Medium","Low"))</f>
        <v>Low</v>
      </c>
      <c r="T1975" s="13" t="str">
        <f aca="false">IF(M1975=1,YEAR(C1975),"")</f>
        <v/>
      </c>
      <c r="U1975" s="13" t="str">
        <f aca="false">IF(M1975=1,YEAR(C1975)&amp;"-Q"&amp;ROUNDUP(MONTH(C1975)/3,0),"")</f>
        <v/>
      </c>
      <c r="V1975" s="13" t="str">
        <f aca="false">IF(M1975=1,MONTH(C1975),"")</f>
        <v/>
      </c>
    </row>
    <row r="1976" customFormat="false" ht="15" hidden="false" customHeight="false" outlineLevel="0" collapsed="false">
      <c r="A1976" s="13" t="str">
        <f aca="false">TRIM(Raw_Data!A1976)</f>
        <v>EMP1975</v>
      </c>
      <c r="B1976" s="14" t="n">
        <f aca="false">Raw_Data!B1976</f>
        <v>45910</v>
      </c>
      <c r="C1976" s="14" t="str">
        <f aca="false">IF(Raw_Data!C1976="","",Raw_Data!C1976)</f>
        <v/>
      </c>
      <c r="D1976" s="13" t="n">
        <f aca="false">IF(Raw_Data!D1976="","",Raw_Data!D1976)</f>
        <v>23</v>
      </c>
      <c r="E1976" s="13" t="str">
        <f aca="false">IF(UPPER(LEFT(TRIM(Raw_Data!E1976),1))="M","Male",IF(UPPER(LEFT(TRIM(Raw_Data!E1976),1))="F","Female","Unknown"))</f>
        <v>Female</v>
      </c>
      <c r="F1976" s="13" t="str">
        <f aca="false">PROPER(TRIM(SUBSTITUTE(Raw_Data!F1976,"'","")))</f>
        <v>Masters</v>
      </c>
      <c r="G1976" s="13" t="str">
        <f aca="false">PROPER(TRIM(Raw_Data!G1976))</f>
        <v>Operations</v>
      </c>
      <c r="H1976" s="13" t="str">
        <f aca="false">PROPER(TRIM(Raw_Data!H1976))</f>
        <v>Senior Analyst</v>
      </c>
      <c r="I1976" s="13" t="n">
        <f aca="false">IF(Raw_Data!I1976="",DefaultPerf,Raw_Data!I1976)</f>
        <v>3</v>
      </c>
      <c r="J1976" s="13" t="n">
        <f aca="false">IF(Raw_Data!J1976="",DefaultSat,Raw_Data!J1976)</f>
        <v>4</v>
      </c>
      <c r="K1976" s="15" t="n">
        <f aca="false">Raw_Data!K1976</f>
        <v>80500</v>
      </c>
      <c r="L1976" s="13" t="str">
        <f aca="false">PROPER(TRIM(Raw_Data!N1976))</f>
        <v>No</v>
      </c>
      <c r="M1976" s="13" t="n">
        <f aca="false">IF(C1976="",0,1)</f>
        <v>0</v>
      </c>
      <c r="N1976" s="13" t="str">
        <f aca="false">IF(M1976=0,"Active",IF(TRIM(Raw_Data!L1976)="","Unknown",PROPER(TRIM(Raw_Data!L1976))))</f>
        <v>Active</v>
      </c>
      <c r="O1976" s="13" t="str">
        <f aca="false">IF(M1976=0,"",IF(TRIM(Raw_Data!M1976)="","Not Recorded",TRIM(Raw_Data!M1976)))</f>
        <v/>
      </c>
      <c r="P1976" s="16" t="n">
        <f aca="false">ROUND((IF(C1976="",AsOfDate,C1976)-B1976)/365.25,2)</f>
        <v>0.31</v>
      </c>
      <c r="Q1976" s="13" t="str">
        <f aca="false">IF(D1976="","Unknown",IF(D1976&lt;25,"Under 25",IF(D1976&lt;35,"25-34",IF(D1976&lt;45,"35-44",IF(D1976&lt;55,"45-54","55+")))))</f>
        <v>Under 25</v>
      </c>
      <c r="R1976" s="13" t="str">
        <f aca="false">IF(P1976&lt;1,"0-1 yrs",IF(P1976&lt;3,"1-3 yrs",IF(P1976&lt;5,"3-5 yrs",IF(P1976&lt;10,"5-10 yrs","10+ yrs"))))</f>
        <v>0-1 yrs</v>
      </c>
      <c r="S1976" s="13" t="str">
        <f aca="false">IF(I1976&gt;=4,"High",IF(I1976=3,"Medium","Low"))</f>
        <v>Medium</v>
      </c>
      <c r="T1976" s="13" t="str">
        <f aca="false">IF(M1976=1,YEAR(C1976),"")</f>
        <v/>
      </c>
      <c r="U1976" s="13" t="str">
        <f aca="false">IF(M1976=1,YEAR(C1976)&amp;"-Q"&amp;ROUNDUP(MONTH(C1976)/3,0),"")</f>
        <v/>
      </c>
      <c r="V1976" s="13" t="str">
        <f aca="false">IF(M1976=1,MONTH(C1976),"")</f>
        <v/>
      </c>
    </row>
    <row r="1977" customFormat="false" ht="15" hidden="false" customHeight="false" outlineLevel="0" collapsed="false">
      <c r="A1977" s="13" t="str">
        <f aca="false">TRIM(Raw_Data!A1977)</f>
        <v>EMP1976</v>
      </c>
      <c r="B1977" s="14" t="n">
        <f aca="false">Raw_Data!B1977</f>
        <v>45912</v>
      </c>
      <c r="C1977" s="14" t="str">
        <f aca="false">IF(Raw_Data!C1977="","",Raw_Data!C1977)</f>
        <v/>
      </c>
      <c r="D1977" s="13" t="n">
        <f aca="false">IF(Raw_Data!D1977="","",Raw_Data!D1977)</f>
        <v>27</v>
      </c>
      <c r="E1977" s="13" t="str">
        <f aca="false">IF(UPPER(LEFT(TRIM(Raw_Data!E1977),1))="M","Male",IF(UPPER(LEFT(TRIM(Raw_Data!E1977),1))="F","Female","Unknown"))</f>
        <v>Female</v>
      </c>
      <c r="F1977" s="13" t="str">
        <f aca="false">PROPER(TRIM(SUBSTITUTE(Raw_Data!F1977,"'","")))</f>
        <v>Bachelors</v>
      </c>
      <c r="G1977" s="13" t="str">
        <f aca="false">PROPER(TRIM(Raw_Data!G1977))</f>
        <v>Human Resources</v>
      </c>
      <c r="H1977" s="13" t="str">
        <f aca="false">PROPER(TRIM(Raw_Data!H1977))</f>
        <v>Analyst</v>
      </c>
      <c r="I1977" s="13" t="n">
        <f aca="false">IF(Raw_Data!I1977="",DefaultPerf,Raw_Data!I1977)</f>
        <v>4</v>
      </c>
      <c r="J1977" s="13" t="n">
        <f aca="false">IF(Raw_Data!J1977="",DefaultSat,Raw_Data!J1977)</f>
        <v>4</v>
      </c>
      <c r="K1977" s="15" t="n">
        <f aca="false">Raw_Data!K1977</f>
        <v>46500</v>
      </c>
      <c r="L1977" s="13" t="str">
        <f aca="false">PROPER(TRIM(Raw_Data!N1977))</f>
        <v>No</v>
      </c>
      <c r="M1977" s="13" t="n">
        <f aca="false">IF(C1977="",0,1)</f>
        <v>0</v>
      </c>
      <c r="N1977" s="13" t="str">
        <f aca="false">IF(M1977=0,"Active",IF(TRIM(Raw_Data!L1977)="","Unknown",PROPER(TRIM(Raw_Data!L1977))))</f>
        <v>Active</v>
      </c>
      <c r="O1977" s="13" t="str">
        <f aca="false">IF(M1977=0,"",IF(TRIM(Raw_Data!M1977)="","Not Recorded",TRIM(Raw_Data!M1977)))</f>
        <v/>
      </c>
      <c r="P1977" s="16" t="n">
        <f aca="false">ROUND((IF(C1977="",AsOfDate,C1977)-B1977)/365.25,2)</f>
        <v>0.3</v>
      </c>
      <c r="Q1977" s="13" t="str">
        <f aca="false">IF(D1977="","Unknown",IF(D1977&lt;25,"Under 25",IF(D1977&lt;35,"25-34",IF(D1977&lt;45,"35-44",IF(D1977&lt;55,"45-54","55+")))))</f>
        <v>25-34</v>
      </c>
      <c r="R1977" s="13" t="str">
        <f aca="false">IF(P1977&lt;1,"0-1 yrs",IF(P1977&lt;3,"1-3 yrs",IF(P1977&lt;5,"3-5 yrs",IF(P1977&lt;10,"5-10 yrs","10+ yrs"))))</f>
        <v>0-1 yrs</v>
      </c>
      <c r="S1977" s="13" t="str">
        <f aca="false">IF(I1977&gt;=4,"High",IF(I1977=3,"Medium","Low"))</f>
        <v>High</v>
      </c>
      <c r="T1977" s="13" t="str">
        <f aca="false">IF(M1977=1,YEAR(C1977),"")</f>
        <v/>
      </c>
      <c r="U1977" s="13" t="str">
        <f aca="false">IF(M1977=1,YEAR(C1977)&amp;"-Q"&amp;ROUNDUP(MONTH(C1977)/3,0),"")</f>
        <v/>
      </c>
      <c r="V1977" s="13" t="str">
        <f aca="false">IF(M1977=1,MONTH(C1977),"")</f>
        <v/>
      </c>
    </row>
    <row r="1978" customFormat="false" ht="15" hidden="false" customHeight="false" outlineLevel="0" collapsed="false">
      <c r="A1978" s="13" t="str">
        <f aca="false">TRIM(Raw_Data!A1978)</f>
        <v>EMP1977</v>
      </c>
      <c r="B1978" s="14" t="n">
        <f aca="false">Raw_Data!B1978</f>
        <v>45919</v>
      </c>
      <c r="C1978" s="14" t="str">
        <f aca="false">IF(Raw_Data!C1978="","",Raw_Data!C1978)</f>
        <v/>
      </c>
      <c r="D1978" s="13" t="n">
        <f aca="false">IF(Raw_Data!D1978="","",Raw_Data!D1978)</f>
        <v>37</v>
      </c>
      <c r="E1978" s="13" t="str">
        <f aca="false">IF(UPPER(LEFT(TRIM(Raw_Data!E1978),1))="M","Male",IF(UPPER(LEFT(TRIM(Raw_Data!E1978),1))="F","Female","Unknown"))</f>
        <v>Female</v>
      </c>
      <c r="F1978" s="13" t="str">
        <f aca="false">PROPER(TRIM(SUBSTITUTE(Raw_Data!F1978,"'","")))</f>
        <v>Diploma</v>
      </c>
      <c r="G1978" s="13" t="str">
        <f aca="false">PROPER(TRIM(Raw_Data!G1978))</f>
        <v>Human Resources</v>
      </c>
      <c r="H1978" s="13" t="str">
        <f aca="false">PROPER(TRIM(Raw_Data!H1978))</f>
        <v>Analyst</v>
      </c>
      <c r="I1978" s="13" t="n">
        <f aca="false">IF(Raw_Data!I1978="",DefaultPerf,Raw_Data!I1978)</f>
        <v>2</v>
      </c>
      <c r="J1978" s="13" t="n">
        <f aca="false">IF(Raw_Data!J1978="",DefaultSat,Raw_Data!J1978)</f>
        <v>1</v>
      </c>
      <c r="K1978" s="15" t="n">
        <f aca="false">Raw_Data!K1978</f>
        <v>56000</v>
      </c>
      <c r="L1978" s="13" t="str">
        <f aca="false">PROPER(TRIM(Raw_Data!N1978))</f>
        <v>No</v>
      </c>
      <c r="M1978" s="13" t="n">
        <f aca="false">IF(C1978="",0,1)</f>
        <v>0</v>
      </c>
      <c r="N1978" s="13" t="str">
        <f aca="false">IF(M1978=0,"Active",IF(TRIM(Raw_Data!L1978)="","Unknown",PROPER(TRIM(Raw_Data!L1978))))</f>
        <v>Active</v>
      </c>
      <c r="O1978" s="13" t="str">
        <f aca="false">IF(M1978=0,"",IF(TRIM(Raw_Data!M1978)="","Not Recorded",TRIM(Raw_Data!M1978)))</f>
        <v/>
      </c>
      <c r="P1978" s="16" t="n">
        <f aca="false">ROUND((IF(C1978="",AsOfDate,C1978)-B1978)/365.25,2)</f>
        <v>0.28</v>
      </c>
      <c r="Q1978" s="13" t="str">
        <f aca="false">IF(D1978="","Unknown",IF(D1978&lt;25,"Under 25",IF(D1978&lt;35,"25-34",IF(D1978&lt;45,"35-44",IF(D1978&lt;55,"45-54","55+")))))</f>
        <v>35-44</v>
      </c>
      <c r="R1978" s="13" t="str">
        <f aca="false">IF(P1978&lt;1,"0-1 yrs",IF(P1978&lt;3,"1-3 yrs",IF(P1978&lt;5,"3-5 yrs",IF(P1978&lt;10,"5-10 yrs","10+ yrs"))))</f>
        <v>0-1 yrs</v>
      </c>
      <c r="S1978" s="13" t="str">
        <f aca="false">IF(I1978&gt;=4,"High",IF(I1978=3,"Medium","Low"))</f>
        <v>Low</v>
      </c>
      <c r="T1978" s="13" t="str">
        <f aca="false">IF(M1978=1,YEAR(C1978),"")</f>
        <v/>
      </c>
      <c r="U1978" s="13" t="str">
        <f aca="false">IF(M1978=1,YEAR(C1978)&amp;"-Q"&amp;ROUNDUP(MONTH(C1978)/3,0),"")</f>
        <v/>
      </c>
      <c r="V1978" s="13" t="str">
        <f aca="false">IF(M1978=1,MONTH(C1978),"")</f>
        <v/>
      </c>
    </row>
    <row r="1979" customFormat="false" ht="15" hidden="false" customHeight="false" outlineLevel="0" collapsed="false">
      <c r="A1979" s="13" t="str">
        <f aca="false">TRIM(Raw_Data!A1979)</f>
        <v>EMP1978</v>
      </c>
      <c r="B1979" s="14" t="n">
        <f aca="false">Raw_Data!B1979</f>
        <v>45922</v>
      </c>
      <c r="C1979" s="14" t="str">
        <f aca="false">IF(Raw_Data!C1979="","",Raw_Data!C1979)</f>
        <v/>
      </c>
      <c r="D1979" s="13" t="n">
        <f aca="false">IF(Raw_Data!D1979="","",Raw_Data!D1979)</f>
        <v>31</v>
      </c>
      <c r="E1979" s="13" t="str">
        <f aca="false">IF(UPPER(LEFT(TRIM(Raw_Data!E1979),1))="M","Male",IF(UPPER(LEFT(TRIM(Raw_Data!E1979),1))="F","Female","Unknown"))</f>
        <v>Female</v>
      </c>
      <c r="F1979" s="13" t="str">
        <f aca="false">PROPER(TRIM(SUBSTITUTE(Raw_Data!F1979,"'","")))</f>
        <v>Bachelors</v>
      </c>
      <c r="G1979" s="13" t="str">
        <f aca="false">PROPER(TRIM(Raw_Data!G1979))</f>
        <v>Operations</v>
      </c>
      <c r="H1979" s="13" t="str">
        <f aca="false">PROPER(TRIM(Raw_Data!H1979))</f>
        <v>Associate</v>
      </c>
      <c r="I1979" s="13" t="n">
        <f aca="false">IF(Raw_Data!I1979="",DefaultPerf,Raw_Data!I1979)</f>
        <v>1</v>
      </c>
      <c r="J1979" s="13" t="n">
        <f aca="false">IF(Raw_Data!J1979="",DefaultSat,Raw_Data!J1979)</f>
        <v>3</v>
      </c>
      <c r="K1979" s="15" t="n">
        <f aca="false">Raw_Data!K1979</f>
        <v>32000</v>
      </c>
      <c r="L1979" s="13" t="str">
        <f aca="false">PROPER(TRIM(Raw_Data!N1979))</f>
        <v>No</v>
      </c>
      <c r="M1979" s="13" t="n">
        <f aca="false">IF(C1979="",0,1)</f>
        <v>0</v>
      </c>
      <c r="N1979" s="13" t="str">
        <f aca="false">IF(M1979=0,"Active",IF(TRIM(Raw_Data!L1979)="","Unknown",PROPER(TRIM(Raw_Data!L1979))))</f>
        <v>Active</v>
      </c>
      <c r="O1979" s="13" t="str">
        <f aca="false">IF(M1979=0,"",IF(TRIM(Raw_Data!M1979)="","Not Recorded",TRIM(Raw_Data!M1979)))</f>
        <v/>
      </c>
      <c r="P1979" s="16" t="n">
        <f aca="false">ROUND((IF(C1979="",AsOfDate,C1979)-B1979)/365.25,2)</f>
        <v>0.27</v>
      </c>
      <c r="Q1979" s="13" t="str">
        <f aca="false">IF(D1979="","Unknown",IF(D1979&lt;25,"Under 25",IF(D1979&lt;35,"25-34",IF(D1979&lt;45,"35-44",IF(D1979&lt;55,"45-54","55+")))))</f>
        <v>25-34</v>
      </c>
      <c r="R1979" s="13" t="str">
        <f aca="false">IF(P1979&lt;1,"0-1 yrs",IF(P1979&lt;3,"1-3 yrs",IF(P1979&lt;5,"3-5 yrs",IF(P1979&lt;10,"5-10 yrs","10+ yrs"))))</f>
        <v>0-1 yrs</v>
      </c>
      <c r="S1979" s="13" t="str">
        <f aca="false">IF(I1979&gt;=4,"High",IF(I1979=3,"Medium","Low"))</f>
        <v>Low</v>
      </c>
      <c r="T1979" s="13" t="str">
        <f aca="false">IF(M1979=1,YEAR(C1979),"")</f>
        <v/>
      </c>
      <c r="U1979" s="13" t="str">
        <f aca="false">IF(M1979=1,YEAR(C1979)&amp;"-Q"&amp;ROUNDUP(MONTH(C1979)/3,0),"")</f>
        <v/>
      </c>
      <c r="V1979" s="13" t="str">
        <f aca="false">IF(M1979=1,MONTH(C1979),"")</f>
        <v/>
      </c>
    </row>
    <row r="1980" customFormat="false" ht="15" hidden="false" customHeight="false" outlineLevel="0" collapsed="false">
      <c r="A1980" s="13" t="str">
        <f aca="false">TRIM(Raw_Data!A1980)</f>
        <v>EMP1979</v>
      </c>
      <c r="B1980" s="14" t="n">
        <f aca="false">Raw_Data!B1980</f>
        <v>45923</v>
      </c>
      <c r="C1980" s="14" t="str">
        <f aca="false">IF(Raw_Data!C1980="","",Raw_Data!C1980)</f>
        <v/>
      </c>
      <c r="D1980" s="13" t="n">
        <f aca="false">IF(Raw_Data!D1980="","",Raw_Data!D1980)</f>
        <v>32</v>
      </c>
      <c r="E1980" s="13" t="str">
        <f aca="false">IF(UPPER(LEFT(TRIM(Raw_Data!E1980),1))="M","Male",IF(UPPER(LEFT(TRIM(Raw_Data!E1980),1))="F","Female","Unknown"))</f>
        <v>Female</v>
      </c>
      <c r="F1980" s="13" t="str">
        <f aca="false">PROPER(TRIM(SUBSTITUTE(Raw_Data!F1980,"'","")))</f>
        <v>Bachelors</v>
      </c>
      <c r="G1980" s="13" t="str">
        <f aca="false">PROPER(TRIM(Raw_Data!G1980))</f>
        <v>Operations</v>
      </c>
      <c r="H1980" s="13" t="str">
        <f aca="false">PROPER(TRIM(Raw_Data!H1980))</f>
        <v>Specialist</v>
      </c>
      <c r="I1980" s="13" t="n">
        <f aca="false">IF(Raw_Data!I1980="",DefaultPerf,Raw_Data!I1980)</f>
        <v>3</v>
      </c>
      <c r="J1980" s="13" t="n">
        <f aca="false">IF(Raw_Data!J1980="",DefaultSat,Raw_Data!J1980)</f>
        <v>3</v>
      </c>
      <c r="K1980" s="15" t="n">
        <f aca="false">Raw_Data!K1980</f>
        <v>100500</v>
      </c>
      <c r="L1980" s="13" t="str">
        <f aca="false">PROPER(TRIM(Raw_Data!N1980))</f>
        <v>Yes</v>
      </c>
      <c r="M1980" s="13" t="n">
        <f aca="false">IF(C1980="",0,1)</f>
        <v>0</v>
      </c>
      <c r="N1980" s="13" t="str">
        <f aca="false">IF(M1980=0,"Active",IF(TRIM(Raw_Data!L1980)="","Unknown",PROPER(TRIM(Raw_Data!L1980))))</f>
        <v>Active</v>
      </c>
      <c r="O1980" s="13" t="str">
        <f aca="false">IF(M1980=0,"",IF(TRIM(Raw_Data!M1980)="","Not Recorded",TRIM(Raw_Data!M1980)))</f>
        <v/>
      </c>
      <c r="P1980" s="16" t="n">
        <f aca="false">ROUND((IF(C1980="",AsOfDate,C1980)-B1980)/365.25,2)</f>
        <v>0.27</v>
      </c>
      <c r="Q1980" s="13" t="str">
        <f aca="false">IF(D1980="","Unknown",IF(D1980&lt;25,"Under 25",IF(D1980&lt;35,"25-34",IF(D1980&lt;45,"35-44",IF(D1980&lt;55,"45-54","55+")))))</f>
        <v>25-34</v>
      </c>
      <c r="R1980" s="13" t="str">
        <f aca="false">IF(P1980&lt;1,"0-1 yrs",IF(P1980&lt;3,"1-3 yrs",IF(P1980&lt;5,"3-5 yrs",IF(P1980&lt;10,"5-10 yrs","10+ yrs"))))</f>
        <v>0-1 yrs</v>
      </c>
      <c r="S1980" s="13" t="str">
        <f aca="false">IF(I1980&gt;=4,"High",IF(I1980=3,"Medium","Low"))</f>
        <v>Medium</v>
      </c>
      <c r="T1980" s="13" t="str">
        <f aca="false">IF(M1980=1,YEAR(C1980),"")</f>
        <v/>
      </c>
      <c r="U1980" s="13" t="str">
        <f aca="false">IF(M1980=1,YEAR(C1980)&amp;"-Q"&amp;ROUNDUP(MONTH(C1980)/3,0),"")</f>
        <v/>
      </c>
      <c r="V1980" s="13" t="str">
        <f aca="false">IF(M1980=1,MONTH(C1980),"")</f>
        <v/>
      </c>
    </row>
    <row r="1981" customFormat="false" ht="15" hidden="false" customHeight="false" outlineLevel="0" collapsed="false">
      <c r="A1981" s="13" t="str">
        <f aca="false">TRIM(Raw_Data!A1981)</f>
        <v>EMP1980</v>
      </c>
      <c r="B1981" s="14" t="n">
        <f aca="false">Raw_Data!B1981</f>
        <v>45924</v>
      </c>
      <c r="C1981" s="14" t="str">
        <f aca="false">IF(Raw_Data!C1981="","",Raw_Data!C1981)</f>
        <v/>
      </c>
      <c r="D1981" s="13" t="n">
        <f aca="false">IF(Raw_Data!D1981="","",Raw_Data!D1981)</f>
        <v>22</v>
      </c>
      <c r="E1981" s="13" t="str">
        <f aca="false">IF(UPPER(LEFT(TRIM(Raw_Data!E1981),1))="M","Male",IF(UPPER(LEFT(TRIM(Raw_Data!E1981),1))="F","Female","Unknown"))</f>
        <v>Male</v>
      </c>
      <c r="F1981" s="13" t="str">
        <f aca="false">PROPER(TRIM(SUBSTITUTE(Raw_Data!F1981,"'","")))</f>
        <v>Masters</v>
      </c>
      <c r="G1981" s="13" t="str">
        <f aca="false">PROPER(TRIM(Raw_Data!G1981))</f>
        <v>Engineering</v>
      </c>
      <c r="H1981" s="13" t="str">
        <f aca="false">PROPER(TRIM(Raw_Data!H1981))</f>
        <v>Specialist</v>
      </c>
      <c r="I1981" s="13" t="n">
        <f aca="false">IF(Raw_Data!I1981="",DefaultPerf,Raw_Data!I1981)</f>
        <v>3</v>
      </c>
      <c r="J1981" s="13" t="n">
        <f aca="false">IF(Raw_Data!J1981="",DefaultSat,Raw_Data!J1981)</f>
        <v>2</v>
      </c>
      <c r="K1981" s="15" t="n">
        <f aca="false">Raw_Data!K1981</f>
        <v>100500</v>
      </c>
      <c r="L1981" s="13" t="str">
        <f aca="false">PROPER(TRIM(Raw_Data!N1981))</f>
        <v>Yes</v>
      </c>
      <c r="M1981" s="13" t="n">
        <f aca="false">IF(C1981="",0,1)</f>
        <v>0</v>
      </c>
      <c r="N1981" s="13" t="str">
        <f aca="false">IF(M1981=0,"Active",IF(TRIM(Raw_Data!L1981)="","Unknown",PROPER(TRIM(Raw_Data!L1981))))</f>
        <v>Active</v>
      </c>
      <c r="O1981" s="13" t="str">
        <f aca="false">IF(M1981=0,"",IF(TRIM(Raw_Data!M1981)="","Not Recorded",TRIM(Raw_Data!M1981)))</f>
        <v/>
      </c>
      <c r="P1981" s="16" t="n">
        <f aca="false">ROUND((IF(C1981="",AsOfDate,C1981)-B1981)/365.25,2)</f>
        <v>0.27</v>
      </c>
      <c r="Q1981" s="13" t="str">
        <f aca="false">IF(D1981="","Unknown",IF(D1981&lt;25,"Under 25",IF(D1981&lt;35,"25-34",IF(D1981&lt;45,"35-44",IF(D1981&lt;55,"45-54","55+")))))</f>
        <v>Under 25</v>
      </c>
      <c r="R1981" s="13" t="str">
        <f aca="false">IF(P1981&lt;1,"0-1 yrs",IF(P1981&lt;3,"1-3 yrs",IF(P1981&lt;5,"3-5 yrs",IF(P1981&lt;10,"5-10 yrs","10+ yrs"))))</f>
        <v>0-1 yrs</v>
      </c>
      <c r="S1981" s="13" t="str">
        <f aca="false">IF(I1981&gt;=4,"High",IF(I1981=3,"Medium","Low"))</f>
        <v>Medium</v>
      </c>
      <c r="T1981" s="13" t="str">
        <f aca="false">IF(M1981=1,YEAR(C1981),"")</f>
        <v/>
      </c>
      <c r="U1981" s="13" t="str">
        <f aca="false">IF(M1981=1,YEAR(C1981)&amp;"-Q"&amp;ROUNDUP(MONTH(C1981)/3,0),"")</f>
        <v/>
      </c>
      <c r="V1981" s="13" t="str">
        <f aca="false">IF(M1981=1,MONTH(C1981),"")</f>
        <v/>
      </c>
    </row>
    <row r="1982" customFormat="false" ht="15" hidden="false" customHeight="false" outlineLevel="0" collapsed="false">
      <c r="A1982" s="13" t="str">
        <f aca="false">TRIM(Raw_Data!A1982)</f>
        <v>EMP1981</v>
      </c>
      <c r="B1982" s="14" t="n">
        <f aca="false">Raw_Data!B1982</f>
        <v>45930</v>
      </c>
      <c r="C1982" s="14" t="str">
        <f aca="false">IF(Raw_Data!C1982="","",Raw_Data!C1982)</f>
        <v/>
      </c>
      <c r="D1982" s="13" t="n">
        <f aca="false">IF(Raw_Data!D1982="","",Raw_Data!D1982)</f>
        <v>44</v>
      </c>
      <c r="E1982" s="13" t="str">
        <f aca="false">IF(UPPER(LEFT(TRIM(Raw_Data!E1982),1))="M","Male",IF(UPPER(LEFT(TRIM(Raw_Data!E1982),1))="F","Female","Unknown"))</f>
        <v>Female</v>
      </c>
      <c r="F1982" s="13" t="str">
        <f aca="false">PROPER(TRIM(SUBSTITUTE(Raw_Data!F1982,"'","")))</f>
        <v>Bachelors</v>
      </c>
      <c r="G1982" s="13" t="str">
        <f aca="false">PROPER(TRIM(Raw_Data!G1982))</f>
        <v>Engineering</v>
      </c>
      <c r="H1982" s="13" t="str">
        <f aca="false">PROPER(TRIM(Raw_Data!H1982))</f>
        <v>Team Lead</v>
      </c>
      <c r="I1982" s="13" t="n">
        <f aca="false">IF(Raw_Data!I1982="",DefaultPerf,Raw_Data!I1982)</f>
        <v>2</v>
      </c>
      <c r="J1982" s="13" t="n">
        <f aca="false">IF(Raw_Data!J1982="",DefaultSat,Raw_Data!J1982)</f>
        <v>4</v>
      </c>
      <c r="K1982" s="15" t="n">
        <f aca="false">Raw_Data!K1982</f>
        <v>120000</v>
      </c>
      <c r="L1982" s="13" t="str">
        <f aca="false">PROPER(TRIM(Raw_Data!N1982))</f>
        <v>No</v>
      </c>
      <c r="M1982" s="13" t="n">
        <f aca="false">IF(C1982="",0,1)</f>
        <v>0</v>
      </c>
      <c r="N1982" s="13" t="str">
        <f aca="false">IF(M1982=0,"Active",IF(TRIM(Raw_Data!L1982)="","Unknown",PROPER(TRIM(Raw_Data!L1982))))</f>
        <v>Active</v>
      </c>
      <c r="O1982" s="13" t="str">
        <f aca="false">IF(M1982=0,"",IF(TRIM(Raw_Data!M1982)="","Not Recorded",TRIM(Raw_Data!M1982)))</f>
        <v/>
      </c>
      <c r="P1982" s="16" t="n">
        <f aca="false">ROUND((IF(C1982="",AsOfDate,C1982)-B1982)/365.25,2)</f>
        <v>0.25</v>
      </c>
      <c r="Q1982" s="13" t="str">
        <f aca="false">IF(D1982="","Unknown",IF(D1982&lt;25,"Under 25",IF(D1982&lt;35,"25-34",IF(D1982&lt;45,"35-44",IF(D1982&lt;55,"45-54","55+")))))</f>
        <v>35-44</v>
      </c>
      <c r="R1982" s="13" t="str">
        <f aca="false">IF(P1982&lt;1,"0-1 yrs",IF(P1982&lt;3,"1-3 yrs",IF(P1982&lt;5,"3-5 yrs",IF(P1982&lt;10,"5-10 yrs","10+ yrs"))))</f>
        <v>0-1 yrs</v>
      </c>
      <c r="S1982" s="13" t="str">
        <f aca="false">IF(I1982&gt;=4,"High",IF(I1982=3,"Medium","Low"))</f>
        <v>Low</v>
      </c>
      <c r="T1982" s="13" t="str">
        <f aca="false">IF(M1982=1,YEAR(C1982),"")</f>
        <v/>
      </c>
      <c r="U1982" s="13" t="str">
        <f aca="false">IF(M1982=1,YEAR(C1982)&amp;"-Q"&amp;ROUNDUP(MONTH(C1982)/3,0),"")</f>
        <v/>
      </c>
      <c r="V1982" s="13" t="str">
        <f aca="false">IF(M1982=1,MONTH(C1982),"")</f>
        <v/>
      </c>
    </row>
    <row r="1983" customFormat="false" ht="15" hidden="false" customHeight="false" outlineLevel="0" collapsed="false">
      <c r="A1983" s="13" t="str">
        <f aca="false">TRIM(Raw_Data!A1983)</f>
        <v>EMP1982</v>
      </c>
      <c r="B1983" s="14" t="n">
        <f aca="false">Raw_Data!B1983</f>
        <v>45931</v>
      </c>
      <c r="C1983" s="14" t="str">
        <f aca="false">IF(Raw_Data!C1983="","",Raw_Data!C1983)</f>
        <v/>
      </c>
      <c r="D1983" s="13" t="n">
        <f aca="false">IF(Raw_Data!D1983="","",Raw_Data!D1983)</f>
        <v>27</v>
      </c>
      <c r="E1983" s="13" t="str">
        <f aca="false">IF(UPPER(LEFT(TRIM(Raw_Data!E1983),1))="M","Male",IF(UPPER(LEFT(TRIM(Raw_Data!E1983),1))="F","Female","Unknown"))</f>
        <v>Female</v>
      </c>
      <c r="F1983" s="13" t="str">
        <f aca="false">PROPER(TRIM(SUBSTITUTE(Raw_Data!F1983,"'","")))</f>
        <v>Bachelors</v>
      </c>
      <c r="G1983" s="13" t="str">
        <f aca="false">PROPER(TRIM(Raw_Data!G1983))</f>
        <v>Engineering</v>
      </c>
      <c r="H1983" s="13" t="str">
        <f aca="false">PROPER(TRIM(Raw_Data!H1983))</f>
        <v>Associate</v>
      </c>
      <c r="I1983" s="13" t="n">
        <f aca="false">IF(Raw_Data!I1983="",DefaultPerf,Raw_Data!I1983)</f>
        <v>4</v>
      </c>
      <c r="J1983" s="13" t="n">
        <f aca="false">IF(Raw_Data!J1983="",DefaultSat,Raw_Data!J1983)</f>
        <v>3</v>
      </c>
      <c r="K1983" s="15" t="n">
        <f aca="false">Raw_Data!K1983</f>
        <v>36000</v>
      </c>
      <c r="L1983" s="13" t="str">
        <f aca="false">PROPER(TRIM(Raw_Data!N1983))</f>
        <v>No</v>
      </c>
      <c r="M1983" s="13" t="n">
        <f aca="false">IF(C1983="",0,1)</f>
        <v>0</v>
      </c>
      <c r="N1983" s="13" t="str">
        <f aca="false">IF(M1983=0,"Active",IF(TRIM(Raw_Data!L1983)="","Unknown",PROPER(TRIM(Raw_Data!L1983))))</f>
        <v>Active</v>
      </c>
      <c r="O1983" s="13" t="str">
        <f aca="false">IF(M1983=0,"",IF(TRIM(Raw_Data!M1983)="","Not Recorded",TRIM(Raw_Data!M1983)))</f>
        <v/>
      </c>
      <c r="P1983" s="16" t="n">
        <f aca="false">ROUND((IF(C1983="",AsOfDate,C1983)-B1983)/365.25,2)</f>
        <v>0.25</v>
      </c>
      <c r="Q1983" s="13" t="str">
        <f aca="false">IF(D1983="","Unknown",IF(D1983&lt;25,"Under 25",IF(D1983&lt;35,"25-34",IF(D1983&lt;45,"35-44",IF(D1983&lt;55,"45-54","55+")))))</f>
        <v>25-34</v>
      </c>
      <c r="R1983" s="13" t="str">
        <f aca="false">IF(P1983&lt;1,"0-1 yrs",IF(P1983&lt;3,"1-3 yrs",IF(P1983&lt;5,"3-5 yrs",IF(P1983&lt;10,"5-10 yrs","10+ yrs"))))</f>
        <v>0-1 yrs</v>
      </c>
      <c r="S1983" s="13" t="str">
        <f aca="false">IF(I1983&gt;=4,"High",IF(I1983=3,"Medium","Low"))</f>
        <v>High</v>
      </c>
      <c r="T1983" s="13" t="str">
        <f aca="false">IF(M1983=1,YEAR(C1983),"")</f>
        <v/>
      </c>
      <c r="U1983" s="13" t="str">
        <f aca="false">IF(M1983=1,YEAR(C1983)&amp;"-Q"&amp;ROUNDUP(MONTH(C1983)/3,0),"")</f>
        <v/>
      </c>
      <c r="V1983" s="13" t="str">
        <f aca="false">IF(M1983=1,MONTH(C1983),"")</f>
        <v/>
      </c>
    </row>
    <row r="1984" customFormat="false" ht="15" hidden="false" customHeight="false" outlineLevel="0" collapsed="false">
      <c r="A1984" s="13" t="str">
        <f aca="false">TRIM(Raw_Data!A1984)</f>
        <v>EMP1983</v>
      </c>
      <c r="B1984" s="14" t="n">
        <f aca="false">Raw_Data!B1984</f>
        <v>45934</v>
      </c>
      <c r="C1984" s="14" t="str">
        <f aca="false">IF(Raw_Data!C1984="","",Raw_Data!C1984)</f>
        <v/>
      </c>
      <c r="D1984" s="13" t="n">
        <f aca="false">IF(Raw_Data!D1984="","",Raw_Data!D1984)</f>
        <v>31</v>
      </c>
      <c r="E1984" s="13" t="str">
        <f aca="false">IF(UPPER(LEFT(TRIM(Raw_Data!E1984),1))="M","Male",IF(UPPER(LEFT(TRIM(Raw_Data!E1984),1))="F","Female","Unknown"))</f>
        <v>Male</v>
      </c>
      <c r="F1984" s="13" t="str">
        <f aca="false">PROPER(TRIM(SUBSTITUTE(Raw_Data!F1984,"'","")))</f>
        <v>Bachelors</v>
      </c>
      <c r="G1984" s="13" t="str">
        <f aca="false">PROPER(TRIM(Raw_Data!G1984))</f>
        <v>Sales</v>
      </c>
      <c r="H1984" s="13" t="str">
        <f aca="false">PROPER(TRIM(Raw_Data!H1984))</f>
        <v>Analyst</v>
      </c>
      <c r="I1984" s="13" t="n">
        <f aca="false">IF(Raw_Data!I1984="",DefaultPerf,Raw_Data!I1984)</f>
        <v>3</v>
      </c>
      <c r="J1984" s="13" t="n">
        <f aca="false">IF(Raw_Data!J1984="",DefaultSat,Raw_Data!J1984)</f>
        <v>3</v>
      </c>
      <c r="K1984" s="15" t="n">
        <f aca="false">Raw_Data!K1984</f>
        <v>62500</v>
      </c>
      <c r="L1984" s="13" t="str">
        <f aca="false">PROPER(TRIM(Raw_Data!N1984))</f>
        <v>No</v>
      </c>
      <c r="M1984" s="13" t="n">
        <f aca="false">IF(C1984="",0,1)</f>
        <v>0</v>
      </c>
      <c r="N1984" s="13" t="str">
        <f aca="false">IF(M1984=0,"Active",IF(TRIM(Raw_Data!L1984)="","Unknown",PROPER(TRIM(Raw_Data!L1984))))</f>
        <v>Active</v>
      </c>
      <c r="O1984" s="13" t="str">
        <f aca="false">IF(M1984=0,"",IF(TRIM(Raw_Data!M1984)="","Not Recorded",TRIM(Raw_Data!M1984)))</f>
        <v/>
      </c>
      <c r="P1984" s="16" t="n">
        <f aca="false">ROUND((IF(C1984="",AsOfDate,C1984)-B1984)/365.25,2)</f>
        <v>0.24</v>
      </c>
      <c r="Q1984" s="13" t="str">
        <f aca="false">IF(D1984="","Unknown",IF(D1984&lt;25,"Under 25",IF(D1984&lt;35,"25-34",IF(D1984&lt;45,"35-44",IF(D1984&lt;55,"45-54","55+")))))</f>
        <v>25-34</v>
      </c>
      <c r="R1984" s="13" t="str">
        <f aca="false">IF(P1984&lt;1,"0-1 yrs",IF(P1984&lt;3,"1-3 yrs",IF(P1984&lt;5,"3-5 yrs",IF(P1984&lt;10,"5-10 yrs","10+ yrs"))))</f>
        <v>0-1 yrs</v>
      </c>
      <c r="S1984" s="13" t="str">
        <f aca="false">IF(I1984&gt;=4,"High",IF(I1984=3,"Medium","Low"))</f>
        <v>Medium</v>
      </c>
      <c r="T1984" s="13" t="str">
        <f aca="false">IF(M1984=1,YEAR(C1984),"")</f>
        <v/>
      </c>
      <c r="U1984" s="13" t="str">
        <f aca="false">IF(M1984=1,YEAR(C1984)&amp;"-Q"&amp;ROUNDUP(MONTH(C1984)/3,0),"")</f>
        <v/>
      </c>
      <c r="V1984" s="13" t="str">
        <f aca="false">IF(M1984=1,MONTH(C1984),"")</f>
        <v/>
      </c>
    </row>
    <row r="1985" customFormat="false" ht="15" hidden="false" customHeight="false" outlineLevel="0" collapsed="false">
      <c r="A1985" s="13" t="str">
        <f aca="false">TRIM(Raw_Data!A1985)</f>
        <v>EMP1984</v>
      </c>
      <c r="B1985" s="14" t="n">
        <f aca="false">Raw_Data!B1985</f>
        <v>45934</v>
      </c>
      <c r="C1985" s="14" t="str">
        <f aca="false">IF(Raw_Data!C1985="","",Raw_Data!C1985)</f>
        <v/>
      </c>
      <c r="D1985" s="13" t="n">
        <f aca="false">IF(Raw_Data!D1985="","",Raw_Data!D1985)</f>
        <v>39</v>
      </c>
      <c r="E1985" s="13" t="str">
        <f aca="false">IF(UPPER(LEFT(TRIM(Raw_Data!E1985),1))="M","Male",IF(UPPER(LEFT(TRIM(Raw_Data!E1985),1))="F","Female","Unknown"))</f>
        <v>Female</v>
      </c>
      <c r="F1985" s="13" t="str">
        <f aca="false">PROPER(TRIM(SUBSTITUTE(Raw_Data!F1985,"'","")))</f>
        <v>Bachelors</v>
      </c>
      <c r="G1985" s="13" t="str">
        <f aca="false">PROPER(TRIM(Raw_Data!G1985))</f>
        <v>Sales</v>
      </c>
      <c r="H1985" s="13" t="str">
        <f aca="false">PROPER(TRIM(Raw_Data!H1985))</f>
        <v>Senior Analyst</v>
      </c>
      <c r="I1985" s="13" t="n">
        <f aca="false">IF(Raw_Data!I1985="",DefaultPerf,Raw_Data!I1985)</f>
        <v>3</v>
      </c>
      <c r="J1985" s="13" t="n">
        <f aca="false">IF(Raw_Data!J1985="",DefaultSat,Raw_Data!J1985)</f>
        <v>3</v>
      </c>
      <c r="K1985" s="15" t="n">
        <f aca="false">Raw_Data!K1985</f>
        <v>83500</v>
      </c>
      <c r="L1985" s="13" t="str">
        <f aca="false">PROPER(TRIM(Raw_Data!N1985))</f>
        <v>Yes</v>
      </c>
      <c r="M1985" s="13" t="n">
        <f aca="false">IF(C1985="",0,1)</f>
        <v>0</v>
      </c>
      <c r="N1985" s="13" t="str">
        <f aca="false">IF(M1985=0,"Active",IF(TRIM(Raw_Data!L1985)="","Unknown",PROPER(TRIM(Raw_Data!L1985))))</f>
        <v>Active</v>
      </c>
      <c r="O1985" s="13" t="str">
        <f aca="false">IF(M1985=0,"",IF(TRIM(Raw_Data!M1985)="","Not Recorded",TRIM(Raw_Data!M1985)))</f>
        <v/>
      </c>
      <c r="P1985" s="16" t="n">
        <f aca="false">ROUND((IF(C1985="",AsOfDate,C1985)-B1985)/365.25,2)</f>
        <v>0.24</v>
      </c>
      <c r="Q1985" s="13" t="str">
        <f aca="false">IF(D1985="","Unknown",IF(D1985&lt;25,"Under 25",IF(D1985&lt;35,"25-34",IF(D1985&lt;45,"35-44",IF(D1985&lt;55,"45-54","55+")))))</f>
        <v>35-44</v>
      </c>
      <c r="R1985" s="13" t="str">
        <f aca="false">IF(P1985&lt;1,"0-1 yrs",IF(P1985&lt;3,"1-3 yrs",IF(P1985&lt;5,"3-5 yrs",IF(P1985&lt;10,"5-10 yrs","10+ yrs"))))</f>
        <v>0-1 yrs</v>
      </c>
      <c r="S1985" s="13" t="str">
        <f aca="false">IF(I1985&gt;=4,"High",IF(I1985=3,"Medium","Low"))</f>
        <v>Medium</v>
      </c>
      <c r="T1985" s="13" t="str">
        <f aca="false">IF(M1985=1,YEAR(C1985),"")</f>
        <v/>
      </c>
      <c r="U1985" s="13" t="str">
        <f aca="false">IF(M1985=1,YEAR(C1985)&amp;"-Q"&amp;ROUNDUP(MONTH(C1985)/3,0),"")</f>
        <v/>
      </c>
      <c r="V1985" s="13" t="str">
        <f aca="false">IF(M1985=1,MONTH(C1985),"")</f>
        <v/>
      </c>
    </row>
    <row r="1986" customFormat="false" ht="15" hidden="false" customHeight="false" outlineLevel="0" collapsed="false">
      <c r="A1986" s="13" t="str">
        <f aca="false">TRIM(Raw_Data!A1986)</f>
        <v>EMP1985</v>
      </c>
      <c r="B1986" s="14" t="n">
        <f aca="false">Raw_Data!B1986</f>
        <v>45939</v>
      </c>
      <c r="C1986" s="14" t="str">
        <f aca="false">IF(Raw_Data!C1986="","",Raw_Data!C1986)</f>
        <v/>
      </c>
      <c r="D1986" s="13" t="n">
        <f aca="false">IF(Raw_Data!D1986="","",Raw_Data!D1986)</f>
        <v>30</v>
      </c>
      <c r="E1986" s="13" t="str">
        <f aca="false">IF(UPPER(LEFT(TRIM(Raw_Data!E1986),1))="M","Male",IF(UPPER(LEFT(TRIM(Raw_Data!E1986),1))="F","Female","Unknown"))</f>
        <v>Female</v>
      </c>
      <c r="F1986" s="13" t="str">
        <f aca="false">PROPER(TRIM(SUBSTITUTE(Raw_Data!F1986,"'","")))</f>
        <v>Bachelors</v>
      </c>
      <c r="G1986" s="13" t="str">
        <f aca="false">PROPER(TRIM(Raw_Data!G1986))</f>
        <v>Finance</v>
      </c>
      <c r="H1986" s="13" t="str">
        <f aca="false">PROPER(TRIM(Raw_Data!H1986))</f>
        <v>Specialist</v>
      </c>
      <c r="I1986" s="13" t="n">
        <f aca="false">IF(Raw_Data!I1986="",DefaultPerf,Raw_Data!I1986)</f>
        <v>3</v>
      </c>
      <c r="J1986" s="13" t="n">
        <f aca="false">IF(Raw_Data!J1986="",DefaultSat,Raw_Data!J1986)</f>
        <v>4</v>
      </c>
      <c r="K1986" s="15" t="n">
        <f aca="false">Raw_Data!K1986</f>
        <v>116500</v>
      </c>
      <c r="L1986" s="13" t="str">
        <f aca="false">PROPER(TRIM(Raw_Data!N1986))</f>
        <v>No</v>
      </c>
      <c r="M1986" s="13" t="n">
        <f aca="false">IF(C1986="",0,1)</f>
        <v>0</v>
      </c>
      <c r="N1986" s="13" t="str">
        <f aca="false">IF(M1986=0,"Active",IF(TRIM(Raw_Data!L1986)="","Unknown",PROPER(TRIM(Raw_Data!L1986))))</f>
        <v>Active</v>
      </c>
      <c r="O1986" s="13" t="str">
        <f aca="false">IF(M1986=0,"",IF(TRIM(Raw_Data!M1986)="","Not Recorded",TRIM(Raw_Data!M1986)))</f>
        <v/>
      </c>
      <c r="P1986" s="16" t="n">
        <f aca="false">ROUND((IF(C1986="",AsOfDate,C1986)-B1986)/365.25,2)</f>
        <v>0.23</v>
      </c>
      <c r="Q1986" s="13" t="str">
        <f aca="false">IF(D1986="","Unknown",IF(D1986&lt;25,"Under 25",IF(D1986&lt;35,"25-34",IF(D1986&lt;45,"35-44",IF(D1986&lt;55,"45-54","55+")))))</f>
        <v>25-34</v>
      </c>
      <c r="R1986" s="13" t="str">
        <f aca="false">IF(P1986&lt;1,"0-1 yrs",IF(P1986&lt;3,"1-3 yrs",IF(P1986&lt;5,"3-5 yrs",IF(P1986&lt;10,"5-10 yrs","10+ yrs"))))</f>
        <v>0-1 yrs</v>
      </c>
      <c r="S1986" s="13" t="str">
        <f aca="false">IF(I1986&gt;=4,"High",IF(I1986=3,"Medium","Low"))</f>
        <v>Medium</v>
      </c>
      <c r="T1986" s="13" t="str">
        <f aca="false">IF(M1986=1,YEAR(C1986),"")</f>
        <v/>
      </c>
      <c r="U1986" s="13" t="str">
        <f aca="false">IF(M1986=1,YEAR(C1986)&amp;"-Q"&amp;ROUNDUP(MONTH(C1986)/3,0),"")</f>
        <v/>
      </c>
      <c r="V1986" s="13" t="str">
        <f aca="false">IF(M1986=1,MONTH(C1986),"")</f>
        <v/>
      </c>
    </row>
    <row r="1987" customFormat="false" ht="15" hidden="false" customHeight="false" outlineLevel="0" collapsed="false">
      <c r="A1987" s="13" t="str">
        <f aca="false">TRIM(Raw_Data!A1987)</f>
        <v>EMP1986</v>
      </c>
      <c r="B1987" s="14" t="n">
        <f aca="false">Raw_Data!B1987</f>
        <v>45940</v>
      </c>
      <c r="C1987" s="14" t="str">
        <f aca="false">IF(Raw_Data!C1987="","",Raw_Data!C1987)</f>
        <v/>
      </c>
      <c r="D1987" s="13" t="n">
        <f aca="false">IF(Raw_Data!D1987="","",Raw_Data!D1987)</f>
        <v>21</v>
      </c>
      <c r="E1987" s="13" t="str">
        <f aca="false">IF(UPPER(LEFT(TRIM(Raw_Data!E1987),1))="M","Male",IF(UPPER(LEFT(TRIM(Raw_Data!E1987),1))="F","Female","Unknown"))</f>
        <v>Female</v>
      </c>
      <c r="F1987" s="13" t="str">
        <f aca="false">PROPER(TRIM(SUBSTITUTE(Raw_Data!F1987,"'","")))</f>
        <v>Bachelors</v>
      </c>
      <c r="G1987" s="13" t="str">
        <f aca="false">PROPER(TRIM(Raw_Data!G1987))</f>
        <v>Finance</v>
      </c>
      <c r="H1987" s="13" t="str">
        <f aca="false">PROPER(TRIM(Raw_Data!H1987))</f>
        <v>Analyst</v>
      </c>
      <c r="I1987" s="13" t="n">
        <f aca="false">IF(Raw_Data!I1987="",DefaultPerf,Raw_Data!I1987)</f>
        <v>3</v>
      </c>
      <c r="J1987" s="13" t="n">
        <f aca="false">IF(Raw_Data!J1987="",DefaultSat,Raw_Data!J1987)</f>
        <v>3</v>
      </c>
      <c r="K1987" s="15" t="n">
        <f aca="false">Raw_Data!K1987</f>
        <v>59000</v>
      </c>
      <c r="L1987" s="13" t="str">
        <f aca="false">PROPER(TRIM(Raw_Data!N1987))</f>
        <v>No</v>
      </c>
      <c r="M1987" s="13" t="n">
        <f aca="false">IF(C1987="",0,1)</f>
        <v>0</v>
      </c>
      <c r="N1987" s="13" t="str">
        <f aca="false">IF(M1987=0,"Active",IF(TRIM(Raw_Data!L1987)="","Unknown",PROPER(TRIM(Raw_Data!L1987))))</f>
        <v>Active</v>
      </c>
      <c r="O1987" s="13" t="str">
        <f aca="false">IF(M1987=0,"",IF(TRIM(Raw_Data!M1987)="","Not Recorded",TRIM(Raw_Data!M1987)))</f>
        <v/>
      </c>
      <c r="P1987" s="16" t="n">
        <f aca="false">ROUND((IF(C1987="",AsOfDate,C1987)-B1987)/365.25,2)</f>
        <v>0.22</v>
      </c>
      <c r="Q1987" s="13" t="str">
        <f aca="false">IF(D1987="","Unknown",IF(D1987&lt;25,"Under 25",IF(D1987&lt;35,"25-34",IF(D1987&lt;45,"35-44",IF(D1987&lt;55,"45-54","55+")))))</f>
        <v>Under 25</v>
      </c>
      <c r="R1987" s="13" t="str">
        <f aca="false">IF(P1987&lt;1,"0-1 yrs",IF(P1987&lt;3,"1-3 yrs",IF(P1987&lt;5,"3-5 yrs",IF(P1987&lt;10,"5-10 yrs","10+ yrs"))))</f>
        <v>0-1 yrs</v>
      </c>
      <c r="S1987" s="13" t="str">
        <f aca="false">IF(I1987&gt;=4,"High",IF(I1987=3,"Medium","Low"))</f>
        <v>Medium</v>
      </c>
      <c r="T1987" s="13" t="str">
        <f aca="false">IF(M1987=1,YEAR(C1987),"")</f>
        <v/>
      </c>
      <c r="U1987" s="13" t="str">
        <f aca="false">IF(M1987=1,YEAR(C1987)&amp;"-Q"&amp;ROUNDUP(MONTH(C1987)/3,0),"")</f>
        <v/>
      </c>
      <c r="V1987" s="13" t="str">
        <f aca="false">IF(M1987=1,MONTH(C1987),"")</f>
        <v/>
      </c>
    </row>
    <row r="1988" customFormat="false" ht="15" hidden="false" customHeight="false" outlineLevel="0" collapsed="false">
      <c r="A1988" s="13" t="str">
        <f aca="false">TRIM(Raw_Data!A1988)</f>
        <v>EMP1987</v>
      </c>
      <c r="B1988" s="14" t="n">
        <f aca="false">Raw_Data!B1988</f>
        <v>45941</v>
      </c>
      <c r="C1988" s="14" t="str">
        <f aca="false">IF(Raw_Data!C1988="","",Raw_Data!C1988)</f>
        <v/>
      </c>
      <c r="D1988" s="13" t="n">
        <f aca="false">IF(Raw_Data!D1988="","",Raw_Data!D1988)</f>
        <v>33</v>
      </c>
      <c r="E1988" s="13" t="str">
        <f aca="false">IF(UPPER(LEFT(TRIM(Raw_Data!E1988),1))="M","Male",IF(UPPER(LEFT(TRIM(Raw_Data!E1988),1))="F","Female","Unknown"))</f>
        <v>Male</v>
      </c>
      <c r="F1988" s="13" t="str">
        <f aca="false">PROPER(TRIM(SUBSTITUTE(Raw_Data!F1988,"'","")))</f>
        <v>Bachelors</v>
      </c>
      <c r="G1988" s="13" t="str">
        <f aca="false">PROPER(TRIM(Raw_Data!G1988))</f>
        <v>Finance</v>
      </c>
      <c r="H1988" s="13" t="str">
        <f aca="false">PROPER(TRIM(Raw_Data!H1988))</f>
        <v>Analyst</v>
      </c>
      <c r="I1988" s="13" t="n">
        <f aca="false">IF(Raw_Data!I1988="",DefaultPerf,Raw_Data!I1988)</f>
        <v>3</v>
      </c>
      <c r="J1988" s="13" t="n">
        <f aca="false">IF(Raw_Data!J1988="",DefaultSat,Raw_Data!J1988)</f>
        <v>1</v>
      </c>
      <c r="K1988" s="15" t="n">
        <f aca="false">Raw_Data!K1988</f>
        <v>50000</v>
      </c>
      <c r="L1988" s="13" t="str">
        <f aca="false">PROPER(TRIM(Raw_Data!N1988))</f>
        <v>No</v>
      </c>
      <c r="M1988" s="13" t="n">
        <f aca="false">IF(C1988="",0,1)</f>
        <v>0</v>
      </c>
      <c r="N1988" s="13" t="str">
        <f aca="false">IF(M1988=0,"Active",IF(TRIM(Raw_Data!L1988)="","Unknown",PROPER(TRIM(Raw_Data!L1988))))</f>
        <v>Active</v>
      </c>
      <c r="O1988" s="13" t="str">
        <f aca="false">IF(M1988=0,"",IF(TRIM(Raw_Data!M1988)="","Not Recorded",TRIM(Raw_Data!M1988)))</f>
        <v/>
      </c>
      <c r="P1988" s="16" t="n">
        <f aca="false">ROUND((IF(C1988="",AsOfDate,C1988)-B1988)/365.25,2)</f>
        <v>0.22</v>
      </c>
      <c r="Q1988" s="13" t="str">
        <f aca="false">IF(D1988="","Unknown",IF(D1988&lt;25,"Under 25",IF(D1988&lt;35,"25-34",IF(D1988&lt;45,"35-44",IF(D1988&lt;55,"45-54","55+")))))</f>
        <v>25-34</v>
      </c>
      <c r="R1988" s="13" t="str">
        <f aca="false">IF(P1988&lt;1,"0-1 yrs",IF(P1988&lt;3,"1-3 yrs",IF(P1988&lt;5,"3-5 yrs",IF(P1988&lt;10,"5-10 yrs","10+ yrs"))))</f>
        <v>0-1 yrs</v>
      </c>
      <c r="S1988" s="13" t="str">
        <f aca="false">IF(I1988&gt;=4,"High",IF(I1988=3,"Medium","Low"))</f>
        <v>Medium</v>
      </c>
      <c r="T1988" s="13" t="str">
        <f aca="false">IF(M1988=1,YEAR(C1988),"")</f>
        <v/>
      </c>
      <c r="U1988" s="13" t="str">
        <f aca="false">IF(M1988=1,YEAR(C1988)&amp;"-Q"&amp;ROUNDUP(MONTH(C1988)/3,0),"")</f>
        <v/>
      </c>
      <c r="V1988" s="13" t="str">
        <f aca="false">IF(M1988=1,MONTH(C1988),"")</f>
        <v/>
      </c>
    </row>
    <row r="1989" customFormat="false" ht="15" hidden="false" customHeight="false" outlineLevel="0" collapsed="false">
      <c r="A1989" s="13" t="str">
        <f aca="false">TRIM(Raw_Data!A1989)</f>
        <v>EMP1988</v>
      </c>
      <c r="B1989" s="14" t="n">
        <f aca="false">Raw_Data!B1989</f>
        <v>45942</v>
      </c>
      <c r="C1989" s="14" t="str">
        <f aca="false">IF(Raw_Data!C1989="","",Raw_Data!C1989)</f>
        <v/>
      </c>
      <c r="D1989" s="13" t="n">
        <f aca="false">IF(Raw_Data!D1989="","",Raw_Data!D1989)</f>
        <v>22</v>
      </c>
      <c r="E1989" s="13" t="str">
        <f aca="false">IF(UPPER(LEFT(TRIM(Raw_Data!E1989),1))="M","Male",IF(UPPER(LEFT(TRIM(Raw_Data!E1989),1))="F","Female","Unknown"))</f>
        <v>Male</v>
      </c>
      <c r="F1989" s="13" t="str">
        <f aca="false">PROPER(TRIM(SUBSTITUTE(Raw_Data!F1989,"'","")))</f>
        <v>Bachelors</v>
      </c>
      <c r="G1989" s="13" t="str">
        <f aca="false">PROPER(TRIM(Raw_Data!G1989))</f>
        <v>Customer Support</v>
      </c>
      <c r="H1989" s="13" t="str">
        <f aca="false">PROPER(TRIM(Raw_Data!H1989))</f>
        <v>Manager</v>
      </c>
      <c r="I1989" s="13" t="n">
        <f aca="false">IF(Raw_Data!I1989="",DefaultPerf,Raw_Data!I1989)</f>
        <v>4</v>
      </c>
      <c r="J1989" s="13" t="n">
        <f aca="false">IF(Raw_Data!J1989="",DefaultSat,Raw_Data!J1989)</f>
        <v>1</v>
      </c>
      <c r="K1989" s="15" t="n">
        <f aca="false">Raw_Data!K1989</f>
        <v>153500</v>
      </c>
      <c r="L1989" s="13" t="str">
        <f aca="false">PROPER(TRIM(Raw_Data!N1989))</f>
        <v>No</v>
      </c>
      <c r="M1989" s="13" t="n">
        <f aca="false">IF(C1989="",0,1)</f>
        <v>0</v>
      </c>
      <c r="N1989" s="13" t="str">
        <f aca="false">IF(M1989=0,"Active",IF(TRIM(Raw_Data!L1989)="","Unknown",PROPER(TRIM(Raw_Data!L1989))))</f>
        <v>Active</v>
      </c>
      <c r="O1989" s="13" t="str">
        <f aca="false">IF(M1989=0,"",IF(TRIM(Raw_Data!M1989)="","Not Recorded",TRIM(Raw_Data!M1989)))</f>
        <v/>
      </c>
      <c r="P1989" s="16" t="n">
        <f aca="false">ROUND((IF(C1989="",AsOfDate,C1989)-B1989)/365.25,2)</f>
        <v>0.22</v>
      </c>
      <c r="Q1989" s="13" t="str">
        <f aca="false">IF(D1989="","Unknown",IF(D1989&lt;25,"Under 25",IF(D1989&lt;35,"25-34",IF(D1989&lt;45,"35-44",IF(D1989&lt;55,"45-54","55+")))))</f>
        <v>Under 25</v>
      </c>
      <c r="R1989" s="13" t="str">
        <f aca="false">IF(P1989&lt;1,"0-1 yrs",IF(P1989&lt;3,"1-3 yrs",IF(P1989&lt;5,"3-5 yrs",IF(P1989&lt;10,"5-10 yrs","10+ yrs"))))</f>
        <v>0-1 yrs</v>
      </c>
      <c r="S1989" s="13" t="str">
        <f aca="false">IF(I1989&gt;=4,"High",IF(I1989=3,"Medium","Low"))</f>
        <v>High</v>
      </c>
      <c r="T1989" s="13" t="str">
        <f aca="false">IF(M1989=1,YEAR(C1989),"")</f>
        <v/>
      </c>
      <c r="U1989" s="13" t="str">
        <f aca="false">IF(M1989=1,YEAR(C1989)&amp;"-Q"&amp;ROUNDUP(MONTH(C1989)/3,0),"")</f>
        <v/>
      </c>
      <c r="V1989" s="13" t="str">
        <f aca="false">IF(M1989=1,MONTH(C1989),"")</f>
        <v/>
      </c>
    </row>
    <row r="1990" customFormat="false" ht="15" hidden="false" customHeight="false" outlineLevel="0" collapsed="false">
      <c r="A1990" s="13" t="str">
        <f aca="false">TRIM(Raw_Data!A1990)</f>
        <v>EMP1989</v>
      </c>
      <c r="B1990" s="14" t="n">
        <f aca="false">Raw_Data!B1990</f>
        <v>45945</v>
      </c>
      <c r="C1990" s="14" t="str">
        <f aca="false">IF(Raw_Data!C1990="","",Raw_Data!C1990)</f>
        <v/>
      </c>
      <c r="D1990" s="13" t="n">
        <f aca="false">IF(Raw_Data!D1990="","",Raw_Data!D1990)</f>
        <v>29</v>
      </c>
      <c r="E1990" s="13" t="str">
        <f aca="false">IF(UPPER(LEFT(TRIM(Raw_Data!E1990),1))="M","Male",IF(UPPER(LEFT(TRIM(Raw_Data!E1990),1))="F","Female","Unknown"))</f>
        <v>Female</v>
      </c>
      <c r="F1990" s="13" t="str">
        <f aca="false">PROPER(TRIM(SUBSTITUTE(Raw_Data!F1990,"'","")))</f>
        <v>Bachelors</v>
      </c>
      <c r="G1990" s="13" t="str">
        <f aca="false">PROPER(TRIM(Raw_Data!G1990))</f>
        <v>Sales</v>
      </c>
      <c r="H1990" s="13" t="str">
        <f aca="false">PROPER(TRIM(Raw_Data!H1990))</f>
        <v>Analyst</v>
      </c>
      <c r="I1990" s="13" t="n">
        <f aca="false">IF(Raw_Data!I1990="",DefaultPerf,Raw_Data!I1990)</f>
        <v>4</v>
      </c>
      <c r="J1990" s="13" t="n">
        <f aca="false">IF(Raw_Data!J1990="",DefaultSat,Raw_Data!J1990)</f>
        <v>1</v>
      </c>
      <c r="K1990" s="15" t="n">
        <f aca="false">Raw_Data!K1990</f>
        <v>60500</v>
      </c>
      <c r="L1990" s="13" t="str">
        <f aca="false">PROPER(TRIM(Raw_Data!N1990))</f>
        <v>Yes</v>
      </c>
      <c r="M1990" s="13" t="n">
        <f aca="false">IF(C1990="",0,1)</f>
        <v>0</v>
      </c>
      <c r="N1990" s="13" t="str">
        <f aca="false">IF(M1990=0,"Active",IF(TRIM(Raw_Data!L1990)="","Unknown",PROPER(TRIM(Raw_Data!L1990))))</f>
        <v>Active</v>
      </c>
      <c r="O1990" s="13" t="str">
        <f aca="false">IF(M1990=0,"",IF(TRIM(Raw_Data!M1990)="","Not Recorded",TRIM(Raw_Data!M1990)))</f>
        <v/>
      </c>
      <c r="P1990" s="16" t="n">
        <f aca="false">ROUND((IF(C1990="",AsOfDate,C1990)-B1990)/365.25,2)</f>
        <v>0.21</v>
      </c>
      <c r="Q1990" s="13" t="str">
        <f aca="false">IF(D1990="","Unknown",IF(D1990&lt;25,"Under 25",IF(D1990&lt;35,"25-34",IF(D1990&lt;45,"35-44",IF(D1990&lt;55,"45-54","55+")))))</f>
        <v>25-34</v>
      </c>
      <c r="R1990" s="13" t="str">
        <f aca="false">IF(P1990&lt;1,"0-1 yrs",IF(P1990&lt;3,"1-3 yrs",IF(P1990&lt;5,"3-5 yrs",IF(P1990&lt;10,"5-10 yrs","10+ yrs"))))</f>
        <v>0-1 yrs</v>
      </c>
      <c r="S1990" s="13" t="str">
        <f aca="false">IF(I1990&gt;=4,"High",IF(I1990=3,"Medium","Low"))</f>
        <v>High</v>
      </c>
      <c r="T1990" s="13" t="str">
        <f aca="false">IF(M1990=1,YEAR(C1990),"")</f>
        <v/>
      </c>
      <c r="U1990" s="13" t="str">
        <f aca="false">IF(M1990=1,YEAR(C1990)&amp;"-Q"&amp;ROUNDUP(MONTH(C1990)/3,0),"")</f>
        <v/>
      </c>
      <c r="V1990" s="13" t="str">
        <f aca="false">IF(M1990=1,MONTH(C1990),"")</f>
        <v/>
      </c>
    </row>
    <row r="1991" customFormat="false" ht="15" hidden="false" customHeight="false" outlineLevel="0" collapsed="false">
      <c r="A1991" s="13" t="str">
        <f aca="false">TRIM(Raw_Data!A1991)</f>
        <v>EMP1990</v>
      </c>
      <c r="B1991" s="14" t="n">
        <f aca="false">Raw_Data!B1991</f>
        <v>45947</v>
      </c>
      <c r="C1991" s="14" t="str">
        <f aca="false">IF(Raw_Data!C1991="","",Raw_Data!C1991)</f>
        <v/>
      </c>
      <c r="D1991" s="13" t="n">
        <f aca="false">IF(Raw_Data!D1991="","",Raw_Data!D1991)</f>
        <v>31</v>
      </c>
      <c r="E1991" s="13" t="str">
        <f aca="false">IF(UPPER(LEFT(TRIM(Raw_Data!E1991),1))="M","Male",IF(UPPER(LEFT(TRIM(Raw_Data!E1991),1))="F","Female","Unknown"))</f>
        <v>Female</v>
      </c>
      <c r="F1991" s="13" t="str">
        <f aca="false">PROPER(TRIM(SUBSTITUTE(Raw_Data!F1991,"'","")))</f>
        <v>High School</v>
      </c>
      <c r="G1991" s="13" t="str">
        <f aca="false">PROPER(TRIM(Raw_Data!G1991))</f>
        <v>Engineering</v>
      </c>
      <c r="H1991" s="13" t="str">
        <f aca="false">PROPER(TRIM(Raw_Data!H1991))</f>
        <v>Manager</v>
      </c>
      <c r="I1991" s="13" t="n">
        <f aca="false">IF(Raw_Data!I1991="",DefaultPerf,Raw_Data!I1991)</f>
        <v>2</v>
      </c>
      <c r="J1991" s="13" t="n">
        <f aca="false">IF(Raw_Data!J1991="",DefaultSat,Raw_Data!J1991)</f>
        <v>4</v>
      </c>
      <c r="K1991" s="15" t="n">
        <f aca="false">Raw_Data!K1991</f>
        <v>178000</v>
      </c>
      <c r="L1991" s="13" t="str">
        <f aca="false">PROPER(TRIM(Raw_Data!N1991))</f>
        <v>No</v>
      </c>
      <c r="M1991" s="13" t="n">
        <f aca="false">IF(C1991="",0,1)</f>
        <v>0</v>
      </c>
      <c r="N1991" s="13" t="str">
        <f aca="false">IF(M1991=0,"Active",IF(TRIM(Raw_Data!L1991)="","Unknown",PROPER(TRIM(Raw_Data!L1991))))</f>
        <v>Active</v>
      </c>
      <c r="O1991" s="13" t="str">
        <f aca="false">IF(M1991=0,"",IF(TRIM(Raw_Data!M1991)="","Not Recorded",TRIM(Raw_Data!M1991)))</f>
        <v/>
      </c>
      <c r="P1991" s="16" t="n">
        <f aca="false">ROUND((IF(C1991="",AsOfDate,C1991)-B1991)/365.25,2)</f>
        <v>0.21</v>
      </c>
      <c r="Q1991" s="13" t="str">
        <f aca="false">IF(D1991="","Unknown",IF(D1991&lt;25,"Under 25",IF(D1991&lt;35,"25-34",IF(D1991&lt;45,"35-44",IF(D1991&lt;55,"45-54","55+")))))</f>
        <v>25-34</v>
      </c>
      <c r="R1991" s="13" t="str">
        <f aca="false">IF(P1991&lt;1,"0-1 yrs",IF(P1991&lt;3,"1-3 yrs",IF(P1991&lt;5,"3-5 yrs",IF(P1991&lt;10,"5-10 yrs","10+ yrs"))))</f>
        <v>0-1 yrs</v>
      </c>
      <c r="S1991" s="13" t="str">
        <f aca="false">IF(I1991&gt;=4,"High",IF(I1991=3,"Medium","Low"))</f>
        <v>Low</v>
      </c>
      <c r="T1991" s="13" t="str">
        <f aca="false">IF(M1991=1,YEAR(C1991),"")</f>
        <v/>
      </c>
      <c r="U1991" s="13" t="str">
        <f aca="false">IF(M1991=1,YEAR(C1991)&amp;"-Q"&amp;ROUNDUP(MONTH(C1991)/3,0),"")</f>
        <v/>
      </c>
      <c r="V1991" s="13" t="str">
        <f aca="false">IF(M1991=1,MONTH(C1991),"")</f>
        <v/>
      </c>
    </row>
    <row r="1992" customFormat="false" ht="15" hidden="false" customHeight="false" outlineLevel="0" collapsed="false">
      <c r="A1992" s="13" t="str">
        <f aca="false">TRIM(Raw_Data!A1992)</f>
        <v>EMP1991</v>
      </c>
      <c r="B1992" s="14" t="n">
        <f aca="false">Raw_Data!B1992</f>
        <v>45948</v>
      </c>
      <c r="C1992" s="14" t="str">
        <f aca="false">IF(Raw_Data!C1992="","",Raw_Data!C1992)</f>
        <v/>
      </c>
      <c r="D1992" s="13" t="n">
        <f aca="false">IF(Raw_Data!D1992="","",Raw_Data!D1992)</f>
        <v>37</v>
      </c>
      <c r="E1992" s="13" t="str">
        <f aca="false">IF(UPPER(LEFT(TRIM(Raw_Data!E1992),1))="M","Male",IF(UPPER(LEFT(TRIM(Raw_Data!E1992),1))="F","Female","Unknown"))</f>
        <v>Female</v>
      </c>
      <c r="F1992" s="13" t="str">
        <f aca="false">PROPER(TRIM(SUBSTITUTE(Raw_Data!F1992,"'","")))</f>
        <v>Diploma</v>
      </c>
      <c r="G1992" s="13" t="str">
        <f aca="false">PROPER(TRIM(Raw_Data!G1992))</f>
        <v>Operations</v>
      </c>
      <c r="H1992" s="13" t="str">
        <f aca="false">PROPER(TRIM(Raw_Data!H1992))</f>
        <v>Analyst</v>
      </c>
      <c r="I1992" s="13" t="n">
        <f aca="false">IF(Raw_Data!I1992="",DefaultPerf,Raw_Data!I1992)</f>
        <v>5</v>
      </c>
      <c r="J1992" s="13" t="n">
        <f aca="false">IF(Raw_Data!J1992="",DefaultSat,Raw_Data!J1992)</f>
        <v>1</v>
      </c>
      <c r="K1992" s="15" t="n">
        <f aca="false">Raw_Data!K1992</f>
        <v>46000</v>
      </c>
      <c r="L1992" s="13" t="str">
        <f aca="false">PROPER(TRIM(Raw_Data!N1992))</f>
        <v>Yes</v>
      </c>
      <c r="M1992" s="13" t="n">
        <f aca="false">IF(C1992="",0,1)</f>
        <v>0</v>
      </c>
      <c r="N1992" s="13" t="str">
        <f aca="false">IF(M1992=0,"Active",IF(TRIM(Raw_Data!L1992)="","Unknown",PROPER(TRIM(Raw_Data!L1992))))</f>
        <v>Active</v>
      </c>
      <c r="O1992" s="13" t="str">
        <f aca="false">IF(M1992=0,"",IF(TRIM(Raw_Data!M1992)="","Not Recorded",TRIM(Raw_Data!M1992)))</f>
        <v/>
      </c>
      <c r="P1992" s="16" t="n">
        <f aca="false">ROUND((IF(C1992="",AsOfDate,C1992)-B1992)/365.25,2)</f>
        <v>0.2</v>
      </c>
      <c r="Q1992" s="13" t="str">
        <f aca="false">IF(D1992="","Unknown",IF(D1992&lt;25,"Under 25",IF(D1992&lt;35,"25-34",IF(D1992&lt;45,"35-44",IF(D1992&lt;55,"45-54","55+")))))</f>
        <v>35-44</v>
      </c>
      <c r="R1992" s="13" t="str">
        <f aca="false">IF(P1992&lt;1,"0-1 yrs",IF(P1992&lt;3,"1-3 yrs",IF(P1992&lt;5,"3-5 yrs",IF(P1992&lt;10,"5-10 yrs","10+ yrs"))))</f>
        <v>0-1 yrs</v>
      </c>
      <c r="S1992" s="13" t="str">
        <f aca="false">IF(I1992&gt;=4,"High",IF(I1992=3,"Medium","Low"))</f>
        <v>High</v>
      </c>
      <c r="T1992" s="13" t="str">
        <f aca="false">IF(M1992=1,YEAR(C1992),"")</f>
        <v/>
      </c>
      <c r="U1992" s="13" t="str">
        <f aca="false">IF(M1992=1,YEAR(C1992)&amp;"-Q"&amp;ROUNDUP(MONTH(C1992)/3,0),"")</f>
        <v/>
      </c>
      <c r="V1992" s="13" t="str">
        <f aca="false">IF(M1992=1,MONTH(C1992),"")</f>
        <v/>
      </c>
    </row>
    <row r="1993" customFormat="false" ht="15" hidden="false" customHeight="false" outlineLevel="0" collapsed="false">
      <c r="A1993" s="13" t="str">
        <f aca="false">TRIM(Raw_Data!A1993)</f>
        <v>EMP1992</v>
      </c>
      <c r="B1993" s="14" t="n">
        <f aca="false">Raw_Data!B1993</f>
        <v>45948</v>
      </c>
      <c r="C1993" s="14" t="str">
        <f aca="false">IF(Raw_Data!C1993="","",Raw_Data!C1993)</f>
        <v/>
      </c>
      <c r="D1993" s="13" t="n">
        <f aca="false">IF(Raw_Data!D1993="","",Raw_Data!D1993)</f>
        <v>38</v>
      </c>
      <c r="E1993" s="13" t="str">
        <f aca="false">IF(UPPER(LEFT(TRIM(Raw_Data!E1993),1))="M","Male",IF(UPPER(LEFT(TRIM(Raw_Data!E1993),1))="F","Female","Unknown"))</f>
        <v>Female</v>
      </c>
      <c r="F1993" s="13" t="str">
        <f aca="false">PROPER(TRIM(SUBSTITUTE(Raw_Data!F1993,"'","")))</f>
        <v>High School</v>
      </c>
      <c r="G1993" s="13" t="str">
        <f aca="false">PROPER(TRIM(Raw_Data!G1993))</f>
        <v>Operations</v>
      </c>
      <c r="H1993" s="13" t="str">
        <f aca="false">PROPER(TRIM(Raw_Data!H1993))</f>
        <v>Associate</v>
      </c>
      <c r="I1993" s="13" t="n">
        <f aca="false">IF(Raw_Data!I1993="",DefaultPerf,Raw_Data!I1993)</f>
        <v>4</v>
      </c>
      <c r="J1993" s="13" t="n">
        <f aca="false">IF(Raw_Data!J1993="",DefaultSat,Raw_Data!J1993)</f>
        <v>3</v>
      </c>
      <c r="K1993" s="15" t="n">
        <f aca="false">Raw_Data!K1993</f>
        <v>36500</v>
      </c>
      <c r="L1993" s="13" t="str">
        <f aca="false">PROPER(TRIM(Raw_Data!N1993))</f>
        <v>Yes</v>
      </c>
      <c r="M1993" s="13" t="n">
        <f aca="false">IF(C1993="",0,1)</f>
        <v>0</v>
      </c>
      <c r="N1993" s="13" t="str">
        <f aca="false">IF(M1993=0,"Active",IF(TRIM(Raw_Data!L1993)="","Unknown",PROPER(TRIM(Raw_Data!L1993))))</f>
        <v>Active</v>
      </c>
      <c r="O1993" s="13" t="str">
        <f aca="false">IF(M1993=0,"",IF(TRIM(Raw_Data!M1993)="","Not Recorded",TRIM(Raw_Data!M1993)))</f>
        <v/>
      </c>
      <c r="P1993" s="16" t="n">
        <f aca="false">ROUND((IF(C1993="",AsOfDate,C1993)-B1993)/365.25,2)</f>
        <v>0.2</v>
      </c>
      <c r="Q1993" s="13" t="str">
        <f aca="false">IF(D1993="","Unknown",IF(D1993&lt;25,"Under 25",IF(D1993&lt;35,"25-34",IF(D1993&lt;45,"35-44",IF(D1993&lt;55,"45-54","55+")))))</f>
        <v>35-44</v>
      </c>
      <c r="R1993" s="13" t="str">
        <f aca="false">IF(P1993&lt;1,"0-1 yrs",IF(P1993&lt;3,"1-3 yrs",IF(P1993&lt;5,"3-5 yrs",IF(P1993&lt;10,"5-10 yrs","10+ yrs"))))</f>
        <v>0-1 yrs</v>
      </c>
      <c r="S1993" s="13" t="str">
        <f aca="false">IF(I1993&gt;=4,"High",IF(I1993=3,"Medium","Low"))</f>
        <v>High</v>
      </c>
      <c r="T1993" s="13" t="str">
        <f aca="false">IF(M1993=1,YEAR(C1993),"")</f>
        <v/>
      </c>
      <c r="U1993" s="13" t="str">
        <f aca="false">IF(M1993=1,YEAR(C1993)&amp;"-Q"&amp;ROUNDUP(MONTH(C1993)/3,0),"")</f>
        <v/>
      </c>
      <c r="V1993" s="13" t="str">
        <f aca="false">IF(M1993=1,MONTH(C1993),"")</f>
        <v/>
      </c>
    </row>
    <row r="1994" customFormat="false" ht="15" hidden="false" customHeight="false" outlineLevel="0" collapsed="false">
      <c r="A1994" s="13" t="str">
        <f aca="false">TRIM(Raw_Data!A1994)</f>
        <v>EMP1993</v>
      </c>
      <c r="B1994" s="14" t="n">
        <f aca="false">Raw_Data!B1994</f>
        <v>45950</v>
      </c>
      <c r="C1994" s="14" t="str">
        <f aca="false">IF(Raw_Data!C1994="","",Raw_Data!C1994)</f>
        <v/>
      </c>
      <c r="D1994" s="13" t="n">
        <f aca="false">IF(Raw_Data!D1994="","",Raw_Data!D1994)</f>
        <v>37</v>
      </c>
      <c r="E1994" s="13" t="str">
        <f aca="false">IF(UPPER(LEFT(TRIM(Raw_Data!E1994),1))="M","Male",IF(UPPER(LEFT(TRIM(Raw_Data!E1994),1))="F","Female","Unknown"))</f>
        <v>Female</v>
      </c>
      <c r="F1994" s="13" t="str">
        <f aca="false">PROPER(TRIM(SUBSTITUTE(Raw_Data!F1994,"'","")))</f>
        <v>Bachelors</v>
      </c>
      <c r="G1994" s="13" t="str">
        <f aca="false">PROPER(TRIM(Raw_Data!G1994))</f>
        <v>Engineering</v>
      </c>
      <c r="H1994" s="13" t="str">
        <f aca="false">PROPER(TRIM(Raw_Data!H1994))</f>
        <v>Analyst</v>
      </c>
      <c r="I1994" s="13" t="n">
        <f aca="false">IF(Raw_Data!I1994="",DefaultPerf,Raw_Data!I1994)</f>
        <v>4</v>
      </c>
      <c r="J1994" s="13" t="n">
        <f aca="false">IF(Raw_Data!J1994="",DefaultSat,Raw_Data!J1994)</f>
        <v>1</v>
      </c>
      <c r="K1994" s="15" t="n">
        <f aca="false">Raw_Data!K1994</f>
        <v>66500</v>
      </c>
      <c r="L1994" s="13" t="str">
        <f aca="false">PROPER(TRIM(Raw_Data!N1994))</f>
        <v>No</v>
      </c>
      <c r="M1994" s="13" t="n">
        <f aca="false">IF(C1994="",0,1)</f>
        <v>0</v>
      </c>
      <c r="N1994" s="13" t="str">
        <f aca="false">IF(M1994=0,"Active",IF(TRIM(Raw_Data!L1994)="","Unknown",PROPER(TRIM(Raw_Data!L1994))))</f>
        <v>Active</v>
      </c>
      <c r="O1994" s="13" t="str">
        <f aca="false">IF(M1994=0,"",IF(TRIM(Raw_Data!M1994)="","Not Recorded",TRIM(Raw_Data!M1994)))</f>
        <v/>
      </c>
      <c r="P1994" s="16" t="n">
        <f aca="false">ROUND((IF(C1994="",AsOfDate,C1994)-B1994)/365.25,2)</f>
        <v>0.2</v>
      </c>
      <c r="Q1994" s="13" t="str">
        <f aca="false">IF(D1994="","Unknown",IF(D1994&lt;25,"Under 25",IF(D1994&lt;35,"25-34",IF(D1994&lt;45,"35-44",IF(D1994&lt;55,"45-54","55+")))))</f>
        <v>35-44</v>
      </c>
      <c r="R1994" s="13" t="str">
        <f aca="false">IF(P1994&lt;1,"0-1 yrs",IF(P1994&lt;3,"1-3 yrs",IF(P1994&lt;5,"3-5 yrs",IF(P1994&lt;10,"5-10 yrs","10+ yrs"))))</f>
        <v>0-1 yrs</v>
      </c>
      <c r="S1994" s="13" t="str">
        <f aca="false">IF(I1994&gt;=4,"High",IF(I1994=3,"Medium","Low"))</f>
        <v>High</v>
      </c>
      <c r="T1994" s="13" t="str">
        <f aca="false">IF(M1994=1,YEAR(C1994),"")</f>
        <v/>
      </c>
      <c r="U1994" s="13" t="str">
        <f aca="false">IF(M1994=1,YEAR(C1994)&amp;"-Q"&amp;ROUNDUP(MONTH(C1994)/3,0),"")</f>
        <v/>
      </c>
      <c r="V1994" s="13" t="str">
        <f aca="false">IF(M1994=1,MONTH(C1994),"")</f>
        <v/>
      </c>
    </row>
    <row r="1995" customFormat="false" ht="15" hidden="false" customHeight="false" outlineLevel="0" collapsed="false">
      <c r="A1995" s="13" t="str">
        <f aca="false">TRIM(Raw_Data!A1995)</f>
        <v>EMP1994</v>
      </c>
      <c r="B1995" s="14" t="n">
        <f aca="false">Raw_Data!B1995</f>
        <v>45952</v>
      </c>
      <c r="C1995" s="14" t="str">
        <f aca="false">IF(Raw_Data!C1995="","",Raw_Data!C1995)</f>
        <v/>
      </c>
      <c r="D1995" s="13" t="n">
        <f aca="false">IF(Raw_Data!D1995="","",Raw_Data!D1995)</f>
        <v>27</v>
      </c>
      <c r="E1995" s="13" t="str">
        <f aca="false">IF(UPPER(LEFT(TRIM(Raw_Data!E1995),1))="M","Male",IF(UPPER(LEFT(TRIM(Raw_Data!E1995),1))="F","Female","Unknown"))</f>
        <v>Female</v>
      </c>
      <c r="F1995" s="13" t="str">
        <f aca="false">PROPER(TRIM(SUBSTITUTE(Raw_Data!F1995,"'","")))</f>
        <v>Doctorate</v>
      </c>
      <c r="G1995" s="13" t="str">
        <f aca="false">PROPER(TRIM(Raw_Data!G1995))</f>
        <v>Engineering</v>
      </c>
      <c r="H1995" s="13" t="str">
        <f aca="false">PROPER(TRIM(Raw_Data!H1995))</f>
        <v>Specialist</v>
      </c>
      <c r="I1995" s="13" t="n">
        <f aca="false">IF(Raw_Data!I1995="",DefaultPerf,Raw_Data!I1995)</f>
        <v>4</v>
      </c>
      <c r="J1995" s="13" t="n">
        <f aca="false">IF(Raw_Data!J1995="",DefaultSat,Raw_Data!J1995)</f>
        <v>4</v>
      </c>
      <c r="K1995" s="15" t="n">
        <f aca="false">Raw_Data!K1995</f>
        <v>98500</v>
      </c>
      <c r="L1995" s="13" t="str">
        <f aca="false">PROPER(TRIM(Raw_Data!N1995))</f>
        <v>No</v>
      </c>
      <c r="M1995" s="13" t="n">
        <f aca="false">IF(C1995="",0,1)</f>
        <v>0</v>
      </c>
      <c r="N1995" s="13" t="str">
        <f aca="false">IF(M1995=0,"Active",IF(TRIM(Raw_Data!L1995)="","Unknown",PROPER(TRIM(Raw_Data!L1995))))</f>
        <v>Active</v>
      </c>
      <c r="O1995" s="13" t="str">
        <f aca="false">IF(M1995=0,"",IF(TRIM(Raw_Data!M1995)="","Not Recorded",TRIM(Raw_Data!M1995)))</f>
        <v/>
      </c>
      <c r="P1995" s="16" t="n">
        <f aca="false">ROUND((IF(C1995="",AsOfDate,C1995)-B1995)/365.25,2)</f>
        <v>0.19</v>
      </c>
      <c r="Q1995" s="13" t="str">
        <f aca="false">IF(D1995="","Unknown",IF(D1995&lt;25,"Under 25",IF(D1995&lt;35,"25-34",IF(D1995&lt;45,"35-44",IF(D1995&lt;55,"45-54","55+")))))</f>
        <v>25-34</v>
      </c>
      <c r="R1995" s="13" t="str">
        <f aca="false">IF(P1995&lt;1,"0-1 yrs",IF(P1995&lt;3,"1-3 yrs",IF(P1995&lt;5,"3-5 yrs",IF(P1995&lt;10,"5-10 yrs","10+ yrs"))))</f>
        <v>0-1 yrs</v>
      </c>
      <c r="S1995" s="13" t="str">
        <f aca="false">IF(I1995&gt;=4,"High",IF(I1995=3,"Medium","Low"))</f>
        <v>High</v>
      </c>
      <c r="T1995" s="13" t="str">
        <f aca="false">IF(M1995=1,YEAR(C1995),"")</f>
        <v/>
      </c>
      <c r="U1995" s="13" t="str">
        <f aca="false">IF(M1995=1,YEAR(C1995)&amp;"-Q"&amp;ROUNDUP(MONTH(C1995)/3,0),"")</f>
        <v/>
      </c>
      <c r="V1995" s="13" t="str">
        <f aca="false">IF(M1995=1,MONTH(C1995),"")</f>
        <v/>
      </c>
    </row>
    <row r="1996" customFormat="false" ht="15" hidden="false" customHeight="false" outlineLevel="0" collapsed="false">
      <c r="A1996" s="13" t="str">
        <f aca="false">TRIM(Raw_Data!A1996)</f>
        <v>EMP1995</v>
      </c>
      <c r="B1996" s="14" t="n">
        <f aca="false">Raw_Data!B1996</f>
        <v>45953</v>
      </c>
      <c r="C1996" s="14" t="str">
        <f aca="false">IF(Raw_Data!C1996="","",Raw_Data!C1996)</f>
        <v/>
      </c>
      <c r="D1996" s="13" t="n">
        <f aca="false">IF(Raw_Data!D1996="","",Raw_Data!D1996)</f>
        <v>28</v>
      </c>
      <c r="E1996" s="13" t="str">
        <f aca="false">IF(UPPER(LEFT(TRIM(Raw_Data!E1996),1))="M","Male",IF(UPPER(LEFT(TRIM(Raw_Data!E1996),1))="F","Female","Unknown"))</f>
        <v>Female</v>
      </c>
      <c r="F1996" s="13" t="str">
        <f aca="false">PROPER(TRIM(SUBSTITUTE(Raw_Data!F1996,"'","")))</f>
        <v>Masters</v>
      </c>
      <c r="G1996" s="13" t="str">
        <f aca="false">PROPER(TRIM(Raw_Data!G1996))</f>
        <v>Sales</v>
      </c>
      <c r="H1996" s="13" t="str">
        <f aca="false">PROPER(TRIM(Raw_Data!H1996))</f>
        <v>Analyst</v>
      </c>
      <c r="I1996" s="13" t="n">
        <f aca="false">IF(Raw_Data!I1996="",DefaultPerf,Raw_Data!I1996)</f>
        <v>4</v>
      </c>
      <c r="J1996" s="13" t="n">
        <f aca="false">IF(Raw_Data!J1996="",DefaultSat,Raw_Data!J1996)</f>
        <v>1</v>
      </c>
      <c r="K1996" s="15" t="n">
        <f aca="false">Raw_Data!K1996</f>
        <v>50000</v>
      </c>
      <c r="L1996" s="13" t="str">
        <f aca="false">PROPER(TRIM(Raw_Data!N1996))</f>
        <v>No</v>
      </c>
      <c r="M1996" s="13" t="n">
        <f aca="false">IF(C1996="",0,1)</f>
        <v>0</v>
      </c>
      <c r="N1996" s="13" t="str">
        <f aca="false">IF(M1996=0,"Active",IF(TRIM(Raw_Data!L1996)="","Unknown",PROPER(TRIM(Raw_Data!L1996))))</f>
        <v>Active</v>
      </c>
      <c r="O1996" s="13" t="str">
        <f aca="false">IF(M1996=0,"",IF(TRIM(Raw_Data!M1996)="","Not Recorded",TRIM(Raw_Data!M1996)))</f>
        <v/>
      </c>
      <c r="P1996" s="16" t="n">
        <f aca="false">ROUND((IF(C1996="",AsOfDate,C1996)-B1996)/365.25,2)</f>
        <v>0.19</v>
      </c>
      <c r="Q1996" s="13" t="str">
        <f aca="false">IF(D1996="","Unknown",IF(D1996&lt;25,"Under 25",IF(D1996&lt;35,"25-34",IF(D1996&lt;45,"35-44",IF(D1996&lt;55,"45-54","55+")))))</f>
        <v>25-34</v>
      </c>
      <c r="R1996" s="13" t="str">
        <f aca="false">IF(P1996&lt;1,"0-1 yrs",IF(P1996&lt;3,"1-3 yrs",IF(P1996&lt;5,"3-5 yrs",IF(P1996&lt;10,"5-10 yrs","10+ yrs"))))</f>
        <v>0-1 yrs</v>
      </c>
      <c r="S1996" s="13" t="str">
        <f aca="false">IF(I1996&gt;=4,"High",IF(I1996=3,"Medium","Low"))</f>
        <v>High</v>
      </c>
      <c r="T1996" s="13" t="str">
        <f aca="false">IF(M1996=1,YEAR(C1996),"")</f>
        <v/>
      </c>
      <c r="U1996" s="13" t="str">
        <f aca="false">IF(M1996=1,YEAR(C1996)&amp;"-Q"&amp;ROUNDUP(MONTH(C1996)/3,0),"")</f>
        <v/>
      </c>
      <c r="V1996" s="13" t="str">
        <f aca="false">IF(M1996=1,MONTH(C1996),"")</f>
        <v/>
      </c>
    </row>
    <row r="1997" customFormat="false" ht="15" hidden="false" customHeight="false" outlineLevel="0" collapsed="false">
      <c r="A1997" s="13" t="str">
        <f aca="false">TRIM(Raw_Data!A1997)</f>
        <v>EMP1996</v>
      </c>
      <c r="B1997" s="14" t="n">
        <f aca="false">Raw_Data!B1997</f>
        <v>45953</v>
      </c>
      <c r="C1997" s="14" t="str">
        <f aca="false">IF(Raw_Data!C1997="","",Raw_Data!C1997)</f>
        <v/>
      </c>
      <c r="D1997" s="13" t="n">
        <f aca="false">IF(Raw_Data!D1997="","",Raw_Data!D1997)</f>
        <v>32</v>
      </c>
      <c r="E1997" s="13" t="str">
        <f aca="false">IF(UPPER(LEFT(TRIM(Raw_Data!E1997),1))="M","Male",IF(UPPER(LEFT(TRIM(Raw_Data!E1997),1))="F","Female","Unknown"))</f>
        <v>Female</v>
      </c>
      <c r="F1997" s="13" t="str">
        <f aca="false">PROPER(TRIM(SUBSTITUTE(Raw_Data!F1997,"'","")))</f>
        <v>Bachelors</v>
      </c>
      <c r="G1997" s="13" t="str">
        <f aca="false">PROPER(TRIM(Raw_Data!G1997))</f>
        <v>Engineering</v>
      </c>
      <c r="H1997" s="13" t="str">
        <f aca="false">PROPER(TRIM(Raw_Data!H1997))</f>
        <v>Specialist</v>
      </c>
      <c r="I1997" s="13" t="n">
        <f aca="false">IF(Raw_Data!I1997="",DefaultPerf,Raw_Data!I1997)</f>
        <v>4</v>
      </c>
      <c r="J1997" s="13" t="n">
        <f aca="false">IF(Raw_Data!J1997="",DefaultSat,Raw_Data!J1997)</f>
        <v>2</v>
      </c>
      <c r="K1997" s="15" t="n">
        <f aca="false">Raw_Data!K1997</f>
        <v>104000</v>
      </c>
      <c r="L1997" s="13" t="str">
        <f aca="false">PROPER(TRIM(Raw_Data!N1997))</f>
        <v>No</v>
      </c>
      <c r="M1997" s="13" t="n">
        <f aca="false">IF(C1997="",0,1)</f>
        <v>0</v>
      </c>
      <c r="N1997" s="13" t="str">
        <f aca="false">IF(M1997=0,"Active",IF(TRIM(Raw_Data!L1997)="","Unknown",PROPER(TRIM(Raw_Data!L1997))))</f>
        <v>Active</v>
      </c>
      <c r="O1997" s="13" t="str">
        <f aca="false">IF(M1997=0,"",IF(TRIM(Raw_Data!M1997)="","Not Recorded",TRIM(Raw_Data!M1997)))</f>
        <v/>
      </c>
      <c r="P1997" s="16" t="n">
        <f aca="false">ROUND((IF(C1997="",AsOfDate,C1997)-B1997)/365.25,2)</f>
        <v>0.19</v>
      </c>
      <c r="Q1997" s="13" t="str">
        <f aca="false">IF(D1997="","Unknown",IF(D1997&lt;25,"Under 25",IF(D1997&lt;35,"25-34",IF(D1997&lt;45,"35-44",IF(D1997&lt;55,"45-54","55+")))))</f>
        <v>25-34</v>
      </c>
      <c r="R1997" s="13" t="str">
        <f aca="false">IF(P1997&lt;1,"0-1 yrs",IF(P1997&lt;3,"1-3 yrs",IF(P1997&lt;5,"3-5 yrs",IF(P1997&lt;10,"5-10 yrs","10+ yrs"))))</f>
        <v>0-1 yrs</v>
      </c>
      <c r="S1997" s="13" t="str">
        <f aca="false">IF(I1997&gt;=4,"High",IF(I1997=3,"Medium","Low"))</f>
        <v>High</v>
      </c>
      <c r="T1997" s="13" t="str">
        <f aca="false">IF(M1997=1,YEAR(C1997),"")</f>
        <v/>
      </c>
      <c r="U1997" s="13" t="str">
        <f aca="false">IF(M1997=1,YEAR(C1997)&amp;"-Q"&amp;ROUNDUP(MONTH(C1997)/3,0),"")</f>
        <v/>
      </c>
      <c r="V1997" s="13" t="str">
        <f aca="false">IF(M1997=1,MONTH(C1997),"")</f>
        <v/>
      </c>
    </row>
    <row r="1998" customFormat="false" ht="15" hidden="false" customHeight="false" outlineLevel="0" collapsed="false">
      <c r="A1998" s="13" t="str">
        <f aca="false">TRIM(Raw_Data!A1998)</f>
        <v>EMP1997</v>
      </c>
      <c r="B1998" s="14" t="n">
        <f aca="false">Raw_Data!B1998</f>
        <v>45956</v>
      </c>
      <c r="C1998" s="14" t="str">
        <f aca="false">IF(Raw_Data!C1998="","",Raw_Data!C1998)</f>
        <v/>
      </c>
      <c r="D1998" s="13" t="n">
        <f aca="false">IF(Raw_Data!D1998="","",Raw_Data!D1998)</f>
        <v>32</v>
      </c>
      <c r="E1998" s="13" t="str">
        <f aca="false">IF(UPPER(LEFT(TRIM(Raw_Data!E1998),1))="M","Male",IF(UPPER(LEFT(TRIM(Raw_Data!E1998),1))="F","Female","Unknown"))</f>
        <v>Male</v>
      </c>
      <c r="F1998" s="13" t="str">
        <f aca="false">PROPER(TRIM(SUBSTITUTE(Raw_Data!F1998,"'","")))</f>
        <v>Doctorate</v>
      </c>
      <c r="G1998" s="13" t="str">
        <f aca="false">PROPER(TRIM(Raw_Data!G1998))</f>
        <v>Engineering</v>
      </c>
      <c r="H1998" s="13" t="str">
        <f aca="false">PROPER(TRIM(Raw_Data!H1998))</f>
        <v>Specialist</v>
      </c>
      <c r="I1998" s="17" t="n">
        <f aca="false">IF(Raw_Data!I1998="",DefaultPerf,Raw_Data!I1998)</f>
        <v>3</v>
      </c>
      <c r="J1998" s="13" t="n">
        <f aca="false">IF(Raw_Data!J1998="",DefaultSat,Raw_Data!J1998)</f>
        <v>2</v>
      </c>
      <c r="K1998" s="15" t="n">
        <f aca="false">Raw_Data!K1998</f>
        <v>105500</v>
      </c>
      <c r="L1998" s="13" t="str">
        <f aca="false">PROPER(TRIM(Raw_Data!N1998))</f>
        <v>Yes</v>
      </c>
      <c r="M1998" s="13" t="n">
        <f aca="false">IF(C1998="",0,1)</f>
        <v>0</v>
      </c>
      <c r="N1998" s="13" t="str">
        <f aca="false">IF(M1998=0,"Active",IF(TRIM(Raw_Data!L1998)="","Unknown",PROPER(TRIM(Raw_Data!L1998))))</f>
        <v>Active</v>
      </c>
      <c r="O1998" s="13" t="str">
        <f aca="false">IF(M1998=0,"",IF(TRIM(Raw_Data!M1998)="","Not Recorded",TRIM(Raw_Data!M1998)))</f>
        <v/>
      </c>
      <c r="P1998" s="16" t="n">
        <f aca="false">ROUND((IF(C1998="",AsOfDate,C1998)-B1998)/365.25,2)</f>
        <v>0.18</v>
      </c>
      <c r="Q1998" s="13" t="str">
        <f aca="false">IF(D1998="","Unknown",IF(D1998&lt;25,"Under 25",IF(D1998&lt;35,"25-34",IF(D1998&lt;45,"35-44",IF(D1998&lt;55,"45-54","55+")))))</f>
        <v>25-34</v>
      </c>
      <c r="R1998" s="13" t="str">
        <f aca="false">IF(P1998&lt;1,"0-1 yrs",IF(P1998&lt;3,"1-3 yrs",IF(P1998&lt;5,"3-5 yrs",IF(P1998&lt;10,"5-10 yrs","10+ yrs"))))</f>
        <v>0-1 yrs</v>
      </c>
      <c r="S1998" s="13" t="str">
        <f aca="false">IF(I1998&gt;=4,"High",IF(I1998=3,"Medium","Low"))</f>
        <v>Medium</v>
      </c>
      <c r="T1998" s="13" t="str">
        <f aca="false">IF(M1998=1,YEAR(C1998),"")</f>
        <v/>
      </c>
      <c r="U1998" s="13" t="str">
        <f aca="false">IF(M1998=1,YEAR(C1998)&amp;"-Q"&amp;ROUNDUP(MONTH(C1998)/3,0),"")</f>
        <v/>
      </c>
      <c r="V1998" s="13" t="str">
        <f aca="false">IF(M1998=1,MONTH(C1998),"")</f>
        <v/>
      </c>
    </row>
    <row r="1999" customFormat="false" ht="15" hidden="false" customHeight="false" outlineLevel="0" collapsed="false">
      <c r="A1999" s="13" t="str">
        <f aca="false">TRIM(Raw_Data!A1999)</f>
        <v>EMP1998</v>
      </c>
      <c r="B1999" s="14" t="n">
        <f aca="false">Raw_Data!B1999</f>
        <v>45956</v>
      </c>
      <c r="C1999" s="14" t="str">
        <f aca="false">IF(Raw_Data!C1999="","",Raw_Data!C1999)</f>
        <v/>
      </c>
      <c r="D1999" s="13" t="n">
        <f aca="false">IF(Raw_Data!D1999="","",Raw_Data!D1999)</f>
        <v>27</v>
      </c>
      <c r="E1999" s="13" t="str">
        <f aca="false">IF(UPPER(LEFT(TRIM(Raw_Data!E1999),1))="M","Male",IF(UPPER(LEFT(TRIM(Raw_Data!E1999),1))="F","Female","Unknown"))</f>
        <v>Male</v>
      </c>
      <c r="F1999" s="13" t="str">
        <f aca="false">PROPER(TRIM(SUBSTITUTE(Raw_Data!F1999,"'","")))</f>
        <v>Bachelors</v>
      </c>
      <c r="G1999" s="13" t="str">
        <f aca="false">PROPER(TRIM(Raw_Data!G1999))</f>
        <v>Engineering</v>
      </c>
      <c r="H1999" s="13" t="str">
        <f aca="false">PROPER(TRIM(Raw_Data!H1999))</f>
        <v>Senior Analyst</v>
      </c>
      <c r="I1999" s="13" t="n">
        <f aca="false">IF(Raw_Data!I1999="",DefaultPerf,Raw_Data!I1999)</f>
        <v>4</v>
      </c>
      <c r="J1999" s="13" t="n">
        <f aca="false">IF(Raw_Data!J1999="",DefaultSat,Raw_Data!J1999)</f>
        <v>4</v>
      </c>
      <c r="K1999" s="15" t="n">
        <f aca="false">Raw_Data!K1999</f>
        <v>79000</v>
      </c>
      <c r="L1999" s="13" t="str">
        <f aca="false">PROPER(TRIM(Raw_Data!N1999))</f>
        <v>No</v>
      </c>
      <c r="M1999" s="13" t="n">
        <f aca="false">IF(C1999="",0,1)</f>
        <v>0</v>
      </c>
      <c r="N1999" s="13" t="str">
        <f aca="false">IF(M1999=0,"Active",IF(TRIM(Raw_Data!L1999)="","Unknown",PROPER(TRIM(Raw_Data!L1999))))</f>
        <v>Active</v>
      </c>
      <c r="O1999" s="13" t="str">
        <f aca="false">IF(M1999=0,"",IF(TRIM(Raw_Data!M1999)="","Not Recorded",TRIM(Raw_Data!M1999)))</f>
        <v/>
      </c>
      <c r="P1999" s="16" t="n">
        <f aca="false">ROUND((IF(C1999="",AsOfDate,C1999)-B1999)/365.25,2)</f>
        <v>0.18</v>
      </c>
      <c r="Q1999" s="13" t="str">
        <f aca="false">IF(D1999="","Unknown",IF(D1999&lt;25,"Under 25",IF(D1999&lt;35,"25-34",IF(D1999&lt;45,"35-44",IF(D1999&lt;55,"45-54","55+")))))</f>
        <v>25-34</v>
      </c>
      <c r="R1999" s="13" t="str">
        <f aca="false">IF(P1999&lt;1,"0-1 yrs",IF(P1999&lt;3,"1-3 yrs",IF(P1999&lt;5,"3-5 yrs",IF(P1999&lt;10,"5-10 yrs","10+ yrs"))))</f>
        <v>0-1 yrs</v>
      </c>
      <c r="S1999" s="13" t="str">
        <f aca="false">IF(I1999&gt;=4,"High",IF(I1999=3,"Medium","Low"))</f>
        <v>High</v>
      </c>
      <c r="T1999" s="13" t="str">
        <f aca="false">IF(M1999=1,YEAR(C1999),"")</f>
        <v/>
      </c>
      <c r="U1999" s="13" t="str">
        <f aca="false">IF(M1999=1,YEAR(C1999)&amp;"-Q"&amp;ROUNDUP(MONTH(C1999)/3,0),"")</f>
        <v/>
      </c>
      <c r="V1999" s="13" t="str">
        <f aca="false">IF(M1999=1,MONTH(C1999),"")</f>
        <v/>
      </c>
    </row>
    <row r="2000" customFormat="false" ht="15" hidden="false" customHeight="false" outlineLevel="0" collapsed="false">
      <c r="A2000" s="13" t="str">
        <f aca="false">TRIM(Raw_Data!A2000)</f>
        <v>EMP1999</v>
      </c>
      <c r="B2000" s="14" t="n">
        <f aca="false">Raw_Data!B2000</f>
        <v>45958</v>
      </c>
      <c r="C2000" s="14" t="n">
        <f aca="false">IF(Raw_Data!C2000="","",Raw_Data!C2000)</f>
        <v>46015</v>
      </c>
      <c r="D2000" s="13" t="n">
        <f aca="false">IF(Raw_Data!D2000="","",Raw_Data!D2000)</f>
        <v>29</v>
      </c>
      <c r="E2000" s="13" t="str">
        <f aca="false">IF(UPPER(LEFT(TRIM(Raw_Data!E2000),1))="M","Male",IF(UPPER(LEFT(TRIM(Raw_Data!E2000),1))="F","Female","Unknown"))</f>
        <v>Male</v>
      </c>
      <c r="F2000" s="13" t="str">
        <f aca="false">PROPER(TRIM(SUBSTITUTE(Raw_Data!F2000,"'","")))</f>
        <v>Bachelors</v>
      </c>
      <c r="G2000" s="13" t="str">
        <f aca="false">PROPER(TRIM(Raw_Data!G2000))</f>
        <v>Operations</v>
      </c>
      <c r="H2000" s="13" t="str">
        <f aca="false">PROPER(TRIM(Raw_Data!H2000))</f>
        <v>Specialist</v>
      </c>
      <c r="I2000" s="13" t="n">
        <f aca="false">IF(Raw_Data!I2000="",DefaultPerf,Raw_Data!I2000)</f>
        <v>3</v>
      </c>
      <c r="J2000" s="13" t="n">
        <f aca="false">IF(Raw_Data!J2000="",DefaultSat,Raw_Data!J2000)</f>
        <v>2</v>
      </c>
      <c r="K2000" s="15" t="n">
        <f aca="false">Raw_Data!K2000</f>
        <v>100500</v>
      </c>
      <c r="L2000" s="13" t="str">
        <f aca="false">PROPER(TRIM(Raw_Data!N2000))</f>
        <v>No</v>
      </c>
      <c r="M2000" s="13" t="n">
        <f aca="false">IF(C2000="",0,1)</f>
        <v>1</v>
      </c>
      <c r="N2000" s="13" t="str">
        <f aca="false">IF(M2000=0,"Active",IF(TRIM(Raw_Data!L2000)="","Unknown",PROPER(TRIM(Raw_Data!L2000))))</f>
        <v>Voluntary</v>
      </c>
      <c r="O2000" s="13" t="str">
        <f aca="false">IF(M2000=0,"",IF(TRIM(Raw_Data!M2000)="","Not Recorded",TRIM(Raw_Data!M2000)))</f>
        <v>Manager Issues</v>
      </c>
      <c r="P2000" s="16" t="n">
        <f aca="false">ROUND((IF(C2000="",AsOfDate,C2000)-B2000)/365.25,2)</f>
        <v>0.16</v>
      </c>
      <c r="Q2000" s="13" t="str">
        <f aca="false">IF(D2000="","Unknown",IF(D2000&lt;25,"Under 25",IF(D2000&lt;35,"25-34",IF(D2000&lt;45,"35-44",IF(D2000&lt;55,"45-54","55+")))))</f>
        <v>25-34</v>
      </c>
      <c r="R2000" s="13" t="str">
        <f aca="false">IF(P2000&lt;1,"0-1 yrs",IF(P2000&lt;3,"1-3 yrs",IF(P2000&lt;5,"3-5 yrs",IF(P2000&lt;10,"5-10 yrs","10+ yrs"))))</f>
        <v>0-1 yrs</v>
      </c>
      <c r="S2000" s="13" t="str">
        <f aca="false">IF(I2000&gt;=4,"High",IF(I2000=3,"Medium","Low"))</f>
        <v>Medium</v>
      </c>
      <c r="T2000" s="13" t="n">
        <f aca="false">IF(M2000=1,YEAR(C2000),"")</f>
        <v>2025</v>
      </c>
      <c r="U2000" s="13" t="str">
        <f aca="false">IF(M2000=1,YEAR(C2000)&amp;"-Q"&amp;ROUNDUP(MONTH(C2000)/3,0),"")</f>
        <v>2025-Q4</v>
      </c>
      <c r="V2000" s="13" t="n">
        <f aca="false">IF(M2000=1,MONTH(C2000),"")</f>
        <v>12</v>
      </c>
    </row>
    <row r="2001" customFormat="false" ht="15" hidden="false" customHeight="false" outlineLevel="0" collapsed="false">
      <c r="A2001" s="13" t="str">
        <f aca="false">TRIM(Raw_Data!A2001)</f>
        <v>EMP2000</v>
      </c>
      <c r="B2001" s="14" t="n">
        <f aca="false">Raw_Data!B2001</f>
        <v>45961</v>
      </c>
      <c r="C2001" s="14" t="str">
        <f aca="false">IF(Raw_Data!C2001="","",Raw_Data!C2001)</f>
        <v/>
      </c>
      <c r="D2001" s="13" t="n">
        <f aca="false">IF(Raw_Data!D2001="","",Raw_Data!D2001)</f>
        <v>23</v>
      </c>
      <c r="E2001" s="13" t="str">
        <f aca="false">IF(UPPER(LEFT(TRIM(Raw_Data!E2001),1))="M","Male",IF(UPPER(LEFT(TRIM(Raw_Data!E2001),1))="F","Female","Unknown"))</f>
        <v>Male</v>
      </c>
      <c r="F2001" s="13" t="str">
        <f aca="false">PROPER(TRIM(SUBSTITUTE(Raw_Data!F2001,"'","")))</f>
        <v>Masters</v>
      </c>
      <c r="G2001" s="13" t="str">
        <f aca="false">PROPER(TRIM(Raw_Data!G2001))</f>
        <v>Sales</v>
      </c>
      <c r="H2001" s="13" t="str">
        <f aca="false">PROPER(TRIM(Raw_Data!H2001))</f>
        <v>Associate</v>
      </c>
      <c r="I2001" s="13" t="n">
        <f aca="false">IF(Raw_Data!I2001="",DefaultPerf,Raw_Data!I2001)</f>
        <v>4</v>
      </c>
      <c r="J2001" s="13" t="n">
        <f aca="false">IF(Raw_Data!J2001="",DefaultSat,Raw_Data!J2001)</f>
        <v>3</v>
      </c>
      <c r="K2001" s="15" t="n">
        <f aca="false">Raw_Data!K2001</f>
        <v>30000</v>
      </c>
      <c r="L2001" s="13" t="str">
        <f aca="false">PROPER(TRIM(Raw_Data!N2001))</f>
        <v>No</v>
      </c>
      <c r="M2001" s="13" t="n">
        <f aca="false">IF(C2001="",0,1)</f>
        <v>0</v>
      </c>
      <c r="N2001" s="13" t="str">
        <f aca="false">IF(M2001=0,"Active",IF(TRIM(Raw_Data!L2001)="","Unknown",PROPER(TRIM(Raw_Data!L2001))))</f>
        <v>Active</v>
      </c>
      <c r="O2001" s="13" t="str">
        <f aca="false">IF(M2001=0,"",IF(TRIM(Raw_Data!M2001)="","Not Recorded",TRIM(Raw_Data!M2001)))</f>
        <v/>
      </c>
      <c r="P2001" s="16" t="n">
        <f aca="false">ROUND((IF(C2001="",AsOfDate,C2001)-B2001)/365.25,2)</f>
        <v>0.17</v>
      </c>
      <c r="Q2001" s="13" t="str">
        <f aca="false">IF(D2001="","Unknown",IF(D2001&lt;25,"Under 25",IF(D2001&lt;35,"25-34",IF(D2001&lt;45,"35-44",IF(D2001&lt;55,"45-54","55+")))))</f>
        <v>Under 25</v>
      </c>
      <c r="R2001" s="13" t="str">
        <f aca="false">IF(P2001&lt;1,"0-1 yrs",IF(P2001&lt;3,"1-3 yrs",IF(P2001&lt;5,"3-5 yrs",IF(P2001&lt;10,"5-10 yrs","10+ yrs"))))</f>
        <v>0-1 yrs</v>
      </c>
      <c r="S2001" s="13" t="str">
        <f aca="false">IF(I2001&gt;=4,"High",IF(I2001=3,"Medium","Low"))</f>
        <v>High</v>
      </c>
      <c r="T2001" s="13" t="str">
        <f aca="false">IF(M2001=1,YEAR(C2001),"")</f>
        <v/>
      </c>
      <c r="U2001" s="13" t="str">
        <f aca="false">IF(M2001=1,YEAR(C2001)&amp;"-Q"&amp;ROUNDUP(MONTH(C2001)/3,0),"")</f>
        <v/>
      </c>
      <c r="V2001" s="13" t="str">
        <f aca="false">IF(M2001=1,MONTH(C2001),"")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K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12" min="3" style="0" width="13"/>
  </cols>
  <sheetData>
    <row r="1" customFormat="false" ht="19.7" hidden="false" customHeight="false" outlineLevel="0" collapsed="false">
      <c r="A1" s="1" t="s">
        <v>2233</v>
      </c>
    </row>
    <row r="3" customFormat="false" ht="15" hidden="false" customHeight="false" outlineLevel="0" collapsed="false">
      <c r="A3" s="4" t="s">
        <v>2234</v>
      </c>
    </row>
    <row r="4" customFormat="false" ht="15" hidden="false" customHeight="false" outlineLevel="0" collapsed="false">
      <c r="A4" s="5" t="s">
        <v>2235</v>
      </c>
      <c r="B4" s="5" t="s">
        <v>5</v>
      </c>
    </row>
    <row r="5" customFormat="false" ht="15" hidden="false" customHeight="false" outlineLevel="0" collapsed="false">
      <c r="A5" s="6" t="s">
        <v>2236</v>
      </c>
      <c r="B5" s="12" t="n">
        <f aca="false">COUNTA(EmpID)</f>
        <v>2000</v>
      </c>
    </row>
    <row r="6" customFormat="false" ht="15" hidden="false" customHeight="false" outlineLevel="0" collapsed="false">
      <c r="A6" s="6" t="s">
        <v>2237</v>
      </c>
      <c r="B6" s="12" t="n">
        <f aca="false">COUNTIFS(AttrFlag,0)</f>
        <v>1265</v>
      </c>
    </row>
    <row r="7" customFormat="false" ht="15" hidden="false" customHeight="false" outlineLevel="0" collapsed="false">
      <c r="A7" s="6" t="s">
        <v>2238</v>
      </c>
      <c r="B7" s="12" t="n">
        <f aca="false">COUNTIFS(AttrFlag,1)</f>
        <v>735</v>
      </c>
    </row>
    <row r="8" customFormat="false" ht="15" hidden="false" customHeight="false" outlineLevel="0" collapsed="false">
      <c r="A8" s="6" t="s">
        <v>2239</v>
      </c>
      <c r="B8" s="18" t="n">
        <f aca="false">IFERROR(B7/B5,0)</f>
        <v>0.3675</v>
      </c>
    </row>
    <row r="9" customFormat="false" ht="15" hidden="false" customHeight="false" outlineLevel="0" collapsed="false">
      <c r="A9" s="6" t="s">
        <v>2240</v>
      </c>
      <c r="B9" s="12" t="n">
        <f aca="false">COUNTIFS(AttrType,"Voluntary")</f>
        <v>557</v>
      </c>
    </row>
    <row r="10" customFormat="false" ht="15" hidden="false" customHeight="false" outlineLevel="0" collapsed="false">
      <c r="A10" s="6" t="s">
        <v>2241</v>
      </c>
      <c r="B10" s="12" t="n">
        <f aca="false">COUNTIFS(AttrType,"Involuntary")</f>
        <v>161</v>
      </c>
    </row>
    <row r="11" customFormat="false" ht="15" hidden="false" customHeight="false" outlineLevel="0" collapsed="false">
      <c r="A11" s="6" t="s">
        <v>2242</v>
      </c>
      <c r="B11" s="18" t="n">
        <f aca="false">IFERROR(B9/B7,0)</f>
        <v>0.757823129251701</v>
      </c>
    </row>
    <row r="12" customFormat="false" ht="15" hidden="false" customHeight="false" outlineLevel="0" collapsed="false">
      <c r="A12" s="6" t="s">
        <v>2243</v>
      </c>
      <c r="B12" s="18" t="n">
        <f aca="false">AVERAGE(G150:G153)</f>
        <v>0.146176174872141</v>
      </c>
    </row>
    <row r="13" customFormat="false" ht="15" hidden="false" customHeight="false" outlineLevel="0" collapsed="false">
      <c r="A13" s="6" t="s">
        <v>2244</v>
      </c>
      <c r="B13" s="19" t="n">
        <f aca="false">AVERAGEIFS(TenureYrs,AttrFlag,1)</f>
        <v>3.9238231292517</v>
      </c>
    </row>
    <row r="14" customFormat="false" ht="15" hidden="false" customHeight="false" outlineLevel="0" collapsed="false">
      <c r="A14" s="6" t="s">
        <v>2245</v>
      </c>
      <c r="B14" s="19" t="n">
        <f aca="false">AVERAGEIFS(TenureYrs,AttrFlag,0)</f>
        <v>6.18395256916996</v>
      </c>
    </row>
    <row r="15" customFormat="false" ht="15" hidden="false" customHeight="false" outlineLevel="0" collapsed="false">
      <c r="A15" s="6" t="s">
        <v>2246</v>
      </c>
      <c r="B15" s="12" t="n">
        <f aca="false">AVERAGEIFS(Income,AttrFlag,1)</f>
        <v>81664.6258503401</v>
      </c>
    </row>
    <row r="16" customFormat="false" ht="15" hidden="false" customHeight="false" outlineLevel="0" collapsed="false">
      <c r="A16" s="6" t="s">
        <v>2247</v>
      </c>
      <c r="B16" s="12" t="n">
        <f aca="false">AVERAGEIFS(Income,AttrFlag,0)</f>
        <v>92596.04743083</v>
      </c>
    </row>
    <row r="17" customFormat="false" ht="15" hidden="false" customHeight="false" outlineLevel="0" collapsed="false">
      <c r="A17" s="6" t="s">
        <v>2248</v>
      </c>
      <c r="B17" s="12" t="n">
        <f aca="false">SUMIFS(Income,AttrFlag,1)*12*ReplCostPct</f>
        <v>360141000</v>
      </c>
      <c r="C17" s="20" t="s">
        <v>2249</v>
      </c>
    </row>
    <row r="18" customFormat="false" ht="15" hidden="false" customHeight="false" outlineLevel="0" collapsed="false">
      <c r="A18" s="6" t="s">
        <v>2250</v>
      </c>
      <c r="B18" s="12" t="n">
        <f aca="false">B17/ROWS(G150:G153)</f>
        <v>90035250</v>
      </c>
    </row>
    <row r="19" customFormat="false" ht="15" hidden="false" customHeight="false" outlineLevel="0" collapsed="false">
      <c r="A19" s="6" t="s">
        <v>2251</v>
      </c>
      <c r="B19" s="12" t="n">
        <f aca="false">B17*TargetReduction</f>
        <v>36014100</v>
      </c>
      <c r="C19" s="20" t="s">
        <v>2252</v>
      </c>
    </row>
    <row r="22" customFormat="false" ht="15" hidden="false" customHeight="false" outlineLevel="0" collapsed="false">
      <c r="A22" s="4" t="s">
        <v>2253</v>
      </c>
    </row>
    <row r="23" customFormat="false" ht="15" hidden="false" customHeight="false" outlineLevel="0" collapsed="false">
      <c r="A23" s="5" t="s">
        <v>2254</v>
      </c>
      <c r="B23" s="5" t="s">
        <v>2255</v>
      </c>
      <c r="C23" s="5" t="s">
        <v>2256</v>
      </c>
      <c r="D23" s="5" t="s">
        <v>2257</v>
      </c>
      <c r="E23" s="5" t="s">
        <v>151</v>
      </c>
      <c r="F23" s="5" t="s">
        <v>173</v>
      </c>
    </row>
    <row r="24" customFormat="false" ht="15" hidden="false" customHeight="false" outlineLevel="0" collapsed="false">
      <c r="A24" s="21" t="s">
        <v>138</v>
      </c>
      <c r="B24" s="12" t="n">
        <f aca="false">COUNTIFS(Dept,$A24)</f>
        <v>445</v>
      </c>
      <c r="C24" s="12" t="n">
        <f aca="false">COUNTIFS(Dept,$A24,AttrFlag,1)</f>
        <v>181</v>
      </c>
      <c r="D24" s="18" t="n">
        <f aca="false">IFERROR(C24/B24,0)</f>
        <v>0.406741573033708</v>
      </c>
      <c r="E24" s="12" t="n">
        <f aca="false">COUNTIFS(Dept,$A24,AttrType,"Voluntary")</f>
        <v>135</v>
      </c>
      <c r="F24" s="12" t="n">
        <f aca="false">COUNTIFS(Dept,$A24,AttrType,"Involuntary")</f>
        <v>42</v>
      </c>
    </row>
    <row r="25" customFormat="false" ht="15" hidden="false" customHeight="false" outlineLevel="0" collapsed="false">
      <c r="A25" s="21" t="s">
        <v>155</v>
      </c>
      <c r="B25" s="12" t="n">
        <f aca="false">COUNTIFS(Dept,$A25)</f>
        <v>559</v>
      </c>
      <c r="C25" s="12" t="n">
        <f aca="false">COUNTIFS(Dept,$A25,AttrFlag,1)</f>
        <v>206</v>
      </c>
      <c r="D25" s="18" t="n">
        <f aca="false">IFERROR(C25/B25,0)</f>
        <v>0.368515205724508</v>
      </c>
      <c r="E25" s="12" t="n">
        <f aca="false">COUNTIFS(Dept,$A25,AttrType,"Voluntary")</f>
        <v>153</v>
      </c>
      <c r="F25" s="12" t="n">
        <f aca="false">COUNTIFS(Dept,$A25,AttrType,"Involuntary")</f>
        <v>46</v>
      </c>
    </row>
    <row r="26" customFormat="false" ht="15" hidden="false" customHeight="false" outlineLevel="0" collapsed="false">
      <c r="A26" s="21" t="s">
        <v>148</v>
      </c>
      <c r="B26" s="12" t="n">
        <f aca="false">COUNTIFS(Dept,$A26)</f>
        <v>359</v>
      </c>
      <c r="C26" s="12" t="n">
        <f aca="false">COUNTIFS(Dept,$A26,AttrFlag,1)</f>
        <v>155</v>
      </c>
      <c r="D26" s="18" t="n">
        <f aca="false">IFERROR(C26/B26,0)</f>
        <v>0.431754874651811</v>
      </c>
      <c r="E26" s="12" t="n">
        <f aca="false">COUNTIFS(Dept,$A26,AttrType,"Voluntary")</f>
        <v>119</v>
      </c>
      <c r="F26" s="12" t="n">
        <f aca="false">COUNTIFS(Dept,$A26,AttrType,"Involuntary")</f>
        <v>33</v>
      </c>
    </row>
    <row r="27" customFormat="false" ht="15" hidden="false" customHeight="false" outlineLevel="0" collapsed="false">
      <c r="A27" s="21" t="s">
        <v>191</v>
      </c>
      <c r="B27" s="12" t="n">
        <f aca="false">COUNTIFS(Dept,$A27)</f>
        <v>165</v>
      </c>
      <c r="C27" s="12" t="n">
        <f aca="false">COUNTIFS(Dept,$A27,AttrFlag,1)</f>
        <v>37</v>
      </c>
      <c r="D27" s="18" t="n">
        <f aca="false">IFERROR(C27/B27,0)</f>
        <v>0.224242424242424</v>
      </c>
      <c r="E27" s="12" t="n">
        <f aca="false">COUNTIFS(Dept,$A27,AttrType,"Voluntary")</f>
        <v>25</v>
      </c>
      <c r="F27" s="12" t="n">
        <f aca="false">COUNTIFS(Dept,$A27,AttrType,"Involuntary")</f>
        <v>11</v>
      </c>
    </row>
    <row r="28" customFormat="false" ht="15" hidden="false" customHeight="false" outlineLevel="0" collapsed="false">
      <c r="A28" s="21" t="s">
        <v>213</v>
      </c>
      <c r="B28" s="12" t="n">
        <f aca="false">COUNTIFS(Dept,$A28)</f>
        <v>87</v>
      </c>
      <c r="C28" s="12" t="n">
        <f aca="false">COUNTIFS(Dept,$A28,AttrFlag,1)</f>
        <v>26</v>
      </c>
      <c r="D28" s="18" t="n">
        <f aca="false">IFERROR(C28/B28,0)</f>
        <v>0.298850574712644</v>
      </c>
      <c r="E28" s="12" t="n">
        <f aca="false">COUNTIFS(Dept,$A28,AttrType,"Voluntary")</f>
        <v>21</v>
      </c>
      <c r="F28" s="12" t="n">
        <f aca="false">COUNTIFS(Dept,$A28,AttrType,"Involuntary")</f>
        <v>4</v>
      </c>
    </row>
    <row r="29" customFormat="false" ht="15" hidden="false" customHeight="false" outlineLevel="0" collapsed="false">
      <c r="A29" s="21" t="s">
        <v>132</v>
      </c>
      <c r="B29" s="12" t="n">
        <f aca="false">COUNTIFS(Dept,$A29)</f>
        <v>385</v>
      </c>
      <c r="C29" s="12" t="n">
        <f aca="false">COUNTIFS(Dept,$A29,AttrFlag,1)</f>
        <v>130</v>
      </c>
      <c r="D29" s="18" t="n">
        <f aca="false">IFERROR(C29/B29,0)</f>
        <v>0.337662337662338</v>
      </c>
      <c r="E29" s="12" t="n">
        <f aca="false">COUNTIFS(Dept,$A29,AttrType,"Voluntary")</f>
        <v>104</v>
      </c>
      <c r="F29" s="12" t="n">
        <f aca="false">COUNTIFS(Dept,$A29,AttrType,"Involuntary")</f>
        <v>25</v>
      </c>
    </row>
    <row r="30" customFormat="false" ht="15" hidden="false" customHeight="false" outlineLevel="0" collapsed="false">
      <c r="A30" s="22" t="s">
        <v>2258</v>
      </c>
      <c r="B30" s="23" t="n">
        <f aca="false">SUM(B24:B29)</f>
        <v>2000</v>
      </c>
      <c r="C30" s="23" t="n">
        <f aca="false">SUM(C24:C29)</f>
        <v>735</v>
      </c>
      <c r="D30" s="24" t="n">
        <f aca="false">IFERROR(C30/B30,0)</f>
        <v>0.3675</v>
      </c>
      <c r="E30" s="23" t="n">
        <f aca="false">SUM(E24:E29)</f>
        <v>557</v>
      </c>
      <c r="F30" s="23" t="n">
        <f aca="false">SUM(F24:F29)</f>
        <v>161</v>
      </c>
      <c r="G30" s="25" t="str">
        <f aca="false">IF(B30=TotalEmp,"OK - reconciles","CHECK")</f>
        <v>OK - reconciles</v>
      </c>
    </row>
    <row r="33" customFormat="false" ht="15" hidden="false" customHeight="false" outlineLevel="0" collapsed="false">
      <c r="A33" s="4" t="s">
        <v>2259</v>
      </c>
    </row>
    <row r="34" customFormat="false" ht="15" hidden="false" customHeight="false" outlineLevel="0" collapsed="false">
      <c r="A34" s="5" t="s">
        <v>2254</v>
      </c>
      <c r="B34" s="5" t="s">
        <v>2255</v>
      </c>
      <c r="C34" s="5" t="s">
        <v>2256</v>
      </c>
      <c r="D34" s="5" t="s">
        <v>2257</v>
      </c>
      <c r="E34" s="5" t="s">
        <v>151</v>
      </c>
      <c r="F34" s="5" t="s">
        <v>173</v>
      </c>
    </row>
    <row r="35" customFormat="false" ht="15" hidden="false" customHeight="false" outlineLevel="0" collapsed="false">
      <c r="A35" s="21" t="s">
        <v>139</v>
      </c>
      <c r="B35" s="12" t="n">
        <f aca="false">COUNTIFS(JobRole,$A35)</f>
        <v>572</v>
      </c>
      <c r="C35" s="12" t="n">
        <f aca="false">COUNTIFS(JobRole,$A35,AttrFlag,1)</f>
        <v>245</v>
      </c>
      <c r="D35" s="18" t="n">
        <f aca="false">IFERROR(C35/B35,0)</f>
        <v>0.428321678321678</v>
      </c>
      <c r="E35" s="12" t="n">
        <f aca="false">COUNTIFS(JobRole,$A35,AttrType,"Voluntary")</f>
        <v>184</v>
      </c>
      <c r="F35" s="12" t="n">
        <f aca="false">COUNTIFS(JobRole,$A35,AttrType,"Involuntary")</f>
        <v>53</v>
      </c>
    </row>
    <row r="36" customFormat="false" ht="15" hidden="false" customHeight="false" outlineLevel="0" collapsed="false">
      <c r="A36" s="21" t="s">
        <v>146</v>
      </c>
      <c r="B36" s="12" t="n">
        <f aca="false">COUNTIFS(JobRole,$A36)</f>
        <v>495</v>
      </c>
      <c r="C36" s="12" t="n">
        <f aca="false">COUNTIFS(JobRole,$A36,AttrFlag,1)</f>
        <v>176</v>
      </c>
      <c r="D36" s="18" t="n">
        <f aca="false">IFERROR(C36/B36,0)</f>
        <v>0.355555555555556</v>
      </c>
      <c r="E36" s="12" t="n">
        <f aca="false">COUNTIFS(JobRole,$A36,AttrType,"Voluntary")</f>
        <v>132</v>
      </c>
      <c r="F36" s="12" t="n">
        <f aca="false">COUNTIFS(JobRole,$A36,AttrType,"Involuntary")</f>
        <v>42</v>
      </c>
    </row>
    <row r="37" customFormat="false" ht="15" hidden="false" customHeight="false" outlineLevel="0" collapsed="false">
      <c r="A37" s="21" t="s">
        <v>156</v>
      </c>
      <c r="B37" s="12" t="n">
        <f aca="false">COUNTIFS(JobRole,$A37)</f>
        <v>312</v>
      </c>
      <c r="C37" s="12" t="n">
        <f aca="false">COUNTIFS(JobRole,$A37,AttrFlag,1)</f>
        <v>106</v>
      </c>
      <c r="D37" s="18" t="n">
        <f aca="false">IFERROR(C37/B37,0)</f>
        <v>0.33974358974359</v>
      </c>
      <c r="E37" s="12" t="n">
        <f aca="false">COUNTIFS(JobRole,$A37,AttrType,"Voluntary")</f>
        <v>79</v>
      </c>
      <c r="F37" s="12" t="n">
        <f aca="false">COUNTIFS(JobRole,$A37,AttrType,"Involuntary")</f>
        <v>25</v>
      </c>
    </row>
    <row r="38" customFormat="false" ht="15" hidden="false" customHeight="false" outlineLevel="0" collapsed="false">
      <c r="A38" s="21" t="s">
        <v>149</v>
      </c>
      <c r="B38" s="12" t="n">
        <f aca="false">COUNTIFS(JobRole,$A38)</f>
        <v>267</v>
      </c>
      <c r="C38" s="12" t="n">
        <f aca="false">COUNTIFS(JobRole,$A38,AttrFlag,1)</f>
        <v>106</v>
      </c>
      <c r="D38" s="18" t="n">
        <f aca="false">IFERROR(C38/B38,0)</f>
        <v>0.397003745318352</v>
      </c>
      <c r="E38" s="12" t="n">
        <f aca="false">COUNTIFS(JobRole,$A38,AttrType,"Voluntary")</f>
        <v>84</v>
      </c>
      <c r="F38" s="12" t="n">
        <f aca="false">COUNTIFS(JobRole,$A38,AttrType,"Involuntary")</f>
        <v>18</v>
      </c>
    </row>
    <row r="39" customFormat="false" ht="15" hidden="false" customHeight="false" outlineLevel="0" collapsed="false">
      <c r="A39" s="21" t="s">
        <v>178</v>
      </c>
      <c r="B39" s="12" t="n">
        <f aca="false">COUNTIFS(JobRole,$A39)</f>
        <v>205</v>
      </c>
      <c r="C39" s="12" t="n">
        <f aca="false">COUNTIFS(JobRole,$A39,AttrFlag,1)</f>
        <v>67</v>
      </c>
      <c r="D39" s="18" t="n">
        <f aca="false">IFERROR(C39/B39,0)</f>
        <v>0.326829268292683</v>
      </c>
      <c r="E39" s="12" t="n">
        <f aca="false">COUNTIFS(JobRole,$A39,AttrType,"Voluntary")</f>
        <v>55</v>
      </c>
      <c r="F39" s="12" t="n">
        <f aca="false">COUNTIFS(JobRole,$A39,AttrType,"Involuntary")</f>
        <v>12</v>
      </c>
    </row>
    <row r="40" customFormat="false" ht="15" hidden="false" customHeight="false" outlineLevel="0" collapsed="false">
      <c r="A40" s="21" t="s">
        <v>192</v>
      </c>
      <c r="B40" s="12" t="n">
        <f aca="false">COUNTIFS(JobRole,$A40)</f>
        <v>149</v>
      </c>
      <c r="C40" s="12" t="n">
        <f aca="false">COUNTIFS(JobRole,$A40,AttrFlag,1)</f>
        <v>35</v>
      </c>
      <c r="D40" s="18" t="n">
        <f aca="false">IFERROR(C40/B40,0)</f>
        <v>0.23489932885906</v>
      </c>
      <c r="E40" s="12" t="n">
        <f aca="false">COUNTIFS(JobRole,$A40,AttrType,"Voluntary")</f>
        <v>23</v>
      </c>
      <c r="F40" s="12" t="n">
        <f aca="false">COUNTIFS(JobRole,$A40,AttrType,"Involuntary")</f>
        <v>11</v>
      </c>
    </row>
    <row r="41" customFormat="false" ht="15" hidden="false" customHeight="false" outlineLevel="0" collapsed="false">
      <c r="A41" s="22" t="s">
        <v>2258</v>
      </c>
      <c r="B41" s="23" t="n">
        <f aca="false">SUM(B35:B40)</f>
        <v>2000</v>
      </c>
      <c r="C41" s="23" t="n">
        <f aca="false">SUM(C35:C40)</f>
        <v>735</v>
      </c>
      <c r="D41" s="24" t="n">
        <f aca="false">IFERROR(C41/B41,0)</f>
        <v>0.3675</v>
      </c>
      <c r="E41" s="23" t="n">
        <f aca="false">SUM(E35:E40)</f>
        <v>557</v>
      </c>
      <c r="F41" s="23" t="n">
        <f aca="false">SUM(F35:F40)</f>
        <v>161</v>
      </c>
      <c r="G41" s="25" t="str">
        <f aca="false">IF(B41=TotalEmp,"OK - reconciles","CHECK")</f>
        <v>OK - reconciles</v>
      </c>
    </row>
    <row r="44" customFormat="false" ht="15" hidden="false" customHeight="false" outlineLevel="0" collapsed="false">
      <c r="A44" s="4" t="s">
        <v>2260</v>
      </c>
    </row>
    <row r="45" customFormat="false" ht="15" hidden="false" customHeight="false" outlineLevel="0" collapsed="false">
      <c r="A45" s="5" t="s">
        <v>2254</v>
      </c>
      <c r="B45" s="5" t="s">
        <v>2255</v>
      </c>
      <c r="C45" s="5" t="s">
        <v>2256</v>
      </c>
      <c r="D45" s="5" t="s">
        <v>2257</v>
      </c>
      <c r="E45" s="5" t="s">
        <v>151</v>
      </c>
      <c r="F45" s="5" t="s">
        <v>173</v>
      </c>
    </row>
    <row r="46" customFormat="false" ht="15" hidden="false" customHeight="false" outlineLevel="0" collapsed="false">
      <c r="A46" s="21" t="s">
        <v>136</v>
      </c>
      <c r="B46" s="12" t="n">
        <f aca="false">COUNTIFS(Gender,$A46)</f>
        <v>1067</v>
      </c>
      <c r="C46" s="12" t="n">
        <f aca="false">COUNTIFS(Gender,$A46,AttrFlag,1)</f>
        <v>383</v>
      </c>
      <c r="D46" s="18" t="n">
        <f aca="false">IFERROR(C46/B46,0)</f>
        <v>0.358950328022493</v>
      </c>
      <c r="E46" s="12" t="n">
        <f aca="false">COUNTIFS(Gender,$A46,AttrType,"Voluntary")</f>
        <v>292</v>
      </c>
      <c r="F46" s="12" t="n">
        <f aca="false">COUNTIFS(Gender,$A46,AttrType,"Involuntary")</f>
        <v>81</v>
      </c>
    </row>
    <row r="47" customFormat="false" ht="15" hidden="false" customHeight="false" outlineLevel="0" collapsed="false">
      <c r="A47" s="21" t="s">
        <v>144</v>
      </c>
      <c r="B47" s="12" t="n">
        <f aca="false">COUNTIFS(Gender,$A47)</f>
        <v>933</v>
      </c>
      <c r="C47" s="12" t="n">
        <f aca="false">COUNTIFS(Gender,$A47,AttrFlag,1)</f>
        <v>352</v>
      </c>
      <c r="D47" s="18" t="n">
        <f aca="false">IFERROR(C47/B47,0)</f>
        <v>0.377277599142551</v>
      </c>
      <c r="E47" s="12" t="n">
        <f aca="false">COUNTIFS(Gender,$A47,AttrType,"Voluntary")</f>
        <v>265</v>
      </c>
      <c r="F47" s="12" t="n">
        <f aca="false">COUNTIFS(Gender,$A47,AttrType,"Involuntary")</f>
        <v>80</v>
      </c>
    </row>
    <row r="48" customFormat="false" ht="15" hidden="false" customHeight="false" outlineLevel="0" collapsed="false">
      <c r="A48" s="22" t="s">
        <v>2258</v>
      </c>
      <c r="B48" s="23" t="n">
        <f aca="false">SUM(B46:B47)</f>
        <v>2000</v>
      </c>
      <c r="C48" s="23" t="n">
        <f aca="false">SUM(C46:C47)</f>
        <v>735</v>
      </c>
      <c r="D48" s="24" t="n">
        <f aca="false">IFERROR(C48/B48,0)</f>
        <v>0.3675</v>
      </c>
      <c r="E48" s="23" t="n">
        <f aca="false">SUM(E46:E47)</f>
        <v>557</v>
      </c>
      <c r="F48" s="23" t="n">
        <f aca="false">SUM(F46:F47)</f>
        <v>161</v>
      </c>
      <c r="G48" s="25" t="str">
        <f aca="false">IF(B48=TotalEmp,"OK - reconciles","CHECK")</f>
        <v>OK - reconciles</v>
      </c>
    </row>
    <row r="51" customFormat="false" ht="15" hidden="false" customHeight="false" outlineLevel="0" collapsed="false">
      <c r="A51" s="4" t="s">
        <v>2261</v>
      </c>
    </row>
    <row r="52" customFormat="false" ht="15" hidden="false" customHeight="false" outlineLevel="0" collapsed="false">
      <c r="A52" s="5" t="s">
        <v>2254</v>
      </c>
      <c r="B52" s="5" t="s">
        <v>2255</v>
      </c>
      <c r="C52" s="5" t="s">
        <v>2256</v>
      </c>
      <c r="D52" s="5" t="s">
        <v>2257</v>
      </c>
      <c r="E52" s="5" t="s">
        <v>151</v>
      </c>
      <c r="F52" s="5" t="s">
        <v>173</v>
      </c>
    </row>
    <row r="53" customFormat="false" ht="15" hidden="false" customHeight="false" outlineLevel="0" collapsed="false">
      <c r="A53" s="21" t="s">
        <v>145</v>
      </c>
      <c r="B53" s="12" t="n">
        <f aca="false">COUNTIFS(Education,$A53)</f>
        <v>221</v>
      </c>
      <c r="C53" s="12" t="n">
        <f aca="false">COUNTIFS(Education,$A53,AttrFlag,1)</f>
        <v>105</v>
      </c>
      <c r="D53" s="18" t="n">
        <f aca="false">IFERROR(C53/B53,0)</f>
        <v>0.475113122171946</v>
      </c>
      <c r="E53" s="12" t="n">
        <f aca="false">COUNTIFS(Education,$A53,AttrType,"Voluntary")</f>
        <v>82</v>
      </c>
      <c r="F53" s="12" t="n">
        <f aca="false">COUNTIFS(Education,$A53,AttrType,"Involuntary")</f>
        <v>22</v>
      </c>
    </row>
    <row r="54" customFormat="false" ht="15" hidden="false" customHeight="false" outlineLevel="0" collapsed="false">
      <c r="A54" s="21" t="s">
        <v>161</v>
      </c>
      <c r="B54" s="12" t="n">
        <f aca="false">COUNTIFS(Education,$A54)</f>
        <v>259</v>
      </c>
      <c r="C54" s="12" t="n">
        <f aca="false">COUNTIFS(Education,$A54,AttrFlag,1)</f>
        <v>93</v>
      </c>
      <c r="D54" s="18" t="n">
        <f aca="false">IFERROR(C54/B54,0)</f>
        <v>0.359073359073359</v>
      </c>
      <c r="E54" s="12" t="n">
        <f aca="false">COUNTIFS(Education,$A54,AttrType,"Voluntary")</f>
        <v>68</v>
      </c>
      <c r="F54" s="12" t="n">
        <f aca="false">COUNTIFS(Education,$A54,AttrType,"Involuntary")</f>
        <v>23</v>
      </c>
    </row>
    <row r="55" customFormat="false" ht="15" hidden="false" customHeight="false" outlineLevel="0" collapsed="false">
      <c r="A55" s="21" t="s">
        <v>2262</v>
      </c>
      <c r="B55" s="12" t="n">
        <f aca="false">COUNTIFS(Education,$A55)</f>
        <v>848</v>
      </c>
      <c r="C55" s="12" t="n">
        <f aca="false">COUNTIFS(Education,$A55,AttrFlag,1)</f>
        <v>306</v>
      </c>
      <c r="D55" s="18" t="n">
        <f aca="false">IFERROR(C55/B55,0)</f>
        <v>0.360849056603774</v>
      </c>
      <c r="E55" s="12" t="n">
        <f aca="false">COUNTIFS(Education,$A55,AttrType,"Voluntary")</f>
        <v>229</v>
      </c>
      <c r="F55" s="12" t="n">
        <f aca="false">COUNTIFS(Education,$A55,AttrType,"Involuntary")</f>
        <v>66</v>
      </c>
    </row>
    <row r="56" customFormat="false" ht="15" hidden="false" customHeight="false" outlineLevel="0" collapsed="false">
      <c r="A56" s="21" t="s">
        <v>241</v>
      </c>
      <c r="B56" s="12" t="n">
        <f aca="false">COUNTIFS(Education,$A56)</f>
        <v>567</v>
      </c>
      <c r="C56" s="12" t="n">
        <f aca="false">COUNTIFS(Education,$A56,AttrFlag,1)</f>
        <v>202</v>
      </c>
      <c r="D56" s="18" t="n">
        <f aca="false">IFERROR(C56/B56,0)</f>
        <v>0.35626102292769</v>
      </c>
      <c r="E56" s="12" t="n">
        <f aca="false">COUNTIFS(Education,$A56,AttrType,"Voluntary")</f>
        <v>158</v>
      </c>
      <c r="F56" s="12" t="n">
        <f aca="false">COUNTIFS(Education,$A56,AttrType,"Involuntary")</f>
        <v>41</v>
      </c>
    </row>
    <row r="57" customFormat="false" ht="15" hidden="false" customHeight="false" outlineLevel="0" collapsed="false">
      <c r="A57" s="21" t="s">
        <v>231</v>
      </c>
      <c r="B57" s="12" t="n">
        <f aca="false">COUNTIFS(Education,$A57)</f>
        <v>105</v>
      </c>
      <c r="C57" s="12" t="n">
        <f aca="false">COUNTIFS(Education,$A57,AttrFlag,1)</f>
        <v>29</v>
      </c>
      <c r="D57" s="18" t="n">
        <f aca="false">IFERROR(C57/B57,0)</f>
        <v>0.276190476190476</v>
      </c>
      <c r="E57" s="12" t="n">
        <f aca="false">COUNTIFS(Education,$A57,AttrType,"Voluntary")</f>
        <v>20</v>
      </c>
      <c r="F57" s="12" t="n">
        <f aca="false">COUNTIFS(Education,$A57,AttrType,"Involuntary")</f>
        <v>9</v>
      </c>
    </row>
    <row r="58" customFormat="false" ht="15" hidden="false" customHeight="false" outlineLevel="0" collapsed="false">
      <c r="A58" s="22" t="s">
        <v>2258</v>
      </c>
      <c r="B58" s="23" t="n">
        <f aca="false">SUM(B53:B57)</f>
        <v>2000</v>
      </c>
      <c r="C58" s="23" t="n">
        <f aca="false">SUM(C53:C57)</f>
        <v>735</v>
      </c>
      <c r="D58" s="24" t="n">
        <f aca="false">IFERROR(C58/B58,0)</f>
        <v>0.3675</v>
      </c>
      <c r="E58" s="23" t="n">
        <f aca="false">SUM(E53:E57)</f>
        <v>557</v>
      </c>
      <c r="F58" s="23" t="n">
        <f aca="false">SUM(F53:F57)</f>
        <v>161</v>
      </c>
      <c r="G58" s="25" t="str">
        <f aca="false">IF(B58=TotalEmp,"OK - reconciles","CHECK")</f>
        <v>OK - reconciles</v>
      </c>
    </row>
    <row r="61" customFormat="false" ht="15" hidden="false" customHeight="false" outlineLevel="0" collapsed="false">
      <c r="A61" s="4" t="s">
        <v>2263</v>
      </c>
    </row>
    <row r="62" customFormat="false" ht="15" hidden="false" customHeight="false" outlineLevel="0" collapsed="false">
      <c r="A62" s="5" t="s">
        <v>2254</v>
      </c>
      <c r="B62" s="5" t="s">
        <v>2255</v>
      </c>
      <c r="C62" s="5" t="s">
        <v>2256</v>
      </c>
      <c r="D62" s="5" t="s">
        <v>2257</v>
      </c>
      <c r="E62" s="5" t="s">
        <v>151</v>
      </c>
      <c r="F62" s="5" t="s">
        <v>173</v>
      </c>
    </row>
    <row r="63" customFormat="false" ht="15" hidden="false" customHeight="false" outlineLevel="0" collapsed="false">
      <c r="A63" s="21" t="s">
        <v>2264</v>
      </c>
      <c r="B63" s="12" t="n">
        <f aca="false">COUNTIFS(AgeBand,$A63)</f>
        <v>95</v>
      </c>
      <c r="C63" s="12" t="n">
        <f aca="false">COUNTIFS(AgeBand,$A63,AttrFlag,1)</f>
        <v>55</v>
      </c>
      <c r="D63" s="18" t="n">
        <f aca="false">IFERROR(C63/B63,0)</f>
        <v>0.578947368421053</v>
      </c>
      <c r="E63" s="12" t="n">
        <f aca="false">COUNTIFS(AgeBand,$A63,AttrType,"Voluntary")</f>
        <v>38</v>
      </c>
      <c r="F63" s="12" t="n">
        <f aca="false">COUNTIFS(AgeBand,$A63,AttrType,"Involuntary")</f>
        <v>17</v>
      </c>
    </row>
    <row r="64" customFormat="false" ht="15" hidden="false" customHeight="false" outlineLevel="0" collapsed="false">
      <c r="A64" s="21" t="s">
        <v>2265</v>
      </c>
      <c r="B64" s="12" t="n">
        <f aca="false">COUNTIFS(AgeBand,$A64)</f>
        <v>950</v>
      </c>
      <c r="C64" s="12" t="n">
        <f aca="false">COUNTIFS(AgeBand,$A64,AttrFlag,1)</f>
        <v>407</v>
      </c>
      <c r="D64" s="18" t="n">
        <f aca="false">IFERROR(C64/B64,0)</f>
        <v>0.428421052631579</v>
      </c>
      <c r="E64" s="12" t="n">
        <f aca="false">COUNTIFS(AgeBand,$A64,AttrType,"Voluntary")</f>
        <v>310</v>
      </c>
      <c r="F64" s="12" t="n">
        <f aca="false">COUNTIFS(AgeBand,$A64,AttrType,"Involuntary")</f>
        <v>85</v>
      </c>
    </row>
    <row r="65" customFormat="false" ht="15" hidden="false" customHeight="false" outlineLevel="0" collapsed="false">
      <c r="A65" s="21" t="s">
        <v>2266</v>
      </c>
      <c r="B65" s="12" t="n">
        <f aca="false">COUNTIFS(AgeBand,$A65)</f>
        <v>847</v>
      </c>
      <c r="C65" s="12" t="n">
        <f aca="false">COUNTIFS(AgeBand,$A65,AttrFlag,1)</f>
        <v>249</v>
      </c>
      <c r="D65" s="18" t="n">
        <f aca="false">IFERROR(C65/B65,0)</f>
        <v>0.293978748524203</v>
      </c>
      <c r="E65" s="12" t="n">
        <f aca="false">COUNTIFS(AgeBand,$A65,AttrType,"Voluntary")</f>
        <v>189</v>
      </c>
      <c r="F65" s="12" t="n">
        <f aca="false">COUNTIFS(AgeBand,$A65,AttrType,"Involuntary")</f>
        <v>55</v>
      </c>
    </row>
    <row r="66" customFormat="false" ht="15" hidden="false" customHeight="false" outlineLevel="0" collapsed="false">
      <c r="A66" s="21" t="s">
        <v>2267</v>
      </c>
      <c r="B66" s="12" t="n">
        <f aca="false">COUNTIFS(AgeBand,$A66)</f>
        <v>102</v>
      </c>
      <c r="C66" s="12" t="n">
        <f aca="false">COUNTIFS(AgeBand,$A66,AttrFlag,1)</f>
        <v>20</v>
      </c>
      <c r="D66" s="18" t="n">
        <f aca="false">IFERROR(C66/B66,0)</f>
        <v>0.196078431372549</v>
      </c>
      <c r="E66" s="12" t="n">
        <f aca="false">COUNTIFS(AgeBand,$A66,AttrType,"Voluntary")</f>
        <v>16</v>
      </c>
      <c r="F66" s="12" t="n">
        <f aca="false">COUNTIFS(AgeBand,$A66,AttrType,"Involuntary")</f>
        <v>4</v>
      </c>
    </row>
    <row r="67" customFormat="false" ht="15" hidden="false" customHeight="false" outlineLevel="0" collapsed="false">
      <c r="A67" s="21" t="s">
        <v>2268</v>
      </c>
      <c r="B67" s="12" t="n">
        <f aca="false">COUNTIFS(AgeBand,$A67)</f>
        <v>0</v>
      </c>
      <c r="C67" s="12" t="n">
        <f aca="false">COUNTIFS(AgeBand,$A67,AttrFlag,1)</f>
        <v>0</v>
      </c>
      <c r="D67" s="18" t="n">
        <f aca="false">IFERROR(C67/B67,0)</f>
        <v>0</v>
      </c>
      <c r="E67" s="12" t="n">
        <f aca="false">COUNTIFS(AgeBand,$A67,AttrType,"Voluntary")</f>
        <v>0</v>
      </c>
      <c r="F67" s="12" t="n">
        <f aca="false">COUNTIFS(AgeBand,$A67,AttrType,"Involuntary")</f>
        <v>0</v>
      </c>
    </row>
    <row r="68" customFormat="false" ht="15" hidden="false" customHeight="false" outlineLevel="0" collapsed="false">
      <c r="A68" s="21" t="s">
        <v>2269</v>
      </c>
      <c r="B68" s="12" t="n">
        <f aca="false">COUNTIFS(AgeBand,$A68)</f>
        <v>6</v>
      </c>
      <c r="C68" s="12" t="n">
        <f aca="false">COUNTIFS(AgeBand,$A68,AttrFlag,1)</f>
        <v>4</v>
      </c>
      <c r="D68" s="18" t="n">
        <f aca="false">IFERROR(C68/B68,0)</f>
        <v>0.666666666666667</v>
      </c>
      <c r="E68" s="12" t="n">
        <f aca="false">COUNTIFS(AgeBand,$A68,AttrType,"Voluntary")</f>
        <v>4</v>
      </c>
      <c r="F68" s="12" t="n">
        <f aca="false">COUNTIFS(AgeBand,$A68,AttrType,"Involuntary")</f>
        <v>0</v>
      </c>
    </row>
    <row r="69" customFormat="false" ht="15" hidden="false" customHeight="false" outlineLevel="0" collapsed="false">
      <c r="A69" s="22" t="s">
        <v>2258</v>
      </c>
      <c r="B69" s="23" t="n">
        <f aca="false">SUM(B63:B68)</f>
        <v>2000</v>
      </c>
      <c r="C69" s="23" t="n">
        <f aca="false">SUM(C63:C68)</f>
        <v>735</v>
      </c>
      <c r="D69" s="24" t="n">
        <f aca="false">IFERROR(C69/B69,0)</f>
        <v>0.3675</v>
      </c>
      <c r="E69" s="23" t="n">
        <f aca="false">SUM(E63:E68)</f>
        <v>557</v>
      </c>
      <c r="F69" s="23" t="n">
        <f aca="false">SUM(F63:F68)</f>
        <v>161</v>
      </c>
      <c r="G69" s="25" t="str">
        <f aca="false">IF(B69=TotalEmp,"OK - reconciles","CHECK")</f>
        <v>OK - reconciles</v>
      </c>
    </row>
    <row r="72" customFormat="false" ht="15" hidden="false" customHeight="false" outlineLevel="0" collapsed="false">
      <c r="A72" s="4" t="s">
        <v>2270</v>
      </c>
    </row>
    <row r="73" customFormat="false" ht="15" hidden="false" customHeight="false" outlineLevel="0" collapsed="false">
      <c r="A73" s="5" t="s">
        <v>2254</v>
      </c>
      <c r="B73" s="5" t="s">
        <v>2255</v>
      </c>
      <c r="C73" s="5" t="s">
        <v>2256</v>
      </c>
      <c r="D73" s="5" t="s">
        <v>2257</v>
      </c>
      <c r="E73" s="5" t="s">
        <v>151</v>
      </c>
      <c r="F73" s="5" t="s">
        <v>173</v>
      </c>
    </row>
    <row r="74" customFormat="false" ht="15" hidden="false" customHeight="false" outlineLevel="0" collapsed="false">
      <c r="A74" s="21" t="s">
        <v>2271</v>
      </c>
      <c r="B74" s="12" t="n">
        <f aca="false">COUNTIFS(TenureBand,$A74)</f>
        <v>305</v>
      </c>
      <c r="C74" s="12" t="n">
        <f aca="false">COUNTIFS(TenureBand,$A74,AttrFlag,1)</f>
        <v>161</v>
      </c>
      <c r="D74" s="18" t="n">
        <f aca="false">IFERROR(C74/B74,0)</f>
        <v>0.527868852459016</v>
      </c>
      <c r="E74" s="12" t="n">
        <f aca="false">COUNTIFS(TenureBand,$A74,AttrType,"Voluntary")</f>
        <v>116</v>
      </c>
      <c r="F74" s="12" t="n">
        <f aca="false">COUNTIFS(TenureBand,$A74,AttrType,"Involuntary")</f>
        <v>43</v>
      </c>
    </row>
    <row r="75" customFormat="false" ht="15" hidden="false" customHeight="false" outlineLevel="0" collapsed="false">
      <c r="A75" s="21" t="s">
        <v>2272</v>
      </c>
      <c r="B75" s="12" t="n">
        <f aca="false">COUNTIFS(TenureBand,$A75)</f>
        <v>463</v>
      </c>
      <c r="C75" s="12" t="n">
        <f aca="false">COUNTIFS(TenureBand,$A75,AttrFlag,1)</f>
        <v>217</v>
      </c>
      <c r="D75" s="18" t="n">
        <f aca="false">IFERROR(C75/B75,0)</f>
        <v>0.468682505399568</v>
      </c>
      <c r="E75" s="12" t="n">
        <f aca="false">COUNTIFS(TenureBand,$A75,AttrType,"Voluntary")</f>
        <v>174</v>
      </c>
      <c r="F75" s="12" t="n">
        <f aca="false">COUNTIFS(TenureBand,$A75,AttrType,"Involuntary")</f>
        <v>40</v>
      </c>
    </row>
    <row r="76" customFormat="false" ht="15" hidden="false" customHeight="false" outlineLevel="0" collapsed="false">
      <c r="A76" s="21" t="s">
        <v>2273</v>
      </c>
      <c r="B76" s="12" t="n">
        <f aca="false">COUNTIFS(TenureBand,$A76)</f>
        <v>295</v>
      </c>
      <c r="C76" s="12" t="n">
        <f aca="false">COUNTIFS(TenureBand,$A76,AttrFlag,1)</f>
        <v>116</v>
      </c>
      <c r="D76" s="18" t="n">
        <f aca="false">IFERROR(C76/B76,0)</f>
        <v>0.393220338983051</v>
      </c>
      <c r="E76" s="12" t="n">
        <f aca="false">COUNTIFS(TenureBand,$A76,AttrType,"Voluntary")</f>
        <v>87</v>
      </c>
      <c r="F76" s="12" t="n">
        <f aca="false">COUNTIFS(TenureBand,$A76,AttrType,"Involuntary")</f>
        <v>25</v>
      </c>
    </row>
    <row r="77" customFormat="false" ht="15" hidden="false" customHeight="false" outlineLevel="0" collapsed="false">
      <c r="A77" s="21" t="s">
        <v>2274</v>
      </c>
      <c r="B77" s="12" t="n">
        <f aca="false">COUNTIFS(TenureBand,$A77)</f>
        <v>594</v>
      </c>
      <c r="C77" s="12" t="n">
        <f aca="false">COUNTIFS(TenureBand,$A77,AttrFlag,1)</f>
        <v>191</v>
      </c>
      <c r="D77" s="18" t="n">
        <f aca="false">IFERROR(C77/B77,0)</f>
        <v>0.321548821548822</v>
      </c>
      <c r="E77" s="12" t="n">
        <f aca="false">COUNTIFS(TenureBand,$A77,AttrType,"Voluntary")</f>
        <v>140</v>
      </c>
      <c r="F77" s="12" t="n">
        <f aca="false">COUNTIFS(TenureBand,$A77,AttrType,"Involuntary")</f>
        <v>45</v>
      </c>
    </row>
    <row r="78" customFormat="false" ht="15" hidden="false" customHeight="false" outlineLevel="0" collapsed="false">
      <c r="A78" s="21" t="s">
        <v>2275</v>
      </c>
      <c r="B78" s="12" t="n">
        <f aca="false">COUNTIFS(TenureBand,$A78)</f>
        <v>343</v>
      </c>
      <c r="C78" s="12" t="n">
        <f aca="false">COUNTIFS(TenureBand,$A78,AttrFlag,1)</f>
        <v>50</v>
      </c>
      <c r="D78" s="18" t="n">
        <f aca="false">IFERROR(C78/B78,0)</f>
        <v>0.145772594752187</v>
      </c>
      <c r="E78" s="12" t="n">
        <f aca="false">COUNTIFS(TenureBand,$A78,AttrType,"Voluntary")</f>
        <v>40</v>
      </c>
      <c r="F78" s="12" t="n">
        <f aca="false">COUNTIFS(TenureBand,$A78,AttrType,"Involuntary")</f>
        <v>8</v>
      </c>
    </row>
    <row r="79" customFormat="false" ht="15" hidden="false" customHeight="false" outlineLevel="0" collapsed="false">
      <c r="A79" s="22" t="s">
        <v>2258</v>
      </c>
      <c r="B79" s="23" t="n">
        <f aca="false">SUM(B74:B78)</f>
        <v>2000</v>
      </c>
      <c r="C79" s="23" t="n">
        <f aca="false">SUM(C74:C78)</f>
        <v>735</v>
      </c>
      <c r="D79" s="24" t="n">
        <f aca="false">IFERROR(C79/B79,0)</f>
        <v>0.3675</v>
      </c>
      <c r="E79" s="23" t="n">
        <f aca="false">SUM(E74:E78)</f>
        <v>557</v>
      </c>
      <c r="F79" s="23" t="n">
        <f aca="false">SUM(F74:F78)</f>
        <v>161</v>
      </c>
      <c r="G79" s="25" t="str">
        <f aca="false">IF(B79=TotalEmp,"OK - reconciles","CHECK")</f>
        <v>OK - reconciles</v>
      </c>
    </row>
    <row r="82" customFormat="false" ht="15" hidden="false" customHeight="false" outlineLevel="0" collapsed="false">
      <c r="A82" s="4" t="s">
        <v>2276</v>
      </c>
    </row>
    <row r="83" customFormat="false" ht="15" hidden="false" customHeight="false" outlineLevel="0" collapsed="false">
      <c r="A83" s="5" t="s">
        <v>2254</v>
      </c>
      <c r="B83" s="5" t="s">
        <v>2255</v>
      </c>
      <c r="C83" s="5" t="s">
        <v>2256</v>
      </c>
      <c r="D83" s="5" t="s">
        <v>2257</v>
      </c>
      <c r="E83" s="5" t="s">
        <v>151</v>
      </c>
      <c r="F83" s="5" t="s">
        <v>173</v>
      </c>
    </row>
    <row r="84" customFormat="false" ht="15" hidden="false" customHeight="false" outlineLevel="0" collapsed="false">
      <c r="A84" s="21" t="s">
        <v>2277</v>
      </c>
      <c r="B84" s="12" t="n">
        <f aca="false">COUNTIFS(PerfGroup,$A84)</f>
        <v>798</v>
      </c>
      <c r="C84" s="12" t="n">
        <f aca="false">COUNTIFS(PerfGroup,$A84,AttrFlag,1)</f>
        <v>271</v>
      </c>
      <c r="D84" s="18" t="n">
        <f aca="false">IFERROR(C84/B84,0)</f>
        <v>0.339598997493734</v>
      </c>
      <c r="E84" s="12" t="n">
        <f aca="false">COUNTIFS(PerfGroup,$A84,AttrType,"Voluntary")</f>
        <v>221</v>
      </c>
      <c r="F84" s="12" t="n">
        <f aca="false">COUNTIFS(PerfGroup,$A84,AttrType,"Involuntary")</f>
        <v>44</v>
      </c>
    </row>
    <row r="85" customFormat="false" ht="15" hidden="false" customHeight="false" outlineLevel="0" collapsed="false">
      <c r="A85" s="21" t="s">
        <v>2278</v>
      </c>
      <c r="B85" s="12" t="n">
        <f aca="false">COUNTIFS(PerfGroup,$A85)</f>
        <v>925</v>
      </c>
      <c r="C85" s="12" t="n">
        <f aca="false">COUNTIFS(PerfGroup,$A85,AttrFlag,1)</f>
        <v>335</v>
      </c>
      <c r="D85" s="18" t="n">
        <f aca="false">IFERROR(C85/B85,0)</f>
        <v>0.362162162162162</v>
      </c>
      <c r="E85" s="12" t="n">
        <f aca="false">COUNTIFS(PerfGroup,$A85,AttrType,"Voluntary")</f>
        <v>273</v>
      </c>
      <c r="F85" s="12" t="n">
        <f aca="false">COUNTIFS(PerfGroup,$A85,AttrType,"Involuntary")</f>
        <v>53</v>
      </c>
    </row>
    <row r="86" customFormat="false" ht="15" hidden="false" customHeight="false" outlineLevel="0" collapsed="false">
      <c r="A86" s="21" t="s">
        <v>2279</v>
      </c>
      <c r="B86" s="12" t="n">
        <f aca="false">COUNTIFS(PerfGroup,$A86)</f>
        <v>277</v>
      </c>
      <c r="C86" s="12" t="n">
        <f aca="false">COUNTIFS(PerfGroup,$A86,AttrFlag,1)</f>
        <v>129</v>
      </c>
      <c r="D86" s="18" t="n">
        <f aca="false">IFERROR(C86/B86,0)</f>
        <v>0.465703971119134</v>
      </c>
      <c r="E86" s="12" t="n">
        <f aca="false">COUNTIFS(PerfGroup,$A86,AttrType,"Voluntary")</f>
        <v>63</v>
      </c>
      <c r="F86" s="12" t="n">
        <f aca="false">COUNTIFS(PerfGroup,$A86,AttrType,"Involuntary")</f>
        <v>64</v>
      </c>
    </row>
    <row r="87" customFormat="false" ht="15" hidden="false" customHeight="false" outlineLevel="0" collapsed="false">
      <c r="A87" s="22" t="s">
        <v>2258</v>
      </c>
      <c r="B87" s="23" t="n">
        <f aca="false">SUM(B84:B86)</f>
        <v>2000</v>
      </c>
      <c r="C87" s="23" t="n">
        <f aca="false">SUM(C84:C86)</f>
        <v>735</v>
      </c>
      <c r="D87" s="24" t="n">
        <f aca="false">IFERROR(C87/B87,0)</f>
        <v>0.3675</v>
      </c>
      <c r="E87" s="23" t="n">
        <f aca="false">SUM(E84:E86)</f>
        <v>557</v>
      </c>
      <c r="F87" s="23" t="n">
        <f aca="false">SUM(F84:F86)</f>
        <v>161</v>
      </c>
      <c r="G87" s="25" t="str">
        <f aca="false">IF(B87=TotalEmp,"OK - reconciles","CHECK")</f>
        <v>OK - reconciles</v>
      </c>
    </row>
    <row r="90" customFormat="false" ht="15" hidden="false" customHeight="false" outlineLevel="0" collapsed="false">
      <c r="A90" s="4" t="s">
        <v>2280</v>
      </c>
    </row>
    <row r="91" customFormat="false" ht="15" hidden="false" customHeight="false" outlineLevel="0" collapsed="false">
      <c r="A91" s="5" t="s">
        <v>2254</v>
      </c>
      <c r="B91" s="5" t="s">
        <v>2255</v>
      </c>
      <c r="C91" s="5" t="s">
        <v>2256</v>
      </c>
      <c r="D91" s="5" t="s">
        <v>2257</v>
      </c>
      <c r="E91" s="5" t="s">
        <v>151</v>
      </c>
      <c r="F91" s="5" t="s">
        <v>173</v>
      </c>
    </row>
    <row r="92" customFormat="false" ht="15" hidden="false" customHeight="false" outlineLevel="0" collapsed="false">
      <c r="A92" s="21" t="n">
        <v>1</v>
      </c>
      <c r="B92" s="12" t="n">
        <f aca="false">COUNTIFS(PerfRating,$A92)</f>
        <v>74</v>
      </c>
      <c r="C92" s="12" t="n">
        <f aca="false">COUNTIFS(PerfRating,$A92,AttrFlag,1)</f>
        <v>27</v>
      </c>
      <c r="D92" s="18" t="n">
        <f aca="false">IFERROR(C92/B92,0)</f>
        <v>0.364864864864865</v>
      </c>
      <c r="E92" s="12" t="n">
        <f aca="false">COUNTIFS(PerfRating,$A92,AttrType,"Voluntary")</f>
        <v>12</v>
      </c>
      <c r="F92" s="12" t="n">
        <f aca="false">COUNTIFS(PerfRating,$A92,AttrType,"Involuntary")</f>
        <v>15</v>
      </c>
    </row>
    <row r="93" customFormat="false" ht="15" hidden="false" customHeight="false" outlineLevel="0" collapsed="false">
      <c r="A93" s="21" t="n">
        <v>2</v>
      </c>
      <c r="B93" s="12" t="n">
        <f aca="false">COUNTIFS(PerfRating,$A93)</f>
        <v>203</v>
      </c>
      <c r="C93" s="12" t="n">
        <f aca="false">COUNTIFS(PerfRating,$A93,AttrFlag,1)</f>
        <v>102</v>
      </c>
      <c r="D93" s="18" t="n">
        <f aca="false">IFERROR(C93/B93,0)</f>
        <v>0.502463054187192</v>
      </c>
      <c r="E93" s="12" t="n">
        <f aca="false">COUNTIFS(PerfRating,$A93,AttrType,"Voluntary")</f>
        <v>51</v>
      </c>
      <c r="F93" s="12" t="n">
        <f aca="false">COUNTIFS(PerfRating,$A93,AttrType,"Involuntary")</f>
        <v>49</v>
      </c>
    </row>
    <row r="94" customFormat="false" ht="15" hidden="false" customHeight="false" outlineLevel="0" collapsed="false">
      <c r="A94" s="21" t="n">
        <v>3</v>
      </c>
      <c r="B94" s="12" t="n">
        <f aca="false">COUNTIFS(PerfRating,$A94)</f>
        <v>925</v>
      </c>
      <c r="C94" s="12" t="n">
        <f aca="false">COUNTIFS(PerfRating,$A94,AttrFlag,1)</f>
        <v>335</v>
      </c>
      <c r="D94" s="18" t="n">
        <f aca="false">IFERROR(C94/B94,0)</f>
        <v>0.362162162162162</v>
      </c>
      <c r="E94" s="12" t="n">
        <f aca="false">COUNTIFS(PerfRating,$A94,AttrType,"Voluntary")</f>
        <v>273</v>
      </c>
      <c r="F94" s="12" t="n">
        <f aca="false">COUNTIFS(PerfRating,$A94,AttrType,"Involuntary")</f>
        <v>53</v>
      </c>
    </row>
    <row r="95" customFormat="false" ht="15" hidden="false" customHeight="false" outlineLevel="0" collapsed="false">
      <c r="A95" s="21" t="n">
        <v>4</v>
      </c>
      <c r="B95" s="12" t="n">
        <f aca="false">COUNTIFS(PerfRating,$A95)</f>
        <v>619</v>
      </c>
      <c r="C95" s="12" t="n">
        <f aca="false">COUNTIFS(PerfRating,$A95,AttrFlag,1)</f>
        <v>201</v>
      </c>
      <c r="D95" s="18" t="n">
        <f aca="false">IFERROR(C95/B95,0)</f>
        <v>0.324717285945073</v>
      </c>
      <c r="E95" s="12" t="n">
        <f aca="false">COUNTIFS(PerfRating,$A95,AttrType,"Voluntary")</f>
        <v>167</v>
      </c>
      <c r="F95" s="12" t="n">
        <f aca="false">COUNTIFS(PerfRating,$A95,AttrType,"Involuntary")</f>
        <v>29</v>
      </c>
    </row>
    <row r="96" customFormat="false" ht="15" hidden="false" customHeight="false" outlineLevel="0" collapsed="false">
      <c r="A96" s="21" t="n">
        <v>5</v>
      </c>
      <c r="B96" s="12" t="n">
        <f aca="false">COUNTIFS(PerfRating,$A96)</f>
        <v>179</v>
      </c>
      <c r="C96" s="12" t="n">
        <f aca="false">COUNTIFS(PerfRating,$A96,AttrFlag,1)</f>
        <v>70</v>
      </c>
      <c r="D96" s="18" t="n">
        <f aca="false">IFERROR(C96/B96,0)</f>
        <v>0.391061452513966</v>
      </c>
      <c r="E96" s="12" t="n">
        <f aca="false">COUNTIFS(PerfRating,$A96,AttrType,"Voluntary")</f>
        <v>54</v>
      </c>
      <c r="F96" s="12" t="n">
        <f aca="false">COUNTIFS(PerfRating,$A96,AttrType,"Involuntary")</f>
        <v>15</v>
      </c>
    </row>
    <row r="97" customFormat="false" ht="15" hidden="false" customHeight="false" outlineLevel="0" collapsed="false">
      <c r="A97" s="22" t="s">
        <v>2258</v>
      </c>
      <c r="B97" s="23" t="n">
        <f aca="false">SUM(B92:B96)</f>
        <v>2000</v>
      </c>
      <c r="C97" s="23" t="n">
        <f aca="false">SUM(C92:C96)</f>
        <v>735</v>
      </c>
      <c r="D97" s="24" t="n">
        <f aca="false">IFERROR(C97/B97,0)</f>
        <v>0.3675</v>
      </c>
      <c r="E97" s="23" t="n">
        <f aca="false">SUM(E92:E96)</f>
        <v>557</v>
      </c>
      <c r="F97" s="23" t="n">
        <f aca="false">SUM(F92:F96)</f>
        <v>161</v>
      </c>
      <c r="G97" s="25" t="str">
        <f aca="false">IF(B97=TotalEmp,"OK - reconciles","CHECK")</f>
        <v>OK - reconciles</v>
      </c>
    </row>
    <row r="100" customFormat="false" ht="15" hidden="false" customHeight="false" outlineLevel="0" collapsed="false">
      <c r="A100" s="4" t="s">
        <v>2281</v>
      </c>
    </row>
    <row r="101" customFormat="false" ht="15" hidden="false" customHeight="false" outlineLevel="0" collapsed="false">
      <c r="A101" s="5" t="s">
        <v>2254</v>
      </c>
      <c r="B101" s="5" t="s">
        <v>2255</v>
      </c>
      <c r="C101" s="5" t="s">
        <v>2256</v>
      </c>
      <c r="D101" s="5" t="s">
        <v>2257</v>
      </c>
      <c r="E101" s="5" t="s">
        <v>151</v>
      </c>
      <c r="F101" s="5" t="s">
        <v>173</v>
      </c>
    </row>
    <row r="102" customFormat="false" ht="15" hidden="false" customHeight="false" outlineLevel="0" collapsed="false">
      <c r="A102" s="21" t="n">
        <v>1</v>
      </c>
      <c r="B102" s="12" t="n">
        <f aca="false">COUNTIFS(JobSat,$A102)</f>
        <v>372</v>
      </c>
      <c r="C102" s="12" t="n">
        <f aca="false">COUNTIFS(JobSat,$A102,AttrFlag,1)</f>
        <v>191</v>
      </c>
      <c r="D102" s="18" t="n">
        <f aca="false">IFERROR(C102/B102,0)</f>
        <v>0.513440860215054</v>
      </c>
      <c r="E102" s="12" t="n">
        <f aca="false">COUNTIFS(JobSat,$A102,AttrType,"Voluntary")</f>
        <v>144</v>
      </c>
      <c r="F102" s="12" t="n">
        <f aca="false">COUNTIFS(JobSat,$A102,AttrType,"Involuntary")</f>
        <v>41</v>
      </c>
    </row>
    <row r="103" customFormat="false" ht="15" hidden="false" customHeight="false" outlineLevel="0" collapsed="false">
      <c r="A103" s="21" t="n">
        <v>2</v>
      </c>
      <c r="B103" s="12" t="n">
        <f aca="false">COUNTIFS(JobSat,$A103)</f>
        <v>444</v>
      </c>
      <c r="C103" s="12" t="n">
        <f aca="false">COUNTIFS(JobSat,$A103,AttrFlag,1)</f>
        <v>194</v>
      </c>
      <c r="D103" s="18" t="n">
        <f aca="false">IFERROR(C103/B103,0)</f>
        <v>0.436936936936937</v>
      </c>
      <c r="E103" s="12" t="n">
        <f aca="false">COUNTIFS(JobSat,$A103,AttrType,"Voluntary")</f>
        <v>153</v>
      </c>
      <c r="F103" s="12" t="n">
        <f aca="false">COUNTIFS(JobSat,$A103,AttrType,"Involuntary")</f>
        <v>40</v>
      </c>
    </row>
    <row r="104" customFormat="false" ht="15" hidden="false" customHeight="false" outlineLevel="0" collapsed="false">
      <c r="A104" s="21" t="n">
        <v>3</v>
      </c>
      <c r="B104" s="12" t="n">
        <f aca="false">COUNTIFS(JobSat,$A104)</f>
        <v>667</v>
      </c>
      <c r="C104" s="12" t="n">
        <f aca="false">COUNTIFS(JobSat,$A104,AttrFlag,1)</f>
        <v>235</v>
      </c>
      <c r="D104" s="18" t="n">
        <f aca="false">IFERROR(C104/B104,0)</f>
        <v>0.35232383808096</v>
      </c>
      <c r="E104" s="12" t="n">
        <f aca="false">COUNTIFS(JobSat,$A104,AttrType,"Voluntary")</f>
        <v>180</v>
      </c>
      <c r="F104" s="12" t="n">
        <f aca="false">COUNTIFS(JobSat,$A104,AttrType,"Involuntary")</f>
        <v>50</v>
      </c>
    </row>
    <row r="105" customFormat="false" ht="15" hidden="false" customHeight="false" outlineLevel="0" collapsed="false">
      <c r="A105" s="21" t="n">
        <v>4</v>
      </c>
      <c r="B105" s="12" t="n">
        <f aca="false">COUNTIFS(JobSat,$A105)</f>
        <v>517</v>
      </c>
      <c r="C105" s="12" t="n">
        <f aca="false">COUNTIFS(JobSat,$A105,AttrFlag,1)</f>
        <v>115</v>
      </c>
      <c r="D105" s="18" t="n">
        <f aca="false">IFERROR(C105/B105,0)</f>
        <v>0.222437137330754</v>
      </c>
      <c r="E105" s="12" t="n">
        <f aca="false">COUNTIFS(JobSat,$A105,AttrType,"Voluntary")</f>
        <v>80</v>
      </c>
      <c r="F105" s="12" t="n">
        <f aca="false">COUNTIFS(JobSat,$A105,AttrType,"Involuntary")</f>
        <v>30</v>
      </c>
    </row>
    <row r="106" customFormat="false" ht="15" hidden="false" customHeight="false" outlineLevel="0" collapsed="false">
      <c r="A106" s="22" t="s">
        <v>2258</v>
      </c>
      <c r="B106" s="23" t="n">
        <f aca="false">SUM(B102:B105)</f>
        <v>2000</v>
      </c>
      <c r="C106" s="23" t="n">
        <f aca="false">SUM(C102:C105)</f>
        <v>735</v>
      </c>
      <c r="D106" s="24" t="n">
        <f aca="false">IFERROR(C106/B106,0)</f>
        <v>0.3675</v>
      </c>
      <c r="E106" s="23" t="n">
        <f aca="false">SUM(E102:E105)</f>
        <v>557</v>
      </c>
      <c r="F106" s="23" t="n">
        <f aca="false">SUM(F102:F105)</f>
        <v>161</v>
      </c>
      <c r="G106" s="25" t="str">
        <f aca="false">IF(B106=TotalEmp,"OK - reconciles","CHECK")</f>
        <v>OK - reconciles</v>
      </c>
    </row>
    <row r="109" customFormat="false" ht="15" hidden="false" customHeight="false" outlineLevel="0" collapsed="false">
      <c r="A109" s="4" t="s">
        <v>2282</v>
      </c>
    </row>
    <row r="110" customFormat="false" ht="15" hidden="false" customHeight="false" outlineLevel="0" collapsed="false">
      <c r="A110" s="5" t="s">
        <v>2254</v>
      </c>
      <c r="B110" s="5" t="s">
        <v>2255</v>
      </c>
      <c r="C110" s="5" t="s">
        <v>2256</v>
      </c>
      <c r="D110" s="5" t="s">
        <v>2257</v>
      </c>
      <c r="E110" s="5" t="s">
        <v>151</v>
      </c>
      <c r="F110" s="5" t="s">
        <v>173</v>
      </c>
    </row>
    <row r="111" customFormat="false" ht="15" hidden="false" customHeight="false" outlineLevel="0" collapsed="false">
      <c r="A111" s="21" t="s">
        <v>134</v>
      </c>
      <c r="B111" s="12" t="n">
        <f aca="false">COUNTIFS(OverTime,$A111)</f>
        <v>576</v>
      </c>
      <c r="C111" s="12" t="n">
        <f aca="false">COUNTIFS(OverTime,$A111,AttrFlag,1)</f>
        <v>275</v>
      </c>
      <c r="D111" s="18" t="n">
        <f aca="false">IFERROR(C111/B111,0)</f>
        <v>0.477430555555556</v>
      </c>
      <c r="E111" s="12" t="n">
        <f aca="false">COUNTIFS(OverTime,$A111,AttrType,"Voluntary")</f>
        <v>215</v>
      </c>
      <c r="F111" s="12" t="n">
        <f aca="false">COUNTIFS(OverTime,$A111,AttrType,"Involuntary")</f>
        <v>56</v>
      </c>
    </row>
    <row r="112" customFormat="false" ht="15" hidden="false" customHeight="false" outlineLevel="0" collapsed="false">
      <c r="A112" s="21" t="s">
        <v>142</v>
      </c>
      <c r="B112" s="12" t="n">
        <f aca="false">COUNTIFS(OverTime,$A112)</f>
        <v>1424</v>
      </c>
      <c r="C112" s="12" t="n">
        <f aca="false">COUNTIFS(OverTime,$A112,AttrFlag,1)</f>
        <v>460</v>
      </c>
      <c r="D112" s="18" t="n">
        <f aca="false">IFERROR(C112/B112,0)</f>
        <v>0.323033707865169</v>
      </c>
      <c r="E112" s="12" t="n">
        <f aca="false">COUNTIFS(OverTime,$A112,AttrType,"Voluntary")</f>
        <v>342</v>
      </c>
      <c r="F112" s="12" t="n">
        <f aca="false">COUNTIFS(OverTime,$A112,AttrType,"Involuntary")</f>
        <v>105</v>
      </c>
    </row>
    <row r="113" customFormat="false" ht="15" hidden="false" customHeight="false" outlineLevel="0" collapsed="false">
      <c r="A113" s="22" t="s">
        <v>2258</v>
      </c>
      <c r="B113" s="23" t="n">
        <f aca="false">SUM(B111:B112)</f>
        <v>2000</v>
      </c>
      <c r="C113" s="23" t="n">
        <f aca="false">SUM(C111:C112)</f>
        <v>735</v>
      </c>
      <c r="D113" s="24" t="n">
        <f aca="false">IFERROR(C113/B113,0)</f>
        <v>0.3675</v>
      </c>
      <c r="E113" s="23" t="n">
        <f aca="false">SUM(E111:E112)</f>
        <v>557</v>
      </c>
      <c r="F113" s="23" t="n">
        <f aca="false">SUM(F111:F112)</f>
        <v>161</v>
      </c>
      <c r="G113" s="25" t="str">
        <f aca="false">IF(B113=TotalEmp,"OK - reconciles","CHECK")</f>
        <v>OK - reconciles</v>
      </c>
    </row>
    <row r="116" customFormat="false" ht="15" hidden="false" customHeight="false" outlineLevel="0" collapsed="false">
      <c r="A116" s="4" t="s">
        <v>2283</v>
      </c>
    </row>
    <row r="117" customFormat="false" ht="23.85" hidden="false" customHeight="false" outlineLevel="0" collapsed="false">
      <c r="A117" s="5" t="s">
        <v>73</v>
      </c>
      <c r="B117" s="5" t="s">
        <v>2256</v>
      </c>
      <c r="C117" s="5" t="s">
        <v>2284</v>
      </c>
      <c r="D117" s="5" t="s">
        <v>2285</v>
      </c>
      <c r="E117" s="5" t="s">
        <v>2286</v>
      </c>
      <c r="F117" s="5" t="s">
        <v>2287</v>
      </c>
    </row>
    <row r="118" customFormat="false" ht="15" hidden="false" customHeight="false" outlineLevel="0" collapsed="false">
      <c r="A118" s="6" t="s">
        <v>151</v>
      </c>
      <c r="B118" s="12" t="n">
        <f aca="false">COUNTIFS(AttrType,$A118)</f>
        <v>557</v>
      </c>
      <c r="C118" s="18" t="n">
        <f aca="false">IFERROR(B118/SUM($B$118:$B$120),0)</f>
        <v>0.757823129251701</v>
      </c>
      <c r="D118" s="19" t="n">
        <f aca="false">IFERROR(AVERAGEIFS(TenureYrs,AttrType,$A118),0)</f>
        <v>3.92271095152603</v>
      </c>
      <c r="E118" s="12" t="n">
        <f aca="false">IFERROR(AVERAGEIFS(Income,AttrType,$A118),0)</f>
        <v>81838.4201077199</v>
      </c>
      <c r="F118" s="26" t="n">
        <f aca="false">IFERROR(AVERAGEIFS(JobSat,AttrType,$A118),0)</f>
        <v>2.35188509874327</v>
      </c>
    </row>
    <row r="119" customFormat="false" ht="15" hidden="false" customHeight="false" outlineLevel="0" collapsed="false">
      <c r="A119" s="6" t="s">
        <v>173</v>
      </c>
      <c r="B119" s="12" t="n">
        <f aca="false">COUNTIFS(AttrType,$A119)</f>
        <v>161</v>
      </c>
      <c r="C119" s="18" t="n">
        <f aca="false">IFERROR(B119/SUM($B$118:$B$120),0)</f>
        <v>0.219047619047619</v>
      </c>
      <c r="D119" s="19" t="n">
        <f aca="false">IFERROR(AVERAGEIFS(TenureYrs,AttrType,$A119),0)</f>
        <v>3.82614906832298</v>
      </c>
      <c r="E119" s="12" t="n">
        <f aca="false">IFERROR(AVERAGEIFS(Income,AttrType,$A119),0)</f>
        <v>80770.1863354037</v>
      </c>
      <c r="F119" s="26" t="n">
        <f aca="false">IFERROR(AVERAGEIFS(JobSat,AttrType,$A119),0)</f>
        <v>2.42857142857143</v>
      </c>
    </row>
    <row r="120" customFormat="false" ht="15" hidden="false" customHeight="false" outlineLevel="0" collapsed="false">
      <c r="A120" s="6" t="s">
        <v>2269</v>
      </c>
      <c r="B120" s="12" t="n">
        <f aca="false">COUNTIFS(AttrType,$A120)</f>
        <v>17</v>
      </c>
      <c r="C120" s="18" t="n">
        <f aca="false">IFERROR(B120/SUM($B$118:$B$120),0)</f>
        <v>0.0231292517006803</v>
      </c>
      <c r="D120" s="19" t="n">
        <f aca="false">IFERROR(AVERAGEIFS(TenureYrs,AttrType,$A120),0)</f>
        <v>4.88529411764706</v>
      </c>
      <c r="E120" s="12" t="n">
        <f aca="false">IFERROR(AVERAGEIFS(Income,AttrType,$A120),0)</f>
        <v>84441.1764705882</v>
      </c>
      <c r="F120" s="26" t="n">
        <f aca="false">IFERROR(AVERAGEIFS(JobSat,AttrType,$A120),0)</f>
        <v>2.52941176470588</v>
      </c>
    </row>
    <row r="124" customFormat="false" ht="15" hidden="false" customHeight="false" outlineLevel="0" collapsed="false">
      <c r="A124" s="4" t="s">
        <v>2288</v>
      </c>
    </row>
    <row r="125" customFormat="false" ht="23.85" hidden="false" customHeight="false" outlineLevel="0" collapsed="false">
      <c r="A125" s="5" t="s">
        <v>2289</v>
      </c>
      <c r="B125" s="5" t="s">
        <v>2256</v>
      </c>
      <c r="C125" s="5" t="s">
        <v>2290</v>
      </c>
    </row>
    <row r="126" customFormat="false" ht="15" hidden="false" customHeight="false" outlineLevel="0" collapsed="false">
      <c r="A126" s="6" t="s">
        <v>201</v>
      </c>
      <c r="B126" s="12" t="n">
        <f aca="false">COUNTIFS(AttrType,"Voluntary",ExitReason,$A126)</f>
        <v>122</v>
      </c>
      <c r="C126" s="18" t="n">
        <f aca="false">IFERROR(B126/SUM($B$126:$B$134),0)</f>
        <v>0.21903052064632</v>
      </c>
    </row>
    <row r="127" customFormat="false" ht="15" hidden="false" customHeight="false" outlineLevel="0" collapsed="false">
      <c r="A127" s="6" t="s">
        <v>152</v>
      </c>
      <c r="B127" s="12" t="n">
        <f aca="false">COUNTIFS(AttrType,"Voluntary",ExitReason,$A127)</f>
        <v>92</v>
      </c>
      <c r="C127" s="18" t="n">
        <f aca="false">IFERROR(B127/SUM($B$126:$B$134),0)</f>
        <v>0.165170556552962</v>
      </c>
    </row>
    <row r="128" customFormat="false" ht="15" hidden="false" customHeight="false" outlineLevel="0" collapsed="false">
      <c r="A128" s="6" t="s">
        <v>216</v>
      </c>
      <c r="B128" s="12" t="n">
        <f aca="false">COUNTIFS(AttrType,"Voluntary",ExitReason,$A128)</f>
        <v>90</v>
      </c>
      <c r="C128" s="18" t="n">
        <f aca="false">IFERROR(B128/SUM($B$126:$B$134),0)</f>
        <v>0.161579892280072</v>
      </c>
    </row>
    <row r="129" customFormat="false" ht="15" hidden="false" customHeight="false" outlineLevel="0" collapsed="false">
      <c r="A129" s="6" t="s">
        <v>159</v>
      </c>
      <c r="B129" s="12" t="n">
        <f aca="false">COUNTIFS(AttrType,"Voluntary",ExitReason,$A129)</f>
        <v>85</v>
      </c>
      <c r="C129" s="18" t="n">
        <f aca="false">IFERROR(B129/SUM($B$126:$B$134),0)</f>
        <v>0.152603231597846</v>
      </c>
    </row>
    <row r="130" customFormat="false" ht="15" hidden="false" customHeight="false" outlineLevel="0" collapsed="false">
      <c r="A130" s="6" t="s">
        <v>203</v>
      </c>
      <c r="B130" s="12" t="n">
        <f aca="false">COUNTIFS(AttrType,"Voluntary",ExitReason,$A130)</f>
        <v>48</v>
      </c>
      <c r="C130" s="18" t="n">
        <f aca="false">IFERROR(B130/SUM($B$126:$B$134),0)</f>
        <v>0.0861759425493716</v>
      </c>
    </row>
    <row r="131" customFormat="false" ht="15" hidden="false" customHeight="false" outlineLevel="0" collapsed="false">
      <c r="A131" s="6" t="s">
        <v>206</v>
      </c>
      <c r="B131" s="12" t="n">
        <f aca="false">COUNTIFS(AttrType,"Voluntary",ExitReason,$A131)</f>
        <v>40</v>
      </c>
      <c r="C131" s="18" t="n">
        <f aca="false">IFERROR(B131/SUM($B$126:$B$134),0)</f>
        <v>0.0718132854578097</v>
      </c>
    </row>
    <row r="132" customFormat="false" ht="15" hidden="false" customHeight="false" outlineLevel="0" collapsed="false">
      <c r="A132" s="6" t="s">
        <v>141</v>
      </c>
      <c r="B132" s="12" t="n">
        <f aca="false">COUNTIFS(AttrType,"Voluntary",ExitReason,$A132)</f>
        <v>33</v>
      </c>
      <c r="C132" s="18" t="n">
        <f aca="false">IFERROR(B132/SUM($B$126:$B$134),0)</f>
        <v>0.059245960502693</v>
      </c>
    </row>
    <row r="133" customFormat="false" ht="15" hidden="false" customHeight="false" outlineLevel="0" collapsed="false">
      <c r="A133" s="6" t="s">
        <v>314</v>
      </c>
      <c r="B133" s="12" t="n">
        <f aca="false">COUNTIFS(AttrType,"Voluntary",ExitReason,$A133)</f>
        <v>28</v>
      </c>
      <c r="C133" s="18" t="n">
        <f aca="false">IFERROR(B133/SUM($B$126:$B$134),0)</f>
        <v>0.0502692998204668</v>
      </c>
    </row>
    <row r="134" customFormat="false" ht="15" hidden="false" customHeight="false" outlineLevel="0" collapsed="false">
      <c r="A134" s="6" t="s">
        <v>2291</v>
      </c>
      <c r="B134" s="12" t="n">
        <f aca="false">COUNTIFS(AttrType,"Voluntary",ExitReason,$A134)</f>
        <v>19</v>
      </c>
      <c r="C134" s="18" t="n">
        <f aca="false">IFERROR(B134/SUM($B$126:$B$134),0)</f>
        <v>0.0341113105924596</v>
      </c>
    </row>
    <row r="135" customFormat="false" ht="15" hidden="false" customHeight="false" outlineLevel="0" collapsed="false">
      <c r="A135" s="22" t="s">
        <v>2258</v>
      </c>
      <c r="B135" s="23" t="n">
        <f aca="false">SUM(B126:B134)</f>
        <v>557</v>
      </c>
      <c r="C135" s="24" t="n">
        <f aca="false">SUM(C126:C134)</f>
        <v>1</v>
      </c>
    </row>
    <row r="138" customFormat="false" ht="15" hidden="false" customHeight="false" outlineLevel="0" collapsed="false">
      <c r="A138" s="4" t="s">
        <v>2292</v>
      </c>
    </row>
    <row r="139" customFormat="false" ht="35.05" hidden="false" customHeight="false" outlineLevel="0" collapsed="false">
      <c r="A139" s="5" t="s">
        <v>2289</v>
      </c>
      <c r="B139" s="5" t="s">
        <v>2256</v>
      </c>
      <c r="C139" s="5" t="s">
        <v>2293</v>
      </c>
    </row>
    <row r="140" customFormat="false" ht="15" hidden="false" customHeight="false" outlineLevel="0" collapsed="false">
      <c r="A140" s="6" t="s">
        <v>254</v>
      </c>
      <c r="B140" s="12" t="n">
        <f aca="false">COUNTIFS(AttrType,"Involuntary",ExitReason,$A140)</f>
        <v>64</v>
      </c>
      <c r="C140" s="18" t="n">
        <f aca="false">IFERROR(B140/SUM($B$140:$B$144),0)</f>
        <v>0.397515527950311</v>
      </c>
    </row>
    <row r="141" customFormat="false" ht="15" hidden="false" customHeight="false" outlineLevel="0" collapsed="false">
      <c r="A141" s="6" t="s">
        <v>273</v>
      </c>
      <c r="B141" s="12" t="n">
        <f aca="false">COUNTIFS(AttrType,"Involuntary",ExitReason,$A141)</f>
        <v>48</v>
      </c>
      <c r="C141" s="18" t="n">
        <f aca="false">IFERROR(B141/SUM($B$140:$B$144),0)</f>
        <v>0.298136645962733</v>
      </c>
    </row>
    <row r="142" customFormat="false" ht="15" hidden="false" customHeight="false" outlineLevel="0" collapsed="false">
      <c r="A142" s="6" t="s">
        <v>310</v>
      </c>
      <c r="B142" s="12" t="n">
        <f aca="false">COUNTIFS(AttrType,"Involuntary",ExitReason,$A142)</f>
        <v>31</v>
      </c>
      <c r="C142" s="18" t="n">
        <f aca="false">IFERROR(B142/SUM($B$140:$B$144),0)</f>
        <v>0.192546583850932</v>
      </c>
    </row>
    <row r="143" customFormat="false" ht="15" hidden="false" customHeight="false" outlineLevel="0" collapsed="false">
      <c r="A143" s="6" t="s">
        <v>174</v>
      </c>
      <c r="B143" s="12" t="n">
        <f aca="false">COUNTIFS(AttrType,"Involuntary",ExitReason,$A143)</f>
        <v>9</v>
      </c>
      <c r="C143" s="18" t="n">
        <f aca="false">IFERROR(B143/SUM($B$140:$B$144),0)</f>
        <v>0.0559006211180124</v>
      </c>
    </row>
    <row r="144" customFormat="false" ht="15" hidden="false" customHeight="false" outlineLevel="0" collapsed="false">
      <c r="A144" s="6" t="s">
        <v>2291</v>
      </c>
      <c r="B144" s="12" t="n">
        <f aca="false">COUNTIFS(AttrType,"Involuntary",ExitReason,$A144)</f>
        <v>9</v>
      </c>
      <c r="C144" s="18" t="n">
        <f aca="false">IFERROR(B144/SUM($B$140:$B$144),0)</f>
        <v>0.0559006211180124</v>
      </c>
    </row>
    <row r="145" customFormat="false" ht="15" hidden="false" customHeight="false" outlineLevel="0" collapsed="false">
      <c r="A145" s="22" t="s">
        <v>2258</v>
      </c>
      <c r="B145" s="23" t="n">
        <f aca="false">SUM(B140:B144)</f>
        <v>161</v>
      </c>
      <c r="C145" s="24" t="n">
        <f aca="false">SUM(C140:C144)</f>
        <v>1</v>
      </c>
    </row>
    <row r="148" customFormat="false" ht="15" hidden="false" customHeight="false" outlineLevel="0" collapsed="false">
      <c r="A148" s="4" t="s">
        <v>2294</v>
      </c>
    </row>
    <row r="149" customFormat="false" ht="23.85" hidden="false" customHeight="false" outlineLevel="0" collapsed="false">
      <c r="A149" s="5" t="s">
        <v>2295</v>
      </c>
      <c r="B149" s="5" t="s">
        <v>2296</v>
      </c>
      <c r="C149" s="5" t="s">
        <v>2297</v>
      </c>
      <c r="D149" s="5" t="s">
        <v>2256</v>
      </c>
      <c r="E149" s="5" t="s">
        <v>2298</v>
      </c>
      <c r="F149" s="5" t="s">
        <v>2299</v>
      </c>
      <c r="G149" s="5" t="s">
        <v>2300</v>
      </c>
      <c r="H149" s="5" t="s">
        <v>151</v>
      </c>
      <c r="I149" s="5" t="s">
        <v>173</v>
      </c>
      <c r="J149" s="5" t="s">
        <v>2301</v>
      </c>
    </row>
    <row r="150" customFormat="false" ht="15" hidden="false" customHeight="false" outlineLevel="0" collapsed="false">
      <c r="A150" s="21" t="n">
        <v>2022</v>
      </c>
      <c r="B150" s="12" t="n">
        <f aca="false">COUNTIFS(HireDate,"&lt;"&amp;DATE($A150,1,1))-COUNTIFS(ExitDate,"&lt;"&amp;DATE($A150,1,1))</f>
        <v>1226</v>
      </c>
      <c r="C150" s="12" t="n">
        <f aca="false">COUNTIFS(HireDate,"&gt;="&amp;DATE($A150,1,1),HireDate,"&lt;="&amp;DATE($A150,12,31))</f>
        <v>222</v>
      </c>
      <c r="D150" s="12" t="n">
        <f aca="false">COUNTIFS(ExitYear,$A150)</f>
        <v>192</v>
      </c>
      <c r="E150" s="12" t="n">
        <f aca="false">COUNTIFS(HireDate,"&lt;="&amp;DATE($A150,12,31))-COUNTIFS(ExitDate,"&lt;="&amp;DATE($A150,12,31))</f>
        <v>1256</v>
      </c>
      <c r="F150" s="27" t="n">
        <f aca="false">(B150+E150)/2</f>
        <v>1241</v>
      </c>
      <c r="G150" s="18" t="n">
        <f aca="false">IFERROR(D150/F150,0)</f>
        <v>0.154713940370669</v>
      </c>
      <c r="H150" s="12" t="n">
        <f aca="false">COUNTIFS(ExitYear,$A150,AttrType,"Voluntary")</f>
        <v>160</v>
      </c>
      <c r="I150" s="12" t="n">
        <f aca="false">COUNTIFS(ExitYear,$A150,AttrType,"Involuntary")</f>
        <v>27</v>
      </c>
      <c r="J150" s="18" t="n">
        <f aca="false">IFERROR(H150/D150,0)</f>
        <v>0.833333333333333</v>
      </c>
    </row>
    <row r="151" customFormat="false" ht="15" hidden="false" customHeight="false" outlineLevel="0" collapsed="false">
      <c r="A151" s="21" t="n">
        <v>2023</v>
      </c>
      <c r="B151" s="12" t="n">
        <f aca="false">COUNTIFS(HireDate,"&lt;"&amp;DATE($A151,1,1))-COUNTIFS(ExitDate,"&lt;"&amp;DATE($A151,1,1))</f>
        <v>1256</v>
      </c>
      <c r="C151" s="12" t="n">
        <f aca="false">COUNTIFS(HireDate,"&gt;="&amp;DATE($A151,1,1),HireDate,"&lt;="&amp;DATE($A151,12,31))</f>
        <v>207</v>
      </c>
      <c r="D151" s="12" t="n">
        <f aca="false">COUNTIFS(ExitYear,$A151)</f>
        <v>203</v>
      </c>
      <c r="E151" s="12" t="n">
        <f aca="false">COUNTIFS(HireDate,"&lt;="&amp;DATE($A151,12,31))-COUNTIFS(ExitDate,"&lt;="&amp;DATE($A151,12,31))</f>
        <v>1260</v>
      </c>
      <c r="F151" s="27" t="n">
        <f aca="false">(B151+E151)/2</f>
        <v>1258</v>
      </c>
      <c r="G151" s="18" t="n">
        <f aca="false">IFERROR(D151/F151,0)</f>
        <v>0.161367249602544</v>
      </c>
      <c r="H151" s="12" t="n">
        <f aca="false">COUNTIFS(ExitYear,$A151,AttrType,"Voluntary")</f>
        <v>122</v>
      </c>
      <c r="I151" s="12" t="n">
        <f aca="false">COUNTIFS(ExitYear,$A151,AttrType,"Involuntary")</f>
        <v>77</v>
      </c>
      <c r="J151" s="18" t="n">
        <f aca="false">IFERROR(H151/D151,0)</f>
        <v>0.600985221674877</v>
      </c>
    </row>
    <row r="152" customFormat="false" ht="15" hidden="false" customHeight="false" outlineLevel="0" collapsed="false">
      <c r="A152" s="21" t="n">
        <v>2024</v>
      </c>
      <c r="B152" s="12" t="n">
        <f aca="false">COUNTIFS(HireDate,"&lt;"&amp;DATE($A152,1,1))-COUNTIFS(ExitDate,"&lt;"&amp;DATE($A152,1,1))</f>
        <v>1260</v>
      </c>
      <c r="C152" s="12" t="n">
        <f aca="false">COUNTIFS(HireDate,"&gt;="&amp;DATE($A152,1,1),HireDate,"&lt;="&amp;DATE($A152,12,31))</f>
        <v>184</v>
      </c>
      <c r="D152" s="12" t="n">
        <f aca="false">COUNTIFS(ExitYear,$A152)</f>
        <v>175</v>
      </c>
      <c r="E152" s="12" t="n">
        <f aca="false">COUNTIFS(HireDate,"&lt;="&amp;DATE($A152,12,31))-COUNTIFS(ExitDate,"&lt;="&amp;DATE($A152,12,31))</f>
        <v>1269</v>
      </c>
      <c r="F152" s="27" t="n">
        <f aca="false">(B152+E152)/2</f>
        <v>1264.5</v>
      </c>
      <c r="G152" s="18" t="n">
        <f aca="false">IFERROR(D152/F152,0)</f>
        <v>0.138394622380388</v>
      </c>
      <c r="H152" s="12" t="n">
        <f aca="false">COUNTIFS(ExitYear,$A152,AttrType,"Voluntary")</f>
        <v>148</v>
      </c>
      <c r="I152" s="12" t="n">
        <f aca="false">COUNTIFS(ExitYear,$A152,AttrType,"Involuntary")</f>
        <v>21</v>
      </c>
      <c r="J152" s="18" t="n">
        <f aca="false">IFERROR(H152/D152,0)</f>
        <v>0.845714285714286</v>
      </c>
    </row>
    <row r="153" customFormat="false" ht="15" hidden="false" customHeight="false" outlineLevel="0" collapsed="false">
      <c r="A153" s="21" t="n">
        <v>2025</v>
      </c>
      <c r="B153" s="12" t="n">
        <f aca="false">COUNTIFS(HireDate,"&lt;"&amp;DATE($A153,1,1))-COUNTIFS(ExitDate,"&lt;"&amp;DATE($A153,1,1))</f>
        <v>1269</v>
      </c>
      <c r="C153" s="12" t="n">
        <f aca="false">COUNTIFS(HireDate,"&gt;="&amp;DATE($A153,1,1),HireDate,"&lt;="&amp;DATE($A153,12,31))</f>
        <v>161</v>
      </c>
      <c r="D153" s="12" t="n">
        <f aca="false">COUNTIFS(ExitYear,$A153)</f>
        <v>165</v>
      </c>
      <c r="E153" s="12" t="n">
        <f aca="false">COUNTIFS(HireDate,"&lt;="&amp;DATE($A153,12,31))-COUNTIFS(ExitDate,"&lt;="&amp;DATE($A153,12,31))</f>
        <v>1265</v>
      </c>
      <c r="F153" s="27" t="n">
        <f aca="false">(B153+E153)/2</f>
        <v>1267</v>
      </c>
      <c r="G153" s="18" t="n">
        <f aca="false">IFERROR(D153/F153,0)</f>
        <v>0.130228887134964</v>
      </c>
      <c r="H153" s="12" t="n">
        <f aca="false">COUNTIFS(ExitYear,$A153,AttrType,"Voluntary")</f>
        <v>127</v>
      </c>
      <c r="I153" s="12" t="n">
        <f aca="false">COUNTIFS(ExitYear,$A153,AttrType,"Involuntary")</f>
        <v>36</v>
      </c>
      <c r="J153" s="18" t="n">
        <f aca="false">IFERROR(H153/D153,0)</f>
        <v>0.76969696969697</v>
      </c>
    </row>
    <row r="154" customFormat="false" ht="15" hidden="false" customHeight="false" outlineLevel="0" collapsed="false">
      <c r="A154" s="25" t="s">
        <v>2302</v>
      </c>
      <c r="E154" s="25" t="str">
        <f aca="false">IF(E153=B6,"OK","CHECK")</f>
        <v>OK</v>
      </c>
    </row>
    <row r="157" customFormat="false" ht="15" hidden="false" customHeight="false" outlineLevel="0" collapsed="false">
      <c r="A157" s="4" t="s">
        <v>2303</v>
      </c>
    </row>
    <row r="158" customFormat="false" ht="23.85" hidden="false" customHeight="false" outlineLevel="0" collapsed="false">
      <c r="A158" s="5" t="s">
        <v>2304</v>
      </c>
      <c r="B158" s="5" t="s">
        <v>2305</v>
      </c>
      <c r="C158" s="5" t="s">
        <v>2306</v>
      </c>
      <c r="D158" s="5" t="s">
        <v>2307</v>
      </c>
      <c r="E158" s="5" t="s">
        <v>2308</v>
      </c>
      <c r="F158" s="5" t="s">
        <v>2299</v>
      </c>
      <c r="G158" s="5" t="s">
        <v>2256</v>
      </c>
      <c r="H158" s="5" t="s">
        <v>2309</v>
      </c>
      <c r="I158" s="5" t="s">
        <v>2310</v>
      </c>
      <c r="J158" s="5" t="s">
        <v>151</v>
      </c>
      <c r="K158" s="5" t="s">
        <v>173</v>
      </c>
    </row>
    <row r="159" customFormat="false" ht="15" hidden="false" customHeight="false" outlineLevel="0" collapsed="false">
      <c r="A159" s="6" t="s">
        <v>2311</v>
      </c>
      <c r="B159" s="28" t="n">
        <f aca="false">DATE(2022,1,1)</f>
        <v>44562</v>
      </c>
      <c r="C159" s="28" t="n">
        <f aca="false">DATE(YEAR(B159),MONTH(B159)+3,1)</f>
        <v>44652</v>
      </c>
      <c r="D159" s="12" t="n">
        <f aca="false">COUNTIFS(HireDate,"&lt;"&amp;B159)-COUNTIFS(ExitDate,"&lt;"&amp;B159)</f>
        <v>1226</v>
      </c>
      <c r="E159" s="12" t="n">
        <f aca="false">COUNTIFS(HireDate,"&lt;"&amp;C159)-COUNTIFS(ExitDate,"&lt;"&amp;C159)</f>
        <v>1227</v>
      </c>
      <c r="F159" s="27" t="n">
        <f aca="false">(D159+E159)/2</f>
        <v>1226.5</v>
      </c>
      <c r="G159" s="12" t="n">
        <f aca="false">COUNTIFS(ExitQtr,$A159)</f>
        <v>54</v>
      </c>
      <c r="H159" s="18" t="n">
        <f aca="false">IFERROR(G159/F159,0)</f>
        <v>0.044027721157766</v>
      </c>
      <c r="I159" s="18" t="n">
        <f aca="false">H159*4</f>
        <v>0.176110884631064</v>
      </c>
      <c r="J159" s="12" t="n">
        <f aca="false">COUNTIFS(ExitQtr,$A159,AttrType,"Voluntary")</f>
        <v>45</v>
      </c>
      <c r="K159" s="12" t="n">
        <f aca="false">COUNTIFS(ExitQtr,$A159,AttrType,"Involuntary")</f>
        <v>7</v>
      </c>
    </row>
    <row r="160" customFormat="false" ht="15" hidden="false" customHeight="false" outlineLevel="0" collapsed="false">
      <c r="A160" s="6" t="s">
        <v>2312</v>
      </c>
      <c r="B160" s="28" t="n">
        <f aca="false">DATE(2022,4,1)</f>
        <v>44652</v>
      </c>
      <c r="C160" s="28" t="n">
        <f aca="false">DATE(YEAR(B160),MONTH(B160)+3,1)</f>
        <v>44743</v>
      </c>
      <c r="D160" s="12" t="n">
        <f aca="false">COUNTIFS(HireDate,"&lt;"&amp;B160)-COUNTIFS(ExitDate,"&lt;"&amp;B160)</f>
        <v>1227</v>
      </c>
      <c r="E160" s="12" t="n">
        <f aca="false">COUNTIFS(HireDate,"&lt;"&amp;C160)-COUNTIFS(ExitDate,"&lt;"&amp;C160)</f>
        <v>1216</v>
      </c>
      <c r="F160" s="27" t="n">
        <f aca="false">(D160+E160)/2</f>
        <v>1221.5</v>
      </c>
      <c r="G160" s="12" t="n">
        <f aca="false">COUNTIFS(ExitQtr,$A160)</f>
        <v>60</v>
      </c>
      <c r="H160" s="18" t="n">
        <f aca="false">IFERROR(G160/F160,0)</f>
        <v>0.049119934506754</v>
      </c>
      <c r="I160" s="18" t="n">
        <f aca="false">H160*4</f>
        <v>0.196479738027016</v>
      </c>
      <c r="J160" s="12" t="n">
        <f aca="false">COUNTIFS(ExitQtr,$A160,AttrType,"Voluntary")</f>
        <v>47</v>
      </c>
      <c r="K160" s="12" t="n">
        <f aca="false">COUNTIFS(ExitQtr,$A160,AttrType,"Involuntary")</f>
        <v>11</v>
      </c>
    </row>
    <row r="161" customFormat="false" ht="15" hidden="false" customHeight="false" outlineLevel="0" collapsed="false">
      <c r="A161" s="6" t="s">
        <v>2313</v>
      </c>
      <c r="B161" s="28" t="n">
        <f aca="false">DATE(2022,7,1)</f>
        <v>44743</v>
      </c>
      <c r="C161" s="28" t="n">
        <f aca="false">DATE(YEAR(B161),MONTH(B161)+3,1)</f>
        <v>44835</v>
      </c>
      <c r="D161" s="12" t="n">
        <f aca="false">COUNTIFS(HireDate,"&lt;"&amp;B161)-COUNTIFS(ExitDate,"&lt;"&amp;B161)</f>
        <v>1216</v>
      </c>
      <c r="E161" s="12" t="n">
        <f aca="false">COUNTIFS(HireDate,"&lt;"&amp;C161)-COUNTIFS(ExitDate,"&lt;"&amp;C161)</f>
        <v>1236</v>
      </c>
      <c r="F161" s="27" t="n">
        <f aca="false">(D161+E161)/2</f>
        <v>1226</v>
      </c>
      <c r="G161" s="12" t="n">
        <f aca="false">COUNTIFS(ExitQtr,$A161)</f>
        <v>37</v>
      </c>
      <c r="H161" s="18" t="n">
        <f aca="false">IFERROR(G161/F161,0)</f>
        <v>0.0301794453507341</v>
      </c>
      <c r="I161" s="18" t="n">
        <f aca="false">H161*4</f>
        <v>0.120717781402936</v>
      </c>
      <c r="J161" s="12" t="n">
        <f aca="false">COUNTIFS(ExitQtr,$A161,AttrType,"Voluntary")</f>
        <v>31</v>
      </c>
      <c r="K161" s="12" t="n">
        <f aca="false">COUNTIFS(ExitQtr,$A161,AttrType,"Involuntary")</f>
        <v>6</v>
      </c>
    </row>
    <row r="162" customFormat="false" ht="15" hidden="false" customHeight="false" outlineLevel="0" collapsed="false">
      <c r="A162" s="6" t="s">
        <v>2314</v>
      </c>
      <c r="B162" s="28" t="n">
        <f aca="false">DATE(2022,10,1)</f>
        <v>44835</v>
      </c>
      <c r="C162" s="28" t="n">
        <f aca="false">DATE(YEAR(B162),MONTH(B162)+3,1)</f>
        <v>44927</v>
      </c>
      <c r="D162" s="12" t="n">
        <f aca="false">COUNTIFS(HireDate,"&lt;"&amp;B162)-COUNTIFS(ExitDate,"&lt;"&amp;B162)</f>
        <v>1236</v>
      </c>
      <c r="E162" s="12" t="n">
        <f aca="false">COUNTIFS(HireDate,"&lt;"&amp;C162)-COUNTIFS(ExitDate,"&lt;"&amp;C162)</f>
        <v>1256</v>
      </c>
      <c r="F162" s="27" t="n">
        <f aca="false">(D162+E162)/2</f>
        <v>1246</v>
      </c>
      <c r="G162" s="12" t="n">
        <f aca="false">COUNTIFS(ExitQtr,$A162)</f>
        <v>41</v>
      </c>
      <c r="H162" s="18" t="n">
        <f aca="false">IFERROR(G162/F162,0)</f>
        <v>0.0329052969502408</v>
      </c>
      <c r="I162" s="18" t="n">
        <f aca="false">H162*4</f>
        <v>0.131621187800963</v>
      </c>
      <c r="J162" s="12" t="n">
        <f aca="false">COUNTIFS(ExitQtr,$A162,AttrType,"Voluntary")</f>
        <v>37</v>
      </c>
      <c r="K162" s="12" t="n">
        <f aca="false">COUNTIFS(ExitQtr,$A162,AttrType,"Involuntary")</f>
        <v>3</v>
      </c>
    </row>
    <row r="163" customFormat="false" ht="15" hidden="false" customHeight="false" outlineLevel="0" collapsed="false">
      <c r="A163" s="6" t="s">
        <v>2315</v>
      </c>
      <c r="B163" s="28" t="n">
        <f aca="false">DATE(2023,1,1)</f>
        <v>44927</v>
      </c>
      <c r="C163" s="28" t="n">
        <f aca="false">DATE(YEAR(B163),MONTH(B163)+3,1)</f>
        <v>45017</v>
      </c>
      <c r="D163" s="12" t="n">
        <f aca="false">COUNTIFS(HireDate,"&lt;"&amp;B163)-COUNTIFS(ExitDate,"&lt;"&amp;B163)</f>
        <v>1256</v>
      </c>
      <c r="E163" s="12" t="n">
        <f aca="false">COUNTIFS(HireDate,"&lt;"&amp;C163)-COUNTIFS(ExitDate,"&lt;"&amp;C163)</f>
        <v>1258</v>
      </c>
      <c r="F163" s="27" t="n">
        <f aca="false">(D163+E163)/2</f>
        <v>1257</v>
      </c>
      <c r="G163" s="12" t="n">
        <f aca="false">COUNTIFS(ExitQtr,$A163)</f>
        <v>43</v>
      </c>
      <c r="H163" s="18" t="n">
        <f aca="false">IFERROR(G163/F163,0)</f>
        <v>0.0342084327764519</v>
      </c>
      <c r="I163" s="18" t="n">
        <f aca="false">H163*4</f>
        <v>0.136833731105808</v>
      </c>
      <c r="J163" s="12" t="n">
        <f aca="false">COUNTIFS(ExitQtr,$A163,AttrType,"Voluntary")</f>
        <v>29</v>
      </c>
      <c r="K163" s="12" t="n">
        <f aca="false">COUNTIFS(ExitQtr,$A163,AttrType,"Involuntary")</f>
        <v>14</v>
      </c>
    </row>
    <row r="164" customFormat="false" ht="15" hidden="false" customHeight="false" outlineLevel="0" collapsed="false">
      <c r="A164" s="6" t="s">
        <v>2316</v>
      </c>
      <c r="B164" s="28" t="n">
        <f aca="false">DATE(2023,4,1)</f>
        <v>45017</v>
      </c>
      <c r="C164" s="28" t="n">
        <f aca="false">DATE(YEAR(B164),MONTH(B164)+3,1)</f>
        <v>45108</v>
      </c>
      <c r="D164" s="12" t="n">
        <f aca="false">COUNTIFS(HireDate,"&lt;"&amp;B164)-COUNTIFS(ExitDate,"&lt;"&amp;B164)</f>
        <v>1258</v>
      </c>
      <c r="E164" s="12" t="n">
        <f aca="false">COUNTIFS(HireDate,"&lt;"&amp;C164)-COUNTIFS(ExitDate,"&lt;"&amp;C164)</f>
        <v>1258</v>
      </c>
      <c r="F164" s="27" t="n">
        <f aca="false">(D164+E164)/2</f>
        <v>1258</v>
      </c>
      <c r="G164" s="12" t="n">
        <f aca="false">COUNTIFS(ExitQtr,$A164)</f>
        <v>48</v>
      </c>
      <c r="H164" s="18" t="n">
        <f aca="false">IFERROR(G164/F164,0)</f>
        <v>0.0381558028616852</v>
      </c>
      <c r="I164" s="18" t="n">
        <f aca="false">H164*4</f>
        <v>0.152623211446741</v>
      </c>
      <c r="J164" s="12" t="n">
        <f aca="false">COUNTIFS(ExitQtr,$A164,AttrType,"Voluntary")</f>
        <v>40</v>
      </c>
      <c r="K164" s="12" t="n">
        <f aca="false">COUNTIFS(ExitQtr,$A164,AttrType,"Involuntary")</f>
        <v>6</v>
      </c>
    </row>
    <row r="165" customFormat="false" ht="15" hidden="false" customHeight="false" outlineLevel="0" collapsed="false">
      <c r="A165" s="6" t="s">
        <v>2317</v>
      </c>
      <c r="B165" s="28" t="n">
        <f aca="false">DATE(2023,7,1)</f>
        <v>45108</v>
      </c>
      <c r="C165" s="28" t="n">
        <f aca="false">DATE(YEAR(B165),MONTH(B165)+3,1)</f>
        <v>45200</v>
      </c>
      <c r="D165" s="12" t="n">
        <f aca="false">COUNTIFS(HireDate,"&lt;"&amp;B165)-COUNTIFS(ExitDate,"&lt;"&amp;B165)</f>
        <v>1258</v>
      </c>
      <c r="E165" s="12" t="n">
        <f aca="false">COUNTIFS(HireDate,"&lt;"&amp;C165)-COUNTIFS(ExitDate,"&lt;"&amp;C165)</f>
        <v>1273</v>
      </c>
      <c r="F165" s="27" t="n">
        <f aca="false">(D165+E165)/2</f>
        <v>1265.5</v>
      </c>
      <c r="G165" s="12" t="n">
        <f aca="false">COUNTIFS(ExitQtr,$A165)</f>
        <v>47</v>
      </c>
      <c r="H165" s="18" t="n">
        <f aca="false">IFERROR(G165/F165,0)</f>
        <v>0.0371394705649941</v>
      </c>
      <c r="I165" s="18" t="n">
        <f aca="false">H165*4</f>
        <v>0.148557882259976</v>
      </c>
      <c r="J165" s="12" t="n">
        <f aca="false">COUNTIFS(ExitQtr,$A165,AttrType,"Voluntary")</f>
        <v>20</v>
      </c>
      <c r="K165" s="12" t="n">
        <f aca="false">COUNTIFS(ExitQtr,$A165,AttrType,"Involuntary")</f>
        <v>26</v>
      </c>
    </row>
    <row r="166" customFormat="false" ht="15" hidden="false" customHeight="false" outlineLevel="0" collapsed="false">
      <c r="A166" s="6" t="s">
        <v>2318</v>
      </c>
      <c r="B166" s="28" t="n">
        <f aca="false">DATE(2023,10,1)</f>
        <v>45200</v>
      </c>
      <c r="C166" s="28" t="n">
        <f aca="false">DATE(YEAR(B166),MONTH(B166)+3,1)</f>
        <v>45292</v>
      </c>
      <c r="D166" s="12" t="n">
        <f aca="false">COUNTIFS(HireDate,"&lt;"&amp;B166)-COUNTIFS(ExitDate,"&lt;"&amp;B166)</f>
        <v>1273</v>
      </c>
      <c r="E166" s="12" t="n">
        <f aca="false">COUNTIFS(HireDate,"&lt;"&amp;C166)-COUNTIFS(ExitDate,"&lt;"&amp;C166)</f>
        <v>1260</v>
      </c>
      <c r="F166" s="27" t="n">
        <f aca="false">(D166+E166)/2</f>
        <v>1266.5</v>
      </c>
      <c r="G166" s="12" t="n">
        <f aca="false">COUNTIFS(ExitQtr,$A166)</f>
        <v>65</v>
      </c>
      <c r="H166" s="18" t="n">
        <f aca="false">IFERROR(G166/F166,0)</f>
        <v>0.0513225424397947</v>
      </c>
      <c r="I166" s="18" t="n">
        <f aca="false">H166*4</f>
        <v>0.205290169759179</v>
      </c>
      <c r="J166" s="12" t="n">
        <f aca="false">COUNTIFS(ExitQtr,$A166,AttrType,"Voluntary")</f>
        <v>33</v>
      </c>
      <c r="K166" s="12" t="n">
        <f aca="false">COUNTIFS(ExitQtr,$A166,AttrType,"Involuntary")</f>
        <v>31</v>
      </c>
    </row>
    <row r="167" customFormat="false" ht="15" hidden="false" customHeight="false" outlineLevel="0" collapsed="false">
      <c r="A167" s="6" t="s">
        <v>2319</v>
      </c>
      <c r="B167" s="28" t="n">
        <f aca="false">DATE(2024,1,1)</f>
        <v>45292</v>
      </c>
      <c r="C167" s="28" t="n">
        <f aca="false">DATE(YEAR(B167),MONTH(B167)+3,1)</f>
        <v>45383</v>
      </c>
      <c r="D167" s="12" t="n">
        <f aca="false">COUNTIFS(HireDate,"&lt;"&amp;B167)-COUNTIFS(ExitDate,"&lt;"&amp;B167)</f>
        <v>1260</v>
      </c>
      <c r="E167" s="12" t="n">
        <f aca="false">COUNTIFS(HireDate,"&lt;"&amp;C167)-COUNTIFS(ExitDate,"&lt;"&amp;C167)</f>
        <v>1246</v>
      </c>
      <c r="F167" s="27" t="n">
        <f aca="false">(D167+E167)/2</f>
        <v>1253</v>
      </c>
      <c r="G167" s="12" t="n">
        <f aca="false">COUNTIFS(ExitQtr,$A167)</f>
        <v>52</v>
      </c>
      <c r="H167" s="18" t="n">
        <f aca="false">IFERROR(G167/F167,0)</f>
        <v>0.0415003990422985</v>
      </c>
      <c r="I167" s="18" t="n">
        <f aca="false">H167*4</f>
        <v>0.166001596169194</v>
      </c>
      <c r="J167" s="12" t="n">
        <f aca="false">COUNTIFS(ExitQtr,$A167,AttrType,"Voluntary")</f>
        <v>46</v>
      </c>
      <c r="K167" s="12" t="n">
        <f aca="false">COUNTIFS(ExitQtr,$A167,AttrType,"Involuntary")</f>
        <v>4</v>
      </c>
    </row>
    <row r="168" customFormat="false" ht="15" hidden="false" customHeight="false" outlineLevel="0" collapsed="false">
      <c r="A168" s="6" t="s">
        <v>2320</v>
      </c>
      <c r="B168" s="28" t="n">
        <f aca="false">DATE(2024,4,1)</f>
        <v>45383</v>
      </c>
      <c r="C168" s="28" t="n">
        <f aca="false">DATE(YEAR(B168),MONTH(B168)+3,1)</f>
        <v>45474</v>
      </c>
      <c r="D168" s="12" t="n">
        <f aca="false">COUNTIFS(HireDate,"&lt;"&amp;B168)-COUNTIFS(ExitDate,"&lt;"&amp;B168)</f>
        <v>1246</v>
      </c>
      <c r="E168" s="12" t="n">
        <f aca="false">COUNTIFS(HireDate,"&lt;"&amp;C168)-COUNTIFS(ExitDate,"&lt;"&amp;C168)</f>
        <v>1257</v>
      </c>
      <c r="F168" s="27" t="n">
        <f aca="false">(D168+E168)/2</f>
        <v>1251.5</v>
      </c>
      <c r="G168" s="12" t="n">
        <f aca="false">COUNTIFS(ExitQtr,$A168)</f>
        <v>40</v>
      </c>
      <c r="H168" s="18" t="n">
        <f aca="false">IFERROR(G168/F168,0)</f>
        <v>0.0319616460247703</v>
      </c>
      <c r="I168" s="18" t="n">
        <f aca="false">H168*4</f>
        <v>0.127846584099081</v>
      </c>
      <c r="J168" s="12" t="n">
        <f aca="false">COUNTIFS(ExitQtr,$A168,AttrType,"Voluntary")</f>
        <v>33</v>
      </c>
      <c r="K168" s="12" t="n">
        <f aca="false">COUNTIFS(ExitQtr,$A168,AttrType,"Involuntary")</f>
        <v>5</v>
      </c>
    </row>
    <row r="169" customFormat="false" ht="15" hidden="false" customHeight="false" outlineLevel="0" collapsed="false">
      <c r="A169" s="6" t="s">
        <v>2321</v>
      </c>
      <c r="B169" s="28" t="n">
        <f aca="false">DATE(2024,7,1)</f>
        <v>45474</v>
      </c>
      <c r="C169" s="28" t="n">
        <f aca="false">DATE(YEAR(B169),MONTH(B169)+3,1)</f>
        <v>45566</v>
      </c>
      <c r="D169" s="12" t="n">
        <f aca="false">COUNTIFS(HireDate,"&lt;"&amp;B169)-COUNTIFS(ExitDate,"&lt;"&amp;B169)</f>
        <v>1257</v>
      </c>
      <c r="E169" s="12" t="n">
        <f aca="false">COUNTIFS(HireDate,"&lt;"&amp;C169)-COUNTIFS(ExitDate,"&lt;"&amp;C169)</f>
        <v>1275</v>
      </c>
      <c r="F169" s="27" t="n">
        <f aca="false">(D169+E169)/2</f>
        <v>1266</v>
      </c>
      <c r="G169" s="12" t="n">
        <f aca="false">COUNTIFS(ExitQtr,$A169)</f>
        <v>38</v>
      </c>
      <c r="H169" s="18" t="n">
        <f aca="false">IFERROR(G169/F169,0)</f>
        <v>0.0300157977883096</v>
      </c>
      <c r="I169" s="18" t="n">
        <f aca="false">H169*4</f>
        <v>0.120063191153239</v>
      </c>
      <c r="J169" s="12" t="n">
        <f aca="false">COUNTIFS(ExitQtr,$A169,AttrType,"Voluntary")</f>
        <v>29</v>
      </c>
      <c r="K169" s="12" t="n">
        <f aca="false">COUNTIFS(ExitQtr,$A169,AttrType,"Involuntary")</f>
        <v>8</v>
      </c>
    </row>
    <row r="170" customFormat="false" ht="15" hidden="false" customHeight="false" outlineLevel="0" collapsed="false">
      <c r="A170" s="6" t="s">
        <v>2322</v>
      </c>
      <c r="B170" s="28" t="n">
        <f aca="false">DATE(2024,10,1)</f>
        <v>45566</v>
      </c>
      <c r="C170" s="28" t="n">
        <f aca="false">DATE(YEAR(B170),MONTH(B170)+3,1)</f>
        <v>45658</v>
      </c>
      <c r="D170" s="12" t="n">
        <f aca="false">COUNTIFS(HireDate,"&lt;"&amp;B170)-COUNTIFS(ExitDate,"&lt;"&amp;B170)</f>
        <v>1275</v>
      </c>
      <c r="E170" s="12" t="n">
        <f aca="false">COUNTIFS(HireDate,"&lt;"&amp;C170)-COUNTIFS(ExitDate,"&lt;"&amp;C170)</f>
        <v>1269</v>
      </c>
      <c r="F170" s="27" t="n">
        <f aca="false">(D170+E170)/2</f>
        <v>1272</v>
      </c>
      <c r="G170" s="12" t="n">
        <f aca="false">COUNTIFS(ExitQtr,$A170)</f>
        <v>45</v>
      </c>
      <c r="H170" s="18" t="n">
        <f aca="false">IFERROR(G170/F170,0)</f>
        <v>0.035377358490566</v>
      </c>
      <c r="I170" s="18" t="n">
        <f aca="false">H170*4</f>
        <v>0.141509433962264</v>
      </c>
      <c r="J170" s="12" t="n">
        <f aca="false">COUNTIFS(ExitQtr,$A170,AttrType,"Voluntary")</f>
        <v>40</v>
      </c>
      <c r="K170" s="12" t="n">
        <f aca="false">COUNTIFS(ExitQtr,$A170,AttrType,"Involuntary")</f>
        <v>4</v>
      </c>
    </row>
    <row r="171" customFormat="false" ht="15" hidden="false" customHeight="false" outlineLevel="0" collapsed="false">
      <c r="A171" s="6" t="s">
        <v>2323</v>
      </c>
      <c r="B171" s="28" t="n">
        <f aca="false">DATE(2025,1,1)</f>
        <v>45658</v>
      </c>
      <c r="C171" s="28" t="n">
        <f aca="false">DATE(YEAR(B171),MONTH(B171)+3,1)</f>
        <v>45748</v>
      </c>
      <c r="D171" s="12" t="n">
        <f aca="false">COUNTIFS(HireDate,"&lt;"&amp;B171)-COUNTIFS(ExitDate,"&lt;"&amp;B171)</f>
        <v>1269</v>
      </c>
      <c r="E171" s="12" t="n">
        <f aca="false">COUNTIFS(HireDate,"&lt;"&amp;C171)-COUNTIFS(ExitDate,"&lt;"&amp;C171)</f>
        <v>1270</v>
      </c>
      <c r="F171" s="27" t="n">
        <f aca="false">(D171+E171)/2</f>
        <v>1269.5</v>
      </c>
      <c r="G171" s="12" t="n">
        <f aca="false">COUNTIFS(ExitQtr,$A171)</f>
        <v>45</v>
      </c>
      <c r="H171" s="18" t="n">
        <f aca="false">IFERROR(G171/F171,0)</f>
        <v>0.0354470263883419</v>
      </c>
      <c r="I171" s="18" t="n">
        <f aca="false">H171*4</f>
        <v>0.141788105553367</v>
      </c>
      <c r="J171" s="12" t="n">
        <f aca="false">COUNTIFS(ExitQtr,$A171,AttrType,"Voluntary")</f>
        <v>33</v>
      </c>
      <c r="K171" s="12" t="n">
        <f aca="false">COUNTIFS(ExitQtr,$A171,AttrType,"Involuntary")</f>
        <v>12</v>
      </c>
    </row>
    <row r="172" customFormat="false" ht="15" hidden="false" customHeight="false" outlineLevel="0" collapsed="false">
      <c r="A172" s="6" t="s">
        <v>2324</v>
      </c>
      <c r="B172" s="28" t="n">
        <f aca="false">DATE(2025,4,1)</f>
        <v>45748</v>
      </c>
      <c r="C172" s="28" t="n">
        <f aca="false">DATE(YEAR(B172),MONTH(B172)+3,1)</f>
        <v>45839</v>
      </c>
      <c r="D172" s="12" t="n">
        <f aca="false">COUNTIFS(HireDate,"&lt;"&amp;B172)-COUNTIFS(ExitDate,"&lt;"&amp;B172)</f>
        <v>1270</v>
      </c>
      <c r="E172" s="12" t="n">
        <f aca="false">COUNTIFS(HireDate,"&lt;"&amp;C172)-COUNTIFS(ExitDate,"&lt;"&amp;C172)</f>
        <v>1262</v>
      </c>
      <c r="F172" s="27" t="n">
        <f aca="false">(D172+E172)/2</f>
        <v>1266</v>
      </c>
      <c r="G172" s="12" t="n">
        <f aca="false">COUNTIFS(ExitQtr,$A172)</f>
        <v>55</v>
      </c>
      <c r="H172" s="18" t="n">
        <f aca="false">IFERROR(G172/F172,0)</f>
        <v>0.0434439178515008</v>
      </c>
      <c r="I172" s="18" t="n">
        <f aca="false">H172*4</f>
        <v>0.173775671406003</v>
      </c>
      <c r="J172" s="12" t="n">
        <f aca="false">COUNTIFS(ExitQtr,$A172,AttrType,"Voluntary")</f>
        <v>42</v>
      </c>
      <c r="K172" s="12" t="n">
        <f aca="false">COUNTIFS(ExitQtr,$A172,AttrType,"Involuntary")</f>
        <v>12</v>
      </c>
    </row>
    <row r="173" customFormat="false" ht="15" hidden="false" customHeight="false" outlineLevel="0" collapsed="false">
      <c r="A173" s="6" t="s">
        <v>2325</v>
      </c>
      <c r="B173" s="28" t="n">
        <f aca="false">DATE(2025,7,1)</f>
        <v>45839</v>
      </c>
      <c r="C173" s="28" t="n">
        <f aca="false">DATE(YEAR(B173),MONTH(B173)+3,1)</f>
        <v>45931</v>
      </c>
      <c r="D173" s="12" t="n">
        <f aca="false">COUNTIFS(HireDate,"&lt;"&amp;B173)-COUNTIFS(ExitDate,"&lt;"&amp;B173)</f>
        <v>1262</v>
      </c>
      <c r="E173" s="12" t="n">
        <f aca="false">COUNTIFS(HireDate,"&lt;"&amp;C173)-COUNTIFS(ExitDate,"&lt;"&amp;C173)</f>
        <v>1279</v>
      </c>
      <c r="F173" s="27" t="n">
        <f aca="false">(D173+E173)/2</f>
        <v>1270.5</v>
      </c>
      <c r="G173" s="12" t="n">
        <f aca="false">COUNTIFS(ExitQtr,$A173)</f>
        <v>32</v>
      </c>
      <c r="H173" s="18" t="n">
        <f aca="false">IFERROR(G173/F173,0)</f>
        <v>0.0251869342778434</v>
      </c>
      <c r="I173" s="18" t="n">
        <f aca="false">H173*4</f>
        <v>0.100747737111373</v>
      </c>
      <c r="J173" s="12" t="n">
        <f aca="false">COUNTIFS(ExitQtr,$A173,AttrType,"Voluntary")</f>
        <v>25</v>
      </c>
      <c r="K173" s="12" t="n">
        <f aca="false">COUNTIFS(ExitQtr,$A173,AttrType,"Involuntary")</f>
        <v>6</v>
      </c>
    </row>
    <row r="174" customFormat="false" ht="15" hidden="false" customHeight="false" outlineLevel="0" collapsed="false">
      <c r="A174" s="6" t="s">
        <v>2326</v>
      </c>
      <c r="B174" s="28" t="n">
        <f aca="false">DATE(2025,10,1)</f>
        <v>45931</v>
      </c>
      <c r="C174" s="28" t="n">
        <f aca="false">DATE(YEAR(B174),MONTH(B174)+3,1)</f>
        <v>46023</v>
      </c>
      <c r="D174" s="12" t="n">
        <f aca="false">COUNTIFS(HireDate,"&lt;"&amp;B174)-COUNTIFS(ExitDate,"&lt;"&amp;B174)</f>
        <v>1279</v>
      </c>
      <c r="E174" s="12" t="n">
        <f aca="false">COUNTIFS(HireDate,"&lt;"&amp;C174)-COUNTIFS(ExitDate,"&lt;"&amp;C174)</f>
        <v>1265</v>
      </c>
      <c r="F174" s="27" t="n">
        <f aca="false">(D174+E174)/2</f>
        <v>1272</v>
      </c>
      <c r="G174" s="12" t="n">
        <f aca="false">COUNTIFS(ExitQtr,$A174)</f>
        <v>33</v>
      </c>
      <c r="H174" s="18" t="n">
        <f aca="false">IFERROR(G174/F174,0)</f>
        <v>0.0259433962264151</v>
      </c>
      <c r="I174" s="18" t="n">
        <f aca="false">H174*4</f>
        <v>0.10377358490566</v>
      </c>
      <c r="J174" s="12" t="n">
        <f aca="false">COUNTIFS(ExitQtr,$A174,AttrType,"Voluntary")</f>
        <v>27</v>
      </c>
      <c r="K174" s="12" t="n">
        <f aca="false">COUNTIFS(ExitQtr,$A174,AttrType,"Involuntary")</f>
        <v>6</v>
      </c>
    </row>
    <row r="177" customFormat="false" ht="15" hidden="false" customHeight="false" outlineLevel="0" collapsed="false">
      <c r="A177" s="4" t="s">
        <v>2327</v>
      </c>
    </row>
    <row r="178" customFormat="false" ht="23.85" hidden="false" customHeight="false" outlineLevel="0" collapsed="false">
      <c r="A178" s="5" t="s">
        <v>2328</v>
      </c>
      <c r="B178" s="5" t="s">
        <v>2329</v>
      </c>
      <c r="C178" s="5" t="s">
        <v>2256</v>
      </c>
      <c r="D178" s="5" t="s">
        <v>2330</v>
      </c>
      <c r="E178" s="5" t="s">
        <v>49</v>
      </c>
    </row>
    <row r="179" customFormat="false" ht="15" hidden="false" customHeight="false" outlineLevel="0" collapsed="false">
      <c r="A179" s="6" t="s">
        <v>2331</v>
      </c>
      <c r="B179" s="6" t="n">
        <v>1</v>
      </c>
      <c r="C179" s="12" t="n">
        <f aca="false">COUNTIFS(ExitMonth,$B179)</f>
        <v>60</v>
      </c>
      <c r="D179" s="18" t="n">
        <f aca="false">IFERROR(C179/SUM($C$179:$C$190),0)</f>
        <v>0.0816326530612245</v>
      </c>
      <c r="E179" s="26" t="n">
        <f aca="false">D179*12</f>
        <v>0.979591836734694</v>
      </c>
    </row>
    <row r="180" customFormat="false" ht="15" hidden="false" customHeight="false" outlineLevel="0" collapsed="false">
      <c r="A180" s="6" t="s">
        <v>2332</v>
      </c>
      <c r="B180" s="6" t="n">
        <v>2</v>
      </c>
      <c r="C180" s="12" t="n">
        <f aca="false">COUNTIFS(ExitMonth,$B180)</f>
        <v>56</v>
      </c>
      <c r="D180" s="18" t="n">
        <f aca="false">IFERROR(C180/SUM($C$179:$C$190),0)</f>
        <v>0.0761904761904762</v>
      </c>
      <c r="E180" s="26" t="n">
        <f aca="false">D180*12</f>
        <v>0.914285714285714</v>
      </c>
    </row>
    <row r="181" customFormat="false" ht="15" hidden="false" customHeight="false" outlineLevel="0" collapsed="false">
      <c r="A181" s="6" t="s">
        <v>2333</v>
      </c>
      <c r="B181" s="6" t="n">
        <v>3</v>
      </c>
      <c r="C181" s="12" t="n">
        <f aca="false">COUNTIFS(ExitMonth,$B181)</f>
        <v>78</v>
      </c>
      <c r="D181" s="18" t="n">
        <f aca="false">IFERROR(C181/SUM($C$179:$C$190),0)</f>
        <v>0.106122448979592</v>
      </c>
      <c r="E181" s="26" t="n">
        <f aca="false">D181*12</f>
        <v>1.2734693877551</v>
      </c>
    </row>
    <row r="182" customFormat="false" ht="15" hidden="false" customHeight="false" outlineLevel="0" collapsed="false">
      <c r="A182" s="6" t="s">
        <v>2334</v>
      </c>
      <c r="B182" s="6" t="n">
        <v>4</v>
      </c>
      <c r="C182" s="12" t="n">
        <f aca="false">COUNTIFS(ExitMonth,$B182)</f>
        <v>94</v>
      </c>
      <c r="D182" s="18" t="n">
        <f aca="false">IFERROR(C182/SUM($C$179:$C$190),0)</f>
        <v>0.127891156462585</v>
      </c>
      <c r="E182" s="26" t="n">
        <f aca="false">D182*12</f>
        <v>1.53469387755102</v>
      </c>
    </row>
    <row r="183" customFormat="false" ht="15" hidden="false" customHeight="false" outlineLevel="0" collapsed="false">
      <c r="A183" s="6" t="s">
        <v>2335</v>
      </c>
      <c r="B183" s="6" t="n">
        <v>5</v>
      </c>
      <c r="C183" s="12" t="n">
        <f aca="false">COUNTIFS(ExitMonth,$B183)</f>
        <v>56</v>
      </c>
      <c r="D183" s="18" t="n">
        <f aca="false">IFERROR(C183/SUM($C$179:$C$190),0)</f>
        <v>0.0761904761904762</v>
      </c>
      <c r="E183" s="26" t="n">
        <f aca="false">D183*12</f>
        <v>0.914285714285714</v>
      </c>
    </row>
    <row r="184" customFormat="false" ht="15" hidden="false" customHeight="false" outlineLevel="0" collapsed="false">
      <c r="A184" s="6" t="s">
        <v>2336</v>
      </c>
      <c r="B184" s="6" t="n">
        <v>6</v>
      </c>
      <c r="C184" s="12" t="n">
        <f aca="false">COUNTIFS(ExitMonth,$B184)</f>
        <v>53</v>
      </c>
      <c r="D184" s="18" t="n">
        <f aca="false">IFERROR(C184/SUM($C$179:$C$190),0)</f>
        <v>0.072108843537415</v>
      </c>
      <c r="E184" s="26" t="n">
        <f aca="false">D184*12</f>
        <v>0.86530612244898</v>
      </c>
    </row>
    <row r="185" customFormat="false" ht="15" hidden="false" customHeight="false" outlineLevel="0" collapsed="false">
      <c r="A185" s="6" t="s">
        <v>2337</v>
      </c>
      <c r="B185" s="6" t="n">
        <v>7</v>
      </c>
      <c r="C185" s="12" t="n">
        <f aca="false">COUNTIFS(ExitMonth,$B185)</f>
        <v>56</v>
      </c>
      <c r="D185" s="18" t="n">
        <f aca="false">IFERROR(C185/SUM($C$179:$C$190),0)</f>
        <v>0.0761904761904762</v>
      </c>
      <c r="E185" s="26" t="n">
        <f aca="false">D185*12</f>
        <v>0.914285714285714</v>
      </c>
    </row>
    <row r="186" customFormat="false" ht="15" hidden="false" customHeight="false" outlineLevel="0" collapsed="false">
      <c r="A186" s="6" t="s">
        <v>2338</v>
      </c>
      <c r="B186" s="6" t="n">
        <v>8</v>
      </c>
      <c r="C186" s="12" t="n">
        <f aca="false">COUNTIFS(ExitMonth,$B186)</f>
        <v>49</v>
      </c>
      <c r="D186" s="18" t="n">
        <f aca="false">IFERROR(C186/SUM($C$179:$C$190),0)</f>
        <v>0.0666666666666667</v>
      </c>
      <c r="E186" s="26" t="n">
        <f aca="false">D186*12</f>
        <v>0.8</v>
      </c>
    </row>
    <row r="187" customFormat="false" ht="15" hidden="false" customHeight="false" outlineLevel="0" collapsed="false">
      <c r="A187" s="6" t="s">
        <v>2339</v>
      </c>
      <c r="B187" s="6" t="n">
        <v>9</v>
      </c>
      <c r="C187" s="12" t="n">
        <f aca="false">COUNTIFS(ExitMonth,$B187)</f>
        <v>49</v>
      </c>
      <c r="D187" s="18" t="n">
        <f aca="false">IFERROR(C187/SUM($C$179:$C$190),0)</f>
        <v>0.0666666666666667</v>
      </c>
      <c r="E187" s="26" t="n">
        <f aca="false">D187*12</f>
        <v>0.8</v>
      </c>
    </row>
    <row r="188" customFormat="false" ht="15" hidden="false" customHeight="false" outlineLevel="0" collapsed="false">
      <c r="A188" s="6" t="s">
        <v>2340</v>
      </c>
      <c r="B188" s="6" t="n">
        <v>10</v>
      </c>
      <c r="C188" s="12" t="n">
        <f aca="false">COUNTIFS(ExitMonth,$B188)</f>
        <v>59</v>
      </c>
      <c r="D188" s="18" t="n">
        <f aca="false">IFERROR(C188/SUM($C$179:$C$190),0)</f>
        <v>0.0802721088435374</v>
      </c>
      <c r="E188" s="26" t="n">
        <f aca="false">D188*12</f>
        <v>0.963265306122449</v>
      </c>
    </row>
    <row r="189" customFormat="false" ht="15" hidden="false" customHeight="false" outlineLevel="0" collapsed="false">
      <c r="A189" s="6" t="s">
        <v>2341</v>
      </c>
      <c r="B189" s="6" t="n">
        <v>11</v>
      </c>
      <c r="C189" s="12" t="n">
        <f aca="false">COUNTIFS(ExitMonth,$B189)</f>
        <v>52</v>
      </c>
      <c r="D189" s="18" t="n">
        <f aca="false">IFERROR(C189/SUM($C$179:$C$190),0)</f>
        <v>0.0707482993197279</v>
      </c>
      <c r="E189" s="26" t="n">
        <f aca="false">D189*12</f>
        <v>0.848979591836735</v>
      </c>
    </row>
    <row r="190" customFormat="false" ht="15" hidden="false" customHeight="false" outlineLevel="0" collapsed="false">
      <c r="A190" s="6" t="s">
        <v>2342</v>
      </c>
      <c r="B190" s="6" t="n">
        <v>12</v>
      </c>
      <c r="C190" s="12" t="n">
        <f aca="false">COUNTIFS(ExitMonth,$B190)</f>
        <v>73</v>
      </c>
      <c r="D190" s="18" t="n">
        <f aca="false">IFERROR(C190/SUM($C$179:$C$190),0)</f>
        <v>0.0993197278911565</v>
      </c>
      <c r="E190" s="26" t="n">
        <f aca="false">D190*12</f>
        <v>1.19183673469388</v>
      </c>
    </row>
    <row r="193" customFormat="false" ht="15" hidden="false" customHeight="false" outlineLevel="0" collapsed="false">
      <c r="A193" s="4" t="s">
        <v>2343</v>
      </c>
    </row>
    <row r="194" customFormat="false" ht="23.85" hidden="false" customHeight="false" outlineLevel="0" collapsed="false">
      <c r="A194" s="5" t="s">
        <v>122</v>
      </c>
      <c r="B194" s="5" t="s">
        <v>138</v>
      </c>
      <c r="C194" s="5" t="s">
        <v>155</v>
      </c>
      <c r="D194" s="5" t="s">
        <v>148</v>
      </c>
      <c r="E194" s="5" t="s">
        <v>191</v>
      </c>
      <c r="F194" s="5" t="s">
        <v>213</v>
      </c>
      <c r="G194" s="5" t="s">
        <v>132</v>
      </c>
    </row>
    <row r="195" customFormat="false" ht="15" hidden="false" customHeight="false" outlineLevel="0" collapsed="false">
      <c r="A195" s="6" t="s">
        <v>139</v>
      </c>
      <c r="B195" s="18" t="n">
        <f aca="false">IFERROR(COUNTIFS(JobRole,$A195,Dept,B$194,AttrFlag,1)/COUNTIFS(JobRole,$A195,Dept,B$194),0)</f>
        <v>0.50381679389313</v>
      </c>
      <c r="C195" s="18" t="n">
        <f aca="false">IFERROR(COUNTIFS(JobRole,$A195,Dept,C$194,AttrFlag,1)/COUNTIFS(JobRole,$A195,Dept,C$194),0)</f>
        <v>0.45625</v>
      </c>
      <c r="D195" s="18" t="n">
        <f aca="false">IFERROR(COUNTIFS(JobRole,$A195,Dept,D$194,AttrFlag,1)/COUNTIFS(JobRole,$A195,Dept,D$194),0)</f>
        <v>0.431578947368421</v>
      </c>
      <c r="E195" s="18" t="n">
        <f aca="false">IFERROR(COUNTIFS(JobRole,$A195,Dept,E$194,AttrFlag,1)/COUNTIFS(JobRole,$A195,Dept,E$194),0)</f>
        <v>0.229166666666667</v>
      </c>
      <c r="F195" s="18" t="n">
        <f aca="false">IFERROR(COUNTIFS(JobRole,$A195,Dept,F$194,AttrFlag,1)/COUNTIFS(JobRole,$A195,Dept,F$194),0)</f>
        <v>0.407407407407407</v>
      </c>
      <c r="G195" s="18" t="n">
        <f aca="false">IFERROR(COUNTIFS(JobRole,$A195,Dept,G$194,AttrFlag,1)/COUNTIFS(JobRole,$A195,Dept,G$194),0)</f>
        <v>0.387387387387387</v>
      </c>
    </row>
    <row r="196" customFormat="false" ht="15" hidden="false" customHeight="false" outlineLevel="0" collapsed="false">
      <c r="A196" s="6" t="s">
        <v>146</v>
      </c>
      <c r="B196" s="18" t="n">
        <f aca="false">IFERROR(COUNTIFS(JobRole,$A196,Dept,B$194,AttrFlag,1)/COUNTIFS(JobRole,$A196,Dept,B$194),0)</f>
        <v>0.378378378378378</v>
      </c>
      <c r="C196" s="18" t="n">
        <f aca="false">IFERROR(COUNTIFS(JobRole,$A196,Dept,C$194,AttrFlag,1)/COUNTIFS(JobRole,$A196,Dept,C$194),0)</f>
        <v>0.373983739837398</v>
      </c>
      <c r="D196" s="18" t="n">
        <f aca="false">IFERROR(COUNTIFS(JobRole,$A196,Dept,D$194,AttrFlag,1)/COUNTIFS(JobRole,$A196,Dept,D$194),0)</f>
        <v>0.43010752688172</v>
      </c>
      <c r="E196" s="18" t="n">
        <f aca="false">IFERROR(COUNTIFS(JobRole,$A196,Dept,E$194,AttrFlag,1)/COUNTIFS(JobRole,$A196,Dept,E$194),0)</f>
        <v>0.219512195121951</v>
      </c>
      <c r="F196" s="18" t="n">
        <f aca="false">IFERROR(COUNTIFS(JobRole,$A196,Dept,F$194,AttrFlag,1)/COUNTIFS(JobRole,$A196,Dept,F$194),0)</f>
        <v>0.19047619047619</v>
      </c>
      <c r="G196" s="18" t="n">
        <f aca="false">IFERROR(COUNTIFS(JobRole,$A196,Dept,G$194,AttrFlag,1)/COUNTIFS(JobRole,$A196,Dept,G$194),0)</f>
        <v>0.330188679245283</v>
      </c>
    </row>
    <row r="197" customFormat="false" ht="15" hidden="false" customHeight="false" outlineLevel="0" collapsed="false">
      <c r="A197" s="6" t="s">
        <v>156</v>
      </c>
      <c r="B197" s="18" t="n">
        <f aca="false">IFERROR(COUNTIFS(JobRole,$A197,Dept,B$194,AttrFlag,1)/COUNTIFS(JobRole,$A197,Dept,B$194),0)</f>
        <v>0.4</v>
      </c>
      <c r="C197" s="18" t="n">
        <f aca="false">IFERROR(COUNTIFS(JobRole,$A197,Dept,C$194,AttrFlag,1)/COUNTIFS(JobRole,$A197,Dept,C$194),0)</f>
        <v>0.244444444444444</v>
      </c>
      <c r="D197" s="18" t="n">
        <f aca="false">IFERROR(COUNTIFS(JobRole,$A197,Dept,D$194,AttrFlag,1)/COUNTIFS(JobRole,$A197,Dept,D$194),0)</f>
        <v>0.419354838709677</v>
      </c>
      <c r="E197" s="18" t="n">
        <f aca="false">IFERROR(COUNTIFS(JobRole,$A197,Dept,E$194,AttrFlag,1)/COUNTIFS(JobRole,$A197,Dept,E$194),0)</f>
        <v>0.263157894736842</v>
      </c>
      <c r="F197" s="18" t="n">
        <f aca="false">IFERROR(COUNTIFS(JobRole,$A197,Dept,F$194,AttrFlag,1)/COUNTIFS(JobRole,$A197,Dept,F$194),0)</f>
        <v>0.333333333333333</v>
      </c>
      <c r="G197" s="18" t="n">
        <f aca="false">IFERROR(COUNTIFS(JobRole,$A197,Dept,G$194,AttrFlag,1)/COUNTIFS(JobRole,$A197,Dept,G$194),0)</f>
        <v>0.355932203389831</v>
      </c>
    </row>
    <row r="198" customFormat="false" ht="15" hidden="false" customHeight="false" outlineLevel="0" collapsed="false">
      <c r="A198" s="6" t="s">
        <v>149</v>
      </c>
      <c r="B198" s="18" t="n">
        <f aca="false">IFERROR(COUNTIFS(JobRole,$A198,Dept,B$194,AttrFlag,1)/COUNTIFS(JobRole,$A198,Dept,B$194),0)</f>
        <v>0.452830188679245</v>
      </c>
      <c r="C198" s="18" t="n">
        <f aca="false">IFERROR(COUNTIFS(JobRole,$A198,Dept,C$194,AttrFlag,1)/COUNTIFS(JobRole,$A198,Dept,C$194),0)</f>
        <v>0.430379746835443</v>
      </c>
      <c r="D198" s="18" t="n">
        <f aca="false">IFERROR(COUNTIFS(JobRole,$A198,Dept,D$194,AttrFlag,1)/COUNTIFS(JobRole,$A198,Dept,D$194),0)</f>
        <v>0.5</v>
      </c>
      <c r="E198" s="18" t="n">
        <f aca="false">IFERROR(COUNTIFS(JobRole,$A198,Dept,E$194,AttrFlag,1)/COUNTIFS(JobRole,$A198,Dept,E$194),0)</f>
        <v>0.222222222222222</v>
      </c>
      <c r="F198" s="18" t="n">
        <f aca="false">IFERROR(COUNTIFS(JobRole,$A198,Dept,F$194,AttrFlag,1)/COUNTIFS(JobRole,$A198,Dept,F$194),0)</f>
        <v>0.230769230769231</v>
      </c>
      <c r="G198" s="18" t="n">
        <f aca="false">IFERROR(COUNTIFS(JobRole,$A198,Dept,G$194,AttrFlag,1)/COUNTIFS(JobRole,$A198,Dept,G$194),0)</f>
        <v>0.302325581395349</v>
      </c>
    </row>
    <row r="199" customFormat="false" ht="15" hidden="false" customHeight="false" outlineLevel="0" collapsed="false">
      <c r="A199" s="6" t="s">
        <v>178</v>
      </c>
      <c r="B199" s="18" t="n">
        <f aca="false">IFERROR(COUNTIFS(JobRole,$A199,Dept,B$194,AttrFlag,1)/COUNTIFS(JobRole,$A199,Dept,B$194),0)</f>
        <v>0.346938775510204</v>
      </c>
      <c r="C199" s="18" t="n">
        <f aca="false">IFERROR(COUNTIFS(JobRole,$A199,Dept,C$194,AttrFlag,1)/COUNTIFS(JobRole,$A199,Dept,C$194),0)</f>
        <v>0.311475409836066</v>
      </c>
      <c r="D199" s="18" t="n">
        <f aca="false">IFERROR(COUNTIFS(JobRole,$A199,Dept,D$194,AttrFlag,1)/COUNTIFS(JobRole,$A199,Dept,D$194),0)</f>
        <v>0.470588235294118</v>
      </c>
      <c r="E199" s="18" t="n">
        <f aca="false">IFERROR(COUNTIFS(JobRole,$A199,Dept,E$194,AttrFlag,1)/COUNTIFS(JobRole,$A199,Dept,E$194),0)</f>
        <v>0.1875</v>
      </c>
      <c r="F199" s="18" t="n">
        <f aca="false">IFERROR(COUNTIFS(JobRole,$A199,Dept,F$194,AttrFlag,1)/COUNTIFS(JobRole,$A199,Dept,F$194),0)</f>
        <v>0.25</v>
      </c>
      <c r="G199" s="18" t="n">
        <f aca="false">IFERROR(COUNTIFS(JobRole,$A199,Dept,G$194,AttrFlag,1)/COUNTIFS(JobRole,$A199,Dept,G$194),0)</f>
        <v>0.27027027027027</v>
      </c>
    </row>
    <row r="200" customFormat="false" ht="15" hidden="false" customHeight="false" outlineLevel="0" collapsed="false">
      <c r="A200" s="6" t="s">
        <v>192</v>
      </c>
      <c r="B200" s="18" t="n">
        <f aca="false">IFERROR(COUNTIFS(JobRole,$A200,Dept,B$194,AttrFlag,1)/COUNTIFS(JobRole,$A200,Dept,B$194),0)</f>
        <v>0.129032258064516</v>
      </c>
      <c r="C200" s="18" t="n">
        <f aca="false">IFERROR(COUNTIFS(JobRole,$A200,Dept,C$194,AttrFlag,1)/COUNTIFS(JobRole,$A200,Dept,C$194),0)</f>
        <v>0.260869565217391</v>
      </c>
      <c r="D200" s="18" t="n">
        <f aca="false">IFERROR(COUNTIFS(JobRole,$A200,Dept,D$194,AttrFlag,1)/COUNTIFS(JobRole,$A200,Dept,D$194),0)</f>
        <v>0.260869565217391</v>
      </c>
      <c r="E200" s="18" t="n">
        <f aca="false">IFERROR(COUNTIFS(JobRole,$A200,Dept,E$194,AttrFlag,1)/COUNTIFS(JobRole,$A200,Dept,E$194),0)</f>
        <v>0.214285714285714</v>
      </c>
      <c r="F200" s="18" t="n">
        <f aca="false">IFERROR(COUNTIFS(JobRole,$A200,Dept,F$194,AttrFlag,1)/COUNTIFS(JobRole,$A200,Dept,F$194),0)</f>
        <v>0.333333333333333</v>
      </c>
      <c r="G200" s="18" t="n">
        <f aca="false">IFERROR(COUNTIFS(JobRole,$A200,Dept,G$194,AttrFlag,1)/COUNTIFS(JobRole,$A200,Dept,G$194),0)</f>
        <v>0.275862068965517</v>
      </c>
    </row>
  </sheetData>
  <conditionalFormatting sqref="D24:D29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35:D40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46:D47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53:D57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63:D68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74:D78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84:D86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92:D96"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102:D105">
    <cfRule type="colorScale" priority="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111:D112">
    <cfRule type="colorScale" priority="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0:G153">
    <cfRule type="colorScale" priority="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159:H174">
    <cfRule type="colorScale" priority="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179:E190">
    <cfRule type="colorScale" priority="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195:G200">
    <cfRule type="colorScale" priority="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3"/>
    <col collapsed="false" customWidth="true" hidden="false" outlineLevel="0" max="5" min="5" style="0" width="15"/>
    <col collapsed="false" customWidth="true" hidden="false" outlineLevel="0" max="9" min="6" style="0" width="13"/>
  </cols>
  <sheetData>
    <row r="1" customFormat="false" ht="19.7" hidden="false" customHeight="false" outlineLevel="0" collapsed="false">
      <c r="A1" s="1" t="s">
        <v>2344</v>
      </c>
    </row>
    <row r="2" customFormat="false" ht="15" hidden="false" customHeight="false" outlineLevel="0" collapsed="false">
      <c r="A2" s="29" t="s">
        <v>2345</v>
      </c>
    </row>
    <row r="3" customFormat="false" ht="15" hidden="false" customHeight="false" outlineLevel="0" collapsed="false">
      <c r="A3" s="5" t="s">
        <v>2346</v>
      </c>
      <c r="B3" s="5" t="s">
        <v>2347</v>
      </c>
      <c r="C3" s="5" t="s">
        <v>2348</v>
      </c>
      <c r="E3" s="4" t="s">
        <v>2349</v>
      </c>
    </row>
    <row r="4" customFormat="false" ht="15" hidden="false" customHeight="false" outlineLevel="0" collapsed="false">
      <c r="A4" s="11" t="s">
        <v>2228</v>
      </c>
      <c r="B4" s="30" t="s">
        <v>2350</v>
      </c>
      <c r="C4" s="31" t="str">
        <f aca="false">IF(B4="All","*",B4)</f>
        <v>*</v>
      </c>
      <c r="E4" s="6" t="s">
        <v>2255</v>
      </c>
      <c r="F4" s="12" t="n">
        <f aca="false">COUNTIFS(Dept,$C$4,Gender,$C$5,PerfGroup,$C$6,OverTime,$C$7)</f>
        <v>2000</v>
      </c>
    </row>
    <row r="5" customFormat="false" ht="15" hidden="false" customHeight="false" outlineLevel="0" collapsed="false">
      <c r="A5" s="11" t="s">
        <v>2226</v>
      </c>
      <c r="B5" s="30" t="s">
        <v>2350</v>
      </c>
      <c r="C5" s="31" t="str">
        <f aca="false">IF(B5="All","*",B5)</f>
        <v>*</v>
      </c>
      <c r="E5" s="6" t="s">
        <v>2256</v>
      </c>
      <c r="F5" s="12" t="n">
        <f aca="false">COUNTIFS(Dept,$C$4,Gender,$C$5,PerfGroup,$C$6,OverTime,$C$7,AttrFlag,1)</f>
        <v>735</v>
      </c>
    </row>
    <row r="6" customFormat="false" ht="15" hidden="false" customHeight="false" outlineLevel="0" collapsed="false">
      <c r="A6" s="11" t="s">
        <v>2351</v>
      </c>
      <c r="B6" s="30" t="s">
        <v>2350</v>
      </c>
      <c r="C6" s="31" t="str">
        <f aca="false">IF(B6="All","*",B6)</f>
        <v>*</v>
      </c>
      <c r="E6" s="11" t="s">
        <v>2257</v>
      </c>
      <c r="F6" s="32" t="n">
        <f aca="false">IFERROR(F5/F4,0)</f>
        <v>0.3675</v>
      </c>
    </row>
    <row r="7" customFormat="false" ht="15" hidden="false" customHeight="false" outlineLevel="0" collapsed="false">
      <c r="A7" s="11" t="s">
        <v>95</v>
      </c>
      <c r="B7" s="30" t="s">
        <v>2350</v>
      </c>
      <c r="C7" s="31" t="str">
        <f aca="false">IF(B7="All","*",B7)</f>
        <v>*</v>
      </c>
    </row>
    <row r="10" customFormat="false" ht="15" hidden="false" customHeight="false" outlineLevel="0" collapsed="false">
      <c r="A10" s="4" t="s">
        <v>2352</v>
      </c>
    </row>
    <row r="11" customFormat="false" ht="15" hidden="false" customHeight="false" outlineLevel="0" collapsed="false">
      <c r="A11" s="5" t="s">
        <v>122</v>
      </c>
      <c r="B11" s="5" t="s">
        <v>2264</v>
      </c>
      <c r="C11" s="5" t="s">
        <v>2265</v>
      </c>
      <c r="D11" s="5" t="s">
        <v>2266</v>
      </c>
      <c r="E11" s="5" t="s">
        <v>2267</v>
      </c>
      <c r="F11" s="5" t="s">
        <v>2268</v>
      </c>
      <c r="G11" s="5" t="s">
        <v>2350</v>
      </c>
    </row>
    <row r="12" customFormat="false" ht="15" hidden="false" customHeight="false" outlineLevel="0" collapsed="false">
      <c r="A12" s="6" t="s">
        <v>139</v>
      </c>
      <c r="B12" s="18" t="n">
        <f aca="false">IFERROR(COUNTIFS(JobRole,$A12,AgeBand,B$11,Dept,$C$4,Gender,$C$5,PerfGroup,$C$6,OverTime,$C$7,AttrFlag,1)/COUNTIFS(JobRole,$A12,AgeBand,B$11,Dept,$C$4,Gender,$C$5,PerfGroup,$C$6,OverTime,$C$7),"")</f>
        <v>0.612903225806452</v>
      </c>
      <c r="C12" s="18" t="n">
        <f aca="false">IFERROR(COUNTIFS(JobRole,$A12,AgeBand,C$11,Dept,$C$4,Gender,$C$5,PerfGroup,$C$6,OverTime,$C$7,AttrFlag,1)/COUNTIFS(JobRole,$A12,AgeBand,C$11,Dept,$C$4,Gender,$C$5,PerfGroup,$C$6,OverTime,$C$7),"")</f>
        <v>0.509433962264151</v>
      </c>
      <c r="D12" s="18" t="n">
        <f aca="false">IFERROR(COUNTIFS(JobRole,$A12,AgeBand,D$11,Dept,$C$4,Gender,$C$5,PerfGroup,$C$6,OverTime,$C$7,AttrFlag,1)/COUNTIFS(JobRole,$A12,AgeBand,D$11,Dept,$C$4,Gender,$C$5,PerfGroup,$C$6,OverTime,$C$7),"")</f>
        <v>0.353909465020576</v>
      </c>
      <c r="E12" s="18" t="n">
        <f aca="false">IFERROR(COUNTIFS(JobRole,$A12,AgeBand,E$11,Dept,$C$4,Gender,$C$5,PerfGroup,$C$6,OverTime,$C$7,AttrFlag,1)/COUNTIFS(JobRole,$A12,AgeBand,E$11,Dept,$C$4,Gender,$C$5,PerfGroup,$C$6,OverTime,$C$7),"")</f>
        <v>0.125</v>
      </c>
      <c r="F12" s="18" t="str">
        <f aca="false">IFERROR(COUNTIFS(JobRole,$A12,AgeBand,F$11,Dept,$C$4,Gender,$C$5,PerfGroup,$C$6,OverTime,$C$7,AttrFlag,1)/COUNTIFS(JobRole,$A12,AgeBand,F$11,Dept,$C$4,Gender,$C$5,PerfGroup,$C$6,OverTime,$C$7),"")</f>
        <v/>
      </c>
      <c r="G12" s="18" t="n">
        <f aca="false">IFERROR(COUNTIFS(JobRole,$A12,Dept,$C$4,Gender,$C$5,PerfGroup,$C$6,OverTime,$C$7,AttrFlag,1)/COUNTIFS(JobRole,$A12,Dept,$C$4,Gender,$C$5,PerfGroup,$C$6,OverTime,$C$7),"")</f>
        <v>0.428321678321678</v>
      </c>
    </row>
    <row r="13" customFormat="false" ht="15" hidden="false" customHeight="false" outlineLevel="0" collapsed="false">
      <c r="A13" s="6" t="s">
        <v>146</v>
      </c>
      <c r="B13" s="18" t="n">
        <f aca="false">IFERROR(COUNTIFS(JobRole,$A13,AgeBand,B$11,Dept,$C$4,Gender,$C$5,PerfGroup,$C$6,OverTime,$C$7,AttrFlag,1)/COUNTIFS(JobRole,$A13,AgeBand,B$11,Dept,$C$4,Gender,$C$5,PerfGroup,$C$6,OverTime,$C$7),"")</f>
        <v>0.608695652173913</v>
      </c>
      <c r="C13" s="18" t="n">
        <f aca="false">IFERROR(COUNTIFS(JobRole,$A13,AgeBand,C$11,Dept,$C$4,Gender,$C$5,PerfGroup,$C$6,OverTime,$C$7,AttrFlag,1)/COUNTIFS(JobRole,$A13,AgeBand,C$11,Dept,$C$4,Gender,$C$5,PerfGroup,$C$6,OverTime,$C$7),"")</f>
        <v>0.378151260504202</v>
      </c>
      <c r="D13" s="18" t="n">
        <f aca="false">IFERROR(COUNTIFS(JobRole,$A13,AgeBand,D$11,Dept,$C$4,Gender,$C$5,PerfGroup,$C$6,OverTime,$C$7,AttrFlag,1)/COUNTIFS(JobRole,$A13,AgeBand,D$11,Dept,$C$4,Gender,$C$5,PerfGroup,$C$6,OverTime,$C$7),"")</f>
        <v>0.304347826086957</v>
      </c>
      <c r="E13" s="18" t="n">
        <f aca="false">IFERROR(COUNTIFS(JobRole,$A13,AgeBand,E$11,Dept,$C$4,Gender,$C$5,PerfGroup,$C$6,OverTime,$C$7,AttrFlag,1)/COUNTIFS(JobRole,$A13,AgeBand,E$11,Dept,$C$4,Gender,$C$5,PerfGroup,$C$6,OverTime,$C$7),"")</f>
        <v>0.28</v>
      </c>
      <c r="F13" s="18" t="str">
        <f aca="false">IFERROR(COUNTIFS(JobRole,$A13,AgeBand,F$11,Dept,$C$4,Gender,$C$5,PerfGroup,$C$6,OverTime,$C$7,AttrFlag,1)/COUNTIFS(JobRole,$A13,AgeBand,F$11,Dept,$C$4,Gender,$C$5,PerfGroup,$C$6,OverTime,$C$7),"")</f>
        <v/>
      </c>
      <c r="G13" s="18" t="n">
        <f aca="false">IFERROR(COUNTIFS(JobRole,$A13,Dept,$C$4,Gender,$C$5,PerfGroup,$C$6,OverTime,$C$7,AttrFlag,1)/COUNTIFS(JobRole,$A13,Dept,$C$4,Gender,$C$5,PerfGroup,$C$6,OverTime,$C$7),"")</f>
        <v>0.355555555555556</v>
      </c>
    </row>
    <row r="14" customFormat="false" ht="15" hidden="false" customHeight="false" outlineLevel="0" collapsed="false">
      <c r="A14" s="6" t="s">
        <v>156</v>
      </c>
      <c r="B14" s="18" t="n">
        <f aca="false">IFERROR(COUNTIFS(JobRole,$A14,AgeBand,B$11,Dept,$C$4,Gender,$C$5,PerfGroup,$C$6,OverTime,$C$7,AttrFlag,1)/COUNTIFS(JobRole,$A14,AgeBand,B$11,Dept,$C$4,Gender,$C$5,PerfGroup,$C$6,OverTime,$C$7),"")</f>
        <v>0.769230769230769</v>
      </c>
      <c r="C14" s="18" t="n">
        <f aca="false">IFERROR(COUNTIFS(JobRole,$A14,AgeBand,C$11,Dept,$C$4,Gender,$C$5,PerfGroup,$C$6,OverTime,$C$7,AttrFlag,1)/COUNTIFS(JobRole,$A14,AgeBand,C$11,Dept,$C$4,Gender,$C$5,PerfGroup,$C$6,OverTime,$C$7),"")</f>
        <v>0.404109589041096</v>
      </c>
      <c r="D14" s="18" t="n">
        <f aca="false">IFERROR(COUNTIFS(JobRole,$A14,AgeBand,D$11,Dept,$C$4,Gender,$C$5,PerfGroup,$C$6,OverTime,$C$7,AttrFlag,1)/COUNTIFS(JobRole,$A14,AgeBand,D$11,Dept,$C$4,Gender,$C$5,PerfGroup,$C$6,OverTime,$C$7),"")</f>
        <v>0.257142857142857</v>
      </c>
      <c r="E14" s="18" t="n">
        <f aca="false">IFERROR(COUNTIFS(JobRole,$A14,AgeBand,E$11,Dept,$C$4,Gender,$C$5,PerfGroup,$C$6,OverTime,$C$7,AttrFlag,1)/COUNTIFS(JobRole,$A14,AgeBand,E$11,Dept,$C$4,Gender,$C$5,PerfGroup,$C$6,OverTime,$C$7),"")</f>
        <v>0.0769230769230769</v>
      </c>
      <c r="F14" s="18" t="str">
        <f aca="false">IFERROR(COUNTIFS(JobRole,$A14,AgeBand,F$11,Dept,$C$4,Gender,$C$5,PerfGroup,$C$6,OverTime,$C$7,AttrFlag,1)/COUNTIFS(JobRole,$A14,AgeBand,F$11,Dept,$C$4,Gender,$C$5,PerfGroup,$C$6,OverTime,$C$7),"")</f>
        <v/>
      </c>
      <c r="G14" s="18" t="n">
        <f aca="false">IFERROR(COUNTIFS(JobRole,$A14,Dept,$C$4,Gender,$C$5,PerfGroup,$C$6,OverTime,$C$7,AttrFlag,1)/COUNTIFS(JobRole,$A14,Dept,$C$4,Gender,$C$5,PerfGroup,$C$6,OverTime,$C$7),"")</f>
        <v>0.33974358974359</v>
      </c>
    </row>
    <row r="15" customFormat="false" ht="15" hidden="false" customHeight="false" outlineLevel="0" collapsed="false">
      <c r="A15" s="6" t="s">
        <v>149</v>
      </c>
      <c r="B15" s="18" t="n">
        <f aca="false">IFERROR(COUNTIFS(JobRole,$A15,AgeBand,B$11,Dept,$C$4,Gender,$C$5,PerfGroup,$C$6,OverTime,$C$7,AttrFlag,1)/COUNTIFS(JobRole,$A15,AgeBand,B$11,Dept,$C$4,Gender,$C$5,PerfGroup,$C$6,OverTime,$C$7),"")</f>
        <v>0.25</v>
      </c>
      <c r="C15" s="18" t="n">
        <f aca="false">IFERROR(COUNTIFS(JobRole,$A15,AgeBand,C$11,Dept,$C$4,Gender,$C$5,PerfGroup,$C$6,OverTime,$C$7,AttrFlag,1)/COUNTIFS(JobRole,$A15,AgeBand,C$11,Dept,$C$4,Gender,$C$5,PerfGroup,$C$6,OverTime,$C$7),"")</f>
        <v>0.441379310344828</v>
      </c>
      <c r="D15" s="18" t="n">
        <f aca="false">IFERROR(COUNTIFS(JobRole,$A15,AgeBand,D$11,Dept,$C$4,Gender,$C$5,PerfGroup,$C$6,OverTime,$C$7,AttrFlag,1)/COUNTIFS(JobRole,$A15,AgeBand,D$11,Dept,$C$4,Gender,$C$5,PerfGroup,$C$6,OverTime,$C$7),"")</f>
        <v>0.357142857142857</v>
      </c>
      <c r="E15" s="18" t="n">
        <f aca="false">IFERROR(COUNTIFS(JobRole,$A15,AgeBand,E$11,Dept,$C$4,Gender,$C$5,PerfGroup,$C$6,OverTime,$C$7,AttrFlag,1)/COUNTIFS(JobRole,$A15,AgeBand,E$11,Dept,$C$4,Gender,$C$5,PerfGroup,$C$6,OverTime,$C$7),"")</f>
        <v>0.363636363636364</v>
      </c>
      <c r="F15" s="18" t="str">
        <f aca="false">IFERROR(COUNTIFS(JobRole,$A15,AgeBand,F$11,Dept,$C$4,Gender,$C$5,PerfGroup,$C$6,OverTime,$C$7,AttrFlag,1)/COUNTIFS(JobRole,$A15,AgeBand,F$11,Dept,$C$4,Gender,$C$5,PerfGroup,$C$6,OverTime,$C$7),"")</f>
        <v/>
      </c>
      <c r="G15" s="18" t="n">
        <f aca="false">IFERROR(COUNTIFS(JobRole,$A15,Dept,$C$4,Gender,$C$5,PerfGroup,$C$6,OverTime,$C$7,AttrFlag,1)/COUNTIFS(JobRole,$A15,Dept,$C$4,Gender,$C$5,PerfGroup,$C$6,OverTime,$C$7),"")</f>
        <v>0.397003745318352</v>
      </c>
    </row>
    <row r="16" customFormat="false" ht="15" hidden="false" customHeight="false" outlineLevel="0" collapsed="false">
      <c r="A16" s="6" t="s">
        <v>178</v>
      </c>
      <c r="B16" s="18" t="n">
        <f aca="false">IFERROR(COUNTIFS(JobRole,$A16,AgeBand,B$11,Dept,$C$4,Gender,$C$5,PerfGroup,$C$6,OverTime,$C$7,AttrFlag,1)/COUNTIFS(JobRole,$A16,AgeBand,B$11,Dept,$C$4,Gender,$C$5,PerfGroup,$C$6,OverTime,$C$7),"")</f>
        <v>0.636363636363636</v>
      </c>
      <c r="C16" s="18" t="n">
        <f aca="false">IFERROR(COUNTIFS(JobRole,$A16,AgeBand,C$11,Dept,$C$4,Gender,$C$5,PerfGroup,$C$6,OverTime,$C$7,AttrFlag,1)/COUNTIFS(JobRole,$A16,AgeBand,C$11,Dept,$C$4,Gender,$C$5,PerfGroup,$C$6,OverTime,$C$7),"")</f>
        <v>0.444444444444444</v>
      </c>
      <c r="D16" s="18" t="n">
        <f aca="false">IFERROR(COUNTIFS(JobRole,$A16,AgeBand,D$11,Dept,$C$4,Gender,$C$5,PerfGroup,$C$6,OverTime,$C$7,AttrFlag,1)/COUNTIFS(JobRole,$A16,AgeBand,D$11,Dept,$C$4,Gender,$C$5,PerfGroup,$C$6,OverTime,$C$7),"")</f>
        <v>0.177777777777778</v>
      </c>
      <c r="E16" s="18" t="n">
        <f aca="false">IFERROR(COUNTIFS(JobRole,$A16,AgeBand,E$11,Dept,$C$4,Gender,$C$5,PerfGroup,$C$6,OverTime,$C$7,AttrFlag,1)/COUNTIFS(JobRole,$A16,AgeBand,E$11,Dept,$C$4,Gender,$C$5,PerfGroup,$C$6,OverTime,$C$7),"")</f>
        <v>0.230769230769231</v>
      </c>
      <c r="F16" s="18" t="str">
        <f aca="false">IFERROR(COUNTIFS(JobRole,$A16,AgeBand,F$11,Dept,$C$4,Gender,$C$5,PerfGroup,$C$6,OverTime,$C$7,AttrFlag,1)/COUNTIFS(JobRole,$A16,AgeBand,F$11,Dept,$C$4,Gender,$C$5,PerfGroup,$C$6,OverTime,$C$7),"")</f>
        <v/>
      </c>
      <c r="G16" s="18" t="n">
        <f aca="false">IFERROR(COUNTIFS(JobRole,$A16,Dept,$C$4,Gender,$C$5,PerfGroup,$C$6,OverTime,$C$7,AttrFlag,1)/COUNTIFS(JobRole,$A16,Dept,$C$4,Gender,$C$5,PerfGroup,$C$6,OverTime,$C$7),"")</f>
        <v>0.326829268292683</v>
      </c>
    </row>
    <row r="17" customFormat="false" ht="15" hidden="false" customHeight="false" outlineLevel="0" collapsed="false">
      <c r="A17" s="6" t="s">
        <v>192</v>
      </c>
      <c r="B17" s="18" t="n">
        <f aca="false">IFERROR(COUNTIFS(JobRole,$A17,AgeBand,B$11,Dept,$C$4,Gender,$C$5,PerfGroup,$C$6,OverTime,$C$7,AttrFlag,1)/COUNTIFS(JobRole,$A17,AgeBand,B$11,Dept,$C$4,Gender,$C$5,PerfGroup,$C$6,OverTime,$C$7),"")</f>
        <v>0.4</v>
      </c>
      <c r="C17" s="18" t="n">
        <f aca="false">IFERROR(COUNTIFS(JobRole,$A17,AgeBand,C$11,Dept,$C$4,Gender,$C$5,PerfGroup,$C$6,OverTime,$C$7,AttrFlag,1)/COUNTIFS(JobRole,$A17,AgeBand,C$11,Dept,$C$4,Gender,$C$5,PerfGroup,$C$6,OverTime,$C$7),"")</f>
        <v>0.287878787878788</v>
      </c>
      <c r="D17" s="18" t="n">
        <f aca="false">IFERROR(COUNTIFS(JobRole,$A17,AgeBand,D$11,Dept,$C$4,Gender,$C$5,PerfGroup,$C$6,OverTime,$C$7,AttrFlag,1)/COUNTIFS(JobRole,$A17,AgeBand,D$11,Dept,$C$4,Gender,$C$5,PerfGroup,$C$6,OverTime,$C$7),"")</f>
        <v>0.188405797101449</v>
      </c>
      <c r="E17" s="18" t="n">
        <f aca="false">IFERROR(COUNTIFS(JobRole,$A17,AgeBand,E$11,Dept,$C$4,Gender,$C$5,PerfGroup,$C$6,OverTime,$C$7,AttrFlag,1)/COUNTIFS(JobRole,$A17,AgeBand,E$11,Dept,$C$4,Gender,$C$5,PerfGroup,$C$6,OverTime,$C$7),"")</f>
        <v>0.125</v>
      </c>
      <c r="F17" s="18" t="str">
        <f aca="false">IFERROR(COUNTIFS(JobRole,$A17,AgeBand,F$11,Dept,$C$4,Gender,$C$5,PerfGroup,$C$6,OverTime,$C$7,AttrFlag,1)/COUNTIFS(JobRole,$A17,AgeBand,F$11,Dept,$C$4,Gender,$C$5,PerfGroup,$C$6,OverTime,$C$7),"")</f>
        <v/>
      </c>
      <c r="G17" s="18" t="n">
        <f aca="false">IFERROR(COUNTIFS(JobRole,$A17,Dept,$C$4,Gender,$C$5,PerfGroup,$C$6,OverTime,$C$7,AttrFlag,1)/COUNTIFS(JobRole,$A17,Dept,$C$4,Gender,$C$5,PerfGroup,$C$6,OverTime,$C$7),"")</f>
        <v>0.23489932885906</v>
      </c>
    </row>
    <row r="20" customFormat="false" ht="15" hidden="false" customHeight="false" outlineLevel="0" collapsed="false">
      <c r="A20" s="4" t="s">
        <v>2353</v>
      </c>
    </row>
    <row r="21" customFormat="false" ht="15" hidden="false" customHeight="false" outlineLevel="0" collapsed="false">
      <c r="A21" s="5" t="s">
        <v>122</v>
      </c>
      <c r="B21" s="5" t="s">
        <v>2264</v>
      </c>
      <c r="C21" s="5" t="s">
        <v>2265</v>
      </c>
      <c r="D21" s="5" t="s">
        <v>2266</v>
      </c>
      <c r="E21" s="5" t="s">
        <v>2267</v>
      </c>
      <c r="F21" s="5" t="s">
        <v>2268</v>
      </c>
      <c r="G21" s="5" t="s">
        <v>2350</v>
      </c>
    </row>
    <row r="22" customFormat="false" ht="15" hidden="false" customHeight="false" outlineLevel="0" collapsed="false">
      <c r="A22" s="6" t="s">
        <v>139</v>
      </c>
      <c r="B22" s="12" t="n">
        <f aca="false">COUNTIFS(JobRole,$A22,AgeBand,B$21,Dept,$C$4,Gender,$C$5,PerfGroup,$C$6,OverTime,$C$7,AttrFlag,1)</f>
        <v>19</v>
      </c>
      <c r="C22" s="12" t="n">
        <f aca="false">COUNTIFS(JobRole,$A22,AgeBand,C$21,Dept,$C$4,Gender,$C$5,PerfGroup,$C$6,OverTime,$C$7,AttrFlag,1)</f>
        <v>135</v>
      </c>
      <c r="D22" s="12" t="n">
        <f aca="false">COUNTIFS(JobRole,$A22,AgeBand,D$21,Dept,$C$4,Gender,$C$5,PerfGroup,$C$6,OverTime,$C$7,AttrFlag,1)</f>
        <v>86</v>
      </c>
      <c r="E22" s="12" t="n">
        <f aca="false">COUNTIFS(JobRole,$A22,AgeBand,E$21,Dept,$C$4,Gender,$C$5,PerfGroup,$C$6,OverTime,$C$7,AttrFlag,1)</f>
        <v>4</v>
      </c>
      <c r="F22" s="12" t="n">
        <f aca="false">COUNTIFS(JobRole,$A22,AgeBand,F$21,Dept,$C$4,Gender,$C$5,PerfGroup,$C$6,OverTime,$C$7,AttrFlag,1)</f>
        <v>0</v>
      </c>
      <c r="G22" s="12" t="n">
        <f aca="false">COUNTIFS(JobRole,$A22,Dept,$C$4,Gender,$C$5,PerfGroup,$C$6,OverTime,$C$7,AttrFlag,1)</f>
        <v>245</v>
      </c>
    </row>
    <row r="23" customFormat="false" ht="15" hidden="false" customHeight="false" outlineLevel="0" collapsed="false">
      <c r="A23" s="6" t="s">
        <v>146</v>
      </c>
      <c r="B23" s="12" t="n">
        <f aca="false">COUNTIFS(JobRole,$A23,AgeBand,B$21,Dept,$C$4,Gender,$C$5,PerfGroup,$C$6,OverTime,$C$7,AttrFlag,1)</f>
        <v>14</v>
      </c>
      <c r="C23" s="12" t="n">
        <f aca="false">COUNTIFS(JobRole,$A23,AgeBand,C$21,Dept,$C$4,Gender,$C$5,PerfGroup,$C$6,OverTime,$C$7,AttrFlag,1)</f>
        <v>90</v>
      </c>
      <c r="D23" s="12" t="n">
        <f aca="false">COUNTIFS(JobRole,$A23,AgeBand,D$21,Dept,$C$4,Gender,$C$5,PerfGroup,$C$6,OverTime,$C$7,AttrFlag,1)</f>
        <v>63</v>
      </c>
      <c r="E23" s="12" t="n">
        <f aca="false">COUNTIFS(JobRole,$A23,AgeBand,E$21,Dept,$C$4,Gender,$C$5,PerfGroup,$C$6,OverTime,$C$7,AttrFlag,1)</f>
        <v>7</v>
      </c>
      <c r="F23" s="12" t="n">
        <f aca="false">COUNTIFS(JobRole,$A23,AgeBand,F$21,Dept,$C$4,Gender,$C$5,PerfGroup,$C$6,OverTime,$C$7,AttrFlag,1)</f>
        <v>0</v>
      </c>
      <c r="G23" s="12" t="n">
        <f aca="false">COUNTIFS(JobRole,$A23,Dept,$C$4,Gender,$C$5,PerfGroup,$C$6,OverTime,$C$7,AttrFlag,1)</f>
        <v>176</v>
      </c>
    </row>
    <row r="24" customFormat="false" ht="15" hidden="false" customHeight="false" outlineLevel="0" collapsed="false">
      <c r="A24" s="6" t="s">
        <v>156</v>
      </c>
      <c r="B24" s="12" t="n">
        <f aca="false">COUNTIFS(JobRole,$A24,AgeBand,B$21,Dept,$C$4,Gender,$C$5,PerfGroup,$C$6,OverTime,$C$7,AttrFlag,1)</f>
        <v>10</v>
      </c>
      <c r="C24" s="12" t="n">
        <f aca="false">COUNTIFS(JobRole,$A24,AgeBand,C$21,Dept,$C$4,Gender,$C$5,PerfGroup,$C$6,OverTime,$C$7,AttrFlag,1)</f>
        <v>59</v>
      </c>
      <c r="D24" s="12" t="n">
        <f aca="false">COUNTIFS(JobRole,$A24,AgeBand,D$21,Dept,$C$4,Gender,$C$5,PerfGroup,$C$6,OverTime,$C$7,AttrFlag,1)</f>
        <v>36</v>
      </c>
      <c r="E24" s="12" t="n">
        <f aca="false">COUNTIFS(JobRole,$A24,AgeBand,E$21,Dept,$C$4,Gender,$C$5,PerfGroup,$C$6,OverTime,$C$7,AttrFlag,1)</f>
        <v>1</v>
      </c>
      <c r="F24" s="12" t="n">
        <f aca="false">COUNTIFS(JobRole,$A24,AgeBand,F$21,Dept,$C$4,Gender,$C$5,PerfGroup,$C$6,OverTime,$C$7,AttrFlag,1)</f>
        <v>0</v>
      </c>
      <c r="G24" s="12" t="n">
        <f aca="false">COUNTIFS(JobRole,$A24,Dept,$C$4,Gender,$C$5,PerfGroup,$C$6,OverTime,$C$7,AttrFlag,1)</f>
        <v>106</v>
      </c>
    </row>
    <row r="25" customFormat="false" ht="15" hidden="false" customHeight="false" outlineLevel="0" collapsed="false">
      <c r="A25" s="6" t="s">
        <v>149</v>
      </c>
      <c r="B25" s="12" t="n">
        <f aca="false">COUNTIFS(JobRole,$A25,AgeBand,B$21,Dept,$C$4,Gender,$C$5,PerfGroup,$C$6,OverTime,$C$7,AttrFlag,1)</f>
        <v>3</v>
      </c>
      <c r="C25" s="12" t="n">
        <f aca="false">COUNTIFS(JobRole,$A25,AgeBand,C$21,Dept,$C$4,Gender,$C$5,PerfGroup,$C$6,OverTime,$C$7,AttrFlag,1)</f>
        <v>64</v>
      </c>
      <c r="D25" s="12" t="n">
        <f aca="false">COUNTIFS(JobRole,$A25,AgeBand,D$21,Dept,$C$4,Gender,$C$5,PerfGroup,$C$6,OverTime,$C$7,AttrFlag,1)</f>
        <v>35</v>
      </c>
      <c r="E25" s="12" t="n">
        <f aca="false">COUNTIFS(JobRole,$A25,AgeBand,E$21,Dept,$C$4,Gender,$C$5,PerfGroup,$C$6,OverTime,$C$7,AttrFlag,1)</f>
        <v>4</v>
      </c>
      <c r="F25" s="12" t="n">
        <f aca="false">COUNTIFS(JobRole,$A25,AgeBand,F$21,Dept,$C$4,Gender,$C$5,PerfGroup,$C$6,OverTime,$C$7,AttrFlag,1)</f>
        <v>0</v>
      </c>
      <c r="G25" s="12" t="n">
        <f aca="false">COUNTIFS(JobRole,$A25,Dept,$C$4,Gender,$C$5,PerfGroup,$C$6,OverTime,$C$7,AttrFlag,1)</f>
        <v>106</v>
      </c>
    </row>
    <row r="26" customFormat="false" ht="15" hidden="false" customHeight="false" outlineLevel="0" collapsed="false">
      <c r="A26" s="6" t="s">
        <v>178</v>
      </c>
      <c r="B26" s="12" t="n">
        <f aca="false">COUNTIFS(JobRole,$A26,AgeBand,B$21,Dept,$C$4,Gender,$C$5,PerfGroup,$C$6,OverTime,$C$7,AttrFlag,1)</f>
        <v>7</v>
      </c>
      <c r="C26" s="12" t="n">
        <f aca="false">COUNTIFS(JobRole,$A26,AgeBand,C$21,Dept,$C$4,Gender,$C$5,PerfGroup,$C$6,OverTime,$C$7,AttrFlag,1)</f>
        <v>40</v>
      </c>
      <c r="D26" s="12" t="n">
        <f aca="false">COUNTIFS(JobRole,$A26,AgeBand,D$21,Dept,$C$4,Gender,$C$5,PerfGroup,$C$6,OverTime,$C$7,AttrFlag,1)</f>
        <v>16</v>
      </c>
      <c r="E26" s="12" t="n">
        <f aca="false">COUNTIFS(JobRole,$A26,AgeBand,E$21,Dept,$C$4,Gender,$C$5,PerfGroup,$C$6,OverTime,$C$7,AttrFlag,1)</f>
        <v>3</v>
      </c>
      <c r="F26" s="12" t="n">
        <f aca="false">COUNTIFS(JobRole,$A26,AgeBand,F$21,Dept,$C$4,Gender,$C$5,PerfGroup,$C$6,OverTime,$C$7,AttrFlag,1)</f>
        <v>0</v>
      </c>
      <c r="G26" s="12" t="n">
        <f aca="false">COUNTIFS(JobRole,$A26,Dept,$C$4,Gender,$C$5,PerfGroup,$C$6,OverTime,$C$7,AttrFlag,1)</f>
        <v>67</v>
      </c>
    </row>
    <row r="27" customFormat="false" ht="15" hidden="false" customHeight="false" outlineLevel="0" collapsed="false">
      <c r="A27" s="6" t="s">
        <v>192</v>
      </c>
      <c r="B27" s="12" t="n">
        <f aca="false">COUNTIFS(JobRole,$A27,AgeBand,B$21,Dept,$C$4,Gender,$C$5,PerfGroup,$C$6,OverTime,$C$7,AttrFlag,1)</f>
        <v>2</v>
      </c>
      <c r="C27" s="12" t="n">
        <f aca="false">COUNTIFS(JobRole,$A27,AgeBand,C$21,Dept,$C$4,Gender,$C$5,PerfGroup,$C$6,OverTime,$C$7,AttrFlag,1)</f>
        <v>19</v>
      </c>
      <c r="D27" s="12" t="n">
        <f aca="false">COUNTIFS(JobRole,$A27,AgeBand,D$21,Dept,$C$4,Gender,$C$5,PerfGroup,$C$6,OverTime,$C$7,AttrFlag,1)</f>
        <v>13</v>
      </c>
      <c r="E27" s="12" t="n">
        <f aca="false">COUNTIFS(JobRole,$A27,AgeBand,E$21,Dept,$C$4,Gender,$C$5,PerfGroup,$C$6,OverTime,$C$7,AttrFlag,1)</f>
        <v>1</v>
      </c>
      <c r="F27" s="12" t="n">
        <f aca="false">COUNTIFS(JobRole,$A27,AgeBand,F$21,Dept,$C$4,Gender,$C$5,PerfGroup,$C$6,OverTime,$C$7,AttrFlag,1)</f>
        <v>0</v>
      </c>
      <c r="G27" s="12" t="n">
        <f aca="false">COUNTIFS(JobRole,$A27,Dept,$C$4,Gender,$C$5,PerfGroup,$C$6,OverTime,$C$7,AttrFlag,1)</f>
        <v>35</v>
      </c>
    </row>
    <row r="30" customFormat="false" ht="15" hidden="false" customHeight="false" outlineLevel="0" collapsed="false">
      <c r="A30" s="4" t="s">
        <v>2354</v>
      </c>
    </row>
    <row r="31" customFormat="false" ht="15" hidden="false" customHeight="false" outlineLevel="0" collapsed="false">
      <c r="A31" s="5" t="s">
        <v>122</v>
      </c>
      <c r="B31" s="5" t="s">
        <v>136</v>
      </c>
      <c r="C31" s="5" t="s">
        <v>144</v>
      </c>
      <c r="D31" s="5" t="s">
        <v>2350</v>
      </c>
    </row>
    <row r="32" customFormat="false" ht="15" hidden="false" customHeight="false" outlineLevel="0" collapsed="false">
      <c r="A32" s="6" t="s">
        <v>139</v>
      </c>
      <c r="B32" s="18" t="n">
        <f aca="false">IFERROR(COUNTIFS(JobRole,$A32,Gender,B$31,Dept,$C$4,Gender,$C$5,PerfGroup,$C$6,OverTime,$C$7,AttrFlag,1)/COUNTIFS(JobRole,$A32,Gender,B$31,Dept,$C$4,Gender,$C$5,PerfGroup,$C$6,OverTime,$C$7),"")</f>
        <v>0.399350649350649</v>
      </c>
      <c r="C32" s="18" t="n">
        <f aca="false">IFERROR(COUNTIFS(JobRole,$A32,Gender,C$31,Dept,$C$4,Gender,$C$5,PerfGroup,$C$6,OverTime,$C$7,AttrFlag,1)/COUNTIFS(JobRole,$A32,Gender,C$31,Dept,$C$4,Gender,$C$5,PerfGroup,$C$6,OverTime,$C$7),"")</f>
        <v>0.462121212121212</v>
      </c>
      <c r="D32" s="18" t="n">
        <f aca="false">IFERROR(COUNTIFS(JobRole,$A32,Dept,$C$4,Gender,$C$5,PerfGroup,$C$6,OverTime,$C$7,AttrFlag,1)/COUNTIFS(JobRole,$A32,Dept,$C$4,Gender,$C$5,PerfGroup,$C$6,OverTime,$C$7),"")</f>
        <v>0.428321678321678</v>
      </c>
    </row>
    <row r="33" customFormat="false" ht="15" hidden="false" customHeight="false" outlineLevel="0" collapsed="false">
      <c r="A33" s="6" t="s">
        <v>146</v>
      </c>
      <c r="B33" s="18" t="n">
        <f aca="false">IFERROR(COUNTIFS(JobRole,$A33,Gender,B$31,Dept,$C$4,Gender,$C$5,PerfGroup,$C$6,OverTime,$C$7,AttrFlag,1)/COUNTIFS(JobRole,$A33,Gender,B$31,Dept,$C$4,Gender,$C$5,PerfGroup,$C$6,OverTime,$C$7),"")</f>
        <v>0.356589147286822</v>
      </c>
      <c r="C33" s="18" t="n">
        <f aca="false">IFERROR(COUNTIFS(JobRole,$A33,Gender,C$31,Dept,$C$4,Gender,$C$5,PerfGroup,$C$6,OverTime,$C$7,AttrFlag,1)/COUNTIFS(JobRole,$A33,Gender,C$31,Dept,$C$4,Gender,$C$5,PerfGroup,$C$6,OverTime,$C$7),"")</f>
        <v>0.354430379746835</v>
      </c>
      <c r="D33" s="18" t="n">
        <f aca="false">IFERROR(COUNTIFS(JobRole,$A33,Dept,$C$4,Gender,$C$5,PerfGroup,$C$6,OverTime,$C$7,AttrFlag,1)/COUNTIFS(JobRole,$A33,Dept,$C$4,Gender,$C$5,PerfGroup,$C$6,OverTime,$C$7),"")</f>
        <v>0.355555555555556</v>
      </c>
    </row>
    <row r="34" customFormat="false" ht="15" hidden="false" customHeight="false" outlineLevel="0" collapsed="false">
      <c r="A34" s="6" t="s">
        <v>156</v>
      </c>
      <c r="B34" s="18" t="n">
        <f aca="false">IFERROR(COUNTIFS(JobRole,$A34,Gender,B$31,Dept,$C$4,Gender,$C$5,PerfGroup,$C$6,OverTime,$C$7,AttrFlag,1)/COUNTIFS(JobRole,$A34,Gender,B$31,Dept,$C$4,Gender,$C$5,PerfGroup,$C$6,OverTime,$C$7),"")</f>
        <v>0.31875</v>
      </c>
      <c r="C34" s="18" t="n">
        <f aca="false">IFERROR(COUNTIFS(JobRole,$A34,Gender,C$31,Dept,$C$4,Gender,$C$5,PerfGroup,$C$6,OverTime,$C$7,AttrFlag,1)/COUNTIFS(JobRole,$A34,Gender,C$31,Dept,$C$4,Gender,$C$5,PerfGroup,$C$6,OverTime,$C$7),"")</f>
        <v>0.361842105263158</v>
      </c>
      <c r="D34" s="18" t="n">
        <f aca="false">IFERROR(COUNTIFS(JobRole,$A34,Dept,$C$4,Gender,$C$5,PerfGroup,$C$6,OverTime,$C$7,AttrFlag,1)/COUNTIFS(JobRole,$A34,Dept,$C$4,Gender,$C$5,PerfGroup,$C$6,OverTime,$C$7),"")</f>
        <v>0.33974358974359</v>
      </c>
    </row>
    <row r="35" customFormat="false" ht="15" hidden="false" customHeight="false" outlineLevel="0" collapsed="false">
      <c r="A35" s="6" t="s">
        <v>149</v>
      </c>
      <c r="B35" s="18" t="n">
        <f aca="false">IFERROR(COUNTIFS(JobRole,$A35,Gender,B$31,Dept,$C$4,Gender,$C$5,PerfGroup,$C$6,OverTime,$C$7,AttrFlag,1)/COUNTIFS(JobRole,$A35,Gender,B$31,Dept,$C$4,Gender,$C$5,PerfGroup,$C$6,OverTime,$C$7),"")</f>
        <v>0.402777777777778</v>
      </c>
      <c r="C35" s="18" t="n">
        <f aca="false">IFERROR(COUNTIFS(JobRole,$A35,Gender,C$31,Dept,$C$4,Gender,$C$5,PerfGroup,$C$6,OverTime,$C$7,AttrFlag,1)/COUNTIFS(JobRole,$A35,Gender,C$31,Dept,$C$4,Gender,$C$5,PerfGroup,$C$6,OverTime,$C$7),"")</f>
        <v>0.390243902439024</v>
      </c>
      <c r="D35" s="18" t="n">
        <f aca="false">IFERROR(COUNTIFS(JobRole,$A35,Dept,$C$4,Gender,$C$5,PerfGroup,$C$6,OverTime,$C$7,AttrFlag,1)/COUNTIFS(JobRole,$A35,Dept,$C$4,Gender,$C$5,PerfGroup,$C$6,OverTime,$C$7),"")</f>
        <v>0.397003745318352</v>
      </c>
    </row>
    <row r="36" customFormat="false" ht="15" hidden="false" customHeight="false" outlineLevel="0" collapsed="false">
      <c r="A36" s="6" t="s">
        <v>178</v>
      </c>
      <c r="B36" s="18" t="n">
        <f aca="false">IFERROR(COUNTIFS(JobRole,$A36,Gender,B$31,Dept,$C$4,Gender,$C$5,PerfGroup,$C$6,OverTime,$C$7,AttrFlag,1)/COUNTIFS(JobRole,$A36,Gender,B$31,Dept,$C$4,Gender,$C$5,PerfGroup,$C$6,OverTime,$C$7),"")</f>
        <v>0.345132743362832</v>
      </c>
      <c r="C36" s="18" t="n">
        <f aca="false">IFERROR(COUNTIFS(JobRole,$A36,Gender,C$31,Dept,$C$4,Gender,$C$5,PerfGroup,$C$6,OverTime,$C$7,AttrFlag,1)/COUNTIFS(JobRole,$A36,Gender,C$31,Dept,$C$4,Gender,$C$5,PerfGroup,$C$6,OverTime,$C$7),"")</f>
        <v>0.304347826086957</v>
      </c>
      <c r="D36" s="18" t="n">
        <f aca="false">IFERROR(COUNTIFS(JobRole,$A36,Dept,$C$4,Gender,$C$5,PerfGroup,$C$6,OverTime,$C$7,AttrFlag,1)/COUNTIFS(JobRole,$A36,Dept,$C$4,Gender,$C$5,PerfGroup,$C$6,OverTime,$C$7),"")</f>
        <v>0.326829268292683</v>
      </c>
    </row>
    <row r="37" customFormat="false" ht="15" hidden="false" customHeight="false" outlineLevel="0" collapsed="false">
      <c r="A37" s="6" t="s">
        <v>192</v>
      </c>
      <c r="B37" s="18" t="n">
        <f aca="false">IFERROR(COUNTIFS(JobRole,$A37,Gender,B$31,Dept,$C$4,Gender,$C$5,PerfGroup,$C$6,OverTime,$C$7,AttrFlag,1)/COUNTIFS(JobRole,$A37,Gender,B$31,Dept,$C$4,Gender,$C$5,PerfGroup,$C$6,OverTime,$C$7),"")</f>
        <v>0.238095238095238</v>
      </c>
      <c r="C37" s="18" t="n">
        <f aca="false">IFERROR(COUNTIFS(JobRole,$A37,Gender,C$31,Dept,$C$4,Gender,$C$5,PerfGroup,$C$6,OverTime,$C$7,AttrFlag,1)/COUNTIFS(JobRole,$A37,Gender,C$31,Dept,$C$4,Gender,$C$5,PerfGroup,$C$6,OverTime,$C$7),"")</f>
        <v>0.230769230769231</v>
      </c>
      <c r="D37" s="18" t="n">
        <f aca="false">IFERROR(COUNTIFS(JobRole,$A37,Dept,$C$4,Gender,$C$5,PerfGroup,$C$6,OverTime,$C$7,AttrFlag,1)/COUNTIFS(JobRole,$A37,Dept,$C$4,Gender,$C$5,PerfGroup,$C$6,OverTime,$C$7),"")</f>
        <v>0.23489932885906</v>
      </c>
    </row>
    <row r="40" customFormat="false" ht="15" hidden="false" customHeight="false" outlineLevel="0" collapsed="false">
      <c r="A40" s="4" t="s">
        <v>2355</v>
      </c>
    </row>
    <row r="41" customFormat="false" ht="15" hidden="false" customHeight="false" outlineLevel="0" collapsed="false">
      <c r="A41" s="5" t="s">
        <v>122</v>
      </c>
      <c r="B41" s="5" t="s">
        <v>2271</v>
      </c>
      <c r="C41" s="5" t="s">
        <v>2272</v>
      </c>
      <c r="D41" s="5" t="s">
        <v>2273</v>
      </c>
      <c r="E41" s="5" t="s">
        <v>2274</v>
      </c>
      <c r="F41" s="5" t="s">
        <v>2275</v>
      </c>
      <c r="G41" s="5" t="s">
        <v>2350</v>
      </c>
    </row>
    <row r="42" customFormat="false" ht="15" hidden="false" customHeight="false" outlineLevel="0" collapsed="false">
      <c r="A42" s="6" t="s">
        <v>139</v>
      </c>
      <c r="B42" s="18" t="n">
        <f aca="false">IFERROR(COUNTIFS(JobRole,$A42,TenureBand,B$41,Dept,$C$4,Gender,$C$5,PerfGroup,$C$6,OverTime,$C$7,AttrFlag,1)/COUNTIFS(JobRole,$A42,TenureBand,B$41,Dept,$C$4,Gender,$C$5,PerfGroup,$C$6,OverTime,$C$7),"")</f>
        <v>0.608695652173913</v>
      </c>
      <c r="C42" s="18" t="n">
        <f aca="false">IFERROR(COUNTIFS(JobRole,$A42,TenureBand,C$41,Dept,$C$4,Gender,$C$5,PerfGroup,$C$6,OverTime,$C$7,AttrFlag,1)/COUNTIFS(JobRole,$A42,TenureBand,C$41,Dept,$C$4,Gender,$C$5,PerfGroup,$C$6,OverTime,$C$7),"")</f>
        <v>0.526315789473684</v>
      </c>
      <c r="D42" s="18" t="n">
        <f aca="false">IFERROR(COUNTIFS(JobRole,$A42,TenureBand,D$41,Dept,$C$4,Gender,$C$5,PerfGroup,$C$6,OverTime,$C$7,AttrFlag,1)/COUNTIFS(JobRole,$A42,TenureBand,D$41,Dept,$C$4,Gender,$C$5,PerfGroup,$C$6,OverTime,$C$7),"")</f>
        <v>0.518987341772152</v>
      </c>
      <c r="E42" s="18" t="n">
        <f aca="false">IFERROR(COUNTIFS(JobRole,$A42,TenureBand,E$41,Dept,$C$4,Gender,$C$5,PerfGroup,$C$6,OverTime,$C$7,AttrFlag,1)/COUNTIFS(JobRole,$A42,TenureBand,E$41,Dept,$C$4,Gender,$C$5,PerfGroup,$C$6,OverTime,$C$7),"")</f>
        <v>0.354651162790698</v>
      </c>
      <c r="F42" s="18" t="n">
        <f aca="false">IFERROR(COUNTIFS(JobRole,$A42,TenureBand,F$41,Dept,$C$4,Gender,$C$5,PerfGroup,$C$6,OverTime,$C$7,AttrFlag,1)/COUNTIFS(JobRole,$A42,TenureBand,F$41,Dept,$C$4,Gender,$C$5,PerfGroup,$C$6,OverTime,$C$7),"")</f>
        <v>0.177083333333333</v>
      </c>
      <c r="G42" s="18" t="n">
        <f aca="false">IFERROR(COUNTIFS(JobRole,$A42,Dept,$C$4,Gender,$C$5,PerfGroup,$C$6,OverTime,$C$7,AttrFlag,1)/COUNTIFS(JobRole,$A42,Dept,$C$4,Gender,$C$5,PerfGroup,$C$6,OverTime,$C$7),"")</f>
        <v>0.428321678321678</v>
      </c>
    </row>
    <row r="43" customFormat="false" ht="15" hidden="false" customHeight="false" outlineLevel="0" collapsed="false">
      <c r="A43" s="6" t="s">
        <v>146</v>
      </c>
      <c r="B43" s="18" t="n">
        <f aca="false">IFERROR(COUNTIFS(JobRole,$A43,TenureBand,B$41,Dept,$C$4,Gender,$C$5,PerfGroup,$C$6,OverTime,$C$7,AttrFlag,1)/COUNTIFS(JobRole,$A43,TenureBand,B$41,Dept,$C$4,Gender,$C$5,PerfGroup,$C$6,OverTime,$C$7),"")</f>
        <v>0.486486486486487</v>
      </c>
      <c r="C43" s="18" t="n">
        <f aca="false">IFERROR(COUNTIFS(JobRole,$A43,TenureBand,C$41,Dept,$C$4,Gender,$C$5,PerfGroup,$C$6,OverTime,$C$7,AttrFlag,1)/COUNTIFS(JobRole,$A43,TenureBand,C$41,Dept,$C$4,Gender,$C$5,PerfGroup,$C$6,OverTime,$C$7),"")</f>
        <v>0.456</v>
      </c>
      <c r="D43" s="18" t="n">
        <f aca="false">IFERROR(COUNTIFS(JobRole,$A43,TenureBand,D$41,Dept,$C$4,Gender,$C$5,PerfGroup,$C$6,OverTime,$C$7,AttrFlag,1)/COUNTIFS(JobRole,$A43,TenureBand,D$41,Dept,$C$4,Gender,$C$5,PerfGroup,$C$6,OverTime,$C$7),"")</f>
        <v>0.314285714285714</v>
      </c>
      <c r="E43" s="18" t="n">
        <f aca="false">IFERROR(COUNTIFS(JobRole,$A43,TenureBand,E$41,Dept,$C$4,Gender,$C$5,PerfGroup,$C$6,OverTime,$C$7,AttrFlag,1)/COUNTIFS(JobRole,$A43,TenureBand,E$41,Dept,$C$4,Gender,$C$5,PerfGroup,$C$6,OverTime,$C$7),"")</f>
        <v>0.345070422535211</v>
      </c>
      <c r="F43" s="18" t="n">
        <f aca="false">IFERROR(COUNTIFS(JobRole,$A43,TenureBand,F$41,Dept,$C$4,Gender,$C$5,PerfGroup,$C$6,OverTime,$C$7,AttrFlag,1)/COUNTIFS(JobRole,$A43,TenureBand,F$41,Dept,$C$4,Gender,$C$5,PerfGroup,$C$6,OverTime,$C$7),"")</f>
        <v>0.142857142857143</v>
      </c>
      <c r="G43" s="18" t="n">
        <f aca="false">IFERROR(COUNTIFS(JobRole,$A43,Dept,$C$4,Gender,$C$5,PerfGroup,$C$6,OverTime,$C$7,AttrFlag,1)/COUNTIFS(JobRole,$A43,Dept,$C$4,Gender,$C$5,PerfGroup,$C$6,OverTime,$C$7),"")</f>
        <v>0.355555555555556</v>
      </c>
    </row>
    <row r="44" customFormat="false" ht="15" hidden="false" customHeight="false" outlineLevel="0" collapsed="false">
      <c r="A44" s="6" t="s">
        <v>156</v>
      </c>
      <c r="B44" s="18" t="n">
        <f aca="false">IFERROR(COUNTIFS(JobRole,$A44,TenureBand,B$41,Dept,$C$4,Gender,$C$5,PerfGroup,$C$6,OverTime,$C$7,AttrFlag,1)/COUNTIFS(JobRole,$A44,TenureBand,B$41,Dept,$C$4,Gender,$C$5,PerfGroup,$C$6,OverTime,$C$7),"")</f>
        <v>0.5625</v>
      </c>
      <c r="C44" s="18" t="n">
        <f aca="false">IFERROR(COUNTIFS(JobRole,$A44,TenureBand,C$41,Dept,$C$4,Gender,$C$5,PerfGroup,$C$6,OverTime,$C$7,AttrFlag,1)/COUNTIFS(JobRole,$A44,TenureBand,C$41,Dept,$C$4,Gender,$C$5,PerfGroup,$C$6,OverTime,$C$7),"")</f>
        <v>0.412698412698413</v>
      </c>
      <c r="D44" s="18" t="n">
        <f aca="false">IFERROR(COUNTIFS(JobRole,$A44,TenureBand,D$41,Dept,$C$4,Gender,$C$5,PerfGroup,$C$6,OverTime,$C$7,AttrFlag,1)/COUNTIFS(JobRole,$A44,TenureBand,D$41,Dept,$C$4,Gender,$C$5,PerfGroup,$C$6,OverTime,$C$7),"")</f>
        <v>0.347826086956522</v>
      </c>
      <c r="E44" s="18" t="n">
        <f aca="false">IFERROR(COUNTIFS(JobRole,$A44,TenureBand,E$41,Dept,$C$4,Gender,$C$5,PerfGroup,$C$6,OverTime,$C$7,AttrFlag,1)/COUNTIFS(JobRole,$A44,TenureBand,E$41,Dept,$C$4,Gender,$C$5,PerfGroup,$C$6,OverTime,$C$7),"")</f>
        <v>0.283018867924528</v>
      </c>
      <c r="F44" s="18" t="n">
        <f aca="false">IFERROR(COUNTIFS(JobRole,$A44,TenureBand,F$41,Dept,$C$4,Gender,$C$5,PerfGroup,$C$6,OverTime,$C$7,AttrFlag,1)/COUNTIFS(JobRole,$A44,TenureBand,F$41,Dept,$C$4,Gender,$C$5,PerfGroup,$C$6,OverTime,$C$7),"")</f>
        <v>0.142857142857143</v>
      </c>
      <c r="G44" s="18" t="n">
        <f aca="false">IFERROR(COUNTIFS(JobRole,$A44,Dept,$C$4,Gender,$C$5,PerfGroup,$C$6,OverTime,$C$7,AttrFlag,1)/COUNTIFS(JobRole,$A44,Dept,$C$4,Gender,$C$5,PerfGroup,$C$6,OverTime,$C$7),"")</f>
        <v>0.33974358974359</v>
      </c>
    </row>
    <row r="45" customFormat="false" ht="15" hidden="false" customHeight="false" outlineLevel="0" collapsed="false">
      <c r="A45" s="6" t="s">
        <v>149</v>
      </c>
      <c r="B45" s="18" t="n">
        <f aca="false">IFERROR(COUNTIFS(JobRole,$A45,TenureBand,B$41,Dept,$C$4,Gender,$C$5,PerfGroup,$C$6,OverTime,$C$7,AttrFlag,1)/COUNTIFS(JobRole,$A45,TenureBand,B$41,Dept,$C$4,Gender,$C$5,PerfGroup,$C$6,OverTime,$C$7),"")</f>
        <v>0.470588235294118</v>
      </c>
      <c r="C45" s="18" t="n">
        <f aca="false">IFERROR(COUNTIFS(JobRole,$A45,TenureBand,C$41,Dept,$C$4,Gender,$C$5,PerfGroup,$C$6,OverTime,$C$7,AttrFlag,1)/COUNTIFS(JobRole,$A45,TenureBand,C$41,Dept,$C$4,Gender,$C$5,PerfGroup,$C$6,OverTime,$C$7),"")</f>
        <v>0.46969696969697</v>
      </c>
      <c r="D45" s="18" t="n">
        <f aca="false">IFERROR(COUNTIFS(JobRole,$A45,TenureBand,D$41,Dept,$C$4,Gender,$C$5,PerfGroup,$C$6,OverTime,$C$7,AttrFlag,1)/COUNTIFS(JobRole,$A45,TenureBand,D$41,Dept,$C$4,Gender,$C$5,PerfGroup,$C$6,OverTime,$C$7),"")</f>
        <v>0.513513513513514</v>
      </c>
      <c r="E45" s="18" t="n">
        <f aca="false">IFERROR(COUNTIFS(JobRole,$A45,TenureBand,E$41,Dept,$C$4,Gender,$C$5,PerfGroup,$C$6,OverTime,$C$7,AttrFlag,1)/COUNTIFS(JobRole,$A45,TenureBand,E$41,Dept,$C$4,Gender,$C$5,PerfGroup,$C$6,OverTime,$C$7),"")</f>
        <v>0.356164383561644</v>
      </c>
      <c r="F45" s="18" t="n">
        <f aca="false">IFERROR(COUNTIFS(JobRole,$A45,TenureBand,F$41,Dept,$C$4,Gender,$C$5,PerfGroup,$C$6,OverTime,$C$7,AttrFlag,1)/COUNTIFS(JobRole,$A45,TenureBand,F$41,Dept,$C$4,Gender,$C$5,PerfGroup,$C$6,OverTime,$C$7),"")</f>
        <v>0.15</v>
      </c>
      <c r="G45" s="18" t="n">
        <f aca="false">IFERROR(COUNTIFS(JobRole,$A45,Dept,$C$4,Gender,$C$5,PerfGroup,$C$6,OverTime,$C$7,AttrFlag,1)/COUNTIFS(JobRole,$A45,Dept,$C$4,Gender,$C$5,PerfGroup,$C$6,OverTime,$C$7),"")</f>
        <v>0.397003745318352</v>
      </c>
    </row>
    <row r="46" customFormat="false" ht="15" hidden="false" customHeight="false" outlineLevel="0" collapsed="false">
      <c r="A46" s="6" t="s">
        <v>178</v>
      </c>
      <c r="B46" s="18" t="n">
        <f aca="false">IFERROR(COUNTIFS(JobRole,$A46,TenureBand,B$41,Dept,$C$4,Gender,$C$5,PerfGroup,$C$6,OverTime,$C$7,AttrFlag,1)/COUNTIFS(JobRole,$A46,TenureBand,B$41,Dept,$C$4,Gender,$C$5,PerfGroup,$C$6,OverTime,$C$7),"")</f>
        <v>0.391304347826087</v>
      </c>
      <c r="C46" s="18" t="n">
        <f aca="false">IFERROR(COUNTIFS(JobRole,$A46,TenureBand,C$41,Dept,$C$4,Gender,$C$5,PerfGroup,$C$6,OverTime,$C$7,AttrFlag,1)/COUNTIFS(JobRole,$A46,TenureBand,C$41,Dept,$C$4,Gender,$C$5,PerfGroup,$C$6,OverTime,$C$7),"")</f>
        <v>0.479166666666667</v>
      </c>
      <c r="D46" s="18" t="n">
        <f aca="false">IFERROR(COUNTIFS(JobRole,$A46,TenureBand,D$41,Dept,$C$4,Gender,$C$5,PerfGroup,$C$6,OverTime,$C$7,AttrFlag,1)/COUNTIFS(JobRole,$A46,TenureBand,D$41,Dept,$C$4,Gender,$C$5,PerfGroup,$C$6,OverTime,$C$7),"")</f>
        <v>0.352941176470588</v>
      </c>
      <c r="E46" s="18" t="n">
        <f aca="false">IFERROR(COUNTIFS(JobRole,$A46,TenureBand,E$41,Dept,$C$4,Gender,$C$5,PerfGroup,$C$6,OverTime,$C$7,AttrFlag,1)/COUNTIFS(JobRole,$A46,TenureBand,E$41,Dept,$C$4,Gender,$C$5,PerfGroup,$C$6,OverTime,$C$7),"")</f>
        <v>0.285714285714286</v>
      </c>
      <c r="F46" s="18" t="n">
        <f aca="false">IFERROR(COUNTIFS(JobRole,$A46,TenureBand,F$41,Dept,$C$4,Gender,$C$5,PerfGroup,$C$6,OverTime,$C$7,AttrFlag,1)/COUNTIFS(JobRole,$A46,TenureBand,F$41,Dept,$C$4,Gender,$C$5,PerfGroup,$C$6,OverTime,$C$7),"")</f>
        <v>0.135135135135135</v>
      </c>
      <c r="G46" s="18" t="n">
        <f aca="false">IFERROR(COUNTIFS(JobRole,$A46,Dept,$C$4,Gender,$C$5,PerfGroup,$C$6,OverTime,$C$7,AttrFlag,1)/COUNTIFS(JobRole,$A46,Dept,$C$4,Gender,$C$5,PerfGroup,$C$6,OverTime,$C$7),"")</f>
        <v>0.326829268292683</v>
      </c>
    </row>
    <row r="47" customFormat="false" ht="15" hidden="false" customHeight="false" outlineLevel="0" collapsed="false">
      <c r="A47" s="6" t="s">
        <v>192</v>
      </c>
      <c r="B47" s="18" t="n">
        <f aca="false">IFERROR(COUNTIFS(JobRole,$A47,TenureBand,B$41,Dept,$C$4,Gender,$C$5,PerfGroup,$C$6,OverTime,$C$7,AttrFlag,1)/COUNTIFS(JobRole,$A47,TenureBand,B$41,Dept,$C$4,Gender,$C$5,PerfGroup,$C$6,OverTime,$C$7),"")</f>
        <v>0.529411764705882</v>
      </c>
      <c r="C47" s="18" t="n">
        <f aca="false">IFERROR(COUNTIFS(JobRole,$A47,TenureBand,C$41,Dept,$C$4,Gender,$C$5,PerfGroup,$C$6,OverTime,$C$7,AttrFlag,1)/COUNTIFS(JobRole,$A47,TenureBand,C$41,Dept,$C$4,Gender,$C$5,PerfGroup,$C$6,OverTime,$C$7),"")</f>
        <v>0.357142857142857</v>
      </c>
      <c r="D47" s="18" t="n">
        <f aca="false">IFERROR(COUNTIFS(JobRole,$A47,TenureBand,D$41,Dept,$C$4,Gender,$C$5,PerfGroup,$C$6,OverTime,$C$7,AttrFlag,1)/COUNTIFS(JobRole,$A47,TenureBand,D$41,Dept,$C$4,Gender,$C$5,PerfGroup,$C$6,OverTime,$C$7),"")</f>
        <v>0.206896551724138</v>
      </c>
      <c r="E47" s="18" t="n">
        <f aca="false">IFERROR(COUNTIFS(JobRole,$A47,TenureBand,E$41,Dept,$C$4,Gender,$C$5,PerfGroup,$C$6,OverTime,$C$7,AttrFlag,1)/COUNTIFS(JobRole,$A47,TenureBand,E$41,Dept,$C$4,Gender,$C$5,PerfGroup,$C$6,OverTime,$C$7),"")</f>
        <v>0.184210526315789</v>
      </c>
      <c r="F47" s="18" t="n">
        <f aca="false">IFERROR(COUNTIFS(JobRole,$A47,TenureBand,F$41,Dept,$C$4,Gender,$C$5,PerfGroup,$C$6,OverTime,$C$7,AttrFlag,1)/COUNTIFS(JobRole,$A47,TenureBand,F$41,Dept,$C$4,Gender,$C$5,PerfGroup,$C$6,OverTime,$C$7),"")</f>
        <v>0.0810810810810811</v>
      </c>
      <c r="G47" s="18" t="n">
        <f aca="false">IFERROR(COUNTIFS(JobRole,$A47,Dept,$C$4,Gender,$C$5,PerfGroup,$C$6,OverTime,$C$7,AttrFlag,1)/COUNTIFS(JobRole,$A47,Dept,$C$4,Gender,$C$5,PerfGroup,$C$6,OverTime,$C$7),"")</f>
        <v>0.23489932885906</v>
      </c>
    </row>
    <row r="50" customFormat="false" ht="15" hidden="false" customHeight="false" outlineLevel="0" collapsed="false">
      <c r="A50" s="4" t="s">
        <v>2356</v>
      </c>
    </row>
    <row r="51" customFormat="false" ht="30" hidden="false" customHeight="true" outlineLevel="0" collapsed="false">
      <c r="A51" s="33" t="s">
        <v>2357</v>
      </c>
      <c r="B51" s="33"/>
      <c r="C51" s="33"/>
      <c r="D51" s="33"/>
      <c r="E51" s="33"/>
      <c r="F51" s="33"/>
      <c r="G51" s="33"/>
      <c r="H51" s="33"/>
      <c r="I51" s="33"/>
    </row>
    <row r="52" customFormat="false" ht="30" hidden="false" customHeight="true" outlineLevel="0" collapsed="false">
      <c r="A52" s="33" t="s">
        <v>2358</v>
      </c>
      <c r="B52" s="33"/>
      <c r="C52" s="33"/>
      <c r="D52" s="33"/>
      <c r="E52" s="33"/>
      <c r="F52" s="33"/>
      <c r="G52" s="33"/>
      <c r="H52" s="33"/>
      <c r="I52" s="33"/>
    </row>
    <row r="53" customFormat="false" ht="30" hidden="false" customHeight="true" outlineLevel="0" collapsed="false">
      <c r="A53" s="33" t="s">
        <v>2359</v>
      </c>
      <c r="B53" s="33"/>
      <c r="C53" s="33"/>
      <c r="D53" s="33"/>
      <c r="E53" s="33"/>
      <c r="F53" s="33"/>
      <c r="G53" s="33"/>
      <c r="H53" s="33"/>
      <c r="I53" s="33"/>
    </row>
    <row r="54" customFormat="false" ht="30" hidden="false" customHeight="true" outlineLevel="0" collapsed="false">
      <c r="A54" s="33" t="s">
        <v>2360</v>
      </c>
      <c r="B54" s="33"/>
      <c r="C54" s="33"/>
      <c r="D54" s="33"/>
      <c r="E54" s="33"/>
      <c r="F54" s="33"/>
      <c r="G54" s="33"/>
      <c r="H54" s="33"/>
      <c r="I54" s="33"/>
    </row>
    <row r="55" customFormat="false" ht="30" hidden="false" customHeight="true" outlineLevel="0" collapsed="false">
      <c r="A55" s="33" t="s">
        <v>2361</v>
      </c>
      <c r="B55" s="33"/>
      <c r="C55" s="33"/>
      <c r="D55" s="33"/>
      <c r="E55" s="33"/>
      <c r="F55" s="33"/>
      <c r="G55" s="33"/>
      <c r="H55" s="33"/>
      <c r="I55" s="33"/>
    </row>
  </sheetData>
  <mergeCells count="5">
    <mergeCell ref="A51:I51"/>
    <mergeCell ref="A52:I52"/>
    <mergeCell ref="A53:I53"/>
    <mergeCell ref="A54:I54"/>
    <mergeCell ref="A55:I55"/>
  </mergeCells>
  <conditionalFormatting sqref="B12:F17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32:C37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42:F47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dataValidations count="4">
    <dataValidation allowBlank="false" errorStyle="stop" operator="between" showDropDown="false" showErrorMessage="false" showInputMessage="false" sqref="B4" type="list">
      <formula1>"All,Sales,Engineering,Customer Support,Finance,Human Resources,Operations"</formula1>
      <formula2>0</formula2>
    </dataValidation>
    <dataValidation allowBlank="false" errorStyle="stop" operator="between" showDropDown="false" showErrorMessage="false" showInputMessage="false" sqref="B5" type="list">
      <formula1>"All,Male,Female"</formula1>
      <formula2>0</formula2>
    </dataValidation>
    <dataValidation allowBlank="false" errorStyle="stop" operator="between" showDropDown="false" showErrorMessage="false" showInputMessage="false" sqref="B6" type="list">
      <formula1>"All,High,Medium,Low"</formula1>
      <formula2>0</formula2>
    </dataValidation>
    <dataValidation allowBlank="false" errorStyle="stop" operator="between" showDropDown="false" showErrorMessage="false" showInputMessage="false" sqref="B7" type="list">
      <formula1>"All,Yes,No"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R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9" min="2" style="0" width="10.51"/>
    <col collapsed="false" customWidth="true" hidden="false" outlineLevel="0" max="10" min="10" style="0" width="3"/>
    <col collapsed="false" customWidth="true" hidden="false" outlineLevel="0" max="18" min="11" style="0" width="10.51"/>
  </cols>
  <sheetData>
    <row r="1" customFormat="false" ht="24.45" hidden="false" customHeight="false" outlineLevel="0" collapsed="false">
      <c r="B1" s="34" t="s">
        <v>2362</v>
      </c>
    </row>
    <row r="2" customFormat="false" ht="15" hidden="false" customHeight="false" outlineLevel="0" collapsed="false">
      <c r="B2" s="20" t="s">
        <v>2363</v>
      </c>
    </row>
    <row r="4" customFormat="false" ht="27.75" hidden="false" customHeight="true" outlineLevel="0" collapsed="false">
      <c r="B4" s="35" t="s">
        <v>2364</v>
      </c>
      <c r="C4" s="35"/>
      <c r="D4" s="35" t="s">
        <v>2365</v>
      </c>
      <c r="E4" s="35"/>
      <c r="F4" s="35" t="s">
        <v>2256</v>
      </c>
      <c r="G4" s="35"/>
      <c r="H4" s="35" t="s">
        <v>2366</v>
      </c>
      <c r="I4" s="35"/>
      <c r="K4" s="35" t="s">
        <v>2367</v>
      </c>
      <c r="L4" s="35"/>
      <c r="M4" s="35" t="s">
        <v>2368</v>
      </c>
      <c r="N4" s="35"/>
      <c r="O4" s="35" t="s">
        <v>2244</v>
      </c>
      <c r="P4" s="35"/>
      <c r="Q4" s="35" t="s">
        <v>2369</v>
      </c>
      <c r="R4" s="35"/>
    </row>
    <row r="5" customFormat="false" ht="15" hidden="false" customHeight="false" outlineLevel="0" collapsed="false">
      <c r="B5" s="36" t="n">
        <f aca="false">Analysis!$B$5</f>
        <v>2000</v>
      </c>
      <c r="C5" s="36"/>
      <c r="D5" s="36" t="n">
        <f aca="false">Analysis!$B$6</f>
        <v>1265</v>
      </c>
      <c r="E5" s="36"/>
      <c r="F5" s="36" t="n">
        <f aca="false">Analysis!$B$7</f>
        <v>735</v>
      </c>
      <c r="G5" s="36"/>
      <c r="H5" s="37" t="n">
        <f aca="false">Analysis!$B$8</f>
        <v>0.3675</v>
      </c>
      <c r="I5" s="37"/>
      <c r="K5" s="37" t="n">
        <f aca="false">Analysis!$B$12</f>
        <v>0.146176174872141</v>
      </c>
      <c r="L5" s="37"/>
      <c r="M5" s="37" t="n">
        <f aca="false">Analysis!$B$11</f>
        <v>0.757823129251701</v>
      </c>
      <c r="N5" s="37"/>
      <c r="O5" s="38" t="n">
        <f aca="false">Analysis!$B$13</f>
        <v>3.9238231292517</v>
      </c>
      <c r="P5" s="38"/>
      <c r="Q5" s="39" t="n">
        <f aca="false">Analysis!$B$18/1000000</f>
        <v>90.03525</v>
      </c>
      <c r="R5" s="39"/>
    </row>
    <row r="6" customFormat="false" ht="15" hidden="false" customHeight="false" outlineLevel="0" collapsed="false">
      <c r="B6" s="36"/>
      <c r="C6" s="36"/>
      <c r="D6" s="36"/>
      <c r="E6" s="36"/>
      <c r="F6" s="36"/>
      <c r="G6" s="36"/>
      <c r="H6" s="37"/>
      <c r="I6" s="37"/>
      <c r="K6" s="37"/>
      <c r="L6" s="37"/>
      <c r="M6" s="37"/>
      <c r="N6" s="37"/>
      <c r="O6" s="38"/>
      <c r="P6" s="38"/>
      <c r="Q6" s="39"/>
      <c r="R6" s="39"/>
    </row>
    <row r="105" customFormat="false" ht="15" hidden="false" customHeight="false" outlineLevel="0" collapsed="false">
      <c r="B105" s="4" t="s">
        <v>2370</v>
      </c>
    </row>
    <row r="106" customFormat="false" ht="30" hidden="false" customHeight="true" outlineLevel="0" collapsed="false">
      <c r="B106" s="40" t="s">
        <v>122</v>
      </c>
      <c r="C106" s="40"/>
      <c r="D106" s="41" t="str">
        <f aca="false">Analysis!B194</f>
        <v>Sales</v>
      </c>
      <c r="E106" s="41" t="str">
        <f aca="false">Analysis!C194</f>
        <v>Engineering</v>
      </c>
      <c r="F106" s="41" t="str">
        <f aca="false">Analysis!D194</f>
        <v>Customer Support</v>
      </c>
      <c r="G106" s="41" t="str">
        <f aca="false">Analysis!E194</f>
        <v>Finance</v>
      </c>
      <c r="H106" s="41" t="str">
        <f aca="false">Analysis!F194</f>
        <v>Human Resources</v>
      </c>
      <c r="I106" s="41" t="str">
        <f aca="false">Analysis!G194</f>
        <v>Operations</v>
      </c>
    </row>
    <row r="107" customFormat="false" ht="15" hidden="false" customHeight="false" outlineLevel="0" collapsed="false">
      <c r="B107" s="42" t="str">
        <f aca="false">Analysis!A195</f>
        <v>Associate</v>
      </c>
      <c r="C107" s="42"/>
      <c r="D107" s="43" t="n">
        <f aca="false">Analysis!B195</f>
        <v>0.50381679389313</v>
      </c>
      <c r="E107" s="43" t="n">
        <f aca="false">Analysis!C195</f>
        <v>0.45625</v>
      </c>
      <c r="F107" s="43" t="n">
        <f aca="false">Analysis!D195</f>
        <v>0.431578947368421</v>
      </c>
      <c r="G107" s="43" t="n">
        <f aca="false">Analysis!E195</f>
        <v>0.229166666666667</v>
      </c>
      <c r="H107" s="43" t="n">
        <f aca="false">Analysis!F195</f>
        <v>0.407407407407407</v>
      </c>
      <c r="I107" s="43" t="n">
        <f aca="false">Analysis!G195</f>
        <v>0.387387387387387</v>
      </c>
    </row>
    <row r="108" customFormat="false" ht="15" hidden="false" customHeight="false" outlineLevel="0" collapsed="false">
      <c r="B108" s="42" t="str">
        <f aca="false">Analysis!A196</f>
        <v>Analyst</v>
      </c>
      <c r="C108" s="42"/>
      <c r="D108" s="43" t="n">
        <f aca="false">Analysis!B196</f>
        <v>0.378378378378378</v>
      </c>
      <c r="E108" s="43" t="n">
        <f aca="false">Analysis!C196</f>
        <v>0.373983739837398</v>
      </c>
      <c r="F108" s="43" t="n">
        <f aca="false">Analysis!D196</f>
        <v>0.43010752688172</v>
      </c>
      <c r="G108" s="43" t="n">
        <f aca="false">Analysis!E196</f>
        <v>0.219512195121951</v>
      </c>
      <c r="H108" s="43" t="n">
        <f aca="false">Analysis!F196</f>
        <v>0.19047619047619</v>
      </c>
      <c r="I108" s="43" t="n">
        <f aca="false">Analysis!G196</f>
        <v>0.330188679245283</v>
      </c>
    </row>
    <row r="109" customFormat="false" ht="15" hidden="false" customHeight="false" outlineLevel="0" collapsed="false">
      <c r="B109" s="42" t="str">
        <f aca="false">Analysis!A197</f>
        <v>Senior Analyst</v>
      </c>
      <c r="C109" s="42"/>
      <c r="D109" s="43" t="n">
        <f aca="false">Analysis!B197</f>
        <v>0.4</v>
      </c>
      <c r="E109" s="43" t="n">
        <f aca="false">Analysis!C197</f>
        <v>0.244444444444444</v>
      </c>
      <c r="F109" s="43" t="n">
        <f aca="false">Analysis!D197</f>
        <v>0.419354838709677</v>
      </c>
      <c r="G109" s="43" t="n">
        <f aca="false">Analysis!E197</f>
        <v>0.263157894736842</v>
      </c>
      <c r="H109" s="43" t="n">
        <f aca="false">Analysis!F197</f>
        <v>0.333333333333333</v>
      </c>
      <c r="I109" s="43" t="n">
        <f aca="false">Analysis!G197</f>
        <v>0.355932203389831</v>
      </c>
    </row>
    <row r="110" customFormat="false" ht="15" hidden="false" customHeight="false" outlineLevel="0" collapsed="false">
      <c r="B110" s="42" t="str">
        <f aca="false">Analysis!A198</f>
        <v>Specialist</v>
      </c>
      <c r="C110" s="42"/>
      <c r="D110" s="43" t="n">
        <f aca="false">Analysis!B198</f>
        <v>0.452830188679245</v>
      </c>
      <c r="E110" s="43" t="n">
        <f aca="false">Analysis!C198</f>
        <v>0.430379746835443</v>
      </c>
      <c r="F110" s="43" t="n">
        <f aca="false">Analysis!D198</f>
        <v>0.5</v>
      </c>
      <c r="G110" s="43" t="n">
        <f aca="false">Analysis!E198</f>
        <v>0.222222222222222</v>
      </c>
      <c r="H110" s="43" t="n">
        <f aca="false">Analysis!F198</f>
        <v>0.230769230769231</v>
      </c>
      <c r="I110" s="43" t="n">
        <f aca="false">Analysis!G198</f>
        <v>0.302325581395349</v>
      </c>
    </row>
    <row r="111" customFormat="false" ht="15" hidden="false" customHeight="false" outlineLevel="0" collapsed="false">
      <c r="B111" s="42" t="str">
        <f aca="false">Analysis!A199</f>
        <v>Team Lead</v>
      </c>
      <c r="C111" s="42"/>
      <c r="D111" s="43" t="n">
        <f aca="false">Analysis!B199</f>
        <v>0.346938775510204</v>
      </c>
      <c r="E111" s="43" t="n">
        <f aca="false">Analysis!C199</f>
        <v>0.311475409836066</v>
      </c>
      <c r="F111" s="43" t="n">
        <f aca="false">Analysis!D199</f>
        <v>0.470588235294118</v>
      </c>
      <c r="G111" s="43" t="n">
        <f aca="false">Analysis!E199</f>
        <v>0.1875</v>
      </c>
      <c r="H111" s="43" t="n">
        <f aca="false">Analysis!F199</f>
        <v>0.25</v>
      </c>
      <c r="I111" s="43" t="n">
        <f aca="false">Analysis!G199</f>
        <v>0.27027027027027</v>
      </c>
    </row>
    <row r="112" customFormat="false" ht="15" hidden="false" customHeight="false" outlineLevel="0" collapsed="false">
      <c r="B112" s="42" t="str">
        <f aca="false">Analysis!A200</f>
        <v>Manager</v>
      </c>
      <c r="C112" s="42"/>
      <c r="D112" s="43" t="n">
        <f aca="false">Analysis!B200</f>
        <v>0.129032258064516</v>
      </c>
      <c r="E112" s="43" t="n">
        <f aca="false">Analysis!C200</f>
        <v>0.260869565217391</v>
      </c>
      <c r="F112" s="43" t="n">
        <f aca="false">Analysis!D200</f>
        <v>0.260869565217391</v>
      </c>
      <c r="G112" s="43" t="n">
        <f aca="false">Analysis!E200</f>
        <v>0.214285714285714</v>
      </c>
      <c r="H112" s="43" t="n">
        <f aca="false">Analysis!F200</f>
        <v>0.333333333333333</v>
      </c>
      <c r="I112" s="43" t="n">
        <f aca="false">Analysis!G200</f>
        <v>0.275862068965517</v>
      </c>
    </row>
  </sheetData>
  <mergeCells count="23">
    <mergeCell ref="B4:C4"/>
    <mergeCell ref="D4:E4"/>
    <mergeCell ref="F4:G4"/>
    <mergeCell ref="H4:I4"/>
    <mergeCell ref="K4:L4"/>
    <mergeCell ref="M4:N4"/>
    <mergeCell ref="O4:P4"/>
    <mergeCell ref="Q4:R4"/>
    <mergeCell ref="B5:C6"/>
    <mergeCell ref="D5:E6"/>
    <mergeCell ref="F5:G6"/>
    <mergeCell ref="H5:I6"/>
    <mergeCell ref="K5:L6"/>
    <mergeCell ref="M5:N6"/>
    <mergeCell ref="O5:P6"/>
    <mergeCell ref="Q5:R6"/>
    <mergeCell ref="B106:C106"/>
    <mergeCell ref="B107:C107"/>
    <mergeCell ref="B108:C108"/>
    <mergeCell ref="B109:C109"/>
    <mergeCell ref="B110:C110"/>
    <mergeCell ref="B111:C111"/>
    <mergeCell ref="B112:C112"/>
  </mergeCells>
  <conditionalFormatting sqref="D107:I11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2"/>
    <col collapsed="false" customWidth="true" hidden="false" outlineLevel="0" max="4" min="4" style="0" width="52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2371</v>
      </c>
    </row>
    <row r="2" customFormat="false" ht="27.75" hidden="false" customHeight="true" outlineLevel="0" collapsed="false">
      <c r="A2" s="44" t="s">
        <v>2372</v>
      </c>
      <c r="B2" s="44"/>
      <c r="C2" s="44"/>
      <c r="D2" s="44"/>
      <c r="E2" s="44"/>
    </row>
    <row r="4" customFormat="false" ht="15" hidden="false" customHeight="false" outlineLevel="0" collapsed="false">
      <c r="A4" s="5" t="s">
        <v>2373</v>
      </c>
      <c r="B4" s="5" t="s">
        <v>2374</v>
      </c>
      <c r="C4" s="5" t="s">
        <v>2375</v>
      </c>
      <c r="D4" s="5" t="s">
        <v>2376</v>
      </c>
      <c r="E4" s="5" t="s">
        <v>2377</v>
      </c>
    </row>
    <row r="5" customFormat="false" ht="66" hidden="false" customHeight="true" outlineLevel="0" collapsed="false">
      <c r="A5" s="45" t="n">
        <v>1</v>
      </c>
      <c r="B5" s="8" t="str">
        <f aca="false">"Employees who work overtime leave at "&amp;TEXT(Analysis!D111,"0.0%")&amp;" versus "&amp;TEXT(Analysis!D112,"0.0%")&amp;" for those who do not ("&amp;TEXT(Analysis!D111/Analysis!D112,"0.0")&amp;"x)."</f>
        <v>Employees who work overtime leave at 47.7% versus 32.3% for those who do not (1.5x).</v>
      </c>
      <c r="C5" s="8" t="s">
        <v>2378</v>
      </c>
      <c r="D5" s="8" t="s">
        <v>2379</v>
      </c>
      <c r="E5" s="8" t="s">
        <v>2380</v>
      </c>
    </row>
    <row r="6" customFormat="false" ht="66" hidden="false" customHeight="true" outlineLevel="0" collapsed="false">
      <c r="A6" s="45" t="n">
        <v>2</v>
      </c>
      <c r="B6" s="8" t="str">
        <f aca="false">"Employees scoring job satisfaction 1 leave at "&amp;TEXT(Analysis!D102,"0.0%")&amp;" versus "&amp;TEXT(Analysis!D105,"0.0%")&amp;" for those scoring 4."</f>
        <v>Employees scoring job satisfaction 1 leave at 51.3% versus 22.2% for those scoring 4.</v>
      </c>
      <c r="C6" s="8" t="s">
        <v>2381</v>
      </c>
      <c r="D6" s="8" t="s">
        <v>2382</v>
      </c>
      <c r="E6" s="8" t="s">
        <v>2383</v>
      </c>
    </row>
    <row r="7" customFormat="false" ht="66" hidden="false" customHeight="true" outlineLevel="0" collapsed="false">
      <c r="A7" s="45" t="n">
        <v>3</v>
      </c>
      <c r="B7" s="8" t="str">
        <f aca="false">"The highest-risk tenure band is "&amp;INDEX(Analysis!$A$74:$A$78,MATCH(MAX(Analysis!$D$74:$D$78),Analysis!$D$74:$D$78,0))&amp;" at "&amp;TEXT(MAX(Analysis!$D$74:$D$78),"0.0%")&amp;"; employees with 0-3 years of service account for "&amp;TEXT((Analysis!C74+Analysis!C75)/Analysis!B7,"0.0%")&amp;" of all leavers."</f>
        <v>The highest-risk tenure band is 0-1 yrs at 52.8%; employees with 0-3 years of service account for 51.4% of all leavers.</v>
      </c>
      <c r="C7" s="8" t="s">
        <v>2384</v>
      </c>
      <c r="D7" s="8" t="s">
        <v>2385</v>
      </c>
      <c r="E7" s="8" t="s">
        <v>2386</v>
      </c>
    </row>
    <row r="8" customFormat="false" ht="66" hidden="false" customHeight="true" outlineLevel="0" collapsed="false">
      <c r="A8" s="45" t="n">
        <v>4</v>
      </c>
      <c r="B8" s="8" t="str">
        <f aca="false">"Hotspots: department "&amp;INDEX(Analysis!$A$24:$A$29,MATCH(MAX(Analysis!$D$24:$D$29),Analysis!$D$24:$D$29,0))&amp;" ("&amp;TEXT(MAX(Analysis!$D$24:$D$29),"0.0%")&amp;") and job role "&amp;INDEX(Analysis!$A$35:$A$40,MATCH(MAX(Analysis!$D$35:$D$40),Analysis!$D$35:$D$40,0))&amp;" ("&amp;TEXT(MAX(Analysis!$D$35:$D$40),"0.0%")&amp;"), against an overall cumulative rate of "&amp;TEXT(Analysis!$B$8,"0.0%")&amp;"."</f>
        <v>Hotspots: department Customer Support (43.2%) and job role Associate (42.8%), against an overall cumulative rate of 36.8%.</v>
      </c>
      <c r="C8" s="8" t="s">
        <v>2387</v>
      </c>
      <c r="D8" s="8" t="s">
        <v>2388</v>
      </c>
      <c r="E8" s="8" t="s">
        <v>2389</v>
      </c>
    </row>
    <row r="9" customFormat="false" ht="66" hidden="false" customHeight="true" outlineLevel="0" collapsed="false">
      <c r="A9" s="45" t="n">
        <v>5</v>
      </c>
      <c r="B9" s="8" t="str">
        <f aca="false">"Among age groups under 55, "&amp;INDEX(Analysis!$A63:$A66,MATCH(MAX(Analysis!$D63:$D66),Analysis!$D63:$D66,0))&amp;" has the highest attrition at "&amp;TEXT(MAX(Analysis!$D63:$D66),"0.0%")&amp;", versus "&amp;TEXT(Analysis!$D65,"0.0%")&amp;" for 35-44 and "&amp;TEXT(Analysis!$D66,"0.0%")&amp;" for 45-54."</f>
        <v>Among age groups under 55, Under 25 has the highest attrition at 57.9%, versus 29.4% for 35-44 and 19.6% for 45-54.</v>
      </c>
      <c r="C9" s="8" t="s">
        <v>2390</v>
      </c>
      <c r="D9" s="8" t="s">
        <v>2391</v>
      </c>
      <c r="E9" s="8" t="s">
        <v>2392</v>
      </c>
    </row>
    <row r="10" customFormat="false" ht="66" hidden="false" customHeight="true" outlineLevel="0" collapsed="false">
      <c r="A10" s="45" t="n">
        <v>6</v>
      </c>
      <c r="B10" s="8" t="str">
        <f aca="false">"Voluntary exits are "&amp;TEXT(Analysis!$B$11,"0.0%")&amp;" of leavers; the top voluntary reason is "&amp;INDEX(Analysis!$A$126:$A$134,MATCH(MAX(Analysis!$B$126:$B$134),Analysis!$B$126:$B$134,0))&amp;" ("&amp;TEXT(MAX(Analysis!$C$126:$C$134),"0.0%")&amp;")."</f>
        <v>Voluntary exits are 75.8% of leavers; the top voluntary reason is Better Compensation (21.9%).</v>
      </c>
      <c r="C10" s="8" t="s">
        <v>2393</v>
      </c>
      <c r="D10" s="8" t="s">
        <v>2394</v>
      </c>
      <c r="E10" s="8" t="s">
        <v>2395</v>
      </c>
    </row>
    <row r="11" customFormat="false" ht="66" hidden="false" customHeight="true" outlineLevel="0" collapsed="false">
      <c r="A11" s="45" t="n">
        <v>7</v>
      </c>
      <c r="B11" s="8" t="str">
        <f aca="false">"Peak quarter is "&amp;INDEX(Analysis!$A$159:$A$174,MATCH(MAX(Analysis!$H$159:$H$174),Analysis!$H$159:$H$174,0))&amp;" ("&amp;TEXT(MAX(Analysis!$H$159:$H$174),"0.0%")&amp;" quarterly rate); the peak calendar month is "&amp;INDEX(Analysis!$A$179:$A$190,MATCH(MAX(Analysis!$E$179:$E$190),Analysis!$E$179:$E$190,0))&amp;" (index "&amp;TEXT(MAX(Analysis!$E$179:$E$190),"0.00")&amp;")."</f>
        <v>Peak quarter is 2023-Q4 (5.1% quarterly rate); the peak calendar month is Apr (index 1.53).</v>
      </c>
      <c r="C11" s="8" t="s">
        <v>2396</v>
      </c>
      <c r="D11" s="8" t="s">
        <v>2397</v>
      </c>
      <c r="E11" s="8" t="s">
        <v>2398</v>
      </c>
    </row>
    <row r="12" customFormat="false" ht="66" hidden="false" customHeight="true" outlineLevel="0" collapsed="false">
      <c r="A12" s="45" t="n">
        <v>8</v>
      </c>
      <c r="B12" s="8" t="str">
        <f aca="false">"High performers leave at "&amp;TEXT(Analysis!D84,"0.0%")&amp;" versus "&amp;TEXT(Analysis!D86,"0.0%")&amp;" for low performers; high performers are "&amp;TEXT(Analysis!C84/Analysis!B7,"0.0%")&amp;" of all leavers."</f>
        <v>High performers leave at 34.0% versus 46.6% for low performers; high performers are 36.9% of all leavers.</v>
      </c>
      <c r="C12" s="8" t="s">
        <v>2399</v>
      </c>
      <c r="D12" s="8" t="s">
        <v>2400</v>
      </c>
      <c r="E12" s="8" t="s">
        <v>2401</v>
      </c>
    </row>
    <row r="13" customFormat="false" ht="66" hidden="false" customHeight="true" outlineLevel="0" collapsed="false">
      <c r="A13" s="45" t="n">
        <v>9</v>
      </c>
      <c r="B13" s="8" t="str">
        <f aca="false">"Estimated replacement cost is INR "&amp;TEXT(Analysis!$B$18/1000000,"#,##0.0")&amp;" mn per year (assumption: "&amp;TEXT(ReplCostPct,"0%")&amp;" of annual salary); a "&amp;TEXT(TargetReduction,"0%")&amp;" reduction saves about INR "&amp;TEXT(Analysis!$B$19/1000000,"#,##0.0")&amp;" mn per year."</f>
        <v>Estimated replacement cost is INR 90.0 mn per year (assumption: 50% of annual salary); a 10% reduction saves about INR 36.0 mn per year.</v>
      </c>
      <c r="C13" s="8" t="s">
        <v>2402</v>
      </c>
      <c r="D13" s="8" t="s">
        <v>2403</v>
      </c>
      <c r="E13" s="8" t="s">
        <v>2404</v>
      </c>
    </row>
    <row r="16" customFormat="false" ht="15" hidden="false" customHeight="false" outlineLevel="0" collapsed="false">
      <c r="A16" s="4" t="s">
        <v>2405</v>
      </c>
    </row>
    <row r="17" customFormat="false" ht="15" hidden="false" customHeight="false" outlineLevel="0" collapsed="false">
      <c r="A17" s="5" t="s">
        <v>2406</v>
      </c>
      <c r="B17" s="5" t="s">
        <v>2407</v>
      </c>
      <c r="C17" s="5" t="s">
        <v>2408</v>
      </c>
      <c r="D17" s="5" t="s">
        <v>2409</v>
      </c>
      <c r="E17" s="5" t="s">
        <v>2410</v>
      </c>
    </row>
    <row r="18" customFormat="false" ht="43.5" hidden="false" customHeight="true" outlineLevel="0" collapsed="false">
      <c r="A18" s="45" t="n">
        <v>1</v>
      </c>
      <c r="B18" s="8" t="s">
        <v>21</v>
      </c>
      <c r="C18" s="8" t="s">
        <v>2411</v>
      </c>
      <c r="D18" s="8" t="s">
        <v>2412</v>
      </c>
      <c r="E18" s="8" t="s">
        <v>2413</v>
      </c>
    </row>
    <row r="19" customFormat="false" ht="43.5" hidden="false" customHeight="true" outlineLevel="0" collapsed="false">
      <c r="A19" s="45" t="n">
        <v>2</v>
      </c>
      <c r="B19" s="8" t="s">
        <v>2414</v>
      </c>
      <c r="C19" s="8" t="s">
        <v>2415</v>
      </c>
      <c r="D19" s="8" t="s">
        <v>2416</v>
      </c>
      <c r="E19" s="8" t="s">
        <v>2417</v>
      </c>
    </row>
    <row r="20" customFormat="false" ht="43.5" hidden="false" customHeight="true" outlineLevel="0" collapsed="false">
      <c r="A20" s="45" t="n">
        <v>3</v>
      </c>
      <c r="B20" s="8" t="s">
        <v>2418</v>
      </c>
      <c r="C20" s="8" t="s">
        <v>2419</v>
      </c>
      <c r="D20" s="8" t="s">
        <v>2420</v>
      </c>
      <c r="E20" s="8" t="s">
        <v>2417</v>
      </c>
    </row>
    <row r="21" customFormat="false" ht="43.5" hidden="false" customHeight="true" outlineLevel="0" collapsed="false">
      <c r="A21" s="45" t="n">
        <v>4</v>
      </c>
      <c r="B21" s="8" t="s">
        <v>2421</v>
      </c>
      <c r="C21" s="8" t="s">
        <v>2422</v>
      </c>
      <c r="D21" s="8" t="s">
        <v>2423</v>
      </c>
      <c r="E21" s="8" t="s">
        <v>2413</v>
      </c>
    </row>
    <row r="22" customFormat="false" ht="43.5" hidden="false" customHeight="true" outlineLevel="0" collapsed="false">
      <c r="A22" s="45" t="n">
        <v>5</v>
      </c>
      <c r="B22" s="8" t="s">
        <v>2424</v>
      </c>
      <c r="C22" s="8" t="s">
        <v>2425</v>
      </c>
      <c r="D22" s="8" t="s">
        <v>2426</v>
      </c>
      <c r="E22" s="8" t="s">
        <v>2413</v>
      </c>
    </row>
    <row r="23" customFormat="false" ht="43.5" hidden="false" customHeight="true" outlineLevel="0" collapsed="false">
      <c r="A23" s="45" t="n">
        <v>6</v>
      </c>
      <c r="B23" s="8" t="s">
        <v>33</v>
      </c>
      <c r="C23" s="8" t="s">
        <v>2427</v>
      </c>
      <c r="D23" s="8" t="s">
        <v>2428</v>
      </c>
      <c r="E23" s="8" t="s">
        <v>2413</v>
      </c>
    </row>
    <row r="24" customFormat="false" ht="43.5" hidden="false" customHeight="true" outlineLevel="0" collapsed="false">
      <c r="A24" s="45" t="n">
        <v>7</v>
      </c>
      <c r="B24" s="8" t="s">
        <v>36</v>
      </c>
      <c r="C24" s="8" t="s">
        <v>2429</v>
      </c>
      <c r="D24" s="8" t="s">
        <v>2430</v>
      </c>
      <c r="E24" s="8" t="s">
        <v>2413</v>
      </c>
    </row>
    <row r="25" customFormat="false" ht="43.5" hidden="false" customHeight="true" outlineLevel="0" collapsed="false">
      <c r="A25" s="45" t="n">
        <v>8</v>
      </c>
      <c r="B25" s="8" t="s">
        <v>39</v>
      </c>
      <c r="C25" s="8" t="s">
        <v>2431</v>
      </c>
      <c r="D25" s="8" t="s">
        <v>2432</v>
      </c>
      <c r="E25" s="8" t="s">
        <v>2413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2026-10-23T08:14:34Z</dcterms:created>
  <dc:creator>openpyxl</dc:creator>
  <dc:description/>
  <dc:language>en-US</dc:language>
  <cp:lastModifiedBy/>
  <dcterms:modified xsi:type="dcterms:W3CDTF">2026-10-23T08:14:42Z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